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NICOLAS-PC\Desktop\pymex-web\Finanzas_Personales_Presupuesto_Mensual\"/>
    </mc:Choice>
  </mc:AlternateContent>
  <xr:revisionPtr revIDLastSave="0" documentId="13_ncr:1_{9BF7526D-1BB5-4E2E-8178-4DAB3706A2EA}" xr6:coauthVersionLast="47" xr6:coauthVersionMax="47" xr10:uidLastSave="{00000000-0000-0000-0000-000000000000}"/>
  <bookViews>
    <workbookView xWindow="-120" yWindow="-120" windowWidth="24240" windowHeight="13740" tabRatio="500" firstSheet="1" activeTab="4" xr2:uid="{00000000-000D-0000-FFFF-FFFF00000000}"/>
  </bookViews>
  <sheets>
    <sheet name="Inicio" sheetId="1" r:id="rId1"/>
    <sheet name="Presupuesto Mensual" sheetId="2" r:id="rId2"/>
    <sheet name="Plan Mensual" sheetId="3" r:id="rId3"/>
    <sheet name="Movimientos" sheetId="4" r:id="rId4"/>
    <sheet name="Parametros" sheetId="5" r:id="rId5"/>
    <sheet name="Resumen Anual" sheetId="6" r:id="rId6"/>
  </sheets>
  <definedNames>
    <definedName name="lst_Anios">Parametros!$P$2:$P$28</definedName>
    <definedName name="lst_Categorias">Parametros!$F$4:$F$19</definedName>
    <definedName name="lst_Conceptos">Parametros!$H$4:$H$28</definedName>
    <definedName name="lst_Estados">Parametros!$J$9:$J$13</definedName>
    <definedName name="lst_Medios">Parametros!$D$12:$D$17</definedName>
    <definedName name="lst_Meses">Parametros!$B$4:$B$15</definedName>
    <definedName name="lst_Secciones">Parametros!$M$4:$M$9</definedName>
    <definedName name="lst_Tipos">Parametros!$D$4:$D$9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00" i="4" l="1"/>
  <c r="D2000" i="4"/>
  <c r="C2000" i="4"/>
  <c r="E1999" i="4"/>
  <c r="D1999" i="4"/>
  <c r="C1999" i="4"/>
  <c r="E1998" i="4"/>
  <c r="D1998" i="4"/>
  <c r="C1998" i="4"/>
  <c r="E1997" i="4"/>
  <c r="D1997" i="4"/>
  <c r="C1997" i="4"/>
  <c r="E1996" i="4"/>
  <c r="D1996" i="4"/>
  <c r="C1996" i="4"/>
  <c r="E1995" i="4"/>
  <c r="D1995" i="4"/>
  <c r="C1995" i="4"/>
  <c r="E1994" i="4"/>
  <c r="D1994" i="4"/>
  <c r="C1994" i="4"/>
  <c r="E1993" i="4"/>
  <c r="D1993" i="4"/>
  <c r="C1993" i="4"/>
  <c r="E1992" i="4"/>
  <c r="D1992" i="4"/>
  <c r="C1992" i="4"/>
  <c r="E1991" i="4"/>
  <c r="D1991" i="4"/>
  <c r="C1991" i="4"/>
  <c r="E1990" i="4"/>
  <c r="D1990" i="4"/>
  <c r="C1990" i="4"/>
  <c r="E1989" i="4"/>
  <c r="D1989" i="4"/>
  <c r="C1989" i="4"/>
  <c r="E1988" i="4"/>
  <c r="D1988" i="4"/>
  <c r="C1988" i="4"/>
  <c r="E1987" i="4"/>
  <c r="D1987" i="4"/>
  <c r="C1987" i="4"/>
  <c r="E1986" i="4"/>
  <c r="D1986" i="4"/>
  <c r="C1986" i="4"/>
  <c r="E1985" i="4"/>
  <c r="D1985" i="4"/>
  <c r="C1985" i="4"/>
  <c r="E1984" i="4"/>
  <c r="D1984" i="4"/>
  <c r="C1984" i="4"/>
  <c r="E1983" i="4"/>
  <c r="D1983" i="4"/>
  <c r="C1983" i="4"/>
  <c r="E1982" i="4"/>
  <c r="D1982" i="4"/>
  <c r="C1982" i="4"/>
  <c r="E1981" i="4"/>
  <c r="D1981" i="4"/>
  <c r="C1981" i="4"/>
  <c r="E1980" i="4"/>
  <c r="D1980" i="4"/>
  <c r="C1980" i="4"/>
  <c r="E1979" i="4"/>
  <c r="D1979" i="4"/>
  <c r="C1979" i="4"/>
  <c r="E1978" i="4"/>
  <c r="D1978" i="4"/>
  <c r="C1978" i="4"/>
  <c r="E1977" i="4"/>
  <c r="D1977" i="4"/>
  <c r="C1977" i="4"/>
  <c r="E1976" i="4"/>
  <c r="D1976" i="4"/>
  <c r="C1976" i="4"/>
  <c r="E1975" i="4"/>
  <c r="D1975" i="4"/>
  <c r="C1975" i="4"/>
  <c r="E1974" i="4"/>
  <c r="D1974" i="4"/>
  <c r="C1974" i="4"/>
  <c r="E1973" i="4"/>
  <c r="D1973" i="4"/>
  <c r="C1973" i="4"/>
  <c r="E1972" i="4"/>
  <c r="D1972" i="4"/>
  <c r="C1972" i="4"/>
  <c r="E1971" i="4"/>
  <c r="D1971" i="4"/>
  <c r="C1971" i="4"/>
  <c r="E1970" i="4"/>
  <c r="D1970" i="4"/>
  <c r="C1970" i="4"/>
  <c r="E1969" i="4"/>
  <c r="D1969" i="4"/>
  <c r="C1969" i="4"/>
  <c r="E1968" i="4"/>
  <c r="D1968" i="4"/>
  <c r="C1968" i="4"/>
  <c r="E1967" i="4"/>
  <c r="D1967" i="4"/>
  <c r="C1967" i="4"/>
  <c r="E1966" i="4"/>
  <c r="D1966" i="4"/>
  <c r="C1966" i="4"/>
  <c r="E1965" i="4"/>
  <c r="D1965" i="4"/>
  <c r="C1965" i="4"/>
  <c r="E1964" i="4"/>
  <c r="D1964" i="4"/>
  <c r="C1964" i="4"/>
  <c r="E1963" i="4"/>
  <c r="D1963" i="4"/>
  <c r="C1963" i="4"/>
  <c r="E1962" i="4"/>
  <c r="D1962" i="4"/>
  <c r="C1962" i="4"/>
  <c r="E1961" i="4"/>
  <c r="D1961" i="4"/>
  <c r="C1961" i="4"/>
  <c r="E1960" i="4"/>
  <c r="D1960" i="4"/>
  <c r="C1960" i="4"/>
  <c r="E1959" i="4"/>
  <c r="D1959" i="4"/>
  <c r="C1959" i="4"/>
  <c r="E1958" i="4"/>
  <c r="D1958" i="4"/>
  <c r="C1958" i="4"/>
  <c r="E1957" i="4"/>
  <c r="D1957" i="4"/>
  <c r="C1957" i="4"/>
  <c r="E1956" i="4"/>
  <c r="D1956" i="4"/>
  <c r="C1956" i="4"/>
  <c r="E1955" i="4"/>
  <c r="D1955" i="4"/>
  <c r="C1955" i="4"/>
  <c r="E1954" i="4"/>
  <c r="D1954" i="4"/>
  <c r="C1954" i="4"/>
  <c r="E1953" i="4"/>
  <c r="D1953" i="4"/>
  <c r="C1953" i="4"/>
  <c r="E1952" i="4"/>
  <c r="D1952" i="4"/>
  <c r="C1952" i="4"/>
  <c r="E1951" i="4"/>
  <c r="D1951" i="4"/>
  <c r="C1951" i="4"/>
  <c r="E1950" i="4"/>
  <c r="D1950" i="4"/>
  <c r="C1950" i="4"/>
  <c r="E1949" i="4"/>
  <c r="D1949" i="4"/>
  <c r="C1949" i="4"/>
  <c r="E1948" i="4"/>
  <c r="D1948" i="4"/>
  <c r="C1948" i="4"/>
  <c r="E1947" i="4"/>
  <c r="D1947" i="4"/>
  <c r="C1947" i="4"/>
  <c r="E1946" i="4"/>
  <c r="D1946" i="4"/>
  <c r="C1946" i="4"/>
  <c r="E1945" i="4"/>
  <c r="D1945" i="4"/>
  <c r="C1945" i="4"/>
  <c r="E1944" i="4"/>
  <c r="D1944" i="4"/>
  <c r="C1944" i="4"/>
  <c r="E1943" i="4"/>
  <c r="D1943" i="4"/>
  <c r="C1943" i="4"/>
  <c r="E1942" i="4"/>
  <c r="D1942" i="4"/>
  <c r="C1942" i="4"/>
  <c r="E1941" i="4"/>
  <c r="D1941" i="4"/>
  <c r="C1941" i="4"/>
  <c r="E1940" i="4"/>
  <c r="D1940" i="4"/>
  <c r="C1940" i="4"/>
  <c r="E1939" i="4"/>
  <c r="D1939" i="4"/>
  <c r="C1939" i="4"/>
  <c r="E1938" i="4"/>
  <c r="D1938" i="4"/>
  <c r="C1938" i="4"/>
  <c r="E1937" i="4"/>
  <c r="D1937" i="4"/>
  <c r="C1937" i="4"/>
  <c r="E1936" i="4"/>
  <c r="D1936" i="4"/>
  <c r="C1936" i="4"/>
  <c r="E1935" i="4"/>
  <c r="D1935" i="4"/>
  <c r="C1935" i="4"/>
  <c r="E1934" i="4"/>
  <c r="D1934" i="4"/>
  <c r="C1934" i="4"/>
  <c r="E1933" i="4"/>
  <c r="D1933" i="4"/>
  <c r="C1933" i="4"/>
  <c r="E1932" i="4"/>
  <c r="D1932" i="4"/>
  <c r="C1932" i="4"/>
  <c r="E1931" i="4"/>
  <c r="D1931" i="4"/>
  <c r="C1931" i="4"/>
  <c r="E1930" i="4"/>
  <c r="D1930" i="4"/>
  <c r="C1930" i="4"/>
  <c r="E1929" i="4"/>
  <c r="D1929" i="4"/>
  <c r="C1929" i="4"/>
  <c r="E1928" i="4"/>
  <c r="D1928" i="4"/>
  <c r="C1928" i="4"/>
  <c r="E1927" i="4"/>
  <c r="D1927" i="4"/>
  <c r="C1927" i="4"/>
  <c r="E1926" i="4"/>
  <c r="D1926" i="4"/>
  <c r="C1926" i="4"/>
  <c r="E1925" i="4"/>
  <c r="D1925" i="4"/>
  <c r="C1925" i="4"/>
  <c r="E1924" i="4"/>
  <c r="D1924" i="4"/>
  <c r="C1924" i="4"/>
  <c r="E1923" i="4"/>
  <c r="D1923" i="4"/>
  <c r="C1923" i="4"/>
  <c r="E1922" i="4"/>
  <c r="D1922" i="4"/>
  <c r="C1922" i="4"/>
  <c r="E1921" i="4"/>
  <c r="D1921" i="4"/>
  <c r="C1921" i="4"/>
  <c r="E1920" i="4"/>
  <c r="D1920" i="4"/>
  <c r="C1920" i="4"/>
  <c r="E1919" i="4"/>
  <c r="D1919" i="4"/>
  <c r="C1919" i="4"/>
  <c r="E1918" i="4"/>
  <c r="D1918" i="4"/>
  <c r="C1918" i="4"/>
  <c r="E1917" i="4"/>
  <c r="D1917" i="4"/>
  <c r="C1917" i="4"/>
  <c r="E1916" i="4"/>
  <c r="D1916" i="4"/>
  <c r="C1916" i="4"/>
  <c r="E1915" i="4"/>
  <c r="D1915" i="4"/>
  <c r="C1915" i="4"/>
  <c r="E1914" i="4"/>
  <c r="D1914" i="4"/>
  <c r="C1914" i="4"/>
  <c r="E1913" i="4"/>
  <c r="D1913" i="4"/>
  <c r="C1913" i="4"/>
  <c r="E1912" i="4"/>
  <c r="D1912" i="4"/>
  <c r="C1912" i="4"/>
  <c r="E1911" i="4"/>
  <c r="D1911" i="4"/>
  <c r="C1911" i="4"/>
  <c r="E1910" i="4"/>
  <c r="D1910" i="4"/>
  <c r="C1910" i="4"/>
  <c r="E1909" i="4"/>
  <c r="D1909" i="4"/>
  <c r="C1909" i="4"/>
  <c r="E1908" i="4"/>
  <c r="D1908" i="4"/>
  <c r="C1908" i="4"/>
  <c r="E1907" i="4"/>
  <c r="D1907" i="4"/>
  <c r="C1907" i="4"/>
  <c r="E1906" i="4"/>
  <c r="D1906" i="4"/>
  <c r="C1906" i="4"/>
  <c r="E1905" i="4"/>
  <c r="D1905" i="4"/>
  <c r="C1905" i="4"/>
  <c r="E1904" i="4"/>
  <c r="D1904" i="4"/>
  <c r="C1904" i="4"/>
  <c r="E1903" i="4"/>
  <c r="D1903" i="4"/>
  <c r="C1903" i="4"/>
  <c r="E1902" i="4"/>
  <c r="D1902" i="4"/>
  <c r="C1902" i="4"/>
  <c r="E1901" i="4"/>
  <c r="D1901" i="4"/>
  <c r="C1901" i="4"/>
  <c r="E1900" i="4"/>
  <c r="D1900" i="4"/>
  <c r="C1900" i="4"/>
  <c r="E1899" i="4"/>
  <c r="D1899" i="4"/>
  <c r="C1899" i="4"/>
  <c r="E1898" i="4"/>
  <c r="D1898" i="4"/>
  <c r="C1898" i="4"/>
  <c r="E1897" i="4"/>
  <c r="D1897" i="4"/>
  <c r="C1897" i="4"/>
  <c r="E1896" i="4"/>
  <c r="D1896" i="4"/>
  <c r="C1896" i="4"/>
  <c r="E1895" i="4"/>
  <c r="D1895" i="4"/>
  <c r="C1895" i="4"/>
  <c r="E1894" i="4"/>
  <c r="D1894" i="4"/>
  <c r="C1894" i="4"/>
  <c r="E1893" i="4"/>
  <c r="D1893" i="4"/>
  <c r="C1893" i="4"/>
  <c r="E1892" i="4"/>
  <c r="D1892" i="4"/>
  <c r="C1892" i="4"/>
  <c r="E1891" i="4"/>
  <c r="D1891" i="4"/>
  <c r="C1891" i="4"/>
  <c r="E1890" i="4"/>
  <c r="D1890" i="4"/>
  <c r="C1890" i="4"/>
  <c r="E1889" i="4"/>
  <c r="D1889" i="4"/>
  <c r="C1889" i="4"/>
  <c r="E1888" i="4"/>
  <c r="D1888" i="4"/>
  <c r="C1888" i="4"/>
  <c r="E1887" i="4"/>
  <c r="D1887" i="4"/>
  <c r="C1887" i="4"/>
  <c r="E1886" i="4"/>
  <c r="D1886" i="4"/>
  <c r="C1886" i="4"/>
  <c r="E1885" i="4"/>
  <c r="D1885" i="4"/>
  <c r="C1885" i="4"/>
  <c r="E1884" i="4"/>
  <c r="D1884" i="4"/>
  <c r="C1884" i="4"/>
  <c r="E1883" i="4"/>
  <c r="D1883" i="4"/>
  <c r="C1883" i="4"/>
  <c r="E1882" i="4"/>
  <c r="D1882" i="4"/>
  <c r="C1882" i="4"/>
  <c r="E1881" i="4"/>
  <c r="D1881" i="4"/>
  <c r="C1881" i="4"/>
  <c r="E1880" i="4"/>
  <c r="D1880" i="4"/>
  <c r="C1880" i="4"/>
  <c r="E1879" i="4"/>
  <c r="D1879" i="4"/>
  <c r="C1879" i="4"/>
  <c r="E1878" i="4"/>
  <c r="D1878" i="4"/>
  <c r="C1878" i="4"/>
  <c r="E1877" i="4"/>
  <c r="D1877" i="4"/>
  <c r="C1877" i="4"/>
  <c r="E1876" i="4"/>
  <c r="D1876" i="4"/>
  <c r="C1876" i="4"/>
  <c r="E1875" i="4"/>
  <c r="D1875" i="4"/>
  <c r="C1875" i="4"/>
  <c r="E1874" i="4"/>
  <c r="D1874" i="4"/>
  <c r="C1874" i="4"/>
  <c r="E1873" i="4"/>
  <c r="D1873" i="4"/>
  <c r="C1873" i="4"/>
  <c r="E1872" i="4"/>
  <c r="D1872" i="4"/>
  <c r="C1872" i="4"/>
  <c r="E1871" i="4"/>
  <c r="D1871" i="4"/>
  <c r="C1871" i="4"/>
  <c r="E1870" i="4"/>
  <c r="D1870" i="4"/>
  <c r="C1870" i="4"/>
  <c r="E1869" i="4"/>
  <c r="D1869" i="4"/>
  <c r="C1869" i="4"/>
  <c r="E1868" i="4"/>
  <c r="D1868" i="4"/>
  <c r="C1868" i="4"/>
  <c r="E1867" i="4"/>
  <c r="D1867" i="4"/>
  <c r="C1867" i="4"/>
  <c r="E1866" i="4"/>
  <c r="D1866" i="4"/>
  <c r="C1866" i="4"/>
  <c r="E1865" i="4"/>
  <c r="D1865" i="4"/>
  <c r="C1865" i="4"/>
  <c r="E1864" i="4"/>
  <c r="D1864" i="4"/>
  <c r="C1864" i="4"/>
  <c r="E1863" i="4"/>
  <c r="D1863" i="4"/>
  <c r="C1863" i="4"/>
  <c r="E1862" i="4"/>
  <c r="D1862" i="4"/>
  <c r="C1862" i="4"/>
  <c r="E1861" i="4"/>
  <c r="D1861" i="4"/>
  <c r="C1861" i="4"/>
  <c r="E1860" i="4"/>
  <c r="D1860" i="4"/>
  <c r="C1860" i="4"/>
  <c r="E1859" i="4"/>
  <c r="D1859" i="4"/>
  <c r="C1859" i="4"/>
  <c r="E1858" i="4"/>
  <c r="D1858" i="4"/>
  <c r="C1858" i="4"/>
  <c r="E1857" i="4"/>
  <c r="D1857" i="4"/>
  <c r="C1857" i="4"/>
  <c r="E1856" i="4"/>
  <c r="D1856" i="4"/>
  <c r="C1856" i="4"/>
  <c r="E1855" i="4"/>
  <c r="D1855" i="4"/>
  <c r="C1855" i="4"/>
  <c r="E1854" i="4"/>
  <c r="D1854" i="4"/>
  <c r="C1854" i="4"/>
  <c r="E1853" i="4"/>
  <c r="D1853" i="4"/>
  <c r="C1853" i="4"/>
  <c r="E1852" i="4"/>
  <c r="D1852" i="4"/>
  <c r="C1852" i="4"/>
  <c r="E1851" i="4"/>
  <c r="D1851" i="4"/>
  <c r="C1851" i="4"/>
  <c r="E1850" i="4"/>
  <c r="D1850" i="4"/>
  <c r="C1850" i="4"/>
  <c r="E1849" i="4"/>
  <c r="D1849" i="4"/>
  <c r="C1849" i="4"/>
  <c r="E1848" i="4"/>
  <c r="D1848" i="4"/>
  <c r="C1848" i="4"/>
  <c r="E1847" i="4"/>
  <c r="D1847" i="4"/>
  <c r="C1847" i="4"/>
  <c r="E1846" i="4"/>
  <c r="D1846" i="4"/>
  <c r="C1846" i="4"/>
  <c r="E1845" i="4"/>
  <c r="D1845" i="4"/>
  <c r="C1845" i="4"/>
  <c r="E1844" i="4"/>
  <c r="D1844" i="4"/>
  <c r="C1844" i="4"/>
  <c r="E1843" i="4"/>
  <c r="D1843" i="4"/>
  <c r="C1843" i="4"/>
  <c r="E1842" i="4"/>
  <c r="D1842" i="4"/>
  <c r="C1842" i="4"/>
  <c r="E1841" i="4"/>
  <c r="D1841" i="4"/>
  <c r="C1841" i="4"/>
  <c r="E1840" i="4"/>
  <c r="D1840" i="4"/>
  <c r="C1840" i="4"/>
  <c r="E1839" i="4"/>
  <c r="D1839" i="4"/>
  <c r="C1839" i="4"/>
  <c r="E1838" i="4"/>
  <c r="D1838" i="4"/>
  <c r="C1838" i="4"/>
  <c r="E1837" i="4"/>
  <c r="D1837" i="4"/>
  <c r="C1837" i="4"/>
  <c r="E1836" i="4"/>
  <c r="D1836" i="4"/>
  <c r="C1836" i="4"/>
  <c r="E1835" i="4"/>
  <c r="D1835" i="4"/>
  <c r="C1835" i="4"/>
  <c r="E1834" i="4"/>
  <c r="D1834" i="4"/>
  <c r="C1834" i="4"/>
  <c r="E1833" i="4"/>
  <c r="D1833" i="4"/>
  <c r="C1833" i="4"/>
  <c r="E1832" i="4"/>
  <c r="D1832" i="4"/>
  <c r="C1832" i="4"/>
  <c r="E1831" i="4"/>
  <c r="D1831" i="4"/>
  <c r="C1831" i="4"/>
  <c r="E1830" i="4"/>
  <c r="D1830" i="4"/>
  <c r="C1830" i="4"/>
  <c r="E1829" i="4"/>
  <c r="D1829" i="4"/>
  <c r="C1829" i="4"/>
  <c r="E1828" i="4"/>
  <c r="D1828" i="4"/>
  <c r="C1828" i="4"/>
  <c r="E1827" i="4"/>
  <c r="D1827" i="4"/>
  <c r="C1827" i="4"/>
  <c r="E1826" i="4"/>
  <c r="D1826" i="4"/>
  <c r="C1826" i="4"/>
  <c r="E1825" i="4"/>
  <c r="D1825" i="4"/>
  <c r="C1825" i="4"/>
  <c r="E1824" i="4"/>
  <c r="D1824" i="4"/>
  <c r="C1824" i="4"/>
  <c r="E1823" i="4"/>
  <c r="D1823" i="4"/>
  <c r="C1823" i="4"/>
  <c r="E1822" i="4"/>
  <c r="D1822" i="4"/>
  <c r="C1822" i="4"/>
  <c r="E1821" i="4"/>
  <c r="D1821" i="4"/>
  <c r="C1821" i="4"/>
  <c r="E1820" i="4"/>
  <c r="D1820" i="4"/>
  <c r="C1820" i="4"/>
  <c r="E1819" i="4"/>
  <c r="D1819" i="4"/>
  <c r="C1819" i="4"/>
  <c r="E1818" i="4"/>
  <c r="D1818" i="4"/>
  <c r="C1818" i="4"/>
  <c r="E1817" i="4"/>
  <c r="D1817" i="4"/>
  <c r="C1817" i="4"/>
  <c r="E1816" i="4"/>
  <c r="D1816" i="4"/>
  <c r="C1816" i="4"/>
  <c r="E1815" i="4"/>
  <c r="D1815" i="4"/>
  <c r="C1815" i="4"/>
  <c r="E1814" i="4"/>
  <c r="D1814" i="4"/>
  <c r="C1814" i="4"/>
  <c r="E1813" i="4"/>
  <c r="D1813" i="4"/>
  <c r="C1813" i="4"/>
  <c r="E1812" i="4"/>
  <c r="D1812" i="4"/>
  <c r="C1812" i="4"/>
  <c r="E1811" i="4"/>
  <c r="D1811" i="4"/>
  <c r="C1811" i="4"/>
  <c r="E1810" i="4"/>
  <c r="D1810" i="4"/>
  <c r="C1810" i="4"/>
  <c r="E1809" i="4"/>
  <c r="D1809" i="4"/>
  <c r="C1809" i="4"/>
  <c r="E1808" i="4"/>
  <c r="D1808" i="4"/>
  <c r="C1808" i="4"/>
  <c r="E1807" i="4"/>
  <c r="D1807" i="4"/>
  <c r="C1807" i="4"/>
  <c r="E1806" i="4"/>
  <c r="D1806" i="4"/>
  <c r="C1806" i="4"/>
  <c r="E1805" i="4"/>
  <c r="D1805" i="4"/>
  <c r="C1805" i="4"/>
  <c r="E1804" i="4"/>
  <c r="D1804" i="4"/>
  <c r="C1804" i="4"/>
  <c r="E1803" i="4"/>
  <c r="D1803" i="4"/>
  <c r="C1803" i="4"/>
  <c r="E1802" i="4"/>
  <c r="D1802" i="4"/>
  <c r="C1802" i="4"/>
  <c r="E1801" i="4"/>
  <c r="D1801" i="4"/>
  <c r="C1801" i="4"/>
  <c r="E1800" i="4"/>
  <c r="D1800" i="4"/>
  <c r="C1800" i="4"/>
  <c r="E1799" i="4"/>
  <c r="D1799" i="4"/>
  <c r="C1799" i="4"/>
  <c r="E1798" i="4"/>
  <c r="D1798" i="4"/>
  <c r="C1798" i="4"/>
  <c r="E1797" i="4"/>
  <c r="D1797" i="4"/>
  <c r="C1797" i="4"/>
  <c r="E1796" i="4"/>
  <c r="D1796" i="4"/>
  <c r="C1796" i="4"/>
  <c r="E1795" i="4"/>
  <c r="D1795" i="4"/>
  <c r="C1795" i="4"/>
  <c r="E1794" i="4"/>
  <c r="D1794" i="4"/>
  <c r="C1794" i="4"/>
  <c r="E1793" i="4"/>
  <c r="D1793" i="4"/>
  <c r="C1793" i="4"/>
  <c r="E1792" i="4"/>
  <c r="D1792" i="4"/>
  <c r="C1792" i="4"/>
  <c r="E1791" i="4"/>
  <c r="D1791" i="4"/>
  <c r="C1791" i="4"/>
  <c r="E1790" i="4"/>
  <c r="D1790" i="4"/>
  <c r="C1790" i="4"/>
  <c r="E1789" i="4"/>
  <c r="D1789" i="4"/>
  <c r="C1789" i="4"/>
  <c r="E1788" i="4"/>
  <c r="D1788" i="4"/>
  <c r="C1788" i="4"/>
  <c r="E1787" i="4"/>
  <c r="D1787" i="4"/>
  <c r="C1787" i="4"/>
  <c r="E1786" i="4"/>
  <c r="D1786" i="4"/>
  <c r="C1786" i="4"/>
  <c r="E1785" i="4"/>
  <c r="D1785" i="4"/>
  <c r="C1785" i="4"/>
  <c r="E1784" i="4"/>
  <c r="D1784" i="4"/>
  <c r="C1784" i="4"/>
  <c r="E1783" i="4"/>
  <c r="D1783" i="4"/>
  <c r="C1783" i="4"/>
  <c r="E1782" i="4"/>
  <c r="D1782" i="4"/>
  <c r="C1782" i="4"/>
  <c r="E1781" i="4"/>
  <c r="D1781" i="4"/>
  <c r="C1781" i="4"/>
  <c r="E1780" i="4"/>
  <c r="D1780" i="4"/>
  <c r="C1780" i="4"/>
  <c r="E1779" i="4"/>
  <c r="D1779" i="4"/>
  <c r="C1779" i="4"/>
  <c r="E1778" i="4"/>
  <c r="D1778" i="4"/>
  <c r="C1778" i="4"/>
  <c r="E1777" i="4"/>
  <c r="D1777" i="4"/>
  <c r="C1777" i="4"/>
  <c r="E1776" i="4"/>
  <c r="D1776" i="4"/>
  <c r="C1776" i="4"/>
  <c r="E1775" i="4"/>
  <c r="D1775" i="4"/>
  <c r="C1775" i="4"/>
  <c r="E1774" i="4"/>
  <c r="D1774" i="4"/>
  <c r="C1774" i="4"/>
  <c r="E1773" i="4"/>
  <c r="D1773" i="4"/>
  <c r="C1773" i="4"/>
  <c r="E1772" i="4"/>
  <c r="D1772" i="4"/>
  <c r="C1772" i="4"/>
  <c r="E1771" i="4"/>
  <c r="D1771" i="4"/>
  <c r="C1771" i="4"/>
  <c r="E1770" i="4"/>
  <c r="D1770" i="4"/>
  <c r="C1770" i="4"/>
  <c r="E1769" i="4"/>
  <c r="D1769" i="4"/>
  <c r="C1769" i="4"/>
  <c r="E1768" i="4"/>
  <c r="D1768" i="4"/>
  <c r="C1768" i="4"/>
  <c r="E1767" i="4"/>
  <c r="D1767" i="4"/>
  <c r="C1767" i="4"/>
  <c r="E1766" i="4"/>
  <c r="D1766" i="4"/>
  <c r="C1766" i="4"/>
  <c r="E1765" i="4"/>
  <c r="D1765" i="4"/>
  <c r="C1765" i="4"/>
  <c r="E1764" i="4"/>
  <c r="D1764" i="4"/>
  <c r="C1764" i="4"/>
  <c r="E1763" i="4"/>
  <c r="D1763" i="4"/>
  <c r="C1763" i="4"/>
  <c r="E1762" i="4"/>
  <c r="D1762" i="4"/>
  <c r="C1762" i="4"/>
  <c r="E1761" i="4"/>
  <c r="D1761" i="4"/>
  <c r="C1761" i="4"/>
  <c r="E1760" i="4"/>
  <c r="D1760" i="4"/>
  <c r="C1760" i="4"/>
  <c r="E1759" i="4"/>
  <c r="D1759" i="4"/>
  <c r="C1759" i="4"/>
  <c r="E1758" i="4"/>
  <c r="D1758" i="4"/>
  <c r="C1758" i="4"/>
  <c r="E1757" i="4"/>
  <c r="D1757" i="4"/>
  <c r="C1757" i="4"/>
  <c r="E1756" i="4"/>
  <c r="D1756" i="4"/>
  <c r="C1756" i="4"/>
  <c r="E1755" i="4"/>
  <c r="D1755" i="4"/>
  <c r="C1755" i="4"/>
  <c r="E1754" i="4"/>
  <c r="D1754" i="4"/>
  <c r="C1754" i="4"/>
  <c r="E1753" i="4"/>
  <c r="D1753" i="4"/>
  <c r="C1753" i="4"/>
  <c r="E1752" i="4"/>
  <c r="D1752" i="4"/>
  <c r="C1752" i="4"/>
  <c r="E1751" i="4"/>
  <c r="D1751" i="4"/>
  <c r="C1751" i="4"/>
  <c r="E1750" i="4"/>
  <c r="D1750" i="4"/>
  <c r="C1750" i="4"/>
  <c r="E1749" i="4"/>
  <c r="D1749" i="4"/>
  <c r="C1749" i="4"/>
  <c r="E1748" i="4"/>
  <c r="D1748" i="4"/>
  <c r="C1748" i="4"/>
  <c r="E1747" i="4"/>
  <c r="D1747" i="4"/>
  <c r="C1747" i="4"/>
  <c r="E1746" i="4"/>
  <c r="D1746" i="4"/>
  <c r="C1746" i="4"/>
  <c r="E1745" i="4"/>
  <c r="D1745" i="4"/>
  <c r="C1745" i="4"/>
  <c r="E1744" i="4"/>
  <c r="D1744" i="4"/>
  <c r="C1744" i="4"/>
  <c r="E1743" i="4"/>
  <c r="D1743" i="4"/>
  <c r="C1743" i="4"/>
  <c r="E1742" i="4"/>
  <c r="D1742" i="4"/>
  <c r="C1742" i="4"/>
  <c r="E1741" i="4"/>
  <c r="D1741" i="4"/>
  <c r="C1741" i="4"/>
  <c r="E1740" i="4"/>
  <c r="D1740" i="4"/>
  <c r="C1740" i="4"/>
  <c r="E1739" i="4"/>
  <c r="D1739" i="4"/>
  <c r="C1739" i="4"/>
  <c r="E1738" i="4"/>
  <c r="D1738" i="4"/>
  <c r="C1738" i="4"/>
  <c r="E1737" i="4"/>
  <c r="D1737" i="4"/>
  <c r="C1737" i="4"/>
  <c r="E1736" i="4"/>
  <c r="D1736" i="4"/>
  <c r="C1736" i="4"/>
  <c r="E1735" i="4"/>
  <c r="D1735" i="4"/>
  <c r="C1735" i="4"/>
  <c r="E1734" i="4"/>
  <c r="D1734" i="4"/>
  <c r="C1734" i="4"/>
  <c r="E1733" i="4"/>
  <c r="D1733" i="4"/>
  <c r="C1733" i="4"/>
  <c r="E1732" i="4"/>
  <c r="D1732" i="4"/>
  <c r="C1732" i="4"/>
  <c r="E1731" i="4"/>
  <c r="D1731" i="4"/>
  <c r="C1731" i="4"/>
  <c r="E1730" i="4"/>
  <c r="D1730" i="4"/>
  <c r="C1730" i="4"/>
  <c r="E1729" i="4"/>
  <c r="D1729" i="4"/>
  <c r="C1729" i="4"/>
  <c r="E1728" i="4"/>
  <c r="D1728" i="4"/>
  <c r="C1728" i="4"/>
  <c r="E1727" i="4"/>
  <c r="D1727" i="4"/>
  <c r="C1727" i="4"/>
  <c r="E1726" i="4"/>
  <c r="D1726" i="4"/>
  <c r="C1726" i="4"/>
  <c r="E1725" i="4"/>
  <c r="D1725" i="4"/>
  <c r="C1725" i="4"/>
  <c r="E1724" i="4"/>
  <c r="D1724" i="4"/>
  <c r="C1724" i="4"/>
  <c r="E1723" i="4"/>
  <c r="D1723" i="4"/>
  <c r="C1723" i="4"/>
  <c r="E1722" i="4"/>
  <c r="D1722" i="4"/>
  <c r="C1722" i="4"/>
  <c r="E1721" i="4"/>
  <c r="D1721" i="4"/>
  <c r="C1721" i="4"/>
  <c r="E1720" i="4"/>
  <c r="D1720" i="4"/>
  <c r="C1720" i="4"/>
  <c r="E1719" i="4"/>
  <c r="D1719" i="4"/>
  <c r="C1719" i="4"/>
  <c r="E1718" i="4"/>
  <c r="D1718" i="4"/>
  <c r="C1718" i="4"/>
  <c r="E1717" i="4"/>
  <c r="D1717" i="4"/>
  <c r="C1717" i="4"/>
  <c r="E1716" i="4"/>
  <c r="D1716" i="4"/>
  <c r="C1716" i="4"/>
  <c r="E1715" i="4"/>
  <c r="D1715" i="4"/>
  <c r="C1715" i="4"/>
  <c r="E1714" i="4"/>
  <c r="D1714" i="4"/>
  <c r="C1714" i="4"/>
  <c r="E1713" i="4"/>
  <c r="D1713" i="4"/>
  <c r="C1713" i="4"/>
  <c r="E1712" i="4"/>
  <c r="D1712" i="4"/>
  <c r="C1712" i="4"/>
  <c r="E1711" i="4"/>
  <c r="D1711" i="4"/>
  <c r="C1711" i="4"/>
  <c r="E1710" i="4"/>
  <c r="D1710" i="4"/>
  <c r="C1710" i="4"/>
  <c r="E1709" i="4"/>
  <c r="D1709" i="4"/>
  <c r="C1709" i="4"/>
  <c r="E1708" i="4"/>
  <c r="D1708" i="4"/>
  <c r="C1708" i="4"/>
  <c r="E1707" i="4"/>
  <c r="D1707" i="4"/>
  <c r="C1707" i="4"/>
  <c r="E1706" i="4"/>
  <c r="D1706" i="4"/>
  <c r="C1706" i="4"/>
  <c r="E1705" i="4"/>
  <c r="D1705" i="4"/>
  <c r="C1705" i="4"/>
  <c r="E1704" i="4"/>
  <c r="D1704" i="4"/>
  <c r="C1704" i="4"/>
  <c r="E1703" i="4"/>
  <c r="D1703" i="4"/>
  <c r="C1703" i="4"/>
  <c r="E1702" i="4"/>
  <c r="D1702" i="4"/>
  <c r="C1702" i="4"/>
  <c r="E1701" i="4"/>
  <c r="D1701" i="4"/>
  <c r="C1701" i="4"/>
  <c r="E1700" i="4"/>
  <c r="D1700" i="4"/>
  <c r="C1700" i="4"/>
  <c r="E1699" i="4"/>
  <c r="D1699" i="4"/>
  <c r="C1699" i="4"/>
  <c r="E1698" i="4"/>
  <c r="D1698" i="4"/>
  <c r="C1698" i="4"/>
  <c r="E1697" i="4"/>
  <c r="D1697" i="4"/>
  <c r="C1697" i="4"/>
  <c r="E1696" i="4"/>
  <c r="D1696" i="4"/>
  <c r="C1696" i="4"/>
  <c r="E1695" i="4"/>
  <c r="D1695" i="4"/>
  <c r="C1695" i="4"/>
  <c r="E1694" i="4"/>
  <c r="D1694" i="4"/>
  <c r="C1694" i="4"/>
  <c r="E1693" i="4"/>
  <c r="D1693" i="4"/>
  <c r="C1693" i="4"/>
  <c r="E1692" i="4"/>
  <c r="D1692" i="4"/>
  <c r="C1692" i="4"/>
  <c r="E1691" i="4"/>
  <c r="D1691" i="4"/>
  <c r="C1691" i="4"/>
  <c r="E1690" i="4"/>
  <c r="D1690" i="4"/>
  <c r="C1690" i="4"/>
  <c r="E1689" i="4"/>
  <c r="D1689" i="4"/>
  <c r="C1689" i="4"/>
  <c r="E1688" i="4"/>
  <c r="D1688" i="4"/>
  <c r="C1688" i="4"/>
  <c r="E1687" i="4"/>
  <c r="D1687" i="4"/>
  <c r="C1687" i="4"/>
  <c r="E1686" i="4"/>
  <c r="D1686" i="4"/>
  <c r="C1686" i="4"/>
  <c r="E1685" i="4"/>
  <c r="D1685" i="4"/>
  <c r="C1685" i="4"/>
  <c r="E1684" i="4"/>
  <c r="D1684" i="4"/>
  <c r="C1684" i="4"/>
  <c r="E1683" i="4"/>
  <c r="D1683" i="4"/>
  <c r="C1683" i="4"/>
  <c r="E1682" i="4"/>
  <c r="D1682" i="4"/>
  <c r="C1682" i="4"/>
  <c r="E1681" i="4"/>
  <c r="D1681" i="4"/>
  <c r="C1681" i="4"/>
  <c r="E1680" i="4"/>
  <c r="D1680" i="4"/>
  <c r="C1680" i="4"/>
  <c r="E1679" i="4"/>
  <c r="D1679" i="4"/>
  <c r="C1679" i="4"/>
  <c r="E1678" i="4"/>
  <c r="D1678" i="4"/>
  <c r="C1678" i="4"/>
  <c r="E1677" i="4"/>
  <c r="D1677" i="4"/>
  <c r="C1677" i="4"/>
  <c r="E1676" i="4"/>
  <c r="D1676" i="4"/>
  <c r="C1676" i="4"/>
  <c r="E1675" i="4"/>
  <c r="D1675" i="4"/>
  <c r="C1675" i="4"/>
  <c r="E1674" i="4"/>
  <c r="D1674" i="4"/>
  <c r="C1674" i="4"/>
  <c r="E1673" i="4"/>
  <c r="D1673" i="4"/>
  <c r="C1673" i="4"/>
  <c r="E1672" i="4"/>
  <c r="D1672" i="4"/>
  <c r="C1672" i="4"/>
  <c r="E1671" i="4"/>
  <c r="D1671" i="4"/>
  <c r="C1671" i="4"/>
  <c r="E1670" i="4"/>
  <c r="D1670" i="4"/>
  <c r="C1670" i="4"/>
  <c r="E1669" i="4"/>
  <c r="D1669" i="4"/>
  <c r="C1669" i="4"/>
  <c r="E1668" i="4"/>
  <c r="D1668" i="4"/>
  <c r="C1668" i="4"/>
  <c r="E1667" i="4"/>
  <c r="D1667" i="4"/>
  <c r="C1667" i="4"/>
  <c r="E1666" i="4"/>
  <c r="D1666" i="4"/>
  <c r="C1666" i="4"/>
  <c r="E1665" i="4"/>
  <c r="D1665" i="4"/>
  <c r="C1665" i="4"/>
  <c r="E1664" i="4"/>
  <c r="D1664" i="4"/>
  <c r="C1664" i="4"/>
  <c r="E1663" i="4"/>
  <c r="D1663" i="4"/>
  <c r="C1663" i="4"/>
  <c r="E1662" i="4"/>
  <c r="D1662" i="4"/>
  <c r="C1662" i="4"/>
  <c r="E1661" i="4"/>
  <c r="D1661" i="4"/>
  <c r="C1661" i="4"/>
  <c r="E1660" i="4"/>
  <c r="D1660" i="4"/>
  <c r="C1660" i="4"/>
  <c r="E1659" i="4"/>
  <c r="D1659" i="4"/>
  <c r="C1659" i="4"/>
  <c r="E1658" i="4"/>
  <c r="D1658" i="4"/>
  <c r="C1658" i="4"/>
  <c r="E1657" i="4"/>
  <c r="D1657" i="4"/>
  <c r="C1657" i="4"/>
  <c r="E1656" i="4"/>
  <c r="D1656" i="4"/>
  <c r="C1656" i="4"/>
  <c r="E1655" i="4"/>
  <c r="D1655" i="4"/>
  <c r="C1655" i="4"/>
  <c r="E1654" i="4"/>
  <c r="D1654" i="4"/>
  <c r="C1654" i="4"/>
  <c r="E1653" i="4"/>
  <c r="D1653" i="4"/>
  <c r="C1653" i="4"/>
  <c r="E1652" i="4"/>
  <c r="D1652" i="4"/>
  <c r="C1652" i="4"/>
  <c r="E1651" i="4"/>
  <c r="D1651" i="4"/>
  <c r="C1651" i="4"/>
  <c r="E1650" i="4"/>
  <c r="D1650" i="4"/>
  <c r="C1650" i="4"/>
  <c r="E1649" i="4"/>
  <c r="D1649" i="4"/>
  <c r="C1649" i="4"/>
  <c r="E1648" i="4"/>
  <c r="D1648" i="4"/>
  <c r="C1648" i="4"/>
  <c r="E1647" i="4"/>
  <c r="D1647" i="4"/>
  <c r="C1647" i="4"/>
  <c r="E1646" i="4"/>
  <c r="D1646" i="4"/>
  <c r="C1646" i="4"/>
  <c r="E1645" i="4"/>
  <c r="D1645" i="4"/>
  <c r="C1645" i="4"/>
  <c r="E1644" i="4"/>
  <c r="D1644" i="4"/>
  <c r="C1644" i="4"/>
  <c r="E1643" i="4"/>
  <c r="D1643" i="4"/>
  <c r="C1643" i="4"/>
  <c r="E1642" i="4"/>
  <c r="D1642" i="4"/>
  <c r="C1642" i="4"/>
  <c r="E1641" i="4"/>
  <c r="D1641" i="4"/>
  <c r="C1641" i="4"/>
  <c r="E1640" i="4"/>
  <c r="D1640" i="4"/>
  <c r="C1640" i="4"/>
  <c r="E1639" i="4"/>
  <c r="D1639" i="4"/>
  <c r="C1639" i="4"/>
  <c r="E1638" i="4"/>
  <c r="D1638" i="4"/>
  <c r="C1638" i="4"/>
  <c r="E1637" i="4"/>
  <c r="D1637" i="4"/>
  <c r="C1637" i="4"/>
  <c r="E1636" i="4"/>
  <c r="D1636" i="4"/>
  <c r="C1636" i="4"/>
  <c r="E1635" i="4"/>
  <c r="D1635" i="4"/>
  <c r="C1635" i="4"/>
  <c r="E1634" i="4"/>
  <c r="D1634" i="4"/>
  <c r="C1634" i="4"/>
  <c r="E1633" i="4"/>
  <c r="D1633" i="4"/>
  <c r="C1633" i="4"/>
  <c r="E1632" i="4"/>
  <c r="D1632" i="4"/>
  <c r="C1632" i="4"/>
  <c r="E1631" i="4"/>
  <c r="D1631" i="4"/>
  <c r="C1631" i="4"/>
  <c r="E1630" i="4"/>
  <c r="D1630" i="4"/>
  <c r="C1630" i="4"/>
  <c r="E1629" i="4"/>
  <c r="D1629" i="4"/>
  <c r="C1629" i="4"/>
  <c r="E1628" i="4"/>
  <c r="D1628" i="4"/>
  <c r="C1628" i="4"/>
  <c r="E1627" i="4"/>
  <c r="D1627" i="4"/>
  <c r="C1627" i="4"/>
  <c r="E1626" i="4"/>
  <c r="D1626" i="4"/>
  <c r="C1626" i="4"/>
  <c r="E1625" i="4"/>
  <c r="D1625" i="4"/>
  <c r="C1625" i="4"/>
  <c r="E1624" i="4"/>
  <c r="D1624" i="4"/>
  <c r="C1624" i="4"/>
  <c r="E1623" i="4"/>
  <c r="D1623" i="4"/>
  <c r="C1623" i="4"/>
  <c r="E1622" i="4"/>
  <c r="D1622" i="4"/>
  <c r="C1622" i="4"/>
  <c r="E1621" i="4"/>
  <c r="D1621" i="4"/>
  <c r="C1621" i="4"/>
  <c r="E1620" i="4"/>
  <c r="D1620" i="4"/>
  <c r="C1620" i="4"/>
  <c r="E1619" i="4"/>
  <c r="D1619" i="4"/>
  <c r="C1619" i="4"/>
  <c r="E1618" i="4"/>
  <c r="D1618" i="4"/>
  <c r="C1618" i="4"/>
  <c r="E1617" i="4"/>
  <c r="D1617" i="4"/>
  <c r="C1617" i="4"/>
  <c r="E1616" i="4"/>
  <c r="D1616" i="4"/>
  <c r="C1616" i="4"/>
  <c r="E1615" i="4"/>
  <c r="D1615" i="4"/>
  <c r="C1615" i="4"/>
  <c r="E1614" i="4"/>
  <c r="D1614" i="4"/>
  <c r="C1614" i="4"/>
  <c r="E1613" i="4"/>
  <c r="D1613" i="4"/>
  <c r="C1613" i="4"/>
  <c r="E1612" i="4"/>
  <c r="D1612" i="4"/>
  <c r="C1612" i="4"/>
  <c r="E1611" i="4"/>
  <c r="D1611" i="4"/>
  <c r="C1611" i="4"/>
  <c r="E1610" i="4"/>
  <c r="D1610" i="4"/>
  <c r="C1610" i="4"/>
  <c r="E1609" i="4"/>
  <c r="D1609" i="4"/>
  <c r="C1609" i="4"/>
  <c r="E1608" i="4"/>
  <c r="D1608" i="4"/>
  <c r="C1608" i="4"/>
  <c r="E1607" i="4"/>
  <c r="D1607" i="4"/>
  <c r="C1607" i="4"/>
  <c r="E1606" i="4"/>
  <c r="D1606" i="4"/>
  <c r="C1606" i="4"/>
  <c r="E1605" i="4"/>
  <c r="D1605" i="4"/>
  <c r="C1605" i="4"/>
  <c r="E1604" i="4"/>
  <c r="D1604" i="4"/>
  <c r="C1604" i="4"/>
  <c r="E1603" i="4"/>
  <c r="D1603" i="4"/>
  <c r="C1603" i="4"/>
  <c r="E1602" i="4"/>
  <c r="D1602" i="4"/>
  <c r="C1602" i="4"/>
  <c r="E1601" i="4"/>
  <c r="D1601" i="4"/>
  <c r="C1601" i="4"/>
  <c r="E1600" i="4"/>
  <c r="D1600" i="4"/>
  <c r="C1600" i="4"/>
  <c r="E1599" i="4"/>
  <c r="D1599" i="4"/>
  <c r="C1599" i="4"/>
  <c r="E1598" i="4"/>
  <c r="D1598" i="4"/>
  <c r="C1598" i="4"/>
  <c r="E1597" i="4"/>
  <c r="D1597" i="4"/>
  <c r="C1597" i="4"/>
  <c r="E1596" i="4"/>
  <c r="D1596" i="4"/>
  <c r="C1596" i="4"/>
  <c r="E1595" i="4"/>
  <c r="D1595" i="4"/>
  <c r="C1595" i="4"/>
  <c r="E1594" i="4"/>
  <c r="D1594" i="4"/>
  <c r="C1594" i="4"/>
  <c r="E1593" i="4"/>
  <c r="D1593" i="4"/>
  <c r="C1593" i="4"/>
  <c r="E1592" i="4"/>
  <c r="D1592" i="4"/>
  <c r="C1592" i="4"/>
  <c r="E1591" i="4"/>
  <c r="D1591" i="4"/>
  <c r="C1591" i="4"/>
  <c r="E1590" i="4"/>
  <c r="D1590" i="4"/>
  <c r="C1590" i="4"/>
  <c r="E1589" i="4"/>
  <c r="D1589" i="4"/>
  <c r="C1589" i="4"/>
  <c r="E1588" i="4"/>
  <c r="D1588" i="4"/>
  <c r="C1588" i="4"/>
  <c r="E1587" i="4"/>
  <c r="D1587" i="4"/>
  <c r="C1587" i="4"/>
  <c r="E1586" i="4"/>
  <c r="D1586" i="4"/>
  <c r="C1586" i="4"/>
  <c r="E1585" i="4"/>
  <c r="D1585" i="4"/>
  <c r="C1585" i="4"/>
  <c r="E1584" i="4"/>
  <c r="D1584" i="4"/>
  <c r="C1584" i="4"/>
  <c r="E1583" i="4"/>
  <c r="D1583" i="4"/>
  <c r="C1583" i="4"/>
  <c r="E1582" i="4"/>
  <c r="D1582" i="4"/>
  <c r="C1582" i="4"/>
  <c r="E1581" i="4"/>
  <c r="D1581" i="4"/>
  <c r="C1581" i="4"/>
  <c r="E1580" i="4"/>
  <c r="D1580" i="4"/>
  <c r="C1580" i="4"/>
  <c r="E1579" i="4"/>
  <c r="D1579" i="4"/>
  <c r="C1579" i="4"/>
  <c r="E1578" i="4"/>
  <c r="D1578" i="4"/>
  <c r="C1578" i="4"/>
  <c r="E1577" i="4"/>
  <c r="D1577" i="4"/>
  <c r="C1577" i="4"/>
  <c r="E1576" i="4"/>
  <c r="D1576" i="4"/>
  <c r="C1576" i="4"/>
  <c r="E1575" i="4"/>
  <c r="D1575" i="4"/>
  <c r="C1575" i="4"/>
  <c r="E1574" i="4"/>
  <c r="D1574" i="4"/>
  <c r="C1574" i="4"/>
  <c r="E1573" i="4"/>
  <c r="D1573" i="4"/>
  <c r="C1573" i="4"/>
  <c r="E1572" i="4"/>
  <c r="D1572" i="4"/>
  <c r="C1572" i="4"/>
  <c r="E1571" i="4"/>
  <c r="D1571" i="4"/>
  <c r="C1571" i="4"/>
  <c r="E1570" i="4"/>
  <c r="D1570" i="4"/>
  <c r="C1570" i="4"/>
  <c r="E1569" i="4"/>
  <c r="D1569" i="4"/>
  <c r="C1569" i="4"/>
  <c r="E1568" i="4"/>
  <c r="D1568" i="4"/>
  <c r="C1568" i="4"/>
  <c r="E1567" i="4"/>
  <c r="D1567" i="4"/>
  <c r="C1567" i="4"/>
  <c r="E1566" i="4"/>
  <c r="D1566" i="4"/>
  <c r="C1566" i="4"/>
  <c r="E1565" i="4"/>
  <c r="D1565" i="4"/>
  <c r="C1565" i="4"/>
  <c r="E1564" i="4"/>
  <c r="D1564" i="4"/>
  <c r="C1564" i="4"/>
  <c r="E1563" i="4"/>
  <c r="D1563" i="4"/>
  <c r="C1563" i="4"/>
  <c r="E1562" i="4"/>
  <c r="D1562" i="4"/>
  <c r="C1562" i="4"/>
  <c r="E1561" i="4"/>
  <c r="D1561" i="4"/>
  <c r="C1561" i="4"/>
  <c r="E1560" i="4"/>
  <c r="D1560" i="4"/>
  <c r="C1560" i="4"/>
  <c r="E1559" i="4"/>
  <c r="D1559" i="4"/>
  <c r="C1559" i="4"/>
  <c r="E1558" i="4"/>
  <c r="D1558" i="4"/>
  <c r="C1558" i="4"/>
  <c r="E1557" i="4"/>
  <c r="D1557" i="4"/>
  <c r="C1557" i="4"/>
  <c r="E1556" i="4"/>
  <c r="D1556" i="4"/>
  <c r="C1556" i="4"/>
  <c r="E1555" i="4"/>
  <c r="D1555" i="4"/>
  <c r="C1555" i="4"/>
  <c r="E1554" i="4"/>
  <c r="D1554" i="4"/>
  <c r="C1554" i="4"/>
  <c r="E1553" i="4"/>
  <c r="D1553" i="4"/>
  <c r="C1553" i="4"/>
  <c r="E1552" i="4"/>
  <c r="D1552" i="4"/>
  <c r="C1552" i="4"/>
  <c r="E1551" i="4"/>
  <c r="D1551" i="4"/>
  <c r="C1551" i="4"/>
  <c r="E1550" i="4"/>
  <c r="D1550" i="4"/>
  <c r="C1550" i="4"/>
  <c r="E1549" i="4"/>
  <c r="D1549" i="4"/>
  <c r="C1549" i="4"/>
  <c r="E1548" i="4"/>
  <c r="D1548" i="4"/>
  <c r="C1548" i="4"/>
  <c r="E1547" i="4"/>
  <c r="D1547" i="4"/>
  <c r="C1547" i="4"/>
  <c r="E1546" i="4"/>
  <c r="D1546" i="4"/>
  <c r="C1546" i="4"/>
  <c r="E1545" i="4"/>
  <c r="D1545" i="4"/>
  <c r="C1545" i="4"/>
  <c r="E1544" i="4"/>
  <c r="D1544" i="4"/>
  <c r="C1544" i="4"/>
  <c r="E1543" i="4"/>
  <c r="D1543" i="4"/>
  <c r="C1543" i="4"/>
  <c r="E1542" i="4"/>
  <c r="D1542" i="4"/>
  <c r="C1542" i="4"/>
  <c r="E1541" i="4"/>
  <c r="D1541" i="4"/>
  <c r="C1541" i="4"/>
  <c r="E1540" i="4"/>
  <c r="D1540" i="4"/>
  <c r="C1540" i="4"/>
  <c r="E1539" i="4"/>
  <c r="D1539" i="4"/>
  <c r="C1539" i="4"/>
  <c r="E1538" i="4"/>
  <c r="D1538" i="4"/>
  <c r="C1538" i="4"/>
  <c r="E1537" i="4"/>
  <c r="D1537" i="4"/>
  <c r="C1537" i="4"/>
  <c r="E1536" i="4"/>
  <c r="D1536" i="4"/>
  <c r="C1536" i="4"/>
  <c r="E1535" i="4"/>
  <c r="D1535" i="4"/>
  <c r="C1535" i="4"/>
  <c r="E1534" i="4"/>
  <c r="D1534" i="4"/>
  <c r="C1534" i="4"/>
  <c r="E1533" i="4"/>
  <c r="D1533" i="4"/>
  <c r="C1533" i="4"/>
  <c r="E1532" i="4"/>
  <c r="D1532" i="4"/>
  <c r="C1532" i="4"/>
  <c r="E1531" i="4"/>
  <c r="D1531" i="4"/>
  <c r="C1531" i="4"/>
  <c r="E1530" i="4"/>
  <c r="D1530" i="4"/>
  <c r="C1530" i="4"/>
  <c r="E1529" i="4"/>
  <c r="D1529" i="4"/>
  <c r="C1529" i="4"/>
  <c r="E1528" i="4"/>
  <c r="D1528" i="4"/>
  <c r="C1528" i="4"/>
  <c r="E1527" i="4"/>
  <c r="D1527" i="4"/>
  <c r="C1527" i="4"/>
  <c r="E1526" i="4"/>
  <c r="D1526" i="4"/>
  <c r="C1526" i="4"/>
  <c r="E1525" i="4"/>
  <c r="D1525" i="4"/>
  <c r="C1525" i="4"/>
  <c r="E1524" i="4"/>
  <c r="D1524" i="4"/>
  <c r="C1524" i="4"/>
  <c r="E1523" i="4"/>
  <c r="D1523" i="4"/>
  <c r="C1523" i="4"/>
  <c r="E1522" i="4"/>
  <c r="D1522" i="4"/>
  <c r="C1522" i="4"/>
  <c r="E1521" i="4"/>
  <c r="D1521" i="4"/>
  <c r="C1521" i="4"/>
  <c r="E1520" i="4"/>
  <c r="D1520" i="4"/>
  <c r="C1520" i="4"/>
  <c r="E1519" i="4"/>
  <c r="D1519" i="4"/>
  <c r="C1519" i="4"/>
  <c r="E1518" i="4"/>
  <c r="D1518" i="4"/>
  <c r="C1518" i="4"/>
  <c r="E1517" i="4"/>
  <c r="D1517" i="4"/>
  <c r="C1517" i="4"/>
  <c r="E1516" i="4"/>
  <c r="D1516" i="4"/>
  <c r="C1516" i="4"/>
  <c r="E1515" i="4"/>
  <c r="D1515" i="4"/>
  <c r="C1515" i="4"/>
  <c r="E1514" i="4"/>
  <c r="D1514" i="4"/>
  <c r="C1514" i="4"/>
  <c r="E1513" i="4"/>
  <c r="D1513" i="4"/>
  <c r="C1513" i="4"/>
  <c r="E1512" i="4"/>
  <c r="D1512" i="4"/>
  <c r="C1512" i="4"/>
  <c r="E1511" i="4"/>
  <c r="D1511" i="4"/>
  <c r="C1511" i="4"/>
  <c r="E1510" i="4"/>
  <c r="D1510" i="4"/>
  <c r="C1510" i="4"/>
  <c r="E1509" i="4"/>
  <c r="D1509" i="4"/>
  <c r="C1509" i="4"/>
  <c r="E1508" i="4"/>
  <c r="D1508" i="4"/>
  <c r="C1508" i="4"/>
  <c r="E1507" i="4"/>
  <c r="D1507" i="4"/>
  <c r="C1507" i="4"/>
  <c r="E1506" i="4"/>
  <c r="D1506" i="4"/>
  <c r="C1506" i="4"/>
  <c r="E1505" i="4"/>
  <c r="D1505" i="4"/>
  <c r="C1505" i="4"/>
  <c r="E1504" i="4"/>
  <c r="D1504" i="4"/>
  <c r="C1504" i="4"/>
  <c r="E1503" i="4"/>
  <c r="D1503" i="4"/>
  <c r="C1503" i="4"/>
  <c r="E1502" i="4"/>
  <c r="D1502" i="4"/>
  <c r="C1502" i="4"/>
  <c r="E1501" i="4"/>
  <c r="D1501" i="4"/>
  <c r="C1501" i="4"/>
  <c r="E1500" i="4"/>
  <c r="D1500" i="4"/>
  <c r="C1500" i="4"/>
  <c r="E1499" i="4"/>
  <c r="D1499" i="4"/>
  <c r="C1499" i="4"/>
  <c r="E1498" i="4"/>
  <c r="D1498" i="4"/>
  <c r="C1498" i="4"/>
  <c r="E1497" i="4"/>
  <c r="D1497" i="4"/>
  <c r="C1497" i="4"/>
  <c r="E1496" i="4"/>
  <c r="D1496" i="4"/>
  <c r="C1496" i="4"/>
  <c r="E1495" i="4"/>
  <c r="D1495" i="4"/>
  <c r="C1495" i="4"/>
  <c r="E1494" i="4"/>
  <c r="D1494" i="4"/>
  <c r="C1494" i="4"/>
  <c r="E1493" i="4"/>
  <c r="D1493" i="4"/>
  <c r="C1493" i="4"/>
  <c r="E1492" i="4"/>
  <c r="D1492" i="4"/>
  <c r="C1492" i="4"/>
  <c r="E1491" i="4"/>
  <c r="D1491" i="4"/>
  <c r="C1491" i="4"/>
  <c r="E1490" i="4"/>
  <c r="D1490" i="4"/>
  <c r="C1490" i="4"/>
  <c r="E1489" i="4"/>
  <c r="D1489" i="4"/>
  <c r="C1489" i="4"/>
  <c r="E1488" i="4"/>
  <c r="D1488" i="4"/>
  <c r="C1488" i="4"/>
  <c r="E1487" i="4"/>
  <c r="D1487" i="4"/>
  <c r="C1487" i="4"/>
  <c r="E1486" i="4"/>
  <c r="D1486" i="4"/>
  <c r="C1486" i="4"/>
  <c r="E1485" i="4"/>
  <c r="D1485" i="4"/>
  <c r="C1485" i="4"/>
  <c r="E1484" i="4"/>
  <c r="D1484" i="4"/>
  <c r="C1484" i="4"/>
  <c r="E1483" i="4"/>
  <c r="D1483" i="4"/>
  <c r="C1483" i="4"/>
  <c r="E1482" i="4"/>
  <c r="D1482" i="4"/>
  <c r="C1482" i="4"/>
  <c r="E1481" i="4"/>
  <c r="D1481" i="4"/>
  <c r="C1481" i="4"/>
  <c r="E1480" i="4"/>
  <c r="D1480" i="4"/>
  <c r="C1480" i="4"/>
  <c r="E1479" i="4"/>
  <c r="D1479" i="4"/>
  <c r="C1479" i="4"/>
  <c r="E1478" i="4"/>
  <c r="D1478" i="4"/>
  <c r="C1478" i="4"/>
  <c r="E1477" i="4"/>
  <c r="D1477" i="4"/>
  <c r="C1477" i="4"/>
  <c r="E1476" i="4"/>
  <c r="D1476" i="4"/>
  <c r="C1476" i="4"/>
  <c r="E1475" i="4"/>
  <c r="D1475" i="4"/>
  <c r="C1475" i="4"/>
  <c r="E1474" i="4"/>
  <c r="D1474" i="4"/>
  <c r="C1474" i="4"/>
  <c r="E1473" i="4"/>
  <c r="D1473" i="4"/>
  <c r="C1473" i="4"/>
  <c r="E1472" i="4"/>
  <c r="D1472" i="4"/>
  <c r="C1472" i="4"/>
  <c r="E1471" i="4"/>
  <c r="D1471" i="4"/>
  <c r="C1471" i="4"/>
  <c r="E1470" i="4"/>
  <c r="D1470" i="4"/>
  <c r="C1470" i="4"/>
  <c r="E1469" i="4"/>
  <c r="D1469" i="4"/>
  <c r="C1469" i="4"/>
  <c r="E1468" i="4"/>
  <c r="D1468" i="4"/>
  <c r="C1468" i="4"/>
  <c r="E1467" i="4"/>
  <c r="D1467" i="4"/>
  <c r="C1467" i="4"/>
  <c r="E1466" i="4"/>
  <c r="D1466" i="4"/>
  <c r="C1466" i="4"/>
  <c r="E1465" i="4"/>
  <c r="D1465" i="4"/>
  <c r="C1465" i="4"/>
  <c r="E1464" i="4"/>
  <c r="D1464" i="4"/>
  <c r="C1464" i="4"/>
  <c r="E1463" i="4"/>
  <c r="D1463" i="4"/>
  <c r="C1463" i="4"/>
  <c r="E1462" i="4"/>
  <c r="D1462" i="4"/>
  <c r="C1462" i="4"/>
  <c r="E1461" i="4"/>
  <c r="D1461" i="4"/>
  <c r="C1461" i="4"/>
  <c r="E1460" i="4"/>
  <c r="D1460" i="4"/>
  <c r="C1460" i="4"/>
  <c r="E1459" i="4"/>
  <c r="D1459" i="4"/>
  <c r="C1459" i="4"/>
  <c r="E1458" i="4"/>
  <c r="D1458" i="4"/>
  <c r="C1458" i="4"/>
  <c r="E1457" i="4"/>
  <c r="D1457" i="4"/>
  <c r="C1457" i="4"/>
  <c r="E1456" i="4"/>
  <c r="D1456" i="4"/>
  <c r="C1456" i="4"/>
  <c r="E1455" i="4"/>
  <c r="D1455" i="4"/>
  <c r="C1455" i="4"/>
  <c r="E1454" i="4"/>
  <c r="D1454" i="4"/>
  <c r="C1454" i="4"/>
  <c r="E1453" i="4"/>
  <c r="D1453" i="4"/>
  <c r="C1453" i="4"/>
  <c r="E1452" i="4"/>
  <c r="D1452" i="4"/>
  <c r="C1452" i="4"/>
  <c r="E1451" i="4"/>
  <c r="D1451" i="4"/>
  <c r="C1451" i="4"/>
  <c r="E1450" i="4"/>
  <c r="D1450" i="4"/>
  <c r="C1450" i="4"/>
  <c r="E1449" i="4"/>
  <c r="D1449" i="4"/>
  <c r="C1449" i="4"/>
  <c r="E1448" i="4"/>
  <c r="D1448" i="4"/>
  <c r="C1448" i="4"/>
  <c r="E1447" i="4"/>
  <c r="D1447" i="4"/>
  <c r="C1447" i="4"/>
  <c r="E1446" i="4"/>
  <c r="D1446" i="4"/>
  <c r="C1446" i="4"/>
  <c r="E1445" i="4"/>
  <c r="D1445" i="4"/>
  <c r="C1445" i="4"/>
  <c r="E1444" i="4"/>
  <c r="D1444" i="4"/>
  <c r="C1444" i="4"/>
  <c r="E1443" i="4"/>
  <c r="D1443" i="4"/>
  <c r="C1443" i="4"/>
  <c r="E1442" i="4"/>
  <c r="D1442" i="4"/>
  <c r="C1442" i="4"/>
  <c r="E1441" i="4"/>
  <c r="D1441" i="4"/>
  <c r="C1441" i="4"/>
  <c r="E1440" i="4"/>
  <c r="D1440" i="4"/>
  <c r="C1440" i="4"/>
  <c r="E1439" i="4"/>
  <c r="D1439" i="4"/>
  <c r="C1439" i="4"/>
  <c r="E1438" i="4"/>
  <c r="D1438" i="4"/>
  <c r="C1438" i="4"/>
  <c r="E1437" i="4"/>
  <c r="D1437" i="4"/>
  <c r="C1437" i="4"/>
  <c r="E1436" i="4"/>
  <c r="D1436" i="4"/>
  <c r="C1436" i="4"/>
  <c r="E1435" i="4"/>
  <c r="D1435" i="4"/>
  <c r="C1435" i="4"/>
  <c r="E1434" i="4"/>
  <c r="D1434" i="4"/>
  <c r="C1434" i="4"/>
  <c r="E1433" i="4"/>
  <c r="D1433" i="4"/>
  <c r="C1433" i="4"/>
  <c r="E1432" i="4"/>
  <c r="D1432" i="4"/>
  <c r="C1432" i="4"/>
  <c r="E1431" i="4"/>
  <c r="D1431" i="4"/>
  <c r="C1431" i="4"/>
  <c r="E1430" i="4"/>
  <c r="D1430" i="4"/>
  <c r="C1430" i="4"/>
  <c r="E1429" i="4"/>
  <c r="D1429" i="4"/>
  <c r="C1429" i="4"/>
  <c r="E1428" i="4"/>
  <c r="D1428" i="4"/>
  <c r="C1428" i="4"/>
  <c r="E1427" i="4"/>
  <c r="D1427" i="4"/>
  <c r="C1427" i="4"/>
  <c r="E1426" i="4"/>
  <c r="D1426" i="4"/>
  <c r="C1426" i="4"/>
  <c r="E1425" i="4"/>
  <c r="D1425" i="4"/>
  <c r="C1425" i="4"/>
  <c r="E1424" i="4"/>
  <c r="D1424" i="4"/>
  <c r="C1424" i="4"/>
  <c r="E1423" i="4"/>
  <c r="D1423" i="4"/>
  <c r="C1423" i="4"/>
  <c r="E1422" i="4"/>
  <c r="D1422" i="4"/>
  <c r="C1422" i="4"/>
  <c r="E1421" i="4"/>
  <c r="D1421" i="4"/>
  <c r="C1421" i="4"/>
  <c r="E1420" i="4"/>
  <c r="D1420" i="4"/>
  <c r="C1420" i="4"/>
  <c r="E1419" i="4"/>
  <c r="D1419" i="4"/>
  <c r="C1419" i="4"/>
  <c r="E1418" i="4"/>
  <c r="D1418" i="4"/>
  <c r="C1418" i="4"/>
  <c r="E1417" i="4"/>
  <c r="D1417" i="4"/>
  <c r="C1417" i="4"/>
  <c r="E1416" i="4"/>
  <c r="D1416" i="4"/>
  <c r="C1416" i="4"/>
  <c r="E1415" i="4"/>
  <c r="D1415" i="4"/>
  <c r="C1415" i="4"/>
  <c r="E1414" i="4"/>
  <c r="D1414" i="4"/>
  <c r="C1414" i="4"/>
  <c r="E1413" i="4"/>
  <c r="D1413" i="4"/>
  <c r="C1413" i="4"/>
  <c r="E1412" i="4"/>
  <c r="D1412" i="4"/>
  <c r="C1412" i="4"/>
  <c r="E1411" i="4"/>
  <c r="D1411" i="4"/>
  <c r="C1411" i="4"/>
  <c r="E1410" i="4"/>
  <c r="D1410" i="4"/>
  <c r="C1410" i="4"/>
  <c r="E1409" i="4"/>
  <c r="D1409" i="4"/>
  <c r="C1409" i="4"/>
  <c r="E1408" i="4"/>
  <c r="D1408" i="4"/>
  <c r="C1408" i="4"/>
  <c r="E1407" i="4"/>
  <c r="D1407" i="4"/>
  <c r="C1407" i="4"/>
  <c r="E1406" i="4"/>
  <c r="D1406" i="4"/>
  <c r="C1406" i="4"/>
  <c r="E1405" i="4"/>
  <c r="D1405" i="4"/>
  <c r="C1405" i="4"/>
  <c r="E1404" i="4"/>
  <c r="D1404" i="4"/>
  <c r="C1404" i="4"/>
  <c r="E1403" i="4"/>
  <c r="D1403" i="4"/>
  <c r="C1403" i="4"/>
  <c r="E1402" i="4"/>
  <c r="D1402" i="4"/>
  <c r="C1402" i="4"/>
  <c r="E1401" i="4"/>
  <c r="D1401" i="4"/>
  <c r="C1401" i="4"/>
  <c r="E1400" i="4"/>
  <c r="D1400" i="4"/>
  <c r="C1400" i="4"/>
  <c r="E1399" i="4"/>
  <c r="D1399" i="4"/>
  <c r="C1399" i="4"/>
  <c r="E1398" i="4"/>
  <c r="D1398" i="4"/>
  <c r="C1398" i="4"/>
  <c r="E1397" i="4"/>
  <c r="D1397" i="4"/>
  <c r="C1397" i="4"/>
  <c r="E1396" i="4"/>
  <c r="D1396" i="4"/>
  <c r="C1396" i="4"/>
  <c r="E1395" i="4"/>
  <c r="D1395" i="4"/>
  <c r="C1395" i="4"/>
  <c r="E1394" i="4"/>
  <c r="D1394" i="4"/>
  <c r="C1394" i="4"/>
  <c r="E1393" i="4"/>
  <c r="D1393" i="4"/>
  <c r="C1393" i="4"/>
  <c r="E1392" i="4"/>
  <c r="D1392" i="4"/>
  <c r="C1392" i="4"/>
  <c r="E1391" i="4"/>
  <c r="D1391" i="4"/>
  <c r="C1391" i="4"/>
  <c r="E1390" i="4"/>
  <c r="D1390" i="4"/>
  <c r="C1390" i="4"/>
  <c r="E1389" i="4"/>
  <c r="D1389" i="4"/>
  <c r="C1389" i="4"/>
  <c r="E1388" i="4"/>
  <c r="D1388" i="4"/>
  <c r="C1388" i="4"/>
  <c r="E1387" i="4"/>
  <c r="D1387" i="4"/>
  <c r="C1387" i="4"/>
  <c r="E1386" i="4"/>
  <c r="D1386" i="4"/>
  <c r="C1386" i="4"/>
  <c r="E1385" i="4"/>
  <c r="D1385" i="4"/>
  <c r="C1385" i="4"/>
  <c r="E1384" i="4"/>
  <c r="D1384" i="4"/>
  <c r="C1384" i="4"/>
  <c r="E1383" i="4"/>
  <c r="D1383" i="4"/>
  <c r="C1383" i="4"/>
  <c r="E1382" i="4"/>
  <c r="D1382" i="4"/>
  <c r="C1382" i="4"/>
  <c r="E1381" i="4"/>
  <c r="D1381" i="4"/>
  <c r="C1381" i="4"/>
  <c r="E1380" i="4"/>
  <c r="D1380" i="4"/>
  <c r="C1380" i="4"/>
  <c r="E1379" i="4"/>
  <c r="D1379" i="4"/>
  <c r="C1379" i="4"/>
  <c r="E1378" i="4"/>
  <c r="D1378" i="4"/>
  <c r="C1378" i="4"/>
  <c r="E1377" i="4"/>
  <c r="D1377" i="4"/>
  <c r="C1377" i="4"/>
  <c r="E1376" i="4"/>
  <c r="D1376" i="4"/>
  <c r="C1376" i="4"/>
  <c r="E1375" i="4"/>
  <c r="D1375" i="4"/>
  <c r="C1375" i="4"/>
  <c r="E1374" i="4"/>
  <c r="D1374" i="4"/>
  <c r="C1374" i="4"/>
  <c r="E1373" i="4"/>
  <c r="D1373" i="4"/>
  <c r="C1373" i="4"/>
  <c r="E1372" i="4"/>
  <c r="D1372" i="4"/>
  <c r="C1372" i="4"/>
  <c r="E1371" i="4"/>
  <c r="D1371" i="4"/>
  <c r="C1371" i="4"/>
  <c r="E1370" i="4"/>
  <c r="D1370" i="4"/>
  <c r="C1370" i="4"/>
  <c r="E1369" i="4"/>
  <c r="D1369" i="4"/>
  <c r="C1369" i="4"/>
  <c r="E1368" i="4"/>
  <c r="D1368" i="4"/>
  <c r="C1368" i="4"/>
  <c r="E1367" i="4"/>
  <c r="D1367" i="4"/>
  <c r="C1367" i="4"/>
  <c r="E1366" i="4"/>
  <c r="D1366" i="4"/>
  <c r="C1366" i="4"/>
  <c r="E1365" i="4"/>
  <c r="D1365" i="4"/>
  <c r="C1365" i="4"/>
  <c r="E1364" i="4"/>
  <c r="D1364" i="4"/>
  <c r="C1364" i="4"/>
  <c r="E1363" i="4"/>
  <c r="D1363" i="4"/>
  <c r="C1363" i="4"/>
  <c r="E1362" i="4"/>
  <c r="D1362" i="4"/>
  <c r="C1362" i="4"/>
  <c r="E1361" i="4"/>
  <c r="D1361" i="4"/>
  <c r="C1361" i="4"/>
  <c r="E1360" i="4"/>
  <c r="D1360" i="4"/>
  <c r="C1360" i="4"/>
  <c r="E1359" i="4"/>
  <c r="D1359" i="4"/>
  <c r="C1359" i="4"/>
  <c r="E1358" i="4"/>
  <c r="D1358" i="4"/>
  <c r="C1358" i="4"/>
  <c r="E1357" i="4"/>
  <c r="D1357" i="4"/>
  <c r="C1357" i="4"/>
  <c r="E1356" i="4"/>
  <c r="D1356" i="4"/>
  <c r="C1356" i="4"/>
  <c r="E1355" i="4"/>
  <c r="D1355" i="4"/>
  <c r="C1355" i="4"/>
  <c r="E1354" i="4"/>
  <c r="D1354" i="4"/>
  <c r="C1354" i="4"/>
  <c r="E1353" i="4"/>
  <c r="D1353" i="4"/>
  <c r="C1353" i="4"/>
  <c r="E1352" i="4"/>
  <c r="D1352" i="4"/>
  <c r="C1352" i="4"/>
  <c r="E1351" i="4"/>
  <c r="D1351" i="4"/>
  <c r="C1351" i="4"/>
  <c r="E1350" i="4"/>
  <c r="D1350" i="4"/>
  <c r="C1350" i="4"/>
  <c r="E1349" i="4"/>
  <c r="D1349" i="4"/>
  <c r="C1349" i="4"/>
  <c r="E1348" i="4"/>
  <c r="D1348" i="4"/>
  <c r="C1348" i="4"/>
  <c r="E1347" i="4"/>
  <c r="D1347" i="4"/>
  <c r="C1347" i="4"/>
  <c r="E1346" i="4"/>
  <c r="D1346" i="4"/>
  <c r="C1346" i="4"/>
  <c r="E1345" i="4"/>
  <c r="D1345" i="4"/>
  <c r="C1345" i="4"/>
  <c r="E1344" i="4"/>
  <c r="D1344" i="4"/>
  <c r="C1344" i="4"/>
  <c r="E1343" i="4"/>
  <c r="D1343" i="4"/>
  <c r="C1343" i="4"/>
  <c r="E1342" i="4"/>
  <c r="D1342" i="4"/>
  <c r="C1342" i="4"/>
  <c r="E1341" i="4"/>
  <c r="D1341" i="4"/>
  <c r="C1341" i="4"/>
  <c r="E1340" i="4"/>
  <c r="D1340" i="4"/>
  <c r="C1340" i="4"/>
  <c r="E1339" i="4"/>
  <c r="D1339" i="4"/>
  <c r="C1339" i="4"/>
  <c r="E1338" i="4"/>
  <c r="D1338" i="4"/>
  <c r="C1338" i="4"/>
  <c r="E1337" i="4"/>
  <c r="D1337" i="4"/>
  <c r="C1337" i="4"/>
  <c r="E1336" i="4"/>
  <c r="D1336" i="4"/>
  <c r="C1336" i="4"/>
  <c r="E1335" i="4"/>
  <c r="D1335" i="4"/>
  <c r="C1335" i="4"/>
  <c r="E1334" i="4"/>
  <c r="D1334" i="4"/>
  <c r="C1334" i="4"/>
  <c r="E1333" i="4"/>
  <c r="D1333" i="4"/>
  <c r="C1333" i="4"/>
  <c r="E1332" i="4"/>
  <c r="D1332" i="4"/>
  <c r="C1332" i="4"/>
  <c r="E1331" i="4"/>
  <c r="D1331" i="4"/>
  <c r="C1331" i="4"/>
  <c r="E1330" i="4"/>
  <c r="D1330" i="4"/>
  <c r="C1330" i="4"/>
  <c r="E1329" i="4"/>
  <c r="D1329" i="4"/>
  <c r="C1329" i="4"/>
  <c r="E1328" i="4"/>
  <c r="D1328" i="4"/>
  <c r="C1328" i="4"/>
  <c r="E1327" i="4"/>
  <c r="D1327" i="4"/>
  <c r="C1327" i="4"/>
  <c r="E1326" i="4"/>
  <c r="D1326" i="4"/>
  <c r="C1326" i="4"/>
  <c r="E1325" i="4"/>
  <c r="D1325" i="4"/>
  <c r="C1325" i="4"/>
  <c r="E1324" i="4"/>
  <c r="D1324" i="4"/>
  <c r="C1324" i="4"/>
  <c r="E1323" i="4"/>
  <c r="D1323" i="4"/>
  <c r="C1323" i="4"/>
  <c r="E1322" i="4"/>
  <c r="D1322" i="4"/>
  <c r="C1322" i="4"/>
  <c r="E1321" i="4"/>
  <c r="D1321" i="4"/>
  <c r="C1321" i="4"/>
  <c r="E1320" i="4"/>
  <c r="D1320" i="4"/>
  <c r="C1320" i="4"/>
  <c r="E1319" i="4"/>
  <c r="D1319" i="4"/>
  <c r="C1319" i="4"/>
  <c r="E1318" i="4"/>
  <c r="D1318" i="4"/>
  <c r="C1318" i="4"/>
  <c r="E1317" i="4"/>
  <c r="D1317" i="4"/>
  <c r="C1317" i="4"/>
  <c r="E1316" i="4"/>
  <c r="D1316" i="4"/>
  <c r="C1316" i="4"/>
  <c r="E1315" i="4"/>
  <c r="D1315" i="4"/>
  <c r="C1315" i="4"/>
  <c r="E1314" i="4"/>
  <c r="D1314" i="4"/>
  <c r="C1314" i="4"/>
  <c r="E1313" i="4"/>
  <c r="D1313" i="4"/>
  <c r="C1313" i="4"/>
  <c r="E1312" i="4"/>
  <c r="D1312" i="4"/>
  <c r="C1312" i="4"/>
  <c r="E1311" i="4"/>
  <c r="D1311" i="4"/>
  <c r="C1311" i="4"/>
  <c r="E1310" i="4"/>
  <c r="D1310" i="4"/>
  <c r="C1310" i="4"/>
  <c r="E1309" i="4"/>
  <c r="D1309" i="4"/>
  <c r="C1309" i="4"/>
  <c r="E1308" i="4"/>
  <c r="D1308" i="4"/>
  <c r="C1308" i="4"/>
  <c r="E1307" i="4"/>
  <c r="D1307" i="4"/>
  <c r="C1307" i="4"/>
  <c r="E1306" i="4"/>
  <c r="D1306" i="4"/>
  <c r="C1306" i="4"/>
  <c r="E1305" i="4"/>
  <c r="D1305" i="4"/>
  <c r="C1305" i="4"/>
  <c r="E1304" i="4"/>
  <c r="D1304" i="4"/>
  <c r="C1304" i="4"/>
  <c r="E1303" i="4"/>
  <c r="D1303" i="4"/>
  <c r="C1303" i="4"/>
  <c r="E1302" i="4"/>
  <c r="D1302" i="4"/>
  <c r="C1302" i="4"/>
  <c r="E1301" i="4"/>
  <c r="D1301" i="4"/>
  <c r="C1301" i="4"/>
  <c r="E1300" i="4"/>
  <c r="D1300" i="4"/>
  <c r="C1300" i="4"/>
  <c r="E1299" i="4"/>
  <c r="D1299" i="4"/>
  <c r="C1299" i="4"/>
  <c r="E1298" i="4"/>
  <c r="D1298" i="4"/>
  <c r="C1298" i="4"/>
  <c r="E1297" i="4"/>
  <c r="D1297" i="4"/>
  <c r="C1297" i="4"/>
  <c r="E1296" i="4"/>
  <c r="D1296" i="4"/>
  <c r="C1296" i="4"/>
  <c r="E1295" i="4"/>
  <c r="D1295" i="4"/>
  <c r="C1295" i="4"/>
  <c r="E1294" i="4"/>
  <c r="D1294" i="4"/>
  <c r="C1294" i="4"/>
  <c r="E1293" i="4"/>
  <c r="D1293" i="4"/>
  <c r="C1293" i="4"/>
  <c r="E1292" i="4"/>
  <c r="D1292" i="4"/>
  <c r="C1292" i="4"/>
  <c r="E1291" i="4"/>
  <c r="D1291" i="4"/>
  <c r="C1291" i="4"/>
  <c r="E1290" i="4"/>
  <c r="D1290" i="4"/>
  <c r="C1290" i="4"/>
  <c r="E1289" i="4"/>
  <c r="D1289" i="4"/>
  <c r="C1289" i="4"/>
  <c r="E1288" i="4"/>
  <c r="D1288" i="4"/>
  <c r="C1288" i="4"/>
  <c r="E1287" i="4"/>
  <c r="D1287" i="4"/>
  <c r="C1287" i="4"/>
  <c r="E1286" i="4"/>
  <c r="D1286" i="4"/>
  <c r="C1286" i="4"/>
  <c r="E1285" i="4"/>
  <c r="D1285" i="4"/>
  <c r="C1285" i="4"/>
  <c r="E1284" i="4"/>
  <c r="D1284" i="4"/>
  <c r="C1284" i="4"/>
  <c r="E1283" i="4"/>
  <c r="D1283" i="4"/>
  <c r="C1283" i="4"/>
  <c r="E1282" i="4"/>
  <c r="D1282" i="4"/>
  <c r="C1282" i="4"/>
  <c r="E1281" i="4"/>
  <c r="D1281" i="4"/>
  <c r="C1281" i="4"/>
  <c r="E1280" i="4"/>
  <c r="D1280" i="4"/>
  <c r="C1280" i="4"/>
  <c r="E1279" i="4"/>
  <c r="D1279" i="4"/>
  <c r="C1279" i="4"/>
  <c r="E1278" i="4"/>
  <c r="D1278" i="4"/>
  <c r="C1278" i="4"/>
  <c r="E1277" i="4"/>
  <c r="D1277" i="4"/>
  <c r="C1277" i="4"/>
  <c r="E1276" i="4"/>
  <c r="D1276" i="4"/>
  <c r="C1276" i="4"/>
  <c r="E1275" i="4"/>
  <c r="D1275" i="4"/>
  <c r="C1275" i="4"/>
  <c r="E1274" i="4"/>
  <c r="D1274" i="4"/>
  <c r="C1274" i="4"/>
  <c r="E1273" i="4"/>
  <c r="D1273" i="4"/>
  <c r="C1273" i="4"/>
  <c r="E1272" i="4"/>
  <c r="D1272" i="4"/>
  <c r="C1272" i="4"/>
  <c r="E1271" i="4"/>
  <c r="D1271" i="4"/>
  <c r="C1271" i="4"/>
  <c r="E1270" i="4"/>
  <c r="D1270" i="4"/>
  <c r="C1270" i="4"/>
  <c r="E1269" i="4"/>
  <c r="D1269" i="4"/>
  <c r="C1269" i="4"/>
  <c r="E1268" i="4"/>
  <c r="D1268" i="4"/>
  <c r="C1268" i="4"/>
  <c r="E1267" i="4"/>
  <c r="D1267" i="4"/>
  <c r="C1267" i="4"/>
  <c r="E1266" i="4"/>
  <c r="D1266" i="4"/>
  <c r="C1266" i="4"/>
  <c r="E1265" i="4"/>
  <c r="D1265" i="4"/>
  <c r="C1265" i="4"/>
  <c r="E1264" i="4"/>
  <c r="D1264" i="4"/>
  <c r="C1264" i="4"/>
  <c r="E1263" i="4"/>
  <c r="D1263" i="4"/>
  <c r="C1263" i="4"/>
  <c r="E1262" i="4"/>
  <c r="D1262" i="4"/>
  <c r="C1262" i="4"/>
  <c r="E1261" i="4"/>
  <c r="D1261" i="4"/>
  <c r="C1261" i="4"/>
  <c r="E1260" i="4"/>
  <c r="D1260" i="4"/>
  <c r="C1260" i="4"/>
  <c r="E1259" i="4"/>
  <c r="D1259" i="4"/>
  <c r="C1259" i="4"/>
  <c r="E1258" i="4"/>
  <c r="D1258" i="4"/>
  <c r="C1258" i="4"/>
  <c r="E1257" i="4"/>
  <c r="D1257" i="4"/>
  <c r="C1257" i="4"/>
  <c r="E1256" i="4"/>
  <c r="D1256" i="4"/>
  <c r="C1256" i="4"/>
  <c r="E1255" i="4"/>
  <c r="D1255" i="4"/>
  <c r="C1255" i="4"/>
  <c r="E1254" i="4"/>
  <c r="D1254" i="4"/>
  <c r="C1254" i="4"/>
  <c r="E1253" i="4"/>
  <c r="D1253" i="4"/>
  <c r="C1253" i="4"/>
  <c r="E1252" i="4"/>
  <c r="D1252" i="4"/>
  <c r="C1252" i="4"/>
  <c r="E1251" i="4"/>
  <c r="D1251" i="4"/>
  <c r="C1251" i="4"/>
  <c r="E1250" i="4"/>
  <c r="D1250" i="4"/>
  <c r="C1250" i="4"/>
  <c r="E1249" i="4"/>
  <c r="D1249" i="4"/>
  <c r="C1249" i="4"/>
  <c r="E1248" i="4"/>
  <c r="D1248" i="4"/>
  <c r="C1248" i="4"/>
  <c r="E1247" i="4"/>
  <c r="D1247" i="4"/>
  <c r="C1247" i="4"/>
  <c r="E1246" i="4"/>
  <c r="D1246" i="4"/>
  <c r="C1246" i="4"/>
  <c r="E1245" i="4"/>
  <c r="D1245" i="4"/>
  <c r="C1245" i="4"/>
  <c r="E1244" i="4"/>
  <c r="D1244" i="4"/>
  <c r="C1244" i="4"/>
  <c r="E1243" i="4"/>
  <c r="D1243" i="4"/>
  <c r="C1243" i="4"/>
  <c r="E1242" i="4"/>
  <c r="D1242" i="4"/>
  <c r="C1242" i="4"/>
  <c r="E1241" i="4"/>
  <c r="D1241" i="4"/>
  <c r="C1241" i="4"/>
  <c r="E1240" i="4"/>
  <c r="D1240" i="4"/>
  <c r="C1240" i="4"/>
  <c r="E1239" i="4"/>
  <c r="D1239" i="4"/>
  <c r="C1239" i="4"/>
  <c r="E1238" i="4"/>
  <c r="D1238" i="4"/>
  <c r="C1238" i="4"/>
  <c r="E1237" i="4"/>
  <c r="D1237" i="4"/>
  <c r="C1237" i="4"/>
  <c r="E1236" i="4"/>
  <c r="D1236" i="4"/>
  <c r="C1236" i="4"/>
  <c r="E1235" i="4"/>
  <c r="D1235" i="4"/>
  <c r="C1235" i="4"/>
  <c r="E1234" i="4"/>
  <c r="D1234" i="4"/>
  <c r="C1234" i="4"/>
  <c r="E1233" i="4"/>
  <c r="D1233" i="4"/>
  <c r="C1233" i="4"/>
  <c r="E1232" i="4"/>
  <c r="D1232" i="4"/>
  <c r="C1232" i="4"/>
  <c r="E1231" i="4"/>
  <c r="D1231" i="4"/>
  <c r="C1231" i="4"/>
  <c r="E1230" i="4"/>
  <c r="D1230" i="4"/>
  <c r="C1230" i="4"/>
  <c r="E1229" i="4"/>
  <c r="D1229" i="4"/>
  <c r="C1229" i="4"/>
  <c r="E1228" i="4"/>
  <c r="D1228" i="4"/>
  <c r="C1228" i="4"/>
  <c r="E1227" i="4"/>
  <c r="D1227" i="4"/>
  <c r="C1227" i="4"/>
  <c r="E1226" i="4"/>
  <c r="D1226" i="4"/>
  <c r="C1226" i="4"/>
  <c r="E1225" i="4"/>
  <c r="D1225" i="4"/>
  <c r="C1225" i="4"/>
  <c r="E1224" i="4"/>
  <c r="D1224" i="4"/>
  <c r="C1224" i="4"/>
  <c r="E1223" i="4"/>
  <c r="D1223" i="4"/>
  <c r="C1223" i="4"/>
  <c r="E1222" i="4"/>
  <c r="D1222" i="4"/>
  <c r="C1222" i="4"/>
  <c r="E1221" i="4"/>
  <c r="D1221" i="4"/>
  <c r="C1221" i="4"/>
  <c r="E1220" i="4"/>
  <c r="D1220" i="4"/>
  <c r="C1220" i="4"/>
  <c r="E1219" i="4"/>
  <c r="D1219" i="4"/>
  <c r="C1219" i="4"/>
  <c r="E1218" i="4"/>
  <c r="D1218" i="4"/>
  <c r="C1218" i="4"/>
  <c r="E1217" i="4"/>
  <c r="D1217" i="4"/>
  <c r="C1217" i="4"/>
  <c r="E1216" i="4"/>
  <c r="D1216" i="4"/>
  <c r="C1216" i="4"/>
  <c r="E1215" i="4"/>
  <c r="D1215" i="4"/>
  <c r="C1215" i="4"/>
  <c r="E1214" i="4"/>
  <c r="D1214" i="4"/>
  <c r="C1214" i="4"/>
  <c r="E1213" i="4"/>
  <c r="D1213" i="4"/>
  <c r="C1213" i="4"/>
  <c r="E1212" i="4"/>
  <c r="D1212" i="4"/>
  <c r="C1212" i="4"/>
  <c r="E1211" i="4"/>
  <c r="D1211" i="4"/>
  <c r="C1211" i="4"/>
  <c r="E1210" i="4"/>
  <c r="D1210" i="4"/>
  <c r="C1210" i="4"/>
  <c r="E1209" i="4"/>
  <c r="D1209" i="4"/>
  <c r="C1209" i="4"/>
  <c r="E1208" i="4"/>
  <c r="D1208" i="4"/>
  <c r="C1208" i="4"/>
  <c r="E1207" i="4"/>
  <c r="D1207" i="4"/>
  <c r="C1207" i="4"/>
  <c r="E1206" i="4"/>
  <c r="D1206" i="4"/>
  <c r="C1206" i="4"/>
  <c r="E1205" i="4"/>
  <c r="D1205" i="4"/>
  <c r="C1205" i="4"/>
  <c r="E1204" i="4"/>
  <c r="D1204" i="4"/>
  <c r="C1204" i="4"/>
  <c r="E1203" i="4"/>
  <c r="D1203" i="4"/>
  <c r="C1203" i="4"/>
  <c r="E1202" i="4"/>
  <c r="D1202" i="4"/>
  <c r="C1202" i="4"/>
  <c r="E1201" i="4"/>
  <c r="D1201" i="4"/>
  <c r="C1201" i="4"/>
  <c r="E1200" i="4"/>
  <c r="D1200" i="4"/>
  <c r="C1200" i="4"/>
  <c r="E1199" i="4"/>
  <c r="D1199" i="4"/>
  <c r="C1199" i="4"/>
  <c r="E1198" i="4"/>
  <c r="D1198" i="4"/>
  <c r="C1198" i="4"/>
  <c r="E1197" i="4"/>
  <c r="D1197" i="4"/>
  <c r="C1197" i="4"/>
  <c r="E1196" i="4"/>
  <c r="D1196" i="4"/>
  <c r="C1196" i="4"/>
  <c r="E1195" i="4"/>
  <c r="D1195" i="4"/>
  <c r="C1195" i="4"/>
  <c r="E1194" i="4"/>
  <c r="D1194" i="4"/>
  <c r="C1194" i="4"/>
  <c r="E1193" i="4"/>
  <c r="D1193" i="4"/>
  <c r="C1193" i="4"/>
  <c r="E1192" i="4"/>
  <c r="D1192" i="4"/>
  <c r="C1192" i="4"/>
  <c r="E1191" i="4"/>
  <c r="D1191" i="4"/>
  <c r="C1191" i="4"/>
  <c r="E1190" i="4"/>
  <c r="D1190" i="4"/>
  <c r="C1190" i="4"/>
  <c r="E1189" i="4"/>
  <c r="D1189" i="4"/>
  <c r="C1189" i="4"/>
  <c r="E1188" i="4"/>
  <c r="D1188" i="4"/>
  <c r="C1188" i="4"/>
  <c r="E1187" i="4"/>
  <c r="D1187" i="4"/>
  <c r="C1187" i="4"/>
  <c r="E1186" i="4"/>
  <c r="D1186" i="4"/>
  <c r="C1186" i="4"/>
  <c r="E1185" i="4"/>
  <c r="D1185" i="4"/>
  <c r="C1185" i="4"/>
  <c r="E1184" i="4"/>
  <c r="D1184" i="4"/>
  <c r="C1184" i="4"/>
  <c r="E1183" i="4"/>
  <c r="D1183" i="4"/>
  <c r="C1183" i="4"/>
  <c r="E1182" i="4"/>
  <c r="D1182" i="4"/>
  <c r="C1182" i="4"/>
  <c r="E1181" i="4"/>
  <c r="D1181" i="4"/>
  <c r="C1181" i="4"/>
  <c r="E1180" i="4"/>
  <c r="D1180" i="4"/>
  <c r="C1180" i="4"/>
  <c r="E1179" i="4"/>
  <c r="D1179" i="4"/>
  <c r="C1179" i="4"/>
  <c r="E1178" i="4"/>
  <c r="D1178" i="4"/>
  <c r="C1178" i="4"/>
  <c r="E1177" i="4"/>
  <c r="D1177" i="4"/>
  <c r="C1177" i="4"/>
  <c r="E1176" i="4"/>
  <c r="D1176" i="4"/>
  <c r="C1176" i="4"/>
  <c r="E1175" i="4"/>
  <c r="D1175" i="4"/>
  <c r="C1175" i="4"/>
  <c r="E1174" i="4"/>
  <c r="D1174" i="4"/>
  <c r="C1174" i="4"/>
  <c r="E1173" i="4"/>
  <c r="D1173" i="4"/>
  <c r="C1173" i="4"/>
  <c r="E1172" i="4"/>
  <c r="D1172" i="4"/>
  <c r="C1172" i="4"/>
  <c r="E1171" i="4"/>
  <c r="D1171" i="4"/>
  <c r="C1171" i="4"/>
  <c r="E1170" i="4"/>
  <c r="D1170" i="4"/>
  <c r="C1170" i="4"/>
  <c r="E1169" i="4"/>
  <c r="D1169" i="4"/>
  <c r="C1169" i="4"/>
  <c r="E1168" i="4"/>
  <c r="D1168" i="4"/>
  <c r="C1168" i="4"/>
  <c r="E1167" i="4"/>
  <c r="D1167" i="4"/>
  <c r="C1167" i="4"/>
  <c r="E1166" i="4"/>
  <c r="D1166" i="4"/>
  <c r="C1166" i="4"/>
  <c r="E1165" i="4"/>
  <c r="D1165" i="4"/>
  <c r="C1165" i="4"/>
  <c r="E1164" i="4"/>
  <c r="D1164" i="4"/>
  <c r="C1164" i="4"/>
  <c r="E1163" i="4"/>
  <c r="D1163" i="4"/>
  <c r="C1163" i="4"/>
  <c r="E1162" i="4"/>
  <c r="D1162" i="4"/>
  <c r="C1162" i="4"/>
  <c r="E1161" i="4"/>
  <c r="D1161" i="4"/>
  <c r="C1161" i="4"/>
  <c r="E1160" i="4"/>
  <c r="D1160" i="4"/>
  <c r="C1160" i="4"/>
  <c r="E1159" i="4"/>
  <c r="D1159" i="4"/>
  <c r="C1159" i="4"/>
  <c r="E1158" i="4"/>
  <c r="D1158" i="4"/>
  <c r="C1158" i="4"/>
  <c r="E1157" i="4"/>
  <c r="D1157" i="4"/>
  <c r="C1157" i="4"/>
  <c r="E1156" i="4"/>
  <c r="D1156" i="4"/>
  <c r="C1156" i="4"/>
  <c r="E1155" i="4"/>
  <c r="D1155" i="4"/>
  <c r="C1155" i="4"/>
  <c r="E1154" i="4"/>
  <c r="D1154" i="4"/>
  <c r="C1154" i="4"/>
  <c r="E1153" i="4"/>
  <c r="D1153" i="4"/>
  <c r="C1153" i="4"/>
  <c r="E1152" i="4"/>
  <c r="D1152" i="4"/>
  <c r="C1152" i="4"/>
  <c r="E1151" i="4"/>
  <c r="D1151" i="4"/>
  <c r="C1151" i="4"/>
  <c r="E1150" i="4"/>
  <c r="D1150" i="4"/>
  <c r="C1150" i="4"/>
  <c r="E1149" i="4"/>
  <c r="D1149" i="4"/>
  <c r="C1149" i="4"/>
  <c r="E1148" i="4"/>
  <c r="D1148" i="4"/>
  <c r="C1148" i="4"/>
  <c r="E1147" i="4"/>
  <c r="D1147" i="4"/>
  <c r="C1147" i="4"/>
  <c r="E1146" i="4"/>
  <c r="D1146" i="4"/>
  <c r="C1146" i="4"/>
  <c r="E1145" i="4"/>
  <c r="D1145" i="4"/>
  <c r="C1145" i="4"/>
  <c r="E1144" i="4"/>
  <c r="D1144" i="4"/>
  <c r="C1144" i="4"/>
  <c r="E1143" i="4"/>
  <c r="D1143" i="4"/>
  <c r="C1143" i="4"/>
  <c r="E1142" i="4"/>
  <c r="D1142" i="4"/>
  <c r="C1142" i="4"/>
  <c r="E1141" i="4"/>
  <c r="D1141" i="4"/>
  <c r="C1141" i="4"/>
  <c r="E1140" i="4"/>
  <c r="D1140" i="4"/>
  <c r="C1140" i="4"/>
  <c r="E1139" i="4"/>
  <c r="D1139" i="4"/>
  <c r="C1139" i="4"/>
  <c r="E1138" i="4"/>
  <c r="D1138" i="4"/>
  <c r="C1138" i="4"/>
  <c r="E1137" i="4"/>
  <c r="D1137" i="4"/>
  <c r="C1137" i="4"/>
  <c r="E1136" i="4"/>
  <c r="D1136" i="4"/>
  <c r="C1136" i="4"/>
  <c r="E1135" i="4"/>
  <c r="D1135" i="4"/>
  <c r="C1135" i="4"/>
  <c r="E1134" i="4"/>
  <c r="D1134" i="4"/>
  <c r="C1134" i="4"/>
  <c r="E1133" i="4"/>
  <c r="D1133" i="4"/>
  <c r="C1133" i="4"/>
  <c r="E1132" i="4"/>
  <c r="D1132" i="4"/>
  <c r="C1132" i="4"/>
  <c r="E1131" i="4"/>
  <c r="D1131" i="4"/>
  <c r="C1131" i="4"/>
  <c r="E1130" i="4"/>
  <c r="D1130" i="4"/>
  <c r="C1130" i="4"/>
  <c r="E1129" i="4"/>
  <c r="D1129" i="4"/>
  <c r="C1129" i="4"/>
  <c r="E1128" i="4"/>
  <c r="D1128" i="4"/>
  <c r="C1128" i="4"/>
  <c r="E1127" i="4"/>
  <c r="D1127" i="4"/>
  <c r="C1127" i="4"/>
  <c r="E1126" i="4"/>
  <c r="D1126" i="4"/>
  <c r="C1126" i="4"/>
  <c r="E1125" i="4"/>
  <c r="D1125" i="4"/>
  <c r="C1125" i="4"/>
  <c r="E1124" i="4"/>
  <c r="D1124" i="4"/>
  <c r="C1124" i="4"/>
  <c r="E1123" i="4"/>
  <c r="D1123" i="4"/>
  <c r="C1123" i="4"/>
  <c r="E1122" i="4"/>
  <c r="D1122" i="4"/>
  <c r="C1122" i="4"/>
  <c r="E1121" i="4"/>
  <c r="D1121" i="4"/>
  <c r="C1121" i="4"/>
  <c r="E1120" i="4"/>
  <c r="D1120" i="4"/>
  <c r="C1120" i="4"/>
  <c r="E1119" i="4"/>
  <c r="D1119" i="4"/>
  <c r="C1119" i="4"/>
  <c r="E1118" i="4"/>
  <c r="D1118" i="4"/>
  <c r="C1118" i="4"/>
  <c r="E1117" i="4"/>
  <c r="D1117" i="4"/>
  <c r="C1117" i="4"/>
  <c r="E1116" i="4"/>
  <c r="D1116" i="4"/>
  <c r="C1116" i="4"/>
  <c r="E1115" i="4"/>
  <c r="D1115" i="4"/>
  <c r="C1115" i="4"/>
  <c r="E1114" i="4"/>
  <c r="D1114" i="4"/>
  <c r="C1114" i="4"/>
  <c r="E1113" i="4"/>
  <c r="D1113" i="4"/>
  <c r="C1113" i="4"/>
  <c r="E1112" i="4"/>
  <c r="D1112" i="4"/>
  <c r="C1112" i="4"/>
  <c r="E1111" i="4"/>
  <c r="D1111" i="4"/>
  <c r="C1111" i="4"/>
  <c r="E1110" i="4"/>
  <c r="D1110" i="4"/>
  <c r="C1110" i="4"/>
  <c r="E1109" i="4"/>
  <c r="D1109" i="4"/>
  <c r="C1109" i="4"/>
  <c r="E1108" i="4"/>
  <c r="D1108" i="4"/>
  <c r="C1108" i="4"/>
  <c r="E1107" i="4"/>
  <c r="D1107" i="4"/>
  <c r="C1107" i="4"/>
  <c r="E1106" i="4"/>
  <c r="D1106" i="4"/>
  <c r="C1106" i="4"/>
  <c r="E1105" i="4"/>
  <c r="D1105" i="4"/>
  <c r="C1105" i="4"/>
  <c r="E1104" i="4"/>
  <c r="D1104" i="4"/>
  <c r="C1104" i="4"/>
  <c r="E1103" i="4"/>
  <c r="D1103" i="4"/>
  <c r="C1103" i="4"/>
  <c r="E1102" i="4"/>
  <c r="D1102" i="4"/>
  <c r="C1102" i="4"/>
  <c r="E1101" i="4"/>
  <c r="D1101" i="4"/>
  <c r="C1101" i="4"/>
  <c r="E1100" i="4"/>
  <c r="D1100" i="4"/>
  <c r="C1100" i="4"/>
  <c r="E1099" i="4"/>
  <c r="D1099" i="4"/>
  <c r="C1099" i="4"/>
  <c r="E1098" i="4"/>
  <c r="D1098" i="4"/>
  <c r="C1098" i="4"/>
  <c r="E1097" i="4"/>
  <c r="D1097" i="4"/>
  <c r="C1097" i="4"/>
  <c r="E1096" i="4"/>
  <c r="D1096" i="4"/>
  <c r="C1096" i="4"/>
  <c r="E1095" i="4"/>
  <c r="D1095" i="4"/>
  <c r="C1095" i="4"/>
  <c r="E1094" i="4"/>
  <c r="D1094" i="4"/>
  <c r="C1094" i="4"/>
  <c r="E1093" i="4"/>
  <c r="D1093" i="4"/>
  <c r="C1093" i="4"/>
  <c r="E1092" i="4"/>
  <c r="D1092" i="4"/>
  <c r="C1092" i="4"/>
  <c r="E1091" i="4"/>
  <c r="D1091" i="4"/>
  <c r="C1091" i="4"/>
  <c r="E1090" i="4"/>
  <c r="D1090" i="4"/>
  <c r="C1090" i="4"/>
  <c r="E1089" i="4"/>
  <c r="D1089" i="4"/>
  <c r="C1089" i="4"/>
  <c r="E1088" i="4"/>
  <c r="D1088" i="4"/>
  <c r="C1088" i="4"/>
  <c r="E1087" i="4"/>
  <c r="D1087" i="4"/>
  <c r="C1087" i="4"/>
  <c r="E1086" i="4"/>
  <c r="D1086" i="4"/>
  <c r="C1086" i="4"/>
  <c r="E1085" i="4"/>
  <c r="D1085" i="4"/>
  <c r="C1085" i="4"/>
  <c r="E1084" i="4"/>
  <c r="D1084" i="4"/>
  <c r="C1084" i="4"/>
  <c r="E1083" i="4"/>
  <c r="D1083" i="4"/>
  <c r="C1083" i="4"/>
  <c r="E1082" i="4"/>
  <c r="D1082" i="4"/>
  <c r="C1082" i="4"/>
  <c r="E1081" i="4"/>
  <c r="D1081" i="4"/>
  <c r="C1081" i="4"/>
  <c r="E1080" i="4"/>
  <c r="D1080" i="4"/>
  <c r="C1080" i="4"/>
  <c r="E1079" i="4"/>
  <c r="D1079" i="4"/>
  <c r="C1079" i="4"/>
  <c r="E1078" i="4"/>
  <c r="D1078" i="4"/>
  <c r="C1078" i="4"/>
  <c r="E1077" i="4"/>
  <c r="D1077" i="4"/>
  <c r="C1077" i="4"/>
  <c r="E1076" i="4"/>
  <c r="D1076" i="4"/>
  <c r="C1076" i="4"/>
  <c r="E1075" i="4"/>
  <c r="D1075" i="4"/>
  <c r="C1075" i="4"/>
  <c r="E1074" i="4"/>
  <c r="D1074" i="4"/>
  <c r="C1074" i="4"/>
  <c r="E1073" i="4"/>
  <c r="D1073" i="4"/>
  <c r="C1073" i="4"/>
  <c r="E1072" i="4"/>
  <c r="D1072" i="4"/>
  <c r="C1072" i="4"/>
  <c r="E1071" i="4"/>
  <c r="D1071" i="4"/>
  <c r="C1071" i="4"/>
  <c r="E1070" i="4"/>
  <c r="D1070" i="4"/>
  <c r="C1070" i="4"/>
  <c r="E1069" i="4"/>
  <c r="D1069" i="4"/>
  <c r="C1069" i="4"/>
  <c r="E1068" i="4"/>
  <c r="D1068" i="4"/>
  <c r="C1068" i="4"/>
  <c r="E1067" i="4"/>
  <c r="D1067" i="4"/>
  <c r="C1067" i="4"/>
  <c r="E1066" i="4"/>
  <c r="D1066" i="4"/>
  <c r="C1066" i="4"/>
  <c r="E1065" i="4"/>
  <c r="D1065" i="4"/>
  <c r="C1065" i="4"/>
  <c r="E1064" i="4"/>
  <c r="D1064" i="4"/>
  <c r="C1064" i="4"/>
  <c r="E1063" i="4"/>
  <c r="D1063" i="4"/>
  <c r="C1063" i="4"/>
  <c r="E1062" i="4"/>
  <c r="D1062" i="4"/>
  <c r="C1062" i="4"/>
  <c r="E1061" i="4"/>
  <c r="D1061" i="4"/>
  <c r="C1061" i="4"/>
  <c r="E1060" i="4"/>
  <c r="D1060" i="4"/>
  <c r="C1060" i="4"/>
  <c r="E1059" i="4"/>
  <c r="D1059" i="4"/>
  <c r="C1059" i="4"/>
  <c r="E1058" i="4"/>
  <c r="D1058" i="4"/>
  <c r="C1058" i="4"/>
  <c r="E1057" i="4"/>
  <c r="D1057" i="4"/>
  <c r="C1057" i="4"/>
  <c r="E1056" i="4"/>
  <c r="D1056" i="4"/>
  <c r="C1056" i="4"/>
  <c r="E1055" i="4"/>
  <c r="D1055" i="4"/>
  <c r="C1055" i="4"/>
  <c r="E1054" i="4"/>
  <c r="D1054" i="4"/>
  <c r="C1054" i="4"/>
  <c r="E1053" i="4"/>
  <c r="D1053" i="4"/>
  <c r="C1053" i="4"/>
  <c r="E1052" i="4"/>
  <c r="D1052" i="4"/>
  <c r="C1052" i="4"/>
  <c r="E1051" i="4"/>
  <c r="D1051" i="4"/>
  <c r="C1051" i="4"/>
  <c r="E1050" i="4"/>
  <c r="D1050" i="4"/>
  <c r="C1050" i="4"/>
  <c r="E1049" i="4"/>
  <c r="D1049" i="4"/>
  <c r="C1049" i="4"/>
  <c r="E1048" i="4"/>
  <c r="D1048" i="4"/>
  <c r="C1048" i="4"/>
  <c r="E1047" i="4"/>
  <c r="D1047" i="4"/>
  <c r="C1047" i="4"/>
  <c r="E1046" i="4"/>
  <c r="D1046" i="4"/>
  <c r="C1046" i="4"/>
  <c r="E1045" i="4"/>
  <c r="D1045" i="4"/>
  <c r="C1045" i="4"/>
  <c r="E1044" i="4"/>
  <c r="D1044" i="4"/>
  <c r="C1044" i="4"/>
  <c r="E1043" i="4"/>
  <c r="D1043" i="4"/>
  <c r="C1043" i="4"/>
  <c r="E1042" i="4"/>
  <c r="D1042" i="4"/>
  <c r="C1042" i="4"/>
  <c r="E1041" i="4"/>
  <c r="D1041" i="4"/>
  <c r="C1041" i="4"/>
  <c r="E1040" i="4"/>
  <c r="D1040" i="4"/>
  <c r="C1040" i="4"/>
  <c r="E1039" i="4"/>
  <c r="D1039" i="4"/>
  <c r="C1039" i="4"/>
  <c r="E1038" i="4"/>
  <c r="D1038" i="4"/>
  <c r="C1038" i="4"/>
  <c r="E1037" i="4"/>
  <c r="D1037" i="4"/>
  <c r="C1037" i="4"/>
  <c r="E1036" i="4"/>
  <c r="D1036" i="4"/>
  <c r="C1036" i="4"/>
  <c r="E1035" i="4"/>
  <c r="D1035" i="4"/>
  <c r="C1035" i="4"/>
  <c r="E1034" i="4"/>
  <c r="D1034" i="4"/>
  <c r="C1034" i="4"/>
  <c r="E1033" i="4"/>
  <c r="D1033" i="4"/>
  <c r="C1033" i="4"/>
  <c r="E1032" i="4"/>
  <c r="D1032" i="4"/>
  <c r="C1032" i="4"/>
  <c r="E1031" i="4"/>
  <c r="D1031" i="4"/>
  <c r="C1031" i="4"/>
  <c r="E1030" i="4"/>
  <c r="D1030" i="4"/>
  <c r="C1030" i="4"/>
  <c r="E1029" i="4"/>
  <c r="D1029" i="4"/>
  <c r="C1029" i="4"/>
  <c r="E1028" i="4"/>
  <c r="D1028" i="4"/>
  <c r="C1028" i="4"/>
  <c r="E1027" i="4"/>
  <c r="D1027" i="4"/>
  <c r="C1027" i="4"/>
  <c r="E1026" i="4"/>
  <c r="D1026" i="4"/>
  <c r="C1026" i="4"/>
  <c r="E1025" i="4"/>
  <c r="D1025" i="4"/>
  <c r="C1025" i="4"/>
  <c r="E1024" i="4"/>
  <c r="D1024" i="4"/>
  <c r="C1024" i="4"/>
  <c r="E1023" i="4"/>
  <c r="D1023" i="4"/>
  <c r="C1023" i="4"/>
  <c r="E1022" i="4"/>
  <c r="D1022" i="4"/>
  <c r="C1022" i="4"/>
  <c r="E1021" i="4"/>
  <c r="D1021" i="4"/>
  <c r="C1021" i="4"/>
  <c r="E1020" i="4"/>
  <c r="D1020" i="4"/>
  <c r="C1020" i="4"/>
  <c r="E1019" i="4"/>
  <c r="D1019" i="4"/>
  <c r="C1019" i="4"/>
  <c r="E1018" i="4"/>
  <c r="D1018" i="4"/>
  <c r="C1018" i="4"/>
  <c r="E1017" i="4"/>
  <c r="D1017" i="4"/>
  <c r="C1017" i="4"/>
  <c r="E1016" i="4"/>
  <c r="D1016" i="4"/>
  <c r="C1016" i="4"/>
  <c r="E1015" i="4"/>
  <c r="D1015" i="4"/>
  <c r="C1015" i="4"/>
  <c r="E1014" i="4"/>
  <c r="D1014" i="4"/>
  <c r="C1014" i="4"/>
  <c r="E1013" i="4"/>
  <c r="D1013" i="4"/>
  <c r="C1013" i="4"/>
  <c r="E1012" i="4"/>
  <c r="D1012" i="4"/>
  <c r="C1012" i="4"/>
  <c r="E1011" i="4"/>
  <c r="D1011" i="4"/>
  <c r="C1011" i="4"/>
  <c r="E1010" i="4"/>
  <c r="D1010" i="4"/>
  <c r="C1010" i="4"/>
  <c r="E1009" i="4"/>
  <c r="D1009" i="4"/>
  <c r="C1009" i="4"/>
  <c r="E1008" i="4"/>
  <c r="D1008" i="4"/>
  <c r="C1008" i="4"/>
  <c r="E1007" i="4"/>
  <c r="D1007" i="4"/>
  <c r="C1007" i="4"/>
  <c r="E1006" i="4"/>
  <c r="D1006" i="4"/>
  <c r="C1006" i="4"/>
  <c r="E1005" i="4"/>
  <c r="D1005" i="4"/>
  <c r="C1005" i="4"/>
  <c r="E1004" i="4"/>
  <c r="D1004" i="4"/>
  <c r="C1004" i="4"/>
  <c r="E1003" i="4"/>
  <c r="D1003" i="4"/>
  <c r="C1003" i="4"/>
  <c r="E1002" i="4"/>
  <c r="D1002" i="4"/>
  <c r="C1002" i="4"/>
  <c r="E1001" i="4"/>
  <c r="D1001" i="4"/>
  <c r="C1001" i="4"/>
  <c r="E1000" i="4"/>
  <c r="D1000" i="4"/>
  <c r="C1000" i="4"/>
  <c r="E999" i="4"/>
  <c r="D999" i="4"/>
  <c r="C999" i="4"/>
  <c r="E998" i="4"/>
  <c r="D998" i="4"/>
  <c r="C998" i="4"/>
  <c r="E997" i="4"/>
  <c r="D997" i="4"/>
  <c r="C997" i="4"/>
  <c r="E996" i="4"/>
  <c r="D996" i="4"/>
  <c r="C996" i="4"/>
  <c r="E995" i="4"/>
  <c r="D995" i="4"/>
  <c r="C995" i="4"/>
  <c r="E994" i="4"/>
  <c r="D994" i="4"/>
  <c r="C994" i="4"/>
  <c r="E993" i="4"/>
  <c r="D993" i="4"/>
  <c r="C993" i="4"/>
  <c r="E992" i="4"/>
  <c r="D992" i="4"/>
  <c r="C992" i="4"/>
  <c r="E991" i="4"/>
  <c r="D991" i="4"/>
  <c r="C991" i="4"/>
  <c r="E990" i="4"/>
  <c r="D990" i="4"/>
  <c r="C990" i="4"/>
  <c r="E989" i="4"/>
  <c r="D989" i="4"/>
  <c r="C989" i="4"/>
  <c r="E988" i="4"/>
  <c r="D988" i="4"/>
  <c r="C988" i="4"/>
  <c r="E987" i="4"/>
  <c r="D987" i="4"/>
  <c r="C987" i="4"/>
  <c r="E986" i="4"/>
  <c r="D986" i="4"/>
  <c r="C986" i="4"/>
  <c r="E985" i="4"/>
  <c r="D985" i="4"/>
  <c r="C985" i="4"/>
  <c r="E984" i="4"/>
  <c r="D984" i="4"/>
  <c r="C984" i="4"/>
  <c r="E983" i="4"/>
  <c r="D983" i="4"/>
  <c r="C983" i="4"/>
  <c r="E982" i="4"/>
  <c r="D982" i="4"/>
  <c r="C982" i="4"/>
  <c r="E981" i="4"/>
  <c r="D981" i="4"/>
  <c r="C981" i="4"/>
  <c r="E980" i="4"/>
  <c r="D980" i="4"/>
  <c r="C980" i="4"/>
  <c r="E979" i="4"/>
  <c r="D979" i="4"/>
  <c r="C979" i="4"/>
  <c r="E978" i="4"/>
  <c r="D978" i="4"/>
  <c r="C978" i="4"/>
  <c r="E977" i="4"/>
  <c r="D977" i="4"/>
  <c r="C977" i="4"/>
  <c r="E976" i="4"/>
  <c r="D976" i="4"/>
  <c r="C976" i="4"/>
  <c r="E975" i="4"/>
  <c r="D975" i="4"/>
  <c r="C975" i="4"/>
  <c r="E974" i="4"/>
  <c r="D974" i="4"/>
  <c r="C974" i="4"/>
  <c r="E973" i="4"/>
  <c r="D973" i="4"/>
  <c r="C973" i="4"/>
  <c r="E972" i="4"/>
  <c r="D972" i="4"/>
  <c r="C972" i="4"/>
  <c r="E971" i="4"/>
  <c r="D971" i="4"/>
  <c r="C971" i="4"/>
  <c r="E970" i="4"/>
  <c r="D970" i="4"/>
  <c r="C970" i="4"/>
  <c r="E969" i="4"/>
  <c r="D969" i="4"/>
  <c r="C969" i="4"/>
  <c r="E968" i="4"/>
  <c r="D968" i="4"/>
  <c r="C968" i="4"/>
  <c r="E967" i="4"/>
  <c r="D967" i="4"/>
  <c r="C967" i="4"/>
  <c r="E966" i="4"/>
  <c r="D966" i="4"/>
  <c r="C966" i="4"/>
  <c r="E965" i="4"/>
  <c r="D965" i="4"/>
  <c r="C965" i="4"/>
  <c r="E964" i="4"/>
  <c r="D964" i="4"/>
  <c r="C964" i="4"/>
  <c r="E963" i="4"/>
  <c r="D963" i="4"/>
  <c r="C963" i="4"/>
  <c r="E962" i="4"/>
  <c r="D962" i="4"/>
  <c r="C962" i="4"/>
  <c r="E961" i="4"/>
  <c r="D961" i="4"/>
  <c r="C961" i="4"/>
  <c r="E960" i="4"/>
  <c r="D960" i="4"/>
  <c r="C960" i="4"/>
  <c r="E959" i="4"/>
  <c r="D959" i="4"/>
  <c r="C959" i="4"/>
  <c r="E958" i="4"/>
  <c r="D958" i="4"/>
  <c r="C958" i="4"/>
  <c r="E957" i="4"/>
  <c r="D957" i="4"/>
  <c r="C957" i="4"/>
  <c r="E956" i="4"/>
  <c r="D956" i="4"/>
  <c r="C956" i="4"/>
  <c r="E955" i="4"/>
  <c r="D955" i="4"/>
  <c r="C955" i="4"/>
  <c r="E954" i="4"/>
  <c r="D954" i="4"/>
  <c r="C954" i="4"/>
  <c r="E953" i="4"/>
  <c r="D953" i="4"/>
  <c r="C953" i="4"/>
  <c r="E952" i="4"/>
  <c r="D952" i="4"/>
  <c r="C952" i="4"/>
  <c r="E951" i="4"/>
  <c r="D951" i="4"/>
  <c r="C951" i="4"/>
  <c r="E950" i="4"/>
  <c r="D950" i="4"/>
  <c r="C950" i="4"/>
  <c r="E949" i="4"/>
  <c r="D949" i="4"/>
  <c r="C949" i="4"/>
  <c r="E948" i="4"/>
  <c r="D948" i="4"/>
  <c r="C948" i="4"/>
  <c r="E947" i="4"/>
  <c r="D947" i="4"/>
  <c r="C947" i="4"/>
  <c r="E946" i="4"/>
  <c r="D946" i="4"/>
  <c r="C946" i="4"/>
  <c r="E945" i="4"/>
  <c r="D945" i="4"/>
  <c r="C945" i="4"/>
  <c r="E944" i="4"/>
  <c r="D944" i="4"/>
  <c r="C944" i="4"/>
  <c r="E943" i="4"/>
  <c r="D943" i="4"/>
  <c r="C943" i="4"/>
  <c r="E942" i="4"/>
  <c r="D942" i="4"/>
  <c r="C942" i="4"/>
  <c r="E941" i="4"/>
  <c r="D941" i="4"/>
  <c r="C941" i="4"/>
  <c r="E940" i="4"/>
  <c r="D940" i="4"/>
  <c r="C940" i="4"/>
  <c r="E939" i="4"/>
  <c r="D939" i="4"/>
  <c r="C939" i="4"/>
  <c r="E938" i="4"/>
  <c r="D938" i="4"/>
  <c r="C938" i="4"/>
  <c r="E937" i="4"/>
  <c r="D937" i="4"/>
  <c r="C937" i="4"/>
  <c r="E936" i="4"/>
  <c r="D936" i="4"/>
  <c r="C936" i="4"/>
  <c r="E935" i="4"/>
  <c r="D935" i="4"/>
  <c r="C935" i="4"/>
  <c r="E934" i="4"/>
  <c r="D934" i="4"/>
  <c r="C934" i="4"/>
  <c r="E933" i="4"/>
  <c r="D933" i="4"/>
  <c r="C933" i="4"/>
  <c r="E932" i="4"/>
  <c r="D932" i="4"/>
  <c r="C932" i="4"/>
  <c r="E931" i="4"/>
  <c r="D931" i="4"/>
  <c r="C931" i="4"/>
  <c r="E930" i="4"/>
  <c r="D930" i="4"/>
  <c r="C930" i="4"/>
  <c r="E929" i="4"/>
  <c r="D929" i="4"/>
  <c r="C929" i="4"/>
  <c r="E928" i="4"/>
  <c r="D928" i="4"/>
  <c r="C928" i="4"/>
  <c r="E927" i="4"/>
  <c r="D927" i="4"/>
  <c r="C927" i="4"/>
  <c r="E926" i="4"/>
  <c r="D926" i="4"/>
  <c r="C926" i="4"/>
  <c r="E925" i="4"/>
  <c r="D925" i="4"/>
  <c r="C925" i="4"/>
  <c r="E924" i="4"/>
  <c r="D924" i="4"/>
  <c r="C924" i="4"/>
  <c r="E923" i="4"/>
  <c r="D923" i="4"/>
  <c r="C923" i="4"/>
  <c r="E922" i="4"/>
  <c r="D922" i="4"/>
  <c r="C922" i="4"/>
  <c r="E921" i="4"/>
  <c r="D921" i="4"/>
  <c r="C921" i="4"/>
  <c r="E920" i="4"/>
  <c r="D920" i="4"/>
  <c r="C920" i="4"/>
  <c r="E919" i="4"/>
  <c r="D919" i="4"/>
  <c r="C919" i="4"/>
  <c r="E918" i="4"/>
  <c r="D918" i="4"/>
  <c r="C918" i="4"/>
  <c r="E917" i="4"/>
  <c r="D917" i="4"/>
  <c r="C917" i="4"/>
  <c r="E916" i="4"/>
  <c r="D916" i="4"/>
  <c r="C916" i="4"/>
  <c r="E915" i="4"/>
  <c r="D915" i="4"/>
  <c r="C915" i="4"/>
  <c r="E914" i="4"/>
  <c r="D914" i="4"/>
  <c r="C914" i="4"/>
  <c r="E913" i="4"/>
  <c r="D913" i="4"/>
  <c r="C913" i="4"/>
  <c r="E912" i="4"/>
  <c r="D912" i="4"/>
  <c r="C912" i="4"/>
  <c r="E911" i="4"/>
  <c r="D911" i="4"/>
  <c r="C911" i="4"/>
  <c r="E910" i="4"/>
  <c r="D910" i="4"/>
  <c r="C910" i="4"/>
  <c r="E909" i="4"/>
  <c r="D909" i="4"/>
  <c r="C909" i="4"/>
  <c r="E908" i="4"/>
  <c r="D908" i="4"/>
  <c r="C908" i="4"/>
  <c r="E907" i="4"/>
  <c r="D907" i="4"/>
  <c r="C907" i="4"/>
  <c r="E906" i="4"/>
  <c r="D906" i="4"/>
  <c r="C906" i="4"/>
  <c r="E905" i="4"/>
  <c r="D905" i="4"/>
  <c r="C905" i="4"/>
  <c r="E904" i="4"/>
  <c r="D904" i="4"/>
  <c r="C904" i="4"/>
  <c r="E903" i="4"/>
  <c r="D903" i="4"/>
  <c r="C903" i="4"/>
  <c r="E902" i="4"/>
  <c r="D902" i="4"/>
  <c r="C902" i="4"/>
  <c r="E901" i="4"/>
  <c r="D901" i="4"/>
  <c r="C901" i="4"/>
  <c r="E900" i="4"/>
  <c r="D900" i="4"/>
  <c r="C900" i="4"/>
  <c r="E899" i="4"/>
  <c r="D899" i="4"/>
  <c r="C899" i="4"/>
  <c r="E898" i="4"/>
  <c r="D898" i="4"/>
  <c r="C898" i="4"/>
  <c r="E897" i="4"/>
  <c r="D897" i="4"/>
  <c r="C897" i="4"/>
  <c r="E896" i="4"/>
  <c r="D896" i="4"/>
  <c r="C896" i="4"/>
  <c r="E895" i="4"/>
  <c r="D895" i="4"/>
  <c r="C895" i="4"/>
  <c r="E894" i="4"/>
  <c r="D894" i="4"/>
  <c r="C894" i="4"/>
  <c r="E893" i="4"/>
  <c r="D893" i="4"/>
  <c r="C893" i="4"/>
  <c r="E892" i="4"/>
  <c r="D892" i="4"/>
  <c r="C892" i="4"/>
  <c r="E891" i="4"/>
  <c r="D891" i="4"/>
  <c r="C891" i="4"/>
  <c r="E890" i="4"/>
  <c r="D890" i="4"/>
  <c r="C890" i="4"/>
  <c r="E889" i="4"/>
  <c r="D889" i="4"/>
  <c r="C889" i="4"/>
  <c r="E888" i="4"/>
  <c r="D888" i="4"/>
  <c r="C888" i="4"/>
  <c r="E887" i="4"/>
  <c r="D887" i="4"/>
  <c r="C887" i="4"/>
  <c r="E886" i="4"/>
  <c r="D886" i="4"/>
  <c r="C886" i="4"/>
  <c r="E885" i="4"/>
  <c r="D885" i="4"/>
  <c r="C885" i="4"/>
  <c r="E884" i="4"/>
  <c r="D884" i="4"/>
  <c r="C884" i="4"/>
  <c r="E883" i="4"/>
  <c r="D883" i="4"/>
  <c r="C883" i="4"/>
  <c r="E882" i="4"/>
  <c r="D882" i="4"/>
  <c r="C882" i="4"/>
  <c r="E881" i="4"/>
  <c r="D881" i="4"/>
  <c r="C881" i="4"/>
  <c r="E880" i="4"/>
  <c r="D880" i="4"/>
  <c r="C880" i="4"/>
  <c r="E879" i="4"/>
  <c r="D879" i="4"/>
  <c r="C879" i="4"/>
  <c r="E878" i="4"/>
  <c r="D878" i="4"/>
  <c r="C878" i="4"/>
  <c r="E877" i="4"/>
  <c r="D877" i="4"/>
  <c r="C877" i="4"/>
  <c r="E876" i="4"/>
  <c r="D876" i="4"/>
  <c r="C876" i="4"/>
  <c r="E875" i="4"/>
  <c r="D875" i="4"/>
  <c r="C875" i="4"/>
  <c r="E874" i="4"/>
  <c r="D874" i="4"/>
  <c r="C874" i="4"/>
  <c r="E873" i="4"/>
  <c r="D873" i="4"/>
  <c r="C873" i="4"/>
  <c r="E872" i="4"/>
  <c r="D872" i="4"/>
  <c r="C872" i="4"/>
  <c r="E871" i="4"/>
  <c r="D871" i="4"/>
  <c r="C871" i="4"/>
  <c r="E870" i="4"/>
  <c r="D870" i="4"/>
  <c r="C870" i="4"/>
  <c r="E869" i="4"/>
  <c r="D869" i="4"/>
  <c r="C869" i="4"/>
  <c r="E868" i="4"/>
  <c r="D868" i="4"/>
  <c r="C868" i="4"/>
  <c r="E867" i="4"/>
  <c r="D867" i="4"/>
  <c r="C867" i="4"/>
  <c r="E866" i="4"/>
  <c r="D866" i="4"/>
  <c r="C866" i="4"/>
  <c r="E865" i="4"/>
  <c r="D865" i="4"/>
  <c r="C865" i="4"/>
  <c r="E864" i="4"/>
  <c r="D864" i="4"/>
  <c r="C864" i="4"/>
  <c r="E863" i="4"/>
  <c r="D863" i="4"/>
  <c r="C863" i="4"/>
  <c r="E862" i="4"/>
  <c r="D862" i="4"/>
  <c r="C862" i="4"/>
  <c r="E861" i="4"/>
  <c r="D861" i="4"/>
  <c r="C861" i="4"/>
  <c r="E860" i="4"/>
  <c r="D860" i="4"/>
  <c r="C860" i="4"/>
  <c r="E859" i="4"/>
  <c r="D859" i="4"/>
  <c r="C859" i="4"/>
  <c r="E858" i="4"/>
  <c r="D858" i="4"/>
  <c r="C858" i="4"/>
  <c r="E857" i="4"/>
  <c r="D857" i="4"/>
  <c r="C857" i="4"/>
  <c r="E856" i="4"/>
  <c r="D856" i="4"/>
  <c r="C856" i="4"/>
  <c r="E855" i="4"/>
  <c r="D855" i="4"/>
  <c r="C855" i="4"/>
  <c r="E854" i="4"/>
  <c r="D854" i="4"/>
  <c r="C854" i="4"/>
  <c r="E853" i="4"/>
  <c r="D853" i="4"/>
  <c r="C853" i="4"/>
  <c r="E852" i="4"/>
  <c r="D852" i="4"/>
  <c r="C852" i="4"/>
  <c r="E851" i="4"/>
  <c r="D851" i="4"/>
  <c r="C851" i="4"/>
  <c r="E850" i="4"/>
  <c r="D850" i="4"/>
  <c r="C850" i="4"/>
  <c r="E849" i="4"/>
  <c r="D849" i="4"/>
  <c r="C849" i="4"/>
  <c r="E848" i="4"/>
  <c r="D848" i="4"/>
  <c r="C848" i="4"/>
  <c r="E847" i="4"/>
  <c r="D847" i="4"/>
  <c r="C847" i="4"/>
  <c r="E846" i="4"/>
  <c r="D846" i="4"/>
  <c r="C846" i="4"/>
  <c r="E845" i="4"/>
  <c r="D845" i="4"/>
  <c r="C845" i="4"/>
  <c r="E844" i="4"/>
  <c r="D844" i="4"/>
  <c r="C844" i="4"/>
  <c r="E843" i="4"/>
  <c r="D843" i="4"/>
  <c r="C843" i="4"/>
  <c r="E842" i="4"/>
  <c r="D842" i="4"/>
  <c r="C842" i="4"/>
  <c r="E841" i="4"/>
  <c r="D841" i="4"/>
  <c r="C841" i="4"/>
  <c r="E840" i="4"/>
  <c r="D840" i="4"/>
  <c r="C840" i="4"/>
  <c r="E839" i="4"/>
  <c r="D839" i="4"/>
  <c r="C839" i="4"/>
  <c r="E838" i="4"/>
  <c r="D838" i="4"/>
  <c r="C838" i="4"/>
  <c r="E837" i="4"/>
  <c r="D837" i="4"/>
  <c r="C837" i="4"/>
  <c r="E836" i="4"/>
  <c r="D836" i="4"/>
  <c r="C836" i="4"/>
  <c r="E835" i="4"/>
  <c r="D835" i="4"/>
  <c r="C835" i="4"/>
  <c r="E834" i="4"/>
  <c r="D834" i="4"/>
  <c r="C834" i="4"/>
  <c r="E833" i="4"/>
  <c r="D833" i="4"/>
  <c r="C833" i="4"/>
  <c r="E832" i="4"/>
  <c r="D832" i="4"/>
  <c r="C832" i="4"/>
  <c r="E831" i="4"/>
  <c r="D831" i="4"/>
  <c r="C831" i="4"/>
  <c r="E830" i="4"/>
  <c r="D830" i="4"/>
  <c r="C830" i="4"/>
  <c r="E829" i="4"/>
  <c r="D829" i="4"/>
  <c r="C829" i="4"/>
  <c r="E828" i="4"/>
  <c r="D828" i="4"/>
  <c r="C828" i="4"/>
  <c r="E827" i="4"/>
  <c r="D827" i="4"/>
  <c r="C827" i="4"/>
  <c r="E826" i="4"/>
  <c r="D826" i="4"/>
  <c r="C826" i="4"/>
  <c r="E825" i="4"/>
  <c r="D825" i="4"/>
  <c r="C825" i="4"/>
  <c r="E824" i="4"/>
  <c r="D824" i="4"/>
  <c r="C824" i="4"/>
  <c r="E823" i="4"/>
  <c r="D823" i="4"/>
  <c r="C823" i="4"/>
  <c r="E822" i="4"/>
  <c r="D822" i="4"/>
  <c r="C822" i="4"/>
  <c r="E821" i="4"/>
  <c r="D821" i="4"/>
  <c r="C821" i="4"/>
  <c r="E820" i="4"/>
  <c r="D820" i="4"/>
  <c r="C820" i="4"/>
  <c r="E819" i="4"/>
  <c r="D819" i="4"/>
  <c r="C819" i="4"/>
  <c r="E818" i="4"/>
  <c r="D818" i="4"/>
  <c r="C818" i="4"/>
  <c r="E817" i="4"/>
  <c r="D817" i="4"/>
  <c r="C817" i="4"/>
  <c r="E816" i="4"/>
  <c r="D816" i="4"/>
  <c r="C816" i="4"/>
  <c r="E815" i="4"/>
  <c r="D815" i="4"/>
  <c r="C815" i="4"/>
  <c r="E814" i="4"/>
  <c r="D814" i="4"/>
  <c r="C814" i="4"/>
  <c r="E813" i="4"/>
  <c r="D813" i="4"/>
  <c r="C813" i="4"/>
  <c r="E812" i="4"/>
  <c r="D812" i="4"/>
  <c r="C812" i="4"/>
  <c r="E811" i="4"/>
  <c r="D811" i="4"/>
  <c r="C811" i="4"/>
  <c r="E810" i="4"/>
  <c r="D810" i="4"/>
  <c r="C810" i="4"/>
  <c r="E809" i="4"/>
  <c r="D809" i="4"/>
  <c r="C809" i="4"/>
  <c r="E808" i="4"/>
  <c r="D808" i="4"/>
  <c r="C808" i="4"/>
  <c r="E807" i="4"/>
  <c r="D807" i="4"/>
  <c r="C807" i="4"/>
  <c r="E806" i="4"/>
  <c r="D806" i="4"/>
  <c r="C806" i="4"/>
  <c r="E805" i="4"/>
  <c r="D805" i="4"/>
  <c r="C805" i="4"/>
  <c r="E804" i="4"/>
  <c r="D804" i="4"/>
  <c r="C804" i="4"/>
  <c r="E803" i="4"/>
  <c r="D803" i="4"/>
  <c r="C803" i="4"/>
  <c r="E802" i="4"/>
  <c r="D802" i="4"/>
  <c r="C802" i="4"/>
  <c r="E801" i="4"/>
  <c r="D801" i="4"/>
  <c r="C801" i="4"/>
  <c r="E800" i="4"/>
  <c r="D800" i="4"/>
  <c r="C800" i="4"/>
  <c r="E799" i="4"/>
  <c r="D799" i="4"/>
  <c r="C799" i="4"/>
  <c r="E798" i="4"/>
  <c r="D798" i="4"/>
  <c r="C798" i="4"/>
  <c r="E797" i="4"/>
  <c r="D797" i="4"/>
  <c r="C797" i="4"/>
  <c r="E796" i="4"/>
  <c r="D796" i="4"/>
  <c r="C796" i="4"/>
  <c r="E795" i="4"/>
  <c r="D795" i="4"/>
  <c r="C795" i="4"/>
  <c r="E794" i="4"/>
  <c r="D794" i="4"/>
  <c r="C794" i="4"/>
  <c r="E793" i="4"/>
  <c r="D793" i="4"/>
  <c r="C793" i="4"/>
  <c r="E792" i="4"/>
  <c r="D792" i="4"/>
  <c r="C792" i="4"/>
  <c r="E791" i="4"/>
  <c r="D791" i="4"/>
  <c r="C791" i="4"/>
  <c r="E790" i="4"/>
  <c r="D790" i="4"/>
  <c r="C790" i="4"/>
  <c r="E789" i="4"/>
  <c r="D789" i="4"/>
  <c r="C789" i="4"/>
  <c r="E788" i="4"/>
  <c r="D788" i="4"/>
  <c r="C788" i="4"/>
  <c r="E787" i="4"/>
  <c r="D787" i="4"/>
  <c r="C787" i="4"/>
  <c r="E786" i="4"/>
  <c r="D786" i="4"/>
  <c r="C786" i="4"/>
  <c r="E785" i="4"/>
  <c r="D785" i="4"/>
  <c r="C785" i="4"/>
  <c r="E784" i="4"/>
  <c r="D784" i="4"/>
  <c r="C784" i="4"/>
  <c r="E783" i="4"/>
  <c r="D783" i="4"/>
  <c r="C783" i="4"/>
  <c r="E782" i="4"/>
  <c r="D782" i="4"/>
  <c r="C782" i="4"/>
  <c r="E781" i="4"/>
  <c r="D781" i="4"/>
  <c r="C781" i="4"/>
  <c r="E780" i="4"/>
  <c r="D780" i="4"/>
  <c r="C780" i="4"/>
  <c r="E779" i="4"/>
  <c r="D779" i="4"/>
  <c r="C779" i="4"/>
  <c r="E778" i="4"/>
  <c r="D778" i="4"/>
  <c r="C778" i="4"/>
  <c r="E777" i="4"/>
  <c r="D777" i="4"/>
  <c r="C777" i="4"/>
  <c r="E776" i="4"/>
  <c r="D776" i="4"/>
  <c r="C776" i="4"/>
  <c r="E775" i="4"/>
  <c r="D775" i="4"/>
  <c r="C775" i="4"/>
  <c r="E774" i="4"/>
  <c r="D774" i="4"/>
  <c r="C774" i="4"/>
  <c r="E773" i="4"/>
  <c r="D773" i="4"/>
  <c r="C773" i="4"/>
  <c r="E772" i="4"/>
  <c r="D772" i="4"/>
  <c r="C772" i="4"/>
  <c r="E771" i="4"/>
  <c r="D771" i="4"/>
  <c r="C771" i="4"/>
  <c r="E770" i="4"/>
  <c r="D770" i="4"/>
  <c r="C770" i="4"/>
  <c r="E769" i="4"/>
  <c r="D769" i="4"/>
  <c r="C769" i="4"/>
  <c r="E768" i="4"/>
  <c r="D768" i="4"/>
  <c r="C768" i="4"/>
  <c r="E767" i="4"/>
  <c r="D767" i="4"/>
  <c r="C767" i="4"/>
  <c r="E766" i="4"/>
  <c r="D766" i="4"/>
  <c r="C766" i="4"/>
  <c r="E765" i="4"/>
  <c r="D765" i="4"/>
  <c r="C765" i="4"/>
  <c r="E764" i="4"/>
  <c r="D764" i="4"/>
  <c r="C764" i="4"/>
  <c r="E763" i="4"/>
  <c r="D763" i="4"/>
  <c r="C763" i="4"/>
  <c r="E762" i="4"/>
  <c r="D762" i="4"/>
  <c r="C762" i="4"/>
  <c r="E761" i="4"/>
  <c r="D761" i="4"/>
  <c r="C761" i="4"/>
  <c r="E760" i="4"/>
  <c r="D760" i="4"/>
  <c r="C760" i="4"/>
  <c r="E759" i="4"/>
  <c r="D759" i="4"/>
  <c r="C759" i="4"/>
  <c r="E758" i="4"/>
  <c r="D758" i="4"/>
  <c r="C758" i="4"/>
  <c r="E757" i="4"/>
  <c r="D757" i="4"/>
  <c r="C757" i="4"/>
  <c r="E756" i="4"/>
  <c r="D756" i="4"/>
  <c r="C756" i="4"/>
  <c r="E755" i="4"/>
  <c r="D755" i="4"/>
  <c r="C755" i="4"/>
  <c r="E754" i="4"/>
  <c r="D754" i="4"/>
  <c r="C754" i="4"/>
  <c r="E753" i="4"/>
  <c r="D753" i="4"/>
  <c r="C753" i="4"/>
  <c r="E752" i="4"/>
  <c r="D752" i="4"/>
  <c r="C752" i="4"/>
  <c r="E751" i="4"/>
  <c r="D751" i="4"/>
  <c r="C751" i="4"/>
  <c r="E750" i="4"/>
  <c r="D750" i="4"/>
  <c r="C750" i="4"/>
  <c r="E749" i="4"/>
  <c r="D749" i="4"/>
  <c r="C749" i="4"/>
  <c r="E748" i="4"/>
  <c r="D748" i="4"/>
  <c r="C748" i="4"/>
  <c r="E747" i="4"/>
  <c r="D747" i="4"/>
  <c r="C747" i="4"/>
  <c r="E746" i="4"/>
  <c r="D746" i="4"/>
  <c r="C746" i="4"/>
  <c r="E745" i="4"/>
  <c r="D745" i="4"/>
  <c r="C745" i="4"/>
  <c r="E744" i="4"/>
  <c r="D744" i="4"/>
  <c r="C744" i="4"/>
  <c r="E743" i="4"/>
  <c r="D743" i="4"/>
  <c r="C743" i="4"/>
  <c r="E742" i="4"/>
  <c r="D742" i="4"/>
  <c r="C742" i="4"/>
  <c r="E741" i="4"/>
  <c r="D741" i="4"/>
  <c r="C741" i="4"/>
  <c r="E740" i="4"/>
  <c r="D740" i="4"/>
  <c r="C740" i="4"/>
  <c r="E739" i="4"/>
  <c r="D739" i="4"/>
  <c r="C739" i="4"/>
  <c r="E738" i="4"/>
  <c r="D738" i="4"/>
  <c r="C738" i="4"/>
  <c r="E737" i="4"/>
  <c r="D737" i="4"/>
  <c r="C737" i="4"/>
  <c r="E736" i="4"/>
  <c r="D736" i="4"/>
  <c r="C736" i="4"/>
  <c r="E735" i="4"/>
  <c r="D735" i="4"/>
  <c r="C735" i="4"/>
  <c r="E734" i="4"/>
  <c r="D734" i="4"/>
  <c r="C734" i="4"/>
  <c r="E733" i="4"/>
  <c r="D733" i="4"/>
  <c r="C733" i="4"/>
  <c r="E732" i="4"/>
  <c r="D732" i="4"/>
  <c r="C732" i="4"/>
  <c r="E731" i="4"/>
  <c r="D731" i="4"/>
  <c r="C731" i="4"/>
  <c r="E730" i="4"/>
  <c r="D730" i="4"/>
  <c r="C730" i="4"/>
  <c r="E729" i="4"/>
  <c r="D729" i="4"/>
  <c r="C729" i="4"/>
  <c r="E728" i="4"/>
  <c r="D728" i="4"/>
  <c r="C728" i="4"/>
  <c r="E727" i="4"/>
  <c r="D727" i="4"/>
  <c r="C727" i="4"/>
  <c r="E726" i="4"/>
  <c r="D726" i="4"/>
  <c r="C726" i="4"/>
  <c r="E725" i="4"/>
  <c r="D725" i="4"/>
  <c r="C725" i="4"/>
  <c r="E724" i="4"/>
  <c r="D724" i="4"/>
  <c r="C724" i="4"/>
  <c r="E723" i="4"/>
  <c r="D723" i="4"/>
  <c r="C723" i="4"/>
  <c r="E722" i="4"/>
  <c r="D722" i="4"/>
  <c r="C722" i="4"/>
  <c r="E721" i="4"/>
  <c r="D721" i="4"/>
  <c r="C721" i="4"/>
  <c r="E720" i="4"/>
  <c r="D720" i="4"/>
  <c r="C720" i="4"/>
  <c r="E719" i="4"/>
  <c r="D719" i="4"/>
  <c r="C719" i="4"/>
  <c r="E718" i="4"/>
  <c r="D718" i="4"/>
  <c r="C718" i="4"/>
  <c r="E717" i="4"/>
  <c r="D717" i="4"/>
  <c r="C717" i="4"/>
  <c r="E716" i="4"/>
  <c r="D716" i="4"/>
  <c r="C716" i="4"/>
  <c r="E715" i="4"/>
  <c r="D715" i="4"/>
  <c r="C715" i="4"/>
  <c r="E714" i="4"/>
  <c r="D714" i="4"/>
  <c r="C714" i="4"/>
  <c r="E713" i="4"/>
  <c r="D713" i="4"/>
  <c r="C713" i="4"/>
  <c r="E712" i="4"/>
  <c r="D712" i="4"/>
  <c r="C712" i="4"/>
  <c r="E711" i="4"/>
  <c r="D711" i="4"/>
  <c r="C711" i="4"/>
  <c r="E710" i="4"/>
  <c r="D710" i="4"/>
  <c r="C710" i="4"/>
  <c r="E709" i="4"/>
  <c r="D709" i="4"/>
  <c r="C709" i="4"/>
  <c r="E708" i="4"/>
  <c r="D708" i="4"/>
  <c r="C708" i="4"/>
  <c r="E707" i="4"/>
  <c r="D707" i="4"/>
  <c r="C707" i="4"/>
  <c r="E706" i="4"/>
  <c r="D706" i="4"/>
  <c r="C706" i="4"/>
  <c r="E705" i="4"/>
  <c r="D705" i="4"/>
  <c r="C705" i="4"/>
  <c r="E704" i="4"/>
  <c r="D704" i="4"/>
  <c r="C704" i="4"/>
  <c r="E703" i="4"/>
  <c r="D703" i="4"/>
  <c r="C703" i="4"/>
  <c r="E702" i="4"/>
  <c r="D702" i="4"/>
  <c r="C702" i="4"/>
  <c r="E701" i="4"/>
  <c r="D701" i="4"/>
  <c r="C701" i="4"/>
  <c r="E700" i="4"/>
  <c r="D700" i="4"/>
  <c r="C700" i="4"/>
  <c r="E699" i="4"/>
  <c r="D699" i="4"/>
  <c r="C699" i="4"/>
  <c r="E698" i="4"/>
  <c r="D698" i="4"/>
  <c r="C698" i="4"/>
  <c r="E697" i="4"/>
  <c r="D697" i="4"/>
  <c r="C697" i="4"/>
  <c r="E696" i="4"/>
  <c r="D696" i="4"/>
  <c r="C696" i="4"/>
  <c r="E695" i="4"/>
  <c r="D695" i="4"/>
  <c r="C695" i="4"/>
  <c r="E694" i="4"/>
  <c r="D694" i="4"/>
  <c r="C694" i="4"/>
  <c r="E693" i="4"/>
  <c r="D693" i="4"/>
  <c r="C693" i="4"/>
  <c r="E692" i="4"/>
  <c r="D692" i="4"/>
  <c r="C692" i="4"/>
  <c r="E691" i="4"/>
  <c r="D691" i="4"/>
  <c r="C691" i="4"/>
  <c r="E690" i="4"/>
  <c r="D690" i="4"/>
  <c r="C690" i="4"/>
  <c r="E689" i="4"/>
  <c r="D689" i="4"/>
  <c r="C689" i="4"/>
  <c r="E688" i="4"/>
  <c r="D688" i="4"/>
  <c r="C688" i="4"/>
  <c r="E687" i="4"/>
  <c r="D687" i="4"/>
  <c r="C687" i="4"/>
  <c r="E686" i="4"/>
  <c r="D686" i="4"/>
  <c r="C686" i="4"/>
  <c r="E685" i="4"/>
  <c r="D685" i="4"/>
  <c r="C685" i="4"/>
  <c r="E684" i="4"/>
  <c r="D684" i="4"/>
  <c r="C684" i="4"/>
  <c r="E683" i="4"/>
  <c r="D683" i="4"/>
  <c r="C683" i="4"/>
  <c r="E682" i="4"/>
  <c r="D682" i="4"/>
  <c r="C682" i="4"/>
  <c r="E681" i="4"/>
  <c r="D681" i="4"/>
  <c r="C681" i="4"/>
  <c r="E680" i="4"/>
  <c r="D680" i="4"/>
  <c r="C680" i="4"/>
  <c r="E679" i="4"/>
  <c r="D679" i="4"/>
  <c r="C679" i="4"/>
  <c r="E678" i="4"/>
  <c r="D678" i="4"/>
  <c r="C678" i="4"/>
  <c r="E677" i="4"/>
  <c r="D677" i="4"/>
  <c r="C677" i="4"/>
  <c r="E676" i="4"/>
  <c r="D676" i="4"/>
  <c r="C676" i="4"/>
  <c r="E675" i="4"/>
  <c r="D675" i="4"/>
  <c r="C675" i="4"/>
  <c r="E674" i="4"/>
  <c r="D674" i="4"/>
  <c r="C674" i="4"/>
  <c r="E673" i="4"/>
  <c r="D673" i="4"/>
  <c r="C673" i="4"/>
  <c r="E672" i="4"/>
  <c r="D672" i="4"/>
  <c r="C672" i="4"/>
  <c r="E671" i="4"/>
  <c r="D671" i="4"/>
  <c r="C671" i="4"/>
  <c r="E670" i="4"/>
  <c r="D670" i="4"/>
  <c r="C670" i="4"/>
  <c r="E669" i="4"/>
  <c r="D669" i="4"/>
  <c r="C669" i="4"/>
  <c r="E668" i="4"/>
  <c r="D668" i="4"/>
  <c r="C668" i="4"/>
  <c r="E667" i="4"/>
  <c r="D667" i="4"/>
  <c r="C667" i="4"/>
  <c r="E666" i="4"/>
  <c r="D666" i="4"/>
  <c r="C666" i="4"/>
  <c r="E665" i="4"/>
  <c r="D665" i="4"/>
  <c r="C665" i="4"/>
  <c r="E664" i="4"/>
  <c r="D664" i="4"/>
  <c r="C664" i="4"/>
  <c r="E663" i="4"/>
  <c r="D663" i="4"/>
  <c r="C663" i="4"/>
  <c r="E662" i="4"/>
  <c r="D662" i="4"/>
  <c r="C662" i="4"/>
  <c r="E661" i="4"/>
  <c r="D661" i="4"/>
  <c r="C661" i="4"/>
  <c r="E660" i="4"/>
  <c r="D660" i="4"/>
  <c r="C660" i="4"/>
  <c r="E659" i="4"/>
  <c r="D659" i="4"/>
  <c r="C659" i="4"/>
  <c r="E658" i="4"/>
  <c r="D658" i="4"/>
  <c r="C658" i="4"/>
  <c r="E657" i="4"/>
  <c r="D657" i="4"/>
  <c r="C657" i="4"/>
  <c r="E656" i="4"/>
  <c r="D656" i="4"/>
  <c r="C656" i="4"/>
  <c r="E655" i="4"/>
  <c r="D655" i="4"/>
  <c r="C655" i="4"/>
  <c r="E654" i="4"/>
  <c r="D654" i="4"/>
  <c r="C654" i="4"/>
  <c r="E653" i="4"/>
  <c r="D653" i="4"/>
  <c r="C653" i="4"/>
  <c r="E652" i="4"/>
  <c r="D652" i="4"/>
  <c r="C652" i="4"/>
  <c r="E651" i="4"/>
  <c r="D651" i="4"/>
  <c r="C651" i="4"/>
  <c r="E650" i="4"/>
  <c r="D650" i="4"/>
  <c r="C650" i="4"/>
  <c r="E649" i="4"/>
  <c r="D649" i="4"/>
  <c r="C649" i="4"/>
  <c r="E648" i="4"/>
  <c r="D648" i="4"/>
  <c r="C648" i="4"/>
  <c r="E647" i="4"/>
  <c r="D647" i="4"/>
  <c r="C647" i="4"/>
  <c r="E646" i="4"/>
  <c r="D646" i="4"/>
  <c r="C646" i="4"/>
  <c r="E645" i="4"/>
  <c r="D645" i="4"/>
  <c r="C645" i="4"/>
  <c r="E644" i="4"/>
  <c r="D644" i="4"/>
  <c r="C644" i="4"/>
  <c r="E643" i="4"/>
  <c r="D643" i="4"/>
  <c r="C643" i="4"/>
  <c r="E642" i="4"/>
  <c r="D642" i="4"/>
  <c r="C642" i="4"/>
  <c r="E641" i="4"/>
  <c r="D641" i="4"/>
  <c r="C641" i="4"/>
  <c r="E640" i="4"/>
  <c r="D640" i="4"/>
  <c r="C640" i="4"/>
  <c r="E639" i="4"/>
  <c r="D639" i="4"/>
  <c r="C639" i="4"/>
  <c r="E638" i="4"/>
  <c r="D638" i="4"/>
  <c r="C638" i="4"/>
  <c r="E637" i="4"/>
  <c r="D637" i="4"/>
  <c r="C637" i="4"/>
  <c r="E636" i="4"/>
  <c r="D636" i="4"/>
  <c r="C636" i="4"/>
  <c r="E635" i="4"/>
  <c r="D635" i="4"/>
  <c r="C635" i="4"/>
  <c r="E634" i="4"/>
  <c r="D634" i="4"/>
  <c r="C634" i="4"/>
  <c r="E633" i="4"/>
  <c r="D633" i="4"/>
  <c r="C633" i="4"/>
  <c r="E632" i="4"/>
  <c r="D632" i="4"/>
  <c r="C632" i="4"/>
  <c r="E631" i="4"/>
  <c r="D631" i="4"/>
  <c r="C631" i="4"/>
  <c r="E630" i="4"/>
  <c r="D630" i="4"/>
  <c r="C630" i="4"/>
  <c r="E629" i="4"/>
  <c r="D629" i="4"/>
  <c r="C629" i="4"/>
  <c r="E628" i="4"/>
  <c r="D628" i="4"/>
  <c r="C628" i="4"/>
  <c r="E627" i="4"/>
  <c r="D627" i="4"/>
  <c r="C627" i="4"/>
  <c r="E626" i="4"/>
  <c r="D626" i="4"/>
  <c r="C626" i="4"/>
  <c r="E625" i="4"/>
  <c r="D625" i="4"/>
  <c r="C625" i="4"/>
  <c r="E624" i="4"/>
  <c r="D624" i="4"/>
  <c r="C624" i="4"/>
  <c r="E623" i="4"/>
  <c r="D623" i="4"/>
  <c r="C623" i="4"/>
  <c r="E622" i="4"/>
  <c r="D622" i="4"/>
  <c r="C622" i="4"/>
  <c r="E621" i="4"/>
  <c r="D621" i="4"/>
  <c r="C621" i="4"/>
  <c r="E620" i="4"/>
  <c r="D620" i="4"/>
  <c r="C620" i="4"/>
  <c r="E619" i="4"/>
  <c r="D619" i="4"/>
  <c r="C619" i="4"/>
  <c r="E618" i="4"/>
  <c r="D618" i="4"/>
  <c r="C618" i="4"/>
  <c r="E617" i="4"/>
  <c r="D617" i="4"/>
  <c r="C617" i="4"/>
  <c r="E616" i="4"/>
  <c r="D616" i="4"/>
  <c r="C616" i="4"/>
  <c r="E615" i="4"/>
  <c r="D615" i="4"/>
  <c r="C615" i="4"/>
  <c r="E614" i="4"/>
  <c r="D614" i="4"/>
  <c r="C614" i="4"/>
  <c r="E613" i="4"/>
  <c r="D613" i="4"/>
  <c r="C613" i="4"/>
  <c r="E612" i="4"/>
  <c r="D612" i="4"/>
  <c r="C612" i="4"/>
  <c r="E611" i="4"/>
  <c r="D611" i="4"/>
  <c r="C611" i="4"/>
  <c r="E610" i="4"/>
  <c r="D610" i="4"/>
  <c r="C610" i="4"/>
  <c r="E609" i="4"/>
  <c r="D609" i="4"/>
  <c r="C609" i="4"/>
  <c r="E608" i="4"/>
  <c r="D608" i="4"/>
  <c r="C608" i="4"/>
  <c r="E607" i="4"/>
  <c r="D607" i="4"/>
  <c r="C607" i="4"/>
  <c r="E606" i="4"/>
  <c r="D606" i="4"/>
  <c r="C606" i="4"/>
  <c r="E605" i="4"/>
  <c r="D605" i="4"/>
  <c r="C605" i="4"/>
  <c r="E604" i="4"/>
  <c r="D604" i="4"/>
  <c r="C604" i="4"/>
  <c r="E603" i="4"/>
  <c r="D603" i="4"/>
  <c r="C603" i="4"/>
  <c r="E602" i="4"/>
  <c r="D602" i="4"/>
  <c r="C602" i="4"/>
  <c r="E601" i="4"/>
  <c r="D601" i="4"/>
  <c r="C601" i="4"/>
  <c r="E600" i="4"/>
  <c r="D600" i="4"/>
  <c r="C600" i="4"/>
  <c r="E599" i="4"/>
  <c r="D599" i="4"/>
  <c r="C599" i="4"/>
  <c r="E598" i="4"/>
  <c r="D598" i="4"/>
  <c r="C598" i="4"/>
  <c r="E597" i="4"/>
  <c r="D597" i="4"/>
  <c r="C597" i="4"/>
  <c r="E596" i="4"/>
  <c r="D596" i="4"/>
  <c r="C596" i="4"/>
  <c r="E595" i="4"/>
  <c r="D595" i="4"/>
  <c r="C595" i="4"/>
  <c r="E594" i="4"/>
  <c r="D594" i="4"/>
  <c r="C594" i="4"/>
  <c r="E593" i="4"/>
  <c r="D593" i="4"/>
  <c r="C593" i="4"/>
  <c r="E592" i="4"/>
  <c r="D592" i="4"/>
  <c r="C592" i="4"/>
  <c r="E591" i="4"/>
  <c r="D591" i="4"/>
  <c r="C591" i="4"/>
  <c r="E590" i="4"/>
  <c r="D590" i="4"/>
  <c r="C590" i="4"/>
  <c r="E589" i="4"/>
  <c r="D589" i="4"/>
  <c r="C589" i="4"/>
  <c r="E588" i="4"/>
  <c r="D588" i="4"/>
  <c r="C588" i="4"/>
  <c r="E587" i="4"/>
  <c r="D587" i="4"/>
  <c r="C587" i="4"/>
  <c r="E586" i="4"/>
  <c r="D586" i="4"/>
  <c r="C586" i="4"/>
  <c r="E585" i="4"/>
  <c r="D585" i="4"/>
  <c r="C585" i="4"/>
  <c r="E584" i="4"/>
  <c r="D584" i="4"/>
  <c r="C584" i="4"/>
  <c r="E583" i="4"/>
  <c r="D583" i="4"/>
  <c r="C583" i="4"/>
  <c r="E582" i="4"/>
  <c r="D582" i="4"/>
  <c r="C582" i="4"/>
  <c r="E581" i="4"/>
  <c r="D581" i="4"/>
  <c r="C581" i="4"/>
  <c r="E580" i="4"/>
  <c r="D580" i="4"/>
  <c r="C580" i="4"/>
  <c r="E579" i="4"/>
  <c r="D579" i="4"/>
  <c r="C579" i="4"/>
  <c r="E578" i="4"/>
  <c r="D578" i="4"/>
  <c r="C578" i="4"/>
  <c r="E577" i="4"/>
  <c r="D577" i="4"/>
  <c r="C577" i="4"/>
  <c r="E576" i="4"/>
  <c r="D576" i="4"/>
  <c r="C576" i="4"/>
  <c r="E575" i="4"/>
  <c r="D575" i="4"/>
  <c r="C575" i="4"/>
  <c r="E574" i="4"/>
  <c r="D574" i="4"/>
  <c r="C574" i="4"/>
  <c r="E573" i="4"/>
  <c r="D573" i="4"/>
  <c r="C573" i="4"/>
  <c r="E572" i="4"/>
  <c r="D572" i="4"/>
  <c r="C572" i="4"/>
  <c r="E571" i="4"/>
  <c r="D571" i="4"/>
  <c r="C571" i="4"/>
  <c r="E570" i="4"/>
  <c r="D570" i="4"/>
  <c r="C570" i="4"/>
  <c r="E569" i="4"/>
  <c r="D569" i="4"/>
  <c r="C569" i="4"/>
  <c r="E568" i="4"/>
  <c r="D568" i="4"/>
  <c r="C568" i="4"/>
  <c r="E567" i="4"/>
  <c r="D567" i="4"/>
  <c r="C567" i="4"/>
  <c r="E566" i="4"/>
  <c r="D566" i="4"/>
  <c r="C566" i="4"/>
  <c r="E565" i="4"/>
  <c r="D565" i="4"/>
  <c r="C565" i="4"/>
  <c r="E564" i="4"/>
  <c r="D564" i="4"/>
  <c r="C564" i="4"/>
  <c r="E563" i="4"/>
  <c r="D563" i="4"/>
  <c r="C563" i="4"/>
  <c r="E562" i="4"/>
  <c r="D562" i="4"/>
  <c r="C562" i="4"/>
  <c r="E561" i="4"/>
  <c r="D561" i="4"/>
  <c r="C561" i="4"/>
  <c r="E560" i="4"/>
  <c r="D560" i="4"/>
  <c r="C560" i="4"/>
  <c r="E559" i="4"/>
  <c r="D559" i="4"/>
  <c r="C559" i="4"/>
  <c r="E558" i="4"/>
  <c r="D558" i="4"/>
  <c r="C558" i="4"/>
  <c r="E557" i="4"/>
  <c r="D557" i="4"/>
  <c r="C557" i="4"/>
  <c r="E556" i="4"/>
  <c r="D556" i="4"/>
  <c r="C556" i="4"/>
  <c r="E555" i="4"/>
  <c r="D555" i="4"/>
  <c r="C555" i="4"/>
  <c r="E554" i="4"/>
  <c r="D554" i="4"/>
  <c r="C554" i="4"/>
  <c r="E553" i="4"/>
  <c r="D553" i="4"/>
  <c r="C553" i="4"/>
  <c r="E552" i="4"/>
  <c r="D552" i="4"/>
  <c r="C552" i="4"/>
  <c r="E551" i="4"/>
  <c r="D551" i="4"/>
  <c r="C551" i="4"/>
  <c r="E550" i="4"/>
  <c r="D550" i="4"/>
  <c r="C550" i="4"/>
  <c r="E549" i="4"/>
  <c r="D549" i="4"/>
  <c r="C549" i="4"/>
  <c r="E548" i="4"/>
  <c r="D548" i="4"/>
  <c r="C548" i="4"/>
  <c r="E547" i="4"/>
  <c r="D547" i="4"/>
  <c r="C547" i="4"/>
  <c r="E546" i="4"/>
  <c r="D546" i="4"/>
  <c r="C546" i="4"/>
  <c r="E545" i="4"/>
  <c r="D545" i="4"/>
  <c r="C545" i="4"/>
  <c r="E544" i="4"/>
  <c r="D544" i="4"/>
  <c r="C544" i="4"/>
  <c r="E543" i="4"/>
  <c r="D543" i="4"/>
  <c r="C543" i="4"/>
  <c r="E542" i="4"/>
  <c r="D542" i="4"/>
  <c r="C542" i="4"/>
  <c r="E541" i="4"/>
  <c r="D541" i="4"/>
  <c r="C541" i="4"/>
  <c r="E540" i="4"/>
  <c r="D540" i="4"/>
  <c r="C540" i="4"/>
  <c r="E539" i="4"/>
  <c r="D539" i="4"/>
  <c r="C539" i="4"/>
  <c r="E538" i="4"/>
  <c r="D538" i="4"/>
  <c r="C538" i="4"/>
  <c r="E537" i="4"/>
  <c r="D537" i="4"/>
  <c r="C537" i="4"/>
  <c r="E536" i="4"/>
  <c r="D536" i="4"/>
  <c r="C536" i="4"/>
  <c r="E535" i="4"/>
  <c r="D535" i="4"/>
  <c r="C535" i="4"/>
  <c r="E534" i="4"/>
  <c r="D534" i="4"/>
  <c r="C534" i="4"/>
  <c r="E533" i="4"/>
  <c r="D533" i="4"/>
  <c r="C533" i="4"/>
  <c r="E532" i="4"/>
  <c r="D532" i="4"/>
  <c r="C532" i="4"/>
  <c r="E531" i="4"/>
  <c r="D531" i="4"/>
  <c r="C531" i="4"/>
  <c r="E530" i="4"/>
  <c r="D530" i="4"/>
  <c r="C530" i="4"/>
  <c r="E529" i="4"/>
  <c r="D529" i="4"/>
  <c r="C529" i="4"/>
  <c r="E528" i="4"/>
  <c r="D528" i="4"/>
  <c r="C528" i="4"/>
  <c r="E527" i="4"/>
  <c r="D527" i="4"/>
  <c r="C527" i="4"/>
  <c r="E526" i="4"/>
  <c r="D526" i="4"/>
  <c r="C526" i="4"/>
  <c r="E525" i="4"/>
  <c r="D525" i="4"/>
  <c r="C525" i="4"/>
  <c r="E524" i="4"/>
  <c r="D524" i="4"/>
  <c r="C524" i="4"/>
  <c r="E523" i="4"/>
  <c r="D523" i="4"/>
  <c r="C523" i="4"/>
  <c r="E522" i="4"/>
  <c r="D522" i="4"/>
  <c r="C522" i="4"/>
  <c r="E521" i="4"/>
  <c r="D521" i="4"/>
  <c r="C521" i="4"/>
  <c r="E520" i="4"/>
  <c r="D520" i="4"/>
  <c r="C520" i="4"/>
  <c r="E519" i="4"/>
  <c r="D519" i="4"/>
  <c r="C519" i="4"/>
  <c r="E518" i="4"/>
  <c r="D518" i="4"/>
  <c r="C518" i="4"/>
  <c r="E517" i="4"/>
  <c r="D517" i="4"/>
  <c r="C517" i="4"/>
  <c r="E516" i="4"/>
  <c r="D516" i="4"/>
  <c r="C516" i="4"/>
  <c r="E515" i="4"/>
  <c r="D515" i="4"/>
  <c r="C515" i="4"/>
  <c r="E514" i="4"/>
  <c r="D514" i="4"/>
  <c r="C514" i="4"/>
  <c r="E513" i="4"/>
  <c r="D513" i="4"/>
  <c r="C513" i="4"/>
  <c r="E512" i="4"/>
  <c r="D512" i="4"/>
  <c r="C512" i="4"/>
  <c r="E511" i="4"/>
  <c r="D511" i="4"/>
  <c r="C511" i="4"/>
  <c r="E510" i="4"/>
  <c r="D510" i="4"/>
  <c r="C510" i="4"/>
  <c r="E509" i="4"/>
  <c r="D509" i="4"/>
  <c r="C509" i="4"/>
  <c r="E508" i="4"/>
  <c r="D508" i="4"/>
  <c r="C508" i="4"/>
  <c r="E507" i="4"/>
  <c r="D507" i="4"/>
  <c r="C507" i="4"/>
  <c r="E506" i="4"/>
  <c r="D506" i="4"/>
  <c r="C506" i="4"/>
  <c r="E505" i="4"/>
  <c r="D505" i="4"/>
  <c r="C505" i="4"/>
  <c r="E504" i="4"/>
  <c r="D504" i="4"/>
  <c r="C504" i="4"/>
  <c r="E503" i="4"/>
  <c r="D503" i="4"/>
  <c r="C503" i="4"/>
  <c r="E502" i="4"/>
  <c r="D502" i="4"/>
  <c r="C502" i="4"/>
  <c r="E501" i="4"/>
  <c r="D501" i="4"/>
  <c r="C501" i="4"/>
  <c r="E500" i="4"/>
  <c r="D500" i="4"/>
  <c r="C500" i="4"/>
  <c r="E499" i="4"/>
  <c r="D499" i="4"/>
  <c r="C499" i="4"/>
  <c r="E498" i="4"/>
  <c r="D498" i="4"/>
  <c r="C498" i="4"/>
  <c r="E497" i="4"/>
  <c r="D497" i="4"/>
  <c r="C497" i="4"/>
  <c r="E496" i="4"/>
  <c r="D496" i="4"/>
  <c r="C496" i="4"/>
  <c r="E495" i="4"/>
  <c r="D495" i="4"/>
  <c r="C495" i="4"/>
  <c r="E494" i="4"/>
  <c r="D494" i="4"/>
  <c r="C494" i="4"/>
  <c r="E493" i="4"/>
  <c r="D493" i="4"/>
  <c r="C493" i="4"/>
  <c r="E492" i="4"/>
  <c r="D492" i="4"/>
  <c r="C492" i="4"/>
  <c r="E491" i="4"/>
  <c r="D491" i="4"/>
  <c r="C491" i="4"/>
  <c r="E490" i="4"/>
  <c r="D490" i="4"/>
  <c r="C490" i="4"/>
  <c r="E489" i="4"/>
  <c r="D489" i="4"/>
  <c r="C489" i="4"/>
  <c r="E488" i="4"/>
  <c r="D488" i="4"/>
  <c r="C488" i="4"/>
  <c r="E487" i="4"/>
  <c r="D487" i="4"/>
  <c r="C487" i="4"/>
  <c r="E486" i="4"/>
  <c r="D486" i="4"/>
  <c r="C486" i="4"/>
  <c r="E485" i="4"/>
  <c r="D485" i="4"/>
  <c r="C485" i="4"/>
  <c r="E484" i="4"/>
  <c r="D484" i="4"/>
  <c r="C484" i="4"/>
  <c r="E483" i="4"/>
  <c r="D483" i="4"/>
  <c r="C483" i="4"/>
  <c r="E482" i="4"/>
  <c r="D482" i="4"/>
  <c r="C482" i="4"/>
  <c r="E481" i="4"/>
  <c r="D481" i="4"/>
  <c r="C481" i="4"/>
  <c r="E480" i="4"/>
  <c r="D480" i="4"/>
  <c r="C480" i="4"/>
  <c r="E479" i="4"/>
  <c r="D479" i="4"/>
  <c r="C479" i="4"/>
  <c r="E478" i="4"/>
  <c r="D478" i="4"/>
  <c r="C478" i="4"/>
  <c r="E477" i="4"/>
  <c r="D477" i="4"/>
  <c r="C477" i="4"/>
  <c r="E476" i="4"/>
  <c r="D476" i="4"/>
  <c r="C476" i="4"/>
  <c r="E475" i="4"/>
  <c r="D475" i="4"/>
  <c r="C475" i="4"/>
  <c r="E474" i="4"/>
  <c r="D474" i="4"/>
  <c r="C474" i="4"/>
  <c r="E473" i="4"/>
  <c r="D473" i="4"/>
  <c r="C473" i="4"/>
  <c r="E472" i="4"/>
  <c r="D472" i="4"/>
  <c r="C472" i="4"/>
  <c r="E471" i="4"/>
  <c r="D471" i="4"/>
  <c r="C471" i="4"/>
  <c r="E470" i="4"/>
  <c r="D470" i="4"/>
  <c r="C470" i="4"/>
  <c r="E469" i="4"/>
  <c r="D469" i="4"/>
  <c r="C469" i="4"/>
  <c r="E468" i="4"/>
  <c r="D468" i="4"/>
  <c r="C468" i="4"/>
  <c r="E467" i="4"/>
  <c r="D467" i="4"/>
  <c r="C467" i="4"/>
  <c r="E466" i="4"/>
  <c r="D466" i="4"/>
  <c r="C466" i="4"/>
  <c r="E465" i="4"/>
  <c r="D465" i="4"/>
  <c r="C465" i="4"/>
  <c r="E464" i="4"/>
  <c r="D464" i="4"/>
  <c r="C464" i="4"/>
  <c r="E463" i="4"/>
  <c r="D463" i="4"/>
  <c r="C463" i="4"/>
  <c r="E462" i="4"/>
  <c r="D462" i="4"/>
  <c r="C462" i="4"/>
  <c r="E461" i="4"/>
  <c r="D461" i="4"/>
  <c r="C461" i="4"/>
  <c r="E460" i="4"/>
  <c r="D460" i="4"/>
  <c r="C460" i="4"/>
  <c r="E459" i="4"/>
  <c r="D459" i="4"/>
  <c r="C459" i="4"/>
  <c r="E458" i="4"/>
  <c r="D458" i="4"/>
  <c r="C458" i="4"/>
  <c r="E457" i="4"/>
  <c r="D457" i="4"/>
  <c r="C457" i="4"/>
  <c r="E456" i="4"/>
  <c r="D456" i="4"/>
  <c r="C456" i="4"/>
  <c r="E455" i="4"/>
  <c r="D455" i="4"/>
  <c r="C455" i="4"/>
  <c r="E454" i="4"/>
  <c r="D454" i="4"/>
  <c r="C454" i="4"/>
  <c r="E453" i="4"/>
  <c r="D453" i="4"/>
  <c r="C453" i="4"/>
  <c r="E452" i="4"/>
  <c r="D452" i="4"/>
  <c r="C452" i="4"/>
  <c r="E451" i="4"/>
  <c r="D451" i="4"/>
  <c r="C451" i="4"/>
  <c r="E450" i="4"/>
  <c r="D450" i="4"/>
  <c r="C450" i="4"/>
  <c r="E449" i="4"/>
  <c r="D449" i="4"/>
  <c r="C449" i="4"/>
  <c r="E448" i="4"/>
  <c r="D448" i="4"/>
  <c r="C448" i="4"/>
  <c r="E447" i="4"/>
  <c r="D447" i="4"/>
  <c r="C447" i="4"/>
  <c r="E446" i="4"/>
  <c r="D446" i="4"/>
  <c r="C446" i="4"/>
  <c r="E445" i="4"/>
  <c r="D445" i="4"/>
  <c r="C445" i="4"/>
  <c r="E444" i="4"/>
  <c r="D444" i="4"/>
  <c r="C444" i="4"/>
  <c r="E443" i="4"/>
  <c r="D443" i="4"/>
  <c r="C443" i="4"/>
  <c r="E442" i="4"/>
  <c r="D442" i="4"/>
  <c r="C442" i="4"/>
  <c r="E441" i="4"/>
  <c r="D441" i="4"/>
  <c r="C441" i="4"/>
  <c r="E440" i="4"/>
  <c r="D440" i="4"/>
  <c r="C440" i="4"/>
  <c r="E439" i="4"/>
  <c r="D439" i="4"/>
  <c r="C439" i="4"/>
  <c r="E438" i="4"/>
  <c r="D438" i="4"/>
  <c r="C438" i="4"/>
  <c r="E437" i="4"/>
  <c r="D437" i="4"/>
  <c r="C437" i="4"/>
  <c r="E436" i="4"/>
  <c r="D436" i="4"/>
  <c r="C436" i="4"/>
  <c r="E435" i="4"/>
  <c r="D435" i="4"/>
  <c r="C435" i="4"/>
  <c r="E434" i="4"/>
  <c r="D434" i="4"/>
  <c r="C434" i="4"/>
  <c r="E433" i="4"/>
  <c r="D433" i="4"/>
  <c r="C433" i="4"/>
  <c r="E432" i="4"/>
  <c r="D432" i="4"/>
  <c r="C432" i="4"/>
  <c r="E431" i="4"/>
  <c r="D431" i="4"/>
  <c r="C431" i="4"/>
  <c r="E430" i="4"/>
  <c r="D430" i="4"/>
  <c r="C430" i="4"/>
  <c r="E429" i="4"/>
  <c r="D429" i="4"/>
  <c r="C429" i="4"/>
  <c r="E428" i="4"/>
  <c r="D428" i="4"/>
  <c r="C428" i="4"/>
  <c r="E427" i="4"/>
  <c r="D427" i="4"/>
  <c r="C427" i="4"/>
  <c r="E426" i="4"/>
  <c r="D426" i="4"/>
  <c r="C426" i="4"/>
  <c r="E425" i="4"/>
  <c r="D425" i="4"/>
  <c r="C425" i="4"/>
  <c r="E424" i="4"/>
  <c r="D424" i="4"/>
  <c r="C424" i="4"/>
  <c r="E423" i="4"/>
  <c r="D423" i="4"/>
  <c r="C423" i="4"/>
  <c r="E422" i="4"/>
  <c r="D422" i="4"/>
  <c r="C422" i="4"/>
  <c r="E421" i="4"/>
  <c r="D421" i="4"/>
  <c r="C421" i="4"/>
  <c r="E420" i="4"/>
  <c r="D420" i="4"/>
  <c r="C420" i="4"/>
  <c r="E419" i="4"/>
  <c r="D419" i="4"/>
  <c r="C419" i="4"/>
  <c r="E418" i="4"/>
  <c r="D418" i="4"/>
  <c r="C418" i="4"/>
  <c r="E417" i="4"/>
  <c r="D417" i="4"/>
  <c r="C417" i="4"/>
  <c r="E416" i="4"/>
  <c r="D416" i="4"/>
  <c r="C416" i="4"/>
  <c r="E415" i="4"/>
  <c r="D415" i="4"/>
  <c r="C415" i="4"/>
  <c r="E414" i="4"/>
  <c r="D414" i="4"/>
  <c r="C414" i="4"/>
  <c r="E413" i="4"/>
  <c r="D413" i="4"/>
  <c r="C413" i="4"/>
  <c r="E412" i="4"/>
  <c r="D412" i="4"/>
  <c r="C412" i="4"/>
  <c r="E411" i="4"/>
  <c r="D411" i="4"/>
  <c r="C411" i="4"/>
  <c r="E410" i="4"/>
  <c r="D410" i="4"/>
  <c r="C410" i="4"/>
  <c r="E409" i="4"/>
  <c r="D409" i="4"/>
  <c r="C409" i="4"/>
  <c r="E408" i="4"/>
  <c r="D408" i="4"/>
  <c r="C408" i="4"/>
  <c r="E407" i="4"/>
  <c r="D407" i="4"/>
  <c r="C407" i="4"/>
  <c r="E406" i="4"/>
  <c r="D406" i="4"/>
  <c r="C406" i="4"/>
  <c r="E405" i="4"/>
  <c r="D405" i="4"/>
  <c r="C405" i="4"/>
  <c r="E404" i="4"/>
  <c r="D404" i="4"/>
  <c r="C404" i="4"/>
  <c r="E403" i="4"/>
  <c r="D403" i="4"/>
  <c r="C403" i="4"/>
  <c r="E402" i="4"/>
  <c r="D402" i="4"/>
  <c r="C402" i="4"/>
  <c r="E401" i="4"/>
  <c r="D401" i="4"/>
  <c r="C401" i="4"/>
  <c r="E400" i="4"/>
  <c r="D400" i="4"/>
  <c r="C400" i="4"/>
  <c r="E399" i="4"/>
  <c r="D399" i="4"/>
  <c r="C399" i="4"/>
  <c r="E398" i="4"/>
  <c r="D398" i="4"/>
  <c r="C398" i="4"/>
  <c r="E397" i="4"/>
  <c r="D397" i="4"/>
  <c r="C397" i="4"/>
  <c r="E396" i="4"/>
  <c r="D396" i="4"/>
  <c r="C396" i="4"/>
  <c r="E395" i="4"/>
  <c r="D395" i="4"/>
  <c r="C395" i="4"/>
  <c r="E394" i="4"/>
  <c r="D394" i="4"/>
  <c r="C394" i="4"/>
  <c r="E393" i="4"/>
  <c r="D393" i="4"/>
  <c r="C393" i="4"/>
  <c r="E392" i="4"/>
  <c r="D392" i="4"/>
  <c r="C392" i="4"/>
  <c r="E391" i="4"/>
  <c r="D391" i="4"/>
  <c r="C391" i="4"/>
  <c r="E390" i="4"/>
  <c r="D390" i="4"/>
  <c r="C390" i="4"/>
  <c r="E389" i="4"/>
  <c r="D389" i="4"/>
  <c r="C389" i="4"/>
  <c r="E388" i="4"/>
  <c r="D388" i="4"/>
  <c r="C388" i="4"/>
  <c r="E387" i="4"/>
  <c r="D387" i="4"/>
  <c r="C387" i="4"/>
  <c r="E386" i="4"/>
  <c r="D386" i="4"/>
  <c r="C386" i="4"/>
  <c r="E385" i="4"/>
  <c r="D385" i="4"/>
  <c r="C385" i="4"/>
  <c r="E384" i="4"/>
  <c r="D384" i="4"/>
  <c r="C384" i="4"/>
  <c r="E383" i="4"/>
  <c r="D383" i="4"/>
  <c r="C383" i="4"/>
  <c r="E382" i="4"/>
  <c r="D382" i="4"/>
  <c r="C382" i="4"/>
  <c r="E381" i="4"/>
  <c r="D381" i="4"/>
  <c r="C381" i="4"/>
  <c r="E380" i="4"/>
  <c r="D380" i="4"/>
  <c r="C380" i="4"/>
  <c r="E379" i="4"/>
  <c r="D379" i="4"/>
  <c r="C379" i="4"/>
  <c r="E378" i="4"/>
  <c r="D378" i="4"/>
  <c r="C378" i="4"/>
  <c r="E377" i="4"/>
  <c r="D377" i="4"/>
  <c r="C377" i="4"/>
  <c r="E376" i="4"/>
  <c r="D376" i="4"/>
  <c r="C376" i="4"/>
  <c r="E375" i="4"/>
  <c r="D375" i="4"/>
  <c r="C375" i="4"/>
  <c r="E374" i="4"/>
  <c r="D374" i="4"/>
  <c r="C374" i="4"/>
  <c r="E373" i="4"/>
  <c r="D373" i="4"/>
  <c r="C373" i="4"/>
  <c r="E372" i="4"/>
  <c r="D372" i="4"/>
  <c r="C372" i="4"/>
  <c r="E371" i="4"/>
  <c r="D371" i="4"/>
  <c r="C371" i="4"/>
  <c r="E370" i="4"/>
  <c r="D370" i="4"/>
  <c r="C370" i="4"/>
  <c r="E369" i="4"/>
  <c r="D369" i="4"/>
  <c r="C369" i="4"/>
  <c r="E368" i="4"/>
  <c r="D368" i="4"/>
  <c r="C368" i="4"/>
  <c r="E367" i="4"/>
  <c r="D367" i="4"/>
  <c r="C367" i="4"/>
  <c r="E366" i="4"/>
  <c r="D366" i="4"/>
  <c r="C366" i="4"/>
  <c r="E365" i="4"/>
  <c r="D365" i="4"/>
  <c r="C365" i="4"/>
  <c r="E364" i="4"/>
  <c r="D364" i="4"/>
  <c r="C364" i="4"/>
  <c r="E363" i="4"/>
  <c r="D363" i="4"/>
  <c r="C363" i="4"/>
  <c r="E362" i="4"/>
  <c r="D362" i="4"/>
  <c r="C362" i="4"/>
  <c r="E361" i="4"/>
  <c r="D361" i="4"/>
  <c r="C361" i="4"/>
  <c r="E360" i="4"/>
  <c r="D360" i="4"/>
  <c r="C360" i="4"/>
  <c r="E359" i="4"/>
  <c r="D359" i="4"/>
  <c r="C359" i="4"/>
  <c r="E358" i="4"/>
  <c r="D358" i="4"/>
  <c r="C358" i="4"/>
  <c r="E357" i="4"/>
  <c r="D357" i="4"/>
  <c r="C357" i="4"/>
  <c r="E356" i="4"/>
  <c r="D356" i="4"/>
  <c r="C356" i="4"/>
  <c r="E355" i="4"/>
  <c r="D355" i="4"/>
  <c r="C355" i="4"/>
  <c r="E354" i="4"/>
  <c r="D354" i="4"/>
  <c r="C354" i="4"/>
  <c r="E353" i="4"/>
  <c r="D353" i="4"/>
  <c r="C353" i="4"/>
  <c r="E352" i="4"/>
  <c r="D352" i="4"/>
  <c r="C352" i="4"/>
  <c r="E351" i="4"/>
  <c r="D351" i="4"/>
  <c r="C351" i="4"/>
  <c r="E350" i="4"/>
  <c r="D350" i="4"/>
  <c r="C350" i="4"/>
  <c r="E349" i="4"/>
  <c r="D349" i="4"/>
  <c r="C349" i="4"/>
  <c r="E348" i="4"/>
  <c r="D348" i="4"/>
  <c r="C348" i="4"/>
  <c r="E347" i="4"/>
  <c r="D347" i="4"/>
  <c r="C347" i="4"/>
  <c r="E346" i="4"/>
  <c r="D346" i="4"/>
  <c r="C346" i="4"/>
  <c r="E345" i="4"/>
  <c r="D345" i="4"/>
  <c r="C345" i="4"/>
  <c r="E344" i="4"/>
  <c r="D344" i="4"/>
  <c r="C344" i="4"/>
  <c r="E343" i="4"/>
  <c r="D343" i="4"/>
  <c r="C343" i="4"/>
  <c r="E342" i="4"/>
  <c r="D342" i="4"/>
  <c r="C342" i="4"/>
  <c r="E341" i="4"/>
  <c r="D341" i="4"/>
  <c r="C341" i="4"/>
  <c r="E340" i="4"/>
  <c r="D340" i="4"/>
  <c r="C340" i="4"/>
  <c r="E339" i="4"/>
  <c r="D339" i="4"/>
  <c r="C339" i="4"/>
  <c r="E338" i="4"/>
  <c r="D338" i="4"/>
  <c r="C338" i="4"/>
  <c r="E337" i="4"/>
  <c r="D337" i="4"/>
  <c r="C337" i="4"/>
  <c r="E336" i="4"/>
  <c r="D336" i="4"/>
  <c r="C336" i="4"/>
  <c r="E335" i="4"/>
  <c r="D335" i="4"/>
  <c r="C335" i="4"/>
  <c r="E334" i="4"/>
  <c r="D334" i="4"/>
  <c r="C334" i="4"/>
  <c r="E333" i="4"/>
  <c r="D333" i="4"/>
  <c r="C333" i="4"/>
  <c r="E332" i="4"/>
  <c r="D332" i="4"/>
  <c r="C332" i="4"/>
  <c r="E331" i="4"/>
  <c r="D331" i="4"/>
  <c r="C331" i="4"/>
  <c r="E330" i="4"/>
  <c r="D330" i="4"/>
  <c r="C330" i="4"/>
  <c r="E329" i="4"/>
  <c r="D329" i="4"/>
  <c r="C329" i="4"/>
  <c r="E328" i="4"/>
  <c r="D328" i="4"/>
  <c r="C328" i="4"/>
  <c r="E327" i="4"/>
  <c r="D327" i="4"/>
  <c r="C327" i="4"/>
  <c r="E326" i="4"/>
  <c r="D326" i="4"/>
  <c r="C326" i="4"/>
  <c r="E325" i="4"/>
  <c r="D325" i="4"/>
  <c r="C325" i="4"/>
  <c r="E324" i="4"/>
  <c r="D324" i="4"/>
  <c r="C324" i="4"/>
  <c r="E323" i="4"/>
  <c r="D323" i="4"/>
  <c r="C323" i="4"/>
  <c r="E322" i="4"/>
  <c r="D322" i="4"/>
  <c r="C322" i="4"/>
  <c r="E321" i="4"/>
  <c r="D321" i="4"/>
  <c r="C321" i="4"/>
  <c r="E320" i="4"/>
  <c r="D320" i="4"/>
  <c r="C320" i="4"/>
  <c r="E319" i="4"/>
  <c r="D319" i="4"/>
  <c r="C319" i="4"/>
  <c r="E318" i="4"/>
  <c r="D318" i="4"/>
  <c r="C318" i="4"/>
  <c r="E317" i="4"/>
  <c r="D317" i="4"/>
  <c r="C317" i="4"/>
  <c r="E316" i="4"/>
  <c r="D316" i="4"/>
  <c r="C316" i="4"/>
  <c r="E315" i="4"/>
  <c r="D315" i="4"/>
  <c r="C315" i="4"/>
  <c r="E314" i="4"/>
  <c r="D314" i="4"/>
  <c r="C314" i="4"/>
  <c r="E313" i="4"/>
  <c r="D313" i="4"/>
  <c r="C313" i="4"/>
  <c r="E312" i="4"/>
  <c r="D312" i="4"/>
  <c r="C312" i="4"/>
  <c r="E311" i="4"/>
  <c r="D311" i="4"/>
  <c r="C311" i="4"/>
  <c r="E310" i="4"/>
  <c r="D310" i="4"/>
  <c r="C310" i="4"/>
  <c r="E309" i="4"/>
  <c r="D309" i="4"/>
  <c r="C309" i="4"/>
  <c r="E308" i="4"/>
  <c r="D308" i="4"/>
  <c r="C308" i="4"/>
  <c r="E307" i="4"/>
  <c r="D307" i="4"/>
  <c r="C307" i="4"/>
  <c r="E306" i="4"/>
  <c r="D306" i="4"/>
  <c r="C306" i="4"/>
  <c r="E305" i="4"/>
  <c r="D305" i="4"/>
  <c r="C305" i="4"/>
  <c r="E304" i="4"/>
  <c r="D304" i="4"/>
  <c r="C304" i="4"/>
  <c r="E303" i="4"/>
  <c r="D303" i="4"/>
  <c r="C303" i="4"/>
  <c r="E302" i="4"/>
  <c r="D302" i="4"/>
  <c r="C302" i="4"/>
  <c r="E301" i="4"/>
  <c r="D301" i="4"/>
  <c r="C301" i="4"/>
  <c r="E300" i="4"/>
  <c r="D300" i="4"/>
  <c r="C300" i="4"/>
  <c r="E299" i="4"/>
  <c r="D299" i="4"/>
  <c r="C299" i="4"/>
  <c r="E298" i="4"/>
  <c r="D298" i="4"/>
  <c r="C298" i="4"/>
  <c r="E297" i="4"/>
  <c r="D297" i="4"/>
  <c r="C297" i="4"/>
  <c r="E296" i="4"/>
  <c r="D296" i="4"/>
  <c r="C296" i="4"/>
  <c r="E295" i="4"/>
  <c r="D295" i="4"/>
  <c r="C295" i="4"/>
  <c r="E294" i="4"/>
  <c r="D294" i="4"/>
  <c r="C294" i="4"/>
  <c r="E293" i="4"/>
  <c r="D293" i="4"/>
  <c r="C293" i="4"/>
  <c r="E292" i="4"/>
  <c r="D292" i="4"/>
  <c r="C292" i="4"/>
  <c r="E291" i="4"/>
  <c r="D291" i="4"/>
  <c r="C291" i="4"/>
  <c r="E290" i="4"/>
  <c r="D290" i="4"/>
  <c r="C290" i="4"/>
  <c r="E289" i="4"/>
  <c r="D289" i="4"/>
  <c r="C289" i="4"/>
  <c r="E288" i="4"/>
  <c r="D288" i="4"/>
  <c r="C288" i="4"/>
  <c r="E287" i="4"/>
  <c r="D287" i="4"/>
  <c r="C287" i="4"/>
  <c r="E286" i="4"/>
  <c r="D286" i="4"/>
  <c r="C286" i="4"/>
  <c r="E285" i="4"/>
  <c r="D285" i="4"/>
  <c r="C285" i="4"/>
  <c r="E284" i="4"/>
  <c r="D284" i="4"/>
  <c r="C284" i="4"/>
  <c r="E283" i="4"/>
  <c r="D283" i="4"/>
  <c r="C283" i="4"/>
  <c r="E282" i="4"/>
  <c r="D282" i="4"/>
  <c r="C282" i="4"/>
  <c r="E281" i="4"/>
  <c r="D281" i="4"/>
  <c r="C281" i="4"/>
  <c r="E280" i="4"/>
  <c r="D280" i="4"/>
  <c r="C280" i="4"/>
  <c r="E279" i="4"/>
  <c r="D279" i="4"/>
  <c r="C279" i="4"/>
  <c r="E278" i="4"/>
  <c r="D278" i="4"/>
  <c r="C278" i="4"/>
  <c r="E277" i="4"/>
  <c r="D277" i="4"/>
  <c r="C277" i="4"/>
  <c r="E276" i="4"/>
  <c r="D276" i="4"/>
  <c r="C276" i="4"/>
  <c r="E275" i="4"/>
  <c r="D275" i="4"/>
  <c r="C275" i="4"/>
  <c r="E274" i="4"/>
  <c r="D274" i="4"/>
  <c r="C274" i="4"/>
  <c r="E273" i="4"/>
  <c r="D273" i="4"/>
  <c r="C273" i="4"/>
  <c r="E272" i="4"/>
  <c r="D272" i="4"/>
  <c r="C272" i="4"/>
  <c r="E271" i="4"/>
  <c r="D271" i="4"/>
  <c r="C271" i="4"/>
  <c r="E270" i="4"/>
  <c r="D270" i="4"/>
  <c r="C270" i="4"/>
  <c r="E269" i="4"/>
  <c r="D269" i="4"/>
  <c r="C269" i="4"/>
  <c r="E268" i="4"/>
  <c r="D268" i="4"/>
  <c r="C268" i="4"/>
  <c r="E267" i="4"/>
  <c r="D267" i="4"/>
  <c r="C267" i="4"/>
  <c r="E266" i="4"/>
  <c r="D266" i="4"/>
  <c r="C266" i="4"/>
  <c r="E265" i="4"/>
  <c r="D265" i="4"/>
  <c r="C265" i="4"/>
  <c r="E264" i="4"/>
  <c r="D264" i="4"/>
  <c r="C264" i="4"/>
  <c r="E263" i="4"/>
  <c r="D263" i="4"/>
  <c r="C263" i="4"/>
  <c r="E262" i="4"/>
  <c r="D262" i="4"/>
  <c r="C262" i="4"/>
  <c r="E261" i="4"/>
  <c r="D261" i="4"/>
  <c r="C261" i="4"/>
  <c r="E260" i="4"/>
  <c r="D260" i="4"/>
  <c r="C260" i="4"/>
  <c r="E259" i="4"/>
  <c r="D259" i="4"/>
  <c r="C259" i="4"/>
  <c r="E258" i="4"/>
  <c r="D258" i="4"/>
  <c r="C258" i="4"/>
  <c r="E257" i="4"/>
  <c r="D257" i="4"/>
  <c r="C257" i="4"/>
  <c r="E256" i="4"/>
  <c r="D256" i="4"/>
  <c r="C256" i="4"/>
  <c r="E255" i="4"/>
  <c r="D255" i="4"/>
  <c r="C255" i="4"/>
  <c r="E254" i="4"/>
  <c r="D254" i="4"/>
  <c r="C254" i="4"/>
  <c r="E253" i="4"/>
  <c r="D253" i="4"/>
  <c r="C253" i="4"/>
  <c r="E252" i="4"/>
  <c r="D252" i="4"/>
  <c r="C252" i="4"/>
  <c r="E251" i="4"/>
  <c r="D251" i="4"/>
  <c r="C251" i="4"/>
  <c r="E250" i="4"/>
  <c r="D250" i="4"/>
  <c r="C250" i="4"/>
  <c r="E249" i="4"/>
  <c r="D249" i="4"/>
  <c r="C249" i="4"/>
  <c r="E248" i="4"/>
  <c r="D248" i="4"/>
  <c r="C248" i="4"/>
  <c r="E247" i="4"/>
  <c r="D247" i="4"/>
  <c r="C247" i="4"/>
  <c r="E246" i="4"/>
  <c r="D246" i="4"/>
  <c r="C246" i="4"/>
  <c r="E245" i="4"/>
  <c r="D245" i="4"/>
  <c r="C245" i="4"/>
  <c r="E244" i="4"/>
  <c r="D244" i="4"/>
  <c r="C244" i="4"/>
  <c r="E243" i="4"/>
  <c r="D243" i="4"/>
  <c r="C243" i="4"/>
  <c r="E242" i="4"/>
  <c r="D242" i="4"/>
  <c r="C242" i="4"/>
  <c r="E241" i="4"/>
  <c r="D241" i="4"/>
  <c r="C241" i="4"/>
  <c r="E240" i="4"/>
  <c r="D240" i="4"/>
  <c r="C240" i="4"/>
  <c r="E239" i="4"/>
  <c r="D239" i="4"/>
  <c r="C239" i="4"/>
  <c r="E238" i="4"/>
  <c r="D238" i="4"/>
  <c r="C238" i="4"/>
  <c r="E237" i="4"/>
  <c r="D237" i="4"/>
  <c r="C237" i="4"/>
  <c r="E236" i="4"/>
  <c r="D236" i="4"/>
  <c r="C236" i="4"/>
  <c r="E235" i="4"/>
  <c r="D235" i="4"/>
  <c r="C235" i="4"/>
  <c r="E234" i="4"/>
  <c r="D234" i="4"/>
  <c r="C234" i="4"/>
  <c r="E233" i="4"/>
  <c r="D233" i="4"/>
  <c r="C233" i="4"/>
  <c r="E232" i="4"/>
  <c r="D232" i="4"/>
  <c r="C232" i="4"/>
  <c r="E231" i="4"/>
  <c r="D231" i="4"/>
  <c r="C231" i="4"/>
  <c r="E230" i="4"/>
  <c r="D230" i="4"/>
  <c r="C230" i="4"/>
  <c r="E229" i="4"/>
  <c r="D229" i="4"/>
  <c r="C229" i="4"/>
  <c r="E228" i="4"/>
  <c r="D228" i="4"/>
  <c r="C228" i="4"/>
  <c r="E227" i="4"/>
  <c r="D227" i="4"/>
  <c r="C227" i="4"/>
  <c r="E226" i="4"/>
  <c r="D226" i="4"/>
  <c r="C226" i="4"/>
  <c r="E225" i="4"/>
  <c r="D225" i="4"/>
  <c r="C225" i="4"/>
  <c r="E224" i="4"/>
  <c r="D224" i="4"/>
  <c r="C224" i="4"/>
  <c r="E223" i="4"/>
  <c r="D223" i="4"/>
  <c r="C223" i="4"/>
  <c r="E222" i="4"/>
  <c r="D222" i="4"/>
  <c r="C222" i="4"/>
  <c r="E221" i="4"/>
  <c r="D221" i="4"/>
  <c r="C221" i="4"/>
  <c r="E220" i="4"/>
  <c r="D220" i="4"/>
  <c r="C220" i="4"/>
  <c r="E219" i="4"/>
  <c r="D219" i="4"/>
  <c r="C219" i="4"/>
  <c r="E218" i="4"/>
  <c r="D218" i="4"/>
  <c r="C218" i="4"/>
  <c r="E217" i="4"/>
  <c r="D217" i="4"/>
  <c r="C217" i="4"/>
  <c r="E216" i="4"/>
  <c r="D216" i="4"/>
  <c r="C216" i="4"/>
  <c r="E215" i="4"/>
  <c r="D215" i="4"/>
  <c r="C215" i="4"/>
  <c r="E214" i="4"/>
  <c r="D214" i="4"/>
  <c r="C214" i="4"/>
  <c r="E213" i="4"/>
  <c r="D213" i="4"/>
  <c r="C213" i="4"/>
  <c r="E212" i="4"/>
  <c r="D212" i="4"/>
  <c r="C212" i="4"/>
  <c r="E211" i="4"/>
  <c r="D211" i="4"/>
  <c r="C211" i="4"/>
  <c r="E210" i="4"/>
  <c r="D210" i="4"/>
  <c r="C210" i="4"/>
  <c r="E209" i="4"/>
  <c r="D209" i="4"/>
  <c r="C209" i="4"/>
  <c r="E208" i="4"/>
  <c r="D208" i="4"/>
  <c r="C208" i="4"/>
  <c r="E207" i="4"/>
  <c r="D207" i="4"/>
  <c r="C207" i="4"/>
  <c r="E206" i="4"/>
  <c r="D206" i="4"/>
  <c r="C206" i="4"/>
  <c r="E205" i="4"/>
  <c r="D205" i="4"/>
  <c r="C205" i="4"/>
  <c r="E204" i="4"/>
  <c r="D204" i="4"/>
  <c r="C204" i="4"/>
  <c r="E203" i="4"/>
  <c r="D203" i="4"/>
  <c r="C203" i="4"/>
  <c r="E202" i="4"/>
  <c r="D202" i="4"/>
  <c r="C202" i="4"/>
  <c r="E201" i="4"/>
  <c r="D201" i="4"/>
  <c r="C201" i="4"/>
  <c r="E200" i="4"/>
  <c r="D200" i="4"/>
  <c r="C200" i="4"/>
  <c r="E199" i="4"/>
  <c r="D199" i="4"/>
  <c r="C199" i="4"/>
  <c r="E198" i="4"/>
  <c r="D198" i="4"/>
  <c r="C198" i="4"/>
  <c r="E197" i="4"/>
  <c r="D197" i="4"/>
  <c r="C197" i="4"/>
  <c r="E196" i="4"/>
  <c r="D196" i="4"/>
  <c r="C196" i="4"/>
  <c r="E195" i="4"/>
  <c r="D195" i="4"/>
  <c r="C195" i="4"/>
  <c r="E194" i="4"/>
  <c r="D194" i="4"/>
  <c r="C194" i="4"/>
  <c r="E193" i="4"/>
  <c r="D193" i="4"/>
  <c r="C193" i="4"/>
  <c r="E192" i="4"/>
  <c r="D192" i="4"/>
  <c r="C192" i="4"/>
  <c r="E191" i="4"/>
  <c r="D191" i="4"/>
  <c r="C191" i="4"/>
  <c r="E190" i="4"/>
  <c r="D190" i="4"/>
  <c r="C190" i="4"/>
  <c r="E189" i="4"/>
  <c r="D189" i="4"/>
  <c r="C189" i="4"/>
  <c r="E188" i="4"/>
  <c r="D188" i="4"/>
  <c r="C188" i="4"/>
  <c r="E187" i="4"/>
  <c r="D187" i="4"/>
  <c r="C187" i="4"/>
  <c r="E186" i="4"/>
  <c r="D186" i="4"/>
  <c r="C186" i="4"/>
  <c r="E185" i="4"/>
  <c r="D185" i="4"/>
  <c r="C185" i="4"/>
  <c r="E184" i="4"/>
  <c r="D184" i="4"/>
  <c r="C184" i="4"/>
  <c r="E183" i="4"/>
  <c r="D183" i="4"/>
  <c r="C183" i="4"/>
  <c r="E182" i="4"/>
  <c r="D182" i="4"/>
  <c r="C182" i="4"/>
  <c r="E181" i="4"/>
  <c r="D181" i="4"/>
  <c r="C181" i="4"/>
  <c r="E180" i="4"/>
  <c r="D180" i="4"/>
  <c r="C180" i="4"/>
  <c r="E179" i="4"/>
  <c r="D179" i="4"/>
  <c r="C179" i="4"/>
  <c r="E178" i="4"/>
  <c r="D178" i="4"/>
  <c r="C178" i="4"/>
  <c r="E177" i="4"/>
  <c r="D177" i="4"/>
  <c r="C177" i="4"/>
  <c r="E176" i="4"/>
  <c r="D176" i="4"/>
  <c r="C176" i="4"/>
  <c r="E175" i="4"/>
  <c r="D175" i="4"/>
  <c r="C175" i="4"/>
  <c r="E174" i="4"/>
  <c r="D174" i="4"/>
  <c r="C174" i="4"/>
  <c r="E173" i="4"/>
  <c r="D173" i="4"/>
  <c r="C173" i="4"/>
  <c r="E172" i="4"/>
  <c r="D172" i="4"/>
  <c r="C172" i="4"/>
  <c r="E171" i="4"/>
  <c r="D171" i="4"/>
  <c r="C171" i="4"/>
  <c r="E170" i="4"/>
  <c r="D170" i="4"/>
  <c r="C170" i="4"/>
  <c r="E169" i="4"/>
  <c r="D169" i="4"/>
  <c r="C169" i="4"/>
  <c r="E168" i="4"/>
  <c r="D168" i="4"/>
  <c r="C168" i="4"/>
  <c r="E167" i="4"/>
  <c r="D167" i="4"/>
  <c r="C167" i="4"/>
  <c r="E166" i="4"/>
  <c r="D166" i="4"/>
  <c r="C166" i="4"/>
  <c r="E165" i="4"/>
  <c r="D165" i="4"/>
  <c r="C165" i="4"/>
  <c r="E164" i="4"/>
  <c r="D164" i="4"/>
  <c r="C164" i="4"/>
  <c r="E163" i="4"/>
  <c r="D163" i="4"/>
  <c r="C163" i="4"/>
  <c r="E162" i="4"/>
  <c r="D162" i="4"/>
  <c r="C162" i="4"/>
  <c r="E161" i="4"/>
  <c r="D161" i="4"/>
  <c r="C161" i="4"/>
  <c r="E160" i="4"/>
  <c r="D160" i="4"/>
  <c r="C160" i="4"/>
  <c r="E159" i="4"/>
  <c r="D159" i="4"/>
  <c r="C159" i="4"/>
  <c r="E158" i="4"/>
  <c r="D158" i="4"/>
  <c r="C158" i="4"/>
  <c r="E157" i="4"/>
  <c r="D157" i="4"/>
  <c r="C157" i="4"/>
  <c r="E156" i="4"/>
  <c r="D156" i="4"/>
  <c r="C156" i="4"/>
  <c r="E155" i="4"/>
  <c r="D155" i="4"/>
  <c r="C155" i="4"/>
  <c r="E154" i="4"/>
  <c r="D154" i="4"/>
  <c r="C154" i="4"/>
  <c r="E153" i="4"/>
  <c r="D153" i="4"/>
  <c r="C153" i="4"/>
  <c r="E152" i="4"/>
  <c r="D152" i="4"/>
  <c r="C152" i="4"/>
  <c r="E151" i="4"/>
  <c r="D151" i="4"/>
  <c r="C151" i="4"/>
  <c r="E150" i="4"/>
  <c r="D150" i="4"/>
  <c r="C150" i="4"/>
  <c r="E149" i="4"/>
  <c r="D149" i="4"/>
  <c r="C149" i="4"/>
  <c r="E148" i="4"/>
  <c r="D148" i="4"/>
  <c r="C148" i="4"/>
  <c r="E147" i="4"/>
  <c r="D147" i="4"/>
  <c r="C147" i="4"/>
  <c r="E146" i="4"/>
  <c r="D146" i="4"/>
  <c r="C146" i="4"/>
  <c r="E145" i="4"/>
  <c r="D145" i="4"/>
  <c r="C145" i="4"/>
  <c r="E144" i="4"/>
  <c r="D144" i="4"/>
  <c r="C144" i="4"/>
  <c r="E143" i="4"/>
  <c r="D143" i="4"/>
  <c r="C143" i="4"/>
  <c r="E142" i="4"/>
  <c r="D142" i="4"/>
  <c r="C142" i="4"/>
  <c r="E141" i="4"/>
  <c r="D141" i="4"/>
  <c r="C141" i="4"/>
  <c r="E140" i="4"/>
  <c r="D140" i="4"/>
  <c r="C140" i="4"/>
  <c r="E139" i="4"/>
  <c r="D139" i="4"/>
  <c r="C139" i="4"/>
  <c r="E138" i="4"/>
  <c r="D138" i="4"/>
  <c r="C138" i="4"/>
  <c r="E137" i="4"/>
  <c r="D137" i="4"/>
  <c r="C137" i="4"/>
  <c r="E136" i="4"/>
  <c r="D136" i="4"/>
  <c r="C136" i="4"/>
  <c r="E135" i="4"/>
  <c r="D135" i="4"/>
  <c r="C135" i="4"/>
  <c r="E134" i="4"/>
  <c r="D134" i="4"/>
  <c r="C134" i="4"/>
  <c r="E133" i="4"/>
  <c r="D133" i="4"/>
  <c r="C133" i="4"/>
  <c r="E132" i="4"/>
  <c r="D132" i="4"/>
  <c r="C132" i="4"/>
  <c r="E131" i="4"/>
  <c r="D131" i="4"/>
  <c r="C131" i="4"/>
  <c r="E130" i="4"/>
  <c r="D130" i="4"/>
  <c r="C130" i="4"/>
  <c r="E129" i="4"/>
  <c r="D129" i="4"/>
  <c r="C129" i="4"/>
  <c r="E128" i="4"/>
  <c r="D128" i="4"/>
  <c r="C128" i="4"/>
  <c r="E127" i="4"/>
  <c r="D127" i="4"/>
  <c r="C127" i="4"/>
  <c r="E126" i="4"/>
  <c r="D126" i="4"/>
  <c r="C126" i="4"/>
  <c r="E125" i="4"/>
  <c r="D125" i="4"/>
  <c r="C125" i="4"/>
  <c r="E124" i="4"/>
  <c r="D124" i="4"/>
  <c r="C124" i="4"/>
  <c r="E123" i="4"/>
  <c r="D123" i="4"/>
  <c r="C123" i="4"/>
  <c r="E122" i="4"/>
  <c r="D122" i="4"/>
  <c r="C122" i="4"/>
  <c r="E121" i="4"/>
  <c r="D121" i="4"/>
  <c r="C121" i="4"/>
  <c r="E120" i="4"/>
  <c r="D120" i="4"/>
  <c r="C120" i="4"/>
  <c r="E119" i="4"/>
  <c r="D119" i="4"/>
  <c r="C119" i="4"/>
  <c r="E118" i="4"/>
  <c r="D118" i="4"/>
  <c r="C118" i="4"/>
  <c r="E117" i="4"/>
  <c r="D117" i="4"/>
  <c r="C117" i="4"/>
  <c r="E116" i="4"/>
  <c r="D116" i="4"/>
  <c r="C116" i="4"/>
  <c r="E115" i="4"/>
  <c r="D115" i="4"/>
  <c r="C115" i="4"/>
  <c r="E114" i="4"/>
  <c r="D114" i="4"/>
  <c r="C114" i="4"/>
  <c r="E113" i="4"/>
  <c r="D113" i="4"/>
  <c r="C113" i="4"/>
  <c r="E112" i="4"/>
  <c r="D112" i="4"/>
  <c r="C112" i="4"/>
  <c r="E111" i="4"/>
  <c r="D111" i="4"/>
  <c r="C111" i="4"/>
  <c r="E110" i="4"/>
  <c r="D110" i="4"/>
  <c r="C110" i="4"/>
  <c r="E109" i="4"/>
  <c r="D109" i="4"/>
  <c r="C109" i="4"/>
  <c r="E108" i="4"/>
  <c r="D108" i="4"/>
  <c r="C108" i="4"/>
  <c r="E107" i="4"/>
  <c r="D107" i="4"/>
  <c r="C107" i="4"/>
  <c r="E106" i="4"/>
  <c r="D106" i="4"/>
  <c r="C106" i="4"/>
  <c r="E105" i="4"/>
  <c r="D105" i="4"/>
  <c r="C105" i="4"/>
  <c r="E104" i="4"/>
  <c r="D104" i="4"/>
  <c r="C104" i="4"/>
  <c r="E103" i="4"/>
  <c r="D103" i="4"/>
  <c r="C103" i="4"/>
  <c r="E102" i="4"/>
  <c r="D102" i="4"/>
  <c r="C102" i="4"/>
  <c r="E101" i="4"/>
  <c r="D101" i="4"/>
  <c r="C101" i="4"/>
  <c r="E100" i="4"/>
  <c r="D100" i="4"/>
  <c r="C100" i="4"/>
  <c r="E99" i="4"/>
  <c r="D99" i="4"/>
  <c r="C99" i="4"/>
  <c r="E98" i="4"/>
  <c r="D98" i="4"/>
  <c r="C98" i="4"/>
  <c r="E97" i="4"/>
  <c r="D97" i="4"/>
  <c r="C97" i="4"/>
  <c r="E96" i="4"/>
  <c r="D96" i="4"/>
  <c r="C96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90" i="4"/>
  <c r="D90" i="4"/>
  <c r="C90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D85" i="4"/>
  <c r="C85" i="4"/>
  <c r="E84" i="4"/>
  <c r="D84" i="4"/>
  <c r="C84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8" i="4"/>
  <c r="D78" i="4"/>
  <c r="C78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2" i="4"/>
  <c r="D72" i="4"/>
  <c r="C72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C22" i="4"/>
  <c r="D22" i="4" s="1"/>
  <c r="E21" i="4"/>
  <c r="C21" i="4"/>
  <c r="D21" i="4" s="1"/>
  <c r="E20" i="4"/>
  <c r="C20" i="4"/>
  <c r="D20" i="4" s="1"/>
  <c r="E19" i="4"/>
  <c r="C19" i="4"/>
  <c r="D19" i="4" s="1"/>
  <c r="E18" i="4"/>
  <c r="C18" i="4"/>
  <c r="D18" i="4" s="1"/>
  <c r="E17" i="4"/>
  <c r="C17" i="4"/>
  <c r="D17" i="4" s="1"/>
  <c r="E16" i="4"/>
  <c r="C16" i="4"/>
  <c r="D16" i="4" s="1"/>
  <c r="E15" i="4"/>
  <c r="C15" i="4"/>
  <c r="D15" i="4" s="1"/>
  <c r="E14" i="4"/>
  <c r="C14" i="4"/>
  <c r="D14" i="4" s="1"/>
  <c r="E13" i="4"/>
  <c r="D13" i="4"/>
  <c r="C13" i="4"/>
  <c r="E12" i="4"/>
  <c r="C12" i="4"/>
  <c r="D12" i="4" s="1"/>
  <c r="E11" i="4"/>
  <c r="C11" i="4"/>
  <c r="D11" i="4" s="1"/>
  <c r="E10" i="4"/>
  <c r="C10" i="4"/>
  <c r="D10" i="4" s="1"/>
  <c r="E9" i="4"/>
  <c r="C9" i="4"/>
  <c r="E8" i="4"/>
  <c r="C8" i="4"/>
  <c r="D8" i="4" s="1"/>
  <c r="E7" i="4"/>
  <c r="C7" i="4"/>
  <c r="D7" i="4" s="1"/>
  <c r="E6" i="4"/>
  <c r="C6" i="4"/>
  <c r="D6" i="4" s="1"/>
  <c r="E5" i="4"/>
  <c r="D5" i="4"/>
  <c r="C5" i="4"/>
  <c r="E4" i="4"/>
  <c r="C4" i="4"/>
  <c r="D4" i="4" s="1"/>
  <c r="E3" i="4"/>
  <c r="C3" i="4"/>
  <c r="D3" i="4" s="1"/>
  <c r="E2" i="4"/>
  <c r="C2" i="4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P62" i="2" s="1"/>
  <c r="C2" i="3"/>
  <c r="A119" i="2"/>
  <c r="F90" i="2"/>
  <c r="C90" i="2"/>
  <c r="B90" i="2"/>
  <c r="F89" i="2"/>
  <c r="C89" i="2"/>
  <c r="B89" i="2"/>
  <c r="F88" i="2"/>
  <c r="C88" i="2"/>
  <c r="B88" i="2"/>
  <c r="F87" i="2"/>
  <c r="C87" i="2"/>
  <c r="B87" i="2"/>
  <c r="F86" i="2"/>
  <c r="C86" i="2"/>
  <c r="B86" i="2"/>
  <c r="F85" i="2"/>
  <c r="C85" i="2"/>
  <c r="B85" i="2"/>
  <c r="F84" i="2"/>
  <c r="C84" i="2"/>
  <c r="B84" i="2"/>
  <c r="F83" i="2"/>
  <c r="C83" i="2"/>
  <c r="B83" i="2"/>
  <c r="F82" i="2"/>
  <c r="C82" i="2"/>
  <c r="B82" i="2"/>
  <c r="T81" i="2"/>
  <c r="Q81" i="2"/>
  <c r="P81" i="2"/>
  <c r="F81" i="2"/>
  <c r="C81" i="2"/>
  <c r="B81" i="2"/>
  <c r="T80" i="2"/>
  <c r="Q80" i="2"/>
  <c r="P80" i="2"/>
  <c r="M80" i="2"/>
  <c r="J80" i="2"/>
  <c r="I80" i="2"/>
  <c r="F80" i="2"/>
  <c r="C80" i="2"/>
  <c r="B80" i="2"/>
  <c r="T79" i="2"/>
  <c r="Q79" i="2"/>
  <c r="P79" i="2"/>
  <c r="M79" i="2"/>
  <c r="J79" i="2"/>
  <c r="I79" i="2"/>
  <c r="F79" i="2"/>
  <c r="C79" i="2"/>
  <c r="B79" i="2"/>
  <c r="T78" i="2"/>
  <c r="Q78" i="2"/>
  <c r="P78" i="2"/>
  <c r="M78" i="2"/>
  <c r="J78" i="2"/>
  <c r="I78" i="2"/>
  <c r="F78" i="2"/>
  <c r="C78" i="2"/>
  <c r="B78" i="2"/>
  <c r="T77" i="2"/>
  <c r="Q77" i="2"/>
  <c r="P77" i="2"/>
  <c r="M77" i="2"/>
  <c r="J77" i="2"/>
  <c r="I77" i="2"/>
  <c r="F77" i="2"/>
  <c r="C77" i="2"/>
  <c r="B77" i="2"/>
  <c r="T76" i="2"/>
  <c r="Q76" i="2"/>
  <c r="P76" i="2"/>
  <c r="M76" i="2"/>
  <c r="J76" i="2"/>
  <c r="I76" i="2"/>
  <c r="F76" i="2"/>
  <c r="C76" i="2"/>
  <c r="B76" i="2"/>
  <c r="T75" i="2"/>
  <c r="Q75" i="2"/>
  <c r="P75" i="2"/>
  <c r="M75" i="2"/>
  <c r="J75" i="2"/>
  <c r="I75" i="2"/>
  <c r="F75" i="2"/>
  <c r="C75" i="2"/>
  <c r="B75" i="2"/>
  <c r="T74" i="2"/>
  <c r="Q74" i="2"/>
  <c r="P74" i="2"/>
  <c r="M74" i="2"/>
  <c r="J74" i="2"/>
  <c r="I74" i="2"/>
  <c r="F74" i="2"/>
  <c r="C74" i="2"/>
  <c r="B74" i="2"/>
  <c r="T73" i="2"/>
  <c r="Q73" i="2"/>
  <c r="P73" i="2"/>
  <c r="M73" i="2"/>
  <c r="J73" i="2"/>
  <c r="I73" i="2"/>
  <c r="T72" i="2"/>
  <c r="Q72" i="2"/>
  <c r="P72" i="2"/>
  <c r="M72" i="2"/>
  <c r="J72" i="2"/>
  <c r="I72" i="2"/>
  <c r="T71" i="2"/>
  <c r="Q71" i="2"/>
  <c r="P71" i="2"/>
  <c r="M71" i="2"/>
  <c r="J71" i="2"/>
  <c r="I71" i="2"/>
  <c r="T70" i="2"/>
  <c r="Q70" i="2"/>
  <c r="P70" i="2"/>
  <c r="M70" i="2"/>
  <c r="J70" i="2"/>
  <c r="I70" i="2"/>
  <c r="T69" i="2"/>
  <c r="Q69" i="2"/>
  <c r="P69" i="2"/>
  <c r="M69" i="2"/>
  <c r="J69" i="2"/>
  <c r="I69" i="2"/>
  <c r="T68" i="2"/>
  <c r="Q68" i="2"/>
  <c r="P68" i="2"/>
  <c r="M68" i="2"/>
  <c r="J68" i="2"/>
  <c r="I68" i="2"/>
  <c r="T67" i="2"/>
  <c r="Q67" i="2"/>
  <c r="P67" i="2"/>
  <c r="M67" i="2"/>
  <c r="J67" i="2"/>
  <c r="I67" i="2"/>
  <c r="T66" i="2"/>
  <c r="Q66" i="2"/>
  <c r="P66" i="2"/>
  <c r="M66" i="2"/>
  <c r="J66" i="2"/>
  <c r="I66" i="2"/>
  <c r="T65" i="2"/>
  <c r="Q65" i="2"/>
  <c r="P65" i="2"/>
  <c r="M65" i="2"/>
  <c r="J65" i="2"/>
  <c r="I65" i="2"/>
  <c r="F65" i="2"/>
  <c r="C65" i="2"/>
  <c r="B65" i="2"/>
  <c r="M64" i="2"/>
  <c r="J64" i="2"/>
  <c r="I64" i="2"/>
  <c r="F64" i="2"/>
  <c r="C64" i="2"/>
  <c r="B64" i="2"/>
  <c r="M63" i="2"/>
  <c r="J63" i="2"/>
  <c r="I63" i="2"/>
  <c r="F63" i="2"/>
  <c r="C63" i="2"/>
  <c r="B63" i="2"/>
  <c r="F62" i="2"/>
  <c r="C62" i="2"/>
  <c r="B62" i="2"/>
  <c r="F61" i="2"/>
  <c r="C61" i="2"/>
  <c r="B61" i="2"/>
  <c r="F60" i="2"/>
  <c r="C60" i="2"/>
  <c r="B60" i="2"/>
  <c r="F59" i="2"/>
  <c r="C59" i="2"/>
  <c r="B59" i="2"/>
  <c r="F58" i="2"/>
  <c r="C58" i="2"/>
  <c r="B58" i="2"/>
  <c r="F57" i="2"/>
  <c r="C57" i="2"/>
  <c r="B57" i="2"/>
  <c r="F56" i="2"/>
  <c r="C56" i="2"/>
  <c r="B56" i="2"/>
  <c r="M55" i="2"/>
  <c r="J55" i="2"/>
  <c r="I55" i="2"/>
  <c r="F55" i="2"/>
  <c r="C55" i="2"/>
  <c r="B55" i="2"/>
  <c r="M54" i="2"/>
  <c r="J54" i="2"/>
  <c r="I54" i="2"/>
  <c r="F54" i="2"/>
  <c r="C54" i="2"/>
  <c r="B54" i="2"/>
  <c r="M53" i="2"/>
  <c r="J53" i="2"/>
  <c r="I53" i="2"/>
  <c r="F53" i="2"/>
  <c r="C53" i="2"/>
  <c r="B53" i="2"/>
  <c r="M52" i="2"/>
  <c r="J52" i="2"/>
  <c r="I52" i="2"/>
  <c r="F52" i="2"/>
  <c r="C52" i="2"/>
  <c r="B52" i="2"/>
  <c r="M51" i="2"/>
  <c r="J51" i="2"/>
  <c r="I51" i="2"/>
  <c r="F51" i="2"/>
  <c r="C51" i="2"/>
  <c r="B51" i="2"/>
  <c r="M50" i="2"/>
  <c r="J50" i="2"/>
  <c r="I50" i="2"/>
  <c r="F50" i="2"/>
  <c r="C50" i="2"/>
  <c r="B50" i="2"/>
  <c r="M49" i="2"/>
  <c r="J49" i="2"/>
  <c r="I49" i="2"/>
  <c r="F49" i="2"/>
  <c r="C49" i="2"/>
  <c r="B49" i="2"/>
  <c r="M48" i="2"/>
  <c r="J48" i="2"/>
  <c r="I48" i="2"/>
  <c r="F48" i="2"/>
  <c r="C48" i="2"/>
  <c r="B48" i="2"/>
  <c r="M47" i="2"/>
  <c r="J47" i="2"/>
  <c r="I47" i="2"/>
  <c r="F47" i="2"/>
  <c r="C47" i="2"/>
  <c r="B47" i="2"/>
  <c r="M46" i="2"/>
  <c r="J46" i="2"/>
  <c r="I46" i="2"/>
  <c r="F46" i="2"/>
  <c r="C46" i="2"/>
  <c r="B46" i="2"/>
  <c r="M45" i="2"/>
  <c r="J45" i="2"/>
  <c r="I45" i="2"/>
  <c r="F45" i="2"/>
  <c r="C45" i="2"/>
  <c r="B45" i="2"/>
  <c r="M44" i="2"/>
  <c r="J44" i="2"/>
  <c r="I44" i="2"/>
  <c r="F44" i="2"/>
  <c r="C44" i="2"/>
  <c r="B44" i="2"/>
  <c r="M43" i="2"/>
  <c r="J43" i="2"/>
  <c r="I43" i="2"/>
  <c r="F43" i="2"/>
  <c r="C43" i="2"/>
  <c r="B43" i="2"/>
  <c r="M42" i="2"/>
  <c r="J42" i="2"/>
  <c r="I42" i="2"/>
  <c r="M41" i="2"/>
  <c r="J41" i="2"/>
  <c r="I41" i="2"/>
  <c r="M40" i="2"/>
  <c r="J40" i="2"/>
  <c r="I40" i="2"/>
  <c r="M39" i="2"/>
  <c r="J39" i="2"/>
  <c r="I39" i="2"/>
  <c r="M38" i="2"/>
  <c r="J38" i="2"/>
  <c r="I38" i="2"/>
  <c r="M37" i="2"/>
  <c r="J37" i="2"/>
  <c r="I37" i="2"/>
  <c r="M36" i="2"/>
  <c r="J36" i="2"/>
  <c r="I36" i="2"/>
  <c r="M35" i="2"/>
  <c r="J35" i="2"/>
  <c r="I35" i="2"/>
  <c r="M34" i="2"/>
  <c r="J34" i="2"/>
  <c r="I34" i="2"/>
  <c r="M33" i="2"/>
  <c r="J33" i="2"/>
  <c r="I33" i="2"/>
  <c r="M32" i="2"/>
  <c r="J32" i="2"/>
  <c r="I32" i="2"/>
  <c r="M31" i="2"/>
  <c r="J31" i="2"/>
  <c r="I31" i="2"/>
  <c r="C31" i="2"/>
  <c r="B31" i="2"/>
  <c r="C30" i="2"/>
  <c r="B30" i="2"/>
  <c r="C29" i="2"/>
  <c r="B29" i="2"/>
  <c r="C28" i="2"/>
  <c r="B28" i="2"/>
  <c r="I27" i="2"/>
  <c r="C27" i="2"/>
  <c r="B27" i="2"/>
  <c r="C26" i="2"/>
  <c r="B26" i="2"/>
  <c r="C25" i="2"/>
  <c r="B25" i="2"/>
  <c r="V24" i="2"/>
  <c r="U24" i="2"/>
  <c r="C24" i="2"/>
  <c r="B24" i="2"/>
  <c r="C23" i="2"/>
  <c r="B23" i="2"/>
  <c r="C22" i="2"/>
  <c r="B22" i="2"/>
  <c r="Z21" i="2"/>
  <c r="AA21" i="2" s="1"/>
  <c r="C21" i="2"/>
  <c r="B21" i="2"/>
  <c r="C20" i="2"/>
  <c r="B20" i="2"/>
  <c r="C19" i="2"/>
  <c r="B19" i="2"/>
  <c r="C18" i="2"/>
  <c r="B18" i="2"/>
  <c r="C17" i="2"/>
  <c r="B17" i="2"/>
  <c r="Z16" i="2"/>
  <c r="AA16" i="2" s="1"/>
  <c r="C16" i="2"/>
  <c r="B16" i="2"/>
  <c r="Z15" i="2"/>
  <c r="AA15" i="2" s="1"/>
  <c r="C15" i="2"/>
  <c r="B15" i="2"/>
  <c r="Z14" i="2"/>
  <c r="AA14" i="2" s="1"/>
  <c r="P14" i="2"/>
  <c r="P13" i="2"/>
  <c r="P12" i="2"/>
  <c r="A3" i="2"/>
  <c r="C13" i="2" l="1"/>
  <c r="J27" i="2"/>
  <c r="Z13" i="2" s="1"/>
  <c r="AA13" i="2" s="1"/>
  <c r="R20" i="2"/>
  <c r="V2" i="2" s="1"/>
  <c r="P15" i="2"/>
  <c r="C36" i="2"/>
  <c r="Z9" i="2" s="1"/>
  <c r="D6" i="6"/>
  <c r="P64" i="2"/>
  <c r="F16" i="6"/>
  <c r="G11" i="6"/>
  <c r="Q62" i="2"/>
  <c r="G8" i="6"/>
  <c r="D11" i="6"/>
  <c r="G16" i="6"/>
  <c r="Q20" i="2"/>
  <c r="H8" i="6"/>
  <c r="E11" i="6"/>
  <c r="H16" i="6"/>
  <c r="I8" i="6"/>
  <c r="F11" i="6"/>
  <c r="I16" i="6"/>
  <c r="C38" i="2"/>
  <c r="C42" i="2"/>
  <c r="R58" i="2"/>
  <c r="D9" i="4"/>
  <c r="E6" i="6"/>
  <c r="H11" i="6"/>
  <c r="E14" i="6"/>
  <c r="B38" i="2"/>
  <c r="D14" i="6"/>
  <c r="B42" i="2"/>
  <c r="F6" i="6"/>
  <c r="I11" i="6"/>
  <c r="F14" i="6"/>
  <c r="G6" i="6"/>
  <c r="D9" i="6"/>
  <c r="G14" i="6"/>
  <c r="D17" i="6"/>
  <c r="B73" i="2"/>
  <c r="D2" i="4"/>
  <c r="H6" i="6"/>
  <c r="E9" i="6"/>
  <c r="H14" i="6"/>
  <c r="E17" i="6"/>
  <c r="I28" i="2"/>
  <c r="B14" i="2"/>
  <c r="P63" i="2"/>
  <c r="I6" i="6"/>
  <c r="F9" i="6"/>
  <c r="I14" i="6"/>
  <c r="C14" i="2"/>
  <c r="B39" i="2"/>
  <c r="Q63" i="2"/>
  <c r="G9" i="6"/>
  <c r="D12" i="6"/>
  <c r="G17" i="6"/>
  <c r="J28" i="2"/>
  <c r="C73" i="2"/>
  <c r="F17" i="6"/>
  <c r="Q21" i="2"/>
  <c r="C39" i="2"/>
  <c r="H9" i="6"/>
  <c r="E12" i="6"/>
  <c r="H17" i="6"/>
  <c r="I9" i="6"/>
  <c r="F12" i="6"/>
  <c r="I17" i="6"/>
  <c r="R21" i="2"/>
  <c r="V3" i="2" s="1"/>
  <c r="B12" i="2"/>
  <c r="I29" i="2"/>
  <c r="D7" i="6"/>
  <c r="G12" i="6"/>
  <c r="D15" i="6"/>
  <c r="J29" i="2"/>
  <c r="B71" i="2"/>
  <c r="E7" i="6"/>
  <c r="H12" i="6"/>
  <c r="E15" i="6"/>
  <c r="C12" i="2"/>
  <c r="C71" i="2"/>
  <c r="F7" i="6"/>
  <c r="I12" i="6"/>
  <c r="F15" i="6"/>
  <c r="I61" i="2"/>
  <c r="B36" i="2"/>
  <c r="B40" i="2"/>
  <c r="J61" i="2"/>
  <c r="G7" i="6"/>
  <c r="D10" i="6"/>
  <c r="G15" i="6"/>
  <c r="H7" i="6"/>
  <c r="E10" i="6"/>
  <c r="H15" i="6"/>
  <c r="C40" i="2"/>
  <c r="I30" i="2"/>
  <c r="I7" i="6"/>
  <c r="F10" i="6"/>
  <c r="I15" i="6"/>
  <c r="J30" i="2"/>
  <c r="Z17" i="2" s="1"/>
  <c r="AA17" i="2" s="1"/>
  <c r="Q64" i="2"/>
  <c r="D13" i="6"/>
  <c r="Q22" i="2"/>
  <c r="I62" i="2"/>
  <c r="I10" i="6"/>
  <c r="F13" i="6"/>
  <c r="E13" i="6"/>
  <c r="R22" i="2"/>
  <c r="V4" i="2" s="1"/>
  <c r="I26" i="2"/>
  <c r="B37" i="2"/>
  <c r="B41" i="2"/>
  <c r="J62" i="2"/>
  <c r="D8" i="6"/>
  <c r="G13" i="6"/>
  <c r="D16" i="6"/>
  <c r="G10" i="6"/>
  <c r="U19" i="2"/>
  <c r="H10" i="6"/>
  <c r="B13" i="2"/>
  <c r="J26" i="2"/>
  <c r="C37" i="2"/>
  <c r="C41" i="2"/>
  <c r="B72" i="2"/>
  <c r="E8" i="6"/>
  <c r="H13" i="6"/>
  <c r="E16" i="6"/>
  <c r="C72" i="2"/>
  <c r="F8" i="6"/>
  <c r="I13" i="6"/>
  <c r="C32" i="2" l="1"/>
  <c r="H2" i="2" s="1"/>
  <c r="L11" i="6"/>
  <c r="F41" i="2"/>
  <c r="M27" i="2"/>
  <c r="T63" i="2"/>
  <c r="Z11" i="2"/>
  <c r="AA11" i="2" s="1"/>
  <c r="T64" i="2"/>
  <c r="U23" i="2"/>
  <c r="M30" i="2"/>
  <c r="M29" i="2"/>
  <c r="C66" i="2"/>
  <c r="Z18" i="2"/>
  <c r="AA18" i="2" s="1"/>
  <c r="M28" i="2"/>
  <c r="D18" i="6"/>
  <c r="L13" i="6"/>
  <c r="L8" i="6"/>
  <c r="L17" i="6"/>
  <c r="J9" i="6"/>
  <c r="H18" i="6"/>
  <c r="J12" i="6"/>
  <c r="K12" i="6" s="1"/>
  <c r="U2" i="2"/>
  <c r="Q23" i="2"/>
  <c r="F37" i="2"/>
  <c r="F36" i="2"/>
  <c r="B66" i="2"/>
  <c r="L16" i="6"/>
  <c r="L15" i="6"/>
  <c r="L7" i="6"/>
  <c r="R23" i="2"/>
  <c r="J11" i="6"/>
  <c r="K11" i="6" s="1"/>
  <c r="V21" i="2"/>
  <c r="W21" i="2" s="1"/>
  <c r="J81" i="2"/>
  <c r="F40" i="2"/>
  <c r="F73" i="2"/>
  <c r="M26" i="2"/>
  <c r="I56" i="2"/>
  <c r="M61" i="2"/>
  <c r="U21" i="2"/>
  <c r="I81" i="2"/>
  <c r="L14" i="6"/>
  <c r="J7" i="6"/>
  <c r="K7" i="6" s="1"/>
  <c r="F38" i="2"/>
  <c r="P82" i="2"/>
  <c r="U5" i="2" s="1"/>
  <c r="J10" i="6"/>
  <c r="K10" i="6" s="1"/>
  <c r="J17" i="6"/>
  <c r="K17" i="6" s="1"/>
  <c r="K9" i="6"/>
  <c r="V22" i="2"/>
  <c r="W22" i="2" s="1"/>
  <c r="Z19" i="2"/>
  <c r="AA19" i="2" s="1"/>
  <c r="Q82" i="2"/>
  <c r="V5" i="2" s="1"/>
  <c r="AA9" i="2"/>
  <c r="F42" i="2"/>
  <c r="L9" i="6"/>
  <c r="Z20" i="2"/>
  <c r="AA20" i="2" s="1"/>
  <c r="V23" i="2"/>
  <c r="W23" i="2" s="1"/>
  <c r="J8" i="6"/>
  <c r="K8" i="6" s="1"/>
  <c r="B91" i="2"/>
  <c r="F71" i="2"/>
  <c r="F39" i="2"/>
  <c r="J14" i="6"/>
  <c r="K14" i="6" s="1"/>
  <c r="U22" i="2"/>
  <c r="M62" i="2"/>
  <c r="F72" i="2"/>
  <c r="P58" i="2"/>
  <c r="J15" i="6"/>
  <c r="K15" i="6" s="1"/>
  <c r="J16" i="6"/>
  <c r="K16" i="6" s="1"/>
  <c r="T62" i="2"/>
  <c r="E18" i="6"/>
  <c r="J6" i="6"/>
  <c r="B32" i="2"/>
  <c r="P20" i="2" s="1"/>
  <c r="L10" i="6"/>
  <c r="U3" i="2"/>
  <c r="G18" i="6"/>
  <c r="L6" i="6"/>
  <c r="C91" i="2"/>
  <c r="U4" i="2"/>
  <c r="P22" i="2"/>
  <c r="L12" i="6"/>
  <c r="J13" i="6"/>
  <c r="K13" i="6" s="1"/>
  <c r="F18" i="6"/>
  <c r="Z10" i="2"/>
  <c r="AA10" i="2" s="1"/>
  <c r="J56" i="2"/>
  <c r="Z12" i="2"/>
  <c r="AA12" i="2" s="1"/>
  <c r="I18" i="6"/>
  <c r="W24" i="2"/>
  <c r="L18" i="6" l="1"/>
  <c r="K2" i="2"/>
  <c r="K6" i="2" s="1"/>
  <c r="P21" i="2"/>
  <c r="P23" i="2"/>
  <c r="U15" i="2"/>
  <c r="Q13" i="2"/>
  <c r="R13" i="2" s="1"/>
  <c r="H6" i="2"/>
  <c r="Q12" i="2"/>
  <c r="Q14" i="2"/>
  <c r="R14" i="2" s="1"/>
  <c r="U13" i="2"/>
  <c r="U14" i="2"/>
  <c r="O6" i="2"/>
  <c r="J18" i="6"/>
  <c r="K6" i="6"/>
  <c r="K18" i="6" s="1"/>
  <c r="T11" i="2"/>
  <c r="V12" i="2"/>
  <c r="T12" i="2"/>
  <c r="V15" i="2"/>
  <c r="V11" i="2"/>
  <c r="T13" i="2"/>
  <c r="T14" i="2"/>
  <c r="V14" i="2"/>
  <c r="U12" i="2"/>
  <c r="T15" i="2"/>
  <c r="U11" i="2"/>
  <c r="U18" i="2"/>
  <c r="V13" i="2"/>
  <c r="O2" i="2" l="1"/>
  <c r="U20" i="2" s="1"/>
  <c r="U25" i="2" s="1"/>
  <c r="Q58" i="2"/>
  <c r="Q15" i="2"/>
  <c r="R12" i="2"/>
  <c r="R15" i="2" s="1"/>
  <c r="V20" i="2" l="1"/>
  <c r="V25" i="2" s="1"/>
  <c r="W25" i="2" s="1"/>
</calcChain>
</file>

<file path=xl/sharedStrings.xml><?xml version="1.0" encoding="utf-8"?>
<sst xmlns="http://schemas.openxmlformats.org/spreadsheetml/2006/main" count="435" uniqueCount="158">
  <si>
    <t>PLANTILLA DE FINANZAS PERSONALES</t>
  </si>
  <si>
    <t>Control mensual de ingresos, gastos, ahorros, inversiones y deudas</t>
  </si>
  <si>
    <t>CÓMO USARLA</t>
  </si>
  <si>
    <t>1</t>
  </si>
  <si>
    <t>En Presupuesto Mensual selecciona el año en D2 y el mes en F2 con desplegable.</t>
  </si>
  <si>
    <t>2</t>
  </si>
  <si>
    <t>Carga cada presupuesto mensual en Plan Mensual. Cada fila guarda año, mes, sección, tipo, categoría, concepto y presupuesto.</t>
  </si>
  <si>
    <t>3</t>
  </si>
  <si>
    <t>Registra los movimientos reales en Movimientos. El mes y el año se calculan solos desde la fecha.</t>
  </si>
  <si>
    <t>4</t>
  </si>
  <si>
    <t>Ahorros e inversiones se muestran acumulados hasta el mes seleccionado; gastos, ingresos y deudas se muestran por mes.</t>
  </si>
  <si>
    <t>5</t>
  </si>
  <si>
    <t>En Resumen Anual selecciona el año de forma independiente en B3.</t>
  </si>
  <si>
    <t>FINANZAS PERSONALES</t>
  </si>
  <si>
    <t>SUMATORIA INGRESOS</t>
  </si>
  <si>
    <t>SUMATORIA GASTOS</t>
  </si>
  <si>
    <t>SALDO REAL</t>
  </si>
  <si>
    <t>Botonera Presupuesto Mensual →</t>
  </si>
  <si>
    <t>Año</t>
  </si>
  <si>
    <t>Mes</t>
  </si>
  <si>
    <t>Enero</t>
  </si>
  <si>
    <t>Necesidades</t>
  </si>
  <si>
    <t>Deseos</t>
  </si>
  <si>
    <t>VERSIÓN LISTA PARA USO</t>
  </si>
  <si>
    <t>Ahorros+Inv.</t>
  </si>
  <si>
    <t>Selecciona año y mes. Presupuesto se carga desde Plan Mensual; movimientos reales desde Movimientos. Ahorros e inversiones se muestran acumulados al mes seleccionado.</t>
  </si>
  <si>
    <t>PRESUPUESTO POR ASIGNAR</t>
  </si>
  <si>
    <t>TOTAL GASTADO</t>
  </si>
  <si>
    <t>% AHORRO REAL</t>
  </si>
  <si>
    <t>Deudas</t>
  </si>
  <si>
    <t>¿EN QUÉ SE TE VA LA PLATA?</t>
  </si>
  <si>
    <t>__helper (no editar)</t>
  </si>
  <si>
    <t>Tus 5 mayores gastos del mes, del más grande al más chico</t>
  </si>
  <si>
    <t>Hogar</t>
  </si>
  <si>
    <t>INGRESOS</t>
  </si>
  <si>
    <t>OBJETIVO</t>
  </si>
  <si>
    <t>Categoría</t>
  </si>
  <si>
    <t>Gastaste</t>
  </si>
  <si>
    <t>Comparación</t>
  </si>
  <si>
    <t>Servicios</t>
  </si>
  <si>
    <t>Concepto</t>
  </si>
  <si>
    <t>Presupuesto</t>
  </si>
  <si>
    <t>Actual</t>
  </si>
  <si>
    <t>Tipo</t>
  </si>
  <si>
    <t>%</t>
  </si>
  <si>
    <t>Por asignar</t>
  </si>
  <si>
    <t>Suscripciones</t>
  </si>
  <si>
    <t>Sueldo</t>
  </si>
  <si>
    <t>Ingreso</t>
  </si>
  <si>
    <t>Alimentación</t>
  </si>
  <si>
    <t>Freelance</t>
  </si>
  <si>
    <t>Transporte</t>
  </si>
  <si>
    <t>Ingreso extra</t>
  </si>
  <si>
    <t>Otro</t>
  </si>
  <si>
    <t>Ahorros</t>
  </si>
  <si>
    <t>Entretenimiento</t>
  </si>
  <si>
    <t>TOTAL</t>
  </si>
  <si>
    <t>Salud</t>
  </si>
  <si>
    <t>Educación</t>
  </si>
  <si>
    <t>TU MES EN SIMPLE</t>
  </si>
  <si>
    <t>Cuidado Personal</t>
  </si>
  <si>
    <t>SUMATORIA</t>
  </si>
  <si>
    <t>Gastaste en total</t>
  </si>
  <si>
    <t>fijos + diario + deudas</t>
  </si>
  <si>
    <t>Ocio</t>
  </si>
  <si>
    <t>Gastado</t>
  </si>
  <si>
    <t>Guardaste</t>
  </si>
  <si>
    <t>ahorro + inversión</t>
  </si>
  <si>
    <t>Tarjeta Crédito</t>
  </si>
  <si>
    <t>Te quedó disponible</t>
  </si>
  <si>
    <t>Préstamo</t>
  </si>
  <si>
    <t>Inversión</t>
  </si>
  <si>
    <t>GASTOS VARIABLES</t>
  </si>
  <si>
    <t>Control</t>
  </si>
  <si>
    <t>Mercado</t>
  </si>
  <si>
    <t>Restaurantes</t>
  </si>
  <si>
    <t>Ropa</t>
  </si>
  <si>
    <t>GASTOS FIJOS</t>
  </si>
  <si>
    <t>Arriendo</t>
  </si>
  <si>
    <t>Internet</t>
  </si>
  <si>
    <t>Movil</t>
  </si>
  <si>
    <t>Servicios básicos</t>
  </si>
  <si>
    <t>Netflix</t>
  </si>
  <si>
    <t>HBO Max</t>
  </si>
  <si>
    <t>YouTube Premium</t>
  </si>
  <si>
    <t>DATOS GRÁFICO DE BARRAS</t>
  </si>
  <si>
    <t>Indicador</t>
  </si>
  <si>
    <t>Ingresos totales</t>
  </si>
  <si>
    <t>Gastos totales</t>
  </si>
  <si>
    <t>Monto</t>
  </si>
  <si>
    <t>INVERSIONES</t>
  </si>
  <si>
    <t>DEUDAS</t>
  </si>
  <si>
    <t>Inversión 1</t>
  </si>
  <si>
    <t>Inversiones</t>
  </si>
  <si>
    <t>Inversión 2</t>
  </si>
  <si>
    <t>Tarjeta Crédito 1</t>
  </si>
  <si>
    <t>Tarjeta Crédito 2</t>
  </si>
  <si>
    <t>AHORROS</t>
  </si>
  <si>
    <t>Fondo emergencia</t>
  </si>
  <si>
    <t>Emergencia</t>
  </si>
  <si>
    <t>Cuenta ahorro</t>
  </si>
  <si>
    <t>Viaje</t>
  </si>
  <si>
    <t>Mes N°</t>
  </si>
  <si>
    <t>Sección</t>
  </si>
  <si>
    <t>Nota</t>
  </si>
  <si>
    <t>Ingresos</t>
  </si>
  <si>
    <t>Ejemplo</t>
  </si>
  <si>
    <t>Gastos Fijos</t>
  </si>
  <si>
    <t>Gastos Variables</t>
  </si>
  <si>
    <t>Junio</t>
  </si>
  <si>
    <t>Fecha</t>
  </si>
  <si>
    <t>Descripción</t>
  </si>
  <si>
    <t>Estado</t>
  </si>
  <si>
    <t>Medio de pago</t>
  </si>
  <si>
    <t>Ingreso principal</t>
  </si>
  <si>
    <t>Cobrado</t>
  </si>
  <si>
    <t>Transferencia</t>
  </si>
  <si>
    <t>Ingreso secundario</t>
  </si>
  <si>
    <t>Pago arriendo mensual</t>
  </si>
  <si>
    <t>Pagado</t>
  </si>
  <si>
    <t>Internet hogar</t>
  </si>
  <si>
    <t>Automático</t>
  </si>
  <si>
    <t>Débito</t>
  </si>
  <si>
    <t>Crédito</t>
  </si>
  <si>
    <t>PARÁMETROS Y LISTAS</t>
  </si>
  <si>
    <t>SECCIONES DE PRESUPUESTO</t>
  </si>
  <si>
    <t>USO</t>
  </si>
  <si>
    <t>Años</t>
  </si>
  <si>
    <t>Objetivo</t>
  </si>
  <si>
    <t>% sugerido</t>
  </si>
  <si>
    <t>Cómo usar</t>
  </si>
  <si>
    <t>Carga presupuesto de ingresos por mes.</t>
  </si>
  <si>
    <t>Febrero</t>
  </si>
  <si>
    <t>Carga presupuesto de gastos fijos por mes.</t>
  </si>
  <si>
    <t>Marzo</t>
  </si>
  <si>
    <t>Carga presupuesto de gastos variables por mes.</t>
  </si>
  <si>
    <t>Abril</t>
  </si>
  <si>
    <t>Ahorros se acumula hasta el mes seleccionado.</t>
  </si>
  <si>
    <t>Mayo</t>
  </si>
  <si>
    <t>Inversiones se acumula hasta el mes seleccionado.</t>
  </si>
  <si>
    <t>Registrado</t>
  </si>
  <si>
    <t>Deudas se mantiene mensual.</t>
  </si>
  <si>
    <t>Julio</t>
  </si>
  <si>
    <t>Agosto</t>
  </si>
  <si>
    <t>Septiembre</t>
  </si>
  <si>
    <t>Efectivo</t>
  </si>
  <si>
    <t>Pendiente</t>
  </si>
  <si>
    <t>Octubre</t>
  </si>
  <si>
    <t>Anulado</t>
  </si>
  <si>
    <t>Noviembre</t>
  </si>
  <si>
    <t>Diciembre</t>
  </si>
  <si>
    <t>Cerro nieve</t>
  </si>
  <si>
    <t>RESUMEN ANUAL FINANZAS PERSONALES</t>
  </si>
  <si>
    <t>Año seleccionado</t>
  </si>
  <si>
    <t>Filtro anual independiente</t>
  </si>
  <si>
    <t>Total egresos</t>
  </si>
  <si>
    <t>Saldo</t>
  </si>
  <si>
    <t>% 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</si>
</sst>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-$&quot;#,##0;&quot;&quot;"/>
    <numFmt numFmtId="165" formatCode="0.0%"/>
    <numFmt numFmtId="166" formatCode="&quot;$ &quot;#,##0;&quot;-$ &quot;#,##0;&quot;$ &quot;0"/>
    <numFmt numFmtId="167" formatCode="&quot;$ &quot;#,##0"/>
    <numFmt numFmtId="168" formatCode="\$#,##0"/>
    <numFmt numFmtId="169" formatCode="dd\-mm\-yyyy"/>
  </numFmts>
  <fonts count="33" x14ac:knownFonts="1">
    <font>
      <sz val="10"/>
      <name val="Arial"/>
      <charset val="1"/>
    </font>
    <font>
      <sz val="11"/>
      <name val="Calibri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D4AF37"/>
      <name val="Arial"/>
      <charset val="1"/>
    </font>
    <font>
      <b/>
      <sz val="10"/>
      <color rgb="FFB11226"/>
      <name val="Arial"/>
      <charset val="1"/>
    </font>
    <font>
      <b/>
      <sz val="13"/>
      <color rgb="FFFFFFFF"/>
      <name val="Arial"/>
      <charset val="1"/>
    </font>
    <font>
      <b/>
      <sz val="13"/>
      <color rgb="FFB11226"/>
      <name val="Arial"/>
      <charset val="1"/>
    </font>
    <font>
      <b/>
      <sz val="10"/>
      <color rgb="FF111111"/>
      <name val="Arial"/>
      <charset val="1"/>
    </font>
    <font>
      <b/>
      <sz val="13"/>
      <color rgb="FF111111"/>
      <name val="Arial"/>
      <charset val="1"/>
    </font>
    <font>
      <b/>
      <sz val="30"/>
      <color rgb="FF111111"/>
      <name val="Arial"/>
      <charset val="1"/>
    </font>
    <font>
      <i/>
      <sz val="9"/>
      <color rgb="FF666666"/>
      <name val="Arial"/>
      <charset val="1"/>
    </font>
    <font>
      <b/>
      <sz val="9"/>
      <color rgb="FFD4AF37"/>
      <name val="Arial"/>
      <charset val="1"/>
    </font>
    <font>
      <b/>
      <sz val="11"/>
      <color rgb="FFD4AF37"/>
      <name val="Cambria"/>
      <charset val="1"/>
    </font>
    <font>
      <i/>
      <sz val="8"/>
      <color rgb="FF666666"/>
      <name val="Cambria"/>
      <charset val="1"/>
    </font>
    <font>
      <i/>
      <sz val="9"/>
      <color rgb="FF666666"/>
      <name val="Cambria"/>
      <charset val="1"/>
    </font>
    <font>
      <b/>
      <sz val="12"/>
      <color rgb="FFD4AF37"/>
      <name val="Arial"/>
      <charset val="1"/>
    </font>
    <font>
      <b/>
      <sz val="10"/>
      <color rgb="FFFFFFFF"/>
      <name val="Cambria"/>
      <charset val="1"/>
    </font>
    <font>
      <b/>
      <sz val="10"/>
      <color rgb="FFFFFFFF"/>
      <name val="Arial"/>
      <charset val="1"/>
    </font>
    <font>
      <sz val="10"/>
      <name val="Cambria"/>
      <charset val="1"/>
    </font>
    <font>
      <sz val="10"/>
      <color rgb="FFD4AF37"/>
      <name val="Cambria"/>
      <charset val="1"/>
    </font>
    <font>
      <b/>
      <sz val="10"/>
      <name val="Arial"/>
      <charset val="1"/>
    </font>
    <font>
      <b/>
      <sz val="10"/>
      <name val="Cambria"/>
      <charset val="1"/>
    </font>
    <font>
      <b/>
      <sz val="9"/>
      <color rgb="FF666666"/>
      <name val="Cambria"/>
      <charset val="1"/>
    </font>
    <font>
      <b/>
      <sz val="10"/>
      <color rgb="FFD4AF37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b/>
      <sz val="11"/>
      <color rgb="FFFFFFFF"/>
      <name val="Calibri"/>
      <charset val="1"/>
    </font>
    <font>
      <sz val="10"/>
      <color rgb="FF0B0B0B"/>
      <name val="Calibri"/>
      <charset val="1"/>
    </font>
    <font>
      <b/>
      <sz val="13"/>
      <color rgb="FFFFFFFF"/>
      <name val="Calibri"/>
      <charset val="1"/>
    </font>
    <font>
      <sz val="11"/>
      <color rgb="FF0B0B0B"/>
      <name val="Calibri"/>
      <charset val="1"/>
    </font>
    <font>
      <b/>
      <sz val="18"/>
      <color rgb="FFD4AF37"/>
      <name val="Arial"/>
      <charset val="1"/>
    </font>
    <font>
      <b/>
      <i/>
      <sz val="10"/>
      <color rgb="FF7F1D1D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7E6"/>
      </patternFill>
    </fill>
    <fill>
      <patternFill patternType="solid">
        <fgColor rgb="FF0B0B0B"/>
        <bgColor rgb="FF111111"/>
      </patternFill>
    </fill>
    <fill>
      <patternFill patternType="solid">
        <fgColor rgb="FFB11226"/>
        <bgColor rgb="FFB00000"/>
      </patternFill>
    </fill>
    <fill>
      <patternFill patternType="solid">
        <fgColor rgb="FF111111"/>
        <bgColor rgb="FF0B0B0B"/>
      </patternFill>
    </fill>
    <fill>
      <patternFill patternType="solid">
        <fgColor rgb="FFFFF7E6"/>
        <bgColor rgb="FFFFF6D8"/>
      </patternFill>
    </fill>
    <fill>
      <patternFill patternType="solid">
        <fgColor rgb="FFFFF2CC"/>
        <bgColor rgb="FFFFF6D8"/>
      </patternFill>
    </fill>
    <fill>
      <patternFill patternType="solid">
        <fgColor rgb="FF000000"/>
        <bgColor rgb="FF0B0B0B"/>
      </patternFill>
    </fill>
    <fill>
      <patternFill patternType="solid">
        <fgColor rgb="FFC00000"/>
        <bgColor rgb="FFB00000"/>
      </patternFill>
    </fill>
    <fill>
      <patternFill patternType="solid">
        <fgColor rgb="FFFFF6D8"/>
        <bgColor rgb="FFFFF7E6"/>
      </patternFill>
    </fill>
    <fill>
      <patternFill patternType="solid">
        <fgColor rgb="FFB00000"/>
        <bgColor rgb="FFC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4" fillId="5" borderId="1" xfId="1" applyFont="1" applyFill="1" applyBorder="1" applyAlignment="1">
      <alignment horizontal="center"/>
    </xf>
    <xf numFmtId="0" fontId="1" fillId="0" borderId="0" xfId="1"/>
    <xf numFmtId="0" fontId="0" fillId="2" borderId="0" xfId="0" applyFill="1"/>
    <xf numFmtId="0" fontId="1" fillId="2" borderId="0" xfId="1" applyFill="1"/>
    <xf numFmtId="0" fontId="5" fillId="6" borderId="1" xfId="1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left" vertical="center" wrapText="1"/>
    </xf>
    <xf numFmtId="0" fontId="0" fillId="2" borderId="0" xfId="1" applyFont="1" applyFill="1"/>
    <xf numFmtId="0" fontId="0" fillId="2" borderId="0" xfId="1" applyFont="1" applyFill="1" applyAlignment="1">
      <alignment wrapText="1"/>
    </xf>
    <xf numFmtId="0" fontId="8" fillId="2" borderId="2" xfId="1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wrapText="1"/>
    </xf>
    <xf numFmtId="164" fontId="4" fillId="5" borderId="1" xfId="1" applyNumberFormat="1" applyFont="1" applyFill="1" applyBorder="1" applyAlignment="1">
      <alignment wrapText="1"/>
    </xf>
    <xf numFmtId="0" fontId="0" fillId="2" borderId="1" xfId="1" applyFont="1" applyFill="1" applyBorder="1" applyAlignment="1">
      <alignment wrapText="1"/>
    </xf>
    <xf numFmtId="164" fontId="0" fillId="2" borderId="1" xfId="1" applyNumberFormat="1" applyFont="1" applyFill="1" applyBorder="1" applyAlignment="1">
      <alignment wrapText="1"/>
    </xf>
    <xf numFmtId="164" fontId="0" fillId="2" borderId="0" xfId="1" applyNumberFormat="1" applyFont="1" applyFill="1" applyAlignment="1">
      <alignment wrapText="1"/>
    </xf>
    <xf numFmtId="0" fontId="0" fillId="2" borderId="1" xfId="1" applyFont="1" applyFill="1" applyBorder="1"/>
    <xf numFmtId="164" fontId="0" fillId="2" borderId="1" xfId="1" applyNumberFormat="1" applyFont="1" applyFill="1" applyBorder="1"/>
    <xf numFmtId="0" fontId="14" fillId="0" borderId="0" xfId="0" applyFont="1"/>
    <xf numFmtId="0" fontId="18" fillId="4" borderId="1" xfId="1" applyFont="1" applyFill="1" applyBorder="1" applyAlignment="1">
      <alignment horizontal="center"/>
    </xf>
    <xf numFmtId="165" fontId="0" fillId="2" borderId="1" xfId="1" applyNumberFormat="1" applyFont="1" applyFill="1" applyBorder="1"/>
    <xf numFmtId="0" fontId="21" fillId="6" borderId="1" xfId="1" applyFont="1" applyFill="1" applyBorder="1"/>
    <xf numFmtId="165" fontId="21" fillId="6" borderId="1" xfId="1" applyNumberFormat="1" applyFont="1" applyFill="1" applyBorder="1"/>
    <xf numFmtId="164" fontId="21" fillId="6" borderId="1" xfId="1" applyNumberFormat="1" applyFont="1" applyFill="1" applyBorder="1"/>
    <xf numFmtId="164" fontId="0" fillId="2" borderId="0" xfId="1" applyNumberFormat="1" applyFont="1" applyFill="1"/>
    <xf numFmtId="0" fontId="19" fillId="0" borderId="0" xfId="1" applyFont="1"/>
    <xf numFmtId="164" fontId="18" fillId="4" borderId="1" xfId="1" applyNumberFormat="1" applyFont="1" applyFill="1" applyBorder="1" applyAlignment="1">
      <alignment horizontal="center"/>
    </xf>
    <xf numFmtId="167" fontId="0" fillId="2" borderId="1" xfId="1" applyNumberFormat="1" applyFont="1" applyFill="1" applyBorder="1"/>
    <xf numFmtId="9" fontId="0" fillId="2" borderId="1" xfId="1" applyNumberFormat="1" applyFont="1" applyFill="1" applyBorder="1"/>
    <xf numFmtId="0" fontId="18" fillId="4" borderId="1" xfId="1" applyFont="1" applyFill="1" applyBorder="1" applyAlignment="1">
      <alignment horizontal="center" vertical="center"/>
    </xf>
    <xf numFmtId="167" fontId="18" fillId="4" borderId="1" xfId="1" applyNumberFormat="1" applyFont="1" applyFill="1" applyBorder="1" applyAlignment="1">
      <alignment horizontal="center" vertical="center"/>
    </xf>
    <xf numFmtId="9" fontId="18" fillId="4" borderId="1" xfId="1" applyNumberFormat="1" applyFont="1" applyFill="1" applyBorder="1" applyAlignment="1">
      <alignment horizontal="center" vertical="center"/>
    </xf>
    <xf numFmtId="0" fontId="25" fillId="9" borderId="1" xfId="1" applyFont="1" applyFill="1" applyBorder="1" applyAlignment="1">
      <alignment horizontal="center" vertical="center"/>
    </xf>
    <xf numFmtId="0" fontId="26" fillId="7" borderId="1" xfId="1" applyFont="1" applyFill="1" applyBorder="1" applyAlignment="1">
      <alignment horizontal="center" vertical="center"/>
    </xf>
    <xf numFmtId="168" fontId="26" fillId="7" borderId="1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7" fillId="3" borderId="1" xfId="1" applyFont="1" applyFill="1" applyBorder="1" applyAlignment="1">
      <alignment horizontal="center" vertical="center" wrapText="1"/>
    </xf>
    <xf numFmtId="1" fontId="28" fillId="10" borderId="1" xfId="1" applyNumberFormat="1" applyFont="1" applyFill="1" applyBorder="1" applyAlignment="1">
      <alignment horizontal="center" vertical="center" wrapText="1"/>
    </xf>
    <xf numFmtId="0" fontId="28" fillId="10" borderId="1" xfId="1" applyFont="1" applyFill="1" applyBorder="1" applyAlignment="1">
      <alignment horizontal="center" vertical="center" wrapText="1"/>
    </xf>
    <xf numFmtId="164" fontId="28" fillId="10" borderId="1" xfId="1" applyNumberFormat="1" applyFont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169" fontId="1" fillId="10" borderId="1" xfId="1" applyNumberFormat="1" applyFill="1" applyBorder="1" applyAlignment="1">
      <alignment wrapText="1"/>
    </xf>
    <xf numFmtId="0" fontId="1" fillId="10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wrapText="1"/>
    </xf>
    <xf numFmtId="164" fontId="1" fillId="10" borderId="1" xfId="1" applyNumberFormat="1" applyFill="1" applyBorder="1" applyAlignment="1">
      <alignment wrapText="1"/>
    </xf>
    <xf numFmtId="0" fontId="1" fillId="10" borderId="1" xfId="1" applyFill="1" applyBorder="1"/>
    <xf numFmtId="0" fontId="1" fillId="10" borderId="0" xfId="1" applyFill="1"/>
    <xf numFmtId="0" fontId="1" fillId="10" borderId="0" xfId="1" applyFill="1" applyAlignment="1">
      <alignment horizontal="center" vertical="center"/>
    </xf>
    <xf numFmtId="0" fontId="29" fillId="3" borderId="0" xfId="1" applyFont="1" applyFill="1" applyAlignment="1">
      <alignment horizontal="center" vertical="center"/>
    </xf>
    <xf numFmtId="0" fontId="27" fillId="5" borderId="0" xfId="1" applyFont="1" applyFill="1" applyAlignment="1">
      <alignment horizontal="center"/>
    </xf>
    <xf numFmtId="0" fontId="27" fillId="11" borderId="1" xfId="1" applyFont="1" applyFill="1" applyBorder="1" applyAlignment="1">
      <alignment horizontal="center" vertical="center"/>
    </xf>
    <xf numFmtId="0" fontId="1" fillId="2" borderId="0" xfId="1" applyFill="1" applyAlignment="1">
      <alignment wrapText="1"/>
    </xf>
    <xf numFmtId="0" fontId="27" fillId="11" borderId="1" xfId="1" applyFont="1" applyFill="1" applyBorder="1" applyAlignment="1">
      <alignment horizontal="center"/>
    </xf>
    <xf numFmtId="9" fontId="1" fillId="10" borderId="1" xfId="1" applyNumberFormat="1" applyFill="1" applyBorder="1" applyAlignment="1">
      <alignment horizontal="center" vertical="center" wrapText="1"/>
    </xf>
    <xf numFmtId="0" fontId="30" fillId="7" borderId="1" xfId="1" applyFont="1" applyFill="1" applyBorder="1"/>
    <xf numFmtId="0" fontId="27" fillId="11" borderId="1" xfId="1" applyFont="1" applyFill="1" applyBorder="1" applyAlignment="1">
      <alignment horizontal="center" wrapText="1"/>
    </xf>
    <xf numFmtId="0" fontId="1" fillId="0" borderId="0" xfId="1" applyAlignment="1">
      <alignment wrapText="1"/>
    </xf>
    <xf numFmtId="0" fontId="8" fillId="2" borderId="1" xfId="1" applyFont="1" applyFill="1" applyBorder="1" applyAlignment="1">
      <alignment horizontal="center"/>
    </xf>
    <xf numFmtId="0" fontId="8" fillId="7" borderId="1" xfId="1" applyFont="1" applyFill="1" applyBorder="1" applyAlignment="1">
      <alignment horizontal="center"/>
    </xf>
    <xf numFmtId="0" fontId="0" fillId="2" borderId="1" xfId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left" vertical="center"/>
    </xf>
    <xf numFmtId="166" fontId="22" fillId="0" borderId="1" xfId="1" applyNumberFormat="1" applyFont="1" applyBorder="1" applyAlignment="1">
      <alignment horizontal="right" vertical="center"/>
    </xf>
    <xf numFmtId="0" fontId="22" fillId="0" borderId="1" xfId="1" applyFont="1" applyBorder="1" applyAlignment="1">
      <alignment horizontal="left" vertical="center"/>
    </xf>
    <xf numFmtId="0" fontId="0" fillId="2" borderId="2" xfId="1" applyFont="1" applyFill="1" applyBorder="1"/>
    <xf numFmtId="164" fontId="0" fillId="2" borderId="2" xfId="1" applyNumberFormat="1" applyFont="1" applyFill="1" applyBorder="1"/>
    <xf numFmtId="0" fontId="17" fillId="4" borderId="1" xfId="1" applyFont="1" applyFill="1" applyBorder="1" applyAlignment="1">
      <alignment horizontal="center" vertical="center"/>
    </xf>
    <xf numFmtId="166" fontId="19" fillId="0" borderId="1" xfId="1" applyNumberFormat="1" applyFont="1" applyBorder="1" applyAlignment="1">
      <alignment horizontal="right" vertical="center"/>
    </xf>
    <xf numFmtId="0" fontId="2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/>
    </xf>
    <xf numFmtId="0" fontId="6" fillId="3" borderId="0" xfId="1" applyFont="1" applyFill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164" fontId="9" fillId="6" borderId="1" xfId="1" applyNumberFormat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wrapText="1"/>
    </xf>
    <xf numFmtId="0" fontId="5" fillId="2" borderId="4" xfId="1" applyFont="1" applyFill="1" applyBorder="1" applyAlignment="1">
      <alignment horizontal="center" wrapText="1"/>
    </xf>
    <xf numFmtId="0" fontId="11" fillId="2" borderId="5" xfId="1" applyFont="1" applyFill="1" applyBorder="1" applyAlignment="1">
      <alignment horizontal="center" wrapText="1"/>
    </xf>
    <xf numFmtId="164" fontId="12" fillId="5" borderId="1" xfId="1" applyNumberFormat="1" applyFont="1" applyFill="1" applyBorder="1" applyAlignment="1">
      <alignment horizontal="center" vertical="center" wrapText="1"/>
    </xf>
    <xf numFmtId="165" fontId="9" fillId="6" borderId="1" xfId="1" applyNumberFormat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6" fillId="5" borderId="1" xfId="1" applyFont="1" applyFill="1" applyBorder="1" applyAlignment="1">
      <alignment horizontal="center"/>
    </xf>
    <xf numFmtId="0" fontId="17" fillId="4" borderId="1" xfId="1" applyFont="1" applyFill="1" applyBorder="1" applyAlignment="1">
      <alignment horizontal="center" vertical="center"/>
    </xf>
    <xf numFmtId="0" fontId="20" fillId="0" borderId="1" xfId="1" applyFont="1" applyBorder="1" applyAlignment="1">
      <alignment horizontal="left" vertical="center"/>
    </xf>
    <xf numFmtId="0" fontId="15" fillId="0" borderId="1" xfId="1" applyFont="1" applyBorder="1" applyAlignment="1">
      <alignment horizontal="left" vertical="center"/>
    </xf>
    <xf numFmtId="0" fontId="16" fillId="5" borderId="1" xfId="1" applyFont="1" applyFill="1" applyBorder="1" applyAlignment="1">
      <alignment horizontal="center" vertical="center"/>
    </xf>
    <xf numFmtId="0" fontId="23" fillId="0" borderId="1" xfId="1" applyFont="1" applyBorder="1" applyAlignment="1">
      <alignment horizontal="left" vertical="center"/>
    </xf>
    <xf numFmtId="0" fontId="24" fillId="8" borderId="1" xfId="1" applyFont="1" applyFill="1" applyBorder="1" applyAlignment="1">
      <alignment horizontal="center" vertical="center"/>
    </xf>
    <xf numFmtId="0" fontId="29" fillId="3" borderId="0" xfId="1" applyFont="1" applyFill="1" applyAlignment="1">
      <alignment horizontal="center" vertical="center"/>
    </xf>
    <xf numFmtId="0" fontId="31" fillId="5" borderId="0" xfId="1" applyFont="1" applyFill="1" applyAlignment="1">
      <alignment horizontal="center"/>
    </xf>
    <xf numFmtId="0" fontId="3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B00000"/>
      <rgbColor rgb="FF196B24"/>
      <rgbColor rgb="FF000080"/>
      <rgbColor rgb="FF808000"/>
      <rgbColor rgb="FF800080"/>
      <rgbColor rgb="FF156082"/>
      <rgbColor rgb="FFBFBFBF"/>
      <rgbColor rgb="FF8B8B8B"/>
      <rgbColor rgb="FF9999FF"/>
      <rgbColor rgb="FF993366"/>
      <rgbColor rgb="FFFFF6D8"/>
      <rgbColor rgb="FFFFF7E6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B11226"/>
      <rgbColor rgb="FF0F9ED5"/>
      <rgbColor rgb="FF0000FF"/>
      <rgbColor rgb="FF00CCFF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E97132"/>
      <rgbColor rgb="FF666666"/>
      <rgbColor rgb="FFB3B3B3"/>
      <rgbColor rgb="FF003366"/>
      <rgbColor rgb="FF339966"/>
      <rgbColor rgb="FF111111"/>
      <rgbColor rgb="FF0B0B0B"/>
      <rgbColor rgb="FF7F1D1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Presupuesto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'Presupuesto Mensual'!$T$2:$T$5</c:f>
              <c:strCache>
                <c:ptCount val="4"/>
                <c:pt idx="0">
                  <c:v>Necesidades</c:v>
                </c:pt>
                <c:pt idx="1">
                  <c:v>Deseos</c:v>
                </c:pt>
                <c:pt idx="2">
                  <c:v>Ahorros+Inv.</c:v>
                </c:pt>
                <c:pt idx="3">
                  <c:v>Deudas</c:v>
                </c:pt>
              </c:strCache>
            </c:strRef>
          </c:cat>
          <c:val>
            <c:numRef>
              <c:f>'Presupuesto Mensual'!$U$2:$U$5</c:f>
              <c:numCache>
                <c:formatCode>\$#,##0;"-$"#,##0;""</c:formatCode>
                <c:ptCount val="4"/>
                <c:pt idx="0">
                  <c:v>1030000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8-4D20-A495-84A6D900C427}"/>
            </c:ext>
          </c:extLst>
        </c:ser>
        <c:ser>
          <c:idx val="1"/>
          <c:order val="1"/>
          <c:tx>
            <c:v>Gastado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'Presupuesto Mensual'!$T$2:$T$5</c:f>
              <c:strCache>
                <c:ptCount val="4"/>
                <c:pt idx="0">
                  <c:v>Necesidades</c:v>
                </c:pt>
                <c:pt idx="1">
                  <c:v>Deseos</c:v>
                </c:pt>
                <c:pt idx="2">
                  <c:v>Ahorros+Inv.</c:v>
                </c:pt>
                <c:pt idx="3">
                  <c:v>Deudas</c:v>
                </c:pt>
              </c:strCache>
            </c:strRef>
          </c:cat>
          <c:val>
            <c:numRef>
              <c:f>'Presupuesto Mensual'!$V$2:$V$5</c:f>
              <c:numCache>
                <c:formatCode>\$#,##0;"-$"#,##0;""</c:formatCode>
                <c:ptCount val="4"/>
                <c:pt idx="0">
                  <c:v>1030000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A8-4D20-A495-84A6D900C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00163"/>
        <c:axId val="96676515"/>
      </c:barChart>
      <c:catAx>
        <c:axId val="3420016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6676515"/>
        <c:crosses val="autoZero"/>
        <c:auto val="1"/>
        <c:lblAlgn val="ctr"/>
        <c:lblOffset val="100"/>
        <c:noMultiLvlLbl val="0"/>
      </c:catAx>
      <c:valAx>
        <c:axId val="966765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342001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Presupuesto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7C-4785-979F-28FDB005F2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7C-4785-979F-28FDB005F2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97C-4785-979F-28FDB005F2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97C-4785-979F-28FDB005F2A1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7C-4785-979F-28FDB005F2A1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7C-4785-979F-28FDB005F2A1}"/>
                </c:ext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7C-4785-979F-28FDB005F2A1}"/>
                </c:ext>
              </c:extLst>
            </c:dLbl>
            <c:dLbl>
              <c:idx val="3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7C-4785-979F-28FDB005F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'Presupuesto Mensual'!$T$2:$T$5</c:f>
              <c:strCache>
                <c:ptCount val="4"/>
                <c:pt idx="0">
                  <c:v>Necesidades</c:v>
                </c:pt>
                <c:pt idx="1">
                  <c:v>Deseos</c:v>
                </c:pt>
                <c:pt idx="2">
                  <c:v>Ahorros+Inv.</c:v>
                </c:pt>
                <c:pt idx="3">
                  <c:v>Deudas</c:v>
                </c:pt>
              </c:strCache>
            </c:strRef>
          </c:cat>
          <c:val>
            <c:numRef>
              <c:f>'Presupuesto Mensual'!$U$2:$U$5</c:f>
              <c:numCache>
                <c:formatCode>\$#,##0;"-$"#,##0;""</c:formatCode>
                <c:ptCount val="4"/>
                <c:pt idx="0">
                  <c:v>1030000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7C-4785-979F-28FDB005F2A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Ingresos totales vs gastos totales vs ahorros</a:t>
            </a:r>
          </a:p>
        </c:rich>
      </c:tx>
      <c:layout>
        <c:manualLayout>
          <c:xMode val="edge"/>
          <c:yMode val="edge"/>
          <c:x val="0.25452263938438263"/>
          <c:y val="2.65000305608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42070480195787"/>
          <c:y val="0.14552554551196292"/>
          <c:w val="0.89398143402971453"/>
          <c:h val="0.757541332201457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'Presupuesto Mensual'!$P$57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'Presupuesto Mensual'!$O$58</c:f>
              <c:strCache>
                <c:ptCount val="1"/>
                <c:pt idx="0">
                  <c:v>Monto</c:v>
                </c:pt>
              </c:strCache>
            </c:strRef>
          </c:cat>
          <c:val>
            <c:numRef>
              <c:f>'Presupuesto Mensual'!$P$58</c:f>
              <c:numCache>
                <c:formatCode>\$#,##0</c:formatCode>
                <c:ptCount val="1"/>
                <c:pt idx="0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C-4108-88F1-492DDB0BEC4F}"/>
            </c:ext>
          </c:extLst>
        </c:ser>
        <c:ser>
          <c:idx val="1"/>
          <c:order val="1"/>
          <c:tx>
            <c:strRef>
              <c:f>'Presupuesto Mensual'!$Q$57</c:f>
              <c:strCache>
                <c:ptCount val="1"/>
                <c:pt idx="0">
                  <c:v>Gastos totales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'Presupuesto Mensual'!$O$58</c:f>
              <c:strCache>
                <c:ptCount val="1"/>
                <c:pt idx="0">
                  <c:v>Monto</c:v>
                </c:pt>
              </c:strCache>
            </c:strRef>
          </c:cat>
          <c:val>
            <c:numRef>
              <c:f>'Presupuesto Mensual'!$Q$58</c:f>
              <c:numCache>
                <c:formatCode>\$#,##0</c:formatCode>
                <c:ptCount val="1"/>
                <c:pt idx="0">
                  <c:v>1030000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C-4108-88F1-492DDB0BEC4F}"/>
            </c:ext>
          </c:extLst>
        </c:ser>
        <c:ser>
          <c:idx val="2"/>
          <c:order val="2"/>
          <c:tx>
            <c:strRef>
              <c:f>'Presupuesto Mensual'!$R$57</c:f>
              <c:strCache>
                <c:ptCount val="1"/>
                <c:pt idx="0">
                  <c:v>Ahorros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'Presupuesto Mensual'!$O$58</c:f>
              <c:strCache>
                <c:ptCount val="1"/>
                <c:pt idx="0">
                  <c:v>Monto</c:v>
                </c:pt>
              </c:strCache>
            </c:strRef>
          </c:cat>
          <c:val>
            <c:numRef>
              <c:f>'Presupuesto Mensual'!$R$58</c:f>
              <c:numCache>
                <c:formatCode>\$#,##0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C-4108-88F1-492DDB0BE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5441939"/>
        <c:axId val="64367444"/>
      </c:barChart>
      <c:catAx>
        <c:axId val="654419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367444"/>
        <c:crosses val="autoZero"/>
        <c:auto val="1"/>
        <c:lblAlgn val="ctr"/>
        <c:lblOffset val="100"/>
        <c:noMultiLvlLbl val="0"/>
      </c:catAx>
      <c:valAx>
        <c:axId val="643674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54419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642341617805046"/>
          <c:y val="0.9013514706581458"/>
          <c:w val="0.64029264739788982"/>
          <c:h val="7.2773638851725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Ingresos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Anual'!$C$6:$C$17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Anual'!$D$6:$D$17</c:f>
              <c:numCache>
                <c:formatCode>\$#,##0;"-$"#,##0;""</c:formatCode>
                <c:ptCount val="12"/>
                <c:pt idx="0">
                  <c:v>2500000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8-4CAB-8C70-585EDBCCF5FD}"/>
            </c:ext>
          </c:extLst>
        </c:ser>
        <c:ser>
          <c:idx val="1"/>
          <c:order val="1"/>
          <c:tx>
            <c:v>Total egresos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Anual'!$C$6:$C$17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Anual'!$J$6:$J$17</c:f>
              <c:numCache>
                <c:formatCode>\$#,##0;"-$"#,##0;""</c:formatCode>
                <c:ptCount val="12"/>
                <c:pt idx="0">
                  <c:v>1030000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8-4CAB-8C70-585EDBCCF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61730"/>
        <c:axId val="10348253"/>
      </c:barChart>
      <c:catAx>
        <c:axId val="916173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10348253"/>
        <c:crosses val="autoZero"/>
        <c:auto val="1"/>
        <c:lblAlgn val="ctr"/>
        <c:lblOffset val="100"/>
        <c:noMultiLvlLbl val="0"/>
      </c:catAx>
      <c:valAx>
        <c:axId val="1034825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1617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Saldo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Anual'!$C$6:$C$17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Anual'!$K$6:$K$17</c:f>
              <c:numCache>
                <c:formatCode>\$#,##0;"-$"#,##0;""</c:formatCode>
                <c:ptCount val="12"/>
                <c:pt idx="0">
                  <c:v>1470000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4-4C5C-B199-CB8AB3C0D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767006"/>
        <c:axId val="72260495"/>
      </c:lineChart>
      <c:catAx>
        <c:axId val="4976700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72260495"/>
        <c:crosses val="autoZero"/>
        <c:auto val="1"/>
        <c:lblAlgn val="ctr"/>
        <c:lblOffset val="100"/>
        <c:noMultiLvlLbl val="0"/>
      </c:catAx>
      <c:valAx>
        <c:axId val="7226049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497670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152280</xdr:colOff>
      <xdr:row>8</xdr:row>
      <xdr:rowOff>3600</xdr:rowOff>
    </xdr:from>
    <xdr:to>
      <xdr:col>12</xdr:col>
      <xdr:colOff>1021320</xdr:colOff>
      <xdr:row>21</xdr:row>
      <xdr:rowOff>125280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249979</xdr:colOff>
      <xdr:row>24</xdr:row>
      <xdr:rowOff>136510</xdr:rowOff>
    </xdr:from>
    <xdr:to>
      <xdr:col>18</xdr:col>
      <xdr:colOff>1100667</xdr:colOff>
      <xdr:row>36</xdr:row>
      <xdr:rowOff>119061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247727</xdr:colOff>
      <xdr:row>37</xdr:row>
      <xdr:rowOff>30616</xdr:rowOff>
    </xdr:from>
    <xdr:to>
      <xdr:col>20</xdr:col>
      <xdr:colOff>70494</xdr:colOff>
      <xdr:row>54</xdr:row>
      <xdr:rowOff>141868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28440</xdr:colOff>
      <xdr:row>18</xdr:row>
      <xdr:rowOff>95040</xdr:rowOff>
    </xdr:from>
    <xdr:to>
      <xdr:col>11</xdr:col>
      <xdr:colOff>539280</xdr:colOff>
      <xdr:row>32</xdr:row>
      <xdr:rowOff>64800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47520</xdr:colOff>
      <xdr:row>32</xdr:row>
      <xdr:rowOff>105120</xdr:rowOff>
    </xdr:from>
    <xdr:to>
      <xdr:col>11</xdr:col>
      <xdr:colOff>558360</xdr:colOff>
      <xdr:row>46</xdr:row>
      <xdr:rowOff>55440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PlanMensual" displayName="TablaPlanMensual" ref="B1:J2000" totalsRowShown="0">
  <autoFilter ref="B1:J2000" xr:uid="{00000000-0009-0000-0100-000002000000}"/>
  <tableColumns count="9">
    <tableColumn id="1" xr3:uid="{00000000-0010-0000-0000-000001000000}" name="Año"/>
    <tableColumn id="2" xr3:uid="{00000000-0010-0000-0000-000002000000}" name="Mes N°"/>
    <tableColumn id="3" xr3:uid="{00000000-0010-0000-0000-000003000000}" name="Mes"/>
    <tableColumn id="4" xr3:uid="{00000000-0010-0000-0000-000004000000}" name="Sección"/>
    <tableColumn id="5" xr3:uid="{00000000-0010-0000-0000-000005000000}" name="Tipo"/>
    <tableColumn id="6" xr3:uid="{00000000-0010-0000-0000-000006000000}" name="Categoría"/>
    <tableColumn id="7" xr3:uid="{00000000-0010-0000-0000-000007000000}" name="Concepto"/>
    <tableColumn id="8" xr3:uid="{00000000-0010-0000-0000-000008000000}" name="Presupuesto"/>
    <tableColumn id="9" xr3:uid="{00000000-0010-0000-0000-000009000000}" name="Not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Movimientos" displayName="TablaMovimientos" ref="B1:M2000" totalsRowShown="0">
  <autoFilter ref="B1:M2000" xr:uid="{00000000-0009-0000-0100-000001000000}"/>
  <tableColumns count="12">
    <tableColumn id="1" xr3:uid="{00000000-0010-0000-0100-000001000000}" name="Fecha"/>
    <tableColumn id="2" xr3:uid="{00000000-0010-0000-0100-000002000000}" name="Mes N°"/>
    <tableColumn id="3" xr3:uid="{00000000-0010-0000-0100-000003000000}" name="Mes"/>
    <tableColumn id="4" xr3:uid="{00000000-0010-0000-0100-000004000000}" name="Año"/>
    <tableColumn id="5" xr3:uid="{00000000-0010-0000-0100-000005000000}" name="Tipo"/>
    <tableColumn id="6" xr3:uid="{00000000-0010-0000-0100-000006000000}" name="Categoría"/>
    <tableColumn id="7" xr3:uid="{00000000-0010-0000-0100-000007000000}" name="Concepto"/>
    <tableColumn id="8" xr3:uid="{00000000-0010-0000-0100-000008000000}" name="Descripción"/>
    <tableColumn id="9" xr3:uid="{00000000-0010-0000-0100-000009000000}" name="Monto"/>
    <tableColumn id="10" xr3:uid="{00000000-0010-0000-0100-00000A000000}" name="Estado"/>
    <tableColumn id="11" xr3:uid="{00000000-0010-0000-0100-00000B000000}" name="Medio de pago"/>
    <tableColumn id="12" xr3:uid="{00000000-0010-0000-0100-00000C000000}" name="No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9"/>
  <sheetViews>
    <sheetView zoomScaleNormal="100" workbookViewId="0">
      <selection activeCell="K8" sqref="K8"/>
    </sheetView>
  </sheetViews>
  <sheetFormatPr baseColWidth="10" defaultColWidth="8.7109375" defaultRowHeight="15" x14ac:dyDescent="0.25"/>
  <cols>
    <col min="1" max="1" width="8.7109375" style="4"/>
    <col min="2" max="2" width="22" style="2" customWidth="1"/>
    <col min="3" max="3" width="22.28515625" style="2" customWidth="1"/>
    <col min="4" max="4" width="18.85546875" style="2" customWidth="1"/>
    <col min="5" max="5" width="48" style="2" customWidth="1"/>
    <col min="6" max="9" width="12" style="2" customWidth="1"/>
    <col min="10" max="20" width="8.7109375" style="3"/>
  </cols>
  <sheetData>
    <row r="1" spans="2:10" ht="25.5" customHeight="1" x14ac:dyDescent="0.25">
      <c r="B1" s="68" t="s">
        <v>0</v>
      </c>
      <c r="C1" s="68"/>
      <c r="D1" s="68"/>
      <c r="E1" s="68"/>
      <c r="F1" s="68"/>
      <c r="G1" s="68"/>
      <c r="H1" s="68"/>
      <c r="I1" s="68"/>
    </row>
    <row r="2" spans="2:10" ht="18.75" customHeight="1" x14ac:dyDescent="0.25">
      <c r="B2" s="69" t="s">
        <v>1</v>
      </c>
      <c r="C2" s="69"/>
      <c r="D2" s="69"/>
      <c r="E2" s="69"/>
      <c r="F2" s="69"/>
      <c r="G2" s="69"/>
      <c r="H2" s="69"/>
      <c r="I2" s="69"/>
    </row>
    <row r="3" spans="2:10" x14ac:dyDescent="0.25">
      <c r="B3" s="4"/>
      <c r="C3" s="4"/>
      <c r="D3" s="4"/>
      <c r="E3" s="4"/>
      <c r="F3" s="4"/>
      <c r="G3" s="4"/>
      <c r="H3" s="4"/>
      <c r="I3" s="4"/>
    </row>
    <row r="4" spans="2:10" x14ac:dyDescent="0.25">
      <c r="B4" s="4"/>
      <c r="C4" s="4"/>
      <c r="D4" s="70" t="s">
        <v>2</v>
      </c>
      <c r="E4" s="70"/>
      <c r="F4" s="4"/>
      <c r="G4" s="4"/>
      <c r="H4" s="4"/>
      <c r="I4" s="4"/>
      <c r="J4" s="4"/>
    </row>
    <row r="5" spans="2:10" ht="25.5" customHeight="1" x14ac:dyDescent="0.25">
      <c r="B5" s="4"/>
      <c r="C5" s="4"/>
      <c r="D5" s="5" t="s">
        <v>3</v>
      </c>
      <c r="E5" s="6" t="s">
        <v>4</v>
      </c>
      <c r="F5" s="4"/>
      <c r="G5" s="4"/>
      <c r="H5" s="4"/>
      <c r="I5" s="4"/>
      <c r="J5" s="4"/>
    </row>
    <row r="6" spans="2:10" ht="38.25" customHeight="1" x14ac:dyDescent="0.25">
      <c r="B6" s="4"/>
      <c r="C6" s="4"/>
      <c r="D6" s="5" t="s">
        <v>5</v>
      </c>
      <c r="E6" s="6" t="s">
        <v>6</v>
      </c>
      <c r="F6" s="4"/>
      <c r="G6" s="4"/>
      <c r="H6" s="4"/>
      <c r="I6" s="4"/>
      <c r="J6" s="4"/>
    </row>
    <row r="7" spans="2:10" ht="35.25" customHeight="1" x14ac:dyDescent="0.25">
      <c r="B7" s="4"/>
      <c r="C7" s="4"/>
      <c r="D7" s="5" t="s">
        <v>7</v>
      </c>
      <c r="E7" s="6" t="s">
        <v>8</v>
      </c>
      <c r="F7" s="4"/>
      <c r="G7" s="4"/>
      <c r="H7" s="4"/>
      <c r="I7" s="4"/>
      <c r="J7" s="4"/>
    </row>
    <row r="8" spans="2:10" ht="43.5" customHeight="1" x14ac:dyDescent="0.25">
      <c r="B8" s="4"/>
      <c r="C8" s="4"/>
      <c r="D8" s="5" t="s">
        <v>9</v>
      </c>
      <c r="E8" s="6" t="s">
        <v>10</v>
      </c>
      <c r="F8" s="4"/>
      <c r="G8" s="4"/>
      <c r="H8" s="4"/>
      <c r="I8" s="4"/>
      <c r="J8" s="4"/>
    </row>
    <row r="9" spans="2:10" ht="29.25" customHeight="1" x14ac:dyDescent="0.25">
      <c r="B9" s="4"/>
      <c r="C9" s="4"/>
      <c r="D9" s="5" t="s">
        <v>11</v>
      </c>
      <c r="E9" s="6" t="s">
        <v>12</v>
      </c>
      <c r="F9" s="4"/>
      <c r="G9" s="4"/>
      <c r="H9" s="4"/>
      <c r="I9" s="4"/>
      <c r="J9" s="4"/>
    </row>
    <row r="10" spans="2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2:10" x14ac:dyDescent="0.25">
      <c r="B11" s="4"/>
      <c r="C11" s="4"/>
      <c r="D11" s="4"/>
      <c r="E11" s="4"/>
      <c r="F11" s="4"/>
      <c r="G11" s="4"/>
      <c r="H11" s="4"/>
      <c r="I11" s="4"/>
      <c r="J11" s="4"/>
    </row>
    <row r="12" spans="2:10" x14ac:dyDescent="0.25">
      <c r="B12" s="4"/>
      <c r="C12" s="4"/>
      <c r="D12" s="4"/>
      <c r="E12" s="4"/>
      <c r="F12" s="4"/>
      <c r="G12" s="4"/>
      <c r="H12" s="4"/>
      <c r="I12" s="4"/>
      <c r="J12" s="4"/>
    </row>
    <row r="13" spans="2:10" x14ac:dyDescent="0.25">
      <c r="B13" s="4"/>
      <c r="C13" s="4"/>
      <c r="D13" s="4"/>
      <c r="E13" s="4"/>
      <c r="F13" s="4"/>
      <c r="G13" s="4"/>
      <c r="H13" s="4"/>
      <c r="I13" s="4"/>
    </row>
    <row r="14" spans="2:10" x14ac:dyDescent="0.25">
      <c r="B14" s="4"/>
      <c r="C14" s="4"/>
      <c r="D14" s="4"/>
      <c r="E14" s="4"/>
      <c r="F14" s="4"/>
      <c r="G14" s="4"/>
      <c r="H14" s="4"/>
      <c r="I14" s="4"/>
    </row>
    <row r="15" spans="2:10" x14ac:dyDescent="0.25">
      <c r="B15" s="4"/>
      <c r="C15" s="4"/>
      <c r="D15" s="4"/>
      <c r="E15" s="4"/>
      <c r="F15" s="4"/>
      <c r="G15" s="4"/>
      <c r="H15" s="4"/>
      <c r="I15" s="4"/>
    </row>
    <row r="16" spans="2:10" x14ac:dyDescent="0.25">
      <c r="B16" s="4"/>
      <c r="C16" s="4"/>
      <c r="D16" s="4"/>
      <c r="E16" s="4"/>
      <c r="F16" s="4"/>
      <c r="G16" s="4"/>
      <c r="H16" s="4"/>
      <c r="I16" s="4"/>
    </row>
    <row r="17" spans="1:9" x14ac:dyDescent="0.25">
      <c r="B17" s="4"/>
      <c r="C17" s="4"/>
      <c r="D17" s="4"/>
      <c r="E17" s="4"/>
      <c r="F17" s="4"/>
      <c r="G17" s="4"/>
      <c r="H17" s="4"/>
      <c r="I17" s="4"/>
    </row>
    <row r="18" spans="1:9" x14ac:dyDescent="0.25">
      <c r="B18" s="4"/>
      <c r="C18" s="4"/>
      <c r="D18" s="4"/>
      <c r="E18" s="4"/>
      <c r="F18" s="4"/>
      <c r="G18" s="4"/>
      <c r="H18" s="4"/>
      <c r="I18" s="4"/>
    </row>
    <row r="19" spans="1:9" x14ac:dyDescent="0.25">
      <c r="B19" s="4"/>
      <c r="C19" s="4"/>
      <c r="D19" s="4"/>
      <c r="E19" s="4"/>
      <c r="F19" s="4"/>
      <c r="G19" s="4"/>
      <c r="H19" s="4"/>
      <c r="I19" s="4"/>
    </row>
    <row r="20" spans="1:9" x14ac:dyDescent="0.25">
      <c r="B20" s="4"/>
      <c r="C20" s="4"/>
      <c r="D20" s="4"/>
      <c r="E20" s="4"/>
      <c r="F20" s="4"/>
      <c r="G20" s="4"/>
      <c r="H20" s="4"/>
      <c r="I20" s="4"/>
    </row>
    <row r="21" spans="1:9" x14ac:dyDescent="0.25">
      <c r="B21" s="4"/>
      <c r="C21" s="4"/>
      <c r="D21" s="4"/>
      <c r="E21" s="4"/>
      <c r="F21" s="4"/>
      <c r="G21" s="4"/>
      <c r="H21" s="4"/>
      <c r="I21" s="4"/>
    </row>
    <row r="22" spans="1:9" x14ac:dyDescent="0.25">
      <c r="B22" s="4"/>
      <c r="C22" s="4"/>
      <c r="D22" s="4"/>
      <c r="E22" s="4"/>
      <c r="F22" s="4"/>
      <c r="G22" s="4"/>
      <c r="H22" s="4"/>
      <c r="I22" s="4"/>
    </row>
    <row r="23" spans="1:9" s="3" customFormat="1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s="3" customFormat="1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s="3" customFormat="1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s="3" customFormat="1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s="3" customFormat="1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s="3" customFormat="1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s="3" customFormat="1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s="3" customFormat="1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s="3" customFormat="1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s="3" customFormat="1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s="3" customFormat="1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s="3" customFormat="1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s="3" customFormat="1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s="3" customFormat="1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s="3" customFormat="1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s="3" customFormat="1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s="3" customFormat="1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s="3" customFormat="1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s="3" customFormat="1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s="3" customFormat="1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s="3" customFormat="1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s="3" customFormat="1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s="3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s="3" customFormat="1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s="3" customFormat="1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s="3" customFormat="1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s="3" customFormat="1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s="3" customFormat="1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s="3" customFormat="1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s="3" customFormat="1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s="3" customFormat="1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s="3" customFormat="1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s="3" customFormat="1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s="3" customFormat="1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s="3" customFormat="1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s="3" customFormat="1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s="3" customFormat="1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s="3" customFormat="1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s="3" customFormat="1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s="3" customFormat="1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s="3" customFormat="1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s="3" customFormat="1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s="3" customFormat="1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s="3" customFormat="1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s="3" customFormat="1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s="3" customFormat="1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s="3" customFormat="1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s="3" customFormat="1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s="3" customFormat="1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s="3" customFormat="1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s="3" customFormat="1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s="3" customFormat="1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s="3" customFormat="1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s="3" customFormat="1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s="3" customFormat="1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s="3" customFormat="1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s="3" customFormat="1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s="3" customFormat="1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s="3" customFormat="1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s="3" customFormat="1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s="3" customFormat="1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s="3" customFormat="1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s="3" customFormat="1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s="3" customFormat="1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s="3" customFormat="1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s="3" customFormat="1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s="3" customFormat="1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s="3" customFormat="1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s="3" customFormat="1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s="3" customFormat="1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s="3" customFormat="1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s="3" customFormat="1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s="3" customFormat="1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s="3" customFormat="1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s="3" customFormat="1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s="3" customFormat="1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s="3" customFormat="1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s="3" customFormat="1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s="3" customFormat="1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s="3" customFormat="1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s="3" customFormat="1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s="3" customFormat="1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s="3" customFormat="1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s="3" customFormat="1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s="3" customFormat="1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s="3" customFormat="1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s="3" customFormat="1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s="3" customFormat="1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s="3" customFormat="1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s="3" customFormat="1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s="3" customFormat="1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s="3" customFormat="1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s="3" customFormat="1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s="3" customFormat="1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s="3" customFormat="1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spans="1:9" s="3" customFormat="1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spans="1:9" s="3" customFormat="1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spans="1:9" s="3" customFormat="1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spans="1:9" s="3" customFormat="1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9" s="3" customFormat="1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spans="1:9" s="3" customFormat="1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spans="1:9" s="3" customFormat="1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spans="1:9" s="3" customFormat="1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spans="1:9" s="3" customFormat="1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spans="1:9" s="3" customFormat="1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spans="1:9" s="3" customFormat="1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spans="1:9" s="3" customFormat="1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spans="1:9" s="3" customFormat="1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spans="1:9" s="3" customFormat="1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spans="1:9" s="3" customFormat="1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spans="1:9" s="3" customFormat="1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spans="1:9" s="3" customFormat="1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spans="1:9" s="3" customFormat="1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spans="1:9" s="3" customFormat="1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spans="1:9" s="3" customFormat="1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spans="1:9" s="3" customFormat="1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spans="1:9" s="3" customFormat="1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spans="1:9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spans="1:9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spans="1:9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spans="1:9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spans="1:9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spans="1:9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spans="1:9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spans="1:9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spans="1:9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spans="1:9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spans="1:9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spans="1:9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spans="1:9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spans="1:9" s="3" customFormat="1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spans="1:9" s="3" customFormat="1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spans="1:9" s="3" customFormat="1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spans="1:9" s="3" customFormat="1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spans="1:9" s="3" customFormat="1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spans="1:9" s="3" customFormat="1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spans="1:9" s="3" customFormat="1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spans="1:9" s="3" customFormat="1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spans="1:9" s="3" customFormat="1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spans="1:9" s="3" customFormat="1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spans="1:9" s="3" customFormat="1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spans="1:9" s="3" customFormat="1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spans="1:9" s="3" customFormat="1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spans="1:9" s="3" customFormat="1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spans="1:9" s="3" customFormat="1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spans="1:9" s="3" customFormat="1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spans="1:9" s="3" customFormat="1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spans="1:9" s="3" customFormat="1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spans="1:9" s="3" customFormat="1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spans="1:9" s="3" customFormat="1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spans="1:9" s="3" customFormat="1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spans="1:9" s="3" customFormat="1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spans="1:9" s="3" customFormat="1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spans="1:9" s="3" customFormat="1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spans="1:9" s="3" customFormat="1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spans="1:9" s="3" customFormat="1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spans="1:9" s="3" customFormat="1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spans="1:9" s="3" customFormat="1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spans="1:9" s="3" customFormat="1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spans="1:9" s="3" customFormat="1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spans="1:9" s="3" customFormat="1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spans="1:9" s="3" customFormat="1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spans="1:9" s="3" customFormat="1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spans="1:9" s="3" customFormat="1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spans="1:9" s="3" customFormat="1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spans="1:9" s="3" customFormat="1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spans="1:9" s="3" customFormat="1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spans="1:9" s="3" customFormat="1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spans="1:9" s="3" customFormat="1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spans="1:9" s="3" customFormat="1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spans="1:9" s="3" customFormat="1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spans="1:9" s="3" customFormat="1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spans="1:9" s="3" customFormat="1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spans="1:9" s="3" customFormat="1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spans="1:9" s="3" customFormat="1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spans="1:9" s="3" customFormat="1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spans="1:9" s="3" customFormat="1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spans="1:9" s="3" customFormat="1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spans="1:9" s="3" customFormat="1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spans="1:9" s="3" customFormat="1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spans="1:9" s="3" customFormat="1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spans="1:9" s="3" customFormat="1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spans="1:9" s="3" customFormat="1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spans="1:9" s="3" customFormat="1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spans="1:9" s="3" customFormat="1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spans="1:9" s="3" customFormat="1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spans="1:9" s="3" customFormat="1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spans="1:9" s="3" customFormat="1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spans="1:9" s="3" customFormat="1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spans="1:9" s="3" customFormat="1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spans="1:9" s="3" customFormat="1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spans="1:9" s="3" customFormat="1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spans="1:9" s="3" customFormat="1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spans="1:9" s="3" customFormat="1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spans="1:9" s="3" customFormat="1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spans="1:9" s="3" customFormat="1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spans="1:9" s="3" customFormat="1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spans="1:9" s="3" customFormat="1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spans="1:9" s="3" customFormat="1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spans="1:9" s="3" customFormat="1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spans="1:9" s="3" customFormat="1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spans="1:9" s="3" customFormat="1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spans="1:9" s="3" customFormat="1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spans="1:9" s="3" customFormat="1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spans="1:9" s="3" customFormat="1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spans="1:9" s="3" customFormat="1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spans="1:9" s="3" customFormat="1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spans="1:9" s="3" customFormat="1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spans="1:9" s="3" customFormat="1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spans="1:9" s="3" customFormat="1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spans="1:9" s="3" customFormat="1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spans="1:9" s="3" customFormat="1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spans="1:9" s="3" customFormat="1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spans="1:9" s="3" customFormat="1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spans="1:9" s="3" customFormat="1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spans="1:9" s="3" customFormat="1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spans="1:9" s="3" customFormat="1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spans="1:9" s="3" customFormat="1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spans="1:9" s="3" customFormat="1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spans="1:9" s="3" customFormat="1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spans="1:9" s="3" customFormat="1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spans="1:9" s="3" customFormat="1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spans="1:9" s="3" customFormat="1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spans="1:9" s="3" customFormat="1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spans="1:9" s="3" customFormat="1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spans="1:9" s="3" customFormat="1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spans="1:9" s="3" customFormat="1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spans="1:9" s="3" customFormat="1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spans="1:9" s="3" customFormat="1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spans="1:9" s="3" customFormat="1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spans="1:9" s="3" customFormat="1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spans="1:9" s="3" customFormat="1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spans="1:9" s="3" customFormat="1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spans="1:9" s="3" customFormat="1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spans="1:9" s="3" customFormat="1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spans="1:9" s="3" customFormat="1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spans="1:9" s="3" customFormat="1" x14ac:dyDescent="0.25">
      <c r="A259" s="4"/>
      <c r="B259" s="4"/>
      <c r="C259" s="4"/>
      <c r="D259" s="4"/>
      <c r="E259" s="4"/>
      <c r="F259" s="4"/>
      <c r="G259" s="4"/>
      <c r="H259" s="4"/>
      <c r="I259" s="4"/>
    </row>
  </sheetData>
  <mergeCells count="3">
    <mergeCell ref="B1:I1"/>
    <mergeCell ref="B2:I2"/>
    <mergeCell ref="D4:E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43"/>
  <sheetViews>
    <sheetView zoomScale="80" zoomScaleNormal="80" workbookViewId="0">
      <selection activeCell="V35" sqref="V35"/>
    </sheetView>
  </sheetViews>
  <sheetFormatPr baseColWidth="10" defaultColWidth="8.7109375" defaultRowHeight="15" x14ac:dyDescent="0.25"/>
  <cols>
    <col min="1" max="1" width="18" style="2" customWidth="1"/>
    <col min="2" max="2" width="24" style="2" customWidth="1"/>
    <col min="3" max="3" width="14" style="2" customWidth="1"/>
    <col min="4" max="4" width="15" style="2" customWidth="1"/>
    <col min="5" max="5" width="18" style="2" customWidth="1"/>
    <col min="6" max="6" width="16" style="2" customWidth="1"/>
    <col min="7" max="7" width="3" style="2" customWidth="1"/>
    <col min="8" max="8" width="18" style="2" customWidth="1"/>
    <col min="9" max="9" width="14" style="2" customWidth="1"/>
    <col min="10" max="10" width="13" customWidth="1"/>
    <col min="11" max="11" width="15" style="2" customWidth="1"/>
    <col min="12" max="12" width="18" style="2" customWidth="1"/>
    <col min="13" max="13" width="16" style="2" customWidth="1"/>
    <col min="14" max="14" width="5.140625" style="2" customWidth="1"/>
    <col min="15" max="17" width="16" style="2" customWidth="1"/>
    <col min="18" max="18" width="16" customWidth="1"/>
    <col min="19" max="19" width="17.28515625" style="2" customWidth="1"/>
    <col min="20" max="20" width="19.85546875" style="2" customWidth="1"/>
    <col min="21" max="21" width="15" style="2" customWidth="1"/>
    <col min="22" max="22" width="15" customWidth="1"/>
    <col min="23" max="23" width="12" customWidth="1"/>
    <col min="24" max="24" width="15" style="2" customWidth="1"/>
    <col min="25" max="35" width="8.7109375" style="7" hidden="1"/>
    <col min="36" max="54" width="8.7109375" style="7"/>
  </cols>
  <sheetData>
    <row r="1" spans="1:27" ht="22.5" customHeight="1" x14ac:dyDescent="0.2">
      <c r="A1" s="71" t="s">
        <v>13</v>
      </c>
      <c r="B1" s="71"/>
      <c r="C1" s="71"/>
      <c r="D1" s="71"/>
      <c r="E1" s="71"/>
      <c r="F1" s="71"/>
      <c r="G1" s="7"/>
      <c r="H1" s="72" t="s">
        <v>14</v>
      </c>
      <c r="I1" s="72"/>
      <c r="J1" s="72"/>
      <c r="K1" s="72" t="s">
        <v>15</v>
      </c>
      <c r="L1" s="72"/>
      <c r="M1" s="72"/>
      <c r="N1" s="8"/>
      <c r="O1" s="72" t="s">
        <v>16</v>
      </c>
      <c r="P1" s="72"/>
      <c r="Q1" s="72"/>
      <c r="R1" s="8"/>
      <c r="S1" s="8"/>
      <c r="T1" s="8"/>
      <c r="U1" s="8"/>
      <c r="V1" s="8"/>
      <c r="W1" s="8"/>
      <c r="X1" s="7"/>
    </row>
    <row r="2" spans="1:27" ht="33" customHeight="1" x14ac:dyDescent="0.2">
      <c r="A2" s="73" t="s">
        <v>17</v>
      </c>
      <c r="B2" s="73"/>
      <c r="C2" s="9" t="s">
        <v>18</v>
      </c>
      <c r="D2" s="10">
        <v>2026</v>
      </c>
      <c r="E2" s="9" t="s">
        <v>19</v>
      </c>
      <c r="F2" s="10" t="s">
        <v>20</v>
      </c>
      <c r="G2" s="8"/>
      <c r="H2" s="74">
        <f>C32</f>
        <v>2500000</v>
      </c>
      <c r="I2" s="74"/>
      <c r="J2" s="74"/>
      <c r="K2" s="74">
        <f>C66+J56+Q82+SUMIFS(Movimientos!$J$2:$J$2000,Movimientos!$C$2:$C$2000,$A$119,Movimientos!$E$2:$E$2000,$D$2,Movimientos!$F$2:$F$2000,"Ahorros",Movimientos!$K$2:$K$2000,"&lt;&gt;Anulado")+SUMIFS(Movimientos!$J$2:$J$2000,Movimientos!$C$2:$C$2000,$A$119,Movimientos!$E$2:$E$2000,$D$2,Movimientos!$F$2:$F$2000,"Inversiones",Movimientos!$K$2:$K$2000,"&lt;&gt;Anulado")</f>
        <v>1030000</v>
      </c>
      <c r="L2" s="74"/>
      <c r="M2" s="74"/>
      <c r="N2" s="8"/>
      <c r="O2" s="74">
        <f>H2-K2</f>
        <v>1470000</v>
      </c>
      <c r="P2" s="74"/>
      <c r="Q2" s="74"/>
      <c r="R2" s="8"/>
      <c r="S2" s="8"/>
      <c r="T2" s="11" t="s">
        <v>21</v>
      </c>
      <c r="U2" s="12">
        <f t="shared" ref="U2:V4" si="0">Q20</f>
        <v>1030000</v>
      </c>
      <c r="V2" s="12">
        <f t="shared" si="0"/>
        <v>1030000</v>
      </c>
      <c r="W2" s="7"/>
      <c r="X2" s="7"/>
    </row>
    <row r="3" spans="1:27" ht="37.5" customHeight="1" x14ac:dyDescent="0.5">
      <c r="A3" s="75" t="str">
        <f>UPPER($F$2)</f>
        <v>ENERO</v>
      </c>
      <c r="B3" s="75"/>
      <c r="C3" s="75"/>
      <c r="D3" s="75"/>
      <c r="E3" s="75"/>
      <c r="F3" s="75"/>
      <c r="G3" s="8"/>
      <c r="H3" s="74"/>
      <c r="I3" s="74"/>
      <c r="J3" s="74"/>
      <c r="K3" s="74"/>
      <c r="L3" s="74"/>
      <c r="M3" s="74"/>
      <c r="N3" s="8"/>
      <c r="O3" s="74"/>
      <c r="P3" s="74"/>
      <c r="Q3" s="74"/>
      <c r="R3" s="8"/>
      <c r="S3" s="8"/>
      <c r="T3" s="13" t="s">
        <v>22</v>
      </c>
      <c r="U3" s="14">
        <f t="shared" si="0"/>
        <v>0</v>
      </c>
      <c r="V3" s="14">
        <f t="shared" si="0"/>
        <v>0</v>
      </c>
      <c r="W3" s="7"/>
      <c r="X3" s="7"/>
    </row>
    <row r="4" spans="1:27" ht="15" customHeight="1" x14ac:dyDescent="0.2">
      <c r="A4" s="76" t="s">
        <v>23</v>
      </c>
      <c r="B4" s="76"/>
      <c r="C4" s="76"/>
      <c r="D4" s="76"/>
      <c r="E4" s="76"/>
      <c r="F4" s="76"/>
      <c r="G4" s="8"/>
      <c r="H4" s="15"/>
      <c r="I4" s="15"/>
      <c r="J4" s="15"/>
      <c r="K4" s="15"/>
      <c r="L4" s="8"/>
      <c r="M4" s="8"/>
      <c r="N4" s="8"/>
      <c r="O4" s="15"/>
      <c r="P4" s="8"/>
      <c r="Q4" s="8"/>
      <c r="R4" s="8"/>
      <c r="S4" s="8"/>
      <c r="T4" s="13" t="s">
        <v>24</v>
      </c>
      <c r="U4" s="14">
        <f t="shared" si="0"/>
        <v>0</v>
      </c>
      <c r="V4" s="14">
        <f t="shared" si="0"/>
        <v>0</v>
      </c>
      <c r="W4" s="7"/>
      <c r="X4" s="7"/>
    </row>
    <row r="5" spans="1:27" ht="21.75" customHeight="1" x14ac:dyDescent="0.2">
      <c r="A5" s="77" t="s">
        <v>25</v>
      </c>
      <c r="B5" s="77"/>
      <c r="C5" s="77"/>
      <c r="D5" s="77"/>
      <c r="E5" s="77"/>
      <c r="F5" s="77"/>
      <c r="G5" s="8"/>
      <c r="H5" s="78" t="s">
        <v>26</v>
      </c>
      <c r="I5" s="78"/>
      <c r="J5" s="78"/>
      <c r="K5" s="78" t="s">
        <v>27</v>
      </c>
      <c r="L5" s="78"/>
      <c r="M5" s="78"/>
      <c r="N5" s="8"/>
      <c r="O5" s="78" t="s">
        <v>28</v>
      </c>
      <c r="P5" s="78"/>
      <c r="Q5" s="78"/>
      <c r="R5" s="8"/>
      <c r="S5" s="8"/>
      <c r="T5" s="13" t="s">
        <v>29</v>
      </c>
      <c r="U5" s="14">
        <f>P82</f>
        <v>0</v>
      </c>
      <c r="V5" s="14">
        <f>Q82</f>
        <v>0</v>
      </c>
      <c r="W5" s="7"/>
      <c r="X5" s="7"/>
    </row>
    <row r="6" spans="1:27" ht="12.75" customHeight="1" x14ac:dyDescent="0.2">
      <c r="A6" s="8"/>
      <c r="B6" s="8"/>
      <c r="C6" s="8"/>
      <c r="D6" s="8"/>
      <c r="E6" s="8"/>
      <c r="F6" s="8"/>
      <c r="G6" s="8"/>
      <c r="H6" s="74">
        <f>B32-(B66+I56+P82+SUMIFS('Plan Mensual'!$I$2:$I$2000,'Plan Mensual'!$B$2:$B$2000,$D$2,'Plan Mensual'!$C$2:$C$2000,$A$119,'Plan Mensual'!$E$2:$E$2000,"Ahorros")+SUMIFS('Plan Mensual'!$I$2:$I$2000,'Plan Mensual'!$B$2:$B$2000,$D$2,'Plan Mensual'!$C$2:$C$2000,$A$119,'Plan Mensual'!$E$2:$E$2000,"Inversiones"))</f>
        <v>1470000</v>
      </c>
      <c r="I6" s="74"/>
      <c r="J6" s="74"/>
      <c r="K6" s="74">
        <f>K2</f>
        <v>1030000</v>
      </c>
      <c r="L6" s="74"/>
      <c r="M6" s="74"/>
      <c r="N6" s="8"/>
      <c r="O6" s="79">
        <f>IFERROR((C91+J81)/SUMIFS(Movimientos!$J$2:$J$2000,Movimientos!$C$2:$C$2000,"&lt;="&amp;$A$119,Movimientos!$E$2:$E$2000,$D$2,Movimientos!$F$2:$F$2000,"Ingreso",Movimientos!$K$2:$K$2000,"&lt;&gt;Anulado"),0)</f>
        <v>0</v>
      </c>
      <c r="P6" s="79"/>
      <c r="Q6" s="79"/>
      <c r="R6" s="8"/>
      <c r="S6" s="8"/>
      <c r="T6" s="13"/>
      <c r="U6" s="14"/>
      <c r="V6" s="14"/>
      <c r="W6" s="7"/>
      <c r="X6" s="7"/>
    </row>
    <row r="7" spans="1:27" ht="12.75" customHeight="1" x14ac:dyDescent="0.2">
      <c r="A7" s="7"/>
      <c r="B7" s="7"/>
      <c r="C7" s="7"/>
      <c r="D7" s="7"/>
      <c r="E7" s="7"/>
      <c r="F7" s="7"/>
      <c r="G7" s="7"/>
      <c r="H7" s="74"/>
      <c r="I7" s="74"/>
      <c r="J7" s="74"/>
      <c r="K7" s="74"/>
      <c r="L7" s="74"/>
      <c r="M7" s="74"/>
      <c r="N7" s="7"/>
      <c r="O7" s="79"/>
      <c r="P7" s="79"/>
      <c r="Q7" s="79"/>
      <c r="R7" s="7"/>
      <c r="S7" s="7"/>
      <c r="T7" s="64"/>
      <c r="U7" s="65"/>
      <c r="V7" s="65"/>
      <c r="W7" s="7"/>
      <c r="X7" s="7"/>
    </row>
    <row r="8" spans="1:27" ht="19.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0" t="s">
        <v>30</v>
      </c>
      <c r="U8" s="80"/>
      <c r="V8" s="80"/>
      <c r="W8" s="80"/>
      <c r="X8" s="7"/>
      <c r="Y8" s="18" t="s">
        <v>31</v>
      </c>
    </row>
    <row r="9" spans="1:27" ht="12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1" t="s">
        <v>32</v>
      </c>
      <c r="U9" s="81"/>
      <c r="V9" s="81"/>
      <c r="W9" s="81"/>
      <c r="X9" s="7"/>
      <c r="Y9" s="7" t="s">
        <v>33</v>
      </c>
      <c r="Z9" s="7">
        <f t="shared" ref="Z9:Z21" si="1">SUMIF($E$36:$E$65,$Y9,$C$36:$C$65)+SUMIF($L$26:$L$55,$Y9,$J$26:$J$55)+SUMIF($S$62:$S$81,$Y9,$Q$62:$Q$81)</f>
        <v>1000000</v>
      </c>
      <c r="AA9" s="7">
        <f t="shared" ref="AA9:AA21" si="2">$Z9-ROW()*0.0001</f>
        <v>999999.99910000002</v>
      </c>
    </row>
    <row r="10" spans="1:27" ht="15.75" customHeight="1" x14ac:dyDescent="0.25">
      <c r="A10" s="82" t="s">
        <v>34</v>
      </c>
      <c r="B10" s="82"/>
      <c r="C10" s="82"/>
      <c r="D10" s="82"/>
      <c r="E10" s="82"/>
      <c r="F10" s="7"/>
      <c r="G10" s="7"/>
      <c r="H10" s="7"/>
      <c r="I10" s="7"/>
      <c r="J10" s="7"/>
      <c r="K10" s="7"/>
      <c r="L10" s="7"/>
      <c r="M10" s="7"/>
      <c r="N10" s="7"/>
      <c r="O10" s="70" t="s">
        <v>35</v>
      </c>
      <c r="P10" s="70"/>
      <c r="Q10" s="70"/>
      <c r="R10" s="70"/>
      <c r="S10" s="7"/>
      <c r="T10" s="66" t="s">
        <v>36</v>
      </c>
      <c r="U10" s="66" t="s">
        <v>37</v>
      </c>
      <c r="V10" s="83" t="s">
        <v>38</v>
      </c>
      <c r="W10" s="83"/>
      <c r="X10" s="7"/>
      <c r="Y10" s="7" t="s">
        <v>39</v>
      </c>
      <c r="Z10" s="7">
        <f t="shared" si="1"/>
        <v>30000</v>
      </c>
      <c r="AA10" s="7">
        <f t="shared" si="2"/>
        <v>29999.999</v>
      </c>
    </row>
    <row r="11" spans="1:27" ht="12.75" customHeight="1" x14ac:dyDescent="0.2">
      <c r="A11" s="19" t="s">
        <v>40</v>
      </c>
      <c r="B11" s="19" t="s">
        <v>41</v>
      </c>
      <c r="C11" s="19" t="s">
        <v>42</v>
      </c>
      <c r="D11" s="19" t="s">
        <v>43</v>
      </c>
      <c r="E11" s="19" t="s">
        <v>36</v>
      </c>
      <c r="F11" s="7"/>
      <c r="G11" s="7"/>
      <c r="H11" s="7"/>
      <c r="I11" s="7"/>
      <c r="J11" s="7"/>
      <c r="K11" s="7"/>
      <c r="L11" s="7"/>
      <c r="M11" s="7"/>
      <c r="N11" s="7"/>
      <c r="O11" s="19" t="s">
        <v>43</v>
      </c>
      <c r="P11" s="19" t="s">
        <v>44</v>
      </c>
      <c r="Q11" s="19" t="s">
        <v>41</v>
      </c>
      <c r="R11" s="19" t="s">
        <v>45</v>
      </c>
      <c r="S11" s="7"/>
      <c r="T11" s="61" t="str">
        <f>IFERROR(IF(LARGE($Z$9:$Z$21,1)&lt;=0,"",INDEX($Y$9:$Y$21,MATCH(LARGE($AA$9:$AA$21,1),$AA$9:$AA$21,0))),"")</f>
        <v>Hogar</v>
      </c>
      <c r="U11" s="67">
        <f>IFERROR(IF(LARGE($Z$9:$Z$21,1)&lt;=0,"",INDEX($Z$9:$Z$21,MATCH(LARGE($AA$9:$AA$21,1),$AA$9:$AA$21,0))),"")</f>
        <v>1000000</v>
      </c>
      <c r="V11" s="84" t="str">
        <f>IFERROR(IF(LARGE($Z$9:$Z$21,1)&lt;=0,"",REPT("█",MAX(1,ROUND(INDEX($Z$9:$Z$21,MATCH(LARGE($AA$9:$AA$21,1),$AA$9:$AA$21,0))/MAX($Z$9:$Z$21)*10,0)))),"")</f>
        <v>██████████</v>
      </c>
      <c r="W11" s="84"/>
      <c r="X11" s="7"/>
      <c r="Y11" s="7" t="s">
        <v>46</v>
      </c>
      <c r="Z11" s="7">
        <f t="shared" si="1"/>
        <v>0</v>
      </c>
      <c r="AA11" s="7">
        <f t="shared" si="2"/>
        <v>-1.1000000000000001E-3</v>
      </c>
    </row>
    <row r="12" spans="1:27" ht="12.75" customHeight="1" x14ac:dyDescent="0.2">
      <c r="A12" s="16" t="s">
        <v>47</v>
      </c>
      <c r="B12" s="17">
        <f>IF($A12="","",SUMIFS('Plan Mensual'!$I$2:$I$2000,'Plan Mensual'!$B$2:$B$2000,$D$2,'Plan Mensual'!$C$2:$C$2000,$A$119,'Plan Mensual'!$E$2:$E$2000,"Ingresos",'Plan Mensual'!$F$2:$F$2000,$D12,'Plan Mensual'!$G$2:$G$2000,$E12,'Plan Mensual'!$H$2:$H$2000,$A12))</f>
        <v>2000000</v>
      </c>
      <c r="C12" s="17">
        <f>IF($A12="","",SUMIFS(Movimientos!$J$2:$J$2000,Movimientos!$C$2:$C$2000,$A$119,Movimientos!$E$2:$E$2000,$D$2,Movimientos!$F$2:$F$2000,$D12,Movimientos!$G$2:$G$2000,$E12,Movimientos!$H$2:$H$2000,$A12,Movimientos!$K$2:$K$2000,"&lt;&gt;Anulado"))</f>
        <v>2000000</v>
      </c>
      <c r="D12" s="16" t="s">
        <v>48</v>
      </c>
      <c r="E12" s="16" t="s">
        <v>47</v>
      </c>
      <c r="F12" s="7"/>
      <c r="G12" s="7"/>
      <c r="H12" s="7"/>
      <c r="I12" s="7"/>
      <c r="J12" s="7"/>
      <c r="K12" s="7"/>
      <c r="L12" s="7"/>
      <c r="M12" s="7"/>
      <c r="N12" s="7"/>
      <c r="O12" s="16" t="s">
        <v>21</v>
      </c>
      <c r="P12" s="20">
        <f>Parametros!K4</f>
        <v>0.5</v>
      </c>
      <c r="Q12" s="17">
        <f>$B$32*P12</f>
        <v>1250000</v>
      </c>
      <c r="R12" s="17">
        <f>Q12-SUMIFS('Plan Mensual'!$I$2:$I$2000,'Plan Mensual'!$B$2:$B$2000,$D$2,'Plan Mensual'!$C$2:$C$2000,$A$119,'Plan Mensual'!$F$2:$F$2000,O12)</f>
        <v>220000</v>
      </c>
      <c r="S12" s="7"/>
      <c r="T12" s="61" t="str">
        <f>IFERROR(IF(LARGE($Z$9:$Z$21,2)&lt;=0,"",INDEX($Y$9:$Y$21,MATCH(LARGE($AA$9:$AA$21,2),$AA$9:$AA$21,0))),"")</f>
        <v>Servicios</v>
      </c>
      <c r="U12" s="67">
        <f>IFERROR(IF(LARGE($Z$9:$Z$21,2)&lt;=0,"",INDEX($Z$9:$Z$21,MATCH(LARGE($AA$9:$AA$21,2),$AA$9:$AA$21,0))),"")</f>
        <v>30000</v>
      </c>
      <c r="V12" s="84" t="str">
        <f>IFERROR(IF(LARGE($Z$9:$Z$21,2)&lt;=0,"",REPT("█",MAX(1,ROUND(INDEX($Z$9:$Z$21,MATCH(LARGE($AA$9:$AA$21,2),$AA$9:$AA$21,0))/MAX($Z$9:$Z$21)*10,0)))),"")</f>
        <v>█</v>
      </c>
      <c r="W12" s="84"/>
      <c r="X12" s="7"/>
      <c r="Y12" s="7" t="s">
        <v>49</v>
      </c>
      <c r="Z12" s="7">
        <f t="shared" si="1"/>
        <v>0</v>
      </c>
      <c r="AA12" s="7">
        <f t="shared" si="2"/>
        <v>-1.2000000000000001E-3</v>
      </c>
    </row>
    <row r="13" spans="1:27" ht="12.75" customHeight="1" x14ac:dyDescent="0.2">
      <c r="A13" s="16" t="s">
        <v>50</v>
      </c>
      <c r="B13" s="17">
        <f>IF($A13="","",SUMIFS('Plan Mensual'!$I$2:$I$2000,'Plan Mensual'!$B$2:$B$2000,$D$2,'Plan Mensual'!$C$2:$C$2000,$A$119,'Plan Mensual'!$E$2:$E$2000,"Ingresos",'Plan Mensual'!$F$2:$F$2000,$D13,'Plan Mensual'!$G$2:$G$2000,$E13,'Plan Mensual'!$H$2:$H$2000,$A13))</f>
        <v>500000</v>
      </c>
      <c r="C13" s="17">
        <f>IF($A13="","",SUMIFS(Movimientos!$J$2:$J$2000,Movimientos!$C$2:$C$2000,$A$119,Movimientos!$E$2:$E$2000,$D$2,Movimientos!$F$2:$F$2000,$D13,Movimientos!$G$2:$G$2000,$E13,Movimientos!$H$2:$H$2000,$A13,Movimientos!$K$2:$K$2000,"&lt;&gt;Anulado"))</f>
        <v>500000</v>
      </c>
      <c r="D13" s="16" t="s">
        <v>48</v>
      </c>
      <c r="E13" s="16" t="s">
        <v>50</v>
      </c>
      <c r="F13" s="7"/>
      <c r="G13" s="7"/>
      <c r="H13" s="7"/>
      <c r="I13" s="7"/>
      <c r="J13" s="7"/>
      <c r="K13" s="7"/>
      <c r="L13" s="7"/>
      <c r="M13" s="7"/>
      <c r="N13" s="7"/>
      <c r="O13" s="16" t="s">
        <v>22</v>
      </c>
      <c r="P13" s="20">
        <f>Parametros!K5</f>
        <v>0.3</v>
      </c>
      <c r="Q13" s="17">
        <f>$B$32*P13</f>
        <v>750000</v>
      </c>
      <c r="R13" s="17">
        <f>Q13-SUMIFS('Plan Mensual'!$I$2:$I$2000,'Plan Mensual'!$B$2:$B$2000,$D$2,'Plan Mensual'!$C$2:$C$2000,$A$119,'Plan Mensual'!$F$2:$F$2000,O13)</f>
        <v>750000</v>
      </c>
      <c r="S13" s="7"/>
      <c r="T13" s="61" t="str">
        <f>IFERROR(IF(LARGE($Z$9:$Z$21,3)&lt;=0,"",INDEX($Y$9:$Y$21,MATCH(LARGE($AA$9:$AA$21,3),$AA$9:$AA$21,0))),"")</f>
        <v/>
      </c>
      <c r="U13" s="67" t="str">
        <f>IFERROR(IF(LARGE($Z$9:$Z$21,3)&lt;=0,"",INDEX($Z$9:$Z$21,MATCH(LARGE($AA$9:$AA$21,3),$AA$9:$AA$21,0))),"")</f>
        <v/>
      </c>
      <c r="V13" s="84" t="str">
        <f>IFERROR(IF(LARGE($Z$9:$Z$21,3)&lt;=0,"",REPT("█",MAX(1,ROUND(INDEX($Z$9:$Z$21,MATCH(LARGE($AA$9:$AA$21,3),$AA$9:$AA$21,0))/MAX($Z$9:$Z$21)*10,0)))),"")</f>
        <v/>
      </c>
      <c r="W13" s="84"/>
      <c r="X13" s="7"/>
      <c r="Y13" s="7" t="s">
        <v>51</v>
      </c>
      <c r="Z13" s="7">
        <f t="shared" si="1"/>
        <v>0</v>
      </c>
      <c r="AA13" s="7">
        <f t="shared" si="2"/>
        <v>-1.3000000000000002E-3</v>
      </c>
    </row>
    <row r="14" spans="1:27" ht="12.75" customHeight="1" x14ac:dyDescent="0.2">
      <c r="A14" s="16" t="s">
        <v>52</v>
      </c>
      <c r="B14" s="17">
        <f>IF($A14="","",SUMIFS('Plan Mensual'!$I$2:$I$2000,'Plan Mensual'!$B$2:$B$2000,$D$2,'Plan Mensual'!$C$2:$C$2000,$A$119,'Plan Mensual'!$E$2:$E$2000,"Ingresos",'Plan Mensual'!$F$2:$F$2000,$D14,'Plan Mensual'!$G$2:$G$2000,$E14,'Plan Mensual'!$H$2:$H$2000,$A14))</f>
        <v>0</v>
      </c>
      <c r="C14" s="17">
        <f>IF($A14="","",SUMIFS(Movimientos!$J$2:$J$2000,Movimientos!$C$2:$C$2000,$A$119,Movimientos!$E$2:$E$2000,$D$2,Movimientos!$F$2:$F$2000,$D14,Movimientos!$G$2:$G$2000,$E14,Movimientos!$H$2:$H$2000,$A14,Movimientos!$K$2:$K$2000,"&lt;&gt;Anulado"))</f>
        <v>0</v>
      </c>
      <c r="D14" s="16" t="s">
        <v>48</v>
      </c>
      <c r="E14" s="16" t="s">
        <v>53</v>
      </c>
      <c r="F14" s="7"/>
      <c r="G14" s="7"/>
      <c r="H14" s="7"/>
      <c r="I14" s="7"/>
      <c r="J14" s="7"/>
      <c r="K14" s="7"/>
      <c r="L14" s="7"/>
      <c r="M14" s="7"/>
      <c r="N14" s="7"/>
      <c r="O14" s="16" t="s">
        <v>54</v>
      </c>
      <c r="P14" s="20">
        <f>Parametros!K6</f>
        <v>0.2</v>
      </c>
      <c r="Q14" s="17">
        <f>$B$32*P14</f>
        <v>500000</v>
      </c>
      <c r="R14" s="17">
        <f>Q14-SUMIFS('Plan Mensual'!$I$2:$I$2000,'Plan Mensual'!$B$2:$B$2000,$D$2,'Plan Mensual'!$C$2:$C$2000,$A$119,'Plan Mensual'!$F$2:$F$2000,"Ahorros")-SUMIFS('Plan Mensual'!$I$2:$I$2000,'Plan Mensual'!$B$2:$B$2000,$D$2,'Plan Mensual'!$C$2:$C$2000,$A$119,'Plan Mensual'!$F$2:$F$2000,"Inversiones")</f>
        <v>500000</v>
      </c>
      <c r="S14" s="7"/>
      <c r="T14" s="61" t="str">
        <f>IFERROR(IF(LARGE($Z$9:$Z$21,4)&lt;=0,"",INDEX($Y$9:$Y$21,MATCH(LARGE($AA$9:$AA$21,4),$AA$9:$AA$21,0))),"")</f>
        <v/>
      </c>
      <c r="U14" s="67" t="str">
        <f>IFERROR(IF(LARGE($Z$9:$Z$21,4)&lt;=0,"",INDEX($Z$9:$Z$21,MATCH(LARGE($AA$9:$AA$21,4),$AA$9:$AA$21,0))),"")</f>
        <v/>
      </c>
      <c r="V14" s="84" t="str">
        <f>IFERROR(IF(LARGE($Z$9:$Z$21,4)&lt;=0,"",REPT("█",MAX(1,ROUND(INDEX($Z$9:$Z$21,MATCH(LARGE($AA$9:$AA$21,4),$AA$9:$AA$21,0))/MAX($Z$9:$Z$21)*10,0)))),"")</f>
        <v/>
      </c>
      <c r="W14" s="84"/>
      <c r="X14" s="7"/>
      <c r="Y14" s="7" t="s">
        <v>55</v>
      </c>
      <c r="Z14" s="7">
        <f t="shared" si="1"/>
        <v>0</v>
      </c>
      <c r="AA14" s="7">
        <f t="shared" si="2"/>
        <v>-1.4E-3</v>
      </c>
    </row>
    <row r="15" spans="1:27" ht="12.75" customHeight="1" x14ac:dyDescent="0.2">
      <c r="A15" s="16"/>
      <c r="B15" s="17" t="str">
        <f>IF($A15="","",SUMIFS('Plan Mensual'!$I$2:$I$2000,'Plan Mensual'!$B$2:$B$2000,$D$2,'Plan Mensual'!$C$2:$C$2000,$A$119,'Plan Mensual'!$E$2:$E$2000,"Ingresos",'Plan Mensual'!$F$2:$F$2000,$D15,'Plan Mensual'!$G$2:$G$2000,$E15,'Plan Mensual'!$H$2:$H$2000,$A15))</f>
        <v/>
      </c>
      <c r="C15" s="17" t="str">
        <f>IF($A15="","",SUMIFS(Movimientos!$J$2:$J$2000,Movimientos!$C$2:$C$2000,$A$119,Movimientos!$E$2:$E$2000,$D$2,Movimientos!$F$2:$F$2000,$D15,Movimientos!$G$2:$G$2000,$E15,Movimientos!$H$2:$H$2000,$A15,Movimientos!$K$2:$K$2000,"&lt;&gt;Anulado"))</f>
        <v/>
      </c>
      <c r="D15" s="16" t="s">
        <v>48</v>
      </c>
      <c r="E15" s="16" t="s">
        <v>53</v>
      </c>
      <c r="F15" s="7"/>
      <c r="G15" s="7"/>
      <c r="H15" s="7"/>
      <c r="I15" s="7"/>
      <c r="J15" s="7"/>
      <c r="K15" s="7"/>
      <c r="L15" s="7"/>
      <c r="M15" s="7"/>
      <c r="N15" s="7"/>
      <c r="O15" s="21" t="s">
        <v>56</v>
      </c>
      <c r="P15" s="22">
        <f>SUM(P12:P14)</f>
        <v>1</v>
      </c>
      <c r="Q15" s="23">
        <f>SUM(Q12:Q14)</f>
        <v>2500000</v>
      </c>
      <c r="R15" s="23">
        <f>SUM(R12:R14)</f>
        <v>1470000</v>
      </c>
      <c r="S15" s="7"/>
      <c r="T15" s="61" t="str">
        <f>IFERROR(IF(LARGE($Z$9:$Z$21,5)&lt;=0,"",INDEX($Y$9:$Y$21,MATCH(LARGE($AA$9:$AA$21,5),$AA$9:$AA$21,0))),"")</f>
        <v/>
      </c>
      <c r="U15" s="67" t="str">
        <f>IFERROR(IF(LARGE($Z$9:$Z$21,5)&lt;=0,"",INDEX($Z$9:$Z$21,MATCH(LARGE($AA$9:$AA$21,5),$AA$9:$AA$21,0))),"")</f>
        <v/>
      </c>
      <c r="V15" s="84" t="str">
        <f>IFERROR(IF(LARGE($Z$9:$Z$21,5)&lt;=0,"",REPT("█",MAX(1,ROUND(INDEX($Z$9:$Z$21,MATCH(LARGE($AA$9:$AA$21,5),$AA$9:$AA$21,0))/MAX($Z$9:$Z$21)*10,0)))),"")</f>
        <v/>
      </c>
      <c r="W15" s="84"/>
      <c r="X15" s="7"/>
      <c r="Y15" s="7" t="s">
        <v>57</v>
      </c>
      <c r="Z15" s="7">
        <f t="shared" si="1"/>
        <v>0</v>
      </c>
      <c r="AA15" s="7">
        <f t="shared" si="2"/>
        <v>-1.5E-3</v>
      </c>
    </row>
    <row r="16" spans="1:27" ht="12.75" customHeight="1" x14ac:dyDescent="0.2">
      <c r="A16" s="16"/>
      <c r="B16" s="17" t="str">
        <f>IF($A16="","",SUMIFS('Plan Mensual'!$I$2:$I$2000,'Plan Mensual'!$B$2:$B$2000,$D$2,'Plan Mensual'!$C$2:$C$2000,$A$119,'Plan Mensual'!$E$2:$E$2000,"Ingresos",'Plan Mensual'!$F$2:$F$2000,$D16,'Plan Mensual'!$G$2:$G$2000,$E16,'Plan Mensual'!$H$2:$H$2000,$A16))</f>
        <v/>
      </c>
      <c r="C16" s="17" t="str">
        <f>IF($A16="","",SUMIFS(Movimientos!$J$2:$J$2000,Movimientos!$C$2:$C$2000,$A$119,Movimientos!$E$2:$E$2000,$D$2,Movimientos!$F$2:$F$2000,$D16,Movimientos!$G$2:$G$2000,$E16,Movimientos!$H$2:$H$2000,$A16,Movimientos!$K$2:$K$2000,"&lt;&gt;Anulado"))</f>
        <v/>
      </c>
      <c r="D16" s="16" t="s">
        <v>48</v>
      </c>
      <c r="E16" s="16" t="s">
        <v>53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4"/>
      <c r="R16" s="24"/>
      <c r="S16" s="7"/>
      <c r="T16" s="25"/>
      <c r="U16" s="25"/>
      <c r="V16" s="25"/>
      <c r="W16" s="25"/>
      <c r="X16" s="7"/>
      <c r="Y16" s="7" t="s">
        <v>58</v>
      </c>
      <c r="Z16" s="7">
        <f t="shared" si="1"/>
        <v>0</v>
      </c>
      <c r="AA16" s="7">
        <f t="shared" si="2"/>
        <v>-1.6000000000000001E-3</v>
      </c>
    </row>
    <row r="17" spans="1:27" ht="19.5" customHeight="1" x14ac:dyDescent="0.2">
      <c r="A17" s="16"/>
      <c r="B17" s="17" t="str">
        <f>IF($A17="","",SUMIFS('Plan Mensual'!$I$2:$I$2000,'Plan Mensual'!$B$2:$B$2000,$D$2,'Plan Mensual'!$C$2:$C$2000,$A$119,'Plan Mensual'!$E$2:$E$2000,"Ingresos",'Plan Mensual'!$F$2:$F$2000,$D17,'Plan Mensual'!$G$2:$G$2000,$E17,'Plan Mensual'!$H$2:$H$2000,$A17))</f>
        <v/>
      </c>
      <c r="C17" s="17" t="str">
        <f>IF($A17="","",SUMIFS(Movimientos!$J$2:$J$2000,Movimientos!$C$2:$C$2000,$A$119,Movimientos!$E$2:$E$2000,$D$2,Movimientos!$F$2:$F$2000,$D17,Movimientos!$G$2:$G$2000,$E17,Movimientos!$H$2:$H$2000,$A17,Movimientos!$K$2:$K$2000,"&lt;&gt;Anulado"))</f>
        <v/>
      </c>
      <c r="D17" s="16" t="s">
        <v>48</v>
      </c>
      <c r="E17" s="16" t="s">
        <v>53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4"/>
      <c r="R17" s="24"/>
      <c r="S17" s="7"/>
      <c r="T17" s="80" t="s">
        <v>59</v>
      </c>
      <c r="U17" s="80"/>
      <c r="V17" s="80"/>
      <c r="W17" s="80"/>
      <c r="X17" s="7"/>
      <c r="Y17" s="7" t="s">
        <v>60</v>
      </c>
      <c r="Z17" s="7">
        <f t="shared" si="1"/>
        <v>0</v>
      </c>
      <c r="AA17" s="7">
        <f t="shared" si="2"/>
        <v>-1.7000000000000001E-3</v>
      </c>
    </row>
    <row r="18" spans="1:27" ht="12.75" customHeight="1" x14ac:dyDescent="0.2">
      <c r="A18" s="16"/>
      <c r="B18" s="17" t="str">
        <f>IF($A18="","",SUMIFS('Plan Mensual'!$I$2:$I$2000,'Plan Mensual'!$B$2:$B$2000,$D$2,'Plan Mensual'!$C$2:$C$2000,$A$119,'Plan Mensual'!$E$2:$E$2000,"Ingresos",'Plan Mensual'!$F$2:$F$2000,$D18,'Plan Mensual'!$G$2:$G$2000,$E18,'Plan Mensual'!$H$2:$H$2000,$A18))</f>
        <v/>
      </c>
      <c r="C18" s="17" t="str">
        <f>IF($A18="","",SUMIFS(Movimientos!$J$2:$J$2000,Movimientos!$C$2:$C$2000,$A$119,Movimientos!$E$2:$E$2000,$D$2,Movimientos!$F$2:$F$2000,$D18,Movimientos!$G$2:$G$2000,$E18,Movimientos!$H$2:$H$2000,$A18,Movimientos!$K$2:$K$2000,"&lt;&gt;Anulado"))</f>
        <v/>
      </c>
      <c r="D18" s="16" t="s">
        <v>48</v>
      </c>
      <c r="E18" s="16" t="s">
        <v>53</v>
      </c>
      <c r="F18" s="7"/>
      <c r="G18" s="7"/>
      <c r="H18" s="7"/>
      <c r="I18" s="7"/>
      <c r="J18" s="7"/>
      <c r="K18" s="7"/>
      <c r="L18" s="7"/>
      <c r="M18" s="7"/>
      <c r="N18" s="7"/>
      <c r="O18" s="70" t="s">
        <v>61</v>
      </c>
      <c r="P18" s="70"/>
      <c r="Q18" s="70"/>
      <c r="R18" s="70"/>
      <c r="S18" s="7"/>
      <c r="T18" s="61" t="s">
        <v>62</v>
      </c>
      <c r="U18" s="62">
        <f>$C$66+$J$56+$Q$82</f>
        <v>1030000</v>
      </c>
      <c r="V18" s="85" t="s">
        <v>63</v>
      </c>
      <c r="W18" s="85"/>
      <c r="X18" s="7"/>
      <c r="Y18" s="7" t="s">
        <v>64</v>
      </c>
      <c r="Z18" s="7">
        <f t="shared" si="1"/>
        <v>0</v>
      </c>
      <c r="AA18" s="7">
        <f t="shared" si="2"/>
        <v>-1.8000000000000002E-3</v>
      </c>
    </row>
    <row r="19" spans="1:27" ht="12.75" customHeight="1" x14ac:dyDescent="0.2">
      <c r="A19" s="16"/>
      <c r="B19" s="17" t="str">
        <f>IF($A19="","",SUMIFS('Plan Mensual'!$I$2:$I$2000,'Plan Mensual'!$B$2:$B$2000,$D$2,'Plan Mensual'!$C$2:$C$2000,$A$119,'Plan Mensual'!$E$2:$E$2000,"Ingresos",'Plan Mensual'!$F$2:$F$2000,$D19,'Plan Mensual'!$G$2:$G$2000,$E19,'Plan Mensual'!$H$2:$H$2000,$A19))</f>
        <v/>
      </c>
      <c r="C19" s="17" t="str">
        <f>IF($A19="","",SUMIFS(Movimientos!$J$2:$J$2000,Movimientos!$C$2:$C$2000,$A$119,Movimientos!$E$2:$E$2000,$D$2,Movimientos!$F$2:$F$2000,$D19,Movimientos!$G$2:$G$2000,$E19,Movimientos!$H$2:$H$2000,$A19,Movimientos!$K$2:$K$2000,"&lt;&gt;Anulado"))</f>
        <v/>
      </c>
      <c r="D19" s="16" t="s">
        <v>48</v>
      </c>
      <c r="E19" s="16" t="s">
        <v>53</v>
      </c>
      <c r="F19" s="7"/>
      <c r="G19" s="7"/>
      <c r="H19" s="7"/>
      <c r="I19" s="7"/>
      <c r="J19" s="7"/>
      <c r="K19" s="7"/>
      <c r="L19" s="7"/>
      <c r="M19" s="7"/>
      <c r="N19" s="7"/>
      <c r="O19" s="19" t="s">
        <v>43</v>
      </c>
      <c r="P19" s="19" t="s">
        <v>44</v>
      </c>
      <c r="Q19" s="26" t="s">
        <v>41</v>
      </c>
      <c r="R19" s="26" t="s">
        <v>65</v>
      </c>
      <c r="S19" s="7"/>
      <c r="T19" s="61" t="s">
        <v>66</v>
      </c>
      <c r="U19" s="62">
        <f>SUMIFS(Movimientos!$J$2:$J$2000,Movimientos!$C$2:$C$2000,$A$119,Movimientos!$E$2:$E$2000,$D$2,Movimientos!$F$2:$F$2000,"Ahorros",Movimientos!$K$2:$K$2000,"&lt;&gt;Anulado")+SUMIFS(Movimientos!$J$2:$J$2000,Movimientos!$C$2:$C$2000,$A$119,Movimientos!$E$2:$E$2000,$D$2,Movimientos!$F$2:$F$2000,"Inversiones",Movimientos!$K$2:$K$2000,"&lt;&gt;Anulado")</f>
        <v>0</v>
      </c>
      <c r="V19" s="85" t="s">
        <v>67</v>
      </c>
      <c r="W19" s="85"/>
      <c r="X19" s="7"/>
      <c r="Y19" s="7" t="s">
        <v>68</v>
      </c>
      <c r="Z19" s="7">
        <f t="shared" si="1"/>
        <v>0</v>
      </c>
      <c r="AA19" s="7">
        <f t="shared" si="2"/>
        <v>-1.9E-3</v>
      </c>
    </row>
    <row r="20" spans="1:27" ht="12.75" customHeight="1" x14ac:dyDescent="0.2">
      <c r="A20" s="16"/>
      <c r="B20" s="17" t="str">
        <f>IF($A20="","",SUMIFS('Plan Mensual'!$I$2:$I$2000,'Plan Mensual'!$B$2:$B$2000,$D$2,'Plan Mensual'!$C$2:$C$2000,$A$119,'Plan Mensual'!$E$2:$E$2000,"Ingresos",'Plan Mensual'!$F$2:$F$2000,$D20,'Plan Mensual'!$G$2:$G$2000,$E20,'Plan Mensual'!$H$2:$H$2000,$A20))</f>
        <v/>
      </c>
      <c r="C20" s="17" t="str">
        <f>IF($A20="","",SUMIFS(Movimientos!$J$2:$J$2000,Movimientos!$C$2:$C$2000,$A$119,Movimientos!$E$2:$E$2000,$D$2,Movimientos!$F$2:$F$2000,$D20,Movimientos!$G$2:$G$2000,$E20,Movimientos!$H$2:$H$2000,$A20,Movimientos!$K$2:$K$2000,"&lt;&gt;Anulado"))</f>
        <v/>
      </c>
      <c r="D20" s="16" t="s">
        <v>48</v>
      </c>
      <c r="E20" s="16" t="s">
        <v>53</v>
      </c>
      <c r="F20" s="7"/>
      <c r="G20" s="7"/>
      <c r="H20" s="7"/>
      <c r="I20" s="7"/>
      <c r="J20" s="7"/>
      <c r="K20" s="7"/>
      <c r="L20" s="7"/>
      <c r="M20" s="7"/>
      <c r="N20" s="7"/>
      <c r="O20" s="16" t="s">
        <v>21</v>
      </c>
      <c r="P20" s="20">
        <f>IFERROR(Q20/$B$32,0)</f>
        <v>0.41199999999999998</v>
      </c>
      <c r="Q20" s="17">
        <f>SUMIFS('Plan Mensual'!$I$2:$I$2000,'Plan Mensual'!$B$2:$B$2000,$D$2,'Plan Mensual'!$C$2:$C$2000,$A$119,'Plan Mensual'!$F$2:$F$2000,"Necesidades")</f>
        <v>1030000</v>
      </c>
      <c r="R20" s="17">
        <f>SUMIFS(Movimientos!$J$2:$J$2000,Movimientos!$C$2:$C$2000,$A$119,Movimientos!$E$2:$E$2000,$D$2,Movimientos!$F$2:$F$2000,"Necesidades",Movimientos!$K$2:$K$2000,"&lt;&gt;Anulado")</f>
        <v>1030000</v>
      </c>
      <c r="S20" s="7"/>
      <c r="T20" s="63" t="s">
        <v>69</v>
      </c>
      <c r="U20" s="62">
        <f>$O$2</f>
        <v>1470000</v>
      </c>
      <c r="V20" s="87" t="str">
        <f>IF($O$2&gt;=0,"Te sobró este mes","Te faltó: gastaste de más")</f>
        <v>Te sobró este mes</v>
      </c>
      <c r="W20" s="87"/>
      <c r="X20" s="7"/>
      <c r="Y20" s="7" t="s">
        <v>70</v>
      </c>
      <c r="Z20" s="7">
        <f t="shared" si="1"/>
        <v>0</v>
      </c>
      <c r="AA20" s="7">
        <f t="shared" si="2"/>
        <v>-2E-3</v>
      </c>
    </row>
    <row r="21" spans="1:27" ht="12.75" customHeight="1" x14ac:dyDescent="0.2">
      <c r="A21" s="16"/>
      <c r="B21" s="17" t="str">
        <f>IF($A21="","",SUMIFS('Plan Mensual'!$I$2:$I$2000,'Plan Mensual'!$B$2:$B$2000,$D$2,'Plan Mensual'!$C$2:$C$2000,$A$119,'Plan Mensual'!$E$2:$E$2000,"Ingresos",'Plan Mensual'!$F$2:$F$2000,$D21,'Plan Mensual'!$G$2:$G$2000,$E21,'Plan Mensual'!$H$2:$H$2000,$A21))</f>
        <v/>
      </c>
      <c r="C21" s="17" t="str">
        <f>IF($A21="","",SUMIFS(Movimientos!$J$2:$J$2000,Movimientos!$C$2:$C$2000,$A$119,Movimientos!$E$2:$E$2000,$D$2,Movimientos!$F$2:$F$2000,$D21,Movimientos!$G$2:$G$2000,$E21,Movimientos!$H$2:$H$2000,$A21,Movimientos!$K$2:$K$2000,"&lt;&gt;Anulado"))</f>
        <v/>
      </c>
      <c r="D21" s="16" t="s">
        <v>48</v>
      </c>
      <c r="E21" s="16" t="s">
        <v>53</v>
      </c>
      <c r="F21" s="7"/>
      <c r="G21" s="7"/>
      <c r="H21" s="7"/>
      <c r="I21" s="7"/>
      <c r="J21" s="7"/>
      <c r="K21" s="7"/>
      <c r="L21" s="7"/>
      <c r="M21" s="7"/>
      <c r="N21" s="7"/>
      <c r="O21" s="16" t="s">
        <v>22</v>
      </c>
      <c r="P21" s="20">
        <f>IFERROR(Q21/$B$32,0)</f>
        <v>0</v>
      </c>
      <c r="Q21" s="17">
        <f>SUMIFS('Plan Mensual'!$I$2:$I$2000,'Plan Mensual'!$B$2:$B$2000,$D$2,'Plan Mensual'!$C$2:$C$2000,$A$119,'Plan Mensual'!$F$2:$F$2000,"Deseos")</f>
        <v>0</v>
      </c>
      <c r="R21" s="17">
        <f>SUMIFS(Movimientos!$J$2:$J$2000,Movimientos!$C$2:$C$2000,$A$119,Movimientos!$E$2:$E$2000,$D$2,Movimientos!$F$2:$F$2000,"Deseos",Movimientos!$K$2:$K$2000,"&lt;&gt;Anulado")</f>
        <v>0</v>
      </c>
      <c r="S21" s="7"/>
      <c r="T21" s="16" t="s">
        <v>71</v>
      </c>
      <c r="U21" s="27">
        <f>IF($T21="","",SUMIF($E$36:$E$65,$T21,$B$36:$B$65)+SUMIF($L$26:$L$55,$T21,$I$26:$I$55)+SUMIF($E$71:$E$90,$T21,$B$71:$B$90)+SUMIF($L$61:$L$80,$T21,$I$61:$I$80)+SUMIF($S$62:$S$81,$T21,$P$62:$P$81))</f>
        <v>0</v>
      </c>
      <c r="V21" s="27">
        <f>IF($T21="","",SUMIF($E$36:$E$65,$T21,$C$36:$C$65)+SUMIF($L$26:$L$55,$T21,$J$26:$J$55)+SUMIF($E$71:$E$90,$T21,$C$71:$C$90)+SUMIF($L$61:$L$80,$T21,$J$61:$J$80)+SUMIF($S$62:$S$81,$T21,$Q$62:$Q$81))</f>
        <v>0</v>
      </c>
      <c r="W21" s="28">
        <f>IFERROR(V21/$H$2,0)</f>
        <v>0</v>
      </c>
      <c r="X21" s="7"/>
      <c r="Y21" s="7" t="s">
        <v>53</v>
      </c>
      <c r="Z21" s="7">
        <f t="shared" si="1"/>
        <v>0</v>
      </c>
      <c r="AA21" s="7">
        <f t="shared" si="2"/>
        <v>-2.1000000000000003E-3</v>
      </c>
    </row>
    <row r="22" spans="1:27" ht="12.75" customHeight="1" x14ac:dyDescent="0.2">
      <c r="A22" s="16"/>
      <c r="B22" s="17" t="str">
        <f>IF($A22="","",SUMIFS('Plan Mensual'!$I$2:$I$2000,'Plan Mensual'!$B$2:$B$2000,$D$2,'Plan Mensual'!$C$2:$C$2000,$A$119,'Plan Mensual'!$E$2:$E$2000,"Ingresos",'Plan Mensual'!$F$2:$F$2000,$D22,'Plan Mensual'!$G$2:$G$2000,$E22,'Plan Mensual'!$H$2:$H$2000,$A22))</f>
        <v/>
      </c>
      <c r="C22" s="17" t="str">
        <f>IF($A22="","",SUMIFS(Movimientos!$J$2:$J$2000,Movimientos!$C$2:$C$2000,$A$119,Movimientos!$E$2:$E$2000,$D$2,Movimientos!$F$2:$F$2000,$D22,Movimientos!$G$2:$G$2000,$E22,Movimientos!$H$2:$H$2000,$A22,Movimientos!$K$2:$K$2000,"&lt;&gt;Anulado"))</f>
        <v/>
      </c>
      <c r="D22" s="16" t="s">
        <v>48</v>
      </c>
      <c r="E22" s="16" t="s">
        <v>53</v>
      </c>
      <c r="F22" s="7"/>
      <c r="G22" s="7"/>
      <c r="H22" s="7"/>
      <c r="I22" s="7"/>
      <c r="J22" s="7"/>
      <c r="K22" s="7"/>
      <c r="L22" s="7"/>
      <c r="M22" s="7"/>
      <c r="N22" s="7"/>
      <c r="O22" s="16" t="s">
        <v>24</v>
      </c>
      <c r="P22" s="20">
        <f>IFERROR(Q22/$B$32,0)</f>
        <v>0</v>
      </c>
      <c r="Q22" s="17">
        <f>SUMIFS('Plan Mensual'!$I$2:$I$2000,'Plan Mensual'!$B$2:$B$2000,$D$2,'Plan Mensual'!$C$2:$C$2000,"&lt;="&amp;$A$119,'Plan Mensual'!$F$2:$F$2000,"Ahorros")+SUMIFS('Plan Mensual'!$I$2:$I$2000,'Plan Mensual'!$B$2:$B$2000,$D$2,'Plan Mensual'!$C$2:$C$2000,"&lt;="&amp;$A$119,'Plan Mensual'!$F$2:$F$2000,"Inversiones")</f>
        <v>0</v>
      </c>
      <c r="R22" s="17">
        <f>SUMIFS(Movimientos!$J$2:$J$2000,Movimientos!$C$2:$C$2000,"&lt;="&amp;$A$119,Movimientos!$E$2:$E$2000,$D$2,Movimientos!$F$2:$F$2000,"Ahorros",Movimientos!$K$2:$K$2000,"&lt;&gt;Anulado")+SUMIFS(Movimientos!$J$2:$J$2000,Movimientos!$C$2:$C$2000,"&lt;="&amp;$A$119,Movimientos!$E$2:$E$2000,$D$2,Movimientos!$F$2:$F$2000,"Inversiones",Movimientos!$K$2:$K$2000,"&lt;&gt;Anulado")</f>
        <v>0</v>
      </c>
      <c r="S22" s="7"/>
      <c r="T22" s="16" t="s">
        <v>68</v>
      </c>
      <c r="U22" s="27">
        <f>IF($T22="","",SUMIF($E$36:$E$65,$T22,$B$36:$B$65)+SUMIF($L$26:$L$55,$T22,$I$26:$I$55)+SUMIF($E$71:$E$90,$T22,$B$71:$B$90)+SUMIF($L$61:$L$80,$T22,$I$61:$I$80)+SUMIF($S$62:$S$81,$T22,$P$62:$P$81))</f>
        <v>0</v>
      </c>
      <c r="V22" s="27">
        <f>IF($T22="","",SUMIF($E$36:$E$65,$T22,$C$36:$C$65)+SUMIF($L$26:$L$55,$T22,$J$26:$J$55)+SUMIF($E$71:$E$90,$T22,$C$71:$C$90)+SUMIF($L$61:$L$80,$T22,$J$61:$J$80)+SUMIF($S$62:$S$81,$T22,$Q$62:$Q$81))</f>
        <v>0</v>
      </c>
      <c r="W22" s="28">
        <f>IFERROR(V22/$H$2,0)</f>
        <v>0</v>
      </c>
      <c r="X22" s="7"/>
    </row>
    <row r="23" spans="1:27" ht="12.75" customHeight="1" x14ac:dyDescent="0.2">
      <c r="A23" s="16"/>
      <c r="B23" s="17" t="str">
        <f>IF($A23="","",SUMIFS('Plan Mensual'!$I$2:$I$2000,'Plan Mensual'!$B$2:$B$2000,$D$2,'Plan Mensual'!$C$2:$C$2000,$A$119,'Plan Mensual'!$E$2:$E$2000,"Ingresos",'Plan Mensual'!$F$2:$F$2000,$D23,'Plan Mensual'!$G$2:$G$2000,$E23,'Plan Mensual'!$H$2:$H$2000,$A23))</f>
        <v/>
      </c>
      <c r="C23" s="17" t="str">
        <f>IF($A23="","",SUMIFS(Movimientos!$J$2:$J$2000,Movimientos!$C$2:$C$2000,$A$119,Movimientos!$E$2:$E$2000,$D$2,Movimientos!$F$2:$F$2000,$D23,Movimientos!$G$2:$G$2000,$E23,Movimientos!$H$2:$H$2000,$A23,Movimientos!$K$2:$K$2000,"&lt;&gt;Anulado"))</f>
        <v/>
      </c>
      <c r="D23" s="16" t="s">
        <v>48</v>
      </c>
      <c r="E23" s="16" t="s">
        <v>53</v>
      </c>
      <c r="F23" s="7"/>
      <c r="G23" s="7"/>
      <c r="H23" s="7"/>
      <c r="I23" s="7"/>
      <c r="J23" s="7"/>
      <c r="K23" s="7"/>
      <c r="L23" s="7"/>
      <c r="M23" s="7"/>
      <c r="N23" s="7"/>
      <c r="O23" s="21" t="s">
        <v>56</v>
      </c>
      <c r="P23" s="22">
        <f>SUM(P20:P22)</f>
        <v>0.41199999999999998</v>
      </c>
      <c r="Q23" s="23">
        <f>SUM(Q20:Q22)</f>
        <v>1030000</v>
      </c>
      <c r="R23" s="23">
        <f>SUM(R20:R22)</f>
        <v>1030000</v>
      </c>
      <c r="S23" s="7"/>
      <c r="T23" s="16" t="s">
        <v>70</v>
      </c>
      <c r="U23" s="27">
        <f>IF($T23="","",SUMIF($E$36:$E$65,$T23,$B$36:$B$65)+SUMIF($L$26:$L$55,$T23,$I$26:$I$55)+SUMIF($E$71:$E$90,$T23,$B$71:$B$90)+SUMIF($L$61:$L$80,$T23,$I$61:$I$80)+SUMIF($S$62:$S$81,$T23,$P$62:$P$81))</f>
        <v>0</v>
      </c>
      <c r="V23" s="27">
        <f>IF($T23="","",SUMIF($E$36:$E$65,$T23,$C$36:$C$65)+SUMIF($L$26:$L$55,$T23,$J$26:$J$55)+SUMIF($E$71:$E$90,$T23,$C$71:$C$90)+SUMIF($L$61:$L$80,$T23,$J$61:$J$80)+SUMIF($S$62:$S$81,$T23,$Q$62:$Q$81))</f>
        <v>0</v>
      </c>
      <c r="W23" s="28">
        <f>IFERROR(V23/$H$2,0)</f>
        <v>0</v>
      </c>
      <c r="X23" s="7"/>
    </row>
    <row r="24" spans="1:27" ht="12.75" customHeight="1" x14ac:dyDescent="0.25">
      <c r="A24" s="16"/>
      <c r="B24" s="17" t="str">
        <f>IF($A24="","",SUMIFS('Plan Mensual'!$I$2:$I$2000,'Plan Mensual'!$B$2:$B$2000,$D$2,'Plan Mensual'!$C$2:$C$2000,$A$119,'Plan Mensual'!$E$2:$E$2000,"Ingresos",'Plan Mensual'!$F$2:$F$2000,$D24,'Plan Mensual'!$G$2:$G$2000,$E24,'Plan Mensual'!$H$2:$H$2000,$A24))</f>
        <v/>
      </c>
      <c r="C24" s="17" t="str">
        <f>IF($A24="","",SUMIFS(Movimientos!$J$2:$J$2000,Movimientos!$C$2:$C$2000,$A$119,Movimientos!$E$2:$E$2000,$D$2,Movimientos!$F$2:$F$2000,$D24,Movimientos!$G$2:$G$2000,$E24,Movimientos!$H$2:$H$2000,$A24,Movimientos!$K$2:$K$2000,"&lt;&gt;Anulado"))</f>
        <v/>
      </c>
      <c r="D24" s="16" t="s">
        <v>48</v>
      </c>
      <c r="E24" s="16" t="s">
        <v>53</v>
      </c>
      <c r="F24" s="7"/>
      <c r="G24" s="7"/>
      <c r="H24" s="82" t="s">
        <v>72</v>
      </c>
      <c r="I24" s="82"/>
      <c r="J24" s="82"/>
      <c r="K24" s="82"/>
      <c r="L24" s="82"/>
      <c r="M24" s="82"/>
      <c r="N24" s="7"/>
      <c r="O24" s="7"/>
      <c r="P24" s="7"/>
      <c r="Q24" s="7"/>
      <c r="R24" s="7"/>
      <c r="S24" s="7"/>
      <c r="T24" s="16" t="s">
        <v>53</v>
      </c>
      <c r="U24" s="27">
        <f>IF($T24="","",SUMIF($E$36:$E$65,$T24,$B$36:$B$65)+SUMIF($L$26:$L$55,$T24,$I$26:$I$55)+SUMIF($E$71:$E$90,$T24,$B$71:$B$90)+SUMIF($L$61:$L$80,$T24,$I$61:$I$80)+SUMIF($S$62:$S$81,$T24,$P$62:$P$81))</f>
        <v>0</v>
      </c>
      <c r="V24" s="27">
        <f>IF($T24="","",SUMIF($E$36:$E$65,$T24,$C$36:$C$65)+SUMIF($L$26:$L$55,$T24,$J$26:$J$55)+SUMIF($E$71:$E$90,$T24,$C$71:$C$90)+SUMIF($L$61:$L$80,$T24,$J$61:$J$80)+SUMIF($S$62:$S$81,$T24,$Q$62:$Q$81))</f>
        <v>0</v>
      </c>
      <c r="W24" s="28">
        <f>IFERROR(V24/$H$2,0)</f>
        <v>0</v>
      </c>
      <c r="X24" s="7"/>
    </row>
    <row r="25" spans="1:27" ht="12.75" customHeight="1" x14ac:dyDescent="0.2">
      <c r="A25" s="16"/>
      <c r="B25" s="17" t="str">
        <f>IF($A25="","",SUMIFS('Plan Mensual'!$I$2:$I$2000,'Plan Mensual'!$B$2:$B$2000,$D$2,'Plan Mensual'!$C$2:$C$2000,$A$119,'Plan Mensual'!$E$2:$E$2000,"Ingresos",'Plan Mensual'!$F$2:$F$2000,$D25,'Plan Mensual'!$G$2:$G$2000,$E25,'Plan Mensual'!$H$2:$H$2000,$A25))</f>
        <v/>
      </c>
      <c r="C25" s="17" t="str">
        <f>IF($A25="","",SUMIFS(Movimientos!$J$2:$J$2000,Movimientos!$C$2:$C$2000,$A$119,Movimientos!$E$2:$E$2000,$D$2,Movimientos!$F$2:$F$2000,$D25,Movimientos!$G$2:$G$2000,$E25,Movimientos!$H$2:$H$2000,$A25,Movimientos!$K$2:$K$2000,"&lt;&gt;Anulado"))</f>
        <v/>
      </c>
      <c r="D25" s="16" t="s">
        <v>48</v>
      </c>
      <c r="E25" s="16" t="s">
        <v>53</v>
      </c>
      <c r="F25" s="7"/>
      <c r="G25" s="7"/>
      <c r="H25" s="19" t="s">
        <v>40</v>
      </c>
      <c r="I25" s="19" t="s">
        <v>41</v>
      </c>
      <c r="J25" s="19" t="s">
        <v>65</v>
      </c>
      <c r="K25" s="19" t="s">
        <v>43</v>
      </c>
      <c r="L25" s="19" t="s">
        <v>36</v>
      </c>
      <c r="M25" s="19" t="s">
        <v>73</v>
      </c>
      <c r="N25" s="7"/>
      <c r="O25" s="7"/>
      <c r="P25" s="7"/>
      <c r="Q25" s="7"/>
      <c r="R25" s="7"/>
      <c r="S25" s="7"/>
      <c r="T25" s="29" t="s">
        <v>56</v>
      </c>
      <c r="U25" s="30">
        <f>SUM(U10:U24)</f>
        <v>3530000</v>
      </c>
      <c r="V25" s="30">
        <f>SUM(V10:V24)</f>
        <v>0</v>
      </c>
      <c r="W25" s="31">
        <f>IFERROR(V25/$H$2,0)</f>
        <v>0</v>
      </c>
      <c r="X25" s="7"/>
    </row>
    <row r="26" spans="1:27" ht="12.75" customHeight="1" x14ac:dyDescent="0.2">
      <c r="A26" s="16"/>
      <c r="B26" s="17" t="str">
        <f>IF($A26="","",SUMIFS('Plan Mensual'!$I$2:$I$2000,'Plan Mensual'!$B$2:$B$2000,$D$2,'Plan Mensual'!$C$2:$C$2000,$A$119,'Plan Mensual'!$E$2:$E$2000,"Ingresos",'Plan Mensual'!$F$2:$F$2000,$D26,'Plan Mensual'!$G$2:$G$2000,$E26,'Plan Mensual'!$H$2:$H$2000,$A26))</f>
        <v/>
      </c>
      <c r="C26" s="17" t="str">
        <f>IF($A26="","",SUMIFS(Movimientos!$J$2:$J$2000,Movimientos!$C$2:$C$2000,$A$119,Movimientos!$E$2:$E$2000,$D$2,Movimientos!$F$2:$F$2000,$D26,Movimientos!$G$2:$G$2000,$E26,Movimientos!$H$2:$H$2000,$A26,Movimientos!$K$2:$K$2000,"&lt;&gt;Anulado"))</f>
        <v/>
      </c>
      <c r="D26" s="16" t="s">
        <v>48</v>
      </c>
      <c r="E26" s="16" t="s">
        <v>53</v>
      </c>
      <c r="F26" s="7"/>
      <c r="G26" s="7"/>
      <c r="H26" s="16" t="s">
        <v>74</v>
      </c>
      <c r="I26" s="17">
        <f>IF($H26="","",SUMIFS('Plan Mensual'!$I$2:$I$2000,'Plan Mensual'!$B$2:$B$2000,$D$2,'Plan Mensual'!$C$2:$C$2000,$A$119,'Plan Mensual'!$E$2:$E$2000,"Gastos Variables",'Plan Mensual'!$F$2:$F$2000,$K26,'Plan Mensual'!$G$2:$G$2000,$L26,'Plan Mensual'!$H$2:$H$2000,$H26))</f>
        <v>0</v>
      </c>
      <c r="J26" s="17">
        <f>IF($H26="","",SUMIFS(Movimientos!$J$2:$J$2000,Movimientos!$C$2:$C$2000,$A$119,Movimientos!$E$2:$E$2000,$D$2,Movimientos!$F$2:$F$2000,$K26,Movimientos!$G$2:$G$2000,$L26,Movimientos!$H$2:$H$2000,$H26,Movimientos!$K$2:$K$2000,"&lt;&gt;Anulado"))</f>
        <v>0</v>
      </c>
      <c r="K26" s="16" t="s">
        <v>21</v>
      </c>
      <c r="L26" s="16" t="s">
        <v>49</v>
      </c>
      <c r="M26" s="16" t="str">
        <f t="shared" ref="M26:M55" si="3">IF(H26="","",IF(I26=0,IF(J26=0,"Sin dato","Sin presupuesto"),IF(J26&gt;I26,"Excede",IF(J26=I26,"Exacto","Dentro"))))</f>
        <v>Sin dato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7" ht="15.75" customHeight="1" x14ac:dyDescent="0.2">
      <c r="A27" s="16"/>
      <c r="B27" s="17" t="str">
        <f>IF($A27="","",SUMIFS('Plan Mensual'!$I$2:$I$2000,'Plan Mensual'!$B$2:$B$2000,$D$2,'Plan Mensual'!$C$2:$C$2000,$A$119,'Plan Mensual'!$E$2:$E$2000,"Ingresos",'Plan Mensual'!$F$2:$F$2000,$D27,'Plan Mensual'!$G$2:$G$2000,$E27,'Plan Mensual'!$H$2:$H$2000,$A27))</f>
        <v/>
      </c>
      <c r="C27" s="17" t="str">
        <f>IF($A27="","",SUMIFS(Movimientos!$J$2:$J$2000,Movimientos!$C$2:$C$2000,$A$119,Movimientos!$E$2:$E$2000,$D$2,Movimientos!$F$2:$F$2000,$D27,Movimientos!$G$2:$G$2000,$E27,Movimientos!$H$2:$H$2000,$A27,Movimientos!$K$2:$K$2000,"&lt;&gt;Anulado"))</f>
        <v/>
      </c>
      <c r="D27" s="16" t="s">
        <v>48</v>
      </c>
      <c r="E27" s="16" t="s">
        <v>53</v>
      </c>
      <c r="F27" s="7"/>
      <c r="G27" s="7"/>
      <c r="H27" s="16" t="s">
        <v>51</v>
      </c>
      <c r="I27" s="17">
        <f>IF($H27="","",SUMIFS('Plan Mensual'!$I$2:$I$2000,'Plan Mensual'!$B$2:$B$2000,$D$2,'Plan Mensual'!$C$2:$C$2000,$A$119,'Plan Mensual'!$E$2:$E$2000,"Gastos Variables",'Plan Mensual'!$F$2:$F$2000,$K27,'Plan Mensual'!$G$2:$G$2000,$L27,'Plan Mensual'!$H$2:$H$2000,$H27))</f>
        <v>0</v>
      </c>
      <c r="J27" s="17">
        <f>IF($H27="","",SUMIFS(Movimientos!$J$2:$J$2000,Movimientos!$C$2:$C$2000,$A$119,Movimientos!$E$2:$E$2000,$D$2,Movimientos!$F$2:$F$2000,$K27,Movimientos!$G$2:$G$2000,$L27,Movimientos!$H$2:$H$2000,$H27,Movimientos!$K$2:$K$2000,"&lt;&gt;Anulado"))</f>
        <v>0</v>
      </c>
      <c r="K27" s="16" t="s">
        <v>21</v>
      </c>
      <c r="L27" s="16" t="s">
        <v>51</v>
      </c>
      <c r="M27" s="16" t="str">
        <f t="shared" si="3"/>
        <v>Sin dato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7" ht="12.75" customHeight="1" x14ac:dyDescent="0.2">
      <c r="A28" s="16"/>
      <c r="B28" s="17" t="str">
        <f>IF($A28="","",SUMIFS('Plan Mensual'!$I$2:$I$2000,'Plan Mensual'!$B$2:$B$2000,$D$2,'Plan Mensual'!$C$2:$C$2000,$A$119,'Plan Mensual'!$E$2:$E$2000,"Ingresos",'Plan Mensual'!$F$2:$F$2000,$D28,'Plan Mensual'!$G$2:$G$2000,$E28,'Plan Mensual'!$H$2:$H$2000,$A28))</f>
        <v/>
      </c>
      <c r="C28" s="17" t="str">
        <f>IF($A28="","",SUMIFS(Movimientos!$J$2:$J$2000,Movimientos!$C$2:$C$2000,$A$119,Movimientos!$E$2:$E$2000,$D$2,Movimientos!$F$2:$F$2000,$D28,Movimientos!$G$2:$G$2000,$E28,Movimientos!$H$2:$H$2000,$A28,Movimientos!$K$2:$K$2000,"&lt;&gt;Anulado"))</f>
        <v/>
      </c>
      <c r="D28" s="16" t="s">
        <v>48</v>
      </c>
      <c r="E28" s="16" t="s">
        <v>53</v>
      </c>
      <c r="F28" s="7"/>
      <c r="G28" s="7"/>
      <c r="H28" s="16" t="s">
        <v>75</v>
      </c>
      <c r="I28" s="17">
        <f>IF($H28="","",SUMIFS('Plan Mensual'!$I$2:$I$2000,'Plan Mensual'!$B$2:$B$2000,$D$2,'Plan Mensual'!$C$2:$C$2000,$A$119,'Plan Mensual'!$E$2:$E$2000,"Gastos Variables",'Plan Mensual'!$F$2:$F$2000,$K28,'Plan Mensual'!$G$2:$G$2000,$L28,'Plan Mensual'!$H$2:$H$2000,$H28))</f>
        <v>0</v>
      </c>
      <c r="J28" s="17">
        <f>IF($H28="","",SUMIFS(Movimientos!$J$2:$J$2000,Movimientos!$C$2:$C$2000,$A$119,Movimientos!$E$2:$E$2000,$D$2,Movimientos!$F$2:$F$2000,$K28,Movimientos!$G$2:$G$2000,$L28,Movimientos!$H$2:$H$2000,$H28,Movimientos!$K$2:$K$2000,"&lt;&gt;Anulado"))</f>
        <v>0</v>
      </c>
      <c r="K28" s="16" t="s">
        <v>22</v>
      </c>
      <c r="L28" s="16" t="s">
        <v>64</v>
      </c>
      <c r="M28" s="16" t="str">
        <f t="shared" si="3"/>
        <v>Sin dato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7" ht="12.75" customHeight="1" x14ac:dyDescent="0.2">
      <c r="A29" s="16"/>
      <c r="B29" s="17" t="str">
        <f>IF($A29="","",SUMIFS('Plan Mensual'!$I$2:$I$2000,'Plan Mensual'!$B$2:$B$2000,$D$2,'Plan Mensual'!$C$2:$C$2000,$A$119,'Plan Mensual'!$E$2:$E$2000,"Ingresos",'Plan Mensual'!$F$2:$F$2000,$D29,'Plan Mensual'!$G$2:$G$2000,$E29,'Plan Mensual'!$H$2:$H$2000,$A29))</f>
        <v/>
      </c>
      <c r="C29" s="17" t="str">
        <f>IF($A29="","",SUMIFS(Movimientos!$J$2:$J$2000,Movimientos!$C$2:$C$2000,$A$119,Movimientos!$E$2:$E$2000,$D$2,Movimientos!$F$2:$F$2000,$D29,Movimientos!$G$2:$G$2000,$E29,Movimientos!$H$2:$H$2000,$A29,Movimientos!$K$2:$K$2000,"&lt;&gt;Anulado"))</f>
        <v/>
      </c>
      <c r="D29" s="16" t="s">
        <v>48</v>
      </c>
      <c r="E29" s="16" t="s">
        <v>53</v>
      </c>
      <c r="F29" s="7"/>
      <c r="G29" s="7"/>
      <c r="H29" s="16" t="s">
        <v>64</v>
      </c>
      <c r="I29" s="17">
        <f>IF($H29="","",SUMIFS('Plan Mensual'!$I$2:$I$2000,'Plan Mensual'!$B$2:$B$2000,$D$2,'Plan Mensual'!$C$2:$C$2000,$A$119,'Plan Mensual'!$E$2:$E$2000,"Gastos Variables",'Plan Mensual'!$F$2:$F$2000,$K29,'Plan Mensual'!$G$2:$G$2000,$L29,'Plan Mensual'!$H$2:$H$2000,$H29))</f>
        <v>0</v>
      </c>
      <c r="J29" s="17">
        <f>IF($H29="","",SUMIFS(Movimientos!$J$2:$J$2000,Movimientos!$C$2:$C$2000,$A$119,Movimientos!$E$2:$E$2000,$D$2,Movimientos!$F$2:$F$2000,$K29,Movimientos!$G$2:$G$2000,$L29,Movimientos!$H$2:$H$2000,$H29,Movimientos!$K$2:$K$2000,"&lt;&gt;Anulado"))</f>
        <v>0</v>
      </c>
      <c r="K29" s="16" t="s">
        <v>22</v>
      </c>
      <c r="L29" s="16" t="s">
        <v>64</v>
      </c>
      <c r="M29" s="16" t="str">
        <f t="shared" si="3"/>
        <v>Sin dato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7" ht="12.75" customHeight="1" x14ac:dyDescent="0.2">
      <c r="A30" s="16"/>
      <c r="B30" s="17" t="str">
        <f>IF($A30="","",SUMIFS('Plan Mensual'!$I$2:$I$2000,'Plan Mensual'!$B$2:$B$2000,$D$2,'Plan Mensual'!$C$2:$C$2000,$A$119,'Plan Mensual'!$E$2:$E$2000,"Ingresos",'Plan Mensual'!$F$2:$F$2000,$D30,'Plan Mensual'!$G$2:$G$2000,$E30,'Plan Mensual'!$H$2:$H$2000,$A30))</f>
        <v/>
      </c>
      <c r="C30" s="17" t="str">
        <f>IF($A30="","",SUMIFS(Movimientos!$J$2:$J$2000,Movimientos!$C$2:$C$2000,$A$119,Movimientos!$E$2:$E$2000,$D$2,Movimientos!$F$2:$F$2000,$D30,Movimientos!$G$2:$G$2000,$E30,Movimientos!$H$2:$H$2000,$A30,Movimientos!$K$2:$K$2000,"&lt;&gt;Anulado"))</f>
        <v/>
      </c>
      <c r="D30" s="16" t="s">
        <v>48</v>
      </c>
      <c r="E30" s="16" t="s">
        <v>53</v>
      </c>
      <c r="F30" s="7"/>
      <c r="G30" s="7"/>
      <c r="H30" s="16" t="s">
        <v>76</v>
      </c>
      <c r="I30" s="17">
        <f>IF($H30="","",SUMIFS('Plan Mensual'!$I$2:$I$2000,'Plan Mensual'!$B$2:$B$2000,$D$2,'Plan Mensual'!$C$2:$C$2000,$A$119,'Plan Mensual'!$E$2:$E$2000,"Gastos Variables",'Plan Mensual'!$F$2:$F$2000,$K30,'Plan Mensual'!$G$2:$G$2000,$L30,'Plan Mensual'!$H$2:$H$2000,$H30))</f>
        <v>0</v>
      </c>
      <c r="J30" s="17">
        <f>IF($H30="","",SUMIFS(Movimientos!$J$2:$J$2000,Movimientos!$C$2:$C$2000,$A$119,Movimientos!$E$2:$E$2000,$D$2,Movimientos!$F$2:$F$2000,$K30,Movimientos!$G$2:$G$2000,$L30,Movimientos!$H$2:$H$2000,$H30,Movimientos!$K$2:$K$2000,"&lt;&gt;Anulado"))</f>
        <v>0</v>
      </c>
      <c r="K30" s="16" t="s">
        <v>22</v>
      </c>
      <c r="L30" s="16" t="s">
        <v>60</v>
      </c>
      <c r="M30" s="16" t="str">
        <f t="shared" si="3"/>
        <v>Sin dato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7" ht="12.75" customHeight="1" x14ac:dyDescent="0.2">
      <c r="A31" s="16"/>
      <c r="B31" s="17" t="str">
        <f>IF($A31="","",SUMIFS('Plan Mensual'!$I$2:$I$2000,'Plan Mensual'!$B$2:$B$2000,$D$2,'Plan Mensual'!$C$2:$C$2000,$A$119,'Plan Mensual'!$E$2:$E$2000,"Ingresos",'Plan Mensual'!$F$2:$F$2000,$D31,'Plan Mensual'!$G$2:$G$2000,$E31,'Plan Mensual'!$H$2:$H$2000,$A31))</f>
        <v/>
      </c>
      <c r="C31" s="17" t="str">
        <f>IF($A31="","",SUMIFS(Movimientos!$J$2:$J$2000,Movimientos!$C$2:$C$2000,$A$119,Movimientos!$E$2:$E$2000,$D$2,Movimientos!$F$2:$F$2000,$D31,Movimientos!$G$2:$G$2000,$E31,Movimientos!$H$2:$H$2000,$A31,Movimientos!$K$2:$K$2000,"&lt;&gt;Anulado"))</f>
        <v/>
      </c>
      <c r="D31" s="16" t="s">
        <v>48</v>
      </c>
      <c r="E31" s="16" t="s">
        <v>53</v>
      </c>
      <c r="F31" s="7"/>
      <c r="G31" s="7"/>
      <c r="H31" s="16"/>
      <c r="I31" s="17" t="str">
        <f>IF($H31="","",SUMIFS('Plan Mensual'!$I$2:$I$2000,'Plan Mensual'!$B$2:$B$2000,$D$2,'Plan Mensual'!$C$2:$C$2000,$A$119,'Plan Mensual'!$E$2:$E$2000,"Gastos Variables",'Plan Mensual'!$F$2:$F$2000,$K31,'Plan Mensual'!$G$2:$G$2000,$L31,'Plan Mensual'!$H$2:$H$2000,$H31))</f>
        <v/>
      </c>
      <c r="J31" s="17" t="str">
        <f>IF($H31="","",SUMIFS(Movimientos!$J$2:$J$2000,Movimientos!$C$2:$C$2000,$A$119,Movimientos!$E$2:$E$2000,$D$2,Movimientos!$F$2:$F$2000,$K31,Movimientos!$G$2:$G$2000,$L31,Movimientos!$H$2:$H$2000,$H31,Movimientos!$K$2:$K$2000,"&lt;&gt;Anulado"))</f>
        <v/>
      </c>
      <c r="K31" s="16"/>
      <c r="L31" s="16"/>
      <c r="M31" s="16" t="str">
        <f t="shared" si="3"/>
        <v/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7" ht="12.75" customHeight="1" x14ac:dyDescent="0.2">
      <c r="A32" s="21" t="s">
        <v>56</v>
      </c>
      <c r="B32" s="23">
        <f>SUM(B12:B31)</f>
        <v>2500000</v>
      </c>
      <c r="C32" s="23">
        <f>SUM(C12:C31)</f>
        <v>2500000</v>
      </c>
      <c r="D32" s="21"/>
      <c r="E32" s="21"/>
      <c r="F32" s="7"/>
      <c r="G32" s="7"/>
      <c r="H32" s="16"/>
      <c r="I32" s="17" t="str">
        <f>IF($H32="","",SUMIFS('Plan Mensual'!$I$2:$I$2000,'Plan Mensual'!$B$2:$B$2000,$D$2,'Plan Mensual'!$C$2:$C$2000,$A$119,'Plan Mensual'!$E$2:$E$2000,"Gastos Variables",'Plan Mensual'!$F$2:$F$2000,$K32,'Plan Mensual'!$G$2:$G$2000,$L32,'Plan Mensual'!$H$2:$H$2000,$H32))</f>
        <v/>
      </c>
      <c r="J32" s="17" t="str">
        <f>IF($H32="","",SUMIFS(Movimientos!$J$2:$J$2000,Movimientos!$C$2:$C$2000,$A$119,Movimientos!$E$2:$E$2000,$D$2,Movimientos!$F$2:$F$2000,$K32,Movimientos!$G$2:$G$2000,$L32,Movimientos!$H$2:$H$2000,$H32,Movimientos!$K$2:$K$2000,"&lt;&gt;Anulado"))</f>
        <v/>
      </c>
      <c r="K32" s="16"/>
      <c r="L32" s="16"/>
      <c r="M32" s="16" t="str">
        <f t="shared" si="3"/>
        <v/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2.75" customHeight="1" x14ac:dyDescent="0.2">
      <c r="A33" s="7"/>
      <c r="B33" s="7"/>
      <c r="C33" s="7"/>
      <c r="D33" s="7"/>
      <c r="E33" s="7"/>
      <c r="F33" s="7"/>
      <c r="G33" s="7"/>
      <c r="H33" s="16"/>
      <c r="I33" s="17" t="str">
        <f>IF($H33="","",SUMIFS('Plan Mensual'!$I$2:$I$2000,'Plan Mensual'!$B$2:$B$2000,$D$2,'Plan Mensual'!$C$2:$C$2000,$A$119,'Plan Mensual'!$E$2:$E$2000,"Gastos Variables",'Plan Mensual'!$F$2:$F$2000,$K33,'Plan Mensual'!$G$2:$G$2000,$L33,'Plan Mensual'!$H$2:$H$2000,$H33))</f>
        <v/>
      </c>
      <c r="J33" s="17" t="str">
        <f>IF($H33="","",SUMIFS(Movimientos!$J$2:$J$2000,Movimientos!$C$2:$C$2000,$A$119,Movimientos!$E$2:$E$2000,$D$2,Movimientos!$F$2:$F$2000,$K33,Movimientos!$G$2:$G$2000,$L33,Movimientos!$H$2:$H$2000,$H33,Movimientos!$K$2:$K$2000,"&lt;&gt;Anulado"))</f>
        <v/>
      </c>
      <c r="K33" s="16"/>
      <c r="L33" s="16"/>
      <c r="M33" s="16" t="str">
        <f t="shared" si="3"/>
        <v/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25">
      <c r="A34" s="82" t="s">
        <v>77</v>
      </c>
      <c r="B34" s="82"/>
      <c r="C34" s="82"/>
      <c r="D34" s="82"/>
      <c r="E34" s="82"/>
      <c r="F34" s="82"/>
      <c r="G34" s="7"/>
      <c r="H34" s="16"/>
      <c r="I34" s="17" t="str">
        <f>IF($H34="","",SUMIFS('Plan Mensual'!$I$2:$I$2000,'Plan Mensual'!$B$2:$B$2000,$D$2,'Plan Mensual'!$C$2:$C$2000,$A$119,'Plan Mensual'!$E$2:$E$2000,"Gastos Variables",'Plan Mensual'!$F$2:$F$2000,$K34,'Plan Mensual'!$G$2:$G$2000,$L34,'Plan Mensual'!$H$2:$H$2000,$H34))</f>
        <v/>
      </c>
      <c r="J34" s="17" t="str">
        <f>IF($H34="","",SUMIFS(Movimientos!$J$2:$J$2000,Movimientos!$C$2:$C$2000,$A$119,Movimientos!$E$2:$E$2000,$D$2,Movimientos!$F$2:$F$2000,$K34,Movimientos!$G$2:$G$2000,$L34,Movimientos!$H$2:$H$2000,$H34,Movimientos!$K$2:$K$2000,"&lt;&gt;Anulado"))</f>
        <v/>
      </c>
      <c r="K34" s="16"/>
      <c r="L34" s="16"/>
      <c r="M34" s="16" t="str">
        <f t="shared" si="3"/>
        <v/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2.75" customHeight="1" x14ac:dyDescent="0.2">
      <c r="A35" s="19" t="s">
        <v>40</v>
      </c>
      <c r="B35" s="19" t="s">
        <v>41</v>
      </c>
      <c r="C35" s="19" t="s">
        <v>65</v>
      </c>
      <c r="D35" s="19" t="s">
        <v>43</v>
      </c>
      <c r="E35" s="19" t="s">
        <v>36</v>
      </c>
      <c r="F35" s="19" t="s">
        <v>73</v>
      </c>
      <c r="G35" s="7"/>
      <c r="H35" s="16"/>
      <c r="I35" s="17" t="str">
        <f>IF($H35="","",SUMIFS('Plan Mensual'!$I$2:$I$2000,'Plan Mensual'!$B$2:$B$2000,$D$2,'Plan Mensual'!$C$2:$C$2000,$A$119,'Plan Mensual'!$E$2:$E$2000,"Gastos Variables",'Plan Mensual'!$F$2:$F$2000,$K35,'Plan Mensual'!$G$2:$G$2000,$L35,'Plan Mensual'!$H$2:$H$2000,$H35))</f>
        <v/>
      </c>
      <c r="J35" s="17" t="str">
        <f>IF($H35="","",SUMIFS(Movimientos!$J$2:$J$2000,Movimientos!$C$2:$C$2000,$A$119,Movimientos!$E$2:$E$2000,$D$2,Movimientos!$F$2:$F$2000,$K35,Movimientos!$G$2:$G$2000,$L35,Movimientos!$H$2:$H$2000,$H35,Movimientos!$K$2:$K$2000,"&lt;&gt;Anulado"))</f>
        <v/>
      </c>
      <c r="K35" s="16"/>
      <c r="L35" s="16"/>
      <c r="M35" s="16" t="str">
        <f t="shared" si="3"/>
        <v/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12.75" customHeight="1" x14ac:dyDescent="0.2">
      <c r="A36" s="16" t="s">
        <v>78</v>
      </c>
      <c r="B36" s="17">
        <f>IF($A36="","",SUMIFS('Plan Mensual'!$I$2:$I$2000,'Plan Mensual'!$B$2:$B$2000,$D$2,'Plan Mensual'!$C$2:$C$2000,$A$119,'Plan Mensual'!$E$2:$E$2000,"Gastos Fijos",'Plan Mensual'!$F$2:$F$2000,$D36,'Plan Mensual'!$G$2:$G$2000,$E36,'Plan Mensual'!$H$2:$H$2000,$A36))</f>
        <v>1000000</v>
      </c>
      <c r="C36" s="17">
        <f>IF($A36="","",SUMIFS(Movimientos!$J$2:$J$2000,Movimientos!$C$2:$C$2000,$A$119,Movimientos!$E$2:$E$2000,$D$2,Movimientos!$F$2:$F$2000,$D36,Movimientos!$G$2:$G$2000,$E36,Movimientos!$H$2:$H$2000,$A36,Movimientos!$K$2:$K$2000,"&lt;&gt;Anulado"))</f>
        <v>1000000</v>
      </c>
      <c r="D36" s="16" t="s">
        <v>21</v>
      </c>
      <c r="E36" s="16" t="s">
        <v>33</v>
      </c>
      <c r="F36" s="16" t="str">
        <f t="shared" ref="F36:F65" si="4">IF(A36="","",IF(B36=0,IF(C36=0,"Sin dato","Sin presupuesto"),IF(C36&gt;B36,"Excede",IF(C36=B36,"Exacto","Dentro"))))</f>
        <v>Exacto</v>
      </c>
      <c r="G36" s="7"/>
      <c r="H36" s="16"/>
      <c r="I36" s="17" t="str">
        <f>IF($H36="","",SUMIFS('Plan Mensual'!$I$2:$I$2000,'Plan Mensual'!$B$2:$B$2000,$D$2,'Plan Mensual'!$C$2:$C$2000,$A$119,'Plan Mensual'!$E$2:$E$2000,"Gastos Variables",'Plan Mensual'!$F$2:$F$2000,$K36,'Plan Mensual'!$G$2:$G$2000,$L36,'Plan Mensual'!$H$2:$H$2000,$H36))</f>
        <v/>
      </c>
      <c r="J36" s="17" t="str">
        <f>IF($H36="","",SUMIFS(Movimientos!$J$2:$J$2000,Movimientos!$C$2:$C$2000,$A$119,Movimientos!$E$2:$E$2000,$D$2,Movimientos!$F$2:$F$2000,$K36,Movimientos!$G$2:$G$2000,$L36,Movimientos!$H$2:$H$2000,$H36,Movimientos!$K$2:$K$2000,"&lt;&gt;Anulado"))</f>
        <v/>
      </c>
      <c r="K36" s="16"/>
      <c r="L36" s="16"/>
      <c r="M36" s="16" t="str">
        <f t="shared" si="3"/>
        <v/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2.75" customHeight="1" x14ac:dyDescent="0.2">
      <c r="A37" s="16" t="s">
        <v>79</v>
      </c>
      <c r="B37" s="17">
        <f>IF($A37="","",SUMIFS('Plan Mensual'!$I$2:$I$2000,'Plan Mensual'!$B$2:$B$2000,$D$2,'Plan Mensual'!$C$2:$C$2000,$A$119,'Plan Mensual'!$E$2:$E$2000,"Gastos Fijos",'Plan Mensual'!$F$2:$F$2000,$D37,'Plan Mensual'!$G$2:$G$2000,$E37,'Plan Mensual'!$H$2:$H$2000,$A37))</f>
        <v>30000</v>
      </c>
      <c r="C37" s="17">
        <f>IF($A37="","",SUMIFS(Movimientos!$J$2:$J$2000,Movimientos!$C$2:$C$2000,$A$119,Movimientos!$E$2:$E$2000,$D$2,Movimientos!$F$2:$F$2000,$D37,Movimientos!$G$2:$G$2000,$E37,Movimientos!$H$2:$H$2000,$A37,Movimientos!$K$2:$K$2000,"&lt;&gt;Anulado"))</f>
        <v>30000</v>
      </c>
      <c r="D37" s="16" t="s">
        <v>21</v>
      </c>
      <c r="E37" s="16" t="s">
        <v>39</v>
      </c>
      <c r="F37" s="16" t="str">
        <f t="shared" si="4"/>
        <v>Exacto</v>
      </c>
      <c r="G37" s="7"/>
      <c r="H37" s="16"/>
      <c r="I37" s="17" t="str">
        <f>IF($H37="","",SUMIFS('Plan Mensual'!$I$2:$I$2000,'Plan Mensual'!$B$2:$B$2000,$D$2,'Plan Mensual'!$C$2:$C$2000,$A$119,'Plan Mensual'!$E$2:$E$2000,"Gastos Variables",'Plan Mensual'!$F$2:$F$2000,$K37,'Plan Mensual'!$G$2:$G$2000,$L37,'Plan Mensual'!$H$2:$H$2000,$H37))</f>
        <v/>
      </c>
      <c r="J37" s="17" t="str">
        <f>IF($H37="","",SUMIFS(Movimientos!$J$2:$J$2000,Movimientos!$C$2:$C$2000,$A$119,Movimientos!$E$2:$E$2000,$D$2,Movimientos!$F$2:$F$2000,$K37,Movimientos!$G$2:$G$2000,$L37,Movimientos!$H$2:$H$2000,$H37,Movimientos!$K$2:$K$2000,"&lt;&gt;Anulado"))</f>
        <v/>
      </c>
      <c r="K37" s="16"/>
      <c r="L37" s="16"/>
      <c r="M37" s="16" t="str">
        <f t="shared" si="3"/>
        <v/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2.75" customHeight="1" x14ac:dyDescent="0.2">
      <c r="A38" s="16" t="s">
        <v>80</v>
      </c>
      <c r="B38" s="17">
        <f>IF($A38="","",SUMIFS('Plan Mensual'!$I$2:$I$2000,'Plan Mensual'!$B$2:$B$2000,$D$2,'Plan Mensual'!$C$2:$C$2000,$A$119,'Plan Mensual'!$E$2:$E$2000,"Gastos Fijos",'Plan Mensual'!$F$2:$F$2000,$D38,'Plan Mensual'!$G$2:$G$2000,$E38,'Plan Mensual'!$H$2:$H$2000,$A38))</f>
        <v>0</v>
      </c>
      <c r="C38" s="17">
        <f>IF($A38="","",SUMIFS(Movimientos!$J$2:$J$2000,Movimientos!$C$2:$C$2000,$A$119,Movimientos!$E$2:$E$2000,$D$2,Movimientos!$F$2:$F$2000,$D38,Movimientos!$G$2:$G$2000,$E38,Movimientos!$H$2:$H$2000,$A38,Movimientos!$K$2:$K$2000,"&lt;&gt;Anulado"))</f>
        <v>0</v>
      </c>
      <c r="D38" s="16" t="s">
        <v>21</v>
      </c>
      <c r="E38" s="16" t="s">
        <v>39</v>
      </c>
      <c r="F38" s="16" t="str">
        <f t="shared" si="4"/>
        <v>Sin dato</v>
      </c>
      <c r="G38" s="7"/>
      <c r="H38" s="16"/>
      <c r="I38" s="17" t="str">
        <f>IF($H38="","",SUMIFS('Plan Mensual'!$I$2:$I$2000,'Plan Mensual'!$B$2:$B$2000,$D$2,'Plan Mensual'!$C$2:$C$2000,$A$119,'Plan Mensual'!$E$2:$E$2000,"Gastos Variables",'Plan Mensual'!$F$2:$F$2000,$K38,'Plan Mensual'!$G$2:$G$2000,$L38,'Plan Mensual'!$H$2:$H$2000,$H38))</f>
        <v/>
      </c>
      <c r="J38" s="17" t="str">
        <f>IF($H38="","",SUMIFS(Movimientos!$J$2:$J$2000,Movimientos!$C$2:$C$2000,$A$119,Movimientos!$E$2:$E$2000,$D$2,Movimientos!$F$2:$F$2000,$K38,Movimientos!$G$2:$G$2000,$L38,Movimientos!$H$2:$H$2000,$H38,Movimientos!$K$2:$K$2000,"&lt;&gt;Anulado"))</f>
        <v/>
      </c>
      <c r="K38" s="16"/>
      <c r="L38" s="16"/>
      <c r="M38" s="16" t="str">
        <f t="shared" si="3"/>
        <v/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2.75" customHeight="1" x14ac:dyDescent="0.2">
      <c r="A39" s="16" t="s">
        <v>81</v>
      </c>
      <c r="B39" s="17">
        <f>IF($A39="","",SUMIFS('Plan Mensual'!$I$2:$I$2000,'Plan Mensual'!$B$2:$B$2000,$D$2,'Plan Mensual'!$C$2:$C$2000,$A$119,'Plan Mensual'!$E$2:$E$2000,"Gastos Fijos",'Plan Mensual'!$F$2:$F$2000,$D39,'Plan Mensual'!$G$2:$G$2000,$E39,'Plan Mensual'!$H$2:$H$2000,$A39))</f>
        <v>0</v>
      </c>
      <c r="C39" s="17">
        <f>IF($A39="","",SUMIFS(Movimientos!$J$2:$J$2000,Movimientos!$C$2:$C$2000,$A$119,Movimientos!$E$2:$E$2000,$D$2,Movimientos!$F$2:$F$2000,$D39,Movimientos!$G$2:$G$2000,$E39,Movimientos!$H$2:$H$2000,$A39,Movimientos!$K$2:$K$2000,"&lt;&gt;Anulado"))</f>
        <v>0</v>
      </c>
      <c r="D39" s="16" t="s">
        <v>21</v>
      </c>
      <c r="E39" s="16" t="s">
        <v>39</v>
      </c>
      <c r="F39" s="16" t="str">
        <f t="shared" si="4"/>
        <v>Sin dato</v>
      </c>
      <c r="G39" s="7"/>
      <c r="H39" s="16"/>
      <c r="I39" s="17" t="str">
        <f>IF($H39="","",SUMIFS('Plan Mensual'!$I$2:$I$2000,'Plan Mensual'!$B$2:$B$2000,$D$2,'Plan Mensual'!$C$2:$C$2000,$A$119,'Plan Mensual'!$E$2:$E$2000,"Gastos Variables",'Plan Mensual'!$F$2:$F$2000,$K39,'Plan Mensual'!$G$2:$G$2000,$L39,'Plan Mensual'!$H$2:$H$2000,$H39))</f>
        <v/>
      </c>
      <c r="J39" s="17" t="str">
        <f>IF($H39="","",SUMIFS(Movimientos!$J$2:$J$2000,Movimientos!$C$2:$C$2000,$A$119,Movimientos!$E$2:$E$2000,$D$2,Movimientos!$F$2:$F$2000,$K39,Movimientos!$G$2:$G$2000,$L39,Movimientos!$H$2:$H$2000,$H39,Movimientos!$K$2:$K$2000,"&lt;&gt;Anulado"))</f>
        <v/>
      </c>
      <c r="K39" s="16"/>
      <c r="L39" s="16"/>
      <c r="M39" s="16" t="str">
        <f t="shared" si="3"/>
        <v/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2.75" customHeight="1" x14ac:dyDescent="0.2">
      <c r="A40" s="16" t="s">
        <v>82</v>
      </c>
      <c r="B40" s="17">
        <f>IF($A40="","",SUMIFS('Plan Mensual'!$I$2:$I$2000,'Plan Mensual'!$B$2:$B$2000,$D$2,'Plan Mensual'!$C$2:$C$2000,$A$119,'Plan Mensual'!$E$2:$E$2000,"Gastos Fijos",'Plan Mensual'!$F$2:$F$2000,$D40,'Plan Mensual'!$G$2:$G$2000,$E40,'Plan Mensual'!$H$2:$H$2000,$A40))</f>
        <v>0</v>
      </c>
      <c r="C40" s="17">
        <f>IF($A40="","",SUMIFS(Movimientos!$J$2:$J$2000,Movimientos!$C$2:$C$2000,$A$119,Movimientos!$E$2:$E$2000,$D$2,Movimientos!$F$2:$F$2000,$D40,Movimientos!$G$2:$G$2000,$E40,Movimientos!$H$2:$H$2000,$A40,Movimientos!$K$2:$K$2000,"&lt;&gt;Anulado"))</f>
        <v>0</v>
      </c>
      <c r="D40" s="16" t="s">
        <v>22</v>
      </c>
      <c r="E40" s="16" t="s">
        <v>46</v>
      </c>
      <c r="F40" s="16" t="str">
        <f t="shared" si="4"/>
        <v>Sin dato</v>
      </c>
      <c r="G40" s="7"/>
      <c r="H40" s="16"/>
      <c r="I40" s="17" t="str">
        <f>IF($H40="","",SUMIFS('Plan Mensual'!$I$2:$I$2000,'Plan Mensual'!$B$2:$B$2000,$D$2,'Plan Mensual'!$C$2:$C$2000,$A$119,'Plan Mensual'!$E$2:$E$2000,"Gastos Variables",'Plan Mensual'!$F$2:$F$2000,$K40,'Plan Mensual'!$G$2:$G$2000,$L40,'Plan Mensual'!$H$2:$H$2000,$H40))</f>
        <v/>
      </c>
      <c r="J40" s="17" t="str">
        <f>IF($H40="","",SUMIFS(Movimientos!$J$2:$J$2000,Movimientos!$C$2:$C$2000,$A$119,Movimientos!$E$2:$E$2000,$D$2,Movimientos!$F$2:$F$2000,$K40,Movimientos!$G$2:$G$2000,$L40,Movimientos!$H$2:$H$2000,$H40,Movimientos!$K$2:$K$2000,"&lt;&gt;Anulado"))</f>
        <v/>
      </c>
      <c r="K40" s="16"/>
      <c r="L40" s="16"/>
      <c r="M40" s="16" t="str">
        <f t="shared" si="3"/>
        <v/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2.75" customHeight="1" x14ac:dyDescent="0.2">
      <c r="A41" s="16" t="s">
        <v>83</v>
      </c>
      <c r="B41" s="17">
        <f>IF($A41="","",SUMIFS('Plan Mensual'!$I$2:$I$2000,'Plan Mensual'!$B$2:$B$2000,$D$2,'Plan Mensual'!$C$2:$C$2000,$A$119,'Plan Mensual'!$E$2:$E$2000,"Gastos Fijos",'Plan Mensual'!$F$2:$F$2000,$D41,'Plan Mensual'!$G$2:$G$2000,$E41,'Plan Mensual'!$H$2:$H$2000,$A41))</f>
        <v>0</v>
      </c>
      <c r="C41" s="17">
        <f>IF($A41="","",SUMIFS(Movimientos!$J$2:$J$2000,Movimientos!$C$2:$C$2000,$A$119,Movimientos!$E$2:$E$2000,$D$2,Movimientos!$F$2:$F$2000,$D41,Movimientos!$G$2:$G$2000,$E41,Movimientos!$H$2:$H$2000,$A41,Movimientos!$K$2:$K$2000,"&lt;&gt;Anulado"))</f>
        <v>0</v>
      </c>
      <c r="D41" s="16" t="s">
        <v>22</v>
      </c>
      <c r="E41" s="16" t="s">
        <v>46</v>
      </c>
      <c r="F41" s="16" t="str">
        <f t="shared" si="4"/>
        <v>Sin dato</v>
      </c>
      <c r="G41" s="7"/>
      <c r="H41" s="16"/>
      <c r="I41" s="17" t="str">
        <f>IF($H41="","",SUMIFS('Plan Mensual'!$I$2:$I$2000,'Plan Mensual'!$B$2:$B$2000,$D$2,'Plan Mensual'!$C$2:$C$2000,$A$119,'Plan Mensual'!$E$2:$E$2000,"Gastos Variables",'Plan Mensual'!$F$2:$F$2000,$K41,'Plan Mensual'!$G$2:$G$2000,$L41,'Plan Mensual'!$H$2:$H$2000,$H41))</f>
        <v/>
      </c>
      <c r="J41" s="17" t="str">
        <f>IF($H41="","",SUMIFS(Movimientos!$J$2:$J$2000,Movimientos!$C$2:$C$2000,$A$119,Movimientos!$E$2:$E$2000,$D$2,Movimientos!$F$2:$F$2000,$K41,Movimientos!$G$2:$G$2000,$L41,Movimientos!$H$2:$H$2000,$H41,Movimientos!$K$2:$K$2000,"&lt;&gt;Anulado"))</f>
        <v/>
      </c>
      <c r="K41" s="16"/>
      <c r="L41" s="16"/>
      <c r="M41" s="16" t="str">
        <f t="shared" si="3"/>
        <v/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2.75" customHeight="1" x14ac:dyDescent="0.2">
      <c r="A42" s="16" t="s">
        <v>84</v>
      </c>
      <c r="B42" s="17">
        <f>IF($A42="","",SUMIFS('Plan Mensual'!$I$2:$I$2000,'Plan Mensual'!$B$2:$B$2000,$D$2,'Plan Mensual'!$C$2:$C$2000,$A$119,'Plan Mensual'!$E$2:$E$2000,"Gastos Fijos",'Plan Mensual'!$F$2:$F$2000,$D42,'Plan Mensual'!$G$2:$G$2000,$E42,'Plan Mensual'!$H$2:$H$2000,$A42))</f>
        <v>0</v>
      </c>
      <c r="C42" s="17">
        <f>IF($A42="","",SUMIFS(Movimientos!$J$2:$J$2000,Movimientos!$C$2:$C$2000,$A$119,Movimientos!$E$2:$E$2000,$D$2,Movimientos!$F$2:$F$2000,$D42,Movimientos!$G$2:$G$2000,$E42,Movimientos!$H$2:$H$2000,$A42,Movimientos!$K$2:$K$2000,"&lt;&gt;Anulado"))</f>
        <v>0</v>
      </c>
      <c r="D42" s="16" t="s">
        <v>22</v>
      </c>
      <c r="E42" s="16" t="s">
        <v>46</v>
      </c>
      <c r="F42" s="16" t="str">
        <f t="shared" si="4"/>
        <v>Sin dato</v>
      </c>
      <c r="G42" s="7"/>
      <c r="H42" s="16"/>
      <c r="I42" s="17" t="str">
        <f>IF($H42="","",SUMIFS('Plan Mensual'!$I$2:$I$2000,'Plan Mensual'!$B$2:$B$2000,$D$2,'Plan Mensual'!$C$2:$C$2000,$A$119,'Plan Mensual'!$E$2:$E$2000,"Gastos Variables",'Plan Mensual'!$F$2:$F$2000,$K42,'Plan Mensual'!$G$2:$G$2000,$L42,'Plan Mensual'!$H$2:$H$2000,$H42))</f>
        <v/>
      </c>
      <c r="J42" s="17" t="str">
        <f>IF($H42="","",SUMIFS(Movimientos!$J$2:$J$2000,Movimientos!$C$2:$C$2000,$A$119,Movimientos!$E$2:$E$2000,$D$2,Movimientos!$F$2:$F$2000,$K42,Movimientos!$G$2:$G$2000,$L42,Movimientos!$H$2:$H$2000,$H42,Movimientos!$K$2:$K$2000,"&lt;&gt;Anulado"))</f>
        <v/>
      </c>
      <c r="K42" s="16"/>
      <c r="L42" s="16"/>
      <c r="M42" s="16" t="str">
        <f t="shared" si="3"/>
        <v/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2.75" customHeight="1" x14ac:dyDescent="0.2">
      <c r="A43" s="16"/>
      <c r="B43" s="17" t="str">
        <f>IF($A43="","",SUMIFS('Plan Mensual'!$I$2:$I$2000,'Plan Mensual'!$B$2:$B$2000,$D$2,'Plan Mensual'!$C$2:$C$2000,$A$119,'Plan Mensual'!$E$2:$E$2000,"Gastos Fijos",'Plan Mensual'!$F$2:$F$2000,$D43,'Plan Mensual'!$G$2:$G$2000,$E43,'Plan Mensual'!$H$2:$H$2000,$A43))</f>
        <v/>
      </c>
      <c r="C43" s="17" t="str">
        <f>IF($A43="","",SUMIFS(Movimientos!$J$2:$J$2000,Movimientos!$C$2:$C$2000,$A$119,Movimientos!$E$2:$E$2000,$D$2,Movimientos!$F$2:$F$2000,$D43,Movimientos!$G$2:$G$2000,$E43,Movimientos!$H$2:$H$2000,$A43,Movimientos!$K$2:$K$2000,"&lt;&gt;Anulado"))</f>
        <v/>
      </c>
      <c r="D43" s="16"/>
      <c r="E43" s="16"/>
      <c r="F43" s="16" t="str">
        <f t="shared" si="4"/>
        <v/>
      </c>
      <c r="G43" s="7"/>
      <c r="H43" s="16"/>
      <c r="I43" s="17" t="str">
        <f>IF($H43="","",SUMIFS('Plan Mensual'!$I$2:$I$2000,'Plan Mensual'!$B$2:$B$2000,$D$2,'Plan Mensual'!$C$2:$C$2000,$A$119,'Plan Mensual'!$E$2:$E$2000,"Gastos Variables",'Plan Mensual'!$F$2:$F$2000,$K43,'Plan Mensual'!$G$2:$G$2000,$L43,'Plan Mensual'!$H$2:$H$2000,$H43))</f>
        <v/>
      </c>
      <c r="J43" s="17" t="str">
        <f>IF($H43="","",SUMIFS(Movimientos!$J$2:$J$2000,Movimientos!$C$2:$C$2000,$A$119,Movimientos!$E$2:$E$2000,$D$2,Movimientos!$F$2:$F$2000,$K43,Movimientos!$G$2:$G$2000,$L43,Movimientos!$H$2:$H$2000,$H43,Movimientos!$K$2:$K$2000,"&lt;&gt;Anulado"))</f>
        <v/>
      </c>
      <c r="K43" s="16"/>
      <c r="L43" s="16"/>
      <c r="M43" s="16" t="str">
        <f t="shared" si="3"/>
        <v/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2.75" customHeight="1" x14ac:dyDescent="0.2">
      <c r="A44" s="16"/>
      <c r="B44" s="17" t="str">
        <f>IF($A44="","",SUMIFS('Plan Mensual'!$I$2:$I$2000,'Plan Mensual'!$B$2:$B$2000,$D$2,'Plan Mensual'!$C$2:$C$2000,$A$119,'Plan Mensual'!$E$2:$E$2000,"Gastos Fijos",'Plan Mensual'!$F$2:$F$2000,$D44,'Plan Mensual'!$G$2:$G$2000,$E44,'Plan Mensual'!$H$2:$H$2000,$A44))</f>
        <v/>
      </c>
      <c r="C44" s="17" t="str">
        <f>IF($A44="","",SUMIFS(Movimientos!$J$2:$J$2000,Movimientos!$C$2:$C$2000,$A$119,Movimientos!$E$2:$E$2000,$D$2,Movimientos!$F$2:$F$2000,$D44,Movimientos!$G$2:$G$2000,$E44,Movimientos!$H$2:$H$2000,$A44,Movimientos!$K$2:$K$2000,"&lt;&gt;Anulado"))</f>
        <v/>
      </c>
      <c r="D44" s="16"/>
      <c r="E44" s="16"/>
      <c r="F44" s="16" t="str">
        <f t="shared" si="4"/>
        <v/>
      </c>
      <c r="G44" s="7"/>
      <c r="H44" s="16"/>
      <c r="I44" s="17" t="str">
        <f>IF($H44="","",SUMIFS('Plan Mensual'!$I$2:$I$2000,'Plan Mensual'!$B$2:$B$2000,$D$2,'Plan Mensual'!$C$2:$C$2000,$A$119,'Plan Mensual'!$E$2:$E$2000,"Gastos Variables",'Plan Mensual'!$F$2:$F$2000,$K44,'Plan Mensual'!$G$2:$G$2000,$L44,'Plan Mensual'!$H$2:$H$2000,$H44))</f>
        <v/>
      </c>
      <c r="J44" s="17" t="str">
        <f>IF($H44="","",SUMIFS(Movimientos!$J$2:$J$2000,Movimientos!$C$2:$C$2000,$A$119,Movimientos!$E$2:$E$2000,$D$2,Movimientos!$F$2:$F$2000,$K44,Movimientos!$G$2:$G$2000,$L44,Movimientos!$H$2:$H$2000,$H44,Movimientos!$K$2:$K$2000,"&lt;&gt;Anulado"))</f>
        <v/>
      </c>
      <c r="K44" s="16"/>
      <c r="L44" s="16"/>
      <c r="M44" s="16" t="str">
        <f t="shared" si="3"/>
        <v/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2.75" customHeight="1" x14ac:dyDescent="0.2">
      <c r="A45" s="16"/>
      <c r="B45" s="17" t="str">
        <f>IF($A45="","",SUMIFS('Plan Mensual'!$I$2:$I$2000,'Plan Mensual'!$B$2:$B$2000,$D$2,'Plan Mensual'!$C$2:$C$2000,$A$119,'Plan Mensual'!$E$2:$E$2000,"Gastos Fijos",'Plan Mensual'!$F$2:$F$2000,$D45,'Plan Mensual'!$G$2:$G$2000,$E45,'Plan Mensual'!$H$2:$H$2000,$A45))</f>
        <v/>
      </c>
      <c r="C45" s="17" t="str">
        <f>IF($A45="","",SUMIFS(Movimientos!$J$2:$J$2000,Movimientos!$C$2:$C$2000,$A$119,Movimientos!$E$2:$E$2000,$D$2,Movimientos!$F$2:$F$2000,$D45,Movimientos!$G$2:$G$2000,$E45,Movimientos!$H$2:$H$2000,$A45,Movimientos!$K$2:$K$2000,"&lt;&gt;Anulado"))</f>
        <v/>
      </c>
      <c r="D45" s="16"/>
      <c r="E45" s="16"/>
      <c r="F45" s="16" t="str">
        <f t="shared" si="4"/>
        <v/>
      </c>
      <c r="G45" s="7"/>
      <c r="H45" s="16"/>
      <c r="I45" s="17" t="str">
        <f>IF($H45="","",SUMIFS('Plan Mensual'!$I$2:$I$2000,'Plan Mensual'!$B$2:$B$2000,$D$2,'Plan Mensual'!$C$2:$C$2000,$A$119,'Plan Mensual'!$E$2:$E$2000,"Gastos Variables",'Plan Mensual'!$F$2:$F$2000,$K45,'Plan Mensual'!$G$2:$G$2000,$L45,'Plan Mensual'!$H$2:$H$2000,$H45))</f>
        <v/>
      </c>
      <c r="J45" s="17" t="str">
        <f>IF($H45="","",SUMIFS(Movimientos!$J$2:$J$2000,Movimientos!$C$2:$C$2000,$A$119,Movimientos!$E$2:$E$2000,$D$2,Movimientos!$F$2:$F$2000,$K45,Movimientos!$G$2:$G$2000,$L45,Movimientos!$H$2:$H$2000,$H45,Movimientos!$K$2:$K$2000,"&lt;&gt;Anulado"))</f>
        <v/>
      </c>
      <c r="K45" s="16"/>
      <c r="L45" s="16"/>
      <c r="M45" s="16" t="str">
        <f t="shared" si="3"/>
        <v/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2.75" customHeight="1" x14ac:dyDescent="0.2">
      <c r="A46" s="16"/>
      <c r="B46" s="17" t="str">
        <f>IF($A46="","",SUMIFS('Plan Mensual'!$I$2:$I$2000,'Plan Mensual'!$B$2:$B$2000,$D$2,'Plan Mensual'!$C$2:$C$2000,$A$119,'Plan Mensual'!$E$2:$E$2000,"Gastos Fijos",'Plan Mensual'!$F$2:$F$2000,$D46,'Plan Mensual'!$G$2:$G$2000,$E46,'Plan Mensual'!$H$2:$H$2000,$A46))</f>
        <v/>
      </c>
      <c r="C46" s="17" t="str">
        <f>IF($A46="","",SUMIFS(Movimientos!$J$2:$J$2000,Movimientos!$C$2:$C$2000,$A$119,Movimientos!$E$2:$E$2000,$D$2,Movimientos!$F$2:$F$2000,$D46,Movimientos!$G$2:$G$2000,$E46,Movimientos!$H$2:$H$2000,$A46,Movimientos!$K$2:$K$2000,"&lt;&gt;Anulado"))</f>
        <v/>
      </c>
      <c r="D46" s="16"/>
      <c r="E46" s="16"/>
      <c r="F46" s="16" t="str">
        <f t="shared" si="4"/>
        <v/>
      </c>
      <c r="G46" s="7"/>
      <c r="H46" s="16"/>
      <c r="I46" s="17" t="str">
        <f>IF($H46="","",SUMIFS('Plan Mensual'!$I$2:$I$2000,'Plan Mensual'!$B$2:$B$2000,$D$2,'Plan Mensual'!$C$2:$C$2000,$A$119,'Plan Mensual'!$E$2:$E$2000,"Gastos Variables",'Plan Mensual'!$F$2:$F$2000,$K46,'Plan Mensual'!$G$2:$G$2000,$L46,'Plan Mensual'!$H$2:$H$2000,$H46))</f>
        <v/>
      </c>
      <c r="J46" s="17" t="str">
        <f>IF($H46="","",SUMIFS(Movimientos!$J$2:$J$2000,Movimientos!$C$2:$C$2000,$A$119,Movimientos!$E$2:$E$2000,$D$2,Movimientos!$F$2:$F$2000,$K46,Movimientos!$G$2:$G$2000,$L46,Movimientos!$H$2:$H$2000,$H46,Movimientos!$K$2:$K$2000,"&lt;&gt;Anulado"))</f>
        <v/>
      </c>
      <c r="K46" s="16"/>
      <c r="L46" s="16"/>
      <c r="M46" s="16" t="str">
        <f t="shared" si="3"/>
        <v/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2.75" customHeight="1" x14ac:dyDescent="0.2">
      <c r="A47" s="16"/>
      <c r="B47" s="17" t="str">
        <f>IF($A47="","",SUMIFS('Plan Mensual'!$I$2:$I$2000,'Plan Mensual'!$B$2:$B$2000,$D$2,'Plan Mensual'!$C$2:$C$2000,$A$119,'Plan Mensual'!$E$2:$E$2000,"Gastos Fijos",'Plan Mensual'!$F$2:$F$2000,$D47,'Plan Mensual'!$G$2:$G$2000,$E47,'Plan Mensual'!$H$2:$H$2000,$A47))</f>
        <v/>
      </c>
      <c r="C47" s="17" t="str">
        <f>IF($A47="","",SUMIFS(Movimientos!$J$2:$J$2000,Movimientos!$C$2:$C$2000,$A$119,Movimientos!$E$2:$E$2000,$D$2,Movimientos!$F$2:$F$2000,$D47,Movimientos!$G$2:$G$2000,$E47,Movimientos!$H$2:$H$2000,$A47,Movimientos!$K$2:$K$2000,"&lt;&gt;Anulado"))</f>
        <v/>
      </c>
      <c r="D47" s="16"/>
      <c r="E47" s="16"/>
      <c r="F47" s="16" t="str">
        <f t="shared" si="4"/>
        <v/>
      </c>
      <c r="G47" s="7"/>
      <c r="H47" s="16"/>
      <c r="I47" s="16" t="str">
        <f>IF($H47="","",SUMIFS('Plan Mensual'!$I$2:$I$2000,'Plan Mensual'!$B$2:$B$2000,$D$2,'Plan Mensual'!$C$2:$C$2000,$A$119,'Plan Mensual'!$E$2:$E$2000,"Gastos Variables",'Plan Mensual'!$F$2:$F$2000,$K47,'Plan Mensual'!$G$2:$G$2000,$L47,'Plan Mensual'!$H$2:$H$2000,$H47))</f>
        <v/>
      </c>
      <c r="J47" s="16" t="str">
        <f>IF($H47="","",SUMIFS(Movimientos!$J$2:$J$2000,Movimientos!$C$2:$C$2000,$A$119,Movimientos!$E$2:$E$2000,$D$2,Movimientos!$F$2:$F$2000,$K47,Movimientos!$G$2:$G$2000,$L47,Movimientos!$H$2:$H$2000,$H47,Movimientos!$K$2:$K$2000,"&lt;&gt;Anulado"))</f>
        <v/>
      </c>
      <c r="K47" s="16"/>
      <c r="L47" s="16"/>
      <c r="M47" s="16" t="str">
        <f t="shared" si="3"/>
        <v/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2.75" customHeight="1" x14ac:dyDescent="0.2">
      <c r="A48" s="16"/>
      <c r="B48" s="17" t="str">
        <f>IF($A48="","",SUMIFS('Plan Mensual'!$I$2:$I$2000,'Plan Mensual'!$B$2:$B$2000,$D$2,'Plan Mensual'!$C$2:$C$2000,$A$119,'Plan Mensual'!$E$2:$E$2000,"Gastos Fijos",'Plan Mensual'!$F$2:$F$2000,$D48,'Plan Mensual'!$G$2:$G$2000,$E48,'Plan Mensual'!$H$2:$H$2000,$A48))</f>
        <v/>
      </c>
      <c r="C48" s="17" t="str">
        <f>IF($A48="","",SUMIFS(Movimientos!$J$2:$J$2000,Movimientos!$C$2:$C$2000,$A$119,Movimientos!$E$2:$E$2000,$D$2,Movimientos!$F$2:$F$2000,$D48,Movimientos!$G$2:$G$2000,$E48,Movimientos!$H$2:$H$2000,$A48,Movimientos!$K$2:$K$2000,"&lt;&gt;Anulado"))</f>
        <v/>
      </c>
      <c r="D48" s="16"/>
      <c r="E48" s="16"/>
      <c r="F48" s="16" t="str">
        <f t="shared" si="4"/>
        <v/>
      </c>
      <c r="G48" s="7"/>
      <c r="H48" s="16"/>
      <c r="I48" s="16" t="str">
        <f>IF($H48="","",SUMIFS('Plan Mensual'!$I$2:$I$2000,'Plan Mensual'!$B$2:$B$2000,$D$2,'Plan Mensual'!$C$2:$C$2000,$A$119,'Plan Mensual'!$E$2:$E$2000,"Gastos Variables",'Plan Mensual'!$F$2:$F$2000,$K48,'Plan Mensual'!$G$2:$G$2000,$L48,'Plan Mensual'!$H$2:$H$2000,$H48))</f>
        <v/>
      </c>
      <c r="J48" s="16" t="str">
        <f>IF($H48="","",SUMIFS(Movimientos!$J$2:$J$2000,Movimientos!$C$2:$C$2000,$A$119,Movimientos!$E$2:$E$2000,$D$2,Movimientos!$F$2:$F$2000,$K48,Movimientos!$G$2:$G$2000,$L48,Movimientos!$H$2:$H$2000,$H48,Movimientos!$K$2:$K$2000,"&lt;&gt;Anulado"))</f>
        <v/>
      </c>
      <c r="K48" s="16"/>
      <c r="L48" s="16"/>
      <c r="M48" s="16" t="str">
        <f t="shared" si="3"/>
        <v/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2.75" customHeight="1" x14ac:dyDescent="0.2">
      <c r="A49" s="16"/>
      <c r="B49" s="17" t="str">
        <f>IF($A49="","",SUMIFS('Plan Mensual'!$I$2:$I$2000,'Plan Mensual'!$B$2:$B$2000,$D$2,'Plan Mensual'!$C$2:$C$2000,$A$119,'Plan Mensual'!$E$2:$E$2000,"Gastos Fijos",'Plan Mensual'!$F$2:$F$2000,$D49,'Plan Mensual'!$G$2:$G$2000,$E49,'Plan Mensual'!$H$2:$H$2000,$A49))</f>
        <v/>
      </c>
      <c r="C49" s="17" t="str">
        <f>IF($A49="","",SUMIFS(Movimientos!$J$2:$J$2000,Movimientos!$C$2:$C$2000,$A$119,Movimientos!$E$2:$E$2000,$D$2,Movimientos!$F$2:$F$2000,$D49,Movimientos!$G$2:$G$2000,$E49,Movimientos!$H$2:$H$2000,$A49,Movimientos!$K$2:$K$2000,"&lt;&gt;Anulado"))</f>
        <v/>
      </c>
      <c r="D49" s="16"/>
      <c r="E49" s="16"/>
      <c r="F49" s="16" t="str">
        <f t="shared" si="4"/>
        <v/>
      </c>
      <c r="G49" s="7"/>
      <c r="H49" s="16"/>
      <c r="I49" s="16" t="str">
        <f>IF($H49="","",SUMIFS('Plan Mensual'!$I$2:$I$2000,'Plan Mensual'!$B$2:$B$2000,$D$2,'Plan Mensual'!$C$2:$C$2000,$A$119,'Plan Mensual'!$E$2:$E$2000,"Gastos Variables",'Plan Mensual'!$F$2:$F$2000,$K49,'Plan Mensual'!$G$2:$G$2000,$L49,'Plan Mensual'!$H$2:$H$2000,$H49))</f>
        <v/>
      </c>
      <c r="J49" s="16" t="str">
        <f>IF($H49="","",SUMIFS(Movimientos!$J$2:$J$2000,Movimientos!$C$2:$C$2000,$A$119,Movimientos!$E$2:$E$2000,$D$2,Movimientos!$F$2:$F$2000,$K49,Movimientos!$G$2:$G$2000,$L49,Movimientos!$H$2:$H$2000,$H49,Movimientos!$K$2:$K$2000,"&lt;&gt;Anulado"))</f>
        <v/>
      </c>
      <c r="K49" s="16"/>
      <c r="L49" s="16"/>
      <c r="M49" s="16" t="str">
        <f t="shared" si="3"/>
        <v/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2.75" customHeight="1" x14ac:dyDescent="0.2">
      <c r="A50" s="16"/>
      <c r="B50" s="17" t="str">
        <f>IF($A50="","",SUMIFS('Plan Mensual'!$I$2:$I$2000,'Plan Mensual'!$B$2:$B$2000,$D$2,'Plan Mensual'!$C$2:$C$2000,$A$119,'Plan Mensual'!$E$2:$E$2000,"Gastos Fijos",'Plan Mensual'!$F$2:$F$2000,$D50,'Plan Mensual'!$G$2:$G$2000,$E50,'Plan Mensual'!$H$2:$H$2000,$A50))</f>
        <v/>
      </c>
      <c r="C50" s="17" t="str">
        <f>IF($A50="","",SUMIFS(Movimientos!$J$2:$J$2000,Movimientos!$C$2:$C$2000,$A$119,Movimientos!$E$2:$E$2000,$D$2,Movimientos!$F$2:$F$2000,$D50,Movimientos!$G$2:$G$2000,$E50,Movimientos!$H$2:$H$2000,$A50,Movimientos!$K$2:$K$2000,"&lt;&gt;Anulado"))</f>
        <v/>
      </c>
      <c r="D50" s="16"/>
      <c r="E50" s="16"/>
      <c r="F50" s="16" t="str">
        <f t="shared" si="4"/>
        <v/>
      </c>
      <c r="G50" s="7"/>
      <c r="H50" s="16"/>
      <c r="I50" s="16" t="str">
        <f>IF($H50="","",SUMIFS('Plan Mensual'!$I$2:$I$2000,'Plan Mensual'!$B$2:$B$2000,$D$2,'Plan Mensual'!$C$2:$C$2000,$A$119,'Plan Mensual'!$E$2:$E$2000,"Gastos Variables",'Plan Mensual'!$F$2:$F$2000,$K50,'Plan Mensual'!$G$2:$G$2000,$L50,'Plan Mensual'!$H$2:$H$2000,$H50))</f>
        <v/>
      </c>
      <c r="J50" s="16" t="str">
        <f>IF($H50="","",SUMIFS(Movimientos!$J$2:$J$2000,Movimientos!$C$2:$C$2000,$A$119,Movimientos!$E$2:$E$2000,$D$2,Movimientos!$F$2:$F$2000,$K50,Movimientos!$G$2:$G$2000,$L50,Movimientos!$H$2:$H$2000,$H50,Movimientos!$K$2:$K$2000,"&lt;&gt;Anulado"))</f>
        <v/>
      </c>
      <c r="K50" s="16"/>
      <c r="L50" s="16"/>
      <c r="M50" s="16" t="str">
        <f t="shared" si="3"/>
        <v/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2.75" customHeight="1" x14ac:dyDescent="0.2">
      <c r="A51" s="16"/>
      <c r="B51" s="17" t="str">
        <f>IF($A51="","",SUMIFS('Plan Mensual'!$I$2:$I$2000,'Plan Mensual'!$B$2:$B$2000,$D$2,'Plan Mensual'!$C$2:$C$2000,$A$119,'Plan Mensual'!$E$2:$E$2000,"Gastos Fijos",'Plan Mensual'!$F$2:$F$2000,$D51,'Plan Mensual'!$G$2:$G$2000,$E51,'Plan Mensual'!$H$2:$H$2000,$A51))</f>
        <v/>
      </c>
      <c r="C51" s="17" t="str">
        <f>IF($A51="","",SUMIFS(Movimientos!$J$2:$J$2000,Movimientos!$C$2:$C$2000,$A$119,Movimientos!$E$2:$E$2000,$D$2,Movimientos!$F$2:$F$2000,$D51,Movimientos!$G$2:$G$2000,$E51,Movimientos!$H$2:$H$2000,$A51,Movimientos!$K$2:$K$2000,"&lt;&gt;Anulado"))</f>
        <v/>
      </c>
      <c r="D51" s="16"/>
      <c r="E51" s="16"/>
      <c r="F51" s="16" t="str">
        <f t="shared" si="4"/>
        <v/>
      </c>
      <c r="G51" s="7"/>
      <c r="H51" s="16"/>
      <c r="I51" s="16" t="str">
        <f>IF($H51="","",SUMIFS('Plan Mensual'!$I$2:$I$2000,'Plan Mensual'!$B$2:$B$2000,$D$2,'Plan Mensual'!$C$2:$C$2000,$A$119,'Plan Mensual'!$E$2:$E$2000,"Gastos Variables",'Plan Mensual'!$F$2:$F$2000,$K51,'Plan Mensual'!$G$2:$G$2000,$L51,'Plan Mensual'!$H$2:$H$2000,$H51))</f>
        <v/>
      </c>
      <c r="J51" s="16" t="str">
        <f>IF($H51="","",SUMIFS(Movimientos!$J$2:$J$2000,Movimientos!$C$2:$C$2000,$A$119,Movimientos!$E$2:$E$2000,$D$2,Movimientos!$F$2:$F$2000,$K51,Movimientos!$G$2:$G$2000,$L51,Movimientos!$H$2:$H$2000,$H51,Movimientos!$K$2:$K$2000,"&lt;&gt;Anulado"))</f>
        <v/>
      </c>
      <c r="K51" s="16"/>
      <c r="L51" s="16"/>
      <c r="M51" s="16" t="str">
        <f t="shared" si="3"/>
        <v/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2.75" customHeight="1" x14ac:dyDescent="0.2">
      <c r="A52" s="16"/>
      <c r="B52" s="17" t="str">
        <f>IF($A52="","",SUMIFS('Plan Mensual'!$I$2:$I$2000,'Plan Mensual'!$B$2:$B$2000,$D$2,'Plan Mensual'!$C$2:$C$2000,$A$119,'Plan Mensual'!$E$2:$E$2000,"Gastos Fijos",'Plan Mensual'!$F$2:$F$2000,$D52,'Plan Mensual'!$G$2:$G$2000,$E52,'Plan Mensual'!$H$2:$H$2000,$A52))</f>
        <v/>
      </c>
      <c r="C52" s="17" t="str">
        <f>IF($A52="","",SUMIFS(Movimientos!$J$2:$J$2000,Movimientos!$C$2:$C$2000,$A$119,Movimientos!$E$2:$E$2000,$D$2,Movimientos!$F$2:$F$2000,$D52,Movimientos!$G$2:$G$2000,$E52,Movimientos!$H$2:$H$2000,$A52,Movimientos!$K$2:$K$2000,"&lt;&gt;Anulado"))</f>
        <v/>
      </c>
      <c r="D52" s="16"/>
      <c r="E52" s="16"/>
      <c r="F52" s="16" t="str">
        <f t="shared" si="4"/>
        <v/>
      </c>
      <c r="G52" s="7"/>
      <c r="H52" s="16"/>
      <c r="I52" s="16" t="str">
        <f>IF($H52="","",SUMIFS('Plan Mensual'!$I$2:$I$2000,'Plan Mensual'!$B$2:$B$2000,$D$2,'Plan Mensual'!$C$2:$C$2000,$A$119,'Plan Mensual'!$E$2:$E$2000,"Gastos Variables",'Plan Mensual'!$F$2:$F$2000,$K52,'Plan Mensual'!$G$2:$G$2000,$L52,'Plan Mensual'!$H$2:$H$2000,$H52))</f>
        <v/>
      </c>
      <c r="J52" s="16" t="str">
        <f>IF($H52="","",SUMIFS(Movimientos!$J$2:$J$2000,Movimientos!$C$2:$C$2000,$A$119,Movimientos!$E$2:$E$2000,$D$2,Movimientos!$F$2:$F$2000,$K52,Movimientos!$G$2:$G$2000,$L52,Movimientos!$H$2:$H$2000,$H52,Movimientos!$K$2:$K$2000,"&lt;&gt;Anulado"))</f>
        <v/>
      </c>
      <c r="K52" s="16"/>
      <c r="L52" s="16"/>
      <c r="M52" s="16" t="str">
        <f t="shared" si="3"/>
        <v/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2.75" customHeight="1" x14ac:dyDescent="0.2">
      <c r="A53" s="16"/>
      <c r="B53" s="17" t="str">
        <f>IF($A53="","",SUMIFS('Plan Mensual'!$I$2:$I$2000,'Plan Mensual'!$B$2:$B$2000,$D$2,'Plan Mensual'!$C$2:$C$2000,$A$119,'Plan Mensual'!$E$2:$E$2000,"Gastos Fijos",'Plan Mensual'!$F$2:$F$2000,$D53,'Plan Mensual'!$G$2:$G$2000,$E53,'Plan Mensual'!$H$2:$H$2000,$A53))</f>
        <v/>
      </c>
      <c r="C53" s="17" t="str">
        <f>IF($A53="","",SUMIFS(Movimientos!$J$2:$J$2000,Movimientos!$C$2:$C$2000,$A$119,Movimientos!$E$2:$E$2000,$D$2,Movimientos!$F$2:$F$2000,$D53,Movimientos!$G$2:$G$2000,$E53,Movimientos!$H$2:$H$2000,$A53,Movimientos!$K$2:$K$2000,"&lt;&gt;Anulado"))</f>
        <v/>
      </c>
      <c r="D53" s="16"/>
      <c r="E53" s="16"/>
      <c r="F53" s="16" t="str">
        <f t="shared" si="4"/>
        <v/>
      </c>
      <c r="G53" s="7"/>
      <c r="H53" s="16"/>
      <c r="I53" s="16" t="str">
        <f>IF($H53="","",SUMIFS('Plan Mensual'!$I$2:$I$2000,'Plan Mensual'!$B$2:$B$2000,$D$2,'Plan Mensual'!$C$2:$C$2000,$A$119,'Plan Mensual'!$E$2:$E$2000,"Gastos Variables",'Plan Mensual'!$F$2:$F$2000,$K53,'Plan Mensual'!$G$2:$G$2000,$L53,'Plan Mensual'!$H$2:$H$2000,$H53))</f>
        <v/>
      </c>
      <c r="J53" s="16" t="str">
        <f>IF($H53="","",SUMIFS(Movimientos!$J$2:$J$2000,Movimientos!$C$2:$C$2000,$A$119,Movimientos!$E$2:$E$2000,$D$2,Movimientos!$F$2:$F$2000,$K53,Movimientos!$G$2:$G$2000,$L53,Movimientos!$H$2:$H$2000,$H53,Movimientos!$K$2:$K$2000,"&lt;&gt;Anulado"))</f>
        <v/>
      </c>
      <c r="K53" s="16"/>
      <c r="L53" s="16"/>
      <c r="M53" s="16" t="str">
        <f t="shared" si="3"/>
        <v/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2.75" customHeight="1" x14ac:dyDescent="0.2">
      <c r="A54" s="16"/>
      <c r="B54" s="17" t="str">
        <f>IF($A54="","",SUMIFS('Plan Mensual'!$I$2:$I$2000,'Plan Mensual'!$B$2:$B$2000,$D$2,'Plan Mensual'!$C$2:$C$2000,$A$119,'Plan Mensual'!$E$2:$E$2000,"Gastos Fijos",'Plan Mensual'!$F$2:$F$2000,$D54,'Plan Mensual'!$G$2:$G$2000,$E54,'Plan Mensual'!$H$2:$H$2000,$A54))</f>
        <v/>
      </c>
      <c r="C54" s="17" t="str">
        <f>IF($A54="","",SUMIFS(Movimientos!$J$2:$J$2000,Movimientos!$C$2:$C$2000,$A$119,Movimientos!$E$2:$E$2000,$D$2,Movimientos!$F$2:$F$2000,$D54,Movimientos!$G$2:$G$2000,$E54,Movimientos!$H$2:$H$2000,$A54,Movimientos!$K$2:$K$2000,"&lt;&gt;Anulado"))</f>
        <v/>
      </c>
      <c r="D54" s="16"/>
      <c r="E54" s="16"/>
      <c r="F54" s="16" t="str">
        <f t="shared" si="4"/>
        <v/>
      </c>
      <c r="G54" s="7"/>
      <c r="H54" s="16"/>
      <c r="I54" s="16" t="str">
        <f>IF($H54="","",SUMIFS('Plan Mensual'!$I$2:$I$2000,'Plan Mensual'!$B$2:$B$2000,$D$2,'Plan Mensual'!$C$2:$C$2000,$A$119,'Plan Mensual'!$E$2:$E$2000,"Gastos Variables",'Plan Mensual'!$F$2:$F$2000,$K54,'Plan Mensual'!$G$2:$G$2000,$L54,'Plan Mensual'!$H$2:$H$2000,$H54))</f>
        <v/>
      </c>
      <c r="J54" s="16" t="str">
        <f>IF($H54="","",SUMIFS(Movimientos!$J$2:$J$2000,Movimientos!$C$2:$C$2000,$A$119,Movimientos!$E$2:$E$2000,$D$2,Movimientos!$F$2:$F$2000,$K54,Movimientos!$G$2:$G$2000,$L54,Movimientos!$H$2:$H$2000,$H54,Movimientos!$K$2:$K$2000,"&lt;&gt;Anulado"))</f>
        <v/>
      </c>
      <c r="K54" s="16"/>
      <c r="L54" s="16"/>
      <c r="M54" s="16" t="str">
        <f t="shared" si="3"/>
        <v/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2.75" customHeight="1" x14ac:dyDescent="0.2">
      <c r="A55" s="16"/>
      <c r="B55" s="17" t="str">
        <f>IF($A55="","",SUMIFS('Plan Mensual'!$I$2:$I$2000,'Plan Mensual'!$B$2:$B$2000,$D$2,'Plan Mensual'!$C$2:$C$2000,$A$119,'Plan Mensual'!$E$2:$E$2000,"Gastos Fijos",'Plan Mensual'!$F$2:$F$2000,$D55,'Plan Mensual'!$G$2:$G$2000,$E55,'Plan Mensual'!$H$2:$H$2000,$A55))</f>
        <v/>
      </c>
      <c r="C55" s="17" t="str">
        <f>IF($A55="","",SUMIFS(Movimientos!$J$2:$J$2000,Movimientos!$C$2:$C$2000,$A$119,Movimientos!$E$2:$E$2000,$D$2,Movimientos!$F$2:$F$2000,$D55,Movimientos!$G$2:$G$2000,$E55,Movimientos!$H$2:$H$2000,$A55,Movimientos!$K$2:$K$2000,"&lt;&gt;Anulado"))</f>
        <v/>
      </c>
      <c r="D55" s="16"/>
      <c r="E55" s="16"/>
      <c r="F55" s="16" t="str">
        <f t="shared" si="4"/>
        <v/>
      </c>
      <c r="G55" s="7"/>
      <c r="H55" s="16"/>
      <c r="I55" s="16" t="str">
        <f>IF($H55="","",SUMIFS('Plan Mensual'!$I$2:$I$2000,'Plan Mensual'!$B$2:$B$2000,$D$2,'Plan Mensual'!$C$2:$C$2000,$A$119,'Plan Mensual'!$E$2:$E$2000,"Gastos Variables",'Plan Mensual'!$F$2:$F$2000,$K55,'Plan Mensual'!$G$2:$G$2000,$L55,'Plan Mensual'!$H$2:$H$2000,$H55))</f>
        <v/>
      </c>
      <c r="J55" s="16" t="str">
        <f>IF($H55="","",SUMIFS(Movimientos!$J$2:$J$2000,Movimientos!$C$2:$C$2000,$A$119,Movimientos!$E$2:$E$2000,$D$2,Movimientos!$F$2:$F$2000,$K55,Movimientos!$G$2:$G$2000,$L55,Movimientos!$H$2:$H$2000,$H55,Movimientos!$K$2:$K$2000,"&lt;&gt;Anulado"))</f>
        <v/>
      </c>
      <c r="K55" s="16"/>
      <c r="L55" s="16"/>
      <c r="M55" s="16" t="str">
        <f t="shared" si="3"/>
        <v/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8" customHeight="1" x14ac:dyDescent="0.2">
      <c r="A56" s="16"/>
      <c r="B56" s="17" t="str">
        <f>IF($A56="","",SUMIFS('Plan Mensual'!$I$2:$I$2000,'Plan Mensual'!$B$2:$B$2000,$D$2,'Plan Mensual'!$C$2:$C$2000,$A$119,'Plan Mensual'!$E$2:$E$2000,"Gastos Fijos",'Plan Mensual'!$F$2:$F$2000,$D56,'Plan Mensual'!$G$2:$G$2000,$E56,'Plan Mensual'!$H$2:$H$2000,$A56))</f>
        <v/>
      </c>
      <c r="C56" s="17" t="str">
        <f>IF($A56="","",SUMIFS(Movimientos!$J$2:$J$2000,Movimientos!$C$2:$C$2000,$A$119,Movimientos!$E$2:$E$2000,$D$2,Movimientos!$F$2:$F$2000,$D56,Movimientos!$G$2:$G$2000,$E56,Movimientos!$H$2:$H$2000,$A56,Movimientos!$K$2:$K$2000,"&lt;&gt;Anulado"))</f>
        <v/>
      </c>
      <c r="D56" s="16"/>
      <c r="E56" s="16"/>
      <c r="F56" s="16" t="str">
        <f t="shared" si="4"/>
        <v/>
      </c>
      <c r="G56" s="7"/>
      <c r="H56" s="21" t="s">
        <v>56</v>
      </c>
      <c r="I56" s="21">
        <f>SUM(I26:I55)</f>
        <v>0</v>
      </c>
      <c r="J56" s="21">
        <f>SUM(J26:J55)</f>
        <v>0</v>
      </c>
      <c r="K56" s="21"/>
      <c r="L56" s="21"/>
      <c r="M56" s="21"/>
      <c r="N56" s="7"/>
      <c r="O56" s="88" t="s">
        <v>85</v>
      </c>
      <c r="P56" s="88"/>
      <c r="Q56" s="88"/>
      <c r="R56" s="88"/>
      <c r="S56" s="7"/>
      <c r="T56" s="7"/>
      <c r="U56" s="7"/>
      <c r="V56" s="7"/>
      <c r="W56" s="7"/>
      <c r="X56" s="7"/>
    </row>
    <row r="57" spans="1:24" ht="18" customHeight="1" x14ac:dyDescent="0.2">
      <c r="A57" s="16"/>
      <c r="B57" s="17" t="str">
        <f>IF($A57="","",SUMIFS('Plan Mensual'!$I$2:$I$2000,'Plan Mensual'!$B$2:$B$2000,$D$2,'Plan Mensual'!$C$2:$C$2000,$A$119,'Plan Mensual'!$E$2:$E$2000,"Gastos Fijos",'Plan Mensual'!$F$2:$F$2000,$D57,'Plan Mensual'!$G$2:$G$2000,$E57,'Plan Mensual'!$H$2:$H$2000,$A57))</f>
        <v/>
      </c>
      <c r="C57" s="17" t="str">
        <f>IF($A57="","",SUMIFS(Movimientos!$J$2:$J$2000,Movimientos!$C$2:$C$2000,$A$119,Movimientos!$E$2:$E$2000,$D$2,Movimientos!$F$2:$F$2000,$D57,Movimientos!$G$2:$G$2000,$E57,Movimientos!$H$2:$H$2000,$A57,Movimientos!$K$2:$K$2000,"&lt;&gt;Anulado"))</f>
        <v/>
      </c>
      <c r="D57" s="16"/>
      <c r="E57" s="16"/>
      <c r="F57" s="16" t="str">
        <f t="shared" si="4"/>
        <v/>
      </c>
      <c r="G57" s="7"/>
      <c r="H57" s="7"/>
      <c r="I57" s="7"/>
      <c r="J57" s="7"/>
      <c r="K57" s="7"/>
      <c r="L57" s="7"/>
      <c r="M57" s="7"/>
      <c r="N57" s="7"/>
      <c r="O57" s="32" t="s">
        <v>86</v>
      </c>
      <c r="P57" s="32" t="s">
        <v>87</v>
      </c>
      <c r="Q57" s="32" t="s">
        <v>88</v>
      </c>
      <c r="R57" s="32" t="s">
        <v>54</v>
      </c>
      <c r="S57" s="7"/>
      <c r="T57" s="7"/>
      <c r="U57" s="7"/>
      <c r="V57" s="7"/>
      <c r="W57" s="7"/>
      <c r="X57" s="7"/>
    </row>
    <row r="58" spans="1:24" ht="18" customHeight="1" x14ac:dyDescent="0.2">
      <c r="A58" s="16"/>
      <c r="B58" s="17" t="str">
        <f>IF($A58="","",SUMIFS('Plan Mensual'!$I$2:$I$2000,'Plan Mensual'!$B$2:$B$2000,$D$2,'Plan Mensual'!$C$2:$C$2000,$A$119,'Plan Mensual'!$E$2:$E$2000,"Gastos Fijos",'Plan Mensual'!$F$2:$F$2000,$D58,'Plan Mensual'!$G$2:$G$2000,$E58,'Plan Mensual'!$H$2:$H$2000,$A58))</f>
        <v/>
      </c>
      <c r="C58" s="17" t="str">
        <f>IF($A58="","",SUMIFS(Movimientos!$J$2:$J$2000,Movimientos!$C$2:$C$2000,$A$119,Movimientos!$E$2:$E$2000,$D$2,Movimientos!$F$2:$F$2000,$D58,Movimientos!$G$2:$G$2000,$E58,Movimientos!$H$2:$H$2000,$A58,Movimientos!$K$2:$K$2000,"&lt;&gt;Anulado"))</f>
        <v/>
      </c>
      <c r="D58" s="16"/>
      <c r="E58" s="16"/>
      <c r="F58" s="16" t="str">
        <f t="shared" si="4"/>
        <v/>
      </c>
      <c r="G58" s="7"/>
      <c r="H58" s="7"/>
      <c r="I58" s="7"/>
      <c r="J58" s="7"/>
      <c r="K58" s="7"/>
      <c r="L58" s="7"/>
      <c r="M58" s="7"/>
      <c r="N58" s="7"/>
      <c r="O58" s="33" t="s">
        <v>89</v>
      </c>
      <c r="P58" s="34">
        <f>$H$2</f>
        <v>2500000</v>
      </c>
      <c r="Q58" s="34">
        <f>$K$2</f>
        <v>1030000</v>
      </c>
      <c r="R58" s="34">
        <f>SUMIFS(Movimientos!$J$2:$J$2000,Movimientos!$C$2:$C$2000,$A$119,Movimientos!$E$2:$E$2000,$D$2,Movimientos!$F$2:$F$2000,"Ahorros",Movimientos!$K$2:$K$2000,"&lt;&gt;Anulado")+SUMIFS(Movimientos!$J$2:$J$2000,Movimientos!$C$2:$C$2000,$A$119,Movimientos!$E$2:$E$2000,$D$2,Movimientos!$F$2:$F$2000,"Inversiones",Movimientos!$K$2:$K$2000,"&lt;&gt;Anulado")</f>
        <v>0</v>
      </c>
      <c r="S58" s="7"/>
      <c r="T58" s="7"/>
      <c r="U58" s="7"/>
      <c r="V58" s="7"/>
      <c r="W58" s="7"/>
      <c r="X58" s="7"/>
    </row>
    <row r="59" spans="1:24" ht="12.75" customHeight="1" x14ac:dyDescent="0.25">
      <c r="A59" s="16"/>
      <c r="B59" s="17" t="str">
        <f>IF($A59="","",SUMIFS('Plan Mensual'!$I$2:$I$2000,'Plan Mensual'!$B$2:$B$2000,$D$2,'Plan Mensual'!$C$2:$C$2000,$A$119,'Plan Mensual'!$E$2:$E$2000,"Gastos Fijos",'Plan Mensual'!$F$2:$F$2000,$D59,'Plan Mensual'!$G$2:$G$2000,$E59,'Plan Mensual'!$H$2:$H$2000,$A59))</f>
        <v/>
      </c>
      <c r="C59" s="17" t="str">
        <f>IF($A59="","",SUMIFS(Movimientos!$J$2:$J$2000,Movimientos!$C$2:$C$2000,$A$119,Movimientos!$E$2:$E$2000,$D$2,Movimientos!$F$2:$F$2000,$D59,Movimientos!$G$2:$G$2000,$E59,Movimientos!$H$2:$H$2000,$A59,Movimientos!$K$2:$K$2000,"&lt;&gt;Anulado"))</f>
        <v/>
      </c>
      <c r="D59" s="16"/>
      <c r="E59" s="16"/>
      <c r="F59" s="16" t="str">
        <f t="shared" si="4"/>
        <v/>
      </c>
      <c r="G59" s="7"/>
      <c r="H59" s="82" t="s">
        <v>90</v>
      </c>
      <c r="I59" s="82"/>
      <c r="J59" s="82"/>
      <c r="K59" s="82"/>
      <c r="L59" s="82"/>
      <c r="M59" s="8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2.75" customHeight="1" x14ac:dyDescent="0.2">
      <c r="A60" s="16"/>
      <c r="B60" s="17" t="str">
        <f>IF($A60="","",SUMIFS('Plan Mensual'!$I$2:$I$2000,'Plan Mensual'!$B$2:$B$2000,$D$2,'Plan Mensual'!$C$2:$C$2000,$A$119,'Plan Mensual'!$E$2:$E$2000,"Gastos Fijos",'Plan Mensual'!$F$2:$F$2000,$D60,'Plan Mensual'!$G$2:$G$2000,$E60,'Plan Mensual'!$H$2:$H$2000,$A60))</f>
        <v/>
      </c>
      <c r="C60" s="17" t="str">
        <f>IF($A60="","",SUMIFS(Movimientos!$J$2:$J$2000,Movimientos!$C$2:$C$2000,$A$119,Movimientos!$E$2:$E$2000,$D$2,Movimientos!$F$2:$F$2000,$D60,Movimientos!$G$2:$G$2000,$E60,Movimientos!$H$2:$H$2000,$A60,Movimientos!$K$2:$K$2000,"&lt;&gt;Anulado"))</f>
        <v/>
      </c>
      <c r="D60" s="16"/>
      <c r="E60" s="16"/>
      <c r="F60" s="16" t="str">
        <f t="shared" si="4"/>
        <v/>
      </c>
      <c r="G60" s="7"/>
      <c r="H60" s="19" t="s">
        <v>40</v>
      </c>
      <c r="I60" s="19" t="s">
        <v>41</v>
      </c>
      <c r="J60" s="19" t="s">
        <v>65</v>
      </c>
      <c r="K60" s="19" t="s">
        <v>43</v>
      </c>
      <c r="L60" s="19" t="s">
        <v>36</v>
      </c>
      <c r="M60" s="19" t="s">
        <v>73</v>
      </c>
      <c r="N60" s="7"/>
      <c r="O60" s="86" t="s">
        <v>91</v>
      </c>
      <c r="P60" s="86"/>
      <c r="Q60" s="86"/>
      <c r="R60" s="86"/>
      <c r="S60" s="86"/>
      <c r="T60" s="86"/>
      <c r="U60" s="7"/>
      <c r="V60" s="7"/>
      <c r="W60" s="7"/>
      <c r="X60" s="7"/>
    </row>
    <row r="61" spans="1:24" ht="12.75" customHeight="1" x14ac:dyDescent="0.2">
      <c r="A61" s="16"/>
      <c r="B61" s="17" t="str">
        <f>IF($A61="","",SUMIFS('Plan Mensual'!$I$2:$I$2000,'Plan Mensual'!$B$2:$B$2000,$D$2,'Plan Mensual'!$C$2:$C$2000,$A$119,'Plan Mensual'!$E$2:$E$2000,"Gastos Fijos",'Plan Mensual'!$F$2:$F$2000,$D61,'Plan Mensual'!$G$2:$G$2000,$E61,'Plan Mensual'!$H$2:$H$2000,$A61))</f>
        <v/>
      </c>
      <c r="C61" s="17" t="str">
        <f>IF($A61="","",SUMIFS(Movimientos!$J$2:$J$2000,Movimientos!$C$2:$C$2000,$A$119,Movimientos!$E$2:$E$2000,$D$2,Movimientos!$F$2:$F$2000,$D61,Movimientos!$G$2:$G$2000,$E61,Movimientos!$H$2:$H$2000,$A61,Movimientos!$K$2:$K$2000,"&lt;&gt;Anulado"))</f>
        <v/>
      </c>
      <c r="D61" s="16"/>
      <c r="E61" s="16"/>
      <c r="F61" s="16" t="str">
        <f t="shared" si="4"/>
        <v/>
      </c>
      <c r="G61" s="7"/>
      <c r="H61" s="16" t="s">
        <v>92</v>
      </c>
      <c r="I61" s="16">
        <f>IF($H61="","",SUMIFS('Plan Mensual'!$I$2:$I$2000,'Plan Mensual'!$B$2:$B$2000,$D$2,'Plan Mensual'!$C$2:$C$2000,"&lt;="&amp;$A$119,'Plan Mensual'!$E$2:$E$2000,"Inversiones",'Plan Mensual'!$F$2:$F$2000,$K61,'Plan Mensual'!$G$2:$G$2000,$L61,'Plan Mensual'!$H$2:$H$2000,$H61))</f>
        <v>0</v>
      </c>
      <c r="J61" s="16">
        <f>IF($H61="","",SUMIFS(Movimientos!$J$2:$J$2000,Movimientos!$C$2:$C$2000,"&lt;="&amp;$A$119,Movimientos!$E$2:$E$2000,$D$2,Movimientos!$F$2:$F$2000,$K61,Movimientos!$G$2:$G$2000,$L61,Movimientos!$H$2:$H$2000,$H61,Movimientos!$K$2:$K$2000,"&lt;&gt;Anulado"))</f>
        <v>0</v>
      </c>
      <c r="K61" s="16" t="s">
        <v>93</v>
      </c>
      <c r="L61" s="16" t="s">
        <v>71</v>
      </c>
      <c r="M61" s="16" t="str">
        <f t="shared" ref="M61:M80" si="5">IF(H61="","",IF(I61=0,IF(J61=0,"Sin dato","Sin presupuesto"),IF(J61&gt;I61,"Excede",IF(J61=I61,"Exacto","Dentro"))))</f>
        <v>Sin dato</v>
      </c>
      <c r="N61" s="7"/>
      <c r="O61" s="19" t="s">
        <v>40</v>
      </c>
      <c r="P61" s="19" t="s">
        <v>41</v>
      </c>
      <c r="Q61" s="19" t="s">
        <v>65</v>
      </c>
      <c r="R61" s="19" t="s">
        <v>43</v>
      </c>
      <c r="S61" s="19" t="s">
        <v>36</v>
      </c>
      <c r="T61" s="19" t="s">
        <v>73</v>
      </c>
      <c r="U61" s="7"/>
      <c r="V61" s="7"/>
      <c r="W61" s="7"/>
      <c r="X61" s="7"/>
    </row>
    <row r="62" spans="1:24" ht="12.75" customHeight="1" x14ac:dyDescent="0.2">
      <c r="A62" s="16"/>
      <c r="B62" s="17" t="str">
        <f>IF($A62="","",SUMIFS('Plan Mensual'!$I$2:$I$2000,'Plan Mensual'!$B$2:$B$2000,$D$2,'Plan Mensual'!$C$2:$C$2000,$A$119,'Plan Mensual'!$E$2:$E$2000,"Gastos Fijos",'Plan Mensual'!$F$2:$F$2000,$D62,'Plan Mensual'!$G$2:$G$2000,$E62,'Plan Mensual'!$H$2:$H$2000,$A62))</f>
        <v/>
      </c>
      <c r="C62" s="17" t="str">
        <f>IF($A62="","",SUMIFS(Movimientos!$J$2:$J$2000,Movimientos!$C$2:$C$2000,$A$119,Movimientos!$E$2:$E$2000,$D$2,Movimientos!$F$2:$F$2000,$D62,Movimientos!$G$2:$G$2000,$E62,Movimientos!$H$2:$H$2000,$A62,Movimientos!$K$2:$K$2000,"&lt;&gt;Anulado"))</f>
        <v/>
      </c>
      <c r="D62" s="16"/>
      <c r="E62" s="16"/>
      <c r="F62" s="16" t="str">
        <f t="shared" si="4"/>
        <v/>
      </c>
      <c r="G62" s="7"/>
      <c r="H62" s="16" t="s">
        <v>94</v>
      </c>
      <c r="I62" s="16">
        <f>IF($H62="","",SUMIFS('Plan Mensual'!$I$2:$I$2000,'Plan Mensual'!$B$2:$B$2000,$D$2,'Plan Mensual'!$C$2:$C$2000,"&lt;="&amp;$A$119,'Plan Mensual'!$E$2:$E$2000,"Inversiones",'Plan Mensual'!$F$2:$F$2000,$K62,'Plan Mensual'!$G$2:$G$2000,$L62,'Plan Mensual'!$H$2:$H$2000,$H62))</f>
        <v>0</v>
      </c>
      <c r="J62" s="16">
        <f>IF($H62="","",SUMIFS(Movimientos!$J$2:$J$2000,Movimientos!$C$2:$C$2000,"&lt;="&amp;$A$119,Movimientos!$E$2:$E$2000,$D$2,Movimientos!$F$2:$F$2000,$K62,Movimientos!$G$2:$G$2000,$L62,Movimientos!$H$2:$H$2000,$H62,Movimientos!$K$2:$K$2000,"&lt;&gt;Anulado"))</f>
        <v>0</v>
      </c>
      <c r="K62" s="16" t="s">
        <v>93</v>
      </c>
      <c r="L62" s="16" t="s">
        <v>71</v>
      </c>
      <c r="M62" s="16" t="str">
        <f t="shared" si="5"/>
        <v>Sin dato</v>
      </c>
      <c r="N62" s="7"/>
      <c r="O62" s="16" t="s">
        <v>95</v>
      </c>
      <c r="P62" s="17">
        <f>IF($O62="","",SUMIFS('Plan Mensual'!$I$2:$I$2000,'Plan Mensual'!$B$2:$B$2000,$D$2,'Plan Mensual'!$C$2:$C$2000,$A$119,'Plan Mensual'!$E$2:$E$2000,"Deudas",'Plan Mensual'!$F$2:$F$2000,$R62,'Plan Mensual'!$G$2:$G$2000,$S62,'Plan Mensual'!$H$2:$H$2000,$O62))</f>
        <v>0</v>
      </c>
      <c r="Q62" s="17">
        <f>IF($O62="","",SUMIFS(Movimientos!$J$2:$J$2000,Movimientos!$C$2:$C$2000,$A$119,Movimientos!$E$2:$E$2000,$D$2,Movimientos!$F$2:$F$2000,$R62,Movimientos!$G$2:$G$2000,$S62,Movimientos!$H$2:$H$2000,$O62,Movimientos!$K$2:$K$2000,"&lt;&gt;Anulado"))</f>
        <v>0</v>
      </c>
      <c r="R62" s="16" t="s">
        <v>29</v>
      </c>
      <c r="S62" s="16" t="s">
        <v>68</v>
      </c>
      <c r="T62" s="16" t="str">
        <f t="shared" ref="T62:T81" si="6">IF(O62="","",IF(P62=0,IF(Q62=0,"Sin dato","Sin presupuesto"),IF(Q62&gt;P62,"Excede",IF(Q62=P62,"Exacto","Dentro"))))</f>
        <v>Sin dato</v>
      </c>
      <c r="U62" s="7"/>
      <c r="V62" s="7"/>
      <c r="W62" s="7"/>
      <c r="X62" s="7"/>
    </row>
    <row r="63" spans="1:24" ht="12.75" customHeight="1" x14ac:dyDescent="0.2">
      <c r="A63" s="16"/>
      <c r="B63" s="17" t="str">
        <f>IF($A63="","",SUMIFS('Plan Mensual'!$I$2:$I$2000,'Plan Mensual'!$B$2:$B$2000,$D$2,'Plan Mensual'!$C$2:$C$2000,$A$119,'Plan Mensual'!$E$2:$E$2000,"Gastos Fijos",'Plan Mensual'!$F$2:$F$2000,$D63,'Plan Mensual'!$G$2:$G$2000,$E63,'Plan Mensual'!$H$2:$H$2000,$A63))</f>
        <v/>
      </c>
      <c r="C63" s="17" t="str">
        <f>IF($A63="","",SUMIFS(Movimientos!$J$2:$J$2000,Movimientos!$C$2:$C$2000,$A$119,Movimientos!$E$2:$E$2000,$D$2,Movimientos!$F$2:$F$2000,$D63,Movimientos!$G$2:$G$2000,$E63,Movimientos!$H$2:$H$2000,$A63,Movimientos!$K$2:$K$2000,"&lt;&gt;Anulado"))</f>
        <v/>
      </c>
      <c r="D63" s="16"/>
      <c r="E63" s="16"/>
      <c r="F63" s="16" t="str">
        <f t="shared" si="4"/>
        <v/>
      </c>
      <c r="G63" s="7"/>
      <c r="H63" s="16"/>
      <c r="I63" s="16" t="str">
        <f>IF($H63="","",SUMIFS('Plan Mensual'!$I$2:$I$2000,'Plan Mensual'!$B$2:$B$2000,$D$2,'Plan Mensual'!$C$2:$C$2000,"&lt;="&amp;$A$119,'Plan Mensual'!$E$2:$E$2000,"Inversiones",'Plan Mensual'!$F$2:$F$2000,$K63,'Plan Mensual'!$G$2:$G$2000,$L63,'Plan Mensual'!$H$2:$H$2000,$H63))</f>
        <v/>
      </c>
      <c r="J63" s="16" t="str">
        <f>IF($H63="","",SUMIFS(Movimientos!$J$2:$J$2000,Movimientos!$C$2:$C$2000,"&lt;="&amp;$A$119,Movimientos!$E$2:$E$2000,$D$2,Movimientos!$F$2:$F$2000,$K63,Movimientos!$G$2:$G$2000,$L63,Movimientos!$H$2:$H$2000,$H63,Movimientos!$K$2:$K$2000,"&lt;&gt;Anulado"))</f>
        <v/>
      </c>
      <c r="K63" s="16"/>
      <c r="L63" s="16"/>
      <c r="M63" s="16" t="str">
        <f t="shared" si="5"/>
        <v/>
      </c>
      <c r="N63" s="7"/>
      <c r="O63" s="16" t="s">
        <v>96</v>
      </c>
      <c r="P63" s="17">
        <f>IF($O63="","",SUMIFS('Plan Mensual'!$I$2:$I$2000,'Plan Mensual'!$B$2:$B$2000,$D$2,'Plan Mensual'!$C$2:$C$2000,$A$119,'Plan Mensual'!$E$2:$E$2000,"Deudas",'Plan Mensual'!$F$2:$F$2000,$R63,'Plan Mensual'!$G$2:$G$2000,$S63,'Plan Mensual'!$H$2:$H$2000,$O63))</f>
        <v>0</v>
      </c>
      <c r="Q63" s="17">
        <f>IF($O63="","",SUMIFS(Movimientos!$J$2:$J$2000,Movimientos!$C$2:$C$2000,$A$119,Movimientos!$E$2:$E$2000,$D$2,Movimientos!$F$2:$F$2000,$R63,Movimientos!$G$2:$G$2000,$S63,Movimientos!$H$2:$H$2000,$O63,Movimientos!$K$2:$K$2000,"&lt;&gt;Anulado"))</f>
        <v>0</v>
      </c>
      <c r="R63" s="16" t="s">
        <v>29</v>
      </c>
      <c r="S63" s="16" t="s">
        <v>68</v>
      </c>
      <c r="T63" s="16" t="str">
        <f t="shared" si="6"/>
        <v>Sin dato</v>
      </c>
      <c r="U63" s="7"/>
      <c r="V63" s="7"/>
      <c r="W63" s="7"/>
      <c r="X63" s="7"/>
    </row>
    <row r="64" spans="1:24" ht="12.75" customHeight="1" x14ac:dyDescent="0.2">
      <c r="A64" s="16"/>
      <c r="B64" s="17" t="str">
        <f>IF($A64="","",SUMIFS('Plan Mensual'!$I$2:$I$2000,'Plan Mensual'!$B$2:$B$2000,$D$2,'Plan Mensual'!$C$2:$C$2000,$A$119,'Plan Mensual'!$E$2:$E$2000,"Gastos Fijos",'Plan Mensual'!$F$2:$F$2000,$D64,'Plan Mensual'!$G$2:$G$2000,$E64,'Plan Mensual'!$H$2:$H$2000,$A64))</f>
        <v/>
      </c>
      <c r="C64" s="17" t="str">
        <f>IF($A64="","",SUMIFS(Movimientos!$J$2:$J$2000,Movimientos!$C$2:$C$2000,$A$119,Movimientos!$E$2:$E$2000,$D$2,Movimientos!$F$2:$F$2000,$D64,Movimientos!$G$2:$G$2000,$E64,Movimientos!$H$2:$H$2000,$A64,Movimientos!$K$2:$K$2000,"&lt;&gt;Anulado"))</f>
        <v/>
      </c>
      <c r="D64" s="16"/>
      <c r="E64" s="16"/>
      <c r="F64" s="16" t="str">
        <f t="shared" si="4"/>
        <v/>
      </c>
      <c r="G64" s="7"/>
      <c r="H64" s="16"/>
      <c r="I64" s="16" t="str">
        <f>IF($H64="","",SUMIFS('Plan Mensual'!$I$2:$I$2000,'Plan Mensual'!$B$2:$B$2000,$D$2,'Plan Mensual'!$C$2:$C$2000,"&lt;="&amp;$A$119,'Plan Mensual'!$E$2:$E$2000,"Inversiones",'Plan Mensual'!$F$2:$F$2000,$K64,'Plan Mensual'!$G$2:$G$2000,$L64,'Plan Mensual'!$H$2:$H$2000,$H64))</f>
        <v/>
      </c>
      <c r="J64" s="16" t="str">
        <f>IF($H64="","",SUMIFS(Movimientos!$J$2:$J$2000,Movimientos!$C$2:$C$2000,"&lt;="&amp;$A$119,Movimientos!$E$2:$E$2000,$D$2,Movimientos!$F$2:$F$2000,$K64,Movimientos!$G$2:$G$2000,$L64,Movimientos!$H$2:$H$2000,$H64,Movimientos!$K$2:$K$2000,"&lt;&gt;Anulado"))</f>
        <v/>
      </c>
      <c r="K64" s="16"/>
      <c r="L64" s="16"/>
      <c r="M64" s="16" t="str">
        <f t="shared" si="5"/>
        <v/>
      </c>
      <c r="N64" s="7"/>
      <c r="O64" s="16" t="s">
        <v>70</v>
      </c>
      <c r="P64" s="17">
        <f>IF($O64="","",SUMIFS('Plan Mensual'!$I$2:$I$2000,'Plan Mensual'!$B$2:$B$2000,$D$2,'Plan Mensual'!$C$2:$C$2000,$A$119,'Plan Mensual'!$E$2:$E$2000,"Deudas",'Plan Mensual'!$F$2:$F$2000,$R64,'Plan Mensual'!$G$2:$G$2000,$S64,'Plan Mensual'!$H$2:$H$2000,$O64))</f>
        <v>0</v>
      </c>
      <c r="Q64" s="17">
        <f>IF($O64="","",SUMIFS(Movimientos!$J$2:$J$2000,Movimientos!$C$2:$C$2000,$A$119,Movimientos!$E$2:$E$2000,$D$2,Movimientos!$F$2:$F$2000,$R64,Movimientos!$G$2:$G$2000,$S64,Movimientos!$H$2:$H$2000,$O64,Movimientos!$K$2:$K$2000,"&lt;&gt;Anulado"))</f>
        <v>0</v>
      </c>
      <c r="R64" s="16" t="s">
        <v>29</v>
      </c>
      <c r="S64" s="16" t="s">
        <v>70</v>
      </c>
      <c r="T64" s="16" t="str">
        <f t="shared" si="6"/>
        <v>Sin dato</v>
      </c>
      <c r="U64" s="7"/>
      <c r="V64" s="7"/>
      <c r="W64" s="7"/>
      <c r="X64" s="7"/>
    </row>
    <row r="65" spans="1:24" ht="12.75" customHeight="1" x14ac:dyDescent="0.2">
      <c r="A65" s="16"/>
      <c r="B65" s="17" t="str">
        <f>IF($A65="","",SUMIFS('Plan Mensual'!$I$2:$I$2000,'Plan Mensual'!$B$2:$B$2000,$D$2,'Plan Mensual'!$C$2:$C$2000,$A$119,'Plan Mensual'!$E$2:$E$2000,"Gastos Fijos",'Plan Mensual'!$F$2:$F$2000,$D65,'Plan Mensual'!$G$2:$G$2000,$E65,'Plan Mensual'!$H$2:$H$2000,$A65))</f>
        <v/>
      </c>
      <c r="C65" s="17" t="str">
        <f>IF($A65="","",SUMIFS(Movimientos!$J$2:$J$2000,Movimientos!$C$2:$C$2000,$A$119,Movimientos!$E$2:$E$2000,$D$2,Movimientos!$F$2:$F$2000,$D65,Movimientos!$G$2:$G$2000,$E65,Movimientos!$H$2:$H$2000,$A65,Movimientos!$K$2:$K$2000,"&lt;&gt;Anulado"))</f>
        <v/>
      </c>
      <c r="D65" s="16"/>
      <c r="E65" s="16"/>
      <c r="F65" s="16" t="str">
        <f t="shared" si="4"/>
        <v/>
      </c>
      <c r="G65" s="7"/>
      <c r="H65" s="16"/>
      <c r="I65" s="16" t="str">
        <f>IF($H65="","",SUMIFS('Plan Mensual'!$I$2:$I$2000,'Plan Mensual'!$B$2:$B$2000,$D$2,'Plan Mensual'!$C$2:$C$2000,"&lt;="&amp;$A$119,'Plan Mensual'!$E$2:$E$2000,"Inversiones",'Plan Mensual'!$F$2:$F$2000,$K65,'Plan Mensual'!$G$2:$G$2000,$L65,'Plan Mensual'!$H$2:$H$2000,$H65))</f>
        <v/>
      </c>
      <c r="J65" s="16" t="str">
        <f>IF($H65="","",SUMIFS(Movimientos!$J$2:$J$2000,Movimientos!$C$2:$C$2000,"&lt;="&amp;$A$119,Movimientos!$E$2:$E$2000,$D$2,Movimientos!$F$2:$F$2000,$K65,Movimientos!$G$2:$G$2000,$L65,Movimientos!$H$2:$H$2000,$H65,Movimientos!$K$2:$K$2000,"&lt;&gt;Anulado"))</f>
        <v/>
      </c>
      <c r="K65" s="16"/>
      <c r="L65" s="16"/>
      <c r="M65" s="16" t="str">
        <f t="shared" si="5"/>
        <v/>
      </c>
      <c r="N65" s="7"/>
      <c r="O65" s="16"/>
      <c r="P65" s="17" t="str">
        <f>IF($O65="","",SUMIFS('Plan Mensual'!$I$2:$I$2000,'Plan Mensual'!$B$2:$B$2000,$D$2,'Plan Mensual'!$C$2:$C$2000,$A$119,'Plan Mensual'!$E$2:$E$2000,"Deudas",'Plan Mensual'!$F$2:$F$2000,$R65,'Plan Mensual'!$G$2:$G$2000,$S65,'Plan Mensual'!$H$2:$H$2000,$O65))</f>
        <v/>
      </c>
      <c r="Q65" s="17" t="str">
        <f>IF($O65="","",SUMIFS(Movimientos!$J$2:$J$2000,Movimientos!$C$2:$C$2000,$A$119,Movimientos!$E$2:$E$2000,$D$2,Movimientos!$F$2:$F$2000,$R65,Movimientos!$G$2:$G$2000,$S65,Movimientos!$H$2:$H$2000,$O65,Movimientos!$K$2:$K$2000,"&lt;&gt;Anulado"))</f>
        <v/>
      </c>
      <c r="R65" s="16"/>
      <c r="S65" s="16"/>
      <c r="T65" s="16" t="str">
        <f t="shared" si="6"/>
        <v/>
      </c>
      <c r="U65" s="7"/>
      <c r="V65" s="7"/>
      <c r="W65" s="7"/>
      <c r="X65" s="7"/>
    </row>
    <row r="66" spans="1:24" ht="12.75" customHeight="1" x14ac:dyDescent="0.2">
      <c r="A66" s="21" t="s">
        <v>56</v>
      </c>
      <c r="B66" s="23">
        <f>SUM(B36:B65)</f>
        <v>1030000</v>
      </c>
      <c r="C66" s="23">
        <f>SUM(C36:C65)</f>
        <v>1030000</v>
      </c>
      <c r="D66" s="21"/>
      <c r="E66" s="21"/>
      <c r="F66" s="21"/>
      <c r="G66" s="7"/>
      <c r="H66" s="16"/>
      <c r="I66" s="16" t="str">
        <f>IF($H66="","",SUMIFS('Plan Mensual'!$I$2:$I$2000,'Plan Mensual'!$B$2:$B$2000,$D$2,'Plan Mensual'!$C$2:$C$2000,"&lt;="&amp;$A$119,'Plan Mensual'!$E$2:$E$2000,"Inversiones",'Plan Mensual'!$F$2:$F$2000,$K66,'Plan Mensual'!$G$2:$G$2000,$L66,'Plan Mensual'!$H$2:$H$2000,$H66))</f>
        <v/>
      </c>
      <c r="J66" s="16" t="str">
        <f>IF($H66="","",SUMIFS(Movimientos!$J$2:$J$2000,Movimientos!$C$2:$C$2000,"&lt;="&amp;$A$119,Movimientos!$E$2:$E$2000,$D$2,Movimientos!$F$2:$F$2000,$K66,Movimientos!$G$2:$G$2000,$L66,Movimientos!$H$2:$H$2000,$H66,Movimientos!$K$2:$K$2000,"&lt;&gt;Anulado"))</f>
        <v/>
      </c>
      <c r="K66" s="16"/>
      <c r="L66" s="16"/>
      <c r="M66" s="16" t="str">
        <f t="shared" si="5"/>
        <v/>
      </c>
      <c r="N66" s="7"/>
      <c r="O66" s="16"/>
      <c r="P66" s="17" t="str">
        <f>IF($O66="","",SUMIFS('Plan Mensual'!$I$2:$I$2000,'Plan Mensual'!$B$2:$B$2000,$D$2,'Plan Mensual'!$C$2:$C$2000,$A$119,'Plan Mensual'!$E$2:$E$2000,"Deudas",'Plan Mensual'!$F$2:$F$2000,$R66,'Plan Mensual'!$G$2:$G$2000,$S66,'Plan Mensual'!$H$2:$H$2000,$O66))</f>
        <v/>
      </c>
      <c r="Q66" s="17" t="str">
        <f>IF($O66="","",SUMIFS(Movimientos!$J$2:$J$2000,Movimientos!$C$2:$C$2000,$A$119,Movimientos!$E$2:$E$2000,$D$2,Movimientos!$F$2:$F$2000,$R66,Movimientos!$G$2:$G$2000,$S66,Movimientos!$H$2:$H$2000,$O66,Movimientos!$K$2:$K$2000,"&lt;&gt;Anulado"))</f>
        <v/>
      </c>
      <c r="R66" s="16"/>
      <c r="S66" s="16"/>
      <c r="T66" s="16" t="str">
        <f t="shared" si="6"/>
        <v/>
      </c>
      <c r="U66" s="7"/>
      <c r="V66" s="7"/>
      <c r="W66" s="7"/>
      <c r="X66" s="7"/>
    </row>
    <row r="67" spans="1:24" ht="12.75" customHeight="1" x14ac:dyDescent="0.2">
      <c r="A67" s="7"/>
      <c r="B67" s="7"/>
      <c r="C67" s="7"/>
      <c r="D67" s="7"/>
      <c r="E67" s="7"/>
      <c r="F67" s="7"/>
      <c r="G67" s="7"/>
      <c r="H67" s="16"/>
      <c r="I67" s="16" t="str">
        <f>IF($H67="","",SUMIFS('Plan Mensual'!$I$2:$I$2000,'Plan Mensual'!$B$2:$B$2000,$D$2,'Plan Mensual'!$C$2:$C$2000,"&lt;="&amp;$A$119,'Plan Mensual'!$E$2:$E$2000,"Inversiones",'Plan Mensual'!$F$2:$F$2000,$K67,'Plan Mensual'!$G$2:$G$2000,$L67,'Plan Mensual'!$H$2:$H$2000,$H67))</f>
        <v/>
      </c>
      <c r="J67" s="16" t="str">
        <f>IF($H67="","",SUMIFS(Movimientos!$J$2:$J$2000,Movimientos!$C$2:$C$2000,"&lt;="&amp;$A$119,Movimientos!$E$2:$E$2000,$D$2,Movimientos!$F$2:$F$2000,$K67,Movimientos!$G$2:$G$2000,$L67,Movimientos!$H$2:$H$2000,$H67,Movimientos!$K$2:$K$2000,"&lt;&gt;Anulado"))</f>
        <v/>
      </c>
      <c r="K67" s="16"/>
      <c r="L67" s="16"/>
      <c r="M67" s="16" t="str">
        <f t="shared" si="5"/>
        <v/>
      </c>
      <c r="N67" s="7"/>
      <c r="O67" s="16"/>
      <c r="P67" s="17" t="str">
        <f>IF($O67="","",SUMIFS('Plan Mensual'!$I$2:$I$2000,'Plan Mensual'!$B$2:$B$2000,$D$2,'Plan Mensual'!$C$2:$C$2000,$A$119,'Plan Mensual'!$E$2:$E$2000,"Deudas",'Plan Mensual'!$F$2:$F$2000,$R67,'Plan Mensual'!$G$2:$G$2000,$S67,'Plan Mensual'!$H$2:$H$2000,$O67))</f>
        <v/>
      </c>
      <c r="Q67" s="17" t="str">
        <f>IF($O67="","",SUMIFS(Movimientos!$J$2:$J$2000,Movimientos!$C$2:$C$2000,$A$119,Movimientos!$E$2:$E$2000,$D$2,Movimientos!$F$2:$F$2000,$R67,Movimientos!$G$2:$G$2000,$S67,Movimientos!$H$2:$H$2000,$O67,Movimientos!$K$2:$K$2000,"&lt;&gt;Anulado"))</f>
        <v/>
      </c>
      <c r="R67" s="16"/>
      <c r="S67" s="16"/>
      <c r="T67" s="16" t="str">
        <f t="shared" si="6"/>
        <v/>
      </c>
      <c r="U67" s="7"/>
      <c r="V67" s="7"/>
      <c r="W67" s="7"/>
      <c r="X67" s="7"/>
    </row>
    <row r="68" spans="1:24" ht="12.75" customHeight="1" x14ac:dyDescent="0.2">
      <c r="A68" s="7"/>
      <c r="B68" s="7"/>
      <c r="C68" s="7"/>
      <c r="D68" s="7"/>
      <c r="E68" s="7"/>
      <c r="F68" s="7"/>
      <c r="G68" s="7"/>
      <c r="H68" s="16"/>
      <c r="I68" s="16" t="str">
        <f>IF($H68="","",SUMIFS('Plan Mensual'!$I$2:$I$2000,'Plan Mensual'!$B$2:$B$2000,$D$2,'Plan Mensual'!$C$2:$C$2000,"&lt;="&amp;$A$119,'Plan Mensual'!$E$2:$E$2000,"Inversiones",'Plan Mensual'!$F$2:$F$2000,$K68,'Plan Mensual'!$G$2:$G$2000,$L68,'Plan Mensual'!$H$2:$H$2000,$H68))</f>
        <v/>
      </c>
      <c r="J68" s="16" t="str">
        <f>IF($H68="","",SUMIFS(Movimientos!$J$2:$J$2000,Movimientos!$C$2:$C$2000,"&lt;="&amp;$A$119,Movimientos!$E$2:$E$2000,$D$2,Movimientos!$F$2:$F$2000,$K68,Movimientos!$G$2:$G$2000,$L68,Movimientos!$H$2:$H$2000,$H68,Movimientos!$K$2:$K$2000,"&lt;&gt;Anulado"))</f>
        <v/>
      </c>
      <c r="K68" s="16"/>
      <c r="L68" s="16"/>
      <c r="M68" s="16" t="str">
        <f t="shared" si="5"/>
        <v/>
      </c>
      <c r="N68" s="7"/>
      <c r="O68" s="16"/>
      <c r="P68" s="17" t="str">
        <f>IF($O68="","",SUMIFS('Plan Mensual'!$I$2:$I$2000,'Plan Mensual'!$B$2:$B$2000,$D$2,'Plan Mensual'!$C$2:$C$2000,$A$119,'Plan Mensual'!$E$2:$E$2000,"Deudas",'Plan Mensual'!$F$2:$F$2000,$R68,'Plan Mensual'!$G$2:$G$2000,$S68,'Plan Mensual'!$H$2:$H$2000,$O68))</f>
        <v/>
      </c>
      <c r="Q68" s="17" t="str">
        <f>IF($O68="","",SUMIFS(Movimientos!$J$2:$J$2000,Movimientos!$C$2:$C$2000,$A$119,Movimientos!$E$2:$E$2000,$D$2,Movimientos!$F$2:$F$2000,$R68,Movimientos!$G$2:$G$2000,$S68,Movimientos!$H$2:$H$2000,$O68,Movimientos!$K$2:$K$2000,"&lt;&gt;Anulado"))</f>
        <v/>
      </c>
      <c r="R68" s="16"/>
      <c r="S68" s="16"/>
      <c r="T68" s="16" t="str">
        <f t="shared" si="6"/>
        <v/>
      </c>
      <c r="U68" s="7"/>
      <c r="V68" s="7"/>
      <c r="W68" s="7"/>
      <c r="X68" s="7"/>
    </row>
    <row r="69" spans="1:24" ht="15.75" customHeight="1" x14ac:dyDescent="0.25">
      <c r="A69" s="82" t="s">
        <v>97</v>
      </c>
      <c r="B69" s="82"/>
      <c r="C69" s="82"/>
      <c r="D69" s="82"/>
      <c r="E69" s="82"/>
      <c r="F69" s="82"/>
      <c r="G69" s="7"/>
      <c r="H69" s="16"/>
      <c r="I69" s="16" t="str">
        <f>IF($H69="","",SUMIFS('Plan Mensual'!$I$2:$I$2000,'Plan Mensual'!$B$2:$B$2000,$D$2,'Plan Mensual'!$C$2:$C$2000,"&lt;="&amp;$A$119,'Plan Mensual'!$E$2:$E$2000,"Inversiones",'Plan Mensual'!$F$2:$F$2000,$K69,'Plan Mensual'!$G$2:$G$2000,$L69,'Plan Mensual'!$H$2:$H$2000,$H69))</f>
        <v/>
      </c>
      <c r="J69" s="16" t="str">
        <f>IF($H69="","",SUMIFS(Movimientos!$J$2:$J$2000,Movimientos!$C$2:$C$2000,"&lt;="&amp;$A$119,Movimientos!$E$2:$E$2000,$D$2,Movimientos!$F$2:$F$2000,$K69,Movimientos!$G$2:$G$2000,$L69,Movimientos!$H$2:$H$2000,$H69,Movimientos!$K$2:$K$2000,"&lt;&gt;Anulado"))</f>
        <v/>
      </c>
      <c r="K69" s="16"/>
      <c r="L69" s="16"/>
      <c r="M69" s="16" t="str">
        <f t="shared" si="5"/>
        <v/>
      </c>
      <c r="N69" s="7"/>
      <c r="O69" s="16"/>
      <c r="P69" s="17" t="str">
        <f>IF($O69="","",SUMIFS('Plan Mensual'!$I$2:$I$2000,'Plan Mensual'!$B$2:$B$2000,$D$2,'Plan Mensual'!$C$2:$C$2000,$A$119,'Plan Mensual'!$E$2:$E$2000,"Deudas",'Plan Mensual'!$F$2:$F$2000,$R69,'Plan Mensual'!$G$2:$G$2000,$S69,'Plan Mensual'!$H$2:$H$2000,$O69))</f>
        <v/>
      </c>
      <c r="Q69" s="17" t="str">
        <f>IF($O69="","",SUMIFS(Movimientos!$J$2:$J$2000,Movimientos!$C$2:$C$2000,$A$119,Movimientos!$E$2:$E$2000,$D$2,Movimientos!$F$2:$F$2000,$R69,Movimientos!$G$2:$G$2000,$S69,Movimientos!$H$2:$H$2000,$O69,Movimientos!$K$2:$K$2000,"&lt;&gt;Anulado"))</f>
        <v/>
      </c>
      <c r="R69" s="16"/>
      <c r="S69" s="16"/>
      <c r="T69" s="16" t="str">
        <f t="shared" si="6"/>
        <v/>
      </c>
      <c r="U69" s="7"/>
      <c r="V69" s="7"/>
      <c r="W69" s="7"/>
      <c r="X69" s="7"/>
    </row>
    <row r="70" spans="1:24" ht="12.75" customHeight="1" x14ac:dyDescent="0.2">
      <c r="A70" s="19" t="s">
        <v>40</v>
      </c>
      <c r="B70" s="19" t="s">
        <v>41</v>
      </c>
      <c r="C70" s="19" t="s">
        <v>65</v>
      </c>
      <c r="D70" s="19" t="s">
        <v>43</v>
      </c>
      <c r="E70" s="19" t="s">
        <v>36</v>
      </c>
      <c r="F70" s="19" t="s">
        <v>73</v>
      </c>
      <c r="G70" s="7"/>
      <c r="H70" s="16"/>
      <c r="I70" s="16" t="str">
        <f>IF($H70="","",SUMIFS('Plan Mensual'!$I$2:$I$2000,'Plan Mensual'!$B$2:$B$2000,$D$2,'Plan Mensual'!$C$2:$C$2000,"&lt;="&amp;$A$119,'Plan Mensual'!$E$2:$E$2000,"Inversiones",'Plan Mensual'!$F$2:$F$2000,$K70,'Plan Mensual'!$G$2:$G$2000,$L70,'Plan Mensual'!$H$2:$H$2000,$H70))</f>
        <v/>
      </c>
      <c r="J70" s="16" t="str">
        <f>IF($H70="","",SUMIFS(Movimientos!$J$2:$J$2000,Movimientos!$C$2:$C$2000,"&lt;="&amp;$A$119,Movimientos!$E$2:$E$2000,$D$2,Movimientos!$F$2:$F$2000,$K70,Movimientos!$G$2:$G$2000,$L70,Movimientos!$H$2:$H$2000,$H70,Movimientos!$K$2:$K$2000,"&lt;&gt;Anulado"))</f>
        <v/>
      </c>
      <c r="K70" s="16"/>
      <c r="L70" s="16"/>
      <c r="M70" s="16" t="str">
        <f t="shared" si="5"/>
        <v/>
      </c>
      <c r="N70" s="7"/>
      <c r="O70" s="16"/>
      <c r="P70" s="17" t="str">
        <f>IF($O70="","",SUMIFS('Plan Mensual'!$I$2:$I$2000,'Plan Mensual'!$B$2:$B$2000,$D$2,'Plan Mensual'!$C$2:$C$2000,$A$119,'Plan Mensual'!$E$2:$E$2000,"Deudas",'Plan Mensual'!$F$2:$F$2000,$R70,'Plan Mensual'!$G$2:$G$2000,$S70,'Plan Mensual'!$H$2:$H$2000,$O70))</f>
        <v/>
      </c>
      <c r="Q70" s="17" t="str">
        <f>IF($O70="","",SUMIFS(Movimientos!$J$2:$J$2000,Movimientos!$C$2:$C$2000,$A$119,Movimientos!$E$2:$E$2000,$D$2,Movimientos!$F$2:$F$2000,$R70,Movimientos!$G$2:$G$2000,$S70,Movimientos!$H$2:$H$2000,$O70,Movimientos!$K$2:$K$2000,"&lt;&gt;Anulado"))</f>
        <v/>
      </c>
      <c r="R70" s="16"/>
      <c r="S70" s="16"/>
      <c r="T70" s="16" t="str">
        <f t="shared" si="6"/>
        <v/>
      </c>
      <c r="U70" s="7"/>
      <c r="V70" s="7"/>
      <c r="W70" s="7"/>
      <c r="X70" s="7"/>
    </row>
    <row r="71" spans="1:24" ht="12.75" customHeight="1" x14ac:dyDescent="0.2">
      <c r="A71" s="16" t="s">
        <v>98</v>
      </c>
      <c r="B71" s="17">
        <f>IF($A71="","",SUMIFS('Plan Mensual'!$I$2:$I$2000,'Plan Mensual'!$B$2:$B$2000,$D$2,'Plan Mensual'!$C$2:$C$2000,"&lt;="&amp;$A$119,'Plan Mensual'!$E$2:$E$2000,"Ahorros",'Plan Mensual'!$F$2:$F$2000,$D71,'Plan Mensual'!$G$2:$G$2000,$E71,'Plan Mensual'!$H$2:$H$2000,$A71))</f>
        <v>0</v>
      </c>
      <c r="C71" s="17">
        <f>IF($A71="","",SUMIFS(Movimientos!$J$2:$J$2000,Movimientos!$C$2:$C$2000,"&lt;="&amp;$A$119,Movimientos!$E$2:$E$2000,$D$2,Movimientos!$F$2:$F$2000,$D71,Movimientos!$G$2:$G$2000,$E71,Movimientos!$H$2:$H$2000,$A71,Movimientos!$K$2:$K$2000,"&lt;&gt;Anulado"))</f>
        <v>0</v>
      </c>
      <c r="D71" s="16" t="s">
        <v>54</v>
      </c>
      <c r="E71" s="16" t="s">
        <v>99</v>
      </c>
      <c r="F71" s="16" t="str">
        <f t="shared" ref="F71:F90" si="7">IF(A71="","",IF(B71=0,IF(C71=0,"Sin dato","Sin presupuesto"),IF(C71&gt;B71,"Excede",IF(C71=B71,"Exacto","Dentro"))))</f>
        <v>Sin dato</v>
      </c>
      <c r="G71" s="7"/>
      <c r="H71" s="16"/>
      <c r="I71" s="16" t="str">
        <f>IF($H71="","",SUMIFS('Plan Mensual'!$I$2:$I$2000,'Plan Mensual'!$B$2:$B$2000,$D$2,'Plan Mensual'!$C$2:$C$2000,"&lt;="&amp;$A$119,'Plan Mensual'!$E$2:$E$2000,"Inversiones",'Plan Mensual'!$F$2:$F$2000,$K71,'Plan Mensual'!$G$2:$G$2000,$L71,'Plan Mensual'!$H$2:$H$2000,$H71))</f>
        <v/>
      </c>
      <c r="J71" s="16" t="str">
        <f>IF($H71="","",SUMIFS(Movimientos!$J$2:$J$2000,Movimientos!$C$2:$C$2000,"&lt;="&amp;$A$119,Movimientos!$E$2:$E$2000,$D$2,Movimientos!$F$2:$F$2000,$K71,Movimientos!$G$2:$G$2000,$L71,Movimientos!$H$2:$H$2000,$H71,Movimientos!$K$2:$K$2000,"&lt;&gt;Anulado"))</f>
        <v/>
      </c>
      <c r="K71" s="16"/>
      <c r="L71" s="16"/>
      <c r="M71" s="16" t="str">
        <f t="shared" si="5"/>
        <v/>
      </c>
      <c r="N71" s="7"/>
      <c r="O71" s="16"/>
      <c r="P71" s="17" t="str">
        <f>IF($O71="","",SUMIFS('Plan Mensual'!$I$2:$I$2000,'Plan Mensual'!$B$2:$B$2000,$D$2,'Plan Mensual'!$C$2:$C$2000,$A$119,'Plan Mensual'!$E$2:$E$2000,"Deudas",'Plan Mensual'!$F$2:$F$2000,$R71,'Plan Mensual'!$G$2:$G$2000,$S71,'Plan Mensual'!$H$2:$H$2000,$O71))</f>
        <v/>
      </c>
      <c r="Q71" s="17" t="str">
        <f>IF($O71="","",SUMIFS(Movimientos!$J$2:$J$2000,Movimientos!$C$2:$C$2000,$A$119,Movimientos!$E$2:$E$2000,$D$2,Movimientos!$F$2:$F$2000,$R71,Movimientos!$G$2:$G$2000,$S71,Movimientos!$H$2:$H$2000,$O71,Movimientos!$K$2:$K$2000,"&lt;&gt;Anulado"))</f>
        <v/>
      </c>
      <c r="R71" s="16"/>
      <c r="S71" s="16"/>
      <c r="T71" s="16" t="str">
        <f t="shared" si="6"/>
        <v/>
      </c>
      <c r="U71" s="7"/>
      <c r="V71" s="7"/>
      <c r="W71" s="7"/>
      <c r="X71" s="7"/>
    </row>
    <row r="72" spans="1:24" ht="12.75" customHeight="1" x14ac:dyDescent="0.2">
      <c r="A72" s="16" t="s">
        <v>100</v>
      </c>
      <c r="B72" s="17">
        <f>IF($A72="","",SUMIFS('Plan Mensual'!$I$2:$I$2000,'Plan Mensual'!$B$2:$B$2000,$D$2,'Plan Mensual'!$C$2:$C$2000,"&lt;="&amp;$A$119,'Plan Mensual'!$E$2:$E$2000,"Ahorros",'Plan Mensual'!$F$2:$F$2000,$D72,'Plan Mensual'!$G$2:$G$2000,$E72,'Plan Mensual'!$H$2:$H$2000,$A72))</f>
        <v>0</v>
      </c>
      <c r="C72" s="17">
        <f>IF($A72="","",SUMIFS(Movimientos!$J$2:$J$2000,Movimientos!$C$2:$C$2000,"&lt;="&amp;$A$119,Movimientos!$E$2:$E$2000,$D$2,Movimientos!$F$2:$F$2000,$D72,Movimientos!$G$2:$G$2000,$E72,Movimientos!$H$2:$H$2000,$A72,Movimientos!$K$2:$K$2000,"&lt;&gt;Anulado"))</f>
        <v>0</v>
      </c>
      <c r="D72" s="16" t="s">
        <v>54</v>
      </c>
      <c r="E72" s="16" t="s">
        <v>99</v>
      </c>
      <c r="F72" s="16" t="str">
        <f t="shared" si="7"/>
        <v>Sin dato</v>
      </c>
      <c r="G72" s="7"/>
      <c r="H72" s="16"/>
      <c r="I72" s="16" t="str">
        <f>IF($H72="","",SUMIFS('Plan Mensual'!$I$2:$I$2000,'Plan Mensual'!$B$2:$B$2000,$D$2,'Plan Mensual'!$C$2:$C$2000,"&lt;="&amp;$A$119,'Plan Mensual'!$E$2:$E$2000,"Inversiones",'Plan Mensual'!$F$2:$F$2000,$K72,'Plan Mensual'!$G$2:$G$2000,$L72,'Plan Mensual'!$H$2:$H$2000,$H72))</f>
        <v/>
      </c>
      <c r="J72" s="16" t="str">
        <f>IF($H72="","",SUMIFS(Movimientos!$J$2:$J$2000,Movimientos!$C$2:$C$2000,"&lt;="&amp;$A$119,Movimientos!$E$2:$E$2000,$D$2,Movimientos!$F$2:$F$2000,$K72,Movimientos!$G$2:$G$2000,$L72,Movimientos!$H$2:$H$2000,$H72,Movimientos!$K$2:$K$2000,"&lt;&gt;Anulado"))</f>
        <v/>
      </c>
      <c r="K72" s="16"/>
      <c r="L72" s="16"/>
      <c r="M72" s="16" t="str">
        <f t="shared" si="5"/>
        <v/>
      </c>
      <c r="N72" s="7"/>
      <c r="O72" s="16"/>
      <c r="P72" s="17" t="str">
        <f>IF($O72="","",SUMIFS('Plan Mensual'!$I$2:$I$2000,'Plan Mensual'!$B$2:$B$2000,$D$2,'Plan Mensual'!$C$2:$C$2000,$A$119,'Plan Mensual'!$E$2:$E$2000,"Deudas",'Plan Mensual'!$F$2:$F$2000,$R72,'Plan Mensual'!$G$2:$G$2000,$S72,'Plan Mensual'!$H$2:$H$2000,$O72))</f>
        <v/>
      </c>
      <c r="Q72" s="17" t="str">
        <f>IF($O72="","",SUMIFS(Movimientos!$J$2:$J$2000,Movimientos!$C$2:$C$2000,$A$119,Movimientos!$E$2:$E$2000,$D$2,Movimientos!$F$2:$F$2000,$R72,Movimientos!$G$2:$G$2000,$S72,Movimientos!$H$2:$H$2000,$O72,Movimientos!$K$2:$K$2000,"&lt;&gt;Anulado"))</f>
        <v/>
      </c>
      <c r="R72" s="16"/>
      <c r="S72" s="16"/>
      <c r="T72" s="16" t="str">
        <f t="shared" si="6"/>
        <v/>
      </c>
      <c r="U72" s="7"/>
      <c r="V72" s="7"/>
      <c r="W72" s="7"/>
      <c r="X72" s="7"/>
    </row>
    <row r="73" spans="1:24" ht="12.75" customHeight="1" x14ac:dyDescent="0.2">
      <c r="A73" s="16" t="s">
        <v>101</v>
      </c>
      <c r="B73" s="17">
        <f>IF($A73="","",SUMIFS('Plan Mensual'!$I$2:$I$2000,'Plan Mensual'!$B$2:$B$2000,$D$2,'Plan Mensual'!$C$2:$C$2000,"&lt;="&amp;$A$119,'Plan Mensual'!$E$2:$E$2000,"Ahorros",'Plan Mensual'!$F$2:$F$2000,$D73,'Plan Mensual'!$G$2:$G$2000,$E73,'Plan Mensual'!$H$2:$H$2000,$A73))</f>
        <v>0</v>
      </c>
      <c r="C73" s="17">
        <f>IF($A73="","",SUMIFS(Movimientos!$J$2:$J$2000,Movimientos!$C$2:$C$2000,"&lt;="&amp;$A$119,Movimientos!$E$2:$E$2000,$D$2,Movimientos!$F$2:$F$2000,$D73,Movimientos!$G$2:$G$2000,$E73,Movimientos!$H$2:$H$2000,$A73,Movimientos!$K$2:$K$2000,"&lt;&gt;Anulado"))</f>
        <v>0</v>
      </c>
      <c r="D73" s="16" t="s">
        <v>54</v>
      </c>
      <c r="E73" s="16" t="s">
        <v>64</v>
      </c>
      <c r="F73" s="16" t="str">
        <f t="shared" si="7"/>
        <v>Sin dato</v>
      </c>
      <c r="G73" s="7"/>
      <c r="H73" s="16"/>
      <c r="I73" s="16" t="str">
        <f>IF($H73="","",SUMIFS('Plan Mensual'!$I$2:$I$2000,'Plan Mensual'!$B$2:$B$2000,$D$2,'Plan Mensual'!$C$2:$C$2000,"&lt;="&amp;$A$119,'Plan Mensual'!$E$2:$E$2000,"Inversiones",'Plan Mensual'!$F$2:$F$2000,$K73,'Plan Mensual'!$G$2:$G$2000,$L73,'Plan Mensual'!$H$2:$H$2000,$H73))</f>
        <v/>
      </c>
      <c r="J73" s="16" t="str">
        <f>IF($H73="","",SUMIFS(Movimientos!$J$2:$J$2000,Movimientos!$C$2:$C$2000,"&lt;="&amp;$A$119,Movimientos!$E$2:$E$2000,$D$2,Movimientos!$F$2:$F$2000,$K73,Movimientos!$G$2:$G$2000,$L73,Movimientos!$H$2:$H$2000,$H73,Movimientos!$K$2:$K$2000,"&lt;&gt;Anulado"))</f>
        <v/>
      </c>
      <c r="K73" s="16"/>
      <c r="L73" s="16"/>
      <c r="M73" s="16" t="str">
        <f t="shared" si="5"/>
        <v/>
      </c>
      <c r="N73" s="7"/>
      <c r="O73" s="16"/>
      <c r="P73" s="17" t="str">
        <f>IF($O73="","",SUMIFS('Plan Mensual'!$I$2:$I$2000,'Plan Mensual'!$B$2:$B$2000,$D$2,'Plan Mensual'!$C$2:$C$2000,$A$119,'Plan Mensual'!$E$2:$E$2000,"Deudas",'Plan Mensual'!$F$2:$F$2000,$R73,'Plan Mensual'!$G$2:$G$2000,$S73,'Plan Mensual'!$H$2:$H$2000,$O73))</f>
        <v/>
      </c>
      <c r="Q73" s="17" t="str">
        <f>IF($O73="","",SUMIFS(Movimientos!$J$2:$J$2000,Movimientos!$C$2:$C$2000,$A$119,Movimientos!$E$2:$E$2000,$D$2,Movimientos!$F$2:$F$2000,$R73,Movimientos!$G$2:$G$2000,$S73,Movimientos!$H$2:$H$2000,$O73,Movimientos!$K$2:$K$2000,"&lt;&gt;Anulado"))</f>
        <v/>
      </c>
      <c r="R73" s="16"/>
      <c r="S73" s="16"/>
      <c r="T73" s="16" t="str">
        <f t="shared" si="6"/>
        <v/>
      </c>
      <c r="U73" s="7"/>
      <c r="V73" s="7"/>
      <c r="W73" s="7"/>
      <c r="X73" s="7"/>
    </row>
    <row r="74" spans="1:24" ht="12.75" customHeight="1" x14ac:dyDescent="0.2">
      <c r="A74" s="16"/>
      <c r="B74" s="17" t="str">
        <f>IF($A74="","",SUMIFS('Plan Mensual'!$I$2:$I$2000,'Plan Mensual'!$B$2:$B$2000,$D$2,'Plan Mensual'!$C$2:$C$2000,"&lt;="&amp;$A$119,'Plan Mensual'!$E$2:$E$2000,"Ahorros",'Plan Mensual'!$F$2:$F$2000,$D74,'Plan Mensual'!$G$2:$G$2000,$E74,'Plan Mensual'!$H$2:$H$2000,$A74))</f>
        <v/>
      </c>
      <c r="C74" s="17" t="str">
        <f>IF($A74="","",SUMIFS(Movimientos!$J$2:$J$2000,Movimientos!$C$2:$C$2000,"&lt;="&amp;$A$119,Movimientos!$E$2:$E$2000,$D$2,Movimientos!$F$2:$F$2000,$D74,Movimientos!$G$2:$G$2000,$E74,Movimientos!$H$2:$H$2000,$A74,Movimientos!$K$2:$K$2000,"&lt;&gt;Anulado"))</f>
        <v/>
      </c>
      <c r="D74" s="16"/>
      <c r="E74" s="16"/>
      <c r="F74" s="16" t="str">
        <f t="shared" si="7"/>
        <v/>
      </c>
      <c r="G74" s="7"/>
      <c r="H74" s="16"/>
      <c r="I74" s="16" t="str">
        <f>IF($H74="","",SUMIFS('Plan Mensual'!$I$2:$I$2000,'Plan Mensual'!$B$2:$B$2000,$D$2,'Plan Mensual'!$C$2:$C$2000,"&lt;="&amp;$A$119,'Plan Mensual'!$E$2:$E$2000,"Inversiones",'Plan Mensual'!$F$2:$F$2000,$K74,'Plan Mensual'!$G$2:$G$2000,$L74,'Plan Mensual'!$H$2:$H$2000,$H74))</f>
        <v/>
      </c>
      <c r="J74" s="16" t="str">
        <f>IF($H74="","",SUMIFS(Movimientos!$J$2:$J$2000,Movimientos!$C$2:$C$2000,"&lt;="&amp;$A$119,Movimientos!$E$2:$E$2000,$D$2,Movimientos!$F$2:$F$2000,$K74,Movimientos!$G$2:$G$2000,$L74,Movimientos!$H$2:$H$2000,$H74,Movimientos!$K$2:$K$2000,"&lt;&gt;Anulado"))</f>
        <v/>
      </c>
      <c r="K74" s="16"/>
      <c r="L74" s="16"/>
      <c r="M74" s="16" t="str">
        <f t="shared" si="5"/>
        <v/>
      </c>
      <c r="N74" s="7"/>
      <c r="O74" s="16"/>
      <c r="P74" s="17" t="str">
        <f>IF($O74="","",SUMIFS('Plan Mensual'!$I$2:$I$2000,'Plan Mensual'!$B$2:$B$2000,$D$2,'Plan Mensual'!$C$2:$C$2000,$A$119,'Plan Mensual'!$E$2:$E$2000,"Deudas",'Plan Mensual'!$F$2:$F$2000,$R74,'Plan Mensual'!$G$2:$G$2000,$S74,'Plan Mensual'!$H$2:$H$2000,$O74))</f>
        <v/>
      </c>
      <c r="Q74" s="17" t="str">
        <f>IF($O74="","",SUMIFS(Movimientos!$J$2:$J$2000,Movimientos!$C$2:$C$2000,$A$119,Movimientos!$E$2:$E$2000,$D$2,Movimientos!$F$2:$F$2000,$R74,Movimientos!$G$2:$G$2000,$S74,Movimientos!$H$2:$H$2000,$O74,Movimientos!$K$2:$K$2000,"&lt;&gt;Anulado"))</f>
        <v/>
      </c>
      <c r="R74" s="16"/>
      <c r="S74" s="16"/>
      <c r="T74" s="16" t="str">
        <f t="shared" si="6"/>
        <v/>
      </c>
      <c r="U74" s="7"/>
      <c r="V74" s="7"/>
      <c r="W74" s="7"/>
      <c r="X74" s="7"/>
    </row>
    <row r="75" spans="1:24" ht="12.75" customHeight="1" x14ac:dyDescent="0.2">
      <c r="A75" s="16"/>
      <c r="B75" s="17" t="str">
        <f>IF($A75="","",SUMIFS('Plan Mensual'!$I$2:$I$2000,'Plan Mensual'!$B$2:$B$2000,$D$2,'Plan Mensual'!$C$2:$C$2000,"&lt;="&amp;$A$119,'Plan Mensual'!$E$2:$E$2000,"Ahorros",'Plan Mensual'!$F$2:$F$2000,$D75,'Plan Mensual'!$G$2:$G$2000,$E75,'Plan Mensual'!$H$2:$H$2000,$A75))</f>
        <v/>
      </c>
      <c r="C75" s="17" t="str">
        <f>IF($A75="","",SUMIFS(Movimientos!$J$2:$J$2000,Movimientos!$C$2:$C$2000,"&lt;="&amp;$A$119,Movimientos!$E$2:$E$2000,$D$2,Movimientos!$F$2:$F$2000,$D75,Movimientos!$G$2:$G$2000,$E75,Movimientos!$H$2:$H$2000,$A75,Movimientos!$K$2:$K$2000,"&lt;&gt;Anulado"))</f>
        <v/>
      </c>
      <c r="D75" s="16"/>
      <c r="E75" s="16"/>
      <c r="F75" s="16" t="str">
        <f t="shared" si="7"/>
        <v/>
      </c>
      <c r="G75" s="7"/>
      <c r="H75" s="16"/>
      <c r="I75" s="16" t="str">
        <f>IF($H75="","",SUMIFS('Plan Mensual'!$I$2:$I$2000,'Plan Mensual'!$B$2:$B$2000,$D$2,'Plan Mensual'!$C$2:$C$2000,"&lt;="&amp;$A$119,'Plan Mensual'!$E$2:$E$2000,"Inversiones",'Plan Mensual'!$F$2:$F$2000,$K75,'Plan Mensual'!$G$2:$G$2000,$L75,'Plan Mensual'!$H$2:$H$2000,$H75))</f>
        <v/>
      </c>
      <c r="J75" s="16" t="str">
        <f>IF($H75="","",SUMIFS(Movimientos!$J$2:$J$2000,Movimientos!$C$2:$C$2000,"&lt;="&amp;$A$119,Movimientos!$E$2:$E$2000,$D$2,Movimientos!$F$2:$F$2000,$K75,Movimientos!$G$2:$G$2000,$L75,Movimientos!$H$2:$H$2000,$H75,Movimientos!$K$2:$K$2000,"&lt;&gt;Anulado"))</f>
        <v/>
      </c>
      <c r="K75" s="16"/>
      <c r="L75" s="16"/>
      <c r="M75" s="16" t="str">
        <f t="shared" si="5"/>
        <v/>
      </c>
      <c r="N75" s="7"/>
      <c r="O75" s="16"/>
      <c r="P75" s="17" t="str">
        <f>IF($O75="","",SUMIFS('Plan Mensual'!$I$2:$I$2000,'Plan Mensual'!$B$2:$B$2000,$D$2,'Plan Mensual'!$C$2:$C$2000,$A$119,'Plan Mensual'!$E$2:$E$2000,"Deudas",'Plan Mensual'!$F$2:$F$2000,$R75,'Plan Mensual'!$G$2:$G$2000,$S75,'Plan Mensual'!$H$2:$H$2000,$O75))</f>
        <v/>
      </c>
      <c r="Q75" s="17" t="str">
        <f>IF($O75="","",SUMIFS(Movimientos!$J$2:$J$2000,Movimientos!$C$2:$C$2000,$A$119,Movimientos!$E$2:$E$2000,$D$2,Movimientos!$F$2:$F$2000,$R75,Movimientos!$G$2:$G$2000,$S75,Movimientos!$H$2:$H$2000,$O75,Movimientos!$K$2:$K$2000,"&lt;&gt;Anulado"))</f>
        <v/>
      </c>
      <c r="R75" s="16"/>
      <c r="S75" s="16"/>
      <c r="T75" s="16" t="str">
        <f t="shared" si="6"/>
        <v/>
      </c>
      <c r="U75" s="7"/>
      <c r="V75" s="7"/>
      <c r="W75" s="7"/>
      <c r="X75" s="7"/>
    </row>
    <row r="76" spans="1:24" ht="12.75" customHeight="1" x14ac:dyDescent="0.2">
      <c r="A76" s="16"/>
      <c r="B76" s="17" t="str">
        <f>IF($A76="","",SUMIFS('Plan Mensual'!$I$2:$I$2000,'Plan Mensual'!$B$2:$B$2000,$D$2,'Plan Mensual'!$C$2:$C$2000,"&lt;="&amp;$A$119,'Plan Mensual'!$E$2:$E$2000,"Ahorros",'Plan Mensual'!$F$2:$F$2000,$D76,'Plan Mensual'!$G$2:$G$2000,$E76,'Plan Mensual'!$H$2:$H$2000,$A76))</f>
        <v/>
      </c>
      <c r="C76" s="17" t="str">
        <f>IF($A76="","",SUMIFS(Movimientos!$J$2:$J$2000,Movimientos!$C$2:$C$2000,"&lt;="&amp;$A$119,Movimientos!$E$2:$E$2000,$D$2,Movimientos!$F$2:$F$2000,$D76,Movimientos!$G$2:$G$2000,$E76,Movimientos!$H$2:$H$2000,$A76,Movimientos!$K$2:$K$2000,"&lt;&gt;Anulado"))</f>
        <v/>
      </c>
      <c r="D76" s="16"/>
      <c r="E76" s="16"/>
      <c r="F76" s="16" t="str">
        <f t="shared" si="7"/>
        <v/>
      </c>
      <c r="G76" s="7"/>
      <c r="H76" s="16"/>
      <c r="I76" s="16" t="str">
        <f>IF($H76="","",SUMIFS('Plan Mensual'!$I$2:$I$2000,'Plan Mensual'!$B$2:$B$2000,$D$2,'Plan Mensual'!$C$2:$C$2000,"&lt;="&amp;$A$119,'Plan Mensual'!$E$2:$E$2000,"Inversiones",'Plan Mensual'!$F$2:$F$2000,$K76,'Plan Mensual'!$G$2:$G$2000,$L76,'Plan Mensual'!$H$2:$H$2000,$H76))</f>
        <v/>
      </c>
      <c r="J76" s="16" t="str">
        <f>IF($H76="","",SUMIFS(Movimientos!$J$2:$J$2000,Movimientos!$C$2:$C$2000,"&lt;="&amp;$A$119,Movimientos!$E$2:$E$2000,$D$2,Movimientos!$F$2:$F$2000,$K76,Movimientos!$G$2:$G$2000,$L76,Movimientos!$H$2:$H$2000,$H76,Movimientos!$K$2:$K$2000,"&lt;&gt;Anulado"))</f>
        <v/>
      </c>
      <c r="K76" s="16"/>
      <c r="L76" s="16"/>
      <c r="M76" s="16" t="str">
        <f t="shared" si="5"/>
        <v/>
      </c>
      <c r="N76" s="7"/>
      <c r="O76" s="16"/>
      <c r="P76" s="17" t="str">
        <f>IF($O76="","",SUMIFS('Plan Mensual'!$I$2:$I$2000,'Plan Mensual'!$B$2:$B$2000,$D$2,'Plan Mensual'!$C$2:$C$2000,$A$119,'Plan Mensual'!$E$2:$E$2000,"Deudas",'Plan Mensual'!$F$2:$F$2000,$R76,'Plan Mensual'!$G$2:$G$2000,$S76,'Plan Mensual'!$H$2:$H$2000,$O76))</f>
        <v/>
      </c>
      <c r="Q76" s="17" t="str">
        <f>IF($O76="","",SUMIFS(Movimientos!$J$2:$J$2000,Movimientos!$C$2:$C$2000,$A$119,Movimientos!$E$2:$E$2000,$D$2,Movimientos!$F$2:$F$2000,$R76,Movimientos!$G$2:$G$2000,$S76,Movimientos!$H$2:$H$2000,$O76,Movimientos!$K$2:$K$2000,"&lt;&gt;Anulado"))</f>
        <v/>
      </c>
      <c r="R76" s="16"/>
      <c r="S76" s="16"/>
      <c r="T76" s="16" t="str">
        <f t="shared" si="6"/>
        <v/>
      </c>
      <c r="U76" s="7"/>
      <c r="V76" s="7"/>
      <c r="W76" s="7"/>
      <c r="X76" s="7"/>
    </row>
    <row r="77" spans="1:24" ht="12.75" customHeight="1" x14ac:dyDescent="0.2">
      <c r="A77" s="16"/>
      <c r="B77" s="17" t="str">
        <f>IF($A77="","",SUMIFS('Plan Mensual'!$I$2:$I$2000,'Plan Mensual'!$B$2:$B$2000,$D$2,'Plan Mensual'!$C$2:$C$2000,"&lt;="&amp;$A$119,'Plan Mensual'!$E$2:$E$2000,"Ahorros",'Plan Mensual'!$F$2:$F$2000,$D77,'Plan Mensual'!$G$2:$G$2000,$E77,'Plan Mensual'!$H$2:$H$2000,$A77))</f>
        <v/>
      </c>
      <c r="C77" s="17" t="str">
        <f>IF($A77="","",SUMIFS(Movimientos!$J$2:$J$2000,Movimientos!$C$2:$C$2000,"&lt;="&amp;$A$119,Movimientos!$E$2:$E$2000,$D$2,Movimientos!$F$2:$F$2000,$D77,Movimientos!$G$2:$G$2000,$E77,Movimientos!$H$2:$H$2000,$A77,Movimientos!$K$2:$K$2000,"&lt;&gt;Anulado"))</f>
        <v/>
      </c>
      <c r="D77" s="16"/>
      <c r="E77" s="16"/>
      <c r="F77" s="16" t="str">
        <f t="shared" si="7"/>
        <v/>
      </c>
      <c r="G77" s="7"/>
      <c r="H77" s="16"/>
      <c r="I77" s="16" t="str">
        <f>IF($H77="","",SUMIFS('Plan Mensual'!$I$2:$I$2000,'Plan Mensual'!$B$2:$B$2000,$D$2,'Plan Mensual'!$C$2:$C$2000,"&lt;="&amp;$A$119,'Plan Mensual'!$E$2:$E$2000,"Inversiones",'Plan Mensual'!$F$2:$F$2000,$K77,'Plan Mensual'!$G$2:$G$2000,$L77,'Plan Mensual'!$H$2:$H$2000,$H77))</f>
        <v/>
      </c>
      <c r="J77" s="16" t="str">
        <f>IF($H77="","",SUMIFS(Movimientos!$J$2:$J$2000,Movimientos!$C$2:$C$2000,"&lt;="&amp;$A$119,Movimientos!$E$2:$E$2000,$D$2,Movimientos!$F$2:$F$2000,$K77,Movimientos!$G$2:$G$2000,$L77,Movimientos!$H$2:$H$2000,$H77,Movimientos!$K$2:$K$2000,"&lt;&gt;Anulado"))</f>
        <v/>
      </c>
      <c r="K77" s="16"/>
      <c r="L77" s="16"/>
      <c r="M77" s="16" t="str">
        <f t="shared" si="5"/>
        <v/>
      </c>
      <c r="N77" s="7"/>
      <c r="O77" s="16"/>
      <c r="P77" s="17" t="str">
        <f>IF($O77="","",SUMIFS('Plan Mensual'!$I$2:$I$2000,'Plan Mensual'!$B$2:$B$2000,$D$2,'Plan Mensual'!$C$2:$C$2000,$A$119,'Plan Mensual'!$E$2:$E$2000,"Deudas",'Plan Mensual'!$F$2:$F$2000,$R77,'Plan Mensual'!$G$2:$G$2000,$S77,'Plan Mensual'!$H$2:$H$2000,$O77))</f>
        <v/>
      </c>
      <c r="Q77" s="17" t="str">
        <f>IF($O77="","",SUMIFS(Movimientos!$J$2:$J$2000,Movimientos!$C$2:$C$2000,$A$119,Movimientos!$E$2:$E$2000,$D$2,Movimientos!$F$2:$F$2000,$R77,Movimientos!$G$2:$G$2000,$S77,Movimientos!$H$2:$H$2000,$O77,Movimientos!$K$2:$K$2000,"&lt;&gt;Anulado"))</f>
        <v/>
      </c>
      <c r="R77" s="16"/>
      <c r="S77" s="16"/>
      <c r="T77" s="16" t="str">
        <f t="shared" si="6"/>
        <v/>
      </c>
      <c r="U77" s="7"/>
      <c r="V77" s="7"/>
      <c r="W77" s="7"/>
      <c r="X77" s="7"/>
    </row>
    <row r="78" spans="1:24" ht="12.75" customHeight="1" x14ac:dyDescent="0.2">
      <c r="A78" s="16"/>
      <c r="B78" s="17" t="str">
        <f>IF($A78="","",SUMIFS('Plan Mensual'!$I$2:$I$2000,'Plan Mensual'!$B$2:$B$2000,$D$2,'Plan Mensual'!$C$2:$C$2000,"&lt;="&amp;$A$119,'Plan Mensual'!$E$2:$E$2000,"Ahorros",'Plan Mensual'!$F$2:$F$2000,$D78,'Plan Mensual'!$G$2:$G$2000,$E78,'Plan Mensual'!$H$2:$H$2000,$A78))</f>
        <v/>
      </c>
      <c r="C78" s="17" t="str">
        <f>IF($A78="","",SUMIFS(Movimientos!$J$2:$J$2000,Movimientos!$C$2:$C$2000,"&lt;="&amp;$A$119,Movimientos!$E$2:$E$2000,$D$2,Movimientos!$F$2:$F$2000,$D78,Movimientos!$G$2:$G$2000,$E78,Movimientos!$H$2:$H$2000,$A78,Movimientos!$K$2:$K$2000,"&lt;&gt;Anulado"))</f>
        <v/>
      </c>
      <c r="D78" s="16"/>
      <c r="E78" s="16"/>
      <c r="F78" s="16" t="str">
        <f t="shared" si="7"/>
        <v/>
      </c>
      <c r="G78" s="7"/>
      <c r="H78" s="16"/>
      <c r="I78" s="16" t="str">
        <f>IF($H78="","",SUMIFS('Plan Mensual'!$I$2:$I$2000,'Plan Mensual'!$B$2:$B$2000,$D$2,'Plan Mensual'!$C$2:$C$2000,"&lt;="&amp;$A$119,'Plan Mensual'!$E$2:$E$2000,"Inversiones",'Plan Mensual'!$F$2:$F$2000,$K78,'Plan Mensual'!$G$2:$G$2000,$L78,'Plan Mensual'!$H$2:$H$2000,$H78))</f>
        <v/>
      </c>
      <c r="J78" s="16" t="str">
        <f>IF($H78="","",SUMIFS(Movimientos!$J$2:$J$2000,Movimientos!$C$2:$C$2000,"&lt;="&amp;$A$119,Movimientos!$E$2:$E$2000,$D$2,Movimientos!$F$2:$F$2000,$K78,Movimientos!$G$2:$G$2000,$L78,Movimientos!$H$2:$H$2000,$H78,Movimientos!$K$2:$K$2000,"&lt;&gt;Anulado"))</f>
        <v/>
      </c>
      <c r="K78" s="16"/>
      <c r="L78" s="16"/>
      <c r="M78" s="16" t="str">
        <f t="shared" si="5"/>
        <v/>
      </c>
      <c r="N78" s="7"/>
      <c r="O78" s="16"/>
      <c r="P78" s="17" t="str">
        <f>IF($O78="","",SUMIFS('Plan Mensual'!$I$2:$I$2000,'Plan Mensual'!$B$2:$B$2000,$D$2,'Plan Mensual'!$C$2:$C$2000,$A$119,'Plan Mensual'!$E$2:$E$2000,"Deudas",'Plan Mensual'!$F$2:$F$2000,$R78,'Plan Mensual'!$G$2:$G$2000,$S78,'Plan Mensual'!$H$2:$H$2000,$O78))</f>
        <v/>
      </c>
      <c r="Q78" s="17" t="str">
        <f>IF($O78="","",SUMIFS(Movimientos!$J$2:$J$2000,Movimientos!$C$2:$C$2000,$A$119,Movimientos!$E$2:$E$2000,$D$2,Movimientos!$F$2:$F$2000,$R78,Movimientos!$G$2:$G$2000,$S78,Movimientos!$H$2:$H$2000,$O78,Movimientos!$K$2:$K$2000,"&lt;&gt;Anulado"))</f>
        <v/>
      </c>
      <c r="R78" s="16"/>
      <c r="S78" s="16"/>
      <c r="T78" s="16" t="str">
        <f t="shared" si="6"/>
        <v/>
      </c>
      <c r="U78" s="7"/>
      <c r="V78" s="7"/>
      <c r="W78" s="7"/>
      <c r="X78" s="7"/>
    </row>
    <row r="79" spans="1:24" ht="12.75" customHeight="1" x14ac:dyDescent="0.2">
      <c r="A79" s="16"/>
      <c r="B79" s="17" t="str">
        <f>IF($A79="","",SUMIFS('Plan Mensual'!$I$2:$I$2000,'Plan Mensual'!$B$2:$B$2000,$D$2,'Plan Mensual'!$C$2:$C$2000,"&lt;="&amp;$A$119,'Plan Mensual'!$E$2:$E$2000,"Ahorros",'Plan Mensual'!$F$2:$F$2000,$D79,'Plan Mensual'!$G$2:$G$2000,$E79,'Plan Mensual'!$H$2:$H$2000,$A79))</f>
        <v/>
      </c>
      <c r="C79" s="17" t="str">
        <f>IF($A79="","",SUMIFS(Movimientos!$J$2:$J$2000,Movimientos!$C$2:$C$2000,"&lt;="&amp;$A$119,Movimientos!$E$2:$E$2000,$D$2,Movimientos!$F$2:$F$2000,$D79,Movimientos!$G$2:$G$2000,$E79,Movimientos!$H$2:$H$2000,$A79,Movimientos!$K$2:$K$2000,"&lt;&gt;Anulado"))</f>
        <v/>
      </c>
      <c r="D79" s="16"/>
      <c r="E79" s="16"/>
      <c r="F79" s="16" t="str">
        <f t="shared" si="7"/>
        <v/>
      </c>
      <c r="G79" s="7"/>
      <c r="H79" s="16"/>
      <c r="I79" s="16" t="str">
        <f>IF($H79="","",SUMIFS('Plan Mensual'!$I$2:$I$2000,'Plan Mensual'!$B$2:$B$2000,$D$2,'Plan Mensual'!$C$2:$C$2000,"&lt;="&amp;$A$119,'Plan Mensual'!$E$2:$E$2000,"Inversiones",'Plan Mensual'!$F$2:$F$2000,$K79,'Plan Mensual'!$G$2:$G$2000,$L79,'Plan Mensual'!$H$2:$H$2000,$H79))</f>
        <v/>
      </c>
      <c r="J79" s="16" t="str">
        <f>IF($H79="","",SUMIFS(Movimientos!$J$2:$J$2000,Movimientos!$C$2:$C$2000,"&lt;="&amp;$A$119,Movimientos!$E$2:$E$2000,$D$2,Movimientos!$F$2:$F$2000,$K79,Movimientos!$G$2:$G$2000,$L79,Movimientos!$H$2:$H$2000,$H79,Movimientos!$K$2:$K$2000,"&lt;&gt;Anulado"))</f>
        <v/>
      </c>
      <c r="K79" s="16"/>
      <c r="L79" s="16"/>
      <c r="M79" s="16" t="str">
        <f t="shared" si="5"/>
        <v/>
      </c>
      <c r="N79" s="7"/>
      <c r="O79" s="16"/>
      <c r="P79" s="17" t="str">
        <f>IF($O79="","",SUMIFS('Plan Mensual'!$I$2:$I$2000,'Plan Mensual'!$B$2:$B$2000,$D$2,'Plan Mensual'!$C$2:$C$2000,$A$119,'Plan Mensual'!$E$2:$E$2000,"Deudas",'Plan Mensual'!$F$2:$F$2000,$R79,'Plan Mensual'!$G$2:$G$2000,$S79,'Plan Mensual'!$H$2:$H$2000,$O79))</f>
        <v/>
      </c>
      <c r="Q79" s="17" t="str">
        <f>IF($O79="","",SUMIFS(Movimientos!$J$2:$J$2000,Movimientos!$C$2:$C$2000,$A$119,Movimientos!$E$2:$E$2000,$D$2,Movimientos!$F$2:$F$2000,$R79,Movimientos!$G$2:$G$2000,$S79,Movimientos!$H$2:$H$2000,$O79,Movimientos!$K$2:$K$2000,"&lt;&gt;Anulado"))</f>
        <v/>
      </c>
      <c r="R79" s="16"/>
      <c r="S79" s="16"/>
      <c r="T79" s="16" t="str">
        <f t="shared" si="6"/>
        <v/>
      </c>
      <c r="U79" s="7"/>
      <c r="V79" s="7"/>
      <c r="W79" s="7"/>
      <c r="X79" s="7"/>
    </row>
    <row r="80" spans="1:24" ht="12.75" customHeight="1" x14ac:dyDescent="0.2">
      <c r="A80" s="16"/>
      <c r="B80" s="17" t="str">
        <f>IF($A80="","",SUMIFS('Plan Mensual'!$I$2:$I$2000,'Plan Mensual'!$B$2:$B$2000,$D$2,'Plan Mensual'!$C$2:$C$2000,"&lt;="&amp;$A$119,'Plan Mensual'!$E$2:$E$2000,"Ahorros",'Plan Mensual'!$F$2:$F$2000,$D80,'Plan Mensual'!$G$2:$G$2000,$E80,'Plan Mensual'!$H$2:$H$2000,$A80))</f>
        <v/>
      </c>
      <c r="C80" s="17" t="str">
        <f>IF($A80="","",SUMIFS(Movimientos!$J$2:$J$2000,Movimientos!$C$2:$C$2000,"&lt;="&amp;$A$119,Movimientos!$E$2:$E$2000,$D$2,Movimientos!$F$2:$F$2000,$D80,Movimientos!$G$2:$G$2000,$E80,Movimientos!$H$2:$H$2000,$A80,Movimientos!$K$2:$K$2000,"&lt;&gt;Anulado"))</f>
        <v/>
      </c>
      <c r="D80" s="16"/>
      <c r="E80" s="16"/>
      <c r="F80" s="16" t="str">
        <f t="shared" si="7"/>
        <v/>
      </c>
      <c r="G80" s="7"/>
      <c r="H80" s="16"/>
      <c r="I80" s="16" t="str">
        <f>IF($H80="","",SUMIFS('Plan Mensual'!$I$2:$I$2000,'Plan Mensual'!$B$2:$B$2000,$D$2,'Plan Mensual'!$C$2:$C$2000,"&lt;="&amp;$A$119,'Plan Mensual'!$E$2:$E$2000,"Inversiones",'Plan Mensual'!$F$2:$F$2000,$K80,'Plan Mensual'!$G$2:$G$2000,$L80,'Plan Mensual'!$H$2:$H$2000,$H80))</f>
        <v/>
      </c>
      <c r="J80" s="16" t="str">
        <f>IF($H80="","",SUMIFS(Movimientos!$J$2:$J$2000,Movimientos!$C$2:$C$2000,"&lt;="&amp;$A$119,Movimientos!$E$2:$E$2000,$D$2,Movimientos!$F$2:$F$2000,$K80,Movimientos!$G$2:$G$2000,$L80,Movimientos!$H$2:$H$2000,$H80,Movimientos!$K$2:$K$2000,"&lt;&gt;Anulado"))</f>
        <v/>
      </c>
      <c r="K80" s="16"/>
      <c r="L80" s="16"/>
      <c r="M80" s="16" t="str">
        <f t="shared" si="5"/>
        <v/>
      </c>
      <c r="N80" s="7"/>
      <c r="O80" s="16"/>
      <c r="P80" s="17" t="str">
        <f>IF($O80="","",SUMIFS('Plan Mensual'!$I$2:$I$2000,'Plan Mensual'!$B$2:$B$2000,$D$2,'Plan Mensual'!$C$2:$C$2000,$A$119,'Plan Mensual'!$E$2:$E$2000,"Deudas",'Plan Mensual'!$F$2:$F$2000,$R80,'Plan Mensual'!$G$2:$G$2000,$S80,'Plan Mensual'!$H$2:$H$2000,$O80))</f>
        <v/>
      </c>
      <c r="Q80" s="17" t="str">
        <f>IF($O80="","",SUMIFS(Movimientos!$J$2:$J$2000,Movimientos!$C$2:$C$2000,$A$119,Movimientos!$E$2:$E$2000,$D$2,Movimientos!$F$2:$F$2000,$R80,Movimientos!$G$2:$G$2000,$S80,Movimientos!$H$2:$H$2000,$O80,Movimientos!$K$2:$K$2000,"&lt;&gt;Anulado"))</f>
        <v/>
      </c>
      <c r="R80" s="16"/>
      <c r="S80" s="16"/>
      <c r="T80" s="16" t="str">
        <f t="shared" si="6"/>
        <v/>
      </c>
      <c r="U80" s="7"/>
      <c r="V80" s="7"/>
      <c r="W80" s="7"/>
      <c r="X80" s="7"/>
    </row>
    <row r="81" spans="1:24" ht="12.75" customHeight="1" x14ac:dyDescent="0.2">
      <c r="A81" s="16"/>
      <c r="B81" s="17" t="str">
        <f>IF($A81="","",SUMIFS('Plan Mensual'!$I$2:$I$2000,'Plan Mensual'!$B$2:$B$2000,$D$2,'Plan Mensual'!$C$2:$C$2000,"&lt;="&amp;$A$119,'Plan Mensual'!$E$2:$E$2000,"Ahorros",'Plan Mensual'!$F$2:$F$2000,$D81,'Plan Mensual'!$G$2:$G$2000,$E81,'Plan Mensual'!$H$2:$H$2000,$A81))</f>
        <v/>
      </c>
      <c r="C81" s="17" t="str">
        <f>IF($A81="","",SUMIFS(Movimientos!$J$2:$J$2000,Movimientos!$C$2:$C$2000,"&lt;="&amp;$A$119,Movimientos!$E$2:$E$2000,$D$2,Movimientos!$F$2:$F$2000,$D81,Movimientos!$G$2:$G$2000,$E81,Movimientos!$H$2:$H$2000,$A81,Movimientos!$K$2:$K$2000,"&lt;&gt;Anulado"))</f>
        <v/>
      </c>
      <c r="D81" s="16"/>
      <c r="E81" s="16"/>
      <c r="F81" s="16" t="str">
        <f t="shared" si="7"/>
        <v/>
      </c>
      <c r="G81" s="7"/>
      <c r="H81" s="21" t="s">
        <v>56</v>
      </c>
      <c r="I81" s="21">
        <f>SUM(I61:I80)</f>
        <v>0</v>
      </c>
      <c r="J81" s="21">
        <f>SUM(J61:J80)</f>
        <v>0</v>
      </c>
      <c r="K81" s="21"/>
      <c r="L81" s="21"/>
      <c r="M81" s="21"/>
      <c r="N81" s="7"/>
      <c r="O81" s="16"/>
      <c r="P81" s="17" t="str">
        <f>IF($O81="","",SUMIFS('Plan Mensual'!$I$2:$I$2000,'Plan Mensual'!$B$2:$B$2000,$D$2,'Plan Mensual'!$C$2:$C$2000,$A$119,'Plan Mensual'!$E$2:$E$2000,"Deudas",'Plan Mensual'!$F$2:$F$2000,$R81,'Plan Mensual'!$G$2:$G$2000,$S81,'Plan Mensual'!$H$2:$H$2000,$O81))</f>
        <v/>
      </c>
      <c r="Q81" s="17" t="str">
        <f>IF($O81="","",SUMIFS(Movimientos!$J$2:$J$2000,Movimientos!$C$2:$C$2000,$A$119,Movimientos!$E$2:$E$2000,$D$2,Movimientos!$F$2:$F$2000,$R81,Movimientos!$G$2:$G$2000,$S81,Movimientos!$H$2:$H$2000,$O81,Movimientos!$K$2:$K$2000,"&lt;&gt;Anulado"))</f>
        <v/>
      </c>
      <c r="R81" s="16"/>
      <c r="S81" s="16"/>
      <c r="T81" s="16" t="str">
        <f t="shared" si="6"/>
        <v/>
      </c>
      <c r="U81" s="7"/>
      <c r="V81" s="7"/>
      <c r="W81" s="7"/>
      <c r="X81" s="7"/>
    </row>
    <row r="82" spans="1:24" ht="12.75" customHeight="1" x14ac:dyDescent="0.2">
      <c r="A82" s="16"/>
      <c r="B82" s="17" t="str">
        <f>IF($A82="","",SUMIFS('Plan Mensual'!$I$2:$I$2000,'Plan Mensual'!$B$2:$B$2000,$D$2,'Plan Mensual'!$C$2:$C$2000,"&lt;="&amp;$A$119,'Plan Mensual'!$E$2:$E$2000,"Ahorros",'Plan Mensual'!$F$2:$F$2000,$D82,'Plan Mensual'!$G$2:$G$2000,$E82,'Plan Mensual'!$H$2:$H$2000,$A82))</f>
        <v/>
      </c>
      <c r="C82" s="17" t="str">
        <f>IF($A82="","",SUMIFS(Movimientos!$J$2:$J$2000,Movimientos!$C$2:$C$2000,"&lt;="&amp;$A$119,Movimientos!$E$2:$E$2000,$D$2,Movimientos!$F$2:$F$2000,$D82,Movimientos!$G$2:$G$2000,$E82,Movimientos!$H$2:$H$2000,$A82,Movimientos!$K$2:$K$2000,"&lt;&gt;Anulado"))</f>
        <v/>
      </c>
      <c r="D82" s="16"/>
      <c r="E82" s="16"/>
      <c r="F82" s="16" t="str">
        <f t="shared" si="7"/>
        <v/>
      </c>
      <c r="G82" s="7"/>
      <c r="H82" s="7"/>
      <c r="I82" s="7"/>
      <c r="J82" s="7"/>
      <c r="K82" s="7"/>
      <c r="L82" s="7"/>
      <c r="M82" s="7"/>
      <c r="N82" s="7"/>
      <c r="O82" s="21" t="s">
        <v>56</v>
      </c>
      <c r="P82" s="23">
        <f>SUM(P62:P81)</f>
        <v>0</v>
      </c>
      <c r="Q82" s="23">
        <f>SUM(Q62:Q81)</f>
        <v>0</v>
      </c>
      <c r="R82" s="21"/>
      <c r="S82" s="21"/>
      <c r="T82" s="21"/>
      <c r="U82" s="7"/>
      <c r="V82" s="7"/>
      <c r="W82" s="7"/>
      <c r="X82" s="7"/>
    </row>
    <row r="83" spans="1:24" ht="12.75" customHeight="1" x14ac:dyDescent="0.2">
      <c r="A83" s="16"/>
      <c r="B83" s="17" t="str">
        <f>IF($A83="","",SUMIFS('Plan Mensual'!$I$2:$I$2000,'Plan Mensual'!$B$2:$B$2000,$D$2,'Plan Mensual'!$C$2:$C$2000,"&lt;="&amp;$A$119,'Plan Mensual'!$E$2:$E$2000,"Ahorros",'Plan Mensual'!$F$2:$F$2000,$D83,'Plan Mensual'!$G$2:$G$2000,$E83,'Plan Mensual'!$H$2:$H$2000,$A83))</f>
        <v/>
      </c>
      <c r="C83" s="17" t="str">
        <f>IF($A83="","",SUMIFS(Movimientos!$J$2:$J$2000,Movimientos!$C$2:$C$2000,"&lt;="&amp;$A$119,Movimientos!$E$2:$E$2000,$D$2,Movimientos!$F$2:$F$2000,$D83,Movimientos!$G$2:$G$2000,$E83,Movimientos!$H$2:$H$2000,$A83,Movimientos!$K$2:$K$2000,"&lt;&gt;Anulado"))</f>
        <v/>
      </c>
      <c r="D83" s="16"/>
      <c r="E83" s="16"/>
      <c r="F83" s="16" t="str">
        <f t="shared" si="7"/>
        <v/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2.75" customHeight="1" x14ac:dyDescent="0.2">
      <c r="A84" s="16"/>
      <c r="B84" s="17" t="str">
        <f>IF($A84="","",SUMIFS('Plan Mensual'!$I$2:$I$2000,'Plan Mensual'!$B$2:$B$2000,$D$2,'Plan Mensual'!$C$2:$C$2000,"&lt;="&amp;$A$119,'Plan Mensual'!$E$2:$E$2000,"Ahorros",'Plan Mensual'!$F$2:$F$2000,$D84,'Plan Mensual'!$G$2:$G$2000,$E84,'Plan Mensual'!$H$2:$H$2000,$A84))</f>
        <v/>
      </c>
      <c r="C84" s="17" t="str">
        <f>IF($A84="","",SUMIFS(Movimientos!$J$2:$J$2000,Movimientos!$C$2:$C$2000,"&lt;="&amp;$A$119,Movimientos!$E$2:$E$2000,$D$2,Movimientos!$F$2:$F$2000,$D84,Movimientos!$G$2:$G$2000,$E84,Movimientos!$H$2:$H$2000,$A84,Movimientos!$K$2:$K$2000,"&lt;&gt;Anulado"))</f>
        <v/>
      </c>
      <c r="D84" s="16"/>
      <c r="E84" s="16"/>
      <c r="F84" s="16" t="str">
        <f t="shared" si="7"/>
        <v/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2.75" customHeight="1" x14ac:dyDescent="0.2">
      <c r="A85" s="16"/>
      <c r="B85" s="17" t="str">
        <f>IF($A85="","",SUMIFS('Plan Mensual'!$I$2:$I$2000,'Plan Mensual'!$B$2:$B$2000,$D$2,'Plan Mensual'!$C$2:$C$2000,"&lt;="&amp;$A$119,'Plan Mensual'!$E$2:$E$2000,"Ahorros",'Plan Mensual'!$F$2:$F$2000,$D85,'Plan Mensual'!$G$2:$G$2000,$E85,'Plan Mensual'!$H$2:$H$2000,$A85))</f>
        <v/>
      </c>
      <c r="C85" s="17" t="str">
        <f>IF($A85="","",SUMIFS(Movimientos!$J$2:$J$2000,Movimientos!$C$2:$C$2000,"&lt;="&amp;$A$119,Movimientos!$E$2:$E$2000,$D$2,Movimientos!$F$2:$F$2000,$D85,Movimientos!$G$2:$G$2000,$E85,Movimientos!$H$2:$H$2000,$A85,Movimientos!$K$2:$K$2000,"&lt;&gt;Anulado"))</f>
        <v/>
      </c>
      <c r="D85" s="16"/>
      <c r="E85" s="16"/>
      <c r="F85" s="16" t="str">
        <f t="shared" si="7"/>
        <v/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2.75" customHeight="1" x14ac:dyDescent="0.2">
      <c r="A86" s="16"/>
      <c r="B86" s="17" t="str">
        <f>IF($A86="","",SUMIFS('Plan Mensual'!$I$2:$I$2000,'Plan Mensual'!$B$2:$B$2000,$D$2,'Plan Mensual'!$C$2:$C$2000,"&lt;="&amp;$A$119,'Plan Mensual'!$E$2:$E$2000,"Ahorros",'Plan Mensual'!$F$2:$F$2000,$D86,'Plan Mensual'!$G$2:$G$2000,$E86,'Plan Mensual'!$H$2:$H$2000,$A86))</f>
        <v/>
      </c>
      <c r="C86" s="17" t="str">
        <f>IF($A86="","",SUMIFS(Movimientos!$J$2:$J$2000,Movimientos!$C$2:$C$2000,"&lt;="&amp;$A$119,Movimientos!$E$2:$E$2000,$D$2,Movimientos!$F$2:$F$2000,$D86,Movimientos!$G$2:$G$2000,$E86,Movimientos!$H$2:$H$2000,$A86,Movimientos!$K$2:$K$2000,"&lt;&gt;Anulado"))</f>
        <v/>
      </c>
      <c r="D86" s="16"/>
      <c r="E86" s="16"/>
      <c r="F86" s="16" t="str">
        <f t="shared" si="7"/>
        <v/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2.75" customHeight="1" x14ac:dyDescent="0.2">
      <c r="A87" s="16"/>
      <c r="B87" s="17" t="str">
        <f>IF($A87="","",SUMIFS('Plan Mensual'!$I$2:$I$2000,'Plan Mensual'!$B$2:$B$2000,$D$2,'Plan Mensual'!$C$2:$C$2000,"&lt;="&amp;$A$119,'Plan Mensual'!$E$2:$E$2000,"Ahorros",'Plan Mensual'!$F$2:$F$2000,$D87,'Plan Mensual'!$G$2:$G$2000,$E87,'Plan Mensual'!$H$2:$H$2000,$A87))</f>
        <v/>
      </c>
      <c r="C87" s="17" t="str">
        <f>IF($A87="","",SUMIFS(Movimientos!$J$2:$J$2000,Movimientos!$C$2:$C$2000,"&lt;="&amp;$A$119,Movimientos!$E$2:$E$2000,$D$2,Movimientos!$F$2:$F$2000,$D87,Movimientos!$G$2:$G$2000,$E87,Movimientos!$H$2:$H$2000,$A87,Movimientos!$K$2:$K$2000,"&lt;&gt;Anulado"))</f>
        <v/>
      </c>
      <c r="D87" s="16"/>
      <c r="E87" s="16"/>
      <c r="F87" s="16" t="str">
        <f t="shared" si="7"/>
        <v/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2.75" customHeight="1" x14ac:dyDescent="0.2">
      <c r="A88" s="16"/>
      <c r="B88" s="17" t="str">
        <f>IF($A88="","",SUMIFS('Plan Mensual'!$I$2:$I$2000,'Plan Mensual'!$B$2:$B$2000,$D$2,'Plan Mensual'!$C$2:$C$2000,"&lt;="&amp;$A$119,'Plan Mensual'!$E$2:$E$2000,"Ahorros",'Plan Mensual'!$F$2:$F$2000,$D88,'Plan Mensual'!$G$2:$G$2000,$E88,'Plan Mensual'!$H$2:$H$2000,$A88))</f>
        <v/>
      </c>
      <c r="C88" s="17" t="str">
        <f>IF($A88="","",SUMIFS(Movimientos!$J$2:$J$2000,Movimientos!$C$2:$C$2000,"&lt;="&amp;$A$119,Movimientos!$E$2:$E$2000,$D$2,Movimientos!$F$2:$F$2000,$D88,Movimientos!$G$2:$G$2000,$E88,Movimientos!$H$2:$H$2000,$A88,Movimientos!$K$2:$K$2000,"&lt;&gt;Anulado"))</f>
        <v/>
      </c>
      <c r="D88" s="16"/>
      <c r="E88" s="16"/>
      <c r="F88" s="16" t="str">
        <f t="shared" si="7"/>
        <v/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2.75" customHeight="1" x14ac:dyDescent="0.2">
      <c r="A89" s="16"/>
      <c r="B89" s="17" t="str">
        <f>IF($A89="","",SUMIFS('Plan Mensual'!$I$2:$I$2000,'Plan Mensual'!$B$2:$B$2000,$D$2,'Plan Mensual'!$C$2:$C$2000,"&lt;="&amp;$A$119,'Plan Mensual'!$E$2:$E$2000,"Ahorros",'Plan Mensual'!$F$2:$F$2000,$D89,'Plan Mensual'!$G$2:$G$2000,$E89,'Plan Mensual'!$H$2:$H$2000,$A89))</f>
        <v/>
      </c>
      <c r="C89" s="17" t="str">
        <f>IF($A89="","",SUMIFS(Movimientos!$J$2:$J$2000,Movimientos!$C$2:$C$2000,"&lt;="&amp;$A$119,Movimientos!$E$2:$E$2000,$D$2,Movimientos!$F$2:$F$2000,$D89,Movimientos!$G$2:$G$2000,$E89,Movimientos!$H$2:$H$2000,$A89,Movimientos!$K$2:$K$2000,"&lt;&gt;Anulado"))</f>
        <v/>
      </c>
      <c r="D89" s="16"/>
      <c r="E89" s="16"/>
      <c r="F89" s="16" t="str">
        <f t="shared" si="7"/>
        <v/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2.75" customHeight="1" x14ac:dyDescent="0.2">
      <c r="A90" s="16"/>
      <c r="B90" s="17" t="str">
        <f>IF($A90="","",SUMIFS('Plan Mensual'!$I$2:$I$2000,'Plan Mensual'!$B$2:$B$2000,$D$2,'Plan Mensual'!$C$2:$C$2000,"&lt;="&amp;$A$119,'Plan Mensual'!$E$2:$E$2000,"Ahorros",'Plan Mensual'!$F$2:$F$2000,$D90,'Plan Mensual'!$G$2:$G$2000,$E90,'Plan Mensual'!$H$2:$H$2000,$A90))</f>
        <v/>
      </c>
      <c r="C90" s="17" t="str">
        <f>IF($A90="","",SUMIFS(Movimientos!$J$2:$J$2000,Movimientos!$C$2:$C$2000,"&lt;="&amp;$A$119,Movimientos!$E$2:$E$2000,$D$2,Movimientos!$F$2:$F$2000,$D90,Movimientos!$G$2:$G$2000,$E90,Movimientos!$H$2:$H$2000,$A90,Movimientos!$K$2:$K$2000,"&lt;&gt;Anulado"))</f>
        <v/>
      </c>
      <c r="D90" s="16"/>
      <c r="E90" s="16"/>
      <c r="F90" s="16" t="str">
        <f t="shared" si="7"/>
        <v/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2.75" customHeight="1" x14ac:dyDescent="0.2">
      <c r="A91" s="21" t="s">
        <v>56</v>
      </c>
      <c r="B91" s="23">
        <f>SUM(B71:B90)</f>
        <v>0</v>
      </c>
      <c r="C91" s="23">
        <f>SUM(C71:C90)</f>
        <v>0</v>
      </c>
      <c r="D91" s="21"/>
      <c r="E91" s="21"/>
      <c r="F91" s="2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2.75" hidden="1" customHeight="1" x14ac:dyDescent="0.2">
      <c r="A119" s="7">
        <f>IFERROR(MATCH($F$2,Parametros!$B$4:$B$15,0),0)</f>
        <v>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</sheetData>
  <mergeCells count="38">
    <mergeCell ref="H59:M59"/>
    <mergeCell ref="O60:T60"/>
    <mergeCell ref="A69:F69"/>
    <mergeCell ref="V19:W19"/>
    <mergeCell ref="V20:W20"/>
    <mergeCell ref="H24:M24"/>
    <mergeCell ref="A34:F34"/>
    <mergeCell ref="O56:R56"/>
    <mergeCell ref="V13:W13"/>
    <mergeCell ref="V14:W14"/>
    <mergeCell ref="V15:W15"/>
    <mergeCell ref="T17:W17"/>
    <mergeCell ref="O18:R18"/>
    <mergeCell ref="V18:W18"/>
    <mergeCell ref="A10:E10"/>
    <mergeCell ref="O10:R10"/>
    <mergeCell ref="V10:W10"/>
    <mergeCell ref="V11:W11"/>
    <mergeCell ref="V12:W12"/>
    <mergeCell ref="H6:J7"/>
    <mergeCell ref="K6:M7"/>
    <mergeCell ref="O6:Q7"/>
    <mergeCell ref="T8:W8"/>
    <mergeCell ref="T9:W9"/>
    <mergeCell ref="A4:F4"/>
    <mergeCell ref="A5:F5"/>
    <mergeCell ref="H5:J5"/>
    <mergeCell ref="K5:M5"/>
    <mergeCell ref="O5:Q5"/>
    <mergeCell ref="A1:F1"/>
    <mergeCell ref="H1:J1"/>
    <mergeCell ref="K1:M1"/>
    <mergeCell ref="O1:Q1"/>
    <mergeCell ref="A2:B2"/>
    <mergeCell ref="H2:J3"/>
    <mergeCell ref="K2:M3"/>
    <mergeCell ref="O2:Q3"/>
    <mergeCell ref="A3:F3"/>
  </mergeCells>
  <dataValidations count="5">
    <dataValidation type="list" allowBlank="1" showErrorMessage="1" sqref="D2" xr:uid="{00000000-0002-0000-0100-000000000000}">
      <formula1>lst_Anios</formula1>
      <formula2>0</formula2>
    </dataValidation>
    <dataValidation type="list" allowBlank="1" showErrorMessage="1" sqref="F2" xr:uid="{00000000-0002-0000-0100-000001000000}">
      <formula1>lst_Meses</formula1>
      <formula2>0</formula2>
    </dataValidation>
    <dataValidation type="list" allowBlank="1" showErrorMessage="1" sqref="E12:E31 L26:L55 E36:E65 L61:L80 S62:S81 E71:E90" xr:uid="{00000000-0002-0000-0100-000002000000}">
      <formula1>lst_Categorias</formula1>
      <formula2>0</formula2>
    </dataValidation>
    <dataValidation type="list" allowBlank="1" showErrorMessage="1" sqref="A12:A31 H26:H55 A36:A65 H61:H80 O62:O81 A71:A90" xr:uid="{00000000-0002-0000-0100-000003000000}">
      <formula1>lst_Conceptos</formula1>
      <formula2>0</formula2>
    </dataValidation>
    <dataValidation type="list" allowBlank="1" showErrorMessage="1" sqref="D12:D31 K26:K55 D36:D65 K61:K80 R62:R81 D71:D90" xr:uid="{00000000-0002-0000-0100-000004000000}">
      <formula1>lst_Tipos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178"/>
  <sheetViews>
    <sheetView zoomScaleNormal="100" workbookViewId="0">
      <selection activeCell="M15" sqref="M15"/>
    </sheetView>
  </sheetViews>
  <sheetFormatPr baseColWidth="10" defaultColWidth="8.7109375" defaultRowHeight="15" x14ac:dyDescent="0.2"/>
  <cols>
    <col min="1" max="1" width="8.7109375" style="3"/>
    <col min="2" max="2" width="10.5703125" style="35" customWidth="1"/>
    <col min="3" max="3" width="12.7109375" style="35" customWidth="1"/>
    <col min="4" max="4" width="11" style="35" customWidth="1"/>
    <col min="5" max="5" width="13.5703125" style="35" customWidth="1"/>
    <col min="6" max="6" width="11.140625" style="35" customWidth="1"/>
    <col min="7" max="7" width="14.28515625" style="35" customWidth="1"/>
    <col min="8" max="8" width="15.140625" style="35" customWidth="1"/>
    <col min="9" max="9" width="17.85546875" style="35" customWidth="1"/>
    <col min="10" max="10" width="11.42578125" style="35" customWidth="1"/>
    <col min="11" max="24" width="8.7109375" style="3"/>
  </cols>
  <sheetData>
    <row r="1" spans="2:10" x14ac:dyDescent="0.2">
      <c r="B1" s="36" t="s">
        <v>18</v>
      </c>
      <c r="C1" s="36" t="s">
        <v>102</v>
      </c>
      <c r="D1" s="36" t="s">
        <v>19</v>
      </c>
      <c r="E1" s="36" t="s">
        <v>103</v>
      </c>
      <c r="F1" s="36" t="s">
        <v>43</v>
      </c>
      <c r="G1" s="36" t="s">
        <v>36</v>
      </c>
      <c r="H1" s="36" t="s">
        <v>40</v>
      </c>
      <c r="I1" s="36" t="s">
        <v>41</v>
      </c>
      <c r="J1" s="36" t="s">
        <v>104</v>
      </c>
    </row>
    <row r="2" spans="2:10" ht="12.75" customHeight="1" x14ac:dyDescent="0.2">
      <c r="B2" s="37">
        <v>2026</v>
      </c>
      <c r="C2" s="37">
        <f>IF(D2="","",MATCH(D2,Parametros!$B$4:$B$15,0))</f>
        <v>1</v>
      </c>
      <c r="D2" s="38" t="s">
        <v>20</v>
      </c>
      <c r="E2" s="38" t="s">
        <v>105</v>
      </c>
      <c r="F2" s="38" t="s">
        <v>48</v>
      </c>
      <c r="G2" s="38" t="s">
        <v>47</v>
      </c>
      <c r="H2" s="38" t="s">
        <v>47</v>
      </c>
      <c r="I2" s="39">
        <v>2000000</v>
      </c>
      <c r="J2" s="38" t="s">
        <v>106</v>
      </c>
    </row>
    <row r="3" spans="2:10" ht="12.75" customHeight="1" x14ac:dyDescent="0.2">
      <c r="B3" s="37">
        <v>2026</v>
      </c>
      <c r="C3" s="37">
        <f>IF(D3="","",MATCH(D3,Parametros!$B$4:$B$15,0))</f>
        <v>1</v>
      </c>
      <c r="D3" s="38" t="s">
        <v>20</v>
      </c>
      <c r="E3" s="38" t="s">
        <v>105</v>
      </c>
      <c r="F3" s="38" t="s">
        <v>48</v>
      </c>
      <c r="G3" s="38" t="s">
        <v>50</v>
      </c>
      <c r="H3" s="38" t="s">
        <v>50</v>
      </c>
      <c r="I3" s="39">
        <v>500000</v>
      </c>
      <c r="J3" s="38" t="s">
        <v>106</v>
      </c>
    </row>
    <row r="4" spans="2:10" ht="12.75" customHeight="1" x14ac:dyDescent="0.2">
      <c r="B4" s="37">
        <v>2026</v>
      </c>
      <c r="C4" s="37">
        <f>IF(D4="","",MATCH(D4,Parametros!$B$4:$B$15,0))</f>
        <v>1</v>
      </c>
      <c r="D4" s="38" t="s">
        <v>20</v>
      </c>
      <c r="E4" s="38" t="s">
        <v>107</v>
      </c>
      <c r="F4" s="38" t="s">
        <v>21</v>
      </c>
      <c r="G4" s="38" t="s">
        <v>33</v>
      </c>
      <c r="H4" s="38" t="s">
        <v>78</v>
      </c>
      <c r="I4" s="39">
        <v>1000000</v>
      </c>
      <c r="J4" s="38" t="s">
        <v>106</v>
      </c>
    </row>
    <row r="5" spans="2:10" ht="12.75" customHeight="1" x14ac:dyDescent="0.2">
      <c r="B5" s="37">
        <v>2026</v>
      </c>
      <c r="C5" s="37">
        <f>IF(D5="","",MATCH(D5,Parametros!$B$4:$B$15,0))</f>
        <v>1</v>
      </c>
      <c r="D5" s="38" t="s">
        <v>20</v>
      </c>
      <c r="E5" s="38" t="s">
        <v>107</v>
      </c>
      <c r="F5" s="38" t="s">
        <v>21</v>
      </c>
      <c r="G5" s="38" t="s">
        <v>39</v>
      </c>
      <c r="H5" s="38" t="s">
        <v>79</v>
      </c>
      <c r="I5" s="39">
        <v>30000</v>
      </c>
      <c r="J5" s="38" t="s">
        <v>106</v>
      </c>
    </row>
    <row r="6" spans="2:10" ht="12.75" customHeight="1" x14ac:dyDescent="0.2">
      <c r="B6" s="37"/>
      <c r="C6" s="37" t="str">
        <f>IF(D6="","",MATCH(D6,Parametros!$B$4:$B$15,0))</f>
        <v/>
      </c>
      <c r="D6" s="38"/>
      <c r="E6" s="38"/>
      <c r="F6" s="38"/>
      <c r="G6" s="38"/>
      <c r="H6" s="38"/>
      <c r="I6" s="39"/>
      <c r="J6" s="38"/>
    </row>
    <row r="7" spans="2:10" ht="12.75" customHeight="1" x14ac:dyDescent="0.2">
      <c r="B7" s="37"/>
      <c r="C7" s="37" t="str">
        <f>IF(D7="","",MATCH(D7,Parametros!$B$4:$B$15,0))</f>
        <v/>
      </c>
      <c r="D7" s="38"/>
      <c r="E7" s="38"/>
      <c r="F7" s="38"/>
      <c r="G7" s="38"/>
      <c r="H7" s="38"/>
      <c r="I7" s="39"/>
      <c r="J7" s="38"/>
    </row>
    <row r="8" spans="2:10" ht="12.75" customHeight="1" x14ac:dyDescent="0.2">
      <c r="B8" s="37"/>
      <c r="C8" s="37" t="str">
        <f>IF(D8="","",MATCH(D8,Parametros!$B$4:$B$15,0))</f>
        <v/>
      </c>
      <c r="D8" s="38"/>
      <c r="E8" s="38"/>
      <c r="F8" s="38"/>
      <c r="G8" s="38"/>
      <c r="H8" s="38"/>
      <c r="I8" s="39"/>
      <c r="J8" s="38"/>
    </row>
    <row r="9" spans="2:10" ht="12.75" customHeight="1" x14ac:dyDescent="0.2">
      <c r="B9" s="37"/>
      <c r="C9" s="37" t="str">
        <f>IF(D9="","",MATCH(D9,Parametros!$B$4:$B$15,0))</f>
        <v/>
      </c>
      <c r="D9" s="38"/>
      <c r="E9" s="38"/>
      <c r="F9" s="38"/>
      <c r="G9" s="38"/>
      <c r="H9" s="38"/>
      <c r="I9" s="39"/>
      <c r="J9" s="38"/>
    </row>
    <row r="10" spans="2:10" ht="12.75" customHeight="1" x14ac:dyDescent="0.2">
      <c r="B10" s="37"/>
      <c r="C10" s="37" t="str">
        <f>IF(D10="","",MATCH(D10,Parametros!$B$4:$B$15,0))</f>
        <v/>
      </c>
      <c r="D10" s="38"/>
      <c r="E10" s="38"/>
      <c r="F10" s="38"/>
      <c r="G10" s="38"/>
      <c r="H10" s="38"/>
      <c r="I10" s="39"/>
      <c r="J10" s="38"/>
    </row>
    <row r="11" spans="2:10" ht="25.5" customHeight="1" x14ac:dyDescent="0.2">
      <c r="B11" s="37"/>
      <c r="C11" s="37" t="str">
        <f>IF(D11="","",MATCH(D11,Parametros!$B$4:$B$15,0))</f>
        <v/>
      </c>
      <c r="D11" s="38"/>
      <c r="E11" s="38"/>
      <c r="F11" s="38"/>
      <c r="G11" s="38"/>
      <c r="H11" s="38"/>
      <c r="I11" s="39"/>
      <c r="J11" s="38"/>
    </row>
    <row r="12" spans="2:10" ht="25.5" customHeight="1" x14ac:dyDescent="0.2">
      <c r="B12" s="37"/>
      <c r="C12" s="37" t="str">
        <f>IF(D12="","",MATCH(D12,Parametros!$B$4:$B$15,0))</f>
        <v/>
      </c>
      <c r="D12" s="38"/>
      <c r="E12" s="38"/>
      <c r="F12" s="38"/>
      <c r="G12" s="38"/>
      <c r="H12" s="38"/>
      <c r="I12" s="39"/>
      <c r="J12" s="38"/>
    </row>
    <row r="13" spans="2:10" ht="25.5" customHeight="1" x14ac:dyDescent="0.2">
      <c r="B13" s="37"/>
      <c r="C13" s="37" t="str">
        <f>IF(D13="","",MATCH(D13,Parametros!$B$4:$B$15,0))</f>
        <v/>
      </c>
      <c r="D13" s="38"/>
      <c r="E13" s="38"/>
      <c r="F13" s="38"/>
      <c r="G13" s="38"/>
      <c r="H13" s="38"/>
      <c r="I13" s="39"/>
      <c r="J13" s="38"/>
    </row>
    <row r="14" spans="2:10" ht="25.5" customHeight="1" x14ac:dyDescent="0.2">
      <c r="B14" s="37"/>
      <c r="C14" s="37" t="str">
        <f>IF(D14="","",MATCH(D14,Parametros!$B$4:$B$15,0))</f>
        <v/>
      </c>
      <c r="D14" s="38"/>
      <c r="E14" s="38"/>
      <c r="F14" s="38"/>
      <c r="G14" s="38"/>
      <c r="H14" s="38"/>
      <c r="I14" s="39"/>
      <c r="J14" s="38"/>
    </row>
    <row r="15" spans="2:10" ht="25.5" customHeight="1" x14ac:dyDescent="0.2">
      <c r="B15" s="37"/>
      <c r="C15" s="37" t="str">
        <f>IF(D15="","",MATCH(D15,Parametros!$B$4:$B$15,0))</f>
        <v/>
      </c>
      <c r="D15" s="38"/>
      <c r="E15" s="38"/>
      <c r="F15" s="38"/>
      <c r="G15" s="38"/>
      <c r="H15" s="38"/>
      <c r="I15" s="39"/>
      <c r="J15" s="38"/>
    </row>
    <row r="16" spans="2:10" ht="25.5" customHeight="1" x14ac:dyDescent="0.2">
      <c r="B16" s="37"/>
      <c r="C16" s="37" t="str">
        <f>IF(D16="","",MATCH(D16,Parametros!$B$4:$B$15,0))</f>
        <v/>
      </c>
      <c r="D16" s="38"/>
      <c r="E16" s="38"/>
      <c r="F16" s="38"/>
      <c r="G16" s="38"/>
      <c r="H16" s="38"/>
      <c r="I16" s="39"/>
      <c r="J16" s="38"/>
    </row>
    <row r="17" spans="2:10" ht="12.75" customHeight="1" x14ac:dyDescent="0.2">
      <c r="B17" s="37"/>
      <c r="C17" s="37" t="str">
        <f>IF(D17="","",MATCH(D17,Parametros!$B$4:$B$15,0))</f>
        <v/>
      </c>
      <c r="D17" s="38"/>
      <c r="E17" s="38"/>
      <c r="F17" s="38"/>
      <c r="G17" s="38"/>
      <c r="H17" s="38"/>
      <c r="I17" s="39"/>
      <c r="J17" s="38"/>
    </row>
    <row r="18" spans="2:10" ht="12.75" customHeight="1" x14ac:dyDescent="0.2">
      <c r="B18" s="37"/>
      <c r="C18" s="37" t="str">
        <f>IF(D18="","",MATCH(D18,Parametros!$B$4:$B$15,0))</f>
        <v/>
      </c>
      <c r="D18" s="38"/>
      <c r="E18" s="38"/>
      <c r="F18" s="38"/>
      <c r="G18" s="38"/>
      <c r="H18" s="38"/>
      <c r="I18" s="39"/>
      <c r="J18" s="38"/>
    </row>
    <row r="19" spans="2:10" ht="12.75" customHeight="1" x14ac:dyDescent="0.2">
      <c r="B19" s="37"/>
      <c r="C19" s="37" t="str">
        <f>IF(D19="","",MATCH(D19,Parametros!$B$4:$B$15,0))</f>
        <v/>
      </c>
      <c r="D19" s="38"/>
      <c r="E19" s="38"/>
      <c r="F19" s="38"/>
      <c r="G19" s="38"/>
      <c r="H19" s="38"/>
      <c r="I19" s="39"/>
      <c r="J19" s="38"/>
    </row>
    <row r="20" spans="2:10" ht="12.75" customHeight="1" x14ac:dyDescent="0.2">
      <c r="B20" s="37"/>
      <c r="C20" s="37" t="str">
        <f>IF(D20="","",MATCH(D20,Parametros!$B$4:$B$15,0))</f>
        <v/>
      </c>
      <c r="D20" s="38"/>
      <c r="E20" s="38"/>
      <c r="F20" s="38"/>
      <c r="G20" s="38"/>
      <c r="H20" s="38"/>
      <c r="I20" s="39"/>
      <c r="J20" s="38"/>
    </row>
    <row r="21" spans="2:10" ht="12.75" customHeight="1" x14ac:dyDescent="0.2">
      <c r="B21" s="37"/>
      <c r="C21" s="37" t="str">
        <f>IF(D21="","",MATCH(D21,Parametros!$B$4:$B$15,0))</f>
        <v/>
      </c>
      <c r="D21" s="38"/>
      <c r="E21" s="38"/>
      <c r="F21" s="38"/>
      <c r="G21" s="38"/>
      <c r="H21" s="38"/>
      <c r="I21" s="39"/>
      <c r="J21" s="38"/>
    </row>
    <row r="22" spans="2:10" ht="12.75" customHeight="1" x14ac:dyDescent="0.2">
      <c r="B22" s="37"/>
      <c r="C22" s="37" t="str">
        <f>IF(D22="","",MATCH(D22,Parametros!$B$4:$B$15,0))</f>
        <v/>
      </c>
      <c r="D22" s="38"/>
      <c r="E22" s="38"/>
      <c r="F22" s="38"/>
      <c r="G22" s="38"/>
      <c r="H22" s="38"/>
      <c r="I22" s="39"/>
      <c r="J22" s="38"/>
    </row>
    <row r="23" spans="2:10" ht="12.75" customHeight="1" x14ac:dyDescent="0.2">
      <c r="B23" s="37"/>
      <c r="C23" s="37" t="str">
        <f>IF(D23="","",MATCH(D23,Parametros!$B$4:$B$15,0))</f>
        <v/>
      </c>
      <c r="D23" s="38"/>
      <c r="E23" s="38"/>
      <c r="F23" s="38"/>
      <c r="G23" s="38"/>
      <c r="H23" s="38"/>
      <c r="I23" s="39"/>
      <c r="J23" s="38"/>
    </row>
    <row r="24" spans="2:10" ht="12.75" customHeight="1" x14ac:dyDescent="0.2">
      <c r="B24" s="37"/>
      <c r="C24" s="37" t="str">
        <f>IF(D24="","",MATCH(D24,Parametros!$B$4:$B$15,0))</f>
        <v/>
      </c>
      <c r="D24" s="38"/>
      <c r="E24" s="38"/>
      <c r="F24" s="38"/>
      <c r="G24" s="38"/>
      <c r="H24" s="38"/>
      <c r="I24" s="39"/>
      <c r="J24" s="38"/>
    </row>
    <row r="25" spans="2:10" ht="12.75" customHeight="1" x14ac:dyDescent="0.2">
      <c r="B25" s="37"/>
      <c r="C25" s="37" t="str">
        <f>IF(D25="","",MATCH(D25,Parametros!$B$4:$B$15,0))</f>
        <v/>
      </c>
      <c r="D25" s="38"/>
      <c r="E25" s="38"/>
      <c r="F25" s="38"/>
      <c r="G25" s="38"/>
      <c r="H25" s="38"/>
      <c r="I25" s="39"/>
      <c r="J25" s="38"/>
    </row>
    <row r="26" spans="2:10" ht="12.75" customHeight="1" x14ac:dyDescent="0.2">
      <c r="B26" s="37"/>
      <c r="C26" s="37" t="str">
        <f>IF(D26="","",MATCH(D26,Parametros!$B$4:$B$15,0))</f>
        <v/>
      </c>
      <c r="D26" s="38"/>
      <c r="E26" s="38"/>
      <c r="F26" s="38"/>
      <c r="G26" s="38"/>
      <c r="H26" s="38"/>
      <c r="I26" s="39"/>
      <c r="J26" s="38"/>
    </row>
    <row r="27" spans="2:10" ht="12.75" customHeight="1" x14ac:dyDescent="0.2">
      <c r="B27" s="37"/>
      <c r="C27" s="37" t="str">
        <f>IF(D27="","",MATCH(D27,Parametros!$B$4:$B$15,0))</f>
        <v/>
      </c>
      <c r="D27" s="38"/>
      <c r="E27" s="38"/>
      <c r="F27" s="38"/>
      <c r="G27" s="38"/>
      <c r="H27" s="38"/>
      <c r="I27" s="39"/>
      <c r="J27" s="38"/>
    </row>
    <row r="28" spans="2:10" ht="12.75" customHeight="1" x14ac:dyDescent="0.2">
      <c r="B28" s="37"/>
      <c r="C28" s="37" t="str">
        <f>IF(D28="","",MATCH(D28,Parametros!$B$4:$B$15,0))</f>
        <v/>
      </c>
      <c r="D28" s="38"/>
      <c r="E28" s="38"/>
      <c r="F28" s="38"/>
      <c r="G28" s="38"/>
      <c r="H28" s="38"/>
      <c r="I28" s="39"/>
      <c r="J28" s="38"/>
    </row>
    <row r="29" spans="2:10" ht="12.75" customHeight="1" x14ac:dyDescent="0.2">
      <c r="B29" s="37"/>
      <c r="C29" s="37" t="str">
        <f>IF(D29="","",MATCH(D29,Parametros!$B$4:$B$15,0))</f>
        <v/>
      </c>
      <c r="D29" s="38"/>
      <c r="E29" s="38"/>
      <c r="F29" s="38"/>
      <c r="G29" s="38"/>
      <c r="H29" s="38"/>
      <c r="I29" s="39"/>
      <c r="J29" s="38"/>
    </row>
    <row r="30" spans="2:10" ht="12.75" customHeight="1" x14ac:dyDescent="0.2">
      <c r="B30" s="37"/>
      <c r="C30" s="37" t="str">
        <f>IF(D30="","",MATCH(D30,Parametros!$B$4:$B$15,0))</f>
        <v/>
      </c>
      <c r="D30" s="38"/>
      <c r="E30" s="38"/>
      <c r="F30" s="38"/>
      <c r="G30" s="38"/>
      <c r="H30" s="38"/>
      <c r="I30" s="39"/>
      <c r="J30" s="38"/>
    </row>
    <row r="31" spans="2:10" ht="12.75" customHeight="1" x14ac:dyDescent="0.2">
      <c r="B31" s="37"/>
      <c r="C31" s="37" t="str">
        <f>IF(D31="","",MATCH(D31,Parametros!$B$4:$B$15,0))</f>
        <v/>
      </c>
      <c r="D31" s="38"/>
      <c r="E31" s="38"/>
      <c r="F31" s="38"/>
      <c r="G31" s="38"/>
      <c r="H31" s="38"/>
      <c r="I31" s="39"/>
      <c r="J31" s="38"/>
    </row>
    <row r="32" spans="2:10" ht="25.5" customHeight="1" x14ac:dyDescent="0.2">
      <c r="B32" s="37"/>
      <c r="C32" s="37" t="str">
        <f>IF(D32="","",MATCH(D32,Parametros!$B$4:$B$15,0))</f>
        <v/>
      </c>
      <c r="D32" s="38"/>
      <c r="E32" s="38"/>
      <c r="F32" s="38"/>
      <c r="G32" s="38"/>
      <c r="H32" s="38"/>
      <c r="I32" s="39"/>
      <c r="J32" s="38"/>
    </row>
    <row r="33" spans="2:10" ht="25.5" customHeight="1" x14ac:dyDescent="0.2">
      <c r="B33" s="37"/>
      <c r="C33" s="37" t="str">
        <f>IF(D33="","",MATCH(D33,Parametros!$B$4:$B$15,0))</f>
        <v/>
      </c>
      <c r="D33" s="38"/>
      <c r="E33" s="38"/>
      <c r="F33" s="38"/>
      <c r="G33" s="38"/>
      <c r="H33" s="38"/>
      <c r="I33" s="39"/>
      <c r="J33" s="38"/>
    </row>
    <row r="34" spans="2:10" ht="25.5" customHeight="1" x14ac:dyDescent="0.2">
      <c r="B34" s="37"/>
      <c r="C34" s="37" t="str">
        <f>IF(D34="","",MATCH(D34,Parametros!$B$4:$B$15,0))</f>
        <v/>
      </c>
      <c r="D34" s="38"/>
      <c r="E34" s="38"/>
      <c r="F34" s="38"/>
      <c r="G34" s="38"/>
      <c r="H34" s="38"/>
      <c r="I34" s="39"/>
      <c r="J34" s="38"/>
    </row>
    <row r="35" spans="2:10" ht="25.5" customHeight="1" x14ac:dyDescent="0.2">
      <c r="B35" s="37"/>
      <c r="C35" s="37" t="str">
        <f>IF(D35="","",MATCH(D35,Parametros!$B$4:$B$15,0))</f>
        <v/>
      </c>
      <c r="D35" s="38"/>
      <c r="E35" s="38"/>
      <c r="F35" s="38"/>
      <c r="G35" s="38"/>
      <c r="H35" s="38"/>
      <c r="I35" s="39"/>
      <c r="J35" s="38"/>
    </row>
    <row r="36" spans="2:10" ht="25.5" customHeight="1" x14ac:dyDescent="0.2">
      <c r="B36" s="37"/>
      <c r="C36" s="37" t="str">
        <f>IF(D36="","",MATCH(D36,Parametros!$B$4:$B$15,0))</f>
        <v/>
      </c>
      <c r="D36" s="38"/>
      <c r="E36" s="38"/>
      <c r="F36" s="38"/>
      <c r="G36" s="38"/>
      <c r="H36" s="38"/>
      <c r="I36" s="39"/>
      <c r="J36" s="38"/>
    </row>
    <row r="37" spans="2:10" ht="25.5" customHeight="1" x14ac:dyDescent="0.2">
      <c r="B37" s="37"/>
      <c r="C37" s="37" t="str">
        <f>IF(D37="","",MATCH(D37,Parametros!$B$4:$B$15,0))</f>
        <v/>
      </c>
      <c r="D37" s="38"/>
      <c r="E37" s="38"/>
      <c r="F37" s="38"/>
      <c r="G37" s="38"/>
      <c r="H37" s="38"/>
      <c r="I37" s="39"/>
      <c r="J37" s="38"/>
    </row>
    <row r="38" spans="2:10" ht="12.75" customHeight="1" x14ac:dyDescent="0.2">
      <c r="B38" s="37"/>
      <c r="C38" s="37" t="str">
        <f>IF(D38="","",MATCH(D38,Parametros!$B$4:$B$15,0))</f>
        <v/>
      </c>
      <c r="D38" s="38"/>
      <c r="E38" s="38"/>
      <c r="F38" s="38"/>
      <c r="G38" s="38"/>
      <c r="H38" s="38"/>
      <c r="I38" s="39"/>
      <c r="J38" s="38"/>
    </row>
    <row r="39" spans="2:10" ht="12.75" customHeight="1" x14ac:dyDescent="0.2">
      <c r="B39" s="37"/>
      <c r="C39" s="37" t="str">
        <f>IF(D39="","",MATCH(D39,Parametros!$B$4:$B$15,0))</f>
        <v/>
      </c>
      <c r="D39" s="38"/>
      <c r="E39" s="38"/>
      <c r="F39" s="38"/>
      <c r="G39" s="38"/>
      <c r="H39" s="38"/>
      <c r="I39" s="39"/>
      <c r="J39" s="38"/>
    </row>
    <row r="40" spans="2:10" ht="12.75" customHeight="1" x14ac:dyDescent="0.2">
      <c r="B40" s="37"/>
      <c r="C40" s="37" t="str">
        <f>IF(D40="","",MATCH(D40,Parametros!$B$4:$B$15,0))</f>
        <v/>
      </c>
      <c r="D40" s="38"/>
      <c r="E40" s="38"/>
      <c r="F40" s="38"/>
      <c r="G40" s="38"/>
      <c r="H40" s="38"/>
      <c r="I40" s="39"/>
      <c r="J40" s="38"/>
    </row>
    <row r="41" spans="2:10" ht="12.75" customHeight="1" x14ac:dyDescent="0.2">
      <c r="B41" s="37"/>
      <c r="C41" s="37" t="str">
        <f>IF(D41="","",MATCH(D41,Parametros!$B$4:$B$15,0))</f>
        <v/>
      </c>
      <c r="D41" s="38"/>
      <c r="E41" s="38"/>
      <c r="F41" s="38"/>
      <c r="G41" s="38"/>
      <c r="H41" s="38"/>
      <c r="I41" s="39"/>
      <c r="J41" s="38"/>
    </row>
    <row r="42" spans="2:10" ht="12.75" customHeight="1" x14ac:dyDescent="0.2">
      <c r="B42" s="37"/>
      <c r="C42" s="37" t="str">
        <f>IF(D42="","",MATCH(D42,Parametros!$B$4:$B$15,0))</f>
        <v/>
      </c>
      <c r="D42" s="38"/>
      <c r="E42" s="38"/>
      <c r="F42" s="38"/>
      <c r="G42" s="38"/>
      <c r="H42" s="38"/>
      <c r="I42" s="39"/>
      <c r="J42" s="38"/>
    </row>
    <row r="43" spans="2:10" ht="12.75" customHeight="1" x14ac:dyDescent="0.2">
      <c r="B43" s="37"/>
      <c r="C43" s="37" t="str">
        <f>IF(D43="","",MATCH(D43,Parametros!$B$4:$B$15,0))</f>
        <v/>
      </c>
      <c r="D43" s="38"/>
      <c r="E43" s="38"/>
      <c r="F43" s="38"/>
      <c r="G43" s="38"/>
      <c r="H43" s="38"/>
      <c r="I43" s="39"/>
      <c r="J43" s="38"/>
    </row>
    <row r="44" spans="2:10" ht="12.75" customHeight="1" x14ac:dyDescent="0.2">
      <c r="B44" s="37"/>
      <c r="C44" s="37" t="str">
        <f>IF(D44="","",MATCH(D44,Parametros!$B$4:$B$15,0))</f>
        <v/>
      </c>
      <c r="D44" s="38"/>
      <c r="E44" s="38"/>
      <c r="F44" s="38"/>
      <c r="G44" s="38"/>
      <c r="H44" s="38"/>
      <c r="I44" s="39"/>
      <c r="J44" s="38"/>
    </row>
    <row r="45" spans="2:10" ht="12.75" customHeight="1" x14ac:dyDescent="0.2">
      <c r="B45" s="37"/>
      <c r="C45" s="37" t="str">
        <f>IF(D45="","",MATCH(D45,Parametros!$B$4:$B$15,0))</f>
        <v/>
      </c>
      <c r="D45" s="38"/>
      <c r="E45" s="38"/>
      <c r="F45" s="38"/>
      <c r="G45" s="38"/>
      <c r="H45" s="38"/>
      <c r="I45" s="39"/>
      <c r="J45" s="38"/>
    </row>
    <row r="46" spans="2:10" ht="12.75" customHeight="1" x14ac:dyDescent="0.2">
      <c r="B46" s="37"/>
      <c r="C46" s="37" t="str">
        <f>IF(D46="","",MATCH(D46,Parametros!$B$4:$B$15,0))</f>
        <v/>
      </c>
      <c r="D46" s="38"/>
      <c r="E46" s="38"/>
      <c r="F46" s="38"/>
      <c r="G46" s="38"/>
      <c r="H46" s="38"/>
      <c r="I46" s="39"/>
      <c r="J46" s="38"/>
    </row>
    <row r="47" spans="2:10" ht="12.75" customHeight="1" x14ac:dyDescent="0.2">
      <c r="B47" s="37"/>
      <c r="C47" s="37" t="str">
        <f>IF(D47="","",MATCH(D47,Parametros!$B$4:$B$15,0))</f>
        <v/>
      </c>
      <c r="D47" s="38"/>
      <c r="E47" s="38"/>
      <c r="F47" s="38"/>
      <c r="G47" s="38"/>
      <c r="H47" s="38"/>
      <c r="I47" s="39"/>
      <c r="J47" s="38"/>
    </row>
    <row r="48" spans="2:10" ht="12.75" customHeight="1" x14ac:dyDescent="0.2">
      <c r="B48" s="37"/>
      <c r="C48" s="37" t="str">
        <f>IF(D48="","",MATCH(D48,Parametros!$B$4:$B$15,0))</f>
        <v/>
      </c>
      <c r="D48" s="38"/>
      <c r="E48" s="38"/>
      <c r="F48" s="38"/>
      <c r="G48" s="38"/>
      <c r="H48" s="38"/>
      <c r="I48" s="39"/>
      <c r="J48" s="38"/>
    </row>
    <row r="49" spans="2:10" ht="12.75" customHeight="1" x14ac:dyDescent="0.2">
      <c r="B49" s="37"/>
      <c r="C49" s="37" t="str">
        <f>IF(D49="","",MATCH(D49,Parametros!$B$4:$B$15,0))</f>
        <v/>
      </c>
      <c r="D49" s="38"/>
      <c r="E49" s="38"/>
      <c r="F49" s="38"/>
      <c r="G49" s="38"/>
      <c r="H49" s="38"/>
      <c r="I49" s="39"/>
      <c r="J49" s="38"/>
    </row>
    <row r="50" spans="2:10" ht="12.75" customHeight="1" x14ac:dyDescent="0.2">
      <c r="B50" s="37"/>
      <c r="C50" s="37" t="str">
        <f>IF(D50="","",MATCH(D50,Parametros!$B$4:$B$15,0))</f>
        <v/>
      </c>
      <c r="D50" s="38"/>
      <c r="E50" s="38"/>
      <c r="F50" s="38"/>
      <c r="G50" s="38"/>
      <c r="H50" s="38"/>
      <c r="I50" s="39"/>
      <c r="J50" s="38"/>
    </row>
    <row r="51" spans="2:10" ht="12.75" customHeight="1" x14ac:dyDescent="0.2">
      <c r="B51" s="37"/>
      <c r="C51" s="37" t="str">
        <f>IF(D51="","",MATCH(D51,Parametros!$B$4:$B$15,0))</f>
        <v/>
      </c>
      <c r="D51" s="38"/>
      <c r="E51" s="38"/>
      <c r="F51" s="38"/>
      <c r="G51" s="38"/>
      <c r="H51" s="38"/>
      <c r="I51" s="39"/>
      <c r="J51" s="38"/>
    </row>
    <row r="52" spans="2:10" ht="12.75" customHeight="1" x14ac:dyDescent="0.2">
      <c r="B52" s="37"/>
      <c r="C52" s="37" t="str">
        <f>IF(D52="","",MATCH(D52,Parametros!$B$4:$B$15,0))</f>
        <v/>
      </c>
      <c r="D52" s="38"/>
      <c r="E52" s="38"/>
      <c r="F52" s="38"/>
      <c r="G52" s="38"/>
      <c r="H52" s="38"/>
      <c r="I52" s="39"/>
      <c r="J52" s="38"/>
    </row>
    <row r="53" spans="2:10" ht="12.75" customHeight="1" x14ac:dyDescent="0.2">
      <c r="B53" s="37"/>
      <c r="C53" s="37" t="str">
        <f>IF(D53="","",MATCH(D53,Parametros!$B$4:$B$15,0))</f>
        <v/>
      </c>
      <c r="D53" s="38"/>
      <c r="E53" s="38"/>
      <c r="F53" s="38"/>
      <c r="G53" s="38"/>
      <c r="H53" s="38"/>
      <c r="I53" s="39"/>
      <c r="J53" s="38"/>
    </row>
    <row r="54" spans="2:10" ht="12.75" customHeight="1" x14ac:dyDescent="0.2">
      <c r="B54" s="37"/>
      <c r="C54" s="37" t="str">
        <f>IF(D54="","",MATCH(D54,Parametros!$B$4:$B$15,0))</f>
        <v/>
      </c>
      <c r="D54" s="38"/>
      <c r="E54" s="38"/>
      <c r="F54" s="38"/>
      <c r="G54" s="38"/>
      <c r="H54" s="38"/>
      <c r="I54" s="39"/>
      <c r="J54" s="38"/>
    </row>
    <row r="55" spans="2:10" ht="12.75" customHeight="1" x14ac:dyDescent="0.2">
      <c r="B55" s="37"/>
      <c r="C55" s="37" t="str">
        <f>IF(D55="","",MATCH(D55,Parametros!$B$4:$B$15,0))</f>
        <v/>
      </c>
      <c r="D55" s="38"/>
      <c r="E55" s="38"/>
      <c r="F55" s="38"/>
      <c r="G55" s="38"/>
      <c r="H55" s="38"/>
      <c r="I55" s="39"/>
      <c r="J55" s="38"/>
    </row>
    <row r="56" spans="2:10" ht="12.75" customHeight="1" x14ac:dyDescent="0.2">
      <c r="B56" s="37"/>
      <c r="C56" s="37" t="str">
        <f>IF(D56="","",MATCH(D56,Parametros!$B$4:$B$15,0))</f>
        <v/>
      </c>
      <c r="D56" s="38"/>
      <c r="E56" s="38"/>
      <c r="F56" s="38"/>
      <c r="G56" s="38"/>
      <c r="H56" s="38"/>
      <c r="I56" s="39"/>
      <c r="J56" s="38"/>
    </row>
    <row r="57" spans="2:10" ht="12.75" customHeight="1" x14ac:dyDescent="0.2">
      <c r="B57" s="37"/>
      <c r="C57" s="37" t="str">
        <f>IF(D57="","",MATCH(D57,Parametros!$B$4:$B$15,0))</f>
        <v/>
      </c>
      <c r="D57" s="38"/>
      <c r="E57" s="38"/>
      <c r="F57" s="38"/>
      <c r="G57" s="38"/>
      <c r="H57" s="38"/>
      <c r="I57" s="39"/>
      <c r="J57" s="38"/>
    </row>
    <row r="58" spans="2:10" ht="12.75" customHeight="1" x14ac:dyDescent="0.2">
      <c r="B58" s="37"/>
      <c r="C58" s="37" t="str">
        <f>IF(D58="","",MATCH(D58,Parametros!$B$4:$B$15,0))</f>
        <v/>
      </c>
      <c r="D58" s="38"/>
      <c r="E58" s="38"/>
      <c r="F58" s="38"/>
      <c r="G58" s="38"/>
      <c r="H58" s="38"/>
      <c r="I58" s="39"/>
      <c r="J58" s="38"/>
    </row>
    <row r="59" spans="2:10" ht="12.75" customHeight="1" x14ac:dyDescent="0.2">
      <c r="B59" s="37"/>
      <c r="C59" s="37" t="str">
        <f>IF(D59="","",MATCH(D59,Parametros!$B$4:$B$15,0))</f>
        <v/>
      </c>
      <c r="D59" s="38"/>
      <c r="E59" s="38"/>
      <c r="F59" s="38"/>
      <c r="G59" s="38"/>
      <c r="H59" s="38"/>
      <c r="I59" s="39"/>
      <c r="J59" s="38"/>
    </row>
    <row r="60" spans="2:10" ht="12.75" customHeight="1" x14ac:dyDescent="0.2">
      <c r="B60" s="37"/>
      <c r="C60" s="37" t="str">
        <f>IF(D60="","",MATCH(D60,Parametros!$B$4:$B$15,0))</f>
        <v/>
      </c>
      <c r="D60" s="38"/>
      <c r="E60" s="38"/>
      <c r="F60" s="38"/>
      <c r="G60" s="38"/>
      <c r="H60" s="38"/>
      <c r="I60" s="39"/>
      <c r="J60" s="38"/>
    </row>
    <row r="61" spans="2:10" ht="12.75" customHeight="1" x14ac:dyDescent="0.2">
      <c r="B61" s="37"/>
      <c r="C61" s="37" t="str">
        <f>IF(D61="","",MATCH(D61,Parametros!$B$4:$B$15,0))</f>
        <v/>
      </c>
      <c r="D61" s="38"/>
      <c r="E61" s="38"/>
      <c r="F61" s="38"/>
      <c r="G61" s="38"/>
      <c r="H61" s="38"/>
      <c r="I61" s="39"/>
      <c r="J61" s="38"/>
    </row>
    <row r="62" spans="2:10" ht="12.75" customHeight="1" x14ac:dyDescent="0.2">
      <c r="B62" s="37"/>
      <c r="C62" s="37" t="str">
        <f>IF(D62="","",MATCH(D62,Parametros!$B$4:$B$15,0))</f>
        <v/>
      </c>
      <c r="D62" s="38"/>
      <c r="E62" s="38"/>
      <c r="F62" s="38"/>
      <c r="G62" s="38"/>
      <c r="H62" s="38"/>
      <c r="I62" s="39"/>
      <c r="J62" s="38"/>
    </row>
    <row r="63" spans="2:10" ht="12.75" customHeight="1" x14ac:dyDescent="0.2">
      <c r="B63" s="37"/>
      <c r="C63" s="37" t="str">
        <f>IF(D63="","",MATCH(D63,Parametros!$B$4:$B$15,0))</f>
        <v/>
      </c>
      <c r="D63" s="38"/>
      <c r="E63" s="38"/>
      <c r="F63" s="38"/>
      <c r="G63" s="38"/>
      <c r="H63" s="38"/>
      <c r="I63" s="39"/>
      <c r="J63" s="38"/>
    </row>
    <row r="64" spans="2:10" ht="12.75" customHeight="1" x14ac:dyDescent="0.2">
      <c r="B64" s="37"/>
      <c r="C64" s="37" t="str">
        <f>IF(D64="","",MATCH(D64,Parametros!$B$4:$B$15,0))</f>
        <v/>
      </c>
      <c r="D64" s="38"/>
      <c r="E64" s="38"/>
      <c r="F64" s="38"/>
      <c r="G64" s="38"/>
      <c r="H64" s="38"/>
      <c r="I64" s="39"/>
      <c r="J64" s="38"/>
    </row>
    <row r="65" spans="2:10" ht="12.75" customHeight="1" x14ac:dyDescent="0.2">
      <c r="B65" s="37"/>
      <c r="C65" s="37" t="str">
        <f>IF(D65="","",MATCH(D65,Parametros!$B$4:$B$15,0))</f>
        <v/>
      </c>
      <c r="D65" s="38"/>
      <c r="E65" s="38"/>
      <c r="F65" s="38"/>
      <c r="G65" s="38"/>
      <c r="H65" s="38"/>
      <c r="I65" s="39"/>
      <c r="J65" s="38"/>
    </row>
    <row r="66" spans="2:10" ht="12.75" customHeight="1" x14ac:dyDescent="0.2">
      <c r="B66" s="37"/>
      <c r="C66" s="37" t="str">
        <f>IF(D66="","",MATCH(D66,Parametros!$B$4:$B$15,0))</f>
        <v/>
      </c>
      <c r="D66" s="38"/>
      <c r="E66" s="38"/>
      <c r="F66" s="38"/>
      <c r="G66" s="38"/>
      <c r="H66" s="38"/>
      <c r="I66" s="39"/>
      <c r="J66" s="38"/>
    </row>
    <row r="67" spans="2:10" ht="12.75" customHeight="1" x14ac:dyDescent="0.2">
      <c r="B67" s="37"/>
      <c r="C67" s="37" t="str">
        <f>IF(D67="","",MATCH(D67,Parametros!$B$4:$B$15,0))</f>
        <v/>
      </c>
      <c r="D67" s="38"/>
      <c r="E67" s="38"/>
      <c r="F67" s="38"/>
      <c r="G67" s="38"/>
      <c r="H67" s="38"/>
      <c r="I67" s="39"/>
      <c r="J67" s="38"/>
    </row>
    <row r="68" spans="2:10" ht="12.75" customHeight="1" x14ac:dyDescent="0.2">
      <c r="B68" s="37"/>
      <c r="C68" s="37" t="str">
        <f>IF(D68="","",MATCH(D68,Parametros!$B$4:$B$15,0))</f>
        <v/>
      </c>
      <c r="D68" s="38"/>
      <c r="E68" s="38"/>
      <c r="F68" s="38"/>
      <c r="G68" s="38"/>
      <c r="H68" s="38"/>
      <c r="I68" s="39"/>
      <c r="J68" s="38"/>
    </row>
    <row r="69" spans="2:10" ht="12.75" customHeight="1" x14ac:dyDescent="0.2">
      <c r="B69" s="37"/>
      <c r="C69" s="37" t="str">
        <f>IF(D69="","",MATCH(D69,Parametros!$B$4:$B$15,0))</f>
        <v/>
      </c>
      <c r="D69" s="38"/>
      <c r="E69" s="38"/>
      <c r="F69" s="38"/>
      <c r="G69" s="38"/>
      <c r="H69" s="38"/>
      <c r="I69" s="39"/>
      <c r="J69" s="38"/>
    </row>
    <row r="70" spans="2:10" ht="12.75" customHeight="1" x14ac:dyDescent="0.2">
      <c r="B70" s="37"/>
      <c r="C70" s="37" t="str">
        <f>IF(D70="","",MATCH(D70,Parametros!$B$4:$B$15,0))</f>
        <v/>
      </c>
      <c r="D70" s="38"/>
      <c r="E70" s="38"/>
      <c r="F70" s="38"/>
      <c r="G70" s="38"/>
      <c r="H70" s="38"/>
      <c r="I70" s="39"/>
      <c r="J70" s="38"/>
    </row>
    <row r="71" spans="2:10" ht="12.75" customHeight="1" x14ac:dyDescent="0.2">
      <c r="B71" s="37"/>
      <c r="C71" s="37" t="str">
        <f>IF(D71="","",MATCH(D71,Parametros!$B$4:$B$15,0))</f>
        <v/>
      </c>
      <c r="D71" s="38"/>
      <c r="E71" s="38"/>
      <c r="F71" s="38"/>
      <c r="G71" s="38"/>
      <c r="H71" s="38"/>
      <c r="I71" s="39"/>
      <c r="J71" s="38"/>
    </row>
    <row r="72" spans="2:10" ht="12.75" customHeight="1" x14ac:dyDescent="0.2">
      <c r="B72" s="37"/>
      <c r="C72" s="37" t="str">
        <f>IF(D72="","",MATCH(D72,Parametros!$B$4:$B$15,0))</f>
        <v/>
      </c>
      <c r="D72" s="38"/>
      <c r="E72" s="38"/>
      <c r="F72" s="38"/>
      <c r="G72" s="38"/>
      <c r="H72" s="38"/>
      <c r="I72" s="39"/>
      <c r="J72" s="38"/>
    </row>
    <row r="73" spans="2:10" ht="12.75" customHeight="1" x14ac:dyDescent="0.2">
      <c r="B73" s="37"/>
      <c r="C73" s="37" t="str">
        <f>IF(D73="","",MATCH(D73,Parametros!$B$4:$B$15,0))</f>
        <v/>
      </c>
      <c r="D73" s="38"/>
      <c r="E73" s="38"/>
      <c r="F73" s="38"/>
      <c r="G73" s="38"/>
      <c r="H73" s="38"/>
      <c r="I73" s="39"/>
      <c r="J73" s="38"/>
    </row>
    <row r="74" spans="2:10" ht="12.75" customHeight="1" x14ac:dyDescent="0.2">
      <c r="B74" s="37"/>
      <c r="C74" s="37" t="str">
        <f>IF(D74="","",MATCH(D74,Parametros!$B$4:$B$15,0))</f>
        <v/>
      </c>
      <c r="D74" s="38"/>
      <c r="E74" s="38"/>
      <c r="F74" s="38"/>
      <c r="G74" s="38"/>
      <c r="H74" s="38"/>
      <c r="I74" s="39"/>
      <c r="J74" s="38"/>
    </row>
    <row r="75" spans="2:10" ht="12.75" customHeight="1" x14ac:dyDescent="0.2">
      <c r="B75" s="37"/>
      <c r="C75" s="37" t="str">
        <f>IF(D75="","",MATCH(D75,Parametros!$B$4:$B$15,0))</f>
        <v/>
      </c>
      <c r="D75" s="38"/>
      <c r="E75" s="38"/>
      <c r="F75" s="38"/>
      <c r="G75" s="38"/>
      <c r="H75" s="38"/>
      <c r="I75" s="39"/>
      <c r="J75" s="38"/>
    </row>
    <row r="76" spans="2:10" ht="12.75" customHeight="1" x14ac:dyDescent="0.2">
      <c r="B76" s="37"/>
      <c r="C76" s="37" t="str">
        <f>IF(D76="","",MATCH(D76,Parametros!$B$4:$B$15,0))</f>
        <v/>
      </c>
      <c r="D76" s="38"/>
      <c r="E76" s="38"/>
      <c r="F76" s="38"/>
      <c r="G76" s="38"/>
      <c r="H76" s="38"/>
      <c r="I76" s="39"/>
      <c r="J76" s="38"/>
    </row>
    <row r="77" spans="2:10" ht="12.75" customHeight="1" x14ac:dyDescent="0.2">
      <c r="B77" s="37"/>
      <c r="C77" s="37" t="str">
        <f>IF(D77="","",MATCH(D77,Parametros!$B$4:$B$15,0))</f>
        <v/>
      </c>
      <c r="D77" s="38"/>
      <c r="E77" s="38"/>
      <c r="F77" s="38"/>
      <c r="G77" s="38"/>
      <c r="H77" s="38"/>
      <c r="I77" s="39"/>
      <c r="J77" s="38"/>
    </row>
    <row r="78" spans="2:10" ht="12.75" customHeight="1" x14ac:dyDescent="0.2">
      <c r="B78" s="37"/>
      <c r="C78" s="37" t="str">
        <f>IF(D78="","",MATCH(D78,Parametros!$B$4:$B$15,0))</f>
        <v/>
      </c>
      <c r="D78" s="38"/>
      <c r="E78" s="38"/>
      <c r="F78" s="38"/>
      <c r="G78" s="38"/>
      <c r="H78" s="38"/>
      <c r="I78" s="39"/>
      <c r="J78" s="38"/>
    </row>
    <row r="79" spans="2:10" ht="12.75" customHeight="1" x14ac:dyDescent="0.2">
      <c r="B79" s="37"/>
      <c r="C79" s="37" t="str">
        <f>IF(D79="","",MATCH(D79,Parametros!$B$4:$B$15,0))</f>
        <v/>
      </c>
      <c r="D79" s="38"/>
      <c r="E79" s="38"/>
      <c r="F79" s="38"/>
      <c r="G79" s="38"/>
      <c r="H79" s="38"/>
      <c r="I79" s="39"/>
      <c r="J79" s="38"/>
    </row>
    <row r="80" spans="2:10" ht="12.75" customHeight="1" x14ac:dyDescent="0.2">
      <c r="B80" s="37"/>
      <c r="C80" s="37" t="str">
        <f>IF(D80="","",MATCH(D80,Parametros!$B$4:$B$15,0))</f>
        <v/>
      </c>
      <c r="D80" s="38"/>
      <c r="E80" s="38"/>
      <c r="F80" s="38"/>
      <c r="G80" s="38"/>
      <c r="H80" s="38"/>
      <c r="I80" s="39"/>
      <c r="J80" s="38"/>
    </row>
    <row r="81" spans="2:10" ht="12.75" customHeight="1" x14ac:dyDescent="0.2">
      <c r="B81" s="37"/>
      <c r="C81" s="37" t="str">
        <f>IF(D81="","",MATCH(D81,Parametros!$B$4:$B$15,0))</f>
        <v/>
      </c>
      <c r="D81" s="38"/>
      <c r="E81" s="38"/>
      <c r="F81" s="38"/>
      <c r="G81" s="38"/>
      <c r="H81" s="38"/>
      <c r="I81" s="39"/>
      <c r="J81" s="38"/>
    </row>
    <row r="82" spans="2:10" ht="12.75" customHeight="1" x14ac:dyDescent="0.2">
      <c r="B82" s="37"/>
      <c r="C82" s="37" t="str">
        <f>IF(D82="","",MATCH(D82,Parametros!$B$4:$B$15,0))</f>
        <v/>
      </c>
      <c r="D82" s="38"/>
      <c r="E82" s="38"/>
      <c r="F82" s="38"/>
      <c r="G82" s="38"/>
      <c r="H82" s="38"/>
      <c r="I82" s="39"/>
      <c r="J82" s="38"/>
    </row>
    <row r="83" spans="2:10" ht="12.75" customHeight="1" x14ac:dyDescent="0.2">
      <c r="B83" s="37"/>
      <c r="C83" s="37" t="str">
        <f>IF(D83="","",MATCH(D83,Parametros!$B$4:$B$15,0))</f>
        <v/>
      </c>
      <c r="D83" s="38"/>
      <c r="E83" s="38"/>
      <c r="F83" s="38"/>
      <c r="G83" s="38"/>
      <c r="H83" s="38"/>
      <c r="I83" s="39"/>
      <c r="J83" s="38"/>
    </row>
    <row r="84" spans="2:10" ht="12.75" customHeight="1" x14ac:dyDescent="0.2">
      <c r="B84" s="37"/>
      <c r="C84" s="37" t="str">
        <f>IF(D84="","",MATCH(D84,Parametros!$B$4:$B$15,0))</f>
        <v/>
      </c>
      <c r="D84" s="38"/>
      <c r="E84" s="38"/>
      <c r="F84" s="38"/>
      <c r="G84" s="38"/>
      <c r="H84" s="38"/>
      <c r="I84" s="39"/>
      <c r="J84" s="38"/>
    </row>
    <row r="85" spans="2:10" ht="12.75" customHeight="1" x14ac:dyDescent="0.2">
      <c r="B85" s="37"/>
      <c r="C85" s="37" t="str">
        <f>IF(D85="","",MATCH(D85,Parametros!$B$4:$B$15,0))</f>
        <v/>
      </c>
      <c r="D85" s="38"/>
      <c r="E85" s="38"/>
      <c r="F85" s="38"/>
      <c r="G85" s="38"/>
      <c r="H85" s="38"/>
      <c r="I85" s="39"/>
      <c r="J85" s="38"/>
    </row>
    <row r="86" spans="2:10" ht="12.75" customHeight="1" x14ac:dyDescent="0.2">
      <c r="B86" s="37"/>
      <c r="C86" s="37" t="str">
        <f>IF(D86="","",MATCH(D86,Parametros!$B$4:$B$15,0))</f>
        <v/>
      </c>
      <c r="D86" s="38"/>
      <c r="E86" s="38"/>
      <c r="F86" s="38"/>
      <c r="G86" s="38"/>
      <c r="H86" s="38"/>
      <c r="I86" s="39"/>
      <c r="J86" s="38"/>
    </row>
    <row r="87" spans="2:10" ht="12.75" customHeight="1" x14ac:dyDescent="0.2">
      <c r="B87" s="37"/>
      <c r="C87" s="37" t="str">
        <f>IF(D87="","",MATCH(D87,Parametros!$B$4:$B$15,0))</f>
        <v/>
      </c>
      <c r="D87" s="38"/>
      <c r="E87" s="38"/>
      <c r="F87" s="38"/>
      <c r="G87" s="38"/>
      <c r="H87" s="38"/>
      <c r="I87" s="39"/>
      <c r="J87" s="38"/>
    </row>
    <row r="88" spans="2:10" ht="12.75" customHeight="1" x14ac:dyDescent="0.2">
      <c r="B88" s="37"/>
      <c r="C88" s="37" t="str">
        <f>IF(D88="","",MATCH(D88,Parametros!$B$4:$B$15,0))</f>
        <v/>
      </c>
      <c r="D88" s="38"/>
      <c r="E88" s="38"/>
      <c r="F88" s="38"/>
      <c r="G88" s="38"/>
      <c r="H88" s="38"/>
      <c r="I88" s="39"/>
      <c r="J88" s="38"/>
    </row>
    <row r="89" spans="2:10" ht="12.75" customHeight="1" x14ac:dyDescent="0.2">
      <c r="B89" s="37"/>
      <c r="C89" s="37" t="str">
        <f>IF(D89="","",MATCH(D89,Parametros!$B$4:$B$15,0))</f>
        <v/>
      </c>
      <c r="D89" s="38"/>
      <c r="E89" s="38"/>
      <c r="F89" s="38"/>
      <c r="G89" s="38"/>
      <c r="H89" s="38"/>
      <c r="I89" s="39"/>
      <c r="J89" s="38"/>
    </row>
    <row r="90" spans="2:10" ht="12.75" customHeight="1" x14ac:dyDescent="0.2">
      <c r="B90" s="37"/>
      <c r="C90" s="37" t="str">
        <f>IF(D90="","",MATCH(D90,Parametros!$B$4:$B$15,0))</f>
        <v/>
      </c>
      <c r="D90" s="38"/>
      <c r="E90" s="38"/>
      <c r="F90" s="38"/>
      <c r="G90" s="38"/>
      <c r="H90" s="38"/>
      <c r="I90" s="39"/>
      <c r="J90" s="38"/>
    </row>
    <row r="91" spans="2:10" ht="12.75" customHeight="1" x14ac:dyDescent="0.2">
      <c r="B91" s="37"/>
      <c r="C91" s="37" t="str">
        <f>IF(D91="","",MATCH(D91,Parametros!$B$4:$B$15,0))</f>
        <v/>
      </c>
      <c r="D91" s="38"/>
      <c r="E91" s="38"/>
      <c r="F91" s="38"/>
      <c r="G91" s="38"/>
      <c r="H91" s="38"/>
      <c r="I91" s="39"/>
      <c r="J91" s="38"/>
    </row>
    <row r="92" spans="2:10" ht="12.75" customHeight="1" x14ac:dyDescent="0.2">
      <c r="B92" s="37"/>
      <c r="C92" s="37" t="str">
        <f>IF(D92="","",MATCH(D92,Parametros!$B$4:$B$15,0))</f>
        <v/>
      </c>
      <c r="D92" s="38"/>
      <c r="E92" s="38"/>
      <c r="F92" s="38"/>
      <c r="G92" s="38"/>
      <c r="H92" s="38"/>
      <c r="I92" s="39"/>
      <c r="J92" s="38"/>
    </row>
    <row r="93" spans="2:10" ht="12.75" customHeight="1" x14ac:dyDescent="0.2">
      <c r="B93" s="37"/>
      <c r="C93" s="37" t="str">
        <f>IF(D93="","",MATCH(D93,Parametros!$B$4:$B$15,0))</f>
        <v/>
      </c>
      <c r="D93" s="38"/>
      <c r="E93" s="38"/>
      <c r="F93" s="38"/>
      <c r="G93" s="38"/>
      <c r="H93" s="38"/>
      <c r="I93" s="39"/>
      <c r="J93" s="38"/>
    </row>
    <row r="94" spans="2:10" ht="12.75" customHeight="1" x14ac:dyDescent="0.2">
      <c r="B94" s="37"/>
      <c r="C94" s="37" t="str">
        <f>IF(D94="","",MATCH(D94,Parametros!$B$4:$B$15,0))</f>
        <v/>
      </c>
      <c r="D94" s="38"/>
      <c r="E94" s="38"/>
      <c r="F94" s="38"/>
      <c r="G94" s="38"/>
      <c r="H94" s="38"/>
      <c r="I94" s="39"/>
      <c r="J94" s="38"/>
    </row>
    <row r="95" spans="2:10" ht="12.75" customHeight="1" x14ac:dyDescent="0.2">
      <c r="B95" s="37"/>
      <c r="C95" s="37" t="str">
        <f>IF(D95="","",MATCH(D95,Parametros!$B$4:$B$15,0))</f>
        <v/>
      </c>
      <c r="D95" s="38"/>
      <c r="E95" s="38"/>
      <c r="F95" s="38"/>
      <c r="G95" s="38"/>
      <c r="H95" s="38"/>
      <c r="I95" s="39"/>
      <c r="J95" s="38"/>
    </row>
    <row r="96" spans="2:10" ht="12.75" customHeight="1" x14ac:dyDescent="0.2">
      <c r="B96" s="37"/>
      <c r="C96" s="37" t="str">
        <f>IF(D96="","",MATCH(D96,Parametros!$B$4:$B$15,0))</f>
        <v/>
      </c>
      <c r="D96" s="38"/>
      <c r="E96" s="38"/>
      <c r="F96" s="38"/>
      <c r="G96" s="38"/>
      <c r="H96" s="38"/>
      <c r="I96" s="39"/>
      <c r="J96" s="38"/>
    </row>
    <row r="97" spans="2:10" ht="12.75" customHeight="1" x14ac:dyDescent="0.2">
      <c r="B97" s="37"/>
      <c r="C97" s="37" t="str">
        <f>IF(D97="","",MATCH(D97,Parametros!$B$4:$B$15,0))</f>
        <v/>
      </c>
      <c r="D97" s="38"/>
      <c r="E97" s="38"/>
      <c r="F97" s="38"/>
      <c r="G97" s="38"/>
      <c r="H97" s="38"/>
      <c r="I97" s="39"/>
      <c r="J97" s="38"/>
    </row>
    <row r="98" spans="2:10" ht="12.75" customHeight="1" x14ac:dyDescent="0.2">
      <c r="B98" s="37"/>
      <c r="C98" s="37" t="str">
        <f>IF(D98="","",MATCH(D98,Parametros!$B$4:$B$15,0))</f>
        <v/>
      </c>
      <c r="D98" s="38"/>
      <c r="E98" s="38"/>
      <c r="F98" s="38"/>
      <c r="G98" s="38"/>
      <c r="H98" s="38"/>
      <c r="I98" s="39"/>
      <c r="J98" s="38"/>
    </row>
    <row r="99" spans="2:10" ht="12.75" customHeight="1" x14ac:dyDescent="0.2">
      <c r="B99" s="37"/>
      <c r="C99" s="37" t="str">
        <f>IF(D99="","",MATCH(D99,Parametros!$B$4:$B$15,0))</f>
        <v/>
      </c>
      <c r="D99" s="38"/>
      <c r="E99" s="38"/>
      <c r="F99" s="38"/>
      <c r="G99" s="38"/>
      <c r="H99" s="38"/>
      <c r="I99" s="39"/>
      <c r="J99" s="38"/>
    </row>
    <row r="100" spans="2:10" ht="12.75" customHeight="1" x14ac:dyDescent="0.2">
      <c r="B100" s="37"/>
      <c r="C100" s="37" t="str">
        <f>IF(D100="","",MATCH(D100,Parametros!$B$4:$B$15,0))</f>
        <v/>
      </c>
      <c r="D100" s="38"/>
      <c r="E100" s="38"/>
      <c r="F100" s="38"/>
      <c r="G100" s="38"/>
      <c r="H100" s="38"/>
      <c r="I100" s="39"/>
      <c r="J100" s="38"/>
    </row>
    <row r="101" spans="2:10" ht="12.75" customHeight="1" x14ac:dyDescent="0.2">
      <c r="B101" s="37"/>
      <c r="C101" s="37" t="str">
        <f>IF(D101="","",MATCH(D101,Parametros!$B$4:$B$15,0))</f>
        <v/>
      </c>
      <c r="D101" s="38"/>
      <c r="E101" s="38"/>
      <c r="F101" s="38"/>
      <c r="G101" s="38"/>
      <c r="H101" s="38"/>
      <c r="I101" s="39"/>
      <c r="J101" s="38"/>
    </row>
    <row r="102" spans="2:10" ht="12.75" customHeight="1" x14ac:dyDescent="0.2">
      <c r="B102" s="37"/>
      <c r="C102" s="37" t="str">
        <f>IF(D102="","",MATCH(D102,Parametros!$B$4:$B$15,0))</f>
        <v/>
      </c>
      <c r="D102" s="38"/>
      <c r="E102" s="38"/>
      <c r="F102" s="38"/>
      <c r="G102" s="38"/>
      <c r="H102" s="38"/>
      <c r="I102" s="39"/>
      <c r="J102" s="38"/>
    </row>
    <row r="103" spans="2:10" ht="12.75" customHeight="1" x14ac:dyDescent="0.2">
      <c r="B103" s="37"/>
      <c r="C103" s="37" t="str">
        <f>IF(D103="","",MATCH(D103,Parametros!$B$4:$B$15,0))</f>
        <v/>
      </c>
      <c r="D103" s="38"/>
      <c r="E103" s="38"/>
      <c r="F103" s="38"/>
      <c r="G103" s="38"/>
      <c r="H103" s="38"/>
      <c r="I103" s="39"/>
      <c r="J103" s="38"/>
    </row>
    <row r="104" spans="2:10" ht="12.75" customHeight="1" x14ac:dyDescent="0.2">
      <c r="B104" s="37"/>
      <c r="C104" s="37" t="str">
        <f>IF(D104="","",MATCH(D104,Parametros!$B$4:$B$15,0))</f>
        <v/>
      </c>
      <c r="D104" s="38"/>
      <c r="E104" s="38"/>
      <c r="F104" s="38"/>
      <c r="G104" s="38"/>
      <c r="H104" s="38"/>
      <c r="I104" s="39"/>
      <c r="J104" s="38"/>
    </row>
    <row r="105" spans="2:10" ht="12.75" customHeight="1" x14ac:dyDescent="0.2">
      <c r="B105" s="37"/>
      <c r="C105" s="37" t="str">
        <f>IF(D105="","",MATCH(D105,Parametros!$B$4:$B$15,0))</f>
        <v/>
      </c>
      <c r="D105" s="38"/>
      <c r="E105" s="38"/>
      <c r="F105" s="38"/>
      <c r="G105" s="38"/>
      <c r="H105" s="38"/>
      <c r="I105" s="39"/>
      <c r="J105" s="38"/>
    </row>
    <row r="106" spans="2:10" ht="12.75" customHeight="1" x14ac:dyDescent="0.2">
      <c r="B106" s="37"/>
      <c r="C106" s="37" t="str">
        <f>IF(D106="","",MATCH(D106,Parametros!$B$4:$B$15,0))</f>
        <v/>
      </c>
      <c r="D106" s="38"/>
      <c r="E106" s="38"/>
      <c r="F106" s="38"/>
      <c r="G106" s="38"/>
      <c r="H106" s="38"/>
      <c r="I106" s="39"/>
      <c r="J106" s="38"/>
    </row>
    <row r="107" spans="2:10" ht="12.75" customHeight="1" x14ac:dyDescent="0.2">
      <c r="B107" s="37"/>
      <c r="C107" s="37" t="str">
        <f>IF(D107="","",MATCH(D107,Parametros!$B$4:$B$15,0))</f>
        <v/>
      </c>
      <c r="D107" s="38"/>
      <c r="E107" s="38"/>
      <c r="F107" s="38"/>
      <c r="G107" s="38"/>
      <c r="H107" s="38"/>
      <c r="I107" s="39"/>
      <c r="J107" s="38"/>
    </row>
    <row r="108" spans="2:10" ht="12.75" customHeight="1" x14ac:dyDescent="0.2">
      <c r="B108" s="37"/>
      <c r="C108" s="37" t="str">
        <f>IF(D108="","",MATCH(D108,Parametros!$B$4:$B$15,0))</f>
        <v/>
      </c>
      <c r="D108" s="38"/>
      <c r="E108" s="38"/>
      <c r="F108" s="38"/>
      <c r="G108" s="38"/>
      <c r="H108" s="38"/>
      <c r="I108" s="39"/>
      <c r="J108" s="38"/>
    </row>
    <row r="109" spans="2:10" ht="12.75" customHeight="1" x14ac:dyDescent="0.2">
      <c r="B109" s="37"/>
      <c r="C109" s="37" t="str">
        <f>IF(D109="","",MATCH(D109,Parametros!$B$4:$B$15,0))</f>
        <v/>
      </c>
      <c r="D109" s="38"/>
      <c r="E109" s="38"/>
      <c r="F109" s="38"/>
      <c r="G109" s="38"/>
      <c r="H109" s="38"/>
      <c r="I109" s="39"/>
      <c r="J109" s="38"/>
    </row>
    <row r="110" spans="2:10" ht="12.75" customHeight="1" x14ac:dyDescent="0.2">
      <c r="B110" s="37"/>
      <c r="C110" s="37" t="str">
        <f>IF(D110="","",MATCH(D110,Parametros!$B$4:$B$15,0))</f>
        <v/>
      </c>
      <c r="D110" s="38"/>
      <c r="E110" s="38"/>
      <c r="F110" s="38"/>
      <c r="G110" s="38"/>
      <c r="H110" s="38"/>
      <c r="I110" s="39"/>
      <c r="J110" s="38"/>
    </row>
    <row r="111" spans="2:10" ht="12.75" customHeight="1" x14ac:dyDescent="0.2">
      <c r="B111" s="37"/>
      <c r="C111" s="37" t="str">
        <f>IF(D111="","",MATCH(D111,Parametros!$B$4:$B$15,0))</f>
        <v/>
      </c>
      <c r="D111" s="38"/>
      <c r="E111" s="38"/>
      <c r="F111" s="38"/>
      <c r="G111" s="38"/>
      <c r="H111" s="38"/>
      <c r="I111" s="39"/>
      <c r="J111" s="38"/>
    </row>
    <row r="112" spans="2:10" ht="12.75" customHeight="1" x14ac:dyDescent="0.2">
      <c r="B112" s="37"/>
      <c r="C112" s="37" t="str">
        <f>IF(D112="","",MATCH(D112,Parametros!$B$4:$B$15,0))</f>
        <v/>
      </c>
      <c r="D112" s="38"/>
      <c r="E112" s="38"/>
      <c r="F112" s="38"/>
      <c r="G112" s="38"/>
      <c r="H112" s="38"/>
      <c r="I112" s="39"/>
      <c r="J112" s="38"/>
    </row>
    <row r="113" spans="2:10" ht="12.75" customHeight="1" x14ac:dyDescent="0.2">
      <c r="B113" s="37"/>
      <c r="C113" s="37" t="str">
        <f>IF(D113="","",MATCH(D113,Parametros!$B$4:$B$15,0))</f>
        <v/>
      </c>
      <c r="D113" s="38"/>
      <c r="E113" s="38"/>
      <c r="F113" s="38"/>
      <c r="G113" s="38"/>
      <c r="H113" s="38"/>
      <c r="I113" s="39"/>
      <c r="J113" s="38"/>
    </row>
    <row r="114" spans="2:10" ht="12.75" customHeight="1" x14ac:dyDescent="0.2">
      <c r="B114" s="37"/>
      <c r="C114" s="37" t="str">
        <f>IF(D114="","",MATCH(D114,Parametros!$B$4:$B$15,0))</f>
        <v/>
      </c>
      <c r="D114" s="38"/>
      <c r="E114" s="38"/>
      <c r="F114" s="38"/>
      <c r="G114" s="38"/>
      <c r="H114" s="38"/>
      <c r="I114" s="39"/>
      <c r="J114" s="38"/>
    </row>
    <row r="115" spans="2:10" ht="12.75" customHeight="1" x14ac:dyDescent="0.2">
      <c r="B115" s="37"/>
      <c r="C115" s="37" t="str">
        <f>IF(D115="","",MATCH(D115,Parametros!$B$4:$B$15,0))</f>
        <v/>
      </c>
      <c r="D115" s="38"/>
      <c r="E115" s="38"/>
      <c r="F115" s="38"/>
      <c r="G115" s="38"/>
      <c r="H115" s="38"/>
      <c r="I115" s="39"/>
      <c r="J115" s="38"/>
    </row>
    <row r="116" spans="2:10" ht="12.75" customHeight="1" x14ac:dyDescent="0.2">
      <c r="B116" s="37"/>
      <c r="C116" s="37" t="str">
        <f>IF(D116="","",MATCH(D116,Parametros!$B$4:$B$15,0))</f>
        <v/>
      </c>
      <c r="D116" s="38"/>
      <c r="E116" s="38"/>
      <c r="F116" s="38"/>
      <c r="G116" s="38"/>
      <c r="H116" s="38"/>
      <c r="I116" s="39"/>
      <c r="J116" s="38"/>
    </row>
    <row r="117" spans="2:10" ht="12.75" customHeight="1" x14ac:dyDescent="0.2">
      <c r="B117" s="37"/>
      <c r="C117" s="37" t="str">
        <f>IF(D117="","",MATCH(D117,Parametros!$B$4:$B$15,0))</f>
        <v/>
      </c>
      <c r="D117" s="38"/>
      <c r="E117" s="38"/>
      <c r="F117" s="38"/>
      <c r="G117" s="38"/>
      <c r="H117" s="38"/>
      <c r="I117" s="39"/>
      <c r="J117" s="38"/>
    </row>
    <row r="118" spans="2:10" ht="12.75" customHeight="1" x14ac:dyDescent="0.2">
      <c r="B118" s="37"/>
      <c r="C118" s="37" t="str">
        <f>IF(D118="","",MATCH(D118,Parametros!$B$4:$B$15,0))</f>
        <v/>
      </c>
      <c r="D118" s="38"/>
      <c r="E118" s="38"/>
      <c r="F118" s="38"/>
      <c r="G118" s="38"/>
      <c r="H118" s="38"/>
      <c r="I118" s="39"/>
      <c r="J118" s="38"/>
    </row>
    <row r="119" spans="2:10" ht="12.75" customHeight="1" x14ac:dyDescent="0.2">
      <c r="B119" s="37"/>
      <c r="C119" s="37" t="str">
        <f>IF(D119="","",MATCH(D119,Parametros!$B$4:$B$15,0))</f>
        <v/>
      </c>
      <c r="D119" s="38"/>
      <c r="E119" s="38"/>
      <c r="F119" s="38"/>
      <c r="G119" s="38"/>
      <c r="H119" s="38"/>
      <c r="I119" s="39"/>
      <c r="J119" s="38"/>
    </row>
    <row r="120" spans="2:10" ht="12.75" customHeight="1" x14ac:dyDescent="0.2">
      <c r="B120" s="37"/>
      <c r="C120" s="37" t="str">
        <f>IF(D120="","",MATCH(D120,Parametros!$B$4:$B$15,0))</f>
        <v/>
      </c>
      <c r="D120" s="38"/>
      <c r="E120" s="38"/>
      <c r="F120" s="38"/>
      <c r="G120" s="38"/>
      <c r="H120" s="38"/>
      <c r="I120" s="39"/>
      <c r="J120" s="38"/>
    </row>
    <row r="121" spans="2:10" ht="12.75" customHeight="1" x14ac:dyDescent="0.2">
      <c r="B121" s="37"/>
      <c r="C121" s="37" t="str">
        <f>IF(D121="","",MATCH(D121,Parametros!$B$4:$B$15,0))</f>
        <v/>
      </c>
      <c r="D121" s="38"/>
      <c r="E121" s="38"/>
      <c r="F121" s="38"/>
      <c r="G121" s="38"/>
      <c r="H121" s="38"/>
      <c r="I121" s="39"/>
      <c r="J121" s="38"/>
    </row>
    <row r="122" spans="2:10" ht="12.75" customHeight="1" x14ac:dyDescent="0.2">
      <c r="B122" s="37"/>
      <c r="C122" s="37" t="str">
        <f>IF(D122="","",MATCH(D122,Parametros!$B$4:$B$15,0))</f>
        <v/>
      </c>
      <c r="D122" s="38"/>
      <c r="E122" s="38"/>
      <c r="F122" s="38"/>
      <c r="G122" s="38"/>
      <c r="H122" s="38"/>
      <c r="I122" s="39"/>
      <c r="J122" s="38"/>
    </row>
    <row r="123" spans="2:10" ht="12.75" customHeight="1" x14ac:dyDescent="0.2">
      <c r="B123" s="37"/>
      <c r="C123" s="37" t="str">
        <f>IF(D123="","",MATCH(D123,Parametros!$B$4:$B$15,0))</f>
        <v/>
      </c>
      <c r="D123" s="38"/>
      <c r="E123" s="38"/>
      <c r="F123" s="38"/>
      <c r="G123" s="38"/>
      <c r="H123" s="38"/>
      <c r="I123" s="39"/>
      <c r="J123" s="38"/>
    </row>
    <row r="124" spans="2:10" ht="12.75" customHeight="1" x14ac:dyDescent="0.2">
      <c r="B124" s="37"/>
      <c r="C124" s="37" t="str">
        <f>IF(D124="","",MATCH(D124,Parametros!$B$4:$B$15,0))</f>
        <v/>
      </c>
      <c r="D124" s="38"/>
      <c r="E124" s="38"/>
      <c r="F124" s="38"/>
      <c r="G124" s="38"/>
      <c r="H124" s="38"/>
      <c r="I124" s="39"/>
      <c r="J124" s="38"/>
    </row>
    <row r="125" spans="2:10" ht="12.75" customHeight="1" x14ac:dyDescent="0.2">
      <c r="B125" s="37"/>
      <c r="C125" s="37" t="str">
        <f>IF(D125="","",MATCH(D125,Parametros!$B$4:$B$15,0))</f>
        <v/>
      </c>
      <c r="D125" s="38"/>
      <c r="E125" s="38"/>
      <c r="F125" s="38"/>
      <c r="G125" s="38"/>
      <c r="H125" s="38"/>
      <c r="I125" s="39"/>
      <c r="J125" s="38"/>
    </row>
    <row r="126" spans="2:10" ht="12.75" customHeight="1" x14ac:dyDescent="0.2">
      <c r="B126" s="37"/>
      <c r="C126" s="37" t="str">
        <f>IF(D126="","",MATCH(D126,Parametros!$B$4:$B$15,0))</f>
        <v/>
      </c>
      <c r="D126" s="38"/>
      <c r="E126" s="38"/>
      <c r="F126" s="38"/>
      <c r="G126" s="38"/>
      <c r="H126" s="38"/>
      <c r="I126" s="39"/>
      <c r="J126" s="38"/>
    </row>
    <row r="127" spans="2:10" ht="12.75" customHeight="1" x14ac:dyDescent="0.2">
      <c r="B127" s="37"/>
      <c r="C127" s="37" t="str">
        <f>IF(D127="","",MATCH(D127,Parametros!$B$4:$B$15,0))</f>
        <v/>
      </c>
      <c r="D127" s="38"/>
      <c r="E127" s="38"/>
      <c r="F127" s="38"/>
      <c r="G127" s="38"/>
      <c r="H127" s="38"/>
      <c r="I127" s="39"/>
      <c r="J127" s="38"/>
    </row>
    <row r="128" spans="2:10" ht="12.75" customHeight="1" x14ac:dyDescent="0.2">
      <c r="B128" s="37"/>
      <c r="C128" s="37" t="str">
        <f>IF(D128="","",MATCH(D128,Parametros!$B$4:$B$15,0))</f>
        <v/>
      </c>
      <c r="D128" s="38"/>
      <c r="E128" s="38"/>
      <c r="F128" s="38"/>
      <c r="G128" s="38"/>
      <c r="H128" s="38"/>
      <c r="I128" s="39"/>
      <c r="J128" s="38"/>
    </row>
    <row r="129" spans="2:10" ht="12.75" customHeight="1" x14ac:dyDescent="0.2">
      <c r="B129" s="37"/>
      <c r="C129" s="37" t="str">
        <f>IF(D129="","",MATCH(D129,Parametros!$B$4:$B$15,0))</f>
        <v/>
      </c>
      <c r="D129" s="38"/>
      <c r="E129" s="38"/>
      <c r="F129" s="38"/>
      <c r="G129" s="38"/>
      <c r="H129" s="38"/>
      <c r="I129" s="39"/>
      <c r="J129" s="38"/>
    </row>
    <row r="130" spans="2:10" ht="12.75" customHeight="1" x14ac:dyDescent="0.2">
      <c r="B130" s="37"/>
      <c r="C130" s="37" t="str">
        <f>IF(D130="","",MATCH(D130,Parametros!$B$4:$B$15,0))</f>
        <v/>
      </c>
      <c r="D130" s="38"/>
      <c r="E130" s="38"/>
      <c r="F130" s="38"/>
      <c r="G130" s="38"/>
      <c r="H130" s="38"/>
      <c r="I130" s="39"/>
      <c r="J130" s="38"/>
    </row>
    <row r="131" spans="2:10" ht="12.75" customHeight="1" x14ac:dyDescent="0.2">
      <c r="B131" s="37"/>
      <c r="C131" s="37" t="str">
        <f>IF(D131="","",MATCH(D131,Parametros!$B$4:$B$15,0))</f>
        <v/>
      </c>
      <c r="D131" s="38"/>
      <c r="E131" s="38"/>
      <c r="F131" s="38"/>
      <c r="G131" s="38"/>
      <c r="H131" s="38"/>
      <c r="I131" s="39"/>
      <c r="J131" s="38"/>
    </row>
    <row r="132" spans="2:10" ht="12.75" customHeight="1" x14ac:dyDescent="0.2">
      <c r="B132" s="37"/>
      <c r="C132" s="37" t="str">
        <f>IF(D132="","",MATCH(D132,Parametros!$B$4:$B$15,0))</f>
        <v/>
      </c>
      <c r="D132" s="38"/>
      <c r="E132" s="38"/>
      <c r="F132" s="38"/>
      <c r="G132" s="38"/>
      <c r="H132" s="38"/>
      <c r="I132" s="39"/>
      <c r="J132" s="38"/>
    </row>
    <row r="133" spans="2:10" ht="12.75" customHeight="1" x14ac:dyDescent="0.2">
      <c r="B133" s="37"/>
      <c r="C133" s="37" t="str">
        <f>IF(D133="","",MATCH(D133,Parametros!$B$4:$B$15,0))</f>
        <v/>
      </c>
      <c r="D133" s="38"/>
      <c r="E133" s="38"/>
      <c r="F133" s="38"/>
      <c r="G133" s="38"/>
      <c r="H133" s="38"/>
      <c r="I133" s="39"/>
      <c r="J133" s="38"/>
    </row>
    <row r="134" spans="2:10" ht="12.75" customHeight="1" x14ac:dyDescent="0.2">
      <c r="B134" s="37"/>
      <c r="C134" s="37" t="str">
        <f>IF(D134="","",MATCH(D134,Parametros!$B$4:$B$15,0))</f>
        <v/>
      </c>
      <c r="D134" s="38"/>
      <c r="E134" s="38"/>
      <c r="F134" s="38"/>
      <c r="G134" s="38"/>
      <c r="H134" s="38"/>
      <c r="I134" s="39"/>
      <c r="J134" s="38"/>
    </row>
    <row r="135" spans="2:10" ht="12.75" customHeight="1" x14ac:dyDescent="0.2">
      <c r="B135" s="37"/>
      <c r="C135" s="37" t="str">
        <f>IF(D135="","",MATCH(D135,Parametros!$B$4:$B$15,0))</f>
        <v/>
      </c>
      <c r="D135" s="38"/>
      <c r="E135" s="38"/>
      <c r="F135" s="38"/>
      <c r="G135" s="38"/>
      <c r="H135" s="38"/>
      <c r="I135" s="39"/>
      <c r="J135" s="38"/>
    </row>
    <row r="136" spans="2:10" ht="12.75" customHeight="1" x14ac:dyDescent="0.2">
      <c r="B136" s="37"/>
      <c r="C136" s="37" t="str">
        <f>IF(D136="","",MATCH(D136,Parametros!$B$4:$B$15,0))</f>
        <v/>
      </c>
      <c r="D136" s="38"/>
      <c r="E136" s="38"/>
      <c r="F136" s="38"/>
      <c r="G136" s="38"/>
      <c r="H136" s="38"/>
      <c r="I136" s="39"/>
      <c r="J136" s="38"/>
    </row>
    <row r="137" spans="2:10" ht="12.75" customHeight="1" x14ac:dyDescent="0.2">
      <c r="B137" s="37"/>
      <c r="C137" s="37" t="str">
        <f>IF(D137="","",MATCH(D137,Parametros!$B$4:$B$15,0))</f>
        <v/>
      </c>
      <c r="D137" s="38"/>
      <c r="E137" s="38"/>
      <c r="F137" s="38"/>
      <c r="G137" s="38"/>
      <c r="H137" s="38"/>
      <c r="I137" s="39"/>
      <c r="J137" s="38"/>
    </row>
    <row r="138" spans="2:10" ht="12.75" customHeight="1" x14ac:dyDescent="0.2">
      <c r="B138" s="37"/>
      <c r="C138" s="37" t="str">
        <f>IF(D138="","",MATCH(D138,Parametros!$B$4:$B$15,0))</f>
        <v/>
      </c>
      <c r="D138" s="38"/>
      <c r="E138" s="38"/>
      <c r="F138" s="38"/>
      <c r="G138" s="38"/>
      <c r="H138" s="38"/>
      <c r="I138" s="39"/>
      <c r="J138" s="38"/>
    </row>
    <row r="139" spans="2:10" ht="12.75" customHeight="1" x14ac:dyDescent="0.2">
      <c r="B139" s="37"/>
      <c r="C139" s="37" t="str">
        <f>IF(D139="","",MATCH(D139,Parametros!$B$4:$B$15,0))</f>
        <v/>
      </c>
      <c r="D139" s="38"/>
      <c r="E139" s="38"/>
      <c r="F139" s="38"/>
      <c r="G139" s="38"/>
      <c r="H139" s="38"/>
      <c r="I139" s="39"/>
      <c r="J139" s="38"/>
    </row>
    <row r="140" spans="2:10" ht="12.75" customHeight="1" x14ac:dyDescent="0.2">
      <c r="B140" s="37"/>
      <c r="C140" s="37" t="str">
        <f>IF(D140="","",MATCH(D140,Parametros!$B$4:$B$15,0))</f>
        <v/>
      </c>
      <c r="D140" s="38"/>
      <c r="E140" s="38"/>
      <c r="F140" s="38"/>
      <c r="G140" s="38"/>
      <c r="H140" s="38"/>
      <c r="I140" s="39"/>
      <c r="J140" s="38"/>
    </row>
    <row r="141" spans="2:10" ht="12.75" customHeight="1" x14ac:dyDescent="0.2">
      <c r="B141" s="37"/>
      <c r="C141" s="37" t="str">
        <f>IF(D141="","",MATCH(D141,Parametros!$B$4:$B$15,0))</f>
        <v/>
      </c>
      <c r="D141" s="38"/>
      <c r="E141" s="38"/>
      <c r="F141" s="38"/>
      <c r="G141" s="38"/>
      <c r="H141" s="38"/>
      <c r="I141" s="39"/>
      <c r="J141" s="38"/>
    </row>
    <row r="142" spans="2:10" ht="12.75" customHeight="1" x14ac:dyDescent="0.2">
      <c r="B142" s="37"/>
      <c r="C142" s="37" t="str">
        <f>IF(D142="","",MATCH(D142,Parametros!$B$4:$B$15,0))</f>
        <v/>
      </c>
      <c r="D142" s="38"/>
      <c r="E142" s="38"/>
      <c r="F142" s="38"/>
      <c r="G142" s="38"/>
      <c r="H142" s="38"/>
      <c r="I142" s="39"/>
      <c r="J142" s="38"/>
    </row>
    <row r="143" spans="2:10" ht="12.75" customHeight="1" x14ac:dyDescent="0.2">
      <c r="B143" s="37"/>
      <c r="C143" s="37" t="str">
        <f>IF(D143="","",MATCH(D143,Parametros!$B$4:$B$15,0))</f>
        <v/>
      </c>
      <c r="D143" s="38"/>
      <c r="E143" s="38"/>
      <c r="F143" s="38"/>
      <c r="G143" s="38"/>
      <c r="H143" s="38"/>
      <c r="I143" s="39"/>
      <c r="J143" s="38"/>
    </row>
    <row r="144" spans="2:10" ht="12.75" customHeight="1" x14ac:dyDescent="0.2">
      <c r="B144" s="37"/>
      <c r="C144" s="37" t="str">
        <f>IF(D144="","",MATCH(D144,Parametros!$B$4:$B$15,0))</f>
        <v/>
      </c>
      <c r="D144" s="38"/>
      <c r="E144" s="38"/>
      <c r="F144" s="38"/>
      <c r="G144" s="38"/>
      <c r="H144" s="38"/>
      <c r="I144" s="39"/>
      <c r="J144" s="38"/>
    </row>
    <row r="145" spans="2:10" ht="12.75" customHeight="1" x14ac:dyDescent="0.2">
      <c r="B145" s="37"/>
      <c r="C145" s="37" t="str">
        <f>IF(D145="","",MATCH(D145,Parametros!$B$4:$B$15,0))</f>
        <v/>
      </c>
      <c r="D145" s="38"/>
      <c r="E145" s="38"/>
      <c r="F145" s="38"/>
      <c r="G145" s="38"/>
      <c r="H145" s="38"/>
      <c r="I145" s="39"/>
      <c r="J145" s="38"/>
    </row>
    <row r="146" spans="2:10" ht="12.75" customHeight="1" x14ac:dyDescent="0.2">
      <c r="B146" s="37"/>
      <c r="C146" s="37" t="str">
        <f>IF(D146="","",MATCH(D146,Parametros!$B$4:$B$15,0))</f>
        <v/>
      </c>
      <c r="D146" s="38"/>
      <c r="E146" s="38"/>
      <c r="F146" s="38"/>
      <c r="G146" s="38"/>
      <c r="H146" s="38"/>
      <c r="I146" s="39"/>
      <c r="J146" s="38"/>
    </row>
    <row r="147" spans="2:10" ht="12.75" customHeight="1" x14ac:dyDescent="0.2">
      <c r="B147" s="37"/>
      <c r="C147" s="37" t="str">
        <f>IF(D147="","",MATCH(D147,Parametros!$B$4:$B$15,0))</f>
        <v/>
      </c>
      <c r="D147" s="38"/>
      <c r="E147" s="38"/>
      <c r="F147" s="38"/>
      <c r="G147" s="38"/>
      <c r="H147" s="38"/>
      <c r="I147" s="39"/>
      <c r="J147" s="38"/>
    </row>
    <row r="148" spans="2:10" ht="12.75" customHeight="1" x14ac:dyDescent="0.2">
      <c r="B148" s="37"/>
      <c r="C148" s="37" t="str">
        <f>IF(D148="","",MATCH(D148,Parametros!$B$4:$B$15,0))</f>
        <v/>
      </c>
      <c r="D148" s="38"/>
      <c r="E148" s="38"/>
      <c r="F148" s="38"/>
      <c r="G148" s="38"/>
      <c r="H148" s="38"/>
      <c r="I148" s="39"/>
      <c r="J148" s="38"/>
    </row>
    <row r="149" spans="2:10" ht="12.75" customHeight="1" x14ac:dyDescent="0.2">
      <c r="B149" s="37"/>
      <c r="C149" s="37" t="str">
        <f>IF(D149="","",MATCH(D149,Parametros!$B$4:$B$15,0))</f>
        <v/>
      </c>
      <c r="D149" s="38"/>
      <c r="E149" s="38"/>
      <c r="F149" s="38"/>
      <c r="G149" s="38"/>
      <c r="H149" s="38"/>
      <c r="I149" s="39"/>
      <c r="J149" s="38"/>
    </row>
    <row r="150" spans="2:10" ht="12.75" customHeight="1" x14ac:dyDescent="0.2">
      <c r="B150" s="37"/>
      <c r="C150" s="37" t="str">
        <f>IF(D150="","",MATCH(D150,Parametros!$B$4:$B$15,0))</f>
        <v/>
      </c>
      <c r="D150" s="38"/>
      <c r="E150" s="38"/>
      <c r="F150" s="38"/>
      <c r="G150" s="38"/>
      <c r="H150" s="38"/>
      <c r="I150" s="39"/>
      <c r="J150" s="38"/>
    </row>
    <row r="151" spans="2:10" ht="12.75" customHeight="1" x14ac:dyDescent="0.2">
      <c r="B151" s="37"/>
      <c r="C151" s="37" t="str">
        <f>IF(D151="","",MATCH(D151,Parametros!$B$4:$B$15,0))</f>
        <v/>
      </c>
      <c r="D151" s="38"/>
      <c r="E151" s="38"/>
      <c r="F151" s="38"/>
      <c r="G151" s="38"/>
      <c r="H151" s="38"/>
      <c r="I151" s="39"/>
      <c r="J151" s="38"/>
    </row>
    <row r="152" spans="2:10" ht="12.75" customHeight="1" x14ac:dyDescent="0.2">
      <c r="B152" s="37"/>
      <c r="C152" s="37" t="str">
        <f>IF(D152="","",MATCH(D152,Parametros!$B$4:$B$15,0))</f>
        <v/>
      </c>
      <c r="D152" s="38"/>
      <c r="E152" s="38"/>
      <c r="F152" s="38"/>
      <c r="G152" s="38"/>
      <c r="H152" s="38"/>
      <c r="I152" s="39"/>
      <c r="J152" s="38"/>
    </row>
    <row r="153" spans="2:10" ht="12.75" customHeight="1" x14ac:dyDescent="0.2">
      <c r="B153" s="37"/>
      <c r="C153" s="37" t="str">
        <f>IF(D153="","",MATCH(D153,Parametros!$B$4:$B$15,0))</f>
        <v/>
      </c>
      <c r="D153" s="38"/>
      <c r="E153" s="38"/>
      <c r="F153" s="38"/>
      <c r="G153" s="38"/>
      <c r="H153" s="38"/>
      <c r="I153" s="39"/>
      <c r="J153" s="38"/>
    </row>
    <row r="154" spans="2:10" ht="12.75" customHeight="1" x14ac:dyDescent="0.2">
      <c r="B154" s="37"/>
      <c r="C154" s="37" t="str">
        <f>IF(D154="","",MATCH(D154,Parametros!$B$4:$B$15,0))</f>
        <v/>
      </c>
      <c r="D154" s="38"/>
      <c r="E154" s="38"/>
      <c r="F154" s="38"/>
      <c r="G154" s="38"/>
      <c r="H154" s="38"/>
      <c r="I154" s="39"/>
      <c r="J154" s="38"/>
    </row>
    <row r="155" spans="2:10" ht="12.75" customHeight="1" x14ac:dyDescent="0.2">
      <c r="B155" s="37"/>
      <c r="C155" s="37" t="str">
        <f>IF(D155="","",MATCH(D155,Parametros!$B$4:$B$15,0))</f>
        <v/>
      </c>
      <c r="D155" s="38"/>
      <c r="E155" s="38"/>
      <c r="F155" s="38"/>
      <c r="G155" s="38"/>
      <c r="H155" s="38"/>
      <c r="I155" s="39"/>
      <c r="J155" s="38"/>
    </row>
    <row r="156" spans="2:10" ht="12.75" customHeight="1" x14ac:dyDescent="0.2">
      <c r="B156" s="37"/>
      <c r="C156" s="37" t="str">
        <f>IF(D156="","",MATCH(D156,Parametros!$B$4:$B$15,0))</f>
        <v/>
      </c>
      <c r="D156" s="38"/>
      <c r="E156" s="38"/>
      <c r="F156" s="38"/>
      <c r="G156" s="38"/>
      <c r="H156" s="38"/>
      <c r="I156" s="39"/>
      <c r="J156" s="38"/>
    </row>
    <row r="157" spans="2:10" ht="12.75" customHeight="1" x14ac:dyDescent="0.2">
      <c r="B157" s="37"/>
      <c r="C157" s="37" t="str">
        <f>IF(D157="","",MATCH(D157,Parametros!$B$4:$B$15,0))</f>
        <v/>
      </c>
      <c r="D157" s="38"/>
      <c r="E157" s="38"/>
      <c r="F157" s="38"/>
      <c r="G157" s="38"/>
      <c r="H157" s="38"/>
      <c r="I157" s="39"/>
      <c r="J157" s="38"/>
    </row>
    <row r="158" spans="2:10" ht="12.75" customHeight="1" x14ac:dyDescent="0.2">
      <c r="B158" s="37"/>
      <c r="C158" s="37" t="str">
        <f>IF(D158="","",MATCH(D158,Parametros!$B$4:$B$15,0))</f>
        <v/>
      </c>
      <c r="D158" s="38"/>
      <c r="E158" s="38"/>
      <c r="F158" s="38"/>
      <c r="G158" s="38"/>
      <c r="H158" s="38"/>
      <c r="I158" s="39"/>
      <c r="J158" s="38"/>
    </row>
    <row r="159" spans="2:10" ht="12.75" customHeight="1" x14ac:dyDescent="0.2">
      <c r="B159" s="37"/>
      <c r="C159" s="37" t="str">
        <f>IF(D159="","",MATCH(D159,Parametros!$B$4:$B$15,0))</f>
        <v/>
      </c>
      <c r="D159" s="38"/>
      <c r="E159" s="38"/>
      <c r="F159" s="38"/>
      <c r="G159" s="38"/>
      <c r="H159" s="38"/>
      <c r="I159" s="39"/>
      <c r="J159" s="38"/>
    </row>
    <row r="160" spans="2:10" ht="12.75" customHeight="1" x14ac:dyDescent="0.2">
      <c r="B160" s="37"/>
      <c r="C160" s="37" t="str">
        <f>IF(D160="","",MATCH(D160,Parametros!$B$4:$B$15,0))</f>
        <v/>
      </c>
      <c r="D160" s="38"/>
      <c r="E160" s="38"/>
      <c r="F160" s="38"/>
      <c r="G160" s="38"/>
      <c r="H160" s="38"/>
      <c r="I160" s="39"/>
      <c r="J160" s="38"/>
    </row>
    <row r="161" spans="2:10" ht="12.75" customHeight="1" x14ac:dyDescent="0.2">
      <c r="B161" s="37"/>
      <c r="C161" s="37" t="str">
        <f>IF(D161="","",MATCH(D161,Parametros!$B$4:$B$15,0))</f>
        <v/>
      </c>
      <c r="D161" s="38"/>
      <c r="E161" s="38"/>
      <c r="F161" s="38"/>
      <c r="G161" s="38"/>
      <c r="H161" s="38"/>
      <c r="I161" s="39"/>
      <c r="J161" s="38"/>
    </row>
    <row r="162" spans="2:10" ht="12.75" customHeight="1" x14ac:dyDescent="0.2">
      <c r="B162" s="37"/>
      <c r="C162" s="37" t="str">
        <f>IF(D162="","",MATCH(D162,Parametros!$B$4:$B$15,0))</f>
        <v/>
      </c>
      <c r="D162" s="38"/>
      <c r="E162" s="38"/>
      <c r="F162" s="38"/>
      <c r="G162" s="38"/>
      <c r="H162" s="38"/>
      <c r="I162" s="39"/>
      <c r="J162" s="38"/>
    </row>
    <row r="163" spans="2:10" ht="12.75" customHeight="1" x14ac:dyDescent="0.2">
      <c r="B163" s="37"/>
      <c r="C163" s="37" t="str">
        <f>IF(D163="","",MATCH(D163,Parametros!$B$4:$B$15,0))</f>
        <v/>
      </c>
      <c r="D163" s="38"/>
      <c r="E163" s="38"/>
      <c r="F163" s="38"/>
      <c r="G163" s="38"/>
      <c r="H163" s="38"/>
      <c r="I163" s="39"/>
      <c r="J163" s="38"/>
    </row>
    <row r="164" spans="2:10" ht="12.75" customHeight="1" x14ac:dyDescent="0.2">
      <c r="B164" s="37"/>
      <c r="C164" s="37" t="str">
        <f>IF(D164="","",MATCH(D164,Parametros!$B$4:$B$15,0))</f>
        <v/>
      </c>
      <c r="D164" s="38"/>
      <c r="E164" s="38"/>
      <c r="F164" s="38"/>
      <c r="G164" s="38"/>
      <c r="H164" s="38"/>
      <c r="I164" s="39"/>
      <c r="J164" s="38"/>
    </row>
    <row r="165" spans="2:10" ht="12.75" customHeight="1" x14ac:dyDescent="0.2">
      <c r="B165" s="37"/>
      <c r="C165" s="37" t="str">
        <f>IF(D165="","",MATCH(D165,Parametros!$B$4:$B$15,0))</f>
        <v/>
      </c>
      <c r="D165" s="38"/>
      <c r="E165" s="38"/>
      <c r="F165" s="38"/>
      <c r="G165" s="38"/>
      <c r="H165" s="38"/>
      <c r="I165" s="39"/>
      <c r="J165" s="38"/>
    </row>
    <row r="166" spans="2:10" ht="12.75" customHeight="1" x14ac:dyDescent="0.2">
      <c r="B166" s="37"/>
      <c r="C166" s="37" t="str">
        <f>IF(D166="","",MATCH(D166,Parametros!$B$4:$B$15,0))</f>
        <v/>
      </c>
      <c r="D166" s="38"/>
      <c r="E166" s="38"/>
      <c r="F166" s="38"/>
      <c r="G166" s="38"/>
      <c r="H166" s="38"/>
      <c r="I166" s="39"/>
      <c r="J166" s="38"/>
    </row>
    <row r="167" spans="2:10" ht="12.75" customHeight="1" x14ac:dyDescent="0.2">
      <c r="B167" s="37"/>
      <c r="C167" s="37" t="str">
        <f>IF(D167="","",MATCH(D167,Parametros!$B$4:$B$15,0))</f>
        <v/>
      </c>
      <c r="D167" s="38"/>
      <c r="E167" s="38"/>
      <c r="F167" s="38"/>
      <c r="G167" s="38"/>
      <c r="H167" s="38"/>
      <c r="I167" s="39"/>
      <c r="J167" s="38"/>
    </row>
    <row r="168" spans="2:10" ht="12.75" customHeight="1" x14ac:dyDescent="0.2">
      <c r="B168" s="37"/>
      <c r="C168" s="37" t="str">
        <f>IF(D168="","",MATCH(D168,Parametros!$B$4:$B$15,0))</f>
        <v/>
      </c>
      <c r="D168" s="38"/>
      <c r="E168" s="38"/>
      <c r="F168" s="38"/>
      <c r="G168" s="38"/>
      <c r="H168" s="38"/>
      <c r="I168" s="39"/>
      <c r="J168" s="38"/>
    </row>
    <row r="169" spans="2:10" ht="12.75" customHeight="1" x14ac:dyDescent="0.2">
      <c r="B169" s="37"/>
      <c r="C169" s="37" t="str">
        <f>IF(D169="","",MATCH(D169,Parametros!$B$4:$B$15,0))</f>
        <v/>
      </c>
      <c r="D169" s="38"/>
      <c r="E169" s="38"/>
      <c r="F169" s="38"/>
      <c r="G169" s="38"/>
      <c r="H169" s="38"/>
      <c r="I169" s="39"/>
      <c r="J169" s="38"/>
    </row>
    <row r="170" spans="2:10" ht="12.75" customHeight="1" x14ac:dyDescent="0.2">
      <c r="B170" s="37"/>
      <c r="C170" s="37" t="str">
        <f>IF(D170="","",MATCH(D170,Parametros!$B$4:$B$15,0))</f>
        <v/>
      </c>
      <c r="D170" s="38"/>
      <c r="E170" s="38"/>
      <c r="F170" s="38"/>
      <c r="G170" s="38"/>
      <c r="H170" s="38"/>
      <c r="I170" s="39"/>
      <c r="J170" s="38"/>
    </row>
    <row r="171" spans="2:10" ht="12.75" customHeight="1" x14ac:dyDescent="0.2">
      <c r="B171" s="37"/>
      <c r="C171" s="37" t="str">
        <f>IF(D171="","",MATCH(D171,Parametros!$B$4:$B$15,0))</f>
        <v/>
      </c>
      <c r="D171" s="38"/>
      <c r="E171" s="38"/>
      <c r="F171" s="38"/>
      <c r="G171" s="38"/>
      <c r="H171" s="38"/>
      <c r="I171" s="39"/>
      <c r="J171" s="38"/>
    </row>
    <row r="172" spans="2:10" ht="12.75" customHeight="1" x14ac:dyDescent="0.2">
      <c r="B172" s="37"/>
      <c r="C172" s="37" t="str">
        <f>IF(D172="","",MATCH(D172,Parametros!$B$4:$B$15,0))</f>
        <v/>
      </c>
      <c r="D172" s="38"/>
      <c r="E172" s="38"/>
      <c r="F172" s="38"/>
      <c r="G172" s="38"/>
      <c r="H172" s="38"/>
      <c r="I172" s="39"/>
      <c r="J172" s="38"/>
    </row>
    <row r="173" spans="2:10" ht="12.75" customHeight="1" x14ac:dyDescent="0.2">
      <c r="B173" s="37"/>
      <c r="C173" s="37" t="str">
        <f>IF(D173="","",MATCH(D173,Parametros!$B$4:$B$15,0))</f>
        <v/>
      </c>
      <c r="D173" s="38"/>
      <c r="E173" s="38"/>
      <c r="F173" s="38"/>
      <c r="G173" s="38"/>
      <c r="H173" s="38"/>
      <c r="I173" s="39"/>
      <c r="J173" s="38"/>
    </row>
    <row r="174" spans="2:10" ht="12.75" customHeight="1" x14ac:dyDescent="0.2">
      <c r="B174" s="37"/>
      <c r="C174" s="37" t="str">
        <f>IF(D174="","",MATCH(D174,Parametros!$B$4:$B$15,0))</f>
        <v/>
      </c>
      <c r="D174" s="38"/>
      <c r="E174" s="38"/>
      <c r="F174" s="38"/>
      <c r="G174" s="38"/>
      <c r="H174" s="38"/>
      <c r="I174" s="39"/>
      <c r="J174" s="38"/>
    </row>
    <row r="175" spans="2:10" ht="12.75" customHeight="1" x14ac:dyDescent="0.2">
      <c r="B175" s="37"/>
      <c r="C175" s="37" t="str">
        <f>IF(D175="","",MATCH(D175,Parametros!$B$4:$B$15,0))</f>
        <v/>
      </c>
      <c r="D175" s="38"/>
      <c r="E175" s="38"/>
      <c r="F175" s="38"/>
      <c r="G175" s="38"/>
      <c r="H175" s="38"/>
      <c r="I175" s="39"/>
      <c r="J175" s="38"/>
    </row>
    <row r="176" spans="2:10" ht="12.75" customHeight="1" x14ac:dyDescent="0.2">
      <c r="B176" s="37"/>
      <c r="C176" s="37" t="str">
        <f>IF(D176="","",MATCH(D176,Parametros!$B$4:$B$15,0))</f>
        <v/>
      </c>
      <c r="D176" s="38"/>
      <c r="E176" s="38"/>
      <c r="F176" s="38"/>
      <c r="G176" s="38"/>
      <c r="H176" s="38"/>
      <c r="I176" s="39"/>
      <c r="J176" s="38"/>
    </row>
    <row r="177" spans="2:10" ht="12.75" customHeight="1" x14ac:dyDescent="0.2">
      <c r="B177" s="37"/>
      <c r="C177" s="37" t="str">
        <f>IF(D177="","",MATCH(D177,Parametros!$B$4:$B$15,0))</f>
        <v/>
      </c>
      <c r="D177" s="38"/>
      <c r="E177" s="38"/>
      <c r="F177" s="38"/>
      <c r="G177" s="38"/>
      <c r="H177" s="38"/>
      <c r="I177" s="39"/>
      <c r="J177" s="38"/>
    </row>
    <row r="178" spans="2:10" ht="12.75" customHeight="1" x14ac:dyDescent="0.2">
      <c r="B178" s="37"/>
      <c r="C178" s="37" t="str">
        <f>IF(D178="","",MATCH(D178,Parametros!$B$4:$B$15,0))</f>
        <v/>
      </c>
      <c r="D178" s="38"/>
      <c r="E178" s="38"/>
      <c r="F178" s="38"/>
      <c r="G178" s="38"/>
      <c r="H178" s="38"/>
      <c r="I178" s="39"/>
      <c r="J178" s="38"/>
    </row>
    <row r="179" spans="2:10" ht="12.75" customHeight="1" x14ac:dyDescent="0.2">
      <c r="B179" s="37"/>
      <c r="C179" s="37" t="str">
        <f>IF(D179="","",MATCH(D179,Parametros!$B$4:$B$15,0))</f>
        <v/>
      </c>
      <c r="D179" s="38"/>
      <c r="E179" s="38"/>
      <c r="F179" s="38"/>
      <c r="G179" s="38"/>
      <c r="H179" s="38"/>
      <c r="I179" s="39"/>
      <c r="J179" s="38"/>
    </row>
    <row r="180" spans="2:10" ht="12.75" customHeight="1" x14ac:dyDescent="0.2">
      <c r="B180" s="37"/>
      <c r="C180" s="37" t="str">
        <f>IF(D180="","",MATCH(D180,Parametros!$B$4:$B$15,0))</f>
        <v/>
      </c>
      <c r="D180" s="38"/>
      <c r="E180" s="38"/>
      <c r="F180" s="38"/>
      <c r="G180" s="38"/>
      <c r="H180" s="38"/>
      <c r="I180" s="39"/>
      <c r="J180" s="38"/>
    </row>
    <row r="181" spans="2:10" ht="12.75" customHeight="1" x14ac:dyDescent="0.2">
      <c r="B181" s="37"/>
      <c r="C181" s="37" t="str">
        <f>IF(D181="","",MATCH(D181,Parametros!$B$4:$B$15,0))</f>
        <v/>
      </c>
      <c r="D181" s="38"/>
      <c r="E181" s="38"/>
      <c r="F181" s="38"/>
      <c r="G181" s="38"/>
      <c r="H181" s="38"/>
      <c r="I181" s="39"/>
      <c r="J181" s="38"/>
    </row>
    <row r="182" spans="2:10" ht="12.75" customHeight="1" x14ac:dyDescent="0.2">
      <c r="B182" s="37"/>
      <c r="C182" s="37" t="str">
        <f>IF(D182="","",MATCH(D182,Parametros!$B$4:$B$15,0))</f>
        <v/>
      </c>
      <c r="D182" s="38"/>
      <c r="E182" s="38"/>
      <c r="F182" s="38"/>
      <c r="G182" s="38"/>
      <c r="H182" s="38"/>
      <c r="I182" s="39"/>
      <c r="J182" s="38"/>
    </row>
    <row r="183" spans="2:10" ht="12.75" customHeight="1" x14ac:dyDescent="0.2">
      <c r="B183" s="37"/>
      <c r="C183" s="37" t="str">
        <f>IF(D183="","",MATCH(D183,Parametros!$B$4:$B$15,0))</f>
        <v/>
      </c>
      <c r="D183" s="38"/>
      <c r="E183" s="38"/>
      <c r="F183" s="38"/>
      <c r="G183" s="38"/>
      <c r="H183" s="38"/>
      <c r="I183" s="39"/>
      <c r="J183" s="38"/>
    </row>
    <row r="184" spans="2:10" ht="12.75" customHeight="1" x14ac:dyDescent="0.2">
      <c r="B184" s="37"/>
      <c r="C184" s="37" t="str">
        <f>IF(D184="","",MATCH(D184,Parametros!$B$4:$B$15,0))</f>
        <v/>
      </c>
      <c r="D184" s="38"/>
      <c r="E184" s="38"/>
      <c r="F184" s="38"/>
      <c r="G184" s="38"/>
      <c r="H184" s="38"/>
      <c r="I184" s="39"/>
      <c r="J184" s="38"/>
    </row>
    <row r="185" spans="2:10" ht="12.75" customHeight="1" x14ac:dyDescent="0.2">
      <c r="B185" s="37"/>
      <c r="C185" s="37" t="str">
        <f>IF(D185="","",MATCH(D185,Parametros!$B$4:$B$15,0))</f>
        <v/>
      </c>
      <c r="D185" s="38"/>
      <c r="E185" s="38"/>
      <c r="F185" s="38"/>
      <c r="G185" s="38"/>
      <c r="H185" s="38"/>
      <c r="I185" s="39"/>
      <c r="J185" s="38"/>
    </row>
    <row r="186" spans="2:10" ht="12.75" customHeight="1" x14ac:dyDescent="0.2">
      <c r="B186" s="37"/>
      <c r="C186" s="37" t="str">
        <f>IF(D186="","",MATCH(D186,Parametros!$B$4:$B$15,0))</f>
        <v/>
      </c>
      <c r="D186" s="38"/>
      <c r="E186" s="38"/>
      <c r="F186" s="38"/>
      <c r="G186" s="38"/>
      <c r="H186" s="38"/>
      <c r="I186" s="39"/>
      <c r="J186" s="38"/>
    </row>
    <row r="187" spans="2:10" ht="12.75" customHeight="1" x14ac:dyDescent="0.2">
      <c r="B187" s="37"/>
      <c r="C187" s="37" t="str">
        <f>IF(D187="","",MATCH(D187,Parametros!$B$4:$B$15,0))</f>
        <v/>
      </c>
      <c r="D187" s="38"/>
      <c r="E187" s="38"/>
      <c r="F187" s="38"/>
      <c r="G187" s="38"/>
      <c r="H187" s="38"/>
      <c r="I187" s="39"/>
      <c r="J187" s="38"/>
    </row>
    <row r="188" spans="2:10" ht="12.75" customHeight="1" x14ac:dyDescent="0.2">
      <c r="B188" s="37"/>
      <c r="C188" s="37" t="str">
        <f>IF(D188="","",MATCH(D188,Parametros!$B$4:$B$15,0))</f>
        <v/>
      </c>
      <c r="D188" s="38"/>
      <c r="E188" s="38"/>
      <c r="F188" s="38"/>
      <c r="G188" s="38"/>
      <c r="H188" s="38"/>
      <c r="I188" s="39"/>
      <c r="J188" s="38"/>
    </row>
    <row r="189" spans="2:10" ht="12.75" customHeight="1" x14ac:dyDescent="0.2">
      <c r="B189" s="37"/>
      <c r="C189" s="37" t="str">
        <f>IF(D189="","",MATCH(D189,Parametros!$B$4:$B$15,0))</f>
        <v/>
      </c>
      <c r="D189" s="38"/>
      <c r="E189" s="38"/>
      <c r="F189" s="38"/>
      <c r="G189" s="38"/>
      <c r="H189" s="38"/>
      <c r="I189" s="39"/>
      <c r="J189" s="38"/>
    </row>
    <row r="190" spans="2:10" ht="12.75" customHeight="1" x14ac:dyDescent="0.2">
      <c r="B190" s="37"/>
      <c r="C190" s="37" t="str">
        <f>IF(D190="","",MATCH(D190,Parametros!$B$4:$B$15,0))</f>
        <v/>
      </c>
      <c r="D190" s="38"/>
      <c r="E190" s="38"/>
      <c r="F190" s="38"/>
      <c r="G190" s="38"/>
      <c r="H190" s="38"/>
      <c r="I190" s="39"/>
      <c r="J190" s="38"/>
    </row>
    <row r="191" spans="2:10" ht="12.75" customHeight="1" x14ac:dyDescent="0.2">
      <c r="B191" s="37"/>
      <c r="C191" s="37" t="str">
        <f>IF(D191="","",MATCH(D191,Parametros!$B$4:$B$15,0))</f>
        <v/>
      </c>
      <c r="D191" s="38"/>
      <c r="E191" s="38"/>
      <c r="F191" s="38"/>
      <c r="G191" s="38"/>
      <c r="H191" s="38"/>
      <c r="I191" s="39"/>
      <c r="J191" s="38"/>
    </row>
    <row r="192" spans="2:10" ht="12.75" customHeight="1" x14ac:dyDescent="0.2">
      <c r="B192" s="37"/>
      <c r="C192" s="37" t="str">
        <f>IF(D192="","",MATCH(D192,Parametros!$B$4:$B$15,0))</f>
        <v/>
      </c>
      <c r="D192" s="38"/>
      <c r="E192" s="38"/>
      <c r="F192" s="38"/>
      <c r="G192" s="38"/>
      <c r="H192" s="38"/>
      <c r="I192" s="39"/>
      <c r="J192" s="38"/>
    </row>
    <row r="193" spans="2:10" ht="12.75" customHeight="1" x14ac:dyDescent="0.2">
      <c r="B193" s="37"/>
      <c r="C193" s="37" t="str">
        <f>IF(D193="","",MATCH(D193,Parametros!$B$4:$B$15,0))</f>
        <v/>
      </c>
      <c r="D193" s="38"/>
      <c r="E193" s="38"/>
      <c r="F193" s="38"/>
      <c r="G193" s="38"/>
      <c r="H193" s="38"/>
      <c r="I193" s="39"/>
      <c r="J193" s="38"/>
    </row>
    <row r="194" spans="2:10" ht="12.75" customHeight="1" x14ac:dyDescent="0.2">
      <c r="B194" s="37"/>
      <c r="C194" s="37" t="str">
        <f>IF(D194="","",MATCH(D194,Parametros!$B$4:$B$15,0))</f>
        <v/>
      </c>
      <c r="D194" s="38"/>
      <c r="E194" s="38"/>
      <c r="F194" s="38"/>
      <c r="G194" s="38"/>
      <c r="H194" s="38"/>
      <c r="I194" s="39"/>
      <c r="J194" s="38"/>
    </row>
    <row r="195" spans="2:10" ht="12.75" customHeight="1" x14ac:dyDescent="0.2">
      <c r="B195" s="37"/>
      <c r="C195" s="37" t="str">
        <f>IF(D195="","",MATCH(D195,Parametros!$B$4:$B$15,0))</f>
        <v/>
      </c>
      <c r="D195" s="38"/>
      <c r="E195" s="38"/>
      <c r="F195" s="38"/>
      <c r="G195" s="38"/>
      <c r="H195" s="38"/>
      <c r="I195" s="39"/>
      <c r="J195" s="38"/>
    </row>
    <row r="196" spans="2:10" ht="12.75" customHeight="1" x14ac:dyDescent="0.2">
      <c r="B196" s="37"/>
      <c r="C196" s="37" t="str">
        <f>IF(D196="","",MATCH(D196,Parametros!$B$4:$B$15,0))</f>
        <v/>
      </c>
      <c r="D196" s="38"/>
      <c r="E196" s="38"/>
      <c r="F196" s="38"/>
      <c r="G196" s="38"/>
      <c r="H196" s="38"/>
      <c r="I196" s="39"/>
      <c r="J196" s="38"/>
    </row>
    <row r="197" spans="2:10" ht="12.75" customHeight="1" x14ac:dyDescent="0.2">
      <c r="B197" s="37"/>
      <c r="C197" s="37" t="str">
        <f>IF(D197="","",MATCH(D197,Parametros!$B$4:$B$15,0))</f>
        <v/>
      </c>
      <c r="D197" s="38"/>
      <c r="E197" s="38"/>
      <c r="F197" s="38"/>
      <c r="G197" s="38"/>
      <c r="H197" s="38"/>
      <c r="I197" s="39"/>
      <c r="J197" s="38"/>
    </row>
    <row r="198" spans="2:10" ht="12.75" customHeight="1" x14ac:dyDescent="0.2">
      <c r="B198" s="37"/>
      <c r="C198" s="37" t="str">
        <f>IF(D198="","",MATCH(D198,Parametros!$B$4:$B$15,0))</f>
        <v/>
      </c>
      <c r="D198" s="38"/>
      <c r="E198" s="38"/>
      <c r="F198" s="38"/>
      <c r="G198" s="38"/>
      <c r="H198" s="38"/>
      <c r="I198" s="39"/>
      <c r="J198" s="38"/>
    </row>
    <row r="199" spans="2:10" ht="12.75" customHeight="1" x14ac:dyDescent="0.2">
      <c r="B199" s="37"/>
      <c r="C199" s="37" t="str">
        <f>IF(D199="","",MATCH(D199,Parametros!$B$4:$B$15,0))</f>
        <v/>
      </c>
      <c r="D199" s="38"/>
      <c r="E199" s="38"/>
      <c r="F199" s="38"/>
      <c r="G199" s="38"/>
      <c r="H199" s="38"/>
      <c r="I199" s="39"/>
      <c r="J199" s="38"/>
    </row>
    <row r="200" spans="2:10" ht="12.75" customHeight="1" x14ac:dyDescent="0.2">
      <c r="B200" s="37"/>
      <c r="C200" s="37" t="str">
        <f>IF(D200="","",MATCH(D200,Parametros!$B$4:$B$15,0))</f>
        <v/>
      </c>
      <c r="D200" s="38"/>
      <c r="E200" s="38"/>
      <c r="F200" s="38"/>
      <c r="G200" s="38"/>
      <c r="H200" s="38"/>
      <c r="I200" s="39"/>
      <c r="J200" s="38"/>
    </row>
    <row r="201" spans="2:10" ht="12.75" customHeight="1" x14ac:dyDescent="0.2">
      <c r="B201" s="37"/>
      <c r="C201" s="37" t="str">
        <f>IF(D201="","",MATCH(D201,Parametros!$B$4:$B$15,0))</f>
        <v/>
      </c>
      <c r="D201" s="38"/>
      <c r="E201" s="38"/>
      <c r="F201" s="38"/>
      <c r="G201" s="38"/>
      <c r="H201" s="38"/>
      <c r="I201" s="39"/>
      <c r="J201" s="38"/>
    </row>
    <row r="202" spans="2:10" ht="12.75" customHeight="1" x14ac:dyDescent="0.2">
      <c r="B202" s="37"/>
      <c r="C202" s="37" t="str">
        <f>IF(D202="","",MATCH(D202,Parametros!$B$4:$B$15,0))</f>
        <v/>
      </c>
      <c r="D202" s="38"/>
      <c r="E202" s="38"/>
      <c r="F202" s="38"/>
      <c r="G202" s="38"/>
      <c r="H202" s="38"/>
      <c r="I202" s="39"/>
      <c r="J202" s="38"/>
    </row>
    <row r="203" spans="2:10" ht="12.75" customHeight="1" x14ac:dyDescent="0.2">
      <c r="B203" s="37"/>
      <c r="C203" s="37" t="str">
        <f>IF(D203="","",MATCH(D203,Parametros!$B$4:$B$15,0))</f>
        <v/>
      </c>
      <c r="D203" s="38"/>
      <c r="E203" s="38"/>
      <c r="F203" s="38"/>
      <c r="G203" s="38"/>
      <c r="H203" s="38"/>
      <c r="I203" s="39"/>
      <c r="J203" s="38"/>
    </row>
    <row r="204" spans="2:10" ht="12.75" customHeight="1" x14ac:dyDescent="0.2">
      <c r="B204" s="37"/>
      <c r="C204" s="37" t="str">
        <f>IF(D204="","",MATCH(D204,Parametros!$B$4:$B$15,0))</f>
        <v/>
      </c>
      <c r="D204" s="38"/>
      <c r="E204" s="38"/>
      <c r="F204" s="38"/>
      <c r="G204" s="38"/>
      <c r="H204" s="38"/>
      <c r="I204" s="39"/>
      <c r="J204" s="38"/>
    </row>
    <row r="205" spans="2:10" ht="12.75" customHeight="1" x14ac:dyDescent="0.2">
      <c r="B205" s="37"/>
      <c r="C205" s="37" t="str">
        <f>IF(D205="","",MATCH(D205,Parametros!$B$4:$B$15,0))</f>
        <v/>
      </c>
      <c r="D205" s="38"/>
      <c r="E205" s="38"/>
      <c r="F205" s="38"/>
      <c r="G205" s="38"/>
      <c r="H205" s="38"/>
      <c r="I205" s="39"/>
      <c r="J205" s="38"/>
    </row>
    <row r="206" spans="2:10" ht="12.75" customHeight="1" x14ac:dyDescent="0.2">
      <c r="B206" s="37"/>
      <c r="C206" s="37" t="str">
        <f>IF(D206="","",MATCH(D206,Parametros!$B$4:$B$15,0))</f>
        <v/>
      </c>
      <c r="D206" s="38"/>
      <c r="E206" s="38"/>
      <c r="F206" s="38"/>
      <c r="G206" s="38"/>
      <c r="H206" s="38"/>
      <c r="I206" s="39"/>
      <c r="J206" s="38"/>
    </row>
    <row r="207" spans="2:10" ht="12.75" customHeight="1" x14ac:dyDescent="0.2">
      <c r="B207" s="37"/>
      <c r="C207" s="37" t="str">
        <f>IF(D207="","",MATCH(D207,Parametros!$B$4:$B$15,0))</f>
        <v/>
      </c>
      <c r="D207" s="38"/>
      <c r="E207" s="38"/>
      <c r="F207" s="38"/>
      <c r="G207" s="38"/>
      <c r="H207" s="38"/>
      <c r="I207" s="39"/>
      <c r="J207" s="38"/>
    </row>
    <row r="208" spans="2:10" ht="12.75" customHeight="1" x14ac:dyDescent="0.2">
      <c r="B208" s="37"/>
      <c r="C208" s="37" t="str">
        <f>IF(D208="","",MATCH(D208,Parametros!$B$4:$B$15,0))</f>
        <v/>
      </c>
      <c r="D208" s="38"/>
      <c r="E208" s="38"/>
      <c r="F208" s="38"/>
      <c r="G208" s="38"/>
      <c r="H208" s="38"/>
      <c r="I208" s="39"/>
      <c r="J208" s="38"/>
    </row>
    <row r="209" spans="2:10" ht="12.75" customHeight="1" x14ac:dyDescent="0.2">
      <c r="B209" s="37"/>
      <c r="C209" s="37" t="str">
        <f>IF(D209="","",MATCH(D209,Parametros!$B$4:$B$15,0))</f>
        <v/>
      </c>
      <c r="D209" s="38"/>
      <c r="E209" s="38"/>
      <c r="F209" s="38"/>
      <c r="G209" s="38"/>
      <c r="H209" s="38"/>
      <c r="I209" s="39"/>
      <c r="J209" s="38"/>
    </row>
    <row r="210" spans="2:10" ht="12.75" customHeight="1" x14ac:dyDescent="0.2">
      <c r="B210" s="37"/>
      <c r="C210" s="37" t="str">
        <f>IF(D210="","",MATCH(D210,Parametros!$B$4:$B$15,0))</f>
        <v/>
      </c>
      <c r="D210" s="38"/>
      <c r="E210" s="38"/>
      <c r="F210" s="38"/>
      <c r="G210" s="38"/>
      <c r="H210" s="38"/>
      <c r="I210" s="39"/>
      <c r="J210" s="38"/>
    </row>
    <row r="211" spans="2:10" ht="12.75" customHeight="1" x14ac:dyDescent="0.2">
      <c r="B211" s="37"/>
      <c r="C211" s="37" t="str">
        <f>IF(D211="","",MATCH(D211,Parametros!$B$4:$B$15,0))</f>
        <v/>
      </c>
      <c r="D211" s="38"/>
      <c r="E211" s="38"/>
      <c r="F211" s="38"/>
      <c r="G211" s="38"/>
      <c r="H211" s="38"/>
      <c r="I211" s="39"/>
      <c r="J211" s="38"/>
    </row>
    <row r="212" spans="2:10" ht="12.75" customHeight="1" x14ac:dyDescent="0.2">
      <c r="B212" s="37"/>
      <c r="C212" s="37" t="str">
        <f>IF(D212="","",MATCH(D212,Parametros!$B$4:$B$15,0))</f>
        <v/>
      </c>
      <c r="D212" s="38"/>
      <c r="E212" s="38"/>
      <c r="F212" s="38"/>
      <c r="G212" s="38"/>
      <c r="H212" s="38"/>
      <c r="I212" s="39"/>
      <c r="J212" s="38"/>
    </row>
    <row r="213" spans="2:10" ht="12.75" customHeight="1" x14ac:dyDescent="0.2">
      <c r="B213" s="37"/>
      <c r="C213" s="37" t="str">
        <f>IF(D213="","",MATCH(D213,Parametros!$B$4:$B$15,0))</f>
        <v/>
      </c>
      <c r="D213" s="38"/>
      <c r="E213" s="38"/>
      <c r="F213" s="38"/>
      <c r="G213" s="38"/>
      <c r="H213" s="38"/>
      <c r="I213" s="39"/>
      <c r="J213" s="38"/>
    </row>
    <row r="214" spans="2:10" ht="12.75" customHeight="1" x14ac:dyDescent="0.2">
      <c r="B214" s="37"/>
      <c r="C214" s="37" t="str">
        <f>IF(D214="","",MATCH(D214,Parametros!$B$4:$B$15,0))</f>
        <v/>
      </c>
      <c r="D214" s="38"/>
      <c r="E214" s="38"/>
      <c r="F214" s="38"/>
      <c r="G214" s="38"/>
      <c r="H214" s="38"/>
      <c r="I214" s="39"/>
      <c r="J214" s="38"/>
    </row>
    <row r="215" spans="2:10" ht="12.75" customHeight="1" x14ac:dyDescent="0.2">
      <c r="B215" s="37"/>
      <c r="C215" s="37" t="str">
        <f>IF(D215="","",MATCH(D215,Parametros!$B$4:$B$15,0))</f>
        <v/>
      </c>
      <c r="D215" s="38"/>
      <c r="E215" s="38"/>
      <c r="F215" s="38"/>
      <c r="G215" s="38"/>
      <c r="H215" s="38"/>
      <c r="I215" s="39"/>
      <c r="J215" s="38"/>
    </row>
    <row r="216" spans="2:10" ht="12.75" customHeight="1" x14ac:dyDescent="0.2">
      <c r="B216" s="37"/>
      <c r="C216" s="37" t="str">
        <f>IF(D216="","",MATCH(D216,Parametros!$B$4:$B$15,0))</f>
        <v/>
      </c>
      <c r="D216" s="38"/>
      <c r="E216" s="38"/>
      <c r="F216" s="38"/>
      <c r="G216" s="38"/>
      <c r="H216" s="38"/>
      <c r="I216" s="39"/>
      <c r="J216" s="38"/>
    </row>
    <row r="217" spans="2:10" ht="12.75" customHeight="1" x14ac:dyDescent="0.2">
      <c r="B217" s="37"/>
      <c r="C217" s="37" t="str">
        <f>IF(D217="","",MATCH(D217,Parametros!$B$4:$B$15,0))</f>
        <v/>
      </c>
      <c r="D217" s="38"/>
      <c r="E217" s="38"/>
      <c r="F217" s="38"/>
      <c r="G217" s="38"/>
      <c r="H217" s="38"/>
      <c r="I217" s="39"/>
      <c r="J217" s="38"/>
    </row>
    <row r="218" spans="2:10" ht="12.75" customHeight="1" x14ac:dyDescent="0.2">
      <c r="B218" s="37"/>
      <c r="C218" s="37" t="str">
        <f>IF(D218="","",MATCH(D218,Parametros!$B$4:$B$15,0))</f>
        <v/>
      </c>
      <c r="D218" s="38"/>
      <c r="E218" s="38"/>
      <c r="F218" s="38"/>
      <c r="G218" s="38"/>
      <c r="H218" s="38"/>
      <c r="I218" s="39"/>
      <c r="J218" s="38"/>
    </row>
    <row r="219" spans="2:10" ht="12.75" customHeight="1" x14ac:dyDescent="0.2">
      <c r="B219" s="37"/>
      <c r="C219" s="37" t="str">
        <f>IF(D219="","",MATCH(D219,Parametros!$B$4:$B$15,0))</f>
        <v/>
      </c>
      <c r="D219" s="38"/>
      <c r="E219" s="38"/>
      <c r="F219" s="38"/>
      <c r="G219" s="38"/>
      <c r="H219" s="38"/>
      <c r="I219" s="39"/>
      <c r="J219" s="38"/>
    </row>
    <row r="220" spans="2:10" ht="12.75" customHeight="1" x14ac:dyDescent="0.2">
      <c r="B220" s="37"/>
      <c r="C220" s="37" t="str">
        <f>IF(D220="","",MATCH(D220,Parametros!$B$4:$B$15,0))</f>
        <v/>
      </c>
      <c r="D220" s="38"/>
      <c r="E220" s="38"/>
      <c r="F220" s="38"/>
      <c r="G220" s="38"/>
      <c r="H220" s="38"/>
      <c r="I220" s="39"/>
      <c r="J220" s="38"/>
    </row>
    <row r="221" spans="2:10" ht="12.75" customHeight="1" x14ac:dyDescent="0.2">
      <c r="B221" s="37"/>
      <c r="C221" s="37" t="str">
        <f>IF(D221="","",MATCH(D221,Parametros!$B$4:$B$15,0))</f>
        <v/>
      </c>
      <c r="D221" s="38"/>
      <c r="E221" s="38"/>
      <c r="F221" s="38"/>
      <c r="G221" s="38"/>
      <c r="H221" s="38"/>
      <c r="I221" s="39"/>
      <c r="J221" s="38"/>
    </row>
    <row r="222" spans="2:10" ht="12.75" customHeight="1" x14ac:dyDescent="0.2">
      <c r="B222" s="37"/>
      <c r="C222" s="37" t="str">
        <f>IF(D222="","",MATCH(D222,Parametros!$B$4:$B$15,0))</f>
        <v/>
      </c>
      <c r="D222" s="38"/>
      <c r="E222" s="38"/>
      <c r="F222" s="38"/>
      <c r="G222" s="38"/>
      <c r="H222" s="38"/>
      <c r="I222" s="39"/>
      <c r="J222" s="38"/>
    </row>
    <row r="223" spans="2:10" ht="12.75" customHeight="1" x14ac:dyDescent="0.2">
      <c r="B223" s="37"/>
      <c r="C223" s="37" t="str">
        <f>IF(D223="","",MATCH(D223,Parametros!$B$4:$B$15,0))</f>
        <v/>
      </c>
      <c r="D223" s="38"/>
      <c r="E223" s="38"/>
      <c r="F223" s="38"/>
      <c r="G223" s="38"/>
      <c r="H223" s="38"/>
      <c r="I223" s="39"/>
      <c r="J223" s="38"/>
    </row>
    <row r="224" spans="2:10" ht="12.75" customHeight="1" x14ac:dyDescent="0.2">
      <c r="B224" s="37"/>
      <c r="C224" s="37" t="str">
        <f>IF(D224="","",MATCH(D224,Parametros!$B$4:$B$15,0))</f>
        <v/>
      </c>
      <c r="D224" s="38"/>
      <c r="E224" s="38"/>
      <c r="F224" s="38"/>
      <c r="G224" s="38"/>
      <c r="H224" s="38"/>
      <c r="I224" s="39"/>
      <c r="J224" s="38"/>
    </row>
    <row r="225" spans="2:10" ht="12.75" customHeight="1" x14ac:dyDescent="0.2">
      <c r="B225" s="37"/>
      <c r="C225" s="37" t="str">
        <f>IF(D225="","",MATCH(D225,Parametros!$B$4:$B$15,0))</f>
        <v/>
      </c>
      <c r="D225" s="38"/>
      <c r="E225" s="38"/>
      <c r="F225" s="38"/>
      <c r="G225" s="38"/>
      <c r="H225" s="38"/>
      <c r="I225" s="39"/>
      <c r="J225" s="38"/>
    </row>
    <row r="226" spans="2:10" ht="12.75" customHeight="1" x14ac:dyDescent="0.2">
      <c r="B226" s="37"/>
      <c r="C226" s="37" t="str">
        <f>IF(D226="","",MATCH(D226,Parametros!$B$4:$B$15,0))</f>
        <v/>
      </c>
      <c r="D226" s="38"/>
      <c r="E226" s="38"/>
      <c r="F226" s="38"/>
      <c r="G226" s="38"/>
      <c r="H226" s="38"/>
      <c r="I226" s="39"/>
      <c r="J226" s="38"/>
    </row>
    <row r="227" spans="2:10" ht="12.75" customHeight="1" x14ac:dyDescent="0.2">
      <c r="B227" s="37"/>
      <c r="C227" s="37" t="str">
        <f>IF(D227="","",MATCH(D227,Parametros!$B$4:$B$15,0))</f>
        <v/>
      </c>
      <c r="D227" s="38"/>
      <c r="E227" s="38"/>
      <c r="F227" s="38"/>
      <c r="G227" s="38"/>
      <c r="H227" s="38"/>
      <c r="I227" s="39"/>
      <c r="J227" s="38"/>
    </row>
    <row r="228" spans="2:10" ht="12.75" customHeight="1" x14ac:dyDescent="0.2">
      <c r="B228" s="37"/>
      <c r="C228" s="37" t="str">
        <f>IF(D228="","",MATCH(D228,Parametros!$B$4:$B$15,0))</f>
        <v/>
      </c>
      <c r="D228" s="38"/>
      <c r="E228" s="38"/>
      <c r="F228" s="38"/>
      <c r="G228" s="38"/>
      <c r="H228" s="38"/>
      <c r="I228" s="39"/>
      <c r="J228" s="38"/>
    </row>
    <row r="229" spans="2:10" ht="12.75" customHeight="1" x14ac:dyDescent="0.2">
      <c r="B229" s="37"/>
      <c r="C229" s="37" t="str">
        <f>IF(D229="","",MATCH(D229,Parametros!$B$4:$B$15,0))</f>
        <v/>
      </c>
      <c r="D229" s="38"/>
      <c r="E229" s="38"/>
      <c r="F229" s="38"/>
      <c r="G229" s="38"/>
      <c r="H229" s="38"/>
      <c r="I229" s="39"/>
      <c r="J229" s="38"/>
    </row>
    <row r="230" spans="2:10" ht="12.75" customHeight="1" x14ac:dyDescent="0.2">
      <c r="B230" s="37"/>
      <c r="C230" s="37" t="str">
        <f>IF(D230="","",MATCH(D230,Parametros!$B$4:$B$15,0))</f>
        <v/>
      </c>
      <c r="D230" s="38"/>
      <c r="E230" s="38"/>
      <c r="F230" s="38"/>
      <c r="G230" s="38"/>
      <c r="H230" s="38"/>
      <c r="I230" s="39"/>
      <c r="J230" s="38"/>
    </row>
    <row r="231" spans="2:10" ht="12.75" customHeight="1" x14ac:dyDescent="0.2">
      <c r="B231" s="37"/>
      <c r="C231" s="37" t="str">
        <f>IF(D231="","",MATCH(D231,Parametros!$B$4:$B$15,0))</f>
        <v/>
      </c>
      <c r="D231" s="38"/>
      <c r="E231" s="38"/>
      <c r="F231" s="38"/>
      <c r="G231" s="38"/>
      <c r="H231" s="38"/>
      <c r="I231" s="39"/>
      <c r="J231" s="38"/>
    </row>
    <row r="232" spans="2:10" ht="12.75" customHeight="1" x14ac:dyDescent="0.2">
      <c r="B232" s="37"/>
      <c r="C232" s="37" t="str">
        <f>IF(D232="","",MATCH(D232,Parametros!$B$4:$B$15,0))</f>
        <v/>
      </c>
      <c r="D232" s="38"/>
      <c r="E232" s="38"/>
      <c r="F232" s="38"/>
      <c r="G232" s="38"/>
      <c r="H232" s="38"/>
      <c r="I232" s="39"/>
      <c r="J232" s="38"/>
    </row>
    <row r="233" spans="2:10" ht="12.75" customHeight="1" x14ac:dyDescent="0.2">
      <c r="B233" s="37"/>
      <c r="C233" s="37" t="str">
        <f>IF(D233="","",MATCH(D233,Parametros!$B$4:$B$15,0))</f>
        <v/>
      </c>
      <c r="D233" s="38"/>
      <c r="E233" s="38"/>
      <c r="F233" s="38"/>
      <c r="G233" s="38"/>
      <c r="H233" s="38"/>
      <c r="I233" s="39"/>
      <c r="J233" s="38"/>
    </row>
    <row r="234" spans="2:10" ht="12.75" customHeight="1" x14ac:dyDescent="0.2">
      <c r="B234" s="37"/>
      <c r="C234" s="37" t="str">
        <f>IF(D234="","",MATCH(D234,Parametros!$B$4:$B$15,0))</f>
        <v/>
      </c>
      <c r="D234" s="38"/>
      <c r="E234" s="38"/>
      <c r="F234" s="38"/>
      <c r="G234" s="38"/>
      <c r="H234" s="38"/>
      <c r="I234" s="39"/>
      <c r="J234" s="38"/>
    </row>
    <row r="235" spans="2:10" ht="12.75" customHeight="1" x14ac:dyDescent="0.2">
      <c r="B235" s="37"/>
      <c r="C235" s="37" t="str">
        <f>IF(D235="","",MATCH(D235,Parametros!$B$4:$B$15,0))</f>
        <v/>
      </c>
      <c r="D235" s="38"/>
      <c r="E235" s="38"/>
      <c r="F235" s="38"/>
      <c r="G235" s="38"/>
      <c r="H235" s="38"/>
      <c r="I235" s="39"/>
      <c r="J235" s="38"/>
    </row>
    <row r="236" spans="2:10" ht="12.75" customHeight="1" x14ac:dyDescent="0.2">
      <c r="B236" s="37"/>
      <c r="C236" s="37" t="str">
        <f>IF(D236="","",MATCH(D236,Parametros!$B$4:$B$15,0))</f>
        <v/>
      </c>
      <c r="D236" s="38"/>
      <c r="E236" s="38"/>
      <c r="F236" s="38"/>
      <c r="G236" s="38"/>
      <c r="H236" s="38"/>
      <c r="I236" s="39"/>
      <c r="J236" s="38"/>
    </row>
    <row r="237" spans="2:10" ht="12.75" customHeight="1" x14ac:dyDescent="0.2">
      <c r="B237" s="37"/>
      <c r="C237" s="37" t="str">
        <f>IF(D237="","",MATCH(D237,Parametros!$B$4:$B$15,0))</f>
        <v/>
      </c>
      <c r="D237" s="38"/>
      <c r="E237" s="38"/>
      <c r="F237" s="38"/>
      <c r="G237" s="38"/>
      <c r="H237" s="38"/>
      <c r="I237" s="39"/>
      <c r="J237" s="38"/>
    </row>
    <row r="238" spans="2:10" ht="12.75" customHeight="1" x14ac:dyDescent="0.2">
      <c r="B238" s="37"/>
      <c r="C238" s="37" t="str">
        <f>IF(D238="","",MATCH(D238,Parametros!$B$4:$B$15,0))</f>
        <v/>
      </c>
      <c r="D238" s="38"/>
      <c r="E238" s="38"/>
      <c r="F238" s="38"/>
      <c r="G238" s="38"/>
      <c r="H238" s="38"/>
      <c r="I238" s="39"/>
      <c r="J238" s="38"/>
    </row>
    <row r="239" spans="2:10" ht="12.75" customHeight="1" x14ac:dyDescent="0.2">
      <c r="B239" s="37"/>
      <c r="C239" s="37" t="str">
        <f>IF(D239="","",MATCH(D239,Parametros!$B$4:$B$15,0))</f>
        <v/>
      </c>
      <c r="D239" s="38"/>
      <c r="E239" s="38"/>
      <c r="F239" s="38"/>
      <c r="G239" s="38"/>
      <c r="H239" s="38"/>
      <c r="I239" s="39"/>
      <c r="J239" s="38"/>
    </row>
    <row r="240" spans="2:10" ht="12.75" customHeight="1" x14ac:dyDescent="0.2">
      <c r="B240" s="37"/>
      <c r="C240" s="37" t="str">
        <f>IF(D240="","",MATCH(D240,Parametros!$B$4:$B$15,0))</f>
        <v/>
      </c>
      <c r="D240" s="38"/>
      <c r="E240" s="38"/>
      <c r="F240" s="38"/>
      <c r="G240" s="38"/>
      <c r="H240" s="38"/>
      <c r="I240" s="39"/>
      <c r="J240" s="38"/>
    </row>
    <row r="241" spans="2:10" ht="12.75" customHeight="1" x14ac:dyDescent="0.2">
      <c r="B241" s="37"/>
      <c r="C241" s="37" t="str">
        <f>IF(D241="","",MATCH(D241,Parametros!$B$4:$B$15,0))</f>
        <v/>
      </c>
      <c r="D241" s="38"/>
      <c r="E241" s="38"/>
      <c r="F241" s="38"/>
      <c r="G241" s="38"/>
      <c r="H241" s="38"/>
      <c r="I241" s="39"/>
      <c r="J241" s="38"/>
    </row>
    <row r="242" spans="2:10" ht="12.75" customHeight="1" x14ac:dyDescent="0.2">
      <c r="B242" s="37"/>
      <c r="C242" s="37" t="str">
        <f>IF(D242="","",MATCH(D242,Parametros!$B$4:$B$15,0))</f>
        <v/>
      </c>
      <c r="D242" s="38"/>
      <c r="E242" s="38"/>
      <c r="F242" s="38"/>
      <c r="G242" s="38"/>
      <c r="H242" s="38"/>
      <c r="I242" s="39"/>
      <c r="J242" s="38"/>
    </row>
    <row r="243" spans="2:10" ht="12.75" customHeight="1" x14ac:dyDescent="0.2">
      <c r="B243" s="37"/>
      <c r="C243" s="37" t="str">
        <f>IF(D243="","",MATCH(D243,Parametros!$B$4:$B$15,0))</f>
        <v/>
      </c>
      <c r="D243" s="38"/>
      <c r="E243" s="38"/>
      <c r="F243" s="38"/>
      <c r="G243" s="38"/>
      <c r="H243" s="38"/>
      <c r="I243" s="39"/>
      <c r="J243" s="38"/>
    </row>
    <row r="244" spans="2:10" ht="12.75" customHeight="1" x14ac:dyDescent="0.2">
      <c r="B244" s="37"/>
      <c r="C244" s="37" t="str">
        <f>IF(D244="","",MATCH(D244,Parametros!$B$4:$B$15,0))</f>
        <v/>
      </c>
      <c r="D244" s="38"/>
      <c r="E244" s="38"/>
      <c r="F244" s="38"/>
      <c r="G244" s="38"/>
      <c r="H244" s="38"/>
      <c r="I244" s="39"/>
      <c r="J244" s="38"/>
    </row>
    <row r="245" spans="2:10" ht="12.75" customHeight="1" x14ac:dyDescent="0.2">
      <c r="B245" s="37"/>
      <c r="C245" s="37" t="str">
        <f>IF(D245="","",MATCH(D245,Parametros!$B$4:$B$15,0))</f>
        <v/>
      </c>
      <c r="D245" s="38"/>
      <c r="E245" s="38"/>
      <c r="F245" s="38"/>
      <c r="G245" s="38"/>
      <c r="H245" s="38"/>
      <c r="I245" s="39"/>
      <c r="J245" s="38"/>
    </row>
    <row r="246" spans="2:10" ht="12.75" customHeight="1" x14ac:dyDescent="0.2">
      <c r="B246" s="37"/>
      <c r="C246" s="37" t="str">
        <f>IF(D246="","",MATCH(D246,Parametros!$B$4:$B$15,0))</f>
        <v/>
      </c>
      <c r="D246" s="38"/>
      <c r="E246" s="38"/>
      <c r="F246" s="38"/>
      <c r="G246" s="38"/>
      <c r="H246" s="38"/>
      <c r="I246" s="39"/>
      <c r="J246" s="38"/>
    </row>
    <row r="247" spans="2:10" ht="12.75" customHeight="1" x14ac:dyDescent="0.2">
      <c r="B247" s="37"/>
      <c r="C247" s="37" t="str">
        <f>IF(D247="","",MATCH(D247,Parametros!$B$4:$B$15,0))</f>
        <v/>
      </c>
      <c r="D247" s="38"/>
      <c r="E247" s="38"/>
      <c r="F247" s="38"/>
      <c r="G247" s="38"/>
      <c r="H247" s="38"/>
      <c r="I247" s="39"/>
      <c r="J247" s="38"/>
    </row>
    <row r="248" spans="2:10" ht="12.75" customHeight="1" x14ac:dyDescent="0.2">
      <c r="B248" s="37"/>
      <c r="C248" s="37" t="str">
        <f>IF(D248="","",MATCH(D248,Parametros!$B$4:$B$15,0))</f>
        <v/>
      </c>
      <c r="D248" s="38"/>
      <c r="E248" s="38"/>
      <c r="F248" s="38"/>
      <c r="G248" s="38"/>
      <c r="H248" s="38"/>
      <c r="I248" s="39"/>
      <c r="J248" s="38"/>
    </row>
    <row r="249" spans="2:10" ht="12.75" customHeight="1" x14ac:dyDescent="0.2">
      <c r="B249" s="37"/>
      <c r="C249" s="37" t="str">
        <f>IF(D249="","",MATCH(D249,Parametros!$B$4:$B$15,0))</f>
        <v/>
      </c>
      <c r="D249" s="38"/>
      <c r="E249" s="38"/>
      <c r="F249" s="38"/>
      <c r="G249" s="38"/>
      <c r="H249" s="38"/>
      <c r="I249" s="39"/>
      <c r="J249" s="38"/>
    </row>
    <row r="250" spans="2:10" ht="12.75" customHeight="1" x14ac:dyDescent="0.2">
      <c r="B250" s="37"/>
      <c r="C250" s="37" t="str">
        <f>IF(D250="","",MATCH(D250,Parametros!$B$4:$B$15,0))</f>
        <v/>
      </c>
      <c r="D250" s="38"/>
      <c r="E250" s="38"/>
      <c r="F250" s="38"/>
      <c r="G250" s="38"/>
      <c r="H250" s="38"/>
      <c r="I250" s="39"/>
      <c r="J250" s="38"/>
    </row>
    <row r="251" spans="2:10" ht="12.75" customHeight="1" x14ac:dyDescent="0.2">
      <c r="B251" s="37"/>
      <c r="C251" s="37" t="str">
        <f>IF(D251="","",MATCH(D251,Parametros!$B$4:$B$15,0))</f>
        <v/>
      </c>
      <c r="D251" s="38"/>
      <c r="E251" s="38"/>
      <c r="F251" s="38"/>
      <c r="G251" s="38"/>
      <c r="H251" s="38"/>
      <c r="I251" s="39"/>
      <c r="J251" s="38"/>
    </row>
    <row r="252" spans="2:10" ht="12.75" customHeight="1" x14ac:dyDescent="0.2">
      <c r="B252" s="37"/>
      <c r="C252" s="37" t="str">
        <f>IF(D252="","",MATCH(D252,Parametros!$B$4:$B$15,0))</f>
        <v/>
      </c>
      <c r="D252" s="38"/>
      <c r="E252" s="38"/>
      <c r="F252" s="38"/>
      <c r="G252" s="38"/>
      <c r="H252" s="38"/>
      <c r="I252" s="39"/>
      <c r="J252" s="38"/>
    </row>
    <row r="253" spans="2:10" ht="12.75" customHeight="1" x14ac:dyDescent="0.2">
      <c r="B253" s="37"/>
      <c r="C253" s="37" t="str">
        <f>IF(D253="","",MATCH(D253,Parametros!$B$4:$B$15,0))</f>
        <v/>
      </c>
      <c r="D253" s="38"/>
      <c r="E253" s="38"/>
      <c r="F253" s="38"/>
      <c r="G253" s="38"/>
      <c r="H253" s="38"/>
      <c r="I253" s="39"/>
      <c r="J253" s="38"/>
    </row>
    <row r="254" spans="2:10" ht="12.75" customHeight="1" x14ac:dyDescent="0.2">
      <c r="B254" s="37"/>
      <c r="C254" s="37" t="str">
        <f>IF(D254="","",MATCH(D254,Parametros!$B$4:$B$15,0))</f>
        <v/>
      </c>
      <c r="D254" s="38"/>
      <c r="E254" s="38"/>
      <c r="F254" s="38"/>
      <c r="G254" s="38"/>
      <c r="H254" s="38"/>
      <c r="I254" s="39"/>
      <c r="J254" s="38"/>
    </row>
    <row r="255" spans="2:10" ht="12.75" customHeight="1" x14ac:dyDescent="0.2">
      <c r="B255" s="37"/>
      <c r="C255" s="37" t="str">
        <f>IF(D255="","",MATCH(D255,Parametros!$B$4:$B$15,0))</f>
        <v/>
      </c>
      <c r="D255" s="38"/>
      <c r="E255" s="38"/>
      <c r="F255" s="38"/>
      <c r="G255" s="38"/>
      <c r="H255" s="38"/>
      <c r="I255" s="39"/>
      <c r="J255" s="38"/>
    </row>
    <row r="256" spans="2:10" ht="12.75" customHeight="1" x14ac:dyDescent="0.2">
      <c r="B256" s="37"/>
      <c r="C256" s="37" t="str">
        <f>IF(D256="","",MATCH(D256,Parametros!$B$4:$B$15,0))</f>
        <v/>
      </c>
      <c r="D256" s="38"/>
      <c r="E256" s="38"/>
      <c r="F256" s="38"/>
      <c r="G256" s="38"/>
      <c r="H256" s="38"/>
      <c r="I256" s="39"/>
      <c r="J256" s="38"/>
    </row>
    <row r="257" spans="2:10" ht="12.75" customHeight="1" x14ac:dyDescent="0.2">
      <c r="B257" s="37"/>
      <c r="C257" s="37" t="str">
        <f>IF(D257="","",MATCH(D257,Parametros!$B$4:$B$15,0))</f>
        <v/>
      </c>
      <c r="D257" s="38"/>
      <c r="E257" s="38"/>
      <c r="F257" s="38"/>
      <c r="G257" s="38"/>
      <c r="H257" s="38"/>
      <c r="I257" s="39"/>
      <c r="J257" s="38"/>
    </row>
    <row r="258" spans="2:10" ht="12.75" customHeight="1" x14ac:dyDescent="0.2">
      <c r="B258" s="37"/>
      <c r="C258" s="37" t="str">
        <f>IF(D258="","",MATCH(D258,Parametros!$B$4:$B$15,0))</f>
        <v/>
      </c>
      <c r="D258" s="38"/>
      <c r="E258" s="38"/>
      <c r="F258" s="38"/>
      <c r="G258" s="38"/>
      <c r="H258" s="38"/>
      <c r="I258" s="39"/>
      <c r="J258" s="38"/>
    </row>
    <row r="259" spans="2:10" ht="12.75" customHeight="1" x14ac:dyDescent="0.2">
      <c r="B259" s="37"/>
      <c r="C259" s="37" t="str">
        <f>IF(D259="","",MATCH(D259,Parametros!$B$4:$B$15,0))</f>
        <v/>
      </c>
      <c r="D259" s="38"/>
      <c r="E259" s="38"/>
      <c r="F259" s="38"/>
      <c r="G259" s="38"/>
      <c r="H259" s="38"/>
      <c r="I259" s="39"/>
      <c r="J259" s="38"/>
    </row>
    <row r="260" spans="2:10" ht="12.75" customHeight="1" x14ac:dyDescent="0.2">
      <c r="B260" s="37"/>
      <c r="C260" s="37" t="str">
        <f>IF(D260="","",MATCH(D260,Parametros!$B$4:$B$15,0))</f>
        <v/>
      </c>
      <c r="D260" s="38"/>
      <c r="E260" s="38"/>
      <c r="F260" s="38"/>
      <c r="G260" s="38"/>
      <c r="H260" s="38"/>
      <c r="I260" s="39"/>
      <c r="J260" s="38"/>
    </row>
    <row r="261" spans="2:10" ht="12.75" customHeight="1" x14ac:dyDescent="0.2">
      <c r="B261" s="37"/>
      <c r="C261" s="37" t="str">
        <f>IF(D261="","",MATCH(D261,Parametros!$B$4:$B$15,0))</f>
        <v/>
      </c>
      <c r="D261" s="38"/>
      <c r="E261" s="38"/>
      <c r="F261" s="38"/>
      <c r="G261" s="38"/>
      <c r="H261" s="38"/>
      <c r="I261" s="39"/>
      <c r="J261" s="38"/>
    </row>
    <row r="262" spans="2:10" ht="12.75" customHeight="1" x14ac:dyDescent="0.2">
      <c r="B262" s="37"/>
      <c r="C262" s="37" t="str">
        <f>IF(D262="","",MATCH(D262,Parametros!$B$4:$B$15,0))</f>
        <v/>
      </c>
      <c r="D262" s="38"/>
      <c r="E262" s="38"/>
      <c r="F262" s="38"/>
      <c r="G262" s="38"/>
      <c r="H262" s="38"/>
      <c r="I262" s="39"/>
      <c r="J262" s="38"/>
    </row>
    <row r="263" spans="2:10" ht="12.75" customHeight="1" x14ac:dyDescent="0.2">
      <c r="B263" s="37"/>
      <c r="C263" s="37" t="str">
        <f>IF(D263="","",MATCH(D263,Parametros!$B$4:$B$15,0))</f>
        <v/>
      </c>
      <c r="D263" s="38"/>
      <c r="E263" s="38"/>
      <c r="F263" s="38"/>
      <c r="G263" s="38"/>
      <c r="H263" s="38"/>
      <c r="I263" s="39"/>
      <c r="J263" s="38"/>
    </row>
    <row r="264" spans="2:10" ht="12.75" customHeight="1" x14ac:dyDescent="0.2">
      <c r="B264" s="37"/>
      <c r="C264" s="37" t="str">
        <f>IF(D264="","",MATCH(D264,Parametros!$B$4:$B$15,0))</f>
        <v/>
      </c>
      <c r="D264" s="38"/>
      <c r="E264" s="38"/>
      <c r="F264" s="38"/>
      <c r="G264" s="38"/>
      <c r="H264" s="38"/>
      <c r="I264" s="39"/>
      <c r="J264" s="38"/>
    </row>
    <row r="265" spans="2:10" ht="12.75" customHeight="1" x14ac:dyDescent="0.2">
      <c r="B265" s="37"/>
      <c r="C265" s="37" t="str">
        <f>IF(D265="","",MATCH(D265,Parametros!$B$4:$B$15,0))</f>
        <v/>
      </c>
      <c r="D265" s="38"/>
      <c r="E265" s="38"/>
      <c r="F265" s="38"/>
      <c r="G265" s="38"/>
      <c r="H265" s="38"/>
      <c r="I265" s="39"/>
      <c r="J265" s="38"/>
    </row>
    <row r="266" spans="2:10" ht="12.75" customHeight="1" x14ac:dyDescent="0.2">
      <c r="B266" s="37"/>
      <c r="C266" s="37" t="str">
        <f>IF(D266="","",MATCH(D266,Parametros!$B$4:$B$15,0))</f>
        <v/>
      </c>
      <c r="D266" s="38"/>
      <c r="E266" s="38"/>
      <c r="F266" s="38"/>
      <c r="G266" s="38"/>
      <c r="H266" s="38"/>
      <c r="I266" s="39"/>
      <c r="J266" s="38"/>
    </row>
    <row r="267" spans="2:10" ht="12.75" customHeight="1" x14ac:dyDescent="0.2">
      <c r="B267" s="37"/>
      <c r="C267" s="37" t="str">
        <f>IF(D267="","",MATCH(D267,Parametros!$B$4:$B$15,0))</f>
        <v/>
      </c>
      <c r="D267" s="38"/>
      <c r="E267" s="38"/>
      <c r="F267" s="38"/>
      <c r="G267" s="38"/>
      <c r="H267" s="38"/>
      <c r="I267" s="39"/>
      <c r="J267" s="38"/>
    </row>
    <row r="268" spans="2:10" ht="12.75" customHeight="1" x14ac:dyDescent="0.2">
      <c r="B268" s="37"/>
      <c r="C268" s="37" t="str">
        <f>IF(D268="","",MATCH(D268,Parametros!$B$4:$B$15,0))</f>
        <v/>
      </c>
      <c r="D268" s="38"/>
      <c r="E268" s="38"/>
      <c r="F268" s="38"/>
      <c r="G268" s="38"/>
      <c r="H268" s="38"/>
      <c r="I268" s="39"/>
      <c r="J268" s="38"/>
    </row>
    <row r="269" spans="2:10" ht="12.75" customHeight="1" x14ac:dyDescent="0.2">
      <c r="B269" s="37"/>
      <c r="C269" s="37" t="str">
        <f>IF(D269="","",MATCH(D269,Parametros!$B$4:$B$15,0))</f>
        <v/>
      </c>
      <c r="D269" s="38"/>
      <c r="E269" s="38"/>
      <c r="F269" s="38"/>
      <c r="G269" s="38"/>
      <c r="H269" s="38"/>
      <c r="I269" s="39"/>
      <c r="J269" s="38"/>
    </row>
    <row r="270" spans="2:10" ht="12.75" customHeight="1" x14ac:dyDescent="0.2">
      <c r="B270" s="37"/>
      <c r="C270" s="37" t="str">
        <f>IF(D270="","",MATCH(D270,Parametros!$B$4:$B$15,0))</f>
        <v/>
      </c>
      <c r="D270" s="38"/>
      <c r="E270" s="38"/>
      <c r="F270" s="38"/>
      <c r="G270" s="38"/>
      <c r="H270" s="38"/>
      <c r="I270" s="39"/>
      <c r="J270" s="38"/>
    </row>
    <row r="271" spans="2:10" ht="12.75" customHeight="1" x14ac:dyDescent="0.2">
      <c r="B271" s="37"/>
      <c r="C271" s="37" t="str">
        <f>IF(D271="","",MATCH(D271,Parametros!$B$4:$B$15,0))</f>
        <v/>
      </c>
      <c r="D271" s="38"/>
      <c r="E271" s="38"/>
      <c r="F271" s="38"/>
      <c r="G271" s="38"/>
      <c r="H271" s="38"/>
      <c r="I271" s="39"/>
      <c r="J271" s="38"/>
    </row>
    <row r="272" spans="2:10" ht="12.75" customHeight="1" x14ac:dyDescent="0.2">
      <c r="B272" s="37"/>
      <c r="C272" s="37" t="str">
        <f>IF(D272="","",MATCH(D272,Parametros!$B$4:$B$15,0))</f>
        <v/>
      </c>
      <c r="D272" s="38"/>
      <c r="E272" s="38"/>
      <c r="F272" s="38"/>
      <c r="G272" s="38"/>
      <c r="H272" s="38"/>
      <c r="I272" s="39"/>
      <c r="J272" s="38"/>
    </row>
    <row r="273" spans="2:10" ht="12.75" customHeight="1" x14ac:dyDescent="0.2">
      <c r="B273" s="37"/>
      <c r="C273" s="37" t="str">
        <f>IF(D273="","",MATCH(D273,Parametros!$B$4:$B$15,0))</f>
        <v/>
      </c>
      <c r="D273" s="38"/>
      <c r="E273" s="38"/>
      <c r="F273" s="38"/>
      <c r="G273" s="38"/>
      <c r="H273" s="38"/>
      <c r="I273" s="39"/>
      <c r="J273" s="38"/>
    </row>
    <row r="274" spans="2:10" ht="12.75" customHeight="1" x14ac:dyDescent="0.2">
      <c r="B274" s="37"/>
      <c r="C274" s="37" t="str">
        <f>IF(D274="","",MATCH(D274,Parametros!$B$4:$B$15,0))</f>
        <v/>
      </c>
      <c r="D274" s="38"/>
      <c r="E274" s="38"/>
      <c r="F274" s="38"/>
      <c r="G274" s="38"/>
      <c r="H274" s="38"/>
      <c r="I274" s="39"/>
      <c r="J274" s="38"/>
    </row>
    <row r="275" spans="2:10" ht="12.75" customHeight="1" x14ac:dyDescent="0.2">
      <c r="B275" s="37"/>
      <c r="C275" s="37" t="str">
        <f>IF(D275="","",MATCH(D275,Parametros!$B$4:$B$15,0))</f>
        <v/>
      </c>
      <c r="D275" s="38"/>
      <c r="E275" s="38"/>
      <c r="F275" s="38"/>
      <c r="G275" s="38"/>
      <c r="H275" s="38"/>
      <c r="I275" s="39"/>
      <c r="J275" s="38"/>
    </row>
    <row r="276" spans="2:10" ht="12.75" customHeight="1" x14ac:dyDescent="0.2">
      <c r="B276" s="37"/>
      <c r="C276" s="37" t="str">
        <f>IF(D276="","",MATCH(D276,Parametros!$B$4:$B$15,0))</f>
        <v/>
      </c>
      <c r="D276" s="38"/>
      <c r="E276" s="38"/>
      <c r="F276" s="38"/>
      <c r="G276" s="38"/>
      <c r="H276" s="38"/>
      <c r="I276" s="39"/>
      <c r="J276" s="38"/>
    </row>
    <row r="277" spans="2:10" ht="12.75" customHeight="1" x14ac:dyDescent="0.2">
      <c r="B277" s="37"/>
      <c r="C277" s="37" t="str">
        <f>IF(D277="","",MATCH(D277,Parametros!$B$4:$B$15,0))</f>
        <v/>
      </c>
      <c r="D277" s="38"/>
      <c r="E277" s="38"/>
      <c r="F277" s="38"/>
      <c r="G277" s="38"/>
      <c r="H277" s="38"/>
      <c r="I277" s="39"/>
      <c r="J277" s="38"/>
    </row>
    <row r="278" spans="2:10" ht="12.75" customHeight="1" x14ac:dyDescent="0.2">
      <c r="B278" s="37"/>
      <c r="C278" s="37" t="str">
        <f>IF(D278="","",MATCH(D278,Parametros!$B$4:$B$15,0))</f>
        <v/>
      </c>
      <c r="D278" s="38"/>
      <c r="E278" s="38"/>
      <c r="F278" s="38"/>
      <c r="G278" s="38"/>
      <c r="H278" s="38"/>
      <c r="I278" s="39"/>
      <c r="J278" s="38"/>
    </row>
    <row r="279" spans="2:10" ht="12.75" customHeight="1" x14ac:dyDescent="0.2">
      <c r="B279" s="37"/>
      <c r="C279" s="37" t="str">
        <f>IF(D279="","",MATCH(D279,Parametros!$B$4:$B$15,0))</f>
        <v/>
      </c>
      <c r="D279" s="38"/>
      <c r="E279" s="38"/>
      <c r="F279" s="38"/>
      <c r="G279" s="38"/>
      <c r="H279" s="38"/>
      <c r="I279" s="39"/>
      <c r="J279" s="38"/>
    </row>
    <row r="280" spans="2:10" ht="12.75" customHeight="1" x14ac:dyDescent="0.2">
      <c r="B280" s="37"/>
      <c r="C280" s="37" t="str">
        <f>IF(D280="","",MATCH(D280,Parametros!$B$4:$B$15,0))</f>
        <v/>
      </c>
      <c r="D280" s="38"/>
      <c r="E280" s="38"/>
      <c r="F280" s="38"/>
      <c r="G280" s="38"/>
      <c r="H280" s="38"/>
      <c r="I280" s="39"/>
      <c r="J280" s="38"/>
    </row>
    <row r="281" spans="2:10" ht="12.75" customHeight="1" x14ac:dyDescent="0.2">
      <c r="B281" s="37"/>
      <c r="C281" s="37" t="str">
        <f>IF(D281="","",MATCH(D281,Parametros!$B$4:$B$15,0))</f>
        <v/>
      </c>
      <c r="D281" s="38"/>
      <c r="E281" s="38"/>
      <c r="F281" s="38"/>
      <c r="G281" s="38"/>
      <c r="H281" s="38"/>
      <c r="I281" s="39"/>
      <c r="J281" s="38"/>
    </row>
    <row r="282" spans="2:10" ht="12.75" customHeight="1" x14ac:dyDescent="0.2">
      <c r="B282" s="37"/>
      <c r="C282" s="37" t="str">
        <f>IF(D282="","",MATCH(D282,Parametros!$B$4:$B$15,0))</f>
        <v/>
      </c>
      <c r="D282" s="38"/>
      <c r="E282" s="38"/>
      <c r="F282" s="38"/>
      <c r="G282" s="38"/>
      <c r="H282" s="38"/>
      <c r="I282" s="39"/>
      <c r="J282" s="38"/>
    </row>
    <row r="283" spans="2:10" ht="12.75" customHeight="1" x14ac:dyDescent="0.2">
      <c r="B283" s="37"/>
      <c r="C283" s="37" t="str">
        <f>IF(D283="","",MATCH(D283,Parametros!$B$4:$B$15,0))</f>
        <v/>
      </c>
      <c r="D283" s="38"/>
      <c r="E283" s="38"/>
      <c r="F283" s="38"/>
      <c r="G283" s="38"/>
      <c r="H283" s="38"/>
      <c r="I283" s="39"/>
      <c r="J283" s="38"/>
    </row>
    <row r="284" spans="2:10" ht="12.75" customHeight="1" x14ac:dyDescent="0.2">
      <c r="B284" s="37"/>
      <c r="C284" s="37" t="str">
        <f>IF(D284="","",MATCH(D284,Parametros!$B$4:$B$15,0))</f>
        <v/>
      </c>
      <c r="D284" s="38"/>
      <c r="E284" s="38"/>
      <c r="F284" s="38"/>
      <c r="G284" s="38"/>
      <c r="H284" s="38"/>
      <c r="I284" s="39"/>
      <c r="J284" s="38"/>
    </row>
    <row r="285" spans="2:10" ht="12.75" customHeight="1" x14ac:dyDescent="0.2">
      <c r="B285" s="37"/>
      <c r="C285" s="37" t="str">
        <f>IF(D285="","",MATCH(D285,Parametros!$B$4:$B$15,0))</f>
        <v/>
      </c>
      <c r="D285" s="38"/>
      <c r="E285" s="38"/>
      <c r="F285" s="38"/>
      <c r="G285" s="38"/>
      <c r="H285" s="38"/>
      <c r="I285" s="39"/>
      <c r="J285" s="38"/>
    </row>
    <row r="286" spans="2:10" ht="12.75" customHeight="1" x14ac:dyDescent="0.2">
      <c r="B286" s="37"/>
      <c r="C286" s="37" t="str">
        <f>IF(D286="","",MATCH(D286,Parametros!$B$4:$B$15,0))</f>
        <v/>
      </c>
      <c r="D286" s="38"/>
      <c r="E286" s="38"/>
      <c r="F286" s="38"/>
      <c r="G286" s="38"/>
      <c r="H286" s="38"/>
      <c r="I286" s="39"/>
      <c r="J286" s="38"/>
    </row>
    <row r="287" spans="2:10" ht="12.75" customHeight="1" x14ac:dyDescent="0.2">
      <c r="B287" s="37"/>
      <c r="C287" s="37" t="str">
        <f>IF(D287="","",MATCH(D287,Parametros!$B$4:$B$15,0))</f>
        <v/>
      </c>
      <c r="D287" s="38"/>
      <c r="E287" s="38"/>
      <c r="F287" s="38"/>
      <c r="G287" s="38"/>
      <c r="H287" s="38"/>
      <c r="I287" s="39"/>
      <c r="J287" s="38"/>
    </row>
    <row r="288" spans="2:10" ht="12.75" customHeight="1" x14ac:dyDescent="0.2">
      <c r="B288" s="37"/>
      <c r="C288" s="37" t="str">
        <f>IF(D288="","",MATCH(D288,Parametros!$B$4:$B$15,0))</f>
        <v/>
      </c>
      <c r="D288" s="38"/>
      <c r="E288" s="38"/>
      <c r="F288" s="38"/>
      <c r="G288" s="38"/>
      <c r="H288" s="38"/>
      <c r="I288" s="39"/>
      <c r="J288" s="38"/>
    </row>
    <row r="289" spans="2:10" ht="12.75" customHeight="1" x14ac:dyDescent="0.2">
      <c r="B289" s="37"/>
      <c r="C289" s="37" t="str">
        <f>IF(D289="","",MATCH(D289,Parametros!$B$4:$B$15,0))</f>
        <v/>
      </c>
      <c r="D289" s="38"/>
      <c r="E289" s="38"/>
      <c r="F289" s="38"/>
      <c r="G289" s="38"/>
      <c r="H289" s="38"/>
      <c r="I289" s="39"/>
      <c r="J289" s="38"/>
    </row>
    <row r="290" spans="2:10" ht="12.75" customHeight="1" x14ac:dyDescent="0.2">
      <c r="B290" s="37"/>
      <c r="C290" s="37" t="str">
        <f>IF(D290="","",MATCH(D290,Parametros!$B$4:$B$15,0))</f>
        <v/>
      </c>
      <c r="D290" s="38"/>
      <c r="E290" s="38"/>
      <c r="F290" s="38"/>
      <c r="G290" s="38"/>
      <c r="H290" s="38"/>
      <c r="I290" s="39"/>
      <c r="J290" s="38"/>
    </row>
    <row r="291" spans="2:10" ht="12.75" customHeight="1" x14ac:dyDescent="0.2">
      <c r="B291" s="37"/>
      <c r="C291" s="37" t="str">
        <f>IF(D291="","",MATCH(D291,Parametros!$B$4:$B$15,0))</f>
        <v/>
      </c>
      <c r="D291" s="38"/>
      <c r="E291" s="38"/>
      <c r="F291" s="38"/>
      <c r="G291" s="38"/>
      <c r="H291" s="38"/>
      <c r="I291" s="39"/>
      <c r="J291" s="38"/>
    </row>
    <row r="292" spans="2:10" ht="12.75" customHeight="1" x14ac:dyDescent="0.2">
      <c r="B292" s="37"/>
      <c r="C292" s="37" t="str">
        <f>IF(D292="","",MATCH(D292,Parametros!$B$4:$B$15,0))</f>
        <v/>
      </c>
      <c r="D292" s="38"/>
      <c r="E292" s="38"/>
      <c r="F292" s="38"/>
      <c r="G292" s="38"/>
      <c r="H292" s="38"/>
      <c r="I292" s="39"/>
      <c r="J292" s="38"/>
    </row>
    <row r="293" spans="2:10" ht="12.75" customHeight="1" x14ac:dyDescent="0.2">
      <c r="B293" s="37"/>
      <c r="C293" s="37" t="str">
        <f>IF(D293="","",MATCH(D293,Parametros!$B$4:$B$15,0))</f>
        <v/>
      </c>
      <c r="D293" s="38"/>
      <c r="E293" s="38"/>
      <c r="F293" s="38"/>
      <c r="G293" s="38"/>
      <c r="H293" s="38"/>
      <c r="I293" s="39"/>
      <c r="J293" s="38"/>
    </row>
    <row r="294" spans="2:10" ht="12.75" customHeight="1" x14ac:dyDescent="0.2">
      <c r="B294" s="37"/>
      <c r="C294" s="37" t="str">
        <f>IF(D294="","",MATCH(D294,Parametros!$B$4:$B$15,0))</f>
        <v/>
      </c>
      <c r="D294" s="38"/>
      <c r="E294" s="38"/>
      <c r="F294" s="38"/>
      <c r="G294" s="38"/>
      <c r="H294" s="38"/>
      <c r="I294" s="39"/>
      <c r="J294" s="38"/>
    </row>
    <row r="295" spans="2:10" ht="12.75" customHeight="1" x14ac:dyDescent="0.2">
      <c r="B295" s="37"/>
      <c r="C295" s="37" t="str">
        <f>IF(D295="","",MATCH(D295,Parametros!$B$4:$B$15,0))</f>
        <v/>
      </c>
      <c r="D295" s="38"/>
      <c r="E295" s="38"/>
      <c r="F295" s="38"/>
      <c r="G295" s="38"/>
      <c r="H295" s="38"/>
      <c r="I295" s="39"/>
      <c r="J295" s="38"/>
    </row>
    <row r="296" spans="2:10" ht="12.75" customHeight="1" x14ac:dyDescent="0.2">
      <c r="B296" s="37"/>
      <c r="C296" s="37" t="str">
        <f>IF(D296="","",MATCH(D296,Parametros!$B$4:$B$15,0))</f>
        <v/>
      </c>
      <c r="D296" s="38"/>
      <c r="E296" s="38"/>
      <c r="F296" s="38"/>
      <c r="G296" s="38"/>
      <c r="H296" s="38"/>
      <c r="I296" s="39"/>
      <c r="J296" s="38"/>
    </row>
    <row r="297" spans="2:10" ht="12.75" customHeight="1" x14ac:dyDescent="0.2">
      <c r="B297" s="37"/>
      <c r="C297" s="37" t="str">
        <f>IF(D297="","",MATCH(D297,Parametros!$B$4:$B$15,0))</f>
        <v/>
      </c>
      <c r="D297" s="38"/>
      <c r="E297" s="38"/>
      <c r="F297" s="38"/>
      <c r="G297" s="38"/>
      <c r="H297" s="38"/>
      <c r="I297" s="39"/>
      <c r="J297" s="38"/>
    </row>
    <row r="298" spans="2:10" ht="12.75" customHeight="1" x14ac:dyDescent="0.2">
      <c r="B298" s="37"/>
      <c r="C298" s="37" t="str">
        <f>IF(D298="","",MATCH(D298,Parametros!$B$4:$B$15,0))</f>
        <v/>
      </c>
      <c r="D298" s="38"/>
      <c r="E298" s="38"/>
      <c r="F298" s="38"/>
      <c r="G298" s="38"/>
      <c r="H298" s="38"/>
      <c r="I298" s="39"/>
      <c r="J298" s="38"/>
    </row>
    <row r="299" spans="2:10" ht="12.75" customHeight="1" x14ac:dyDescent="0.2">
      <c r="B299" s="37"/>
      <c r="C299" s="37" t="str">
        <f>IF(D299="","",MATCH(D299,Parametros!$B$4:$B$15,0))</f>
        <v/>
      </c>
      <c r="D299" s="38"/>
      <c r="E299" s="38"/>
      <c r="F299" s="38"/>
      <c r="G299" s="38"/>
      <c r="H299" s="38"/>
      <c r="I299" s="39"/>
      <c r="J299" s="38"/>
    </row>
    <row r="300" spans="2:10" ht="12.75" customHeight="1" x14ac:dyDescent="0.2">
      <c r="B300" s="37"/>
      <c r="C300" s="37" t="str">
        <f>IF(D300="","",MATCH(D300,Parametros!$B$4:$B$15,0))</f>
        <v/>
      </c>
      <c r="D300" s="38"/>
      <c r="E300" s="38"/>
      <c r="F300" s="38"/>
      <c r="G300" s="38"/>
      <c r="H300" s="38"/>
      <c r="I300" s="39"/>
      <c r="J300" s="38"/>
    </row>
    <row r="301" spans="2:10" ht="12.75" customHeight="1" x14ac:dyDescent="0.2">
      <c r="B301" s="37"/>
      <c r="C301" s="37" t="str">
        <f>IF(D301="","",MATCH(D301,Parametros!$B$4:$B$15,0))</f>
        <v/>
      </c>
      <c r="D301" s="38"/>
      <c r="E301" s="38"/>
      <c r="F301" s="38"/>
      <c r="G301" s="38"/>
      <c r="H301" s="38"/>
      <c r="I301" s="39"/>
      <c r="J301" s="38"/>
    </row>
    <row r="302" spans="2:10" ht="12.75" customHeight="1" x14ac:dyDescent="0.2">
      <c r="B302" s="37"/>
      <c r="C302" s="37" t="str">
        <f>IF(D302="","",MATCH(D302,Parametros!$B$4:$B$15,0))</f>
        <v/>
      </c>
      <c r="D302" s="38"/>
      <c r="E302" s="38"/>
      <c r="F302" s="38"/>
      <c r="G302" s="38"/>
      <c r="H302" s="38"/>
      <c r="I302" s="39"/>
      <c r="J302" s="38"/>
    </row>
    <row r="303" spans="2:10" ht="12.75" customHeight="1" x14ac:dyDescent="0.2">
      <c r="B303" s="37"/>
      <c r="C303" s="37" t="str">
        <f>IF(D303="","",MATCH(D303,Parametros!$B$4:$B$15,0))</f>
        <v/>
      </c>
      <c r="D303" s="38"/>
      <c r="E303" s="38"/>
      <c r="F303" s="38"/>
      <c r="G303" s="38"/>
      <c r="H303" s="38"/>
      <c r="I303" s="39"/>
      <c r="J303" s="38"/>
    </row>
    <row r="304" spans="2:10" ht="12.75" customHeight="1" x14ac:dyDescent="0.2">
      <c r="B304" s="37"/>
      <c r="C304" s="37" t="str">
        <f>IF(D304="","",MATCH(D304,Parametros!$B$4:$B$15,0))</f>
        <v/>
      </c>
      <c r="D304" s="38"/>
      <c r="E304" s="38"/>
      <c r="F304" s="38"/>
      <c r="G304" s="38"/>
      <c r="H304" s="38"/>
      <c r="I304" s="39"/>
      <c r="J304" s="38"/>
    </row>
    <row r="305" spans="2:10" ht="12.75" customHeight="1" x14ac:dyDescent="0.2">
      <c r="B305" s="37"/>
      <c r="C305" s="37" t="str">
        <f>IF(D305="","",MATCH(D305,Parametros!$B$4:$B$15,0))</f>
        <v/>
      </c>
      <c r="D305" s="38"/>
      <c r="E305" s="38"/>
      <c r="F305" s="38"/>
      <c r="G305" s="38"/>
      <c r="H305" s="38"/>
      <c r="I305" s="39"/>
      <c r="J305" s="38"/>
    </row>
    <row r="306" spans="2:10" ht="12.75" customHeight="1" x14ac:dyDescent="0.2">
      <c r="B306" s="37"/>
      <c r="C306" s="37" t="str">
        <f>IF(D306="","",MATCH(D306,Parametros!$B$4:$B$15,0))</f>
        <v/>
      </c>
      <c r="D306" s="38"/>
      <c r="E306" s="38"/>
      <c r="F306" s="38"/>
      <c r="G306" s="38"/>
      <c r="H306" s="38"/>
      <c r="I306" s="39"/>
      <c r="J306" s="38"/>
    </row>
    <row r="307" spans="2:10" ht="12.75" customHeight="1" x14ac:dyDescent="0.2">
      <c r="B307" s="37"/>
      <c r="C307" s="37" t="str">
        <f>IF(D307="","",MATCH(D307,Parametros!$B$4:$B$15,0))</f>
        <v/>
      </c>
      <c r="D307" s="38"/>
      <c r="E307" s="38"/>
      <c r="F307" s="38"/>
      <c r="G307" s="38"/>
      <c r="H307" s="38"/>
      <c r="I307" s="39"/>
      <c r="J307" s="38"/>
    </row>
    <row r="308" spans="2:10" ht="12.75" customHeight="1" x14ac:dyDescent="0.2">
      <c r="B308" s="37"/>
      <c r="C308" s="37" t="str">
        <f>IF(D308="","",MATCH(D308,Parametros!$B$4:$B$15,0))</f>
        <v/>
      </c>
      <c r="D308" s="38"/>
      <c r="E308" s="38"/>
      <c r="F308" s="38"/>
      <c r="G308" s="38"/>
      <c r="H308" s="38"/>
      <c r="I308" s="39"/>
      <c r="J308" s="38"/>
    </row>
    <row r="309" spans="2:10" ht="12.75" customHeight="1" x14ac:dyDescent="0.2">
      <c r="B309" s="37"/>
      <c r="C309" s="37" t="str">
        <f>IF(D309="","",MATCH(D309,Parametros!$B$4:$B$15,0))</f>
        <v/>
      </c>
      <c r="D309" s="38"/>
      <c r="E309" s="38"/>
      <c r="F309" s="38"/>
      <c r="G309" s="38"/>
      <c r="H309" s="38"/>
      <c r="I309" s="39"/>
      <c r="J309" s="38"/>
    </row>
    <row r="310" spans="2:10" ht="12.75" customHeight="1" x14ac:dyDescent="0.2">
      <c r="B310" s="37"/>
      <c r="C310" s="37" t="str">
        <f>IF(D310="","",MATCH(D310,Parametros!$B$4:$B$15,0))</f>
        <v/>
      </c>
      <c r="D310" s="38"/>
      <c r="E310" s="38"/>
      <c r="F310" s="38"/>
      <c r="G310" s="38"/>
      <c r="H310" s="38"/>
      <c r="I310" s="39"/>
      <c r="J310" s="38"/>
    </row>
    <row r="311" spans="2:10" ht="12.75" customHeight="1" x14ac:dyDescent="0.2">
      <c r="B311" s="37"/>
      <c r="C311" s="37" t="str">
        <f>IF(D311="","",MATCH(D311,Parametros!$B$4:$B$15,0))</f>
        <v/>
      </c>
      <c r="D311" s="38"/>
      <c r="E311" s="38"/>
      <c r="F311" s="38"/>
      <c r="G311" s="38"/>
      <c r="H311" s="38"/>
      <c r="I311" s="39"/>
      <c r="J311" s="38"/>
    </row>
    <row r="312" spans="2:10" ht="12.75" customHeight="1" x14ac:dyDescent="0.2">
      <c r="B312" s="37"/>
      <c r="C312" s="37" t="str">
        <f>IF(D312="","",MATCH(D312,Parametros!$B$4:$B$15,0))</f>
        <v/>
      </c>
      <c r="D312" s="38"/>
      <c r="E312" s="38"/>
      <c r="F312" s="38"/>
      <c r="G312" s="38"/>
      <c r="H312" s="38"/>
      <c r="I312" s="39"/>
      <c r="J312" s="38"/>
    </row>
    <row r="313" spans="2:10" ht="12.75" customHeight="1" x14ac:dyDescent="0.2">
      <c r="B313" s="37"/>
      <c r="C313" s="37" t="str">
        <f>IF(D313="","",MATCH(D313,Parametros!$B$4:$B$15,0))</f>
        <v/>
      </c>
      <c r="D313" s="38"/>
      <c r="E313" s="38"/>
      <c r="F313" s="38"/>
      <c r="G313" s="38"/>
      <c r="H313" s="38"/>
      <c r="I313" s="39"/>
      <c r="J313" s="38"/>
    </row>
    <row r="314" spans="2:10" ht="12.75" customHeight="1" x14ac:dyDescent="0.2">
      <c r="B314" s="37"/>
      <c r="C314" s="37" t="str">
        <f>IF(D314="","",MATCH(D314,Parametros!$B$4:$B$15,0))</f>
        <v/>
      </c>
      <c r="D314" s="38"/>
      <c r="E314" s="38"/>
      <c r="F314" s="38"/>
      <c r="G314" s="38"/>
      <c r="H314" s="38"/>
      <c r="I314" s="39"/>
      <c r="J314" s="38"/>
    </row>
    <row r="315" spans="2:10" ht="12.75" customHeight="1" x14ac:dyDescent="0.2">
      <c r="B315" s="37"/>
      <c r="C315" s="37" t="str">
        <f>IF(D315="","",MATCH(D315,Parametros!$B$4:$B$15,0))</f>
        <v/>
      </c>
      <c r="D315" s="38"/>
      <c r="E315" s="38"/>
      <c r="F315" s="38"/>
      <c r="G315" s="38"/>
      <c r="H315" s="38"/>
      <c r="I315" s="39"/>
      <c r="J315" s="38"/>
    </row>
    <row r="316" spans="2:10" ht="12.75" customHeight="1" x14ac:dyDescent="0.2">
      <c r="B316" s="37"/>
      <c r="C316" s="37" t="str">
        <f>IF(D316="","",MATCH(D316,Parametros!$B$4:$B$15,0))</f>
        <v/>
      </c>
      <c r="D316" s="38"/>
      <c r="E316" s="38"/>
      <c r="F316" s="38"/>
      <c r="G316" s="38"/>
      <c r="H316" s="38"/>
      <c r="I316" s="39"/>
      <c r="J316" s="38"/>
    </row>
    <row r="317" spans="2:10" ht="12.75" customHeight="1" x14ac:dyDescent="0.2">
      <c r="B317" s="37"/>
      <c r="C317" s="37" t="str">
        <f>IF(D317="","",MATCH(D317,Parametros!$B$4:$B$15,0))</f>
        <v/>
      </c>
      <c r="D317" s="38"/>
      <c r="E317" s="38"/>
      <c r="F317" s="38"/>
      <c r="G317" s="38"/>
      <c r="H317" s="38"/>
      <c r="I317" s="39"/>
      <c r="J317" s="38"/>
    </row>
    <row r="318" spans="2:10" ht="12.75" customHeight="1" x14ac:dyDescent="0.2">
      <c r="B318" s="37"/>
      <c r="C318" s="37" t="str">
        <f>IF(D318="","",MATCH(D318,Parametros!$B$4:$B$15,0))</f>
        <v/>
      </c>
      <c r="D318" s="38"/>
      <c r="E318" s="38"/>
      <c r="F318" s="38"/>
      <c r="G318" s="38"/>
      <c r="H318" s="38"/>
      <c r="I318" s="39"/>
      <c r="J318" s="38"/>
    </row>
    <row r="319" spans="2:10" ht="12.75" customHeight="1" x14ac:dyDescent="0.2">
      <c r="B319" s="37"/>
      <c r="C319" s="37" t="str">
        <f>IF(D319="","",MATCH(D319,Parametros!$B$4:$B$15,0))</f>
        <v/>
      </c>
      <c r="D319" s="38"/>
      <c r="E319" s="38"/>
      <c r="F319" s="38"/>
      <c r="G319" s="38"/>
      <c r="H319" s="38"/>
      <c r="I319" s="39"/>
      <c r="J319" s="38"/>
    </row>
    <row r="320" spans="2:10" ht="12.75" customHeight="1" x14ac:dyDescent="0.2">
      <c r="B320" s="37"/>
      <c r="C320" s="37" t="str">
        <f>IF(D320="","",MATCH(D320,Parametros!$B$4:$B$15,0))</f>
        <v/>
      </c>
      <c r="D320" s="38"/>
      <c r="E320" s="38"/>
      <c r="F320" s="38"/>
      <c r="G320" s="38"/>
      <c r="H320" s="38"/>
      <c r="I320" s="39"/>
      <c r="J320" s="38"/>
    </row>
    <row r="321" spans="2:10" ht="12.75" customHeight="1" x14ac:dyDescent="0.2">
      <c r="B321" s="37"/>
      <c r="C321" s="37" t="str">
        <f>IF(D321="","",MATCH(D321,Parametros!$B$4:$B$15,0))</f>
        <v/>
      </c>
      <c r="D321" s="38"/>
      <c r="E321" s="38"/>
      <c r="F321" s="38"/>
      <c r="G321" s="38"/>
      <c r="H321" s="38"/>
      <c r="I321" s="39"/>
      <c r="J321" s="38"/>
    </row>
    <row r="322" spans="2:10" ht="12.75" customHeight="1" x14ac:dyDescent="0.2">
      <c r="B322" s="37"/>
      <c r="C322" s="37" t="str">
        <f>IF(D322="","",MATCH(D322,Parametros!$B$4:$B$15,0))</f>
        <v/>
      </c>
      <c r="D322" s="38"/>
      <c r="E322" s="38"/>
      <c r="F322" s="38"/>
      <c r="G322" s="38"/>
      <c r="H322" s="38"/>
      <c r="I322" s="39"/>
      <c r="J322" s="38"/>
    </row>
    <row r="323" spans="2:10" ht="12.75" customHeight="1" x14ac:dyDescent="0.2">
      <c r="B323" s="37"/>
      <c r="C323" s="37" t="str">
        <f>IF(D323="","",MATCH(D323,Parametros!$B$4:$B$15,0))</f>
        <v/>
      </c>
      <c r="D323" s="38"/>
      <c r="E323" s="38"/>
      <c r="F323" s="38"/>
      <c r="G323" s="38"/>
      <c r="H323" s="38"/>
      <c r="I323" s="39"/>
      <c r="J323" s="38"/>
    </row>
    <row r="324" spans="2:10" ht="12.75" customHeight="1" x14ac:dyDescent="0.2">
      <c r="B324" s="37"/>
      <c r="C324" s="37" t="str">
        <f>IF(D324="","",MATCH(D324,Parametros!$B$4:$B$15,0))</f>
        <v/>
      </c>
      <c r="D324" s="38"/>
      <c r="E324" s="38"/>
      <c r="F324" s="38"/>
      <c r="G324" s="38"/>
      <c r="H324" s="38"/>
      <c r="I324" s="39"/>
      <c r="J324" s="38"/>
    </row>
    <row r="325" spans="2:10" ht="12.75" customHeight="1" x14ac:dyDescent="0.2">
      <c r="B325" s="37"/>
      <c r="C325" s="37" t="str">
        <f>IF(D325="","",MATCH(D325,Parametros!$B$4:$B$15,0))</f>
        <v/>
      </c>
      <c r="D325" s="38"/>
      <c r="E325" s="38"/>
      <c r="F325" s="38"/>
      <c r="G325" s="38"/>
      <c r="H325" s="38"/>
      <c r="I325" s="39"/>
      <c r="J325" s="38"/>
    </row>
    <row r="326" spans="2:10" ht="12.75" customHeight="1" x14ac:dyDescent="0.2">
      <c r="B326" s="37"/>
      <c r="C326" s="37" t="str">
        <f>IF(D326="","",MATCH(D326,Parametros!$B$4:$B$15,0))</f>
        <v/>
      </c>
      <c r="D326" s="38"/>
      <c r="E326" s="38"/>
      <c r="F326" s="38"/>
      <c r="G326" s="38"/>
      <c r="H326" s="38"/>
      <c r="I326" s="39"/>
      <c r="J326" s="38"/>
    </row>
    <row r="327" spans="2:10" ht="12.75" customHeight="1" x14ac:dyDescent="0.2">
      <c r="B327" s="37"/>
      <c r="C327" s="37" t="str">
        <f>IF(D327="","",MATCH(D327,Parametros!$B$4:$B$15,0))</f>
        <v/>
      </c>
      <c r="D327" s="38"/>
      <c r="E327" s="38"/>
      <c r="F327" s="38"/>
      <c r="G327" s="38"/>
      <c r="H327" s="38"/>
      <c r="I327" s="39"/>
      <c r="J327" s="38"/>
    </row>
    <row r="328" spans="2:10" ht="12.75" customHeight="1" x14ac:dyDescent="0.2">
      <c r="B328" s="37"/>
      <c r="C328" s="37" t="str">
        <f>IF(D328="","",MATCH(D328,Parametros!$B$4:$B$15,0))</f>
        <v/>
      </c>
      <c r="D328" s="38"/>
      <c r="E328" s="38"/>
      <c r="F328" s="38"/>
      <c r="G328" s="38"/>
      <c r="H328" s="38"/>
      <c r="I328" s="39"/>
      <c r="J328" s="38"/>
    </row>
    <row r="329" spans="2:10" ht="12.75" customHeight="1" x14ac:dyDescent="0.2">
      <c r="B329" s="37"/>
      <c r="C329" s="37" t="str">
        <f>IF(D329="","",MATCH(D329,Parametros!$B$4:$B$15,0))</f>
        <v/>
      </c>
      <c r="D329" s="38"/>
      <c r="E329" s="38"/>
      <c r="F329" s="38"/>
      <c r="G329" s="38"/>
      <c r="H329" s="38"/>
      <c r="I329" s="39"/>
      <c r="J329" s="38"/>
    </row>
    <row r="330" spans="2:10" ht="12.75" customHeight="1" x14ac:dyDescent="0.2">
      <c r="B330" s="37"/>
      <c r="C330" s="37" t="str">
        <f>IF(D330="","",MATCH(D330,Parametros!$B$4:$B$15,0))</f>
        <v/>
      </c>
      <c r="D330" s="38"/>
      <c r="E330" s="38"/>
      <c r="F330" s="38"/>
      <c r="G330" s="38"/>
      <c r="H330" s="38"/>
      <c r="I330" s="39"/>
      <c r="J330" s="38"/>
    </row>
    <row r="331" spans="2:10" ht="12.75" customHeight="1" x14ac:dyDescent="0.2">
      <c r="B331" s="37"/>
      <c r="C331" s="37" t="str">
        <f>IF(D331="","",MATCH(D331,Parametros!$B$4:$B$15,0))</f>
        <v/>
      </c>
      <c r="D331" s="38"/>
      <c r="E331" s="38"/>
      <c r="F331" s="38"/>
      <c r="G331" s="38"/>
      <c r="H331" s="38"/>
      <c r="I331" s="39"/>
      <c r="J331" s="38"/>
    </row>
    <row r="332" spans="2:10" ht="12.75" customHeight="1" x14ac:dyDescent="0.2">
      <c r="B332" s="37"/>
      <c r="C332" s="37" t="str">
        <f>IF(D332="","",MATCH(D332,Parametros!$B$4:$B$15,0))</f>
        <v/>
      </c>
      <c r="D332" s="38"/>
      <c r="E332" s="38"/>
      <c r="F332" s="38"/>
      <c r="G332" s="38"/>
      <c r="H332" s="38"/>
      <c r="I332" s="39"/>
      <c r="J332" s="38"/>
    </row>
    <row r="333" spans="2:10" ht="12.75" customHeight="1" x14ac:dyDescent="0.2">
      <c r="B333" s="37"/>
      <c r="C333" s="37" t="str">
        <f>IF(D333="","",MATCH(D333,Parametros!$B$4:$B$15,0))</f>
        <v/>
      </c>
      <c r="D333" s="38"/>
      <c r="E333" s="38"/>
      <c r="F333" s="38"/>
      <c r="G333" s="38"/>
      <c r="H333" s="38"/>
      <c r="I333" s="39"/>
      <c r="J333" s="38"/>
    </row>
    <row r="334" spans="2:10" ht="12.75" customHeight="1" x14ac:dyDescent="0.2">
      <c r="B334" s="37"/>
      <c r="C334" s="37" t="str">
        <f>IF(D334="","",MATCH(D334,Parametros!$B$4:$B$15,0))</f>
        <v/>
      </c>
      <c r="D334" s="38"/>
      <c r="E334" s="38"/>
      <c r="F334" s="38"/>
      <c r="G334" s="38"/>
      <c r="H334" s="38"/>
      <c r="I334" s="39"/>
      <c r="J334" s="38"/>
    </row>
    <row r="335" spans="2:10" ht="12.75" customHeight="1" x14ac:dyDescent="0.2">
      <c r="B335" s="37"/>
      <c r="C335" s="37" t="str">
        <f>IF(D335="","",MATCH(D335,Parametros!$B$4:$B$15,0))</f>
        <v/>
      </c>
      <c r="D335" s="38"/>
      <c r="E335" s="38"/>
      <c r="F335" s="38"/>
      <c r="G335" s="38"/>
      <c r="H335" s="38"/>
      <c r="I335" s="39"/>
      <c r="J335" s="38"/>
    </row>
    <row r="336" spans="2:10" ht="12.75" customHeight="1" x14ac:dyDescent="0.2">
      <c r="B336" s="37"/>
      <c r="C336" s="37" t="str">
        <f>IF(D336="","",MATCH(D336,Parametros!$B$4:$B$15,0))</f>
        <v/>
      </c>
      <c r="D336" s="38"/>
      <c r="E336" s="38"/>
      <c r="F336" s="38"/>
      <c r="G336" s="38"/>
      <c r="H336" s="38"/>
      <c r="I336" s="39"/>
      <c r="J336" s="38"/>
    </row>
    <row r="337" spans="2:10" ht="12.75" customHeight="1" x14ac:dyDescent="0.2">
      <c r="B337" s="37"/>
      <c r="C337" s="37" t="str">
        <f>IF(D337="","",MATCH(D337,Parametros!$B$4:$B$15,0))</f>
        <v/>
      </c>
      <c r="D337" s="38"/>
      <c r="E337" s="38"/>
      <c r="F337" s="38"/>
      <c r="G337" s="38"/>
      <c r="H337" s="38"/>
      <c r="I337" s="39"/>
      <c r="J337" s="38"/>
    </row>
    <row r="338" spans="2:10" ht="12.75" customHeight="1" x14ac:dyDescent="0.2">
      <c r="B338" s="37"/>
      <c r="C338" s="37" t="str">
        <f>IF(D338="","",MATCH(D338,Parametros!$B$4:$B$15,0))</f>
        <v/>
      </c>
      <c r="D338" s="38"/>
      <c r="E338" s="38"/>
      <c r="F338" s="38"/>
      <c r="G338" s="38"/>
      <c r="H338" s="38"/>
      <c r="I338" s="39"/>
      <c r="J338" s="38"/>
    </row>
    <row r="339" spans="2:10" ht="12.75" customHeight="1" x14ac:dyDescent="0.2">
      <c r="B339" s="37"/>
      <c r="C339" s="37" t="str">
        <f>IF(D339="","",MATCH(D339,Parametros!$B$4:$B$15,0))</f>
        <v/>
      </c>
      <c r="D339" s="38"/>
      <c r="E339" s="38"/>
      <c r="F339" s="38"/>
      <c r="G339" s="38"/>
      <c r="H339" s="38"/>
      <c r="I339" s="39"/>
      <c r="J339" s="38"/>
    </row>
    <row r="340" spans="2:10" ht="12.75" customHeight="1" x14ac:dyDescent="0.2">
      <c r="B340" s="37"/>
      <c r="C340" s="37" t="str">
        <f>IF(D340="","",MATCH(D340,Parametros!$B$4:$B$15,0))</f>
        <v/>
      </c>
      <c r="D340" s="38"/>
      <c r="E340" s="38"/>
      <c r="F340" s="38"/>
      <c r="G340" s="38"/>
      <c r="H340" s="38"/>
      <c r="I340" s="39"/>
      <c r="J340" s="38"/>
    </row>
    <row r="341" spans="2:10" ht="12.75" customHeight="1" x14ac:dyDescent="0.2">
      <c r="B341" s="37"/>
      <c r="C341" s="37" t="str">
        <f>IF(D341="","",MATCH(D341,Parametros!$B$4:$B$15,0))</f>
        <v/>
      </c>
      <c r="D341" s="38"/>
      <c r="E341" s="38"/>
      <c r="F341" s="38"/>
      <c r="G341" s="38"/>
      <c r="H341" s="38"/>
      <c r="I341" s="39"/>
      <c r="J341" s="38"/>
    </row>
    <row r="342" spans="2:10" ht="12.75" customHeight="1" x14ac:dyDescent="0.2">
      <c r="B342" s="37"/>
      <c r="C342" s="37" t="str">
        <f>IF(D342="","",MATCH(D342,Parametros!$B$4:$B$15,0))</f>
        <v/>
      </c>
      <c r="D342" s="38"/>
      <c r="E342" s="38"/>
      <c r="F342" s="38"/>
      <c r="G342" s="38"/>
      <c r="H342" s="38"/>
      <c r="I342" s="39"/>
      <c r="J342" s="38"/>
    </row>
    <row r="343" spans="2:10" ht="12.75" customHeight="1" x14ac:dyDescent="0.2">
      <c r="B343" s="37"/>
      <c r="C343" s="37" t="str">
        <f>IF(D343="","",MATCH(D343,Parametros!$B$4:$B$15,0))</f>
        <v/>
      </c>
      <c r="D343" s="38"/>
      <c r="E343" s="38"/>
      <c r="F343" s="38"/>
      <c r="G343" s="38"/>
      <c r="H343" s="38"/>
      <c r="I343" s="39"/>
      <c r="J343" s="38"/>
    </row>
    <row r="344" spans="2:10" ht="12.75" customHeight="1" x14ac:dyDescent="0.2">
      <c r="B344" s="37"/>
      <c r="C344" s="37" t="str">
        <f>IF(D344="","",MATCH(D344,Parametros!$B$4:$B$15,0))</f>
        <v/>
      </c>
      <c r="D344" s="38"/>
      <c r="E344" s="38"/>
      <c r="F344" s="38"/>
      <c r="G344" s="38"/>
      <c r="H344" s="38"/>
      <c r="I344" s="39"/>
      <c r="J344" s="38"/>
    </row>
    <row r="345" spans="2:10" ht="12.75" customHeight="1" x14ac:dyDescent="0.2">
      <c r="B345" s="37"/>
      <c r="C345" s="37" t="str">
        <f>IF(D345="","",MATCH(D345,Parametros!$B$4:$B$15,0))</f>
        <v/>
      </c>
      <c r="D345" s="38"/>
      <c r="E345" s="38"/>
      <c r="F345" s="38"/>
      <c r="G345" s="38"/>
      <c r="H345" s="38"/>
      <c r="I345" s="39"/>
      <c r="J345" s="38"/>
    </row>
    <row r="346" spans="2:10" ht="12.75" customHeight="1" x14ac:dyDescent="0.2">
      <c r="B346" s="37"/>
      <c r="C346" s="37" t="str">
        <f>IF(D346="","",MATCH(D346,Parametros!$B$4:$B$15,0))</f>
        <v/>
      </c>
      <c r="D346" s="38"/>
      <c r="E346" s="38"/>
      <c r="F346" s="38"/>
      <c r="G346" s="38"/>
      <c r="H346" s="38"/>
      <c r="I346" s="39"/>
      <c r="J346" s="38"/>
    </row>
    <row r="347" spans="2:10" ht="12.75" customHeight="1" x14ac:dyDescent="0.2">
      <c r="B347" s="37"/>
      <c r="C347" s="37" t="str">
        <f>IF(D347="","",MATCH(D347,Parametros!$B$4:$B$15,0))</f>
        <v/>
      </c>
      <c r="D347" s="38"/>
      <c r="E347" s="38"/>
      <c r="F347" s="38"/>
      <c r="G347" s="38"/>
      <c r="H347" s="38"/>
      <c r="I347" s="39"/>
      <c r="J347" s="38"/>
    </row>
    <row r="348" spans="2:10" ht="12.75" customHeight="1" x14ac:dyDescent="0.2">
      <c r="B348" s="37"/>
      <c r="C348" s="37" t="str">
        <f>IF(D348="","",MATCH(D348,Parametros!$B$4:$B$15,0))</f>
        <v/>
      </c>
      <c r="D348" s="38"/>
      <c r="E348" s="38"/>
      <c r="F348" s="38"/>
      <c r="G348" s="38"/>
      <c r="H348" s="38"/>
      <c r="I348" s="39"/>
      <c r="J348" s="38"/>
    </row>
    <row r="349" spans="2:10" ht="12.75" customHeight="1" x14ac:dyDescent="0.2">
      <c r="B349" s="37"/>
      <c r="C349" s="37" t="str">
        <f>IF(D349="","",MATCH(D349,Parametros!$B$4:$B$15,0))</f>
        <v/>
      </c>
      <c r="D349" s="38"/>
      <c r="E349" s="38"/>
      <c r="F349" s="38"/>
      <c r="G349" s="38"/>
      <c r="H349" s="38"/>
      <c r="I349" s="39"/>
      <c r="J349" s="38"/>
    </row>
    <row r="350" spans="2:10" ht="12.75" customHeight="1" x14ac:dyDescent="0.2">
      <c r="B350" s="37"/>
      <c r="C350" s="37" t="str">
        <f>IF(D350="","",MATCH(D350,Parametros!$B$4:$B$15,0))</f>
        <v/>
      </c>
      <c r="D350" s="38"/>
      <c r="E350" s="38"/>
      <c r="F350" s="38"/>
      <c r="G350" s="38"/>
      <c r="H350" s="38"/>
      <c r="I350" s="39"/>
      <c r="J350" s="38"/>
    </row>
    <row r="351" spans="2:10" ht="12.75" customHeight="1" x14ac:dyDescent="0.2">
      <c r="B351" s="37"/>
      <c r="C351" s="37" t="str">
        <f>IF(D351="","",MATCH(D351,Parametros!$B$4:$B$15,0))</f>
        <v/>
      </c>
      <c r="D351" s="38"/>
      <c r="E351" s="38"/>
      <c r="F351" s="38"/>
      <c r="G351" s="38"/>
      <c r="H351" s="38"/>
      <c r="I351" s="39"/>
      <c r="J351" s="38"/>
    </row>
    <row r="352" spans="2:10" ht="12.75" customHeight="1" x14ac:dyDescent="0.2">
      <c r="B352" s="37"/>
      <c r="C352" s="37" t="str">
        <f>IF(D352="","",MATCH(D352,Parametros!$B$4:$B$15,0))</f>
        <v/>
      </c>
      <c r="D352" s="38"/>
      <c r="E352" s="38"/>
      <c r="F352" s="38"/>
      <c r="G352" s="38"/>
      <c r="H352" s="38"/>
      <c r="I352" s="39"/>
      <c r="J352" s="38"/>
    </row>
    <row r="353" spans="2:10" ht="12.75" customHeight="1" x14ac:dyDescent="0.2">
      <c r="B353" s="37"/>
      <c r="C353" s="37" t="str">
        <f>IF(D353="","",MATCH(D353,Parametros!$B$4:$B$15,0))</f>
        <v/>
      </c>
      <c r="D353" s="38"/>
      <c r="E353" s="38"/>
      <c r="F353" s="38"/>
      <c r="G353" s="38"/>
      <c r="H353" s="38"/>
      <c r="I353" s="39"/>
      <c r="J353" s="38"/>
    </row>
    <row r="354" spans="2:10" ht="12.75" customHeight="1" x14ac:dyDescent="0.2">
      <c r="B354" s="37"/>
      <c r="C354" s="37" t="str">
        <f>IF(D354="","",MATCH(D354,Parametros!$B$4:$B$15,0))</f>
        <v/>
      </c>
      <c r="D354" s="38"/>
      <c r="E354" s="38"/>
      <c r="F354" s="38"/>
      <c r="G354" s="38"/>
      <c r="H354" s="38"/>
      <c r="I354" s="39"/>
      <c r="J354" s="38"/>
    </row>
    <row r="355" spans="2:10" ht="12.75" customHeight="1" x14ac:dyDescent="0.2">
      <c r="B355" s="37"/>
      <c r="C355" s="37" t="str">
        <f>IF(D355="","",MATCH(D355,Parametros!$B$4:$B$15,0))</f>
        <v/>
      </c>
      <c r="D355" s="38"/>
      <c r="E355" s="38"/>
      <c r="F355" s="38"/>
      <c r="G355" s="38"/>
      <c r="H355" s="38"/>
      <c r="I355" s="39"/>
      <c r="J355" s="38"/>
    </row>
    <row r="356" spans="2:10" ht="12.75" customHeight="1" x14ac:dyDescent="0.2">
      <c r="B356" s="37"/>
      <c r="C356" s="37" t="str">
        <f>IF(D356="","",MATCH(D356,Parametros!$B$4:$B$15,0))</f>
        <v/>
      </c>
      <c r="D356" s="38"/>
      <c r="E356" s="38"/>
      <c r="F356" s="38"/>
      <c r="G356" s="38"/>
      <c r="H356" s="38"/>
      <c r="I356" s="39"/>
      <c r="J356" s="38"/>
    </row>
    <row r="357" spans="2:10" ht="12.75" customHeight="1" x14ac:dyDescent="0.2">
      <c r="B357" s="37"/>
      <c r="C357" s="37" t="str">
        <f>IF(D357="","",MATCH(D357,Parametros!$B$4:$B$15,0))</f>
        <v/>
      </c>
      <c r="D357" s="38"/>
      <c r="E357" s="38"/>
      <c r="F357" s="38"/>
      <c r="G357" s="38"/>
      <c r="H357" s="38"/>
      <c r="I357" s="39"/>
      <c r="J357" s="38"/>
    </row>
    <row r="358" spans="2:10" ht="12.75" customHeight="1" x14ac:dyDescent="0.2">
      <c r="B358" s="37"/>
      <c r="C358" s="37" t="str">
        <f>IF(D358="","",MATCH(D358,Parametros!$B$4:$B$15,0))</f>
        <v/>
      </c>
      <c r="D358" s="38"/>
      <c r="E358" s="38"/>
      <c r="F358" s="38"/>
      <c r="G358" s="38"/>
      <c r="H358" s="38"/>
      <c r="I358" s="39"/>
      <c r="J358" s="38"/>
    </row>
    <row r="359" spans="2:10" ht="12.75" customHeight="1" x14ac:dyDescent="0.2">
      <c r="B359" s="37"/>
      <c r="C359" s="37" t="str">
        <f>IF(D359="","",MATCH(D359,Parametros!$B$4:$B$15,0))</f>
        <v/>
      </c>
      <c r="D359" s="38"/>
      <c r="E359" s="38"/>
      <c r="F359" s="38"/>
      <c r="G359" s="38"/>
      <c r="H359" s="38"/>
      <c r="I359" s="39"/>
      <c r="J359" s="38"/>
    </row>
    <row r="360" spans="2:10" ht="12.75" customHeight="1" x14ac:dyDescent="0.2">
      <c r="B360" s="37"/>
      <c r="C360" s="37" t="str">
        <f>IF(D360="","",MATCH(D360,Parametros!$B$4:$B$15,0))</f>
        <v/>
      </c>
      <c r="D360" s="38"/>
      <c r="E360" s="38"/>
      <c r="F360" s="38"/>
      <c r="G360" s="38"/>
      <c r="H360" s="38"/>
      <c r="I360" s="39"/>
      <c r="J360" s="38"/>
    </row>
    <row r="361" spans="2:10" ht="12.75" customHeight="1" x14ac:dyDescent="0.2">
      <c r="B361" s="37"/>
      <c r="C361" s="37" t="str">
        <f>IF(D361="","",MATCH(D361,Parametros!$B$4:$B$15,0))</f>
        <v/>
      </c>
      <c r="D361" s="38"/>
      <c r="E361" s="38"/>
      <c r="F361" s="38"/>
      <c r="G361" s="38"/>
      <c r="H361" s="38"/>
      <c r="I361" s="39"/>
      <c r="J361" s="38"/>
    </row>
    <row r="362" spans="2:10" ht="12.75" customHeight="1" x14ac:dyDescent="0.2">
      <c r="B362" s="37"/>
      <c r="C362" s="37" t="str">
        <f>IF(D362="","",MATCH(D362,Parametros!$B$4:$B$15,0))</f>
        <v/>
      </c>
      <c r="D362" s="38"/>
      <c r="E362" s="38"/>
      <c r="F362" s="38"/>
      <c r="G362" s="38"/>
      <c r="H362" s="38"/>
      <c r="I362" s="39"/>
      <c r="J362" s="38"/>
    </row>
    <row r="363" spans="2:10" ht="12.75" customHeight="1" x14ac:dyDescent="0.2">
      <c r="B363" s="37"/>
      <c r="C363" s="37" t="str">
        <f>IF(D363="","",MATCH(D363,Parametros!$B$4:$B$15,0))</f>
        <v/>
      </c>
      <c r="D363" s="38"/>
      <c r="E363" s="38"/>
      <c r="F363" s="38"/>
      <c r="G363" s="38"/>
      <c r="H363" s="38"/>
      <c r="I363" s="39"/>
      <c r="J363" s="38"/>
    </row>
    <row r="364" spans="2:10" ht="12.75" customHeight="1" x14ac:dyDescent="0.2">
      <c r="B364" s="37"/>
      <c r="C364" s="37" t="str">
        <f>IF(D364="","",MATCH(D364,Parametros!$B$4:$B$15,0))</f>
        <v/>
      </c>
      <c r="D364" s="38"/>
      <c r="E364" s="38"/>
      <c r="F364" s="38"/>
      <c r="G364" s="38"/>
      <c r="H364" s="38"/>
      <c r="I364" s="39"/>
      <c r="J364" s="38"/>
    </row>
    <row r="365" spans="2:10" ht="12.75" customHeight="1" x14ac:dyDescent="0.2">
      <c r="B365" s="37"/>
      <c r="C365" s="37" t="str">
        <f>IF(D365="","",MATCH(D365,Parametros!$B$4:$B$15,0))</f>
        <v/>
      </c>
      <c r="D365" s="38"/>
      <c r="E365" s="38"/>
      <c r="F365" s="38"/>
      <c r="G365" s="38"/>
      <c r="H365" s="38"/>
      <c r="I365" s="39"/>
      <c r="J365" s="38"/>
    </row>
    <row r="366" spans="2:10" ht="12.75" customHeight="1" x14ac:dyDescent="0.2">
      <c r="B366" s="37"/>
      <c r="C366" s="37" t="str">
        <f>IF(D366="","",MATCH(D366,Parametros!$B$4:$B$15,0))</f>
        <v/>
      </c>
      <c r="D366" s="38"/>
      <c r="E366" s="38"/>
      <c r="F366" s="38"/>
      <c r="G366" s="38"/>
      <c r="H366" s="38"/>
      <c r="I366" s="39"/>
      <c r="J366" s="38"/>
    </row>
    <row r="367" spans="2:10" ht="12.75" customHeight="1" x14ac:dyDescent="0.2">
      <c r="B367" s="37"/>
      <c r="C367" s="37" t="str">
        <f>IF(D367="","",MATCH(D367,Parametros!$B$4:$B$15,0))</f>
        <v/>
      </c>
      <c r="D367" s="38"/>
      <c r="E367" s="38"/>
      <c r="F367" s="38"/>
      <c r="G367" s="38"/>
      <c r="H367" s="38"/>
      <c r="I367" s="39"/>
      <c r="J367" s="38"/>
    </row>
    <row r="368" spans="2:10" ht="12.75" customHeight="1" x14ac:dyDescent="0.2">
      <c r="B368" s="37"/>
      <c r="C368" s="37" t="str">
        <f>IF(D368="","",MATCH(D368,Parametros!$B$4:$B$15,0))</f>
        <v/>
      </c>
      <c r="D368" s="38"/>
      <c r="E368" s="38"/>
      <c r="F368" s="38"/>
      <c r="G368" s="38"/>
      <c r="H368" s="38"/>
      <c r="I368" s="39"/>
      <c r="J368" s="38"/>
    </row>
    <row r="369" spans="2:10" ht="12.75" customHeight="1" x14ac:dyDescent="0.2">
      <c r="B369" s="37"/>
      <c r="C369" s="37" t="str">
        <f>IF(D369="","",MATCH(D369,Parametros!$B$4:$B$15,0))</f>
        <v/>
      </c>
      <c r="D369" s="38"/>
      <c r="E369" s="38"/>
      <c r="F369" s="38"/>
      <c r="G369" s="38"/>
      <c r="H369" s="38"/>
      <c r="I369" s="39"/>
      <c r="J369" s="38"/>
    </row>
    <row r="370" spans="2:10" ht="12.75" customHeight="1" x14ac:dyDescent="0.2">
      <c r="B370" s="37"/>
      <c r="C370" s="37" t="str">
        <f>IF(D370="","",MATCH(D370,Parametros!$B$4:$B$15,0))</f>
        <v/>
      </c>
      <c r="D370" s="38"/>
      <c r="E370" s="38"/>
      <c r="F370" s="38"/>
      <c r="G370" s="38"/>
      <c r="H370" s="38"/>
      <c r="I370" s="39"/>
      <c r="J370" s="38"/>
    </row>
    <row r="371" spans="2:10" ht="12.75" customHeight="1" x14ac:dyDescent="0.2">
      <c r="B371" s="37"/>
      <c r="C371" s="37" t="str">
        <f>IF(D371="","",MATCH(D371,Parametros!$B$4:$B$15,0))</f>
        <v/>
      </c>
      <c r="D371" s="38"/>
      <c r="E371" s="38"/>
      <c r="F371" s="38"/>
      <c r="G371" s="38"/>
      <c r="H371" s="38"/>
      <c r="I371" s="39"/>
      <c r="J371" s="38"/>
    </row>
    <row r="372" spans="2:10" ht="12.75" customHeight="1" x14ac:dyDescent="0.2">
      <c r="B372" s="37"/>
      <c r="C372" s="37" t="str">
        <f>IF(D372="","",MATCH(D372,Parametros!$B$4:$B$15,0))</f>
        <v/>
      </c>
      <c r="D372" s="38"/>
      <c r="E372" s="38"/>
      <c r="F372" s="38"/>
      <c r="G372" s="38"/>
      <c r="H372" s="38"/>
      <c r="I372" s="39"/>
      <c r="J372" s="38"/>
    </row>
    <row r="373" spans="2:10" ht="12.75" customHeight="1" x14ac:dyDescent="0.2">
      <c r="B373" s="37"/>
      <c r="C373" s="37" t="str">
        <f>IF(D373="","",MATCH(D373,Parametros!$B$4:$B$15,0))</f>
        <v/>
      </c>
      <c r="D373" s="38"/>
      <c r="E373" s="38"/>
      <c r="F373" s="38"/>
      <c r="G373" s="38"/>
      <c r="H373" s="38"/>
      <c r="I373" s="39"/>
      <c r="J373" s="38"/>
    </row>
    <row r="374" spans="2:10" ht="12.75" customHeight="1" x14ac:dyDescent="0.2">
      <c r="B374" s="37"/>
      <c r="C374" s="37" t="str">
        <f>IF(D374="","",MATCH(D374,Parametros!$B$4:$B$15,0))</f>
        <v/>
      </c>
      <c r="D374" s="38"/>
      <c r="E374" s="38"/>
      <c r="F374" s="38"/>
      <c r="G374" s="38"/>
      <c r="H374" s="38"/>
      <c r="I374" s="39"/>
      <c r="J374" s="38"/>
    </row>
    <row r="375" spans="2:10" ht="12.75" customHeight="1" x14ac:dyDescent="0.2">
      <c r="B375" s="37"/>
      <c r="C375" s="37" t="str">
        <f>IF(D375="","",MATCH(D375,Parametros!$B$4:$B$15,0))</f>
        <v/>
      </c>
      <c r="D375" s="38"/>
      <c r="E375" s="38"/>
      <c r="F375" s="38"/>
      <c r="G375" s="38"/>
      <c r="H375" s="38"/>
      <c r="I375" s="39"/>
      <c r="J375" s="38"/>
    </row>
    <row r="376" spans="2:10" ht="12.75" customHeight="1" x14ac:dyDescent="0.2">
      <c r="B376" s="37"/>
      <c r="C376" s="37" t="str">
        <f>IF(D376="","",MATCH(D376,Parametros!$B$4:$B$15,0))</f>
        <v/>
      </c>
      <c r="D376" s="38"/>
      <c r="E376" s="38"/>
      <c r="F376" s="38"/>
      <c r="G376" s="38"/>
      <c r="H376" s="38"/>
      <c r="I376" s="39"/>
      <c r="J376" s="38"/>
    </row>
    <row r="377" spans="2:10" ht="12.75" customHeight="1" x14ac:dyDescent="0.2">
      <c r="B377" s="37"/>
      <c r="C377" s="37" t="str">
        <f>IF(D377="","",MATCH(D377,Parametros!$B$4:$B$15,0))</f>
        <v/>
      </c>
      <c r="D377" s="38"/>
      <c r="E377" s="38"/>
      <c r="F377" s="38"/>
      <c r="G377" s="38"/>
      <c r="H377" s="38"/>
      <c r="I377" s="39"/>
      <c r="J377" s="38"/>
    </row>
    <row r="378" spans="2:10" ht="12.75" customHeight="1" x14ac:dyDescent="0.2">
      <c r="B378" s="37"/>
      <c r="C378" s="37" t="str">
        <f>IF(D378="","",MATCH(D378,Parametros!$B$4:$B$15,0))</f>
        <v/>
      </c>
      <c r="D378" s="38"/>
      <c r="E378" s="38"/>
      <c r="F378" s="38"/>
      <c r="G378" s="38"/>
      <c r="H378" s="38"/>
      <c r="I378" s="39"/>
      <c r="J378" s="38"/>
    </row>
    <row r="379" spans="2:10" ht="12.75" customHeight="1" x14ac:dyDescent="0.2">
      <c r="B379" s="37"/>
      <c r="C379" s="37" t="str">
        <f>IF(D379="","",MATCH(D379,Parametros!$B$4:$B$15,0))</f>
        <v/>
      </c>
      <c r="D379" s="38"/>
      <c r="E379" s="38"/>
      <c r="F379" s="38"/>
      <c r="G379" s="38"/>
      <c r="H379" s="38"/>
      <c r="I379" s="39"/>
      <c r="J379" s="38"/>
    </row>
    <row r="380" spans="2:10" ht="12.75" customHeight="1" x14ac:dyDescent="0.2">
      <c r="B380" s="37"/>
      <c r="C380" s="37" t="str">
        <f>IF(D380="","",MATCH(D380,Parametros!$B$4:$B$15,0))</f>
        <v/>
      </c>
      <c r="D380" s="38"/>
      <c r="E380" s="38"/>
      <c r="F380" s="38"/>
      <c r="G380" s="38"/>
      <c r="H380" s="38"/>
      <c r="I380" s="39"/>
      <c r="J380" s="38"/>
    </row>
    <row r="381" spans="2:10" ht="12.75" customHeight="1" x14ac:dyDescent="0.2">
      <c r="B381" s="37"/>
      <c r="C381" s="37" t="str">
        <f>IF(D381="","",MATCH(D381,Parametros!$B$4:$B$15,0))</f>
        <v/>
      </c>
      <c r="D381" s="38"/>
      <c r="E381" s="38"/>
      <c r="F381" s="38"/>
      <c r="G381" s="38"/>
      <c r="H381" s="38"/>
      <c r="I381" s="39"/>
      <c r="J381" s="38"/>
    </row>
    <row r="382" spans="2:10" ht="12.75" customHeight="1" x14ac:dyDescent="0.2">
      <c r="B382" s="37"/>
      <c r="C382" s="37" t="str">
        <f>IF(D382="","",MATCH(D382,Parametros!$B$4:$B$15,0))</f>
        <v/>
      </c>
      <c r="D382" s="38"/>
      <c r="E382" s="38"/>
      <c r="F382" s="38"/>
      <c r="G382" s="38"/>
      <c r="H382" s="38"/>
      <c r="I382" s="39"/>
      <c r="J382" s="38"/>
    </row>
    <row r="383" spans="2:10" ht="12.75" customHeight="1" x14ac:dyDescent="0.2">
      <c r="B383" s="37"/>
      <c r="C383" s="37" t="str">
        <f>IF(D383="","",MATCH(D383,Parametros!$B$4:$B$15,0))</f>
        <v/>
      </c>
      <c r="D383" s="38"/>
      <c r="E383" s="38"/>
      <c r="F383" s="38"/>
      <c r="G383" s="38"/>
      <c r="H383" s="38"/>
      <c r="I383" s="39"/>
      <c r="J383" s="38"/>
    </row>
    <row r="384" spans="2:10" ht="12.75" customHeight="1" x14ac:dyDescent="0.2">
      <c r="B384" s="37"/>
      <c r="C384" s="37" t="str">
        <f>IF(D384="","",MATCH(D384,Parametros!$B$4:$B$15,0))</f>
        <v/>
      </c>
      <c r="D384" s="38"/>
      <c r="E384" s="38"/>
      <c r="F384" s="38"/>
      <c r="G384" s="38"/>
      <c r="H384" s="38"/>
      <c r="I384" s="39"/>
      <c r="J384" s="38"/>
    </row>
    <row r="385" spans="2:10" ht="12.75" customHeight="1" x14ac:dyDescent="0.2">
      <c r="B385" s="37"/>
      <c r="C385" s="37" t="str">
        <f>IF(D385="","",MATCH(D385,Parametros!$B$4:$B$15,0))</f>
        <v/>
      </c>
      <c r="D385" s="38"/>
      <c r="E385" s="38"/>
      <c r="F385" s="38"/>
      <c r="G385" s="38"/>
      <c r="H385" s="38"/>
      <c r="I385" s="39"/>
      <c r="J385" s="38"/>
    </row>
    <row r="386" spans="2:10" ht="12.75" customHeight="1" x14ac:dyDescent="0.2">
      <c r="B386" s="37"/>
      <c r="C386" s="37" t="str">
        <f>IF(D386="","",MATCH(D386,Parametros!$B$4:$B$15,0))</f>
        <v/>
      </c>
      <c r="D386" s="38"/>
      <c r="E386" s="38"/>
      <c r="F386" s="38"/>
      <c r="G386" s="38"/>
      <c r="H386" s="38"/>
      <c r="I386" s="39"/>
      <c r="J386" s="38"/>
    </row>
    <row r="387" spans="2:10" ht="12.75" customHeight="1" x14ac:dyDescent="0.2">
      <c r="B387" s="37"/>
      <c r="C387" s="37" t="str">
        <f>IF(D387="","",MATCH(D387,Parametros!$B$4:$B$15,0))</f>
        <v/>
      </c>
      <c r="D387" s="38"/>
      <c r="E387" s="38"/>
      <c r="F387" s="38"/>
      <c r="G387" s="38"/>
      <c r="H387" s="38"/>
      <c r="I387" s="39"/>
      <c r="J387" s="38"/>
    </row>
    <row r="388" spans="2:10" ht="12.75" customHeight="1" x14ac:dyDescent="0.2">
      <c r="B388" s="37"/>
      <c r="C388" s="37" t="str">
        <f>IF(D388="","",MATCH(D388,Parametros!$B$4:$B$15,0))</f>
        <v/>
      </c>
      <c r="D388" s="38"/>
      <c r="E388" s="38"/>
      <c r="F388" s="38"/>
      <c r="G388" s="38"/>
      <c r="H388" s="38"/>
      <c r="I388" s="39"/>
      <c r="J388" s="38"/>
    </row>
    <row r="389" spans="2:10" ht="12.75" customHeight="1" x14ac:dyDescent="0.2">
      <c r="B389" s="37"/>
      <c r="C389" s="37" t="str">
        <f>IF(D389="","",MATCH(D389,Parametros!$B$4:$B$15,0))</f>
        <v/>
      </c>
      <c r="D389" s="38"/>
      <c r="E389" s="38"/>
      <c r="F389" s="38"/>
      <c r="G389" s="38"/>
      <c r="H389" s="38"/>
      <c r="I389" s="39"/>
      <c r="J389" s="38"/>
    </row>
    <row r="390" spans="2:10" ht="12.75" customHeight="1" x14ac:dyDescent="0.2">
      <c r="B390" s="37"/>
      <c r="C390" s="37" t="str">
        <f>IF(D390="","",MATCH(D390,Parametros!$B$4:$B$15,0))</f>
        <v/>
      </c>
      <c r="D390" s="38"/>
      <c r="E390" s="38"/>
      <c r="F390" s="38"/>
      <c r="G390" s="38"/>
      <c r="H390" s="38"/>
      <c r="I390" s="39"/>
      <c r="J390" s="38"/>
    </row>
    <row r="391" spans="2:10" ht="12.75" customHeight="1" x14ac:dyDescent="0.2">
      <c r="B391" s="37"/>
      <c r="C391" s="37" t="str">
        <f>IF(D391="","",MATCH(D391,Parametros!$B$4:$B$15,0))</f>
        <v/>
      </c>
      <c r="D391" s="38"/>
      <c r="E391" s="38"/>
      <c r="F391" s="38"/>
      <c r="G391" s="38"/>
      <c r="H391" s="38"/>
      <c r="I391" s="39"/>
      <c r="J391" s="38"/>
    </row>
    <row r="392" spans="2:10" ht="12.75" customHeight="1" x14ac:dyDescent="0.2">
      <c r="B392" s="37"/>
      <c r="C392" s="37" t="str">
        <f>IF(D392="","",MATCH(D392,Parametros!$B$4:$B$15,0))</f>
        <v/>
      </c>
      <c r="D392" s="38"/>
      <c r="E392" s="38"/>
      <c r="F392" s="38"/>
      <c r="G392" s="38"/>
      <c r="H392" s="38"/>
      <c r="I392" s="39"/>
      <c r="J392" s="38"/>
    </row>
    <row r="393" spans="2:10" ht="12.75" customHeight="1" x14ac:dyDescent="0.2">
      <c r="B393" s="37"/>
      <c r="C393" s="37" t="str">
        <f>IF(D393="","",MATCH(D393,Parametros!$B$4:$B$15,0))</f>
        <v/>
      </c>
      <c r="D393" s="38"/>
      <c r="E393" s="38"/>
      <c r="F393" s="38"/>
      <c r="G393" s="38"/>
      <c r="H393" s="38"/>
      <c r="I393" s="39"/>
      <c r="J393" s="38"/>
    </row>
    <row r="394" spans="2:10" ht="12.75" customHeight="1" x14ac:dyDescent="0.2">
      <c r="B394" s="37"/>
      <c r="C394" s="37" t="str">
        <f>IF(D394="","",MATCH(D394,Parametros!$B$4:$B$15,0))</f>
        <v/>
      </c>
      <c r="D394" s="38"/>
      <c r="E394" s="38"/>
      <c r="F394" s="38"/>
      <c r="G394" s="38"/>
      <c r="H394" s="38"/>
      <c r="I394" s="39"/>
      <c r="J394" s="38"/>
    </row>
    <row r="395" spans="2:10" ht="12.75" customHeight="1" x14ac:dyDescent="0.2">
      <c r="B395" s="37"/>
      <c r="C395" s="37" t="str">
        <f>IF(D395="","",MATCH(D395,Parametros!$B$4:$B$15,0))</f>
        <v/>
      </c>
      <c r="D395" s="38"/>
      <c r="E395" s="38"/>
      <c r="F395" s="38"/>
      <c r="G395" s="38"/>
      <c r="H395" s="38"/>
      <c r="I395" s="39"/>
      <c r="J395" s="38"/>
    </row>
    <row r="396" spans="2:10" ht="12.75" customHeight="1" x14ac:dyDescent="0.2">
      <c r="B396" s="37"/>
      <c r="C396" s="37" t="str">
        <f>IF(D396="","",MATCH(D396,Parametros!$B$4:$B$15,0))</f>
        <v/>
      </c>
      <c r="D396" s="38"/>
      <c r="E396" s="38"/>
      <c r="F396" s="38"/>
      <c r="G396" s="38"/>
      <c r="H396" s="38"/>
      <c r="I396" s="39"/>
      <c r="J396" s="38"/>
    </row>
    <row r="397" spans="2:10" ht="12.75" customHeight="1" x14ac:dyDescent="0.2">
      <c r="B397" s="37"/>
      <c r="C397" s="37" t="str">
        <f>IF(D397="","",MATCH(D397,Parametros!$B$4:$B$15,0))</f>
        <v/>
      </c>
      <c r="D397" s="38"/>
      <c r="E397" s="38"/>
      <c r="F397" s="38"/>
      <c r="G397" s="38"/>
      <c r="H397" s="38"/>
      <c r="I397" s="39"/>
      <c r="J397" s="38"/>
    </row>
    <row r="398" spans="2:10" ht="12.75" customHeight="1" x14ac:dyDescent="0.2">
      <c r="B398" s="37"/>
      <c r="C398" s="37" t="str">
        <f>IF(D398="","",MATCH(D398,Parametros!$B$4:$B$15,0))</f>
        <v/>
      </c>
      <c r="D398" s="38"/>
      <c r="E398" s="38"/>
      <c r="F398" s="38"/>
      <c r="G398" s="38"/>
      <c r="H398" s="38"/>
      <c r="I398" s="39"/>
      <c r="J398" s="38"/>
    </row>
    <row r="399" spans="2:10" ht="12.75" customHeight="1" x14ac:dyDescent="0.2">
      <c r="B399" s="37"/>
      <c r="C399" s="37" t="str">
        <f>IF(D399="","",MATCH(D399,Parametros!$B$4:$B$15,0))</f>
        <v/>
      </c>
      <c r="D399" s="38"/>
      <c r="E399" s="38"/>
      <c r="F399" s="38"/>
      <c r="G399" s="38"/>
      <c r="H399" s="38"/>
      <c r="I399" s="39"/>
      <c r="J399" s="38"/>
    </row>
    <row r="400" spans="2:10" ht="12.75" customHeight="1" x14ac:dyDescent="0.2">
      <c r="B400" s="37"/>
      <c r="C400" s="37" t="str">
        <f>IF(D400="","",MATCH(D400,Parametros!$B$4:$B$15,0))</f>
        <v/>
      </c>
      <c r="D400" s="38"/>
      <c r="E400" s="38"/>
      <c r="F400" s="38"/>
      <c r="G400" s="38"/>
      <c r="H400" s="38"/>
      <c r="I400" s="39"/>
      <c r="J400" s="38"/>
    </row>
    <row r="401" spans="2:10" ht="12.75" customHeight="1" x14ac:dyDescent="0.2">
      <c r="B401" s="37"/>
      <c r="C401" s="37" t="str">
        <f>IF(D401="","",MATCH(D401,Parametros!$B$4:$B$15,0))</f>
        <v/>
      </c>
      <c r="D401" s="38"/>
      <c r="E401" s="38"/>
      <c r="F401" s="38"/>
      <c r="G401" s="38"/>
      <c r="H401" s="38"/>
      <c r="I401" s="39"/>
      <c r="J401" s="38"/>
    </row>
    <row r="402" spans="2:10" ht="12.75" customHeight="1" x14ac:dyDescent="0.2">
      <c r="B402" s="37"/>
      <c r="C402" s="37" t="str">
        <f>IF(D402="","",MATCH(D402,Parametros!$B$4:$B$15,0))</f>
        <v/>
      </c>
      <c r="D402" s="38"/>
      <c r="E402" s="38"/>
      <c r="F402" s="38"/>
      <c r="G402" s="38"/>
      <c r="H402" s="38"/>
      <c r="I402" s="39"/>
      <c r="J402" s="38"/>
    </row>
    <row r="403" spans="2:10" ht="12.75" customHeight="1" x14ac:dyDescent="0.2">
      <c r="B403" s="37"/>
      <c r="C403" s="37" t="str">
        <f>IF(D403="","",MATCH(D403,Parametros!$B$4:$B$15,0))</f>
        <v/>
      </c>
      <c r="D403" s="38"/>
      <c r="E403" s="38"/>
      <c r="F403" s="38"/>
      <c r="G403" s="38"/>
      <c r="H403" s="38"/>
      <c r="I403" s="39"/>
      <c r="J403" s="38"/>
    </row>
    <row r="404" spans="2:10" ht="12.75" customHeight="1" x14ac:dyDescent="0.2">
      <c r="B404" s="37"/>
      <c r="C404" s="37" t="str">
        <f>IF(D404="","",MATCH(D404,Parametros!$B$4:$B$15,0))</f>
        <v/>
      </c>
      <c r="D404" s="38"/>
      <c r="E404" s="38"/>
      <c r="F404" s="38"/>
      <c r="G404" s="38"/>
      <c r="H404" s="38"/>
      <c r="I404" s="39"/>
      <c r="J404" s="38"/>
    </row>
    <row r="405" spans="2:10" ht="12.75" customHeight="1" x14ac:dyDescent="0.2">
      <c r="B405" s="37"/>
      <c r="C405" s="37" t="str">
        <f>IF(D405="","",MATCH(D405,Parametros!$B$4:$B$15,0))</f>
        <v/>
      </c>
      <c r="D405" s="38"/>
      <c r="E405" s="38"/>
      <c r="F405" s="38"/>
      <c r="G405" s="38"/>
      <c r="H405" s="38"/>
      <c r="I405" s="39"/>
      <c r="J405" s="38"/>
    </row>
    <row r="406" spans="2:10" ht="12.75" customHeight="1" x14ac:dyDescent="0.2">
      <c r="B406" s="37"/>
      <c r="C406" s="37" t="str">
        <f>IF(D406="","",MATCH(D406,Parametros!$B$4:$B$15,0))</f>
        <v/>
      </c>
      <c r="D406" s="38"/>
      <c r="E406" s="38"/>
      <c r="F406" s="38"/>
      <c r="G406" s="38"/>
      <c r="H406" s="38"/>
      <c r="I406" s="39"/>
      <c r="J406" s="38"/>
    </row>
    <row r="407" spans="2:10" ht="12.75" customHeight="1" x14ac:dyDescent="0.2">
      <c r="B407" s="37"/>
      <c r="C407" s="37" t="str">
        <f>IF(D407="","",MATCH(D407,Parametros!$B$4:$B$15,0))</f>
        <v/>
      </c>
      <c r="D407" s="38"/>
      <c r="E407" s="38"/>
      <c r="F407" s="38"/>
      <c r="G407" s="38"/>
      <c r="H407" s="38"/>
      <c r="I407" s="39"/>
      <c r="J407" s="38"/>
    </row>
    <row r="408" spans="2:10" ht="12.75" customHeight="1" x14ac:dyDescent="0.2">
      <c r="B408" s="37"/>
      <c r="C408" s="37" t="str">
        <f>IF(D408="","",MATCH(D408,Parametros!$B$4:$B$15,0))</f>
        <v/>
      </c>
      <c r="D408" s="38"/>
      <c r="E408" s="38"/>
      <c r="F408" s="38"/>
      <c r="G408" s="38"/>
      <c r="H408" s="38"/>
      <c r="I408" s="39"/>
      <c r="J408" s="38"/>
    </row>
    <row r="409" spans="2:10" ht="12.75" customHeight="1" x14ac:dyDescent="0.2">
      <c r="B409" s="37"/>
      <c r="C409" s="37" t="str">
        <f>IF(D409="","",MATCH(D409,Parametros!$B$4:$B$15,0))</f>
        <v/>
      </c>
      <c r="D409" s="38"/>
      <c r="E409" s="38"/>
      <c r="F409" s="38"/>
      <c r="G409" s="38"/>
      <c r="H409" s="38"/>
      <c r="I409" s="39"/>
      <c r="J409" s="38"/>
    </row>
    <row r="410" spans="2:10" ht="12.75" customHeight="1" x14ac:dyDescent="0.2">
      <c r="B410" s="37"/>
      <c r="C410" s="37" t="str">
        <f>IF(D410="","",MATCH(D410,Parametros!$B$4:$B$15,0))</f>
        <v/>
      </c>
      <c r="D410" s="38"/>
      <c r="E410" s="38"/>
      <c r="F410" s="38"/>
      <c r="G410" s="38"/>
      <c r="H410" s="38"/>
      <c r="I410" s="39"/>
      <c r="J410" s="38"/>
    </row>
    <row r="411" spans="2:10" ht="12.75" customHeight="1" x14ac:dyDescent="0.2">
      <c r="B411" s="37"/>
      <c r="C411" s="37" t="str">
        <f>IF(D411="","",MATCH(D411,Parametros!$B$4:$B$15,0))</f>
        <v/>
      </c>
      <c r="D411" s="38"/>
      <c r="E411" s="38"/>
      <c r="F411" s="38"/>
      <c r="G411" s="38"/>
      <c r="H411" s="38"/>
      <c r="I411" s="39"/>
      <c r="J411" s="38"/>
    </row>
    <row r="412" spans="2:10" ht="12.75" customHeight="1" x14ac:dyDescent="0.2">
      <c r="B412" s="37"/>
      <c r="C412" s="37" t="str">
        <f>IF(D412="","",MATCH(D412,Parametros!$B$4:$B$15,0))</f>
        <v/>
      </c>
      <c r="D412" s="38"/>
      <c r="E412" s="38"/>
      <c r="F412" s="38"/>
      <c r="G412" s="38"/>
      <c r="H412" s="38"/>
      <c r="I412" s="39"/>
      <c r="J412" s="38"/>
    </row>
    <row r="413" spans="2:10" ht="12.75" customHeight="1" x14ac:dyDescent="0.2">
      <c r="B413" s="37"/>
      <c r="C413" s="37" t="str">
        <f>IF(D413="","",MATCH(D413,Parametros!$B$4:$B$15,0))</f>
        <v/>
      </c>
      <c r="D413" s="38"/>
      <c r="E413" s="38"/>
      <c r="F413" s="38"/>
      <c r="G413" s="38"/>
      <c r="H413" s="38"/>
      <c r="I413" s="39"/>
      <c r="J413" s="38"/>
    </row>
    <row r="414" spans="2:10" ht="12.75" customHeight="1" x14ac:dyDescent="0.2">
      <c r="B414" s="37"/>
      <c r="C414" s="37" t="str">
        <f>IF(D414="","",MATCH(D414,Parametros!$B$4:$B$15,0))</f>
        <v/>
      </c>
      <c r="D414" s="38"/>
      <c r="E414" s="38"/>
      <c r="F414" s="38"/>
      <c r="G414" s="38"/>
      <c r="H414" s="38"/>
      <c r="I414" s="39"/>
      <c r="J414" s="38"/>
    </row>
    <row r="415" spans="2:10" ht="12.75" customHeight="1" x14ac:dyDescent="0.2">
      <c r="B415" s="37"/>
      <c r="C415" s="37" t="str">
        <f>IF(D415="","",MATCH(D415,Parametros!$B$4:$B$15,0))</f>
        <v/>
      </c>
      <c r="D415" s="38"/>
      <c r="E415" s="38"/>
      <c r="F415" s="38"/>
      <c r="G415" s="38"/>
      <c r="H415" s="38"/>
      <c r="I415" s="39"/>
      <c r="J415" s="38"/>
    </row>
    <row r="416" spans="2:10" ht="12.75" customHeight="1" x14ac:dyDescent="0.2">
      <c r="B416" s="37"/>
      <c r="C416" s="37" t="str">
        <f>IF(D416="","",MATCH(D416,Parametros!$B$4:$B$15,0))</f>
        <v/>
      </c>
      <c r="D416" s="38"/>
      <c r="E416" s="38"/>
      <c r="F416" s="38"/>
      <c r="G416" s="38"/>
      <c r="H416" s="38"/>
      <c r="I416" s="39"/>
      <c r="J416" s="38"/>
    </row>
    <row r="417" spans="2:10" ht="12.75" customHeight="1" x14ac:dyDescent="0.2">
      <c r="B417" s="37"/>
      <c r="C417" s="37" t="str">
        <f>IF(D417="","",MATCH(D417,Parametros!$B$4:$B$15,0))</f>
        <v/>
      </c>
      <c r="D417" s="38"/>
      <c r="E417" s="38"/>
      <c r="F417" s="38"/>
      <c r="G417" s="38"/>
      <c r="H417" s="38"/>
      <c r="I417" s="39"/>
      <c r="J417" s="38"/>
    </row>
    <row r="418" spans="2:10" ht="12.75" customHeight="1" x14ac:dyDescent="0.2">
      <c r="B418" s="37"/>
      <c r="C418" s="37" t="str">
        <f>IF(D418="","",MATCH(D418,Parametros!$B$4:$B$15,0))</f>
        <v/>
      </c>
      <c r="D418" s="38"/>
      <c r="E418" s="38"/>
      <c r="F418" s="38"/>
      <c r="G418" s="38"/>
      <c r="H418" s="38"/>
      <c r="I418" s="39"/>
      <c r="J418" s="38"/>
    </row>
    <row r="419" spans="2:10" ht="12.75" customHeight="1" x14ac:dyDescent="0.2">
      <c r="B419" s="37"/>
      <c r="C419" s="37" t="str">
        <f>IF(D419="","",MATCH(D419,Parametros!$B$4:$B$15,0))</f>
        <v/>
      </c>
      <c r="D419" s="38"/>
      <c r="E419" s="38"/>
      <c r="F419" s="38"/>
      <c r="G419" s="38"/>
      <c r="H419" s="38"/>
      <c r="I419" s="39"/>
      <c r="J419" s="38"/>
    </row>
    <row r="420" spans="2:10" ht="12.75" customHeight="1" x14ac:dyDescent="0.2">
      <c r="B420" s="37"/>
      <c r="C420" s="37" t="str">
        <f>IF(D420="","",MATCH(D420,Parametros!$B$4:$B$15,0))</f>
        <v/>
      </c>
      <c r="D420" s="38"/>
      <c r="E420" s="38"/>
      <c r="F420" s="38"/>
      <c r="G420" s="38"/>
      <c r="H420" s="38"/>
      <c r="I420" s="39"/>
      <c r="J420" s="38"/>
    </row>
    <row r="421" spans="2:10" ht="12.75" customHeight="1" x14ac:dyDescent="0.2">
      <c r="B421" s="37"/>
      <c r="C421" s="37" t="str">
        <f>IF(D421="","",MATCH(D421,Parametros!$B$4:$B$15,0))</f>
        <v/>
      </c>
      <c r="D421" s="38"/>
      <c r="E421" s="38"/>
      <c r="F421" s="38"/>
      <c r="G421" s="38"/>
      <c r="H421" s="38"/>
      <c r="I421" s="39"/>
      <c r="J421" s="38"/>
    </row>
    <row r="422" spans="2:10" ht="12.75" customHeight="1" x14ac:dyDescent="0.2">
      <c r="B422" s="37"/>
      <c r="C422" s="37" t="str">
        <f>IF(D422="","",MATCH(D422,Parametros!$B$4:$B$15,0))</f>
        <v/>
      </c>
      <c r="D422" s="38"/>
      <c r="E422" s="38"/>
      <c r="F422" s="38"/>
      <c r="G422" s="38"/>
      <c r="H422" s="38"/>
      <c r="I422" s="39"/>
      <c r="J422" s="38"/>
    </row>
    <row r="423" spans="2:10" ht="12.75" customHeight="1" x14ac:dyDescent="0.2">
      <c r="B423" s="37"/>
      <c r="C423" s="37" t="str">
        <f>IF(D423="","",MATCH(D423,Parametros!$B$4:$B$15,0))</f>
        <v/>
      </c>
      <c r="D423" s="38"/>
      <c r="E423" s="38"/>
      <c r="F423" s="38"/>
      <c r="G423" s="38"/>
      <c r="H423" s="38"/>
      <c r="I423" s="39"/>
      <c r="J423" s="38"/>
    </row>
    <row r="424" spans="2:10" ht="12.75" customHeight="1" x14ac:dyDescent="0.2">
      <c r="B424" s="37"/>
      <c r="C424" s="37" t="str">
        <f>IF(D424="","",MATCH(D424,Parametros!$B$4:$B$15,0))</f>
        <v/>
      </c>
      <c r="D424" s="38"/>
      <c r="E424" s="38"/>
      <c r="F424" s="38"/>
      <c r="G424" s="38"/>
      <c r="H424" s="38"/>
      <c r="I424" s="39"/>
      <c r="J424" s="38"/>
    </row>
    <row r="425" spans="2:10" ht="12.75" customHeight="1" x14ac:dyDescent="0.2">
      <c r="B425" s="37"/>
      <c r="C425" s="37" t="str">
        <f>IF(D425="","",MATCH(D425,Parametros!$B$4:$B$15,0))</f>
        <v/>
      </c>
      <c r="D425" s="38"/>
      <c r="E425" s="38"/>
      <c r="F425" s="38"/>
      <c r="G425" s="38"/>
      <c r="H425" s="38"/>
      <c r="I425" s="39"/>
      <c r="J425" s="38"/>
    </row>
    <row r="426" spans="2:10" ht="12.75" customHeight="1" x14ac:dyDescent="0.2">
      <c r="B426" s="37"/>
      <c r="C426" s="37" t="str">
        <f>IF(D426="","",MATCH(D426,Parametros!$B$4:$B$15,0))</f>
        <v/>
      </c>
      <c r="D426" s="38"/>
      <c r="E426" s="38"/>
      <c r="F426" s="38"/>
      <c r="G426" s="38"/>
      <c r="H426" s="38"/>
      <c r="I426" s="39"/>
      <c r="J426" s="38"/>
    </row>
    <row r="427" spans="2:10" ht="12.75" customHeight="1" x14ac:dyDescent="0.2">
      <c r="B427" s="37"/>
      <c r="C427" s="37" t="str">
        <f>IF(D427="","",MATCH(D427,Parametros!$B$4:$B$15,0))</f>
        <v/>
      </c>
      <c r="D427" s="38"/>
      <c r="E427" s="38"/>
      <c r="F427" s="38"/>
      <c r="G427" s="38"/>
      <c r="H427" s="38"/>
      <c r="I427" s="39"/>
      <c r="J427" s="38"/>
    </row>
    <row r="428" spans="2:10" ht="12.75" customHeight="1" x14ac:dyDescent="0.2">
      <c r="B428" s="37"/>
      <c r="C428" s="37" t="str">
        <f>IF(D428="","",MATCH(D428,Parametros!$B$4:$B$15,0))</f>
        <v/>
      </c>
      <c r="D428" s="38"/>
      <c r="E428" s="38"/>
      <c r="F428" s="38"/>
      <c r="G428" s="38"/>
      <c r="H428" s="38"/>
      <c r="I428" s="39"/>
      <c r="J428" s="38"/>
    </row>
    <row r="429" spans="2:10" ht="12.75" customHeight="1" x14ac:dyDescent="0.2">
      <c r="B429" s="37"/>
      <c r="C429" s="37" t="str">
        <f>IF(D429="","",MATCH(D429,Parametros!$B$4:$B$15,0))</f>
        <v/>
      </c>
      <c r="D429" s="38"/>
      <c r="E429" s="38"/>
      <c r="F429" s="38"/>
      <c r="G429" s="38"/>
      <c r="H429" s="38"/>
      <c r="I429" s="39"/>
      <c r="J429" s="38"/>
    </row>
    <row r="430" spans="2:10" ht="12.75" customHeight="1" x14ac:dyDescent="0.2">
      <c r="B430" s="37"/>
      <c r="C430" s="37" t="str">
        <f>IF(D430="","",MATCH(D430,Parametros!$B$4:$B$15,0))</f>
        <v/>
      </c>
      <c r="D430" s="38"/>
      <c r="E430" s="38"/>
      <c r="F430" s="38"/>
      <c r="G430" s="38"/>
      <c r="H430" s="38"/>
      <c r="I430" s="39"/>
      <c r="J430" s="38"/>
    </row>
    <row r="431" spans="2:10" ht="12.75" customHeight="1" x14ac:dyDescent="0.2">
      <c r="B431" s="37"/>
      <c r="C431" s="37" t="str">
        <f>IF(D431="","",MATCH(D431,Parametros!$B$4:$B$15,0))</f>
        <v/>
      </c>
      <c r="D431" s="38"/>
      <c r="E431" s="38"/>
      <c r="F431" s="38"/>
      <c r="G431" s="38"/>
      <c r="H431" s="38"/>
      <c r="I431" s="39"/>
      <c r="J431" s="38"/>
    </row>
    <row r="432" spans="2:10" ht="12.75" customHeight="1" x14ac:dyDescent="0.2">
      <c r="B432" s="37"/>
      <c r="C432" s="37" t="str">
        <f>IF(D432="","",MATCH(D432,Parametros!$B$4:$B$15,0))</f>
        <v/>
      </c>
      <c r="D432" s="38"/>
      <c r="E432" s="38"/>
      <c r="F432" s="38"/>
      <c r="G432" s="38"/>
      <c r="H432" s="38"/>
      <c r="I432" s="39"/>
      <c r="J432" s="38"/>
    </row>
    <row r="433" spans="2:10" ht="12.75" customHeight="1" x14ac:dyDescent="0.2">
      <c r="B433" s="37"/>
      <c r="C433" s="37" t="str">
        <f>IF(D433="","",MATCH(D433,Parametros!$B$4:$B$15,0))</f>
        <v/>
      </c>
      <c r="D433" s="38"/>
      <c r="E433" s="38"/>
      <c r="F433" s="38"/>
      <c r="G433" s="38"/>
      <c r="H433" s="38"/>
      <c r="I433" s="39"/>
      <c r="J433" s="38"/>
    </row>
    <row r="434" spans="2:10" ht="12.75" customHeight="1" x14ac:dyDescent="0.2">
      <c r="B434" s="37"/>
      <c r="C434" s="37" t="str">
        <f>IF(D434="","",MATCH(D434,Parametros!$B$4:$B$15,0))</f>
        <v/>
      </c>
      <c r="D434" s="38"/>
      <c r="E434" s="38"/>
      <c r="F434" s="38"/>
      <c r="G434" s="38"/>
      <c r="H434" s="38"/>
      <c r="I434" s="39"/>
      <c r="J434" s="38"/>
    </row>
    <row r="435" spans="2:10" ht="12.75" customHeight="1" x14ac:dyDescent="0.2">
      <c r="B435" s="37"/>
      <c r="C435" s="37" t="str">
        <f>IF(D435="","",MATCH(D435,Parametros!$B$4:$B$15,0))</f>
        <v/>
      </c>
      <c r="D435" s="38"/>
      <c r="E435" s="38"/>
      <c r="F435" s="38"/>
      <c r="G435" s="38"/>
      <c r="H435" s="38"/>
      <c r="I435" s="39"/>
      <c r="J435" s="38"/>
    </row>
    <row r="436" spans="2:10" ht="12.75" customHeight="1" x14ac:dyDescent="0.2">
      <c r="B436" s="37"/>
      <c r="C436" s="37" t="str">
        <f>IF(D436="","",MATCH(D436,Parametros!$B$4:$B$15,0))</f>
        <v/>
      </c>
      <c r="D436" s="38"/>
      <c r="E436" s="38"/>
      <c r="F436" s="38"/>
      <c r="G436" s="38"/>
      <c r="H436" s="38"/>
      <c r="I436" s="39"/>
      <c r="J436" s="38"/>
    </row>
    <row r="437" spans="2:10" ht="12.75" customHeight="1" x14ac:dyDescent="0.2">
      <c r="B437" s="37"/>
      <c r="C437" s="37" t="str">
        <f>IF(D437="","",MATCH(D437,Parametros!$B$4:$B$15,0))</f>
        <v/>
      </c>
      <c r="D437" s="38"/>
      <c r="E437" s="38"/>
      <c r="F437" s="38"/>
      <c r="G437" s="38"/>
      <c r="H437" s="38"/>
      <c r="I437" s="39"/>
      <c r="J437" s="38"/>
    </row>
    <row r="438" spans="2:10" ht="12.75" customHeight="1" x14ac:dyDescent="0.2">
      <c r="B438" s="37"/>
      <c r="C438" s="37" t="str">
        <f>IF(D438="","",MATCH(D438,Parametros!$B$4:$B$15,0))</f>
        <v/>
      </c>
      <c r="D438" s="38"/>
      <c r="E438" s="38"/>
      <c r="F438" s="38"/>
      <c r="G438" s="38"/>
      <c r="H438" s="38"/>
      <c r="I438" s="39"/>
      <c r="J438" s="38"/>
    </row>
    <row r="439" spans="2:10" ht="12.75" customHeight="1" x14ac:dyDescent="0.2">
      <c r="B439" s="37"/>
      <c r="C439" s="37" t="str">
        <f>IF(D439="","",MATCH(D439,Parametros!$B$4:$B$15,0))</f>
        <v/>
      </c>
      <c r="D439" s="38"/>
      <c r="E439" s="38"/>
      <c r="F439" s="38"/>
      <c r="G439" s="38"/>
      <c r="H439" s="38"/>
      <c r="I439" s="39"/>
      <c r="J439" s="38"/>
    </row>
    <row r="440" spans="2:10" ht="12.75" customHeight="1" x14ac:dyDescent="0.2">
      <c r="B440" s="37"/>
      <c r="C440" s="37" t="str">
        <f>IF(D440="","",MATCH(D440,Parametros!$B$4:$B$15,0))</f>
        <v/>
      </c>
      <c r="D440" s="38"/>
      <c r="E440" s="38"/>
      <c r="F440" s="38"/>
      <c r="G440" s="38"/>
      <c r="H440" s="38"/>
      <c r="I440" s="39"/>
      <c r="J440" s="38"/>
    </row>
    <row r="441" spans="2:10" ht="12.75" customHeight="1" x14ac:dyDescent="0.2">
      <c r="B441" s="37"/>
      <c r="C441" s="37" t="str">
        <f>IF(D441="","",MATCH(D441,Parametros!$B$4:$B$15,0))</f>
        <v/>
      </c>
      <c r="D441" s="38"/>
      <c r="E441" s="38"/>
      <c r="F441" s="38"/>
      <c r="G441" s="38"/>
      <c r="H441" s="38"/>
      <c r="I441" s="39"/>
      <c r="J441" s="38"/>
    </row>
    <row r="442" spans="2:10" ht="12.75" customHeight="1" x14ac:dyDescent="0.2">
      <c r="B442" s="37"/>
      <c r="C442" s="37" t="str">
        <f>IF(D442="","",MATCH(D442,Parametros!$B$4:$B$15,0))</f>
        <v/>
      </c>
      <c r="D442" s="38"/>
      <c r="E442" s="38"/>
      <c r="F442" s="38"/>
      <c r="G442" s="38"/>
      <c r="H442" s="38"/>
      <c r="I442" s="39"/>
      <c r="J442" s="38"/>
    </row>
    <row r="443" spans="2:10" ht="12.75" customHeight="1" x14ac:dyDescent="0.2">
      <c r="B443" s="37"/>
      <c r="C443" s="37" t="str">
        <f>IF(D443="","",MATCH(D443,Parametros!$B$4:$B$15,0))</f>
        <v/>
      </c>
      <c r="D443" s="38"/>
      <c r="E443" s="38"/>
      <c r="F443" s="38"/>
      <c r="G443" s="38"/>
      <c r="H443" s="38"/>
      <c r="I443" s="39"/>
      <c r="J443" s="38"/>
    </row>
    <row r="444" spans="2:10" ht="12.75" customHeight="1" x14ac:dyDescent="0.2">
      <c r="B444" s="37"/>
      <c r="C444" s="37" t="str">
        <f>IF(D444="","",MATCH(D444,Parametros!$B$4:$B$15,0))</f>
        <v/>
      </c>
      <c r="D444" s="38"/>
      <c r="E444" s="38"/>
      <c r="F444" s="38"/>
      <c r="G444" s="38"/>
      <c r="H444" s="38"/>
      <c r="I444" s="39"/>
      <c r="J444" s="38"/>
    </row>
    <row r="445" spans="2:10" ht="12.75" customHeight="1" x14ac:dyDescent="0.2">
      <c r="B445" s="37"/>
      <c r="C445" s="37" t="str">
        <f>IF(D445="","",MATCH(D445,Parametros!$B$4:$B$15,0))</f>
        <v/>
      </c>
      <c r="D445" s="38"/>
      <c r="E445" s="38"/>
      <c r="F445" s="38"/>
      <c r="G445" s="38"/>
      <c r="H445" s="38"/>
      <c r="I445" s="39"/>
      <c r="J445" s="38"/>
    </row>
    <row r="446" spans="2:10" ht="12.75" customHeight="1" x14ac:dyDescent="0.2">
      <c r="B446" s="37"/>
      <c r="C446" s="37" t="str">
        <f>IF(D446="","",MATCH(D446,Parametros!$B$4:$B$15,0))</f>
        <v/>
      </c>
      <c r="D446" s="38"/>
      <c r="E446" s="38"/>
      <c r="F446" s="38"/>
      <c r="G446" s="38"/>
      <c r="H446" s="38"/>
      <c r="I446" s="39"/>
      <c r="J446" s="38"/>
    </row>
    <row r="447" spans="2:10" ht="12.75" customHeight="1" x14ac:dyDescent="0.2">
      <c r="B447" s="37"/>
      <c r="C447" s="37" t="str">
        <f>IF(D447="","",MATCH(D447,Parametros!$B$4:$B$15,0))</f>
        <v/>
      </c>
      <c r="D447" s="38"/>
      <c r="E447" s="38"/>
      <c r="F447" s="38"/>
      <c r="G447" s="38"/>
      <c r="H447" s="38"/>
      <c r="I447" s="39"/>
      <c r="J447" s="38"/>
    </row>
    <row r="448" spans="2:10" ht="12.75" customHeight="1" x14ac:dyDescent="0.2">
      <c r="B448" s="37"/>
      <c r="C448" s="37" t="str">
        <f>IF(D448="","",MATCH(D448,Parametros!$B$4:$B$15,0))</f>
        <v/>
      </c>
      <c r="D448" s="38"/>
      <c r="E448" s="38"/>
      <c r="F448" s="38"/>
      <c r="G448" s="38"/>
      <c r="H448" s="38"/>
      <c r="I448" s="39"/>
      <c r="J448" s="38"/>
    </row>
    <row r="449" spans="2:10" ht="12.75" customHeight="1" x14ac:dyDescent="0.2">
      <c r="B449" s="37"/>
      <c r="C449" s="37" t="str">
        <f>IF(D449="","",MATCH(D449,Parametros!$B$4:$B$15,0))</f>
        <v/>
      </c>
      <c r="D449" s="38"/>
      <c r="E449" s="38"/>
      <c r="F449" s="38"/>
      <c r="G449" s="38"/>
      <c r="H449" s="38"/>
      <c r="I449" s="39"/>
      <c r="J449" s="38"/>
    </row>
    <row r="450" spans="2:10" ht="12.75" customHeight="1" x14ac:dyDescent="0.2">
      <c r="B450" s="37"/>
      <c r="C450" s="37" t="str">
        <f>IF(D450="","",MATCH(D450,Parametros!$B$4:$B$15,0))</f>
        <v/>
      </c>
      <c r="D450" s="38"/>
      <c r="E450" s="38"/>
      <c r="F450" s="38"/>
      <c r="G450" s="38"/>
      <c r="H450" s="38"/>
      <c r="I450" s="39"/>
      <c r="J450" s="38"/>
    </row>
    <row r="451" spans="2:10" ht="12.75" customHeight="1" x14ac:dyDescent="0.2">
      <c r="B451" s="37"/>
      <c r="C451" s="37" t="str">
        <f>IF(D451="","",MATCH(D451,Parametros!$B$4:$B$15,0))</f>
        <v/>
      </c>
      <c r="D451" s="38"/>
      <c r="E451" s="38"/>
      <c r="F451" s="38"/>
      <c r="G451" s="38"/>
      <c r="H451" s="38"/>
      <c r="I451" s="39"/>
      <c r="J451" s="38"/>
    </row>
    <row r="452" spans="2:10" ht="12.75" customHeight="1" x14ac:dyDescent="0.2">
      <c r="B452" s="37"/>
      <c r="C452" s="37" t="str">
        <f>IF(D452="","",MATCH(D452,Parametros!$B$4:$B$15,0))</f>
        <v/>
      </c>
      <c r="D452" s="38"/>
      <c r="E452" s="38"/>
      <c r="F452" s="38"/>
      <c r="G452" s="38"/>
      <c r="H452" s="38"/>
      <c r="I452" s="39"/>
      <c r="J452" s="38"/>
    </row>
    <row r="453" spans="2:10" ht="12.75" customHeight="1" x14ac:dyDescent="0.2">
      <c r="B453" s="37"/>
      <c r="C453" s="37" t="str">
        <f>IF(D453="","",MATCH(D453,Parametros!$B$4:$B$15,0))</f>
        <v/>
      </c>
      <c r="D453" s="38"/>
      <c r="E453" s="38"/>
      <c r="F453" s="38"/>
      <c r="G453" s="38"/>
      <c r="H453" s="38"/>
      <c r="I453" s="39"/>
      <c r="J453" s="38"/>
    </row>
    <row r="454" spans="2:10" ht="12.75" customHeight="1" x14ac:dyDescent="0.2">
      <c r="B454" s="37"/>
      <c r="C454" s="37" t="str">
        <f>IF(D454="","",MATCH(D454,Parametros!$B$4:$B$15,0))</f>
        <v/>
      </c>
      <c r="D454" s="38"/>
      <c r="E454" s="38"/>
      <c r="F454" s="38"/>
      <c r="G454" s="38"/>
      <c r="H454" s="38"/>
      <c r="I454" s="39"/>
      <c r="J454" s="38"/>
    </row>
    <row r="455" spans="2:10" ht="12.75" customHeight="1" x14ac:dyDescent="0.2">
      <c r="B455" s="37"/>
      <c r="C455" s="37" t="str">
        <f>IF(D455="","",MATCH(D455,Parametros!$B$4:$B$15,0))</f>
        <v/>
      </c>
      <c r="D455" s="38"/>
      <c r="E455" s="38"/>
      <c r="F455" s="38"/>
      <c r="G455" s="38"/>
      <c r="H455" s="38"/>
      <c r="I455" s="39"/>
      <c r="J455" s="38"/>
    </row>
    <row r="456" spans="2:10" ht="12.75" customHeight="1" x14ac:dyDescent="0.2">
      <c r="B456" s="37"/>
      <c r="C456" s="37" t="str">
        <f>IF(D456="","",MATCH(D456,Parametros!$B$4:$B$15,0))</f>
        <v/>
      </c>
      <c r="D456" s="38"/>
      <c r="E456" s="38"/>
      <c r="F456" s="38"/>
      <c r="G456" s="38"/>
      <c r="H456" s="38"/>
      <c r="I456" s="39"/>
      <c r="J456" s="38"/>
    </row>
    <row r="457" spans="2:10" ht="12.75" customHeight="1" x14ac:dyDescent="0.2">
      <c r="B457" s="37"/>
      <c r="C457" s="37" t="str">
        <f>IF(D457="","",MATCH(D457,Parametros!$B$4:$B$15,0))</f>
        <v/>
      </c>
      <c r="D457" s="38"/>
      <c r="E457" s="38"/>
      <c r="F457" s="38"/>
      <c r="G457" s="38"/>
      <c r="H457" s="38"/>
      <c r="I457" s="39"/>
      <c r="J457" s="38"/>
    </row>
    <row r="458" spans="2:10" ht="12.75" customHeight="1" x14ac:dyDescent="0.2">
      <c r="B458" s="37"/>
      <c r="C458" s="37" t="str">
        <f>IF(D458="","",MATCH(D458,Parametros!$B$4:$B$15,0))</f>
        <v/>
      </c>
      <c r="D458" s="38"/>
      <c r="E458" s="38"/>
      <c r="F458" s="38"/>
      <c r="G458" s="38"/>
      <c r="H458" s="38"/>
      <c r="I458" s="39"/>
      <c r="J458" s="38"/>
    </row>
    <row r="459" spans="2:10" ht="12.75" customHeight="1" x14ac:dyDescent="0.2">
      <c r="B459" s="37"/>
      <c r="C459" s="37" t="str">
        <f>IF(D459="","",MATCH(D459,Parametros!$B$4:$B$15,0))</f>
        <v/>
      </c>
      <c r="D459" s="38"/>
      <c r="E459" s="38"/>
      <c r="F459" s="38"/>
      <c r="G459" s="38"/>
      <c r="H459" s="38"/>
      <c r="I459" s="39"/>
      <c r="J459" s="38"/>
    </row>
    <row r="460" spans="2:10" ht="12.75" customHeight="1" x14ac:dyDescent="0.2">
      <c r="B460" s="37"/>
      <c r="C460" s="37" t="str">
        <f>IF(D460="","",MATCH(D460,Parametros!$B$4:$B$15,0))</f>
        <v/>
      </c>
      <c r="D460" s="38"/>
      <c r="E460" s="38"/>
      <c r="F460" s="38"/>
      <c r="G460" s="38"/>
      <c r="H460" s="38"/>
      <c r="I460" s="39"/>
      <c r="J460" s="38"/>
    </row>
    <row r="461" spans="2:10" ht="12.75" customHeight="1" x14ac:dyDescent="0.2">
      <c r="B461" s="37"/>
      <c r="C461" s="37" t="str">
        <f>IF(D461="","",MATCH(D461,Parametros!$B$4:$B$15,0))</f>
        <v/>
      </c>
      <c r="D461" s="38"/>
      <c r="E461" s="38"/>
      <c r="F461" s="38"/>
      <c r="G461" s="38"/>
      <c r="H461" s="38"/>
      <c r="I461" s="39"/>
      <c r="J461" s="38"/>
    </row>
    <row r="462" spans="2:10" ht="12.75" customHeight="1" x14ac:dyDescent="0.2">
      <c r="B462" s="37"/>
      <c r="C462" s="37" t="str">
        <f>IF(D462="","",MATCH(D462,Parametros!$B$4:$B$15,0))</f>
        <v/>
      </c>
      <c r="D462" s="38"/>
      <c r="E462" s="38"/>
      <c r="F462" s="38"/>
      <c r="G462" s="38"/>
      <c r="H462" s="38"/>
      <c r="I462" s="39"/>
      <c r="J462" s="38"/>
    </row>
    <row r="463" spans="2:10" ht="12.75" customHeight="1" x14ac:dyDescent="0.2">
      <c r="B463" s="37"/>
      <c r="C463" s="37" t="str">
        <f>IF(D463="","",MATCH(D463,Parametros!$B$4:$B$15,0))</f>
        <v/>
      </c>
      <c r="D463" s="38"/>
      <c r="E463" s="38"/>
      <c r="F463" s="38"/>
      <c r="G463" s="38"/>
      <c r="H463" s="38"/>
      <c r="I463" s="39"/>
      <c r="J463" s="38"/>
    </row>
    <row r="464" spans="2:10" ht="12.75" customHeight="1" x14ac:dyDescent="0.2">
      <c r="B464" s="37"/>
      <c r="C464" s="37" t="str">
        <f>IF(D464="","",MATCH(D464,Parametros!$B$4:$B$15,0))</f>
        <v/>
      </c>
      <c r="D464" s="38"/>
      <c r="E464" s="38"/>
      <c r="F464" s="38"/>
      <c r="G464" s="38"/>
      <c r="H464" s="38"/>
      <c r="I464" s="39"/>
      <c r="J464" s="38"/>
    </row>
    <row r="465" spans="2:10" ht="12.75" customHeight="1" x14ac:dyDescent="0.2">
      <c r="B465" s="37"/>
      <c r="C465" s="37" t="str">
        <f>IF(D465="","",MATCH(D465,Parametros!$B$4:$B$15,0))</f>
        <v/>
      </c>
      <c r="D465" s="38"/>
      <c r="E465" s="38"/>
      <c r="F465" s="38"/>
      <c r="G465" s="38"/>
      <c r="H465" s="38"/>
      <c r="I465" s="39"/>
      <c r="J465" s="38"/>
    </row>
    <row r="466" spans="2:10" ht="12.75" customHeight="1" x14ac:dyDescent="0.2">
      <c r="B466" s="37"/>
      <c r="C466" s="37" t="str">
        <f>IF(D466="","",MATCH(D466,Parametros!$B$4:$B$15,0))</f>
        <v/>
      </c>
      <c r="D466" s="38"/>
      <c r="E466" s="38"/>
      <c r="F466" s="38"/>
      <c r="G466" s="38"/>
      <c r="H466" s="38"/>
      <c r="I466" s="39"/>
      <c r="J466" s="38"/>
    </row>
    <row r="467" spans="2:10" ht="12.75" customHeight="1" x14ac:dyDescent="0.2">
      <c r="B467" s="37"/>
      <c r="C467" s="37" t="str">
        <f>IF(D467="","",MATCH(D467,Parametros!$B$4:$B$15,0))</f>
        <v/>
      </c>
      <c r="D467" s="38"/>
      <c r="E467" s="38"/>
      <c r="F467" s="38"/>
      <c r="G467" s="38"/>
      <c r="H467" s="38"/>
      <c r="I467" s="39"/>
      <c r="J467" s="38"/>
    </row>
    <row r="468" spans="2:10" ht="12.75" customHeight="1" x14ac:dyDescent="0.2">
      <c r="B468" s="37"/>
      <c r="C468" s="37" t="str">
        <f>IF(D468="","",MATCH(D468,Parametros!$B$4:$B$15,0))</f>
        <v/>
      </c>
      <c r="D468" s="38"/>
      <c r="E468" s="38"/>
      <c r="F468" s="38"/>
      <c r="G468" s="38"/>
      <c r="H468" s="38"/>
      <c r="I468" s="39"/>
      <c r="J468" s="38"/>
    </row>
    <row r="469" spans="2:10" ht="12.75" customHeight="1" x14ac:dyDescent="0.2">
      <c r="B469" s="37"/>
      <c r="C469" s="37" t="str">
        <f>IF(D469="","",MATCH(D469,Parametros!$B$4:$B$15,0))</f>
        <v/>
      </c>
      <c r="D469" s="38"/>
      <c r="E469" s="38"/>
      <c r="F469" s="38"/>
      <c r="G469" s="38"/>
      <c r="H469" s="38"/>
      <c r="I469" s="39"/>
      <c r="J469" s="38"/>
    </row>
    <row r="470" spans="2:10" ht="12.75" customHeight="1" x14ac:dyDescent="0.2">
      <c r="B470" s="37"/>
      <c r="C470" s="37" t="str">
        <f>IF(D470="","",MATCH(D470,Parametros!$B$4:$B$15,0))</f>
        <v/>
      </c>
      <c r="D470" s="38"/>
      <c r="E470" s="38"/>
      <c r="F470" s="38"/>
      <c r="G470" s="38"/>
      <c r="H470" s="38"/>
      <c r="I470" s="39"/>
      <c r="J470" s="38"/>
    </row>
    <row r="471" spans="2:10" ht="12.75" customHeight="1" x14ac:dyDescent="0.2">
      <c r="B471" s="37"/>
      <c r="C471" s="37" t="str">
        <f>IF(D471="","",MATCH(D471,Parametros!$B$4:$B$15,0))</f>
        <v/>
      </c>
      <c r="D471" s="38"/>
      <c r="E471" s="38"/>
      <c r="F471" s="38"/>
      <c r="G471" s="38"/>
      <c r="H471" s="38"/>
      <c r="I471" s="39"/>
      <c r="J471" s="38"/>
    </row>
    <row r="472" spans="2:10" ht="12.75" customHeight="1" x14ac:dyDescent="0.2">
      <c r="B472" s="37"/>
      <c r="C472" s="37" t="str">
        <f>IF(D472="","",MATCH(D472,Parametros!$B$4:$B$15,0))</f>
        <v/>
      </c>
      <c r="D472" s="38"/>
      <c r="E472" s="38"/>
      <c r="F472" s="38"/>
      <c r="G472" s="38"/>
      <c r="H472" s="38"/>
      <c r="I472" s="39"/>
      <c r="J472" s="38"/>
    </row>
    <row r="473" spans="2:10" ht="12.75" customHeight="1" x14ac:dyDescent="0.2">
      <c r="B473" s="37"/>
      <c r="C473" s="37" t="str">
        <f>IF(D473="","",MATCH(D473,Parametros!$B$4:$B$15,0))</f>
        <v/>
      </c>
      <c r="D473" s="38"/>
      <c r="E473" s="38"/>
      <c r="F473" s="38"/>
      <c r="G473" s="38"/>
      <c r="H473" s="38"/>
      <c r="I473" s="39"/>
      <c r="J473" s="38"/>
    </row>
    <row r="474" spans="2:10" ht="12.75" customHeight="1" x14ac:dyDescent="0.2">
      <c r="B474" s="37"/>
      <c r="C474" s="37" t="str">
        <f>IF(D474="","",MATCH(D474,Parametros!$B$4:$B$15,0))</f>
        <v/>
      </c>
      <c r="D474" s="38"/>
      <c r="E474" s="38"/>
      <c r="F474" s="38"/>
      <c r="G474" s="38"/>
      <c r="H474" s="38"/>
      <c r="I474" s="39"/>
      <c r="J474" s="38"/>
    </row>
    <row r="475" spans="2:10" ht="12.75" customHeight="1" x14ac:dyDescent="0.2">
      <c r="B475" s="37"/>
      <c r="C475" s="37" t="str">
        <f>IF(D475="","",MATCH(D475,Parametros!$B$4:$B$15,0))</f>
        <v/>
      </c>
      <c r="D475" s="38"/>
      <c r="E475" s="38"/>
      <c r="F475" s="38"/>
      <c r="G475" s="38"/>
      <c r="H475" s="38"/>
      <c r="I475" s="39"/>
      <c r="J475" s="38"/>
    </row>
    <row r="476" spans="2:10" ht="12.75" customHeight="1" x14ac:dyDescent="0.2">
      <c r="B476" s="37"/>
      <c r="C476" s="37" t="str">
        <f>IF(D476="","",MATCH(D476,Parametros!$B$4:$B$15,0))</f>
        <v/>
      </c>
      <c r="D476" s="38"/>
      <c r="E476" s="38"/>
      <c r="F476" s="38"/>
      <c r="G476" s="38"/>
      <c r="H476" s="38"/>
      <c r="I476" s="39"/>
      <c r="J476" s="38"/>
    </row>
    <row r="477" spans="2:10" ht="12.75" customHeight="1" x14ac:dyDescent="0.2">
      <c r="B477" s="37"/>
      <c r="C477" s="37" t="str">
        <f>IF(D477="","",MATCH(D477,Parametros!$B$4:$B$15,0))</f>
        <v/>
      </c>
      <c r="D477" s="38"/>
      <c r="E477" s="38"/>
      <c r="F477" s="38"/>
      <c r="G477" s="38"/>
      <c r="H477" s="38"/>
      <c r="I477" s="39"/>
      <c r="J477" s="38"/>
    </row>
    <row r="478" spans="2:10" ht="12.75" customHeight="1" x14ac:dyDescent="0.2">
      <c r="B478" s="37"/>
      <c r="C478" s="37" t="str">
        <f>IF(D478="","",MATCH(D478,Parametros!$B$4:$B$15,0))</f>
        <v/>
      </c>
      <c r="D478" s="38"/>
      <c r="E478" s="38"/>
      <c r="F478" s="38"/>
      <c r="G478" s="38"/>
      <c r="H478" s="38"/>
      <c r="I478" s="39"/>
      <c r="J478" s="38"/>
    </row>
    <row r="479" spans="2:10" ht="12.75" customHeight="1" x14ac:dyDescent="0.2">
      <c r="B479" s="37"/>
      <c r="C479" s="37" t="str">
        <f>IF(D479="","",MATCH(D479,Parametros!$B$4:$B$15,0))</f>
        <v/>
      </c>
      <c r="D479" s="38"/>
      <c r="E479" s="38"/>
      <c r="F479" s="38"/>
      <c r="G479" s="38"/>
      <c r="H479" s="38"/>
      <c r="I479" s="39"/>
      <c r="J479" s="38"/>
    </row>
    <row r="480" spans="2:10" ht="12.75" customHeight="1" x14ac:dyDescent="0.2">
      <c r="B480" s="37"/>
      <c r="C480" s="37" t="str">
        <f>IF(D480="","",MATCH(D480,Parametros!$B$4:$B$15,0))</f>
        <v/>
      </c>
      <c r="D480" s="38"/>
      <c r="E480" s="38"/>
      <c r="F480" s="38"/>
      <c r="G480" s="38"/>
      <c r="H480" s="38"/>
      <c r="I480" s="39"/>
      <c r="J480" s="38"/>
    </row>
    <row r="481" spans="2:10" ht="12.75" customHeight="1" x14ac:dyDescent="0.2">
      <c r="B481" s="37"/>
      <c r="C481" s="37" t="str">
        <f>IF(D481="","",MATCH(D481,Parametros!$B$4:$B$15,0))</f>
        <v/>
      </c>
      <c r="D481" s="38"/>
      <c r="E481" s="38"/>
      <c r="F481" s="38"/>
      <c r="G481" s="38"/>
      <c r="H481" s="38"/>
      <c r="I481" s="39"/>
      <c r="J481" s="38"/>
    </row>
    <row r="482" spans="2:10" ht="12.75" customHeight="1" x14ac:dyDescent="0.2">
      <c r="B482" s="37"/>
      <c r="C482" s="37" t="str">
        <f>IF(D482="","",MATCH(D482,Parametros!$B$4:$B$15,0))</f>
        <v/>
      </c>
      <c r="D482" s="38"/>
      <c r="E482" s="38"/>
      <c r="F482" s="38"/>
      <c r="G482" s="38"/>
      <c r="H482" s="38"/>
      <c r="I482" s="39"/>
      <c r="J482" s="38"/>
    </row>
    <row r="483" spans="2:10" ht="12.75" customHeight="1" x14ac:dyDescent="0.2">
      <c r="B483" s="37"/>
      <c r="C483" s="37" t="str">
        <f>IF(D483="","",MATCH(D483,Parametros!$B$4:$B$15,0))</f>
        <v/>
      </c>
      <c r="D483" s="38"/>
      <c r="E483" s="38"/>
      <c r="F483" s="38"/>
      <c r="G483" s="38"/>
      <c r="H483" s="38"/>
      <c r="I483" s="39"/>
      <c r="J483" s="38"/>
    </row>
    <row r="484" spans="2:10" ht="12.75" customHeight="1" x14ac:dyDescent="0.2">
      <c r="B484" s="37"/>
      <c r="C484" s="37" t="str">
        <f>IF(D484="","",MATCH(D484,Parametros!$B$4:$B$15,0))</f>
        <v/>
      </c>
      <c r="D484" s="38"/>
      <c r="E484" s="38"/>
      <c r="F484" s="38"/>
      <c r="G484" s="38"/>
      <c r="H484" s="38"/>
      <c r="I484" s="39"/>
      <c r="J484" s="38"/>
    </row>
    <row r="485" spans="2:10" ht="12.75" customHeight="1" x14ac:dyDescent="0.2">
      <c r="B485" s="37"/>
      <c r="C485" s="37" t="str">
        <f>IF(D485="","",MATCH(D485,Parametros!$B$4:$B$15,0))</f>
        <v/>
      </c>
      <c r="D485" s="38"/>
      <c r="E485" s="38"/>
      <c r="F485" s="38"/>
      <c r="G485" s="38"/>
      <c r="H485" s="38"/>
      <c r="I485" s="39"/>
      <c r="J485" s="38"/>
    </row>
    <row r="486" spans="2:10" ht="12.75" customHeight="1" x14ac:dyDescent="0.2">
      <c r="B486" s="37"/>
      <c r="C486" s="37" t="str">
        <f>IF(D486="","",MATCH(D486,Parametros!$B$4:$B$15,0))</f>
        <v/>
      </c>
      <c r="D486" s="38"/>
      <c r="E486" s="38"/>
      <c r="F486" s="38"/>
      <c r="G486" s="38"/>
      <c r="H486" s="38"/>
      <c r="I486" s="39"/>
      <c r="J486" s="38"/>
    </row>
    <row r="487" spans="2:10" ht="12.75" customHeight="1" x14ac:dyDescent="0.2">
      <c r="B487" s="37"/>
      <c r="C487" s="37" t="str">
        <f>IF(D487="","",MATCH(D487,Parametros!$B$4:$B$15,0))</f>
        <v/>
      </c>
      <c r="D487" s="38"/>
      <c r="E487" s="38"/>
      <c r="F487" s="38"/>
      <c r="G487" s="38"/>
      <c r="H487" s="38"/>
      <c r="I487" s="39"/>
      <c r="J487" s="38"/>
    </row>
    <row r="488" spans="2:10" ht="12.75" customHeight="1" x14ac:dyDescent="0.2">
      <c r="B488" s="37"/>
      <c r="C488" s="37" t="str">
        <f>IF(D488="","",MATCH(D488,Parametros!$B$4:$B$15,0))</f>
        <v/>
      </c>
      <c r="D488" s="38"/>
      <c r="E488" s="38"/>
      <c r="F488" s="38"/>
      <c r="G488" s="38"/>
      <c r="H488" s="38"/>
      <c r="I488" s="39"/>
      <c r="J488" s="38"/>
    </row>
    <row r="489" spans="2:10" ht="12.75" customHeight="1" x14ac:dyDescent="0.2">
      <c r="B489" s="37"/>
      <c r="C489" s="37" t="str">
        <f>IF(D489="","",MATCH(D489,Parametros!$B$4:$B$15,0))</f>
        <v/>
      </c>
      <c r="D489" s="38"/>
      <c r="E489" s="38"/>
      <c r="F489" s="38"/>
      <c r="G489" s="38"/>
      <c r="H489" s="38"/>
      <c r="I489" s="39"/>
      <c r="J489" s="38"/>
    </row>
    <row r="490" spans="2:10" ht="12.75" customHeight="1" x14ac:dyDescent="0.2">
      <c r="B490" s="37"/>
      <c r="C490" s="37" t="str">
        <f>IF(D490="","",MATCH(D490,Parametros!$B$4:$B$15,0))</f>
        <v/>
      </c>
      <c r="D490" s="38"/>
      <c r="E490" s="38"/>
      <c r="F490" s="38"/>
      <c r="G490" s="38"/>
      <c r="H490" s="38"/>
      <c r="I490" s="39"/>
      <c r="J490" s="38"/>
    </row>
    <row r="491" spans="2:10" ht="12.75" customHeight="1" x14ac:dyDescent="0.2">
      <c r="B491" s="37"/>
      <c r="C491" s="37" t="str">
        <f>IF(D491="","",MATCH(D491,Parametros!$B$4:$B$15,0))</f>
        <v/>
      </c>
      <c r="D491" s="38"/>
      <c r="E491" s="38"/>
      <c r="F491" s="38"/>
      <c r="G491" s="38"/>
      <c r="H491" s="38"/>
      <c r="I491" s="39"/>
      <c r="J491" s="38"/>
    </row>
    <row r="492" spans="2:10" ht="12.75" customHeight="1" x14ac:dyDescent="0.2">
      <c r="B492" s="37"/>
      <c r="C492" s="37" t="str">
        <f>IF(D492="","",MATCH(D492,Parametros!$B$4:$B$15,0))</f>
        <v/>
      </c>
      <c r="D492" s="38"/>
      <c r="E492" s="38"/>
      <c r="F492" s="38"/>
      <c r="G492" s="38"/>
      <c r="H492" s="38"/>
      <c r="I492" s="39"/>
      <c r="J492" s="38"/>
    </row>
    <row r="493" spans="2:10" ht="12.75" customHeight="1" x14ac:dyDescent="0.2">
      <c r="B493" s="37"/>
      <c r="C493" s="37" t="str">
        <f>IF(D493="","",MATCH(D493,Parametros!$B$4:$B$15,0))</f>
        <v/>
      </c>
      <c r="D493" s="38"/>
      <c r="E493" s="38"/>
      <c r="F493" s="38"/>
      <c r="G493" s="38"/>
      <c r="H493" s="38"/>
      <c r="I493" s="39"/>
      <c r="J493" s="38"/>
    </row>
    <row r="494" spans="2:10" ht="12.75" customHeight="1" x14ac:dyDescent="0.2">
      <c r="B494" s="37"/>
      <c r="C494" s="37" t="str">
        <f>IF(D494="","",MATCH(D494,Parametros!$B$4:$B$15,0))</f>
        <v/>
      </c>
      <c r="D494" s="38"/>
      <c r="E494" s="38"/>
      <c r="F494" s="38"/>
      <c r="G494" s="38"/>
      <c r="H494" s="38"/>
      <c r="I494" s="39"/>
      <c r="J494" s="38"/>
    </row>
    <row r="495" spans="2:10" ht="12.75" customHeight="1" x14ac:dyDescent="0.2">
      <c r="B495" s="37"/>
      <c r="C495" s="37" t="str">
        <f>IF(D495="","",MATCH(D495,Parametros!$B$4:$B$15,0))</f>
        <v/>
      </c>
      <c r="D495" s="38"/>
      <c r="E495" s="38"/>
      <c r="F495" s="38"/>
      <c r="G495" s="38"/>
      <c r="H495" s="38"/>
      <c r="I495" s="39"/>
      <c r="J495" s="38"/>
    </row>
    <row r="496" spans="2:10" ht="12.75" customHeight="1" x14ac:dyDescent="0.2">
      <c r="B496" s="37"/>
      <c r="C496" s="37" t="str">
        <f>IF(D496="","",MATCH(D496,Parametros!$B$4:$B$15,0))</f>
        <v/>
      </c>
      <c r="D496" s="38"/>
      <c r="E496" s="38"/>
      <c r="F496" s="38"/>
      <c r="G496" s="38"/>
      <c r="H496" s="38"/>
      <c r="I496" s="39"/>
      <c r="J496" s="38"/>
    </row>
    <row r="497" spans="2:10" ht="12.75" customHeight="1" x14ac:dyDescent="0.2">
      <c r="B497" s="37"/>
      <c r="C497" s="37" t="str">
        <f>IF(D497="","",MATCH(D497,Parametros!$B$4:$B$15,0))</f>
        <v/>
      </c>
      <c r="D497" s="38"/>
      <c r="E497" s="38"/>
      <c r="F497" s="38"/>
      <c r="G497" s="38"/>
      <c r="H497" s="38"/>
      <c r="I497" s="39"/>
      <c r="J497" s="38"/>
    </row>
    <row r="498" spans="2:10" ht="12.75" customHeight="1" x14ac:dyDescent="0.2">
      <c r="B498" s="37"/>
      <c r="C498" s="37" t="str">
        <f>IF(D498="","",MATCH(D498,Parametros!$B$4:$B$15,0))</f>
        <v/>
      </c>
      <c r="D498" s="38"/>
      <c r="E498" s="38"/>
      <c r="F498" s="38"/>
      <c r="G498" s="38"/>
      <c r="H498" s="38"/>
      <c r="I498" s="39"/>
      <c r="J498" s="38"/>
    </row>
    <row r="499" spans="2:10" ht="12.75" customHeight="1" x14ac:dyDescent="0.2">
      <c r="B499" s="37"/>
      <c r="C499" s="37" t="str">
        <f>IF(D499="","",MATCH(D499,Parametros!$B$4:$B$15,0))</f>
        <v/>
      </c>
      <c r="D499" s="38"/>
      <c r="E499" s="38"/>
      <c r="F499" s="38"/>
      <c r="G499" s="38"/>
      <c r="H499" s="38"/>
      <c r="I499" s="39"/>
      <c r="J499" s="38"/>
    </row>
    <row r="500" spans="2:10" ht="12.75" customHeight="1" x14ac:dyDescent="0.2">
      <c r="B500" s="37"/>
      <c r="C500" s="37" t="str">
        <f>IF(D500="","",MATCH(D500,Parametros!$B$4:$B$15,0))</f>
        <v/>
      </c>
      <c r="D500" s="38"/>
      <c r="E500" s="38"/>
      <c r="F500" s="38"/>
      <c r="G500" s="38"/>
      <c r="H500" s="38"/>
      <c r="I500" s="39"/>
      <c r="J500" s="38"/>
    </row>
    <row r="501" spans="2:10" ht="12.75" customHeight="1" x14ac:dyDescent="0.2">
      <c r="B501" s="37"/>
      <c r="C501" s="37" t="str">
        <f>IF(D501="","",MATCH(D501,Parametros!$B$4:$B$15,0))</f>
        <v/>
      </c>
      <c r="D501" s="38"/>
      <c r="E501" s="38"/>
      <c r="F501" s="38"/>
      <c r="G501" s="38"/>
      <c r="H501" s="38"/>
      <c r="I501" s="39"/>
      <c r="J501" s="38"/>
    </row>
    <row r="502" spans="2:10" ht="12.75" customHeight="1" x14ac:dyDescent="0.2">
      <c r="B502" s="37"/>
      <c r="C502" s="37" t="str">
        <f>IF(D502="","",MATCH(D502,Parametros!$B$4:$B$15,0))</f>
        <v/>
      </c>
      <c r="D502" s="38"/>
      <c r="E502" s="38"/>
      <c r="F502" s="38"/>
      <c r="G502" s="38"/>
      <c r="H502" s="38"/>
      <c r="I502" s="39"/>
      <c r="J502" s="38"/>
    </row>
    <row r="503" spans="2:10" ht="12.75" customHeight="1" x14ac:dyDescent="0.2">
      <c r="B503" s="37"/>
      <c r="C503" s="37" t="str">
        <f>IF(D503="","",MATCH(D503,Parametros!$B$4:$B$15,0))</f>
        <v/>
      </c>
      <c r="D503" s="38"/>
      <c r="E503" s="38"/>
      <c r="F503" s="38"/>
      <c r="G503" s="38"/>
      <c r="H503" s="38"/>
      <c r="I503" s="39"/>
      <c r="J503" s="38"/>
    </row>
    <row r="504" spans="2:10" ht="12.75" customHeight="1" x14ac:dyDescent="0.2">
      <c r="B504" s="37"/>
      <c r="C504" s="37" t="str">
        <f>IF(D504="","",MATCH(D504,Parametros!$B$4:$B$15,0))</f>
        <v/>
      </c>
      <c r="D504" s="38"/>
      <c r="E504" s="38"/>
      <c r="F504" s="38"/>
      <c r="G504" s="38"/>
      <c r="H504" s="38"/>
      <c r="I504" s="39"/>
      <c r="J504" s="38"/>
    </row>
    <row r="505" spans="2:10" ht="12.75" customHeight="1" x14ac:dyDescent="0.2">
      <c r="B505" s="37"/>
      <c r="C505" s="37" t="str">
        <f>IF(D505="","",MATCH(D505,Parametros!$B$4:$B$15,0))</f>
        <v/>
      </c>
      <c r="D505" s="38"/>
      <c r="E505" s="38"/>
      <c r="F505" s="38"/>
      <c r="G505" s="38"/>
      <c r="H505" s="38"/>
      <c r="I505" s="39"/>
      <c r="J505" s="38"/>
    </row>
    <row r="506" spans="2:10" ht="12.75" customHeight="1" x14ac:dyDescent="0.2">
      <c r="B506" s="37"/>
      <c r="C506" s="37" t="str">
        <f>IF(D506="","",MATCH(D506,Parametros!$B$4:$B$15,0))</f>
        <v/>
      </c>
      <c r="D506" s="38"/>
      <c r="E506" s="38"/>
      <c r="F506" s="38"/>
      <c r="G506" s="38"/>
      <c r="H506" s="38"/>
      <c r="I506" s="39"/>
      <c r="J506" s="38"/>
    </row>
    <row r="507" spans="2:10" ht="12.75" customHeight="1" x14ac:dyDescent="0.2">
      <c r="B507" s="37"/>
      <c r="C507" s="37" t="str">
        <f>IF(D507="","",MATCH(D507,Parametros!$B$4:$B$15,0))</f>
        <v/>
      </c>
      <c r="D507" s="38"/>
      <c r="E507" s="38"/>
      <c r="F507" s="38"/>
      <c r="G507" s="38"/>
      <c r="H507" s="38"/>
      <c r="I507" s="39"/>
      <c r="J507" s="38"/>
    </row>
    <row r="508" spans="2:10" ht="12.75" customHeight="1" x14ac:dyDescent="0.2">
      <c r="B508" s="37"/>
      <c r="C508" s="37" t="str">
        <f>IF(D508="","",MATCH(D508,Parametros!$B$4:$B$15,0))</f>
        <v/>
      </c>
      <c r="D508" s="38"/>
      <c r="E508" s="38"/>
      <c r="F508" s="38"/>
      <c r="G508" s="38"/>
      <c r="H508" s="38"/>
      <c r="I508" s="39"/>
      <c r="J508" s="38"/>
    </row>
    <row r="509" spans="2:10" ht="12.75" customHeight="1" x14ac:dyDescent="0.2">
      <c r="B509" s="37"/>
      <c r="C509" s="37" t="str">
        <f>IF(D509="","",MATCH(D509,Parametros!$B$4:$B$15,0))</f>
        <v/>
      </c>
      <c r="D509" s="38"/>
      <c r="E509" s="38"/>
      <c r="F509" s="38"/>
      <c r="G509" s="38"/>
      <c r="H509" s="38"/>
      <c r="I509" s="39"/>
      <c r="J509" s="38"/>
    </row>
    <row r="510" spans="2:10" ht="12.75" customHeight="1" x14ac:dyDescent="0.2">
      <c r="B510" s="37"/>
      <c r="C510" s="37" t="str">
        <f>IF(D510="","",MATCH(D510,Parametros!$B$4:$B$15,0))</f>
        <v/>
      </c>
      <c r="D510" s="38"/>
      <c r="E510" s="38"/>
      <c r="F510" s="38"/>
      <c r="G510" s="38"/>
      <c r="H510" s="38"/>
      <c r="I510" s="39"/>
      <c r="J510" s="38"/>
    </row>
    <row r="511" spans="2:10" ht="12.75" customHeight="1" x14ac:dyDescent="0.2">
      <c r="B511" s="37"/>
      <c r="C511" s="37" t="str">
        <f>IF(D511="","",MATCH(D511,Parametros!$B$4:$B$15,0))</f>
        <v/>
      </c>
      <c r="D511" s="38"/>
      <c r="E511" s="38"/>
      <c r="F511" s="38"/>
      <c r="G511" s="38"/>
      <c r="H511" s="38"/>
      <c r="I511" s="39"/>
      <c r="J511" s="38"/>
    </row>
    <row r="512" spans="2:10" ht="12.75" customHeight="1" x14ac:dyDescent="0.2">
      <c r="B512" s="37"/>
      <c r="C512" s="37" t="str">
        <f>IF(D512="","",MATCH(D512,Parametros!$B$4:$B$15,0))</f>
        <v/>
      </c>
      <c r="D512" s="38"/>
      <c r="E512" s="38"/>
      <c r="F512" s="38"/>
      <c r="G512" s="38"/>
      <c r="H512" s="38"/>
      <c r="I512" s="39"/>
      <c r="J512" s="38"/>
    </row>
    <row r="513" spans="2:10" ht="12.75" customHeight="1" x14ac:dyDescent="0.2">
      <c r="B513" s="37"/>
      <c r="C513" s="37" t="str">
        <f>IF(D513="","",MATCH(D513,Parametros!$B$4:$B$15,0))</f>
        <v/>
      </c>
      <c r="D513" s="38"/>
      <c r="E513" s="38"/>
      <c r="F513" s="38"/>
      <c r="G513" s="38"/>
      <c r="H513" s="38"/>
      <c r="I513" s="39"/>
      <c r="J513" s="38"/>
    </row>
    <row r="514" spans="2:10" ht="12.75" customHeight="1" x14ac:dyDescent="0.2">
      <c r="B514" s="37"/>
      <c r="C514" s="37" t="str">
        <f>IF(D514="","",MATCH(D514,Parametros!$B$4:$B$15,0))</f>
        <v/>
      </c>
      <c r="D514" s="38"/>
      <c r="E514" s="38"/>
      <c r="F514" s="38"/>
      <c r="G514" s="38"/>
      <c r="H514" s="38"/>
      <c r="I514" s="39"/>
      <c r="J514" s="38"/>
    </row>
    <row r="515" spans="2:10" ht="12.75" customHeight="1" x14ac:dyDescent="0.2">
      <c r="B515" s="37"/>
      <c r="C515" s="37" t="str">
        <f>IF(D515="","",MATCH(D515,Parametros!$B$4:$B$15,0))</f>
        <v/>
      </c>
      <c r="D515" s="38"/>
      <c r="E515" s="38"/>
      <c r="F515" s="38"/>
      <c r="G515" s="38"/>
      <c r="H515" s="38"/>
      <c r="I515" s="39"/>
      <c r="J515" s="38"/>
    </row>
    <row r="516" spans="2:10" ht="12.75" customHeight="1" x14ac:dyDescent="0.2">
      <c r="B516" s="37"/>
      <c r="C516" s="37" t="str">
        <f>IF(D516="","",MATCH(D516,Parametros!$B$4:$B$15,0))</f>
        <v/>
      </c>
      <c r="D516" s="38"/>
      <c r="E516" s="38"/>
      <c r="F516" s="38"/>
      <c r="G516" s="38"/>
      <c r="H516" s="38"/>
      <c r="I516" s="39"/>
      <c r="J516" s="38"/>
    </row>
    <row r="517" spans="2:10" ht="12.75" customHeight="1" x14ac:dyDescent="0.2">
      <c r="B517" s="37"/>
      <c r="C517" s="37" t="str">
        <f>IF(D517="","",MATCH(D517,Parametros!$B$4:$B$15,0))</f>
        <v/>
      </c>
      <c r="D517" s="38"/>
      <c r="E517" s="38"/>
      <c r="F517" s="38"/>
      <c r="G517" s="38"/>
      <c r="H517" s="38"/>
      <c r="I517" s="39"/>
      <c r="J517" s="38"/>
    </row>
    <row r="518" spans="2:10" ht="12.75" customHeight="1" x14ac:dyDescent="0.2">
      <c r="B518" s="37"/>
      <c r="C518" s="37" t="str">
        <f>IF(D518="","",MATCH(D518,Parametros!$B$4:$B$15,0))</f>
        <v/>
      </c>
      <c r="D518" s="38"/>
      <c r="E518" s="38"/>
      <c r="F518" s="38"/>
      <c r="G518" s="38"/>
      <c r="H518" s="38"/>
      <c r="I518" s="39"/>
      <c r="J518" s="38"/>
    </row>
    <row r="519" spans="2:10" ht="12.75" customHeight="1" x14ac:dyDescent="0.2">
      <c r="B519" s="37"/>
      <c r="C519" s="37" t="str">
        <f>IF(D519="","",MATCH(D519,Parametros!$B$4:$B$15,0))</f>
        <v/>
      </c>
      <c r="D519" s="38"/>
      <c r="E519" s="38"/>
      <c r="F519" s="38"/>
      <c r="G519" s="38"/>
      <c r="H519" s="38"/>
      <c r="I519" s="39"/>
      <c r="J519" s="38"/>
    </row>
    <row r="520" spans="2:10" ht="12.75" customHeight="1" x14ac:dyDescent="0.2">
      <c r="B520" s="37"/>
      <c r="C520" s="37" t="str">
        <f>IF(D520="","",MATCH(D520,Parametros!$B$4:$B$15,0))</f>
        <v/>
      </c>
      <c r="D520" s="38"/>
      <c r="E520" s="38"/>
      <c r="F520" s="38"/>
      <c r="G520" s="38"/>
      <c r="H520" s="38"/>
      <c r="I520" s="39"/>
      <c r="J520" s="38"/>
    </row>
    <row r="521" spans="2:10" ht="12.75" customHeight="1" x14ac:dyDescent="0.2">
      <c r="B521" s="37"/>
      <c r="C521" s="37" t="str">
        <f>IF(D521="","",MATCH(D521,Parametros!$B$4:$B$15,0))</f>
        <v/>
      </c>
      <c r="D521" s="38"/>
      <c r="E521" s="38"/>
      <c r="F521" s="38"/>
      <c r="G521" s="38"/>
      <c r="H521" s="38"/>
      <c r="I521" s="39"/>
      <c r="J521" s="38"/>
    </row>
    <row r="522" spans="2:10" ht="12.75" customHeight="1" x14ac:dyDescent="0.2">
      <c r="B522" s="37"/>
      <c r="C522" s="37" t="str">
        <f>IF(D522="","",MATCH(D522,Parametros!$B$4:$B$15,0))</f>
        <v/>
      </c>
      <c r="D522" s="38"/>
      <c r="E522" s="38"/>
      <c r="F522" s="38"/>
      <c r="G522" s="38"/>
      <c r="H522" s="38"/>
      <c r="I522" s="39"/>
      <c r="J522" s="38"/>
    </row>
    <row r="523" spans="2:10" ht="12.75" customHeight="1" x14ac:dyDescent="0.2">
      <c r="B523" s="37"/>
      <c r="C523" s="37" t="str">
        <f>IF(D523="","",MATCH(D523,Parametros!$B$4:$B$15,0))</f>
        <v/>
      </c>
      <c r="D523" s="38"/>
      <c r="E523" s="38"/>
      <c r="F523" s="38"/>
      <c r="G523" s="38"/>
      <c r="H523" s="38"/>
      <c r="I523" s="39"/>
      <c r="J523" s="38"/>
    </row>
    <row r="524" spans="2:10" ht="12.75" customHeight="1" x14ac:dyDescent="0.2">
      <c r="B524" s="37"/>
      <c r="C524" s="37" t="str">
        <f>IF(D524="","",MATCH(D524,Parametros!$B$4:$B$15,0))</f>
        <v/>
      </c>
      <c r="D524" s="38"/>
      <c r="E524" s="38"/>
      <c r="F524" s="38"/>
      <c r="G524" s="38"/>
      <c r="H524" s="38"/>
      <c r="I524" s="39"/>
      <c r="J524" s="38"/>
    </row>
    <row r="525" spans="2:10" ht="12.75" customHeight="1" x14ac:dyDescent="0.2">
      <c r="B525" s="37"/>
      <c r="C525" s="37" t="str">
        <f>IF(D525="","",MATCH(D525,Parametros!$B$4:$B$15,0))</f>
        <v/>
      </c>
      <c r="D525" s="38"/>
      <c r="E525" s="38"/>
      <c r="F525" s="38"/>
      <c r="G525" s="38"/>
      <c r="H525" s="38"/>
      <c r="I525" s="39"/>
      <c r="J525" s="38"/>
    </row>
    <row r="526" spans="2:10" ht="12.75" customHeight="1" x14ac:dyDescent="0.2">
      <c r="B526" s="37"/>
      <c r="C526" s="37" t="str">
        <f>IF(D526="","",MATCH(D526,Parametros!$B$4:$B$15,0))</f>
        <v/>
      </c>
      <c r="D526" s="38"/>
      <c r="E526" s="38"/>
      <c r="F526" s="38"/>
      <c r="G526" s="38"/>
      <c r="H526" s="38"/>
      <c r="I526" s="39"/>
      <c r="J526" s="38"/>
    </row>
    <row r="527" spans="2:10" ht="12.75" customHeight="1" x14ac:dyDescent="0.2">
      <c r="B527" s="37"/>
      <c r="C527" s="37" t="str">
        <f>IF(D527="","",MATCH(D527,Parametros!$B$4:$B$15,0))</f>
        <v/>
      </c>
      <c r="D527" s="38"/>
      <c r="E527" s="38"/>
      <c r="F527" s="38"/>
      <c r="G527" s="38"/>
      <c r="H527" s="38"/>
      <c r="I527" s="39"/>
      <c r="J527" s="38"/>
    </row>
    <row r="528" spans="2:10" ht="12.75" customHeight="1" x14ac:dyDescent="0.2">
      <c r="B528" s="37"/>
      <c r="C528" s="37" t="str">
        <f>IF(D528="","",MATCH(D528,Parametros!$B$4:$B$15,0))</f>
        <v/>
      </c>
      <c r="D528" s="38"/>
      <c r="E528" s="38"/>
      <c r="F528" s="38"/>
      <c r="G528" s="38"/>
      <c r="H528" s="38"/>
      <c r="I528" s="39"/>
      <c r="J528" s="38"/>
    </row>
    <row r="529" spans="2:10" ht="12.75" customHeight="1" x14ac:dyDescent="0.2">
      <c r="B529" s="37"/>
      <c r="C529" s="37" t="str">
        <f>IF(D529="","",MATCH(D529,Parametros!$B$4:$B$15,0))</f>
        <v/>
      </c>
      <c r="D529" s="38"/>
      <c r="E529" s="38"/>
      <c r="F529" s="38"/>
      <c r="G529" s="38"/>
      <c r="H529" s="38"/>
      <c r="I529" s="39"/>
      <c r="J529" s="38"/>
    </row>
    <row r="530" spans="2:10" ht="12.75" customHeight="1" x14ac:dyDescent="0.2">
      <c r="B530" s="37"/>
      <c r="C530" s="37" t="str">
        <f>IF(D530="","",MATCH(D530,Parametros!$B$4:$B$15,0))</f>
        <v/>
      </c>
      <c r="D530" s="38"/>
      <c r="E530" s="38"/>
      <c r="F530" s="38"/>
      <c r="G530" s="38"/>
      <c r="H530" s="38"/>
      <c r="I530" s="39"/>
      <c r="J530" s="38"/>
    </row>
    <row r="531" spans="2:10" ht="12.75" customHeight="1" x14ac:dyDescent="0.2">
      <c r="B531" s="37"/>
      <c r="C531" s="37" t="str">
        <f>IF(D531="","",MATCH(D531,Parametros!$B$4:$B$15,0))</f>
        <v/>
      </c>
      <c r="D531" s="38"/>
      <c r="E531" s="38"/>
      <c r="F531" s="38"/>
      <c r="G531" s="38"/>
      <c r="H531" s="38"/>
      <c r="I531" s="39"/>
      <c r="J531" s="38"/>
    </row>
    <row r="532" spans="2:10" ht="12.75" customHeight="1" x14ac:dyDescent="0.2">
      <c r="B532" s="37"/>
      <c r="C532" s="37" t="str">
        <f>IF(D532="","",MATCH(D532,Parametros!$B$4:$B$15,0))</f>
        <v/>
      </c>
      <c r="D532" s="38"/>
      <c r="E532" s="38"/>
      <c r="F532" s="38"/>
      <c r="G532" s="38"/>
      <c r="H532" s="38"/>
      <c r="I532" s="39"/>
      <c r="J532" s="38"/>
    </row>
    <row r="533" spans="2:10" ht="12.75" customHeight="1" x14ac:dyDescent="0.2">
      <c r="B533" s="37"/>
      <c r="C533" s="37" t="str">
        <f>IF(D533="","",MATCH(D533,Parametros!$B$4:$B$15,0))</f>
        <v/>
      </c>
      <c r="D533" s="38"/>
      <c r="E533" s="38"/>
      <c r="F533" s="38"/>
      <c r="G533" s="38"/>
      <c r="H533" s="38"/>
      <c r="I533" s="39"/>
      <c r="J533" s="38"/>
    </row>
    <row r="534" spans="2:10" ht="12.75" customHeight="1" x14ac:dyDescent="0.2">
      <c r="B534" s="37"/>
      <c r="C534" s="37" t="str">
        <f>IF(D534="","",MATCH(D534,Parametros!$B$4:$B$15,0))</f>
        <v/>
      </c>
      <c r="D534" s="38"/>
      <c r="E534" s="38"/>
      <c r="F534" s="38"/>
      <c r="G534" s="38"/>
      <c r="H534" s="38"/>
      <c r="I534" s="39"/>
      <c r="J534" s="38"/>
    </row>
    <row r="535" spans="2:10" ht="12.75" customHeight="1" x14ac:dyDescent="0.2">
      <c r="B535" s="37"/>
      <c r="C535" s="37" t="str">
        <f>IF(D535="","",MATCH(D535,Parametros!$B$4:$B$15,0))</f>
        <v/>
      </c>
      <c r="D535" s="38"/>
      <c r="E535" s="38"/>
      <c r="F535" s="38"/>
      <c r="G535" s="38"/>
      <c r="H535" s="38"/>
      <c r="I535" s="39"/>
      <c r="J535" s="38"/>
    </row>
    <row r="536" spans="2:10" ht="12.75" customHeight="1" x14ac:dyDescent="0.2">
      <c r="B536" s="37"/>
      <c r="C536" s="37" t="str">
        <f>IF(D536="","",MATCH(D536,Parametros!$B$4:$B$15,0))</f>
        <v/>
      </c>
      <c r="D536" s="38"/>
      <c r="E536" s="38"/>
      <c r="F536" s="38"/>
      <c r="G536" s="38"/>
      <c r="H536" s="38"/>
      <c r="I536" s="39"/>
      <c r="J536" s="38"/>
    </row>
    <row r="537" spans="2:10" ht="12.75" customHeight="1" x14ac:dyDescent="0.2">
      <c r="B537" s="37"/>
      <c r="C537" s="37" t="str">
        <f>IF(D537="","",MATCH(D537,Parametros!$B$4:$B$15,0))</f>
        <v/>
      </c>
      <c r="D537" s="38"/>
      <c r="E537" s="38"/>
      <c r="F537" s="38"/>
      <c r="G537" s="38"/>
      <c r="H537" s="38"/>
      <c r="I537" s="39"/>
      <c r="J537" s="38"/>
    </row>
    <row r="538" spans="2:10" ht="12.75" customHeight="1" x14ac:dyDescent="0.2">
      <c r="B538" s="37"/>
      <c r="C538" s="37" t="str">
        <f>IF(D538="","",MATCH(D538,Parametros!$B$4:$B$15,0))</f>
        <v/>
      </c>
      <c r="D538" s="38"/>
      <c r="E538" s="38"/>
      <c r="F538" s="38"/>
      <c r="G538" s="38"/>
      <c r="H538" s="38"/>
      <c r="I538" s="39"/>
      <c r="J538" s="38"/>
    </row>
    <row r="539" spans="2:10" ht="12.75" customHeight="1" x14ac:dyDescent="0.2">
      <c r="B539" s="37"/>
      <c r="C539" s="37" t="str">
        <f>IF(D539="","",MATCH(D539,Parametros!$B$4:$B$15,0))</f>
        <v/>
      </c>
      <c r="D539" s="38"/>
      <c r="E539" s="38"/>
      <c r="F539" s="38"/>
      <c r="G539" s="38"/>
      <c r="H539" s="38"/>
      <c r="I539" s="39"/>
      <c r="J539" s="38"/>
    </row>
    <row r="540" spans="2:10" ht="12.75" customHeight="1" x14ac:dyDescent="0.2">
      <c r="B540" s="37"/>
      <c r="C540" s="37" t="str">
        <f>IF(D540="","",MATCH(D540,Parametros!$B$4:$B$15,0))</f>
        <v/>
      </c>
      <c r="D540" s="38"/>
      <c r="E540" s="38"/>
      <c r="F540" s="38"/>
      <c r="G540" s="38"/>
      <c r="H540" s="38"/>
      <c r="I540" s="39"/>
      <c r="J540" s="38"/>
    </row>
    <row r="541" spans="2:10" ht="12.75" customHeight="1" x14ac:dyDescent="0.2">
      <c r="B541" s="37"/>
      <c r="C541" s="37" t="str">
        <f>IF(D541="","",MATCH(D541,Parametros!$B$4:$B$15,0))</f>
        <v/>
      </c>
      <c r="D541" s="38"/>
      <c r="E541" s="38"/>
      <c r="F541" s="38"/>
      <c r="G541" s="38"/>
      <c r="H541" s="38"/>
      <c r="I541" s="39"/>
      <c r="J541" s="38"/>
    </row>
    <row r="542" spans="2:10" ht="12.75" customHeight="1" x14ac:dyDescent="0.2">
      <c r="B542" s="37"/>
      <c r="C542" s="37" t="str">
        <f>IF(D542="","",MATCH(D542,Parametros!$B$4:$B$15,0))</f>
        <v/>
      </c>
      <c r="D542" s="38"/>
      <c r="E542" s="38"/>
      <c r="F542" s="38"/>
      <c r="G542" s="38"/>
      <c r="H542" s="38"/>
      <c r="I542" s="39"/>
      <c r="J542" s="38"/>
    </row>
    <row r="543" spans="2:10" ht="12.75" customHeight="1" x14ac:dyDescent="0.2">
      <c r="B543" s="37"/>
      <c r="C543" s="37" t="str">
        <f>IF(D543="","",MATCH(D543,Parametros!$B$4:$B$15,0))</f>
        <v/>
      </c>
      <c r="D543" s="38"/>
      <c r="E543" s="38"/>
      <c r="F543" s="38"/>
      <c r="G543" s="38"/>
      <c r="H543" s="38"/>
      <c r="I543" s="39"/>
      <c r="J543" s="38"/>
    </row>
    <row r="544" spans="2:10" ht="12.75" customHeight="1" x14ac:dyDescent="0.2">
      <c r="B544" s="37"/>
      <c r="C544" s="37" t="str">
        <f>IF(D544="","",MATCH(D544,Parametros!$B$4:$B$15,0))</f>
        <v/>
      </c>
      <c r="D544" s="38"/>
      <c r="E544" s="38"/>
      <c r="F544" s="38"/>
      <c r="G544" s="38"/>
      <c r="H544" s="38"/>
      <c r="I544" s="39"/>
      <c r="J544" s="38"/>
    </row>
    <row r="545" spans="2:10" ht="12.75" customHeight="1" x14ac:dyDescent="0.2">
      <c r="B545" s="37"/>
      <c r="C545" s="37" t="str">
        <f>IF(D545="","",MATCH(D545,Parametros!$B$4:$B$15,0))</f>
        <v/>
      </c>
      <c r="D545" s="38"/>
      <c r="E545" s="38"/>
      <c r="F545" s="38"/>
      <c r="G545" s="38"/>
      <c r="H545" s="38"/>
      <c r="I545" s="39"/>
      <c r="J545" s="38"/>
    </row>
    <row r="546" spans="2:10" ht="12.75" customHeight="1" x14ac:dyDescent="0.2">
      <c r="B546" s="37"/>
      <c r="C546" s="37" t="str">
        <f>IF(D546="","",MATCH(D546,Parametros!$B$4:$B$15,0))</f>
        <v/>
      </c>
      <c r="D546" s="38"/>
      <c r="E546" s="38"/>
      <c r="F546" s="38"/>
      <c r="G546" s="38"/>
      <c r="H546" s="38"/>
      <c r="I546" s="39"/>
      <c r="J546" s="38"/>
    </row>
    <row r="547" spans="2:10" ht="12.75" customHeight="1" x14ac:dyDescent="0.2">
      <c r="B547" s="37"/>
      <c r="C547" s="37" t="str">
        <f>IF(D547="","",MATCH(D547,Parametros!$B$4:$B$15,0))</f>
        <v/>
      </c>
      <c r="D547" s="38"/>
      <c r="E547" s="38"/>
      <c r="F547" s="38"/>
      <c r="G547" s="38"/>
      <c r="H547" s="38"/>
      <c r="I547" s="39"/>
      <c r="J547" s="38"/>
    </row>
    <row r="548" spans="2:10" ht="12.75" customHeight="1" x14ac:dyDescent="0.2">
      <c r="B548" s="37"/>
      <c r="C548" s="37" t="str">
        <f>IF(D548="","",MATCH(D548,Parametros!$B$4:$B$15,0))</f>
        <v/>
      </c>
      <c r="D548" s="38"/>
      <c r="E548" s="38"/>
      <c r="F548" s="38"/>
      <c r="G548" s="38"/>
      <c r="H548" s="38"/>
      <c r="I548" s="39"/>
      <c r="J548" s="38"/>
    </row>
    <row r="549" spans="2:10" ht="12.75" customHeight="1" x14ac:dyDescent="0.2">
      <c r="B549" s="37"/>
      <c r="C549" s="37" t="str">
        <f>IF(D549="","",MATCH(D549,Parametros!$B$4:$B$15,0))</f>
        <v/>
      </c>
      <c r="D549" s="38"/>
      <c r="E549" s="38"/>
      <c r="F549" s="38"/>
      <c r="G549" s="38"/>
      <c r="H549" s="38"/>
      <c r="I549" s="39"/>
      <c r="J549" s="38"/>
    </row>
    <row r="550" spans="2:10" ht="12.75" customHeight="1" x14ac:dyDescent="0.2">
      <c r="B550" s="37"/>
      <c r="C550" s="37" t="str">
        <f>IF(D550="","",MATCH(D550,Parametros!$B$4:$B$15,0))</f>
        <v/>
      </c>
      <c r="D550" s="38"/>
      <c r="E550" s="38"/>
      <c r="F550" s="38"/>
      <c r="G550" s="38"/>
      <c r="H550" s="38"/>
      <c r="I550" s="39"/>
      <c r="J550" s="38"/>
    </row>
    <row r="551" spans="2:10" ht="12.75" customHeight="1" x14ac:dyDescent="0.2">
      <c r="B551" s="37"/>
      <c r="C551" s="37" t="str">
        <f>IF(D551="","",MATCH(D551,Parametros!$B$4:$B$15,0))</f>
        <v/>
      </c>
      <c r="D551" s="38"/>
      <c r="E551" s="38"/>
      <c r="F551" s="38"/>
      <c r="G551" s="38"/>
      <c r="H551" s="38"/>
      <c r="I551" s="39"/>
      <c r="J551" s="38"/>
    </row>
    <row r="552" spans="2:10" ht="12.75" customHeight="1" x14ac:dyDescent="0.2">
      <c r="B552" s="37"/>
      <c r="C552" s="37" t="str">
        <f>IF(D552="","",MATCH(D552,Parametros!$B$4:$B$15,0))</f>
        <v/>
      </c>
      <c r="D552" s="38"/>
      <c r="E552" s="38"/>
      <c r="F552" s="38"/>
      <c r="G552" s="38"/>
      <c r="H552" s="38"/>
      <c r="I552" s="39"/>
      <c r="J552" s="38"/>
    </row>
    <row r="553" spans="2:10" ht="12.75" customHeight="1" x14ac:dyDescent="0.2">
      <c r="B553" s="37"/>
      <c r="C553" s="37" t="str">
        <f>IF(D553="","",MATCH(D553,Parametros!$B$4:$B$15,0))</f>
        <v/>
      </c>
      <c r="D553" s="38"/>
      <c r="E553" s="38"/>
      <c r="F553" s="38"/>
      <c r="G553" s="38"/>
      <c r="H553" s="38"/>
      <c r="I553" s="39"/>
      <c r="J553" s="38"/>
    </row>
    <row r="554" spans="2:10" ht="12.75" customHeight="1" x14ac:dyDescent="0.2">
      <c r="B554" s="37"/>
      <c r="C554" s="37" t="str">
        <f>IF(D554="","",MATCH(D554,Parametros!$B$4:$B$15,0))</f>
        <v/>
      </c>
      <c r="D554" s="38"/>
      <c r="E554" s="38"/>
      <c r="F554" s="38"/>
      <c r="G554" s="38"/>
      <c r="H554" s="38"/>
      <c r="I554" s="39"/>
      <c r="J554" s="38"/>
    </row>
    <row r="555" spans="2:10" ht="12.75" customHeight="1" x14ac:dyDescent="0.2">
      <c r="B555" s="37"/>
      <c r="C555" s="37" t="str">
        <f>IF(D555="","",MATCH(D555,Parametros!$B$4:$B$15,0))</f>
        <v/>
      </c>
      <c r="D555" s="38"/>
      <c r="E555" s="38"/>
      <c r="F555" s="38"/>
      <c r="G555" s="38"/>
      <c r="H555" s="38"/>
      <c r="I555" s="39"/>
      <c r="J555" s="38"/>
    </row>
    <row r="556" spans="2:10" ht="12.75" customHeight="1" x14ac:dyDescent="0.2">
      <c r="B556" s="37"/>
      <c r="C556" s="37" t="str">
        <f>IF(D556="","",MATCH(D556,Parametros!$B$4:$B$15,0))</f>
        <v/>
      </c>
      <c r="D556" s="38"/>
      <c r="E556" s="38"/>
      <c r="F556" s="38"/>
      <c r="G556" s="38"/>
      <c r="H556" s="38"/>
      <c r="I556" s="39"/>
      <c r="J556" s="38"/>
    </row>
    <row r="557" spans="2:10" ht="12.75" customHeight="1" x14ac:dyDescent="0.2">
      <c r="B557" s="37"/>
      <c r="C557" s="37" t="str">
        <f>IF(D557="","",MATCH(D557,Parametros!$B$4:$B$15,0))</f>
        <v/>
      </c>
      <c r="D557" s="38"/>
      <c r="E557" s="38"/>
      <c r="F557" s="38"/>
      <c r="G557" s="38"/>
      <c r="H557" s="38"/>
      <c r="I557" s="39"/>
      <c r="J557" s="38"/>
    </row>
    <row r="558" spans="2:10" ht="12.75" customHeight="1" x14ac:dyDescent="0.2">
      <c r="B558" s="37"/>
      <c r="C558" s="37" t="str">
        <f>IF(D558="","",MATCH(D558,Parametros!$B$4:$B$15,0))</f>
        <v/>
      </c>
      <c r="D558" s="38"/>
      <c r="E558" s="38"/>
      <c r="F558" s="38"/>
      <c r="G558" s="38"/>
      <c r="H558" s="38"/>
      <c r="I558" s="39"/>
      <c r="J558" s="38"/>
    </row>
    <row r="559" spans="2:10" ht="12.75" customHeight="1" x14ac:dyDescent="0.2">
      <c r="B559" s="37"/>
      <c r="C559" s="37" t="str">
        <f>IF(D559="","",MATCH(D559,Parametros!$B$4:$B$15,0))</f>
        <v/>
      </c>
      <c r="D559" s="38"/>
      <c r="E559" s="38"/>
      <c r="F559" s="38"/>
      <c r="G559" s="38"/>
      <c r="H559" s="38"/>
      <c r="I559" s="39"/>
      <c r="J559" s="38"/>
    </row>
    <row r="560" spans="2:10" ht="12.75" customHeight="1" x14ac:dyDescent="0.2">
      <c r="B560" s="37"/>
      <c r="C560" s="37" t="str">
        <f>IF(D560="","",MATCH(D560,Parametros!$B$4:$B$15,0))</f>
        <v/>
      </c>
      <c r="D560" s="38"/>
      <c r="E560" s="38"/>
      <c r="F560" s="38"/>
      <c r="G560" s="38"/>
      <c r="H560" s="38"/>
      <c r="I560" s="39"/>
      <c r="J560" s="38"/>
    </row>
    <row r="561" spans="2:10" ht="12.75" customHeight="1" x14ac:dyDescent="0.2">
      <c r="B561" s="37"/>
      <c r="C561" s="37" t="str">
        <f>IF(D561="","",MATCH(D561,Parametros!$B$4:$B$15,0))</f>
        <v/>
      </c>
      <c r="D561" s="38"/>
      <c r="E561" s="38"/>
      <c r="F561" s="38"/>
      <c r="G561" s="38"/>
      <c r="H561" s="38"/>
      <c r="I561" s="39"/>
      <c r="J561" s="38"/>
    </row>
    <row r="562" spans="2:10" ht="12.75" customHeight="1" x14ac:dyDescent="0.2">
      <c r="B562" s="37"/>
      <c r="C562" s="37" t="str">
        <f>IF(D562="","",MATCH(D562,Parametros!$B$4:$B$15,0))</f>
        <v/>
      </c>
      <c r="D562" s="38"/>
      <c r="E562" s="38"/>
      <c r="F562" s="38"/>
      <c r="G562" s="38"/>
      <c r="H562" s="38"/>
      <c r="I562" s="39"/>
      <c r="J562" s="38"/>
    </row>
    <row r="563" spans="2:10" ht="12.75" customHeight="1" x14ac:dyDescent="0.2">
      <c r="B563" s="37"/>
      <c r="C563" s="37" t="str">
        <f>IF(D563="","",MATCH(D563,Parametros!$B$4:$B$15,0))</f>
        <v/>
      </c>
      <c r="D563" s="38"/>
      <c r="E563" s="38"/>
      <c r="F563" s="38"/>
      <c r="G563" s="38"/>
      <c r="H563" s="38"/>
      <c r="I563" s="39"/>
      <c r="J563" s="38"/>
    </row>
    <row r="564" spans="2:10" ht="12.75" customHeight="1" x14ac:dyDescent="0.2">
      <c r="B564" s="37"/>
      <c r="C564" s="37" t="str">
        <f>IF(D564="","",MATCH(D564,Parametros!$B$4:$B$15,0))</f>
        <v/>
      </c>
      <c r="D564" s="38"/>
      <c r="E564" s="38"/>
      <c r="F564" s="38"/>
      <c r="G564" s="38"/>
      <c r="H564" s="38"/>
      <c r="I564" s="39"/>
      <c r="J564" s="38"/>
    </row>
    <row r="565" spans="2:10" ht="12.75" customHeight="1" x14ac:dyDescent="0.2">
      <c r="B565" s="37"/>
      <c r="C565" s="37" t="str">
        <f>IF(D565="","",MATCH(D565,Parametros!$B$4:$B$15,0))</f>
        <v/>
      </c>
      <c r="D565" s="38"/>
      <c r="E565" s="38"/>
      <c r="F565" s="38"/>
      <c r="G565" s="38"/>
      <c r="H565" s="38"/>
      <c r="I565" s="39"/>
      <c r="J565" s="38"/>
    </row>
    <row r="566" spans="2:10" ht="12.75" customHeight="1" x14ac:dyDescent="0.2">
      <c r="B566" s="37"/>
      <c r="C566" s="37" t="str">
        <f>IF(D566="","",MATCH(D566,Parametros!$B$4:$B$15,0))</f>
        <v/>
      </c>
      <c r="D566" s="38"/>
      <c r="E566" s="38"/>
      <c r="F566" s="38"/>
      <c r="G566" s="38"/>
      <c r="H566" s="38"/>
      <c r="I566" s="39"/>
      <c r="J566" s="38"/>
    </row>
    <row r="567" spans="2:10" ht="12.75" customHeight="1" x14ac:dyDescent="0.2">
      <c r="B567" s="37"/>
      <c r="C567" s="37" t="str">
        <f>IF(D567="","",MATCH(D567,Parametros!$B$4:$B$15,0))</f>
        <v/>
      </c>
      <c r="D567" s="38"/>
      <c r="E567" s="38"/>
      <c r="F567" s="38"/>
      <c r="G567" s="38"/>
      <c r="H567" s="38"/>
      <c r="I567" s="39"/>
      <c r="J567" s="38"/>
    </row>
    <row r="568" spans="2:10" ht="12.75" customHeight="1" x14ac:dyDescent="0.2">
      <c r="B568" s="37"/>
      <c r="C568" s="37" t="str">
        <f>IF(D568="","",MATCH(D568,Parametros!$B$4:$B$15,0))</f>
        <v/>
      </c>
      <c r="D568" s="38"/>
      <c r="E568" s="38"/>
      <c r="F568" s="38"/>
      <c r="G568" s="38"/>
      <c r="H568" s="38"/>
      <c r="I568" s="39"/>
      <c r="J568" s="38"/>
    </row>
    <row r="569" spans="2:10" ht="12.75" customHeight="1" x14ac:dyDescent="0.2">
      <c r="B569" s="37"/>
      <c r="C569" s="37" t="str">
        <f>IF(D569="","",MATCH(D569,Parametros!$B$4:$B$15,0))</f>
        <v/>
      </c>
      <c r="D569" s="38"/>
      <c r="E569" s="38"/>
      <c r="F569" s="38"/>
      <c r="G569" s="38"/>
      <c r="H569" s="38"/>
      <c r="I569" s="39"/>
      <c r="J569" s="38"/>
    </row>
    <row r="570" spans="2:10" ht="12.75" customHeight="1" x14ac:dyDescent="0.2">
      <c r="B570" s="37"/>
      <c r="C570" s="37" t="str">
        <f>IF(D570="","",MATCH(D570,Parametros!$B$4:$B$15,0))</f>
        <v/>
      </c>
      <c r="D570" s="38"/>
      <c r="E570" s="38"/>
      <c r="F570" s="38"/>
      <c r="G570" s="38"/>
      <c r="H570" s="38"/>
      <c r="I570" s="39"/>
      <c r="J570" s="38"/>
    </row>
    <row r="571" spans="2:10" ht="12.75" customHeight="1" x14ac:dyDescent="0.2">
      <c r="B571" s="37"/>
      <c r="C571" s="37" t="str">
        <f>IF(D571="","",MATCH(D571,Parametros!$B$4:$B$15,0))</f>
        <v/>
      </c>
      <c r="D571" s="38"/>
      <c r="E571" s="38"/>
      <c r="F571" s="38"/>
      <c r="G571" s="38"/>
      <c r="H571" s="38"/>
      <c r="I571" s="39"/>
      <c r="J571" s="38"/>
    </row>
    <row r="572" spans="2:10" ht="12.75" customHeight="1" x14ac:dyDescent="0.2">
      <c r="B572" s="37"/>
      <c r="C572" s="37" t="str">
        <f>IF(D572="","",MATCH(D572,Parametros!$B$4:$B$15,0))</f>
        <v/>
      </c>
      <c r="D572" s="38"/>
      <c r="E572" s="38"/>
      <c r="F572" s="38"/>
      <c r="G572" s="38"/>
      <c r="H572" s="38"/>
      <c r="I572" s="39"/>
      <c r="J572" s="38"/>
    </row>
    <row r="573" spans="2:10" ht="12.75" customHeight="1" x14ac:dyDescent="0.2">
      <c r="B573" s="37"/>
      <c r="C573" s="37" t="str">
        <f>IF(D573="","",MATCH(D573,Parametros!$B$4:$B$15,0))</f>
        <v/>
      </c>
      <c r="D573" s="38"/>
      <c r="E573" s="38"/>
      <c r="F573" s="38"/>
      <c r="G573" s="38"/>
      <c r="H573" s="38"/>
      <c r="I573" s="39"/>
      <c r="J573" s="38"/>
    </row>
    <row r="574" spans="2:10" ht="12.75" customHeight="1" x14ac:dyDescent="0.2">
      <c r="B574" s="37"/>
      <c r="C574" s="37" t="str">
        <f>IF(D574="","",MATCH(D574,Parametros!$B$4:$B$15,0))</f>
        <v/>
      </c>
      <c r="D574" s="38"/>
      <c r="E574" s="38"/>
      <c r="F574" s="38"/>
      <c r="G574" s="38"/>
      <c r="H574" s="38"/>
      <c r="I574" s="39"/>
      <c r="J574" s="38"/>
    </row>
    <row r="575" spans="2:10" ht="12.75" customHeight="1" x14ac:dyDescent="0.2">
      <c r="B575" s="37"/>
      <c r="C575" s="37" t="str">
        <f>IF(D575="","",MATCH(D575,Parametros!$B$4:$B$15,0))</f>
        <v/>
      </c>
      <c r="D575" s="38"/>
      <c r="E575" s="38"/>
      <c r="F575" s="38"/>
      <c r="G575" s="38"/>
      <c r="H575" s="38"/>
      <c r="I575" s="39"/>
      <c r="J575" s="38"/>
    </row>
    <row r="576" spans="2:10" ht="12.75" customHeight="1" x14ac:dyDescent="0.2">
      <c r="B576" s="37"/>
      <c r="C576" s="37" t="str">
        <f>IF(D576="","",MATCH(D576,Parametros!$B$4:$B$15,0))</f>
        <v/>
      </c>
      <c r="D576" s="38"/>
      <c r="E576" s="38"/>
      <c r="F576" s="38"/>
      <c r="G576" s="38"/>
      <c r="H576" s="38"/>
      <c r="I576" s="39"/>
      <c r="J576" s="38"/>
    </row>
    <row r="577" spans="2:10" ht="12.75" customHeight="1" x14ac:dyDescent="0.2">
      <c r="B577" s="37"/>
      <c r="C577" s="37" t="str">
        <f>IF(D577="","",MATCH(D577,Parametros!$B$4:$B$15,0))</f>
        <v/>
      </c>
      <c r="D577" s="38"/>
      <c r="E577" s="38"/>
      <c r="F577" s="38"/>
      <c r="G577" s="38"/>
      <c r="H577" s="38"/>
      <c r="I577" s="39"/>
      <c r="J577" s="38"/>
    </row>
    <row r="578" spans="2:10" ht="12.75" customHeight="1" x14ac:dyDescent="0.2">
      <c r="B578" s="37"/>
      <c r="C578" s="37" t="str">
        <f>IF(D578="","",MATCH(D578,Parametros!$B$4:$B$15,0))</f>
        <v/>
      </c>
      <c r="D578" s="38"/>
      <c r="E578" s="38"/>
      <c r="F578" s="38"/>
      <c r="G578" s="38"/>
      <c r="H578" s="38"/>
      <c r="I578" s="39"/>
      <c r="J578" s="38"/>
    </row>
    <row r="579" spans="2:10" ht="12.75" customHeight="1" x14ac:dyDescent="0.2">
      <c r="B579" s="37"/>
      <c r="C579" s="37" t="str">
        <f>IF(D579="","",MATCH(D579,Parametros!$B$4:$B$15,0))</f>
        <v/>
      </c>
      <c r="D579" s="38"/>
      <c r="E579" s="38"/>
      <c r="F579" s="38"/>
      <c r="G579" s="38"/>
      <c r="H579" s="38"/>
      <c r="I579" s="39"/>
      <c r="J579" s="38"/>
    </row>
    <row r="580" spans="2:10" ht="12.75" customHeight="1" x14ac:dyDescent="0.2">
      <c r="B580" s="37"/>
      <c r="C580" s="37" t="str">
        <f>IF(D580="","",MATCH(D580,Parametros!$B$4:$B$15,0))</f>
        <v/>
      </c>
      <c r="D580" s="38"/>
      <c r="E580" s="38"/>
      <c r="F580" s="38"/>
      <c r="G580" s="38"/>
      <c r="H580" s="38"/>
      <c r="I580" s="39"/>
      <c r="J580" s="38"/>
    </row>
    <row r="581" spans="2:10" ht="12.75" customHeight="1" x14ac:dyDescent="0.2">
      <c r="B581" s="37"/>
      <c r="C581" s="37" t="str">
        <f>IF(D581="","",MATCH(D581,Parametros!$B$4:$B$15,0))</f>
        <v/>
      </c>
      <c r="D581" s="38"/>
      <c r="E581" s="38"/>
      <c r="F581" s="38"/>
      <c r="G581" s="38"/>
      <c r="H581" s="38"/>
      <c r="I581" s="39"/>
      <c r="J581" s="38"/>
    </row>
    <row r="582" spans="2:10" ht="12.75" customHeight="1" x14ac:dyDescent="0.2">
      <c r="B582" s="37"/>
      <c r="C582" s="37" t="str">
        <f>IF(D582="","",MATCH(D582,Parametros!$B$4:$B$15,0))</f>
        <v/>
      </c>
      <c r="D582" s="38"/>
      <c r="E582" s="38"/>
      <c r="F582" s="38"/>
      <c r="G582" s="38"/>
      <c r="H582" s="38"/>
      <c r="I582" s="39"/>
      <c r="J582" s="38"/>
    </row>
    <row r="583" spans="2:10" ht="12.75" customHeight="1" x14ac:dyDescent="0.2">
      <c r="B583" s="37"/>
      <c r="C583" s="37" t="str">
        <f>IF(D583="","",MATCH(D583,Parametros!$B$4:$B$15,0))</f>
        <v/>
      </c>
      <c r="D583" s="38"/>
      <c r="E583" s="38"/>
      <c r="F583" s="38"/>
      <c r="G583" s="38"/>
      <c r="H583" s="38"/>
      <c r="I583" s="39"/>
      <c r="J583" s="38"/>
    </row>
    <row r="584" spans="2:10" ht="12.75" customHeight="1" x14ac:dyDescent="0.2">
      <c r="B584" s="37"/>
      <c r="C584" s="37" t="str">
        <f>IF(D584="","",MATCH(D584,Parametros!$B$4:$B$15,0))</f>
        <v/>
      </c>
      <c r="D584" s="38"/>
      <c r="E584" s="38"/>
      <c r="F584" s="38"/>
      <c r="G584" s="38"/>
      <c r="H584" s="38"/>
      <c r="I584" s="39"/>
      <c r="J584" s="38"/>
    </row>
    <row r="585" spans="2:10" ht="12.75" customHeight="1" x14ac:dyDescent="0.2">
      <c r="B585" s="37"/>
      <c r="C585" s="37" t="str">
        <f>IF(D585="","",MATCH(D585,Parametros!$B$4:$B$15,0))</f>
        <v/>
      </c>
      <c r="D585" s="38"/>
      <c r="E585" s="38"/>
      <c r="F585" s="38"/>
      <c r="G585" s="38"/>
      <c r="H585" s="38"/>
      <c r="I585" s="39"/>
      <c r="J585" s="38"/>
    </row>
    <row r="586" spans="2:10" ht="12.75" customHeight="1" x14ac:dyDescent="0.2">
      <c r="B586" s="37"/>
      <c r="C586" s="37" t="str">
        <f>IF(D586="","",MATCH(D586,Parametros!$B$4:$B$15,0))</f>
        <v/>
      </c>
      <c r="D586" s="38"/>
      <c r="E586" s="38"/>
      <c r="F586" s="38"/>
      <c r="G586" s="38"/>
      <c r="H586" s="38"/>
      <c r="I586" s="39"/>
      <c r="J586" s="38"/>
    </row>
    <row r="587" spans="2:10" ht="12.75" customHeight="1" x14ac:dyDescent="0.2">
      <c r="B587" s="37"/>
      <c r="C587" s="37" t="str">
        <f>IF(D587="","",MATCH(D587,Parametros!$B$4:$B$15,0))</f>
        <v/>
      </c>
      <c r="D587" s="38"/>
      <c r="E587" s="38"/>
      <c r="F587" s="38"/>
      <c r="G587" s="38"/>
      <c r="H587" s="38"/>
      <c r="I587" s="39"/>
      <c r="J587" s="38"/>
    </row>
    <row r="588" spans="2:10" ht="12.75" customHeight="1" x14ac:dyDescent="0.2">
      <c r="B588" s="37"/>
      <c r="C588" s="37" t="str">
        <f>IF(D588="","",MATCH(D588,Parametros!$B$4:$B$15,0))</f>
        <v/>
      </c>
      <c r="D588" s="38"/>
      <c r="E588" s="38"/>
      <c r="F588" s="38"/>
      <c r="G588" s="38"/>
      <c r="H588" s="38"/>
      <c r="I588" s="39"/>
      <c r="J588" s="38"/>
    </row>
    <row r="589" spans="2:10" ht="12.75" customHeight="1" x14ac:dyDescent="0.2">
      <c r="B589" s="37"/>
      <c r="C589" s="37" t="str">
        <f>IF(D589="","",MATCH(D589,Parametros!$B$4:$B$15,0))</f>
        <v/>
      </c>
      <c r="D589" s="38"/>
      <c r="E589" s="38"/>
      <c r="F589" s="38"/>
      <c r="G589" s="38"/>
      <c r="H589" s="38"/>
      <c r="I589" s="39"/>
      <c r="J589" s="38"/>
    </row>
    <row r="590" spans="2:10" ht="12.75" customHeight="1" x14ac:dyDescent="0.2">
      <c r="B590" s="37"/>
      <c r="C590" s="37" t="str">
        <f>IF(D590="","",MATCH(D590,Parametros!$B$4:$B$15,0))</f>
        <v/>
      </c>
      <c r="D590" s="38"/>
      <c r="E590" s="38"/>
      <c r="F590" s="38"/>
      <c r="G590" s="38"/>
      <c r="H590" s="38"/>
      <c r="I590" s="39"/>
      <c r="J590" s="38"/>
    </row>
    <row r="591" spans="2:10" ht="12.75" customHeight="1" x14ac:dyDescent="0.2">
      <c r="B591" s="37"/>
      <c r="C591" s="37" t="str">
        <f>IF(D591="","",MATCH(D591,Parametros!$B$4:$B$15,0))</f>
        <v/>
      </c>
      <c r="D591" s="38"/>
      <c r="E591" s="38"/>
      <c r="F591" s="38"/>
      <c r="G591" s="38"/>
      <c r="H591" s="38"/>
      <c r="I591" s="39"/>
      <c r="J591" s="38"/>
    </row>
    <row r="592" spans="2:10" ht="12.75" customHeight="1" x14ac:dyDescent="0.2">
      <c r="B592" s="37"/>
      <c r="C592" s="37" t="str">
        <f>IF(D592="","",MATCH(D592,Parametros!$B$4:$B$15,0))</f>
        <v/>
      </c>
      <c r="D592" s="38"/>
      <c r="E592" s="38"/>
      <c r="F592" s="38"/>
      <c r="G592" s="38"/>
      <c r="H592" s="38"/>
      <c r="I592" s="39"/>
      <c r="J592" s="38"/>
    </row>
    <row r="593" spans="2:10" ht="12.75" customHeight="1" x14ac:dyDescent="0.2">
      <c r="B593" s="37"/>
      <c r="C593" s="37" t="str">
        <f>IF(D593="","",MATCH(D593,Parametros!$B$4:$B$15,0))</f>
        <v/>
      </c>
      <c r="D593" s="38"/>
      <c r="E593" s="38"/>
      <c r="F593" s="38"/>
      <c r="G593" s="38"/>
      <c r="H593" s="38"/>
      <c r="I593" s="39"/>
      <c r="J593" s="38"/>
    </row>
    <row r="594" spans="2:10" ht="12.75" customHeight="1" x14ac:dyDescent="0.2">
      <c r="B594" s="37"/>
      <c r="C594" s="37" t="str">
        <f>IF(D594="","",MATCH(D594,Parametros!$B$4:$B$15,0))</f>
        <v/>
      </c>
      <c r="D594" s="38"/>
      <c r="E594" s="38"/>
      <c r="F594" s="38"/>
      <c r="G594" s="38"/>
      <c r="H594" s="38"/>
      <c r="I594" s="39"/>
      <c r="J594" s="38"/>
    </row>
    <row r="595" spans="2:10" ht="12.75" customHeight="1" x14ac:dyDescent="0.2">
      <c r="B595" s="37"/>
      <c r="C595" s="37" t="str">
        <f>IF(D595="","",MATCH(D595,Parametros!$B$4:$B$15,0))</f>
        <v/>
      </c>
      <c r="D595" s="38"/>
      <c r="E595" s="38"/>
      <c r="F595" s="38"/>
      <c r="G595" s="38"/>
      <c r="H595" s="38"/>
      <c r="I595" s="39"/>
      <c r="J595" s="38"/>
    </row>
    <row r="596" spans="2:10" ht="12.75" customHeight="1" x14ac:dyDescent="0.2">
      <c r="B596" s="37"/>
      <c r="C596" s="37" t="str">
        <f>IF(D596="","",MATCH(D596,Parametros!$B$4:$B$15,0))</f>
        <v/>
      </c>
      <c r="D596" s="38"/>
      <c r="E596" s="38"/>
      <c r="F596" s="38"/>
      <c r="G596" s="38"/>
      <c r="H596" s="38"/>
      <c r="I596" s="39"/>
      <c r="J596" s="38"/>
    </row>
    <row r="597" spans="2:10" ht="12.75" customHeight="1" x14ac:dyDescent="0.2">
      <c r="B597" s="37"/>
      <c r="C597" s="37" t="str">
        <f>IF(D597="","",MATCH(D597,Parametros!$B$4:$B$15,0))</f>
        <v/>
      </c>
      <c r="D597" s="38"/>
      <c r="E597" s="38"/>
      <c r="F597" s="38"/>
      <c r="G597" s="38"/>
      <c r="H597" s="38"/>
      <c r="I597" s="39"/>
      <c r="J597" s="38"/>
    </row>
    <row r="598" spans="2:10" ht="12.75" customHeight="1" x14ac:dyDescent="0.2">
      <c r="B598" s="37"/>
      <c r="C598" s="37" t="str">
        <f>IF(D598="","",MATCH(D598,Parametros!$B$4:$B$15,0))</f>
        <v/>
      </c>
      <c r="D598" s="38"/>
      <c r="E598" s="38"/>
      <c r="F598" s="38"/>
      <c r="G598" s="38"/>
      <c r="H598" s="38"/>
      <c r="I598" s="39"/>
      <c r="J598" s="38"/>
    </row>
    <row r="599" spans="2:10" ht="12.75" customHeight="1" x14ac:dyDescent="0.2">
      <c r="B599" s="37"/>
      <c r="C599" s="37" t="str">
        <f>IF(D599="","",MATCH(D599,Parametros!$B$4:$B$15,0))</f>
        <v/>
      </c>
      <c r="D599" s="38"/>
      <c r="E599" s="38"/>
      <c r="F599" s="38"/>
      <c r="G599" s="38"/>
      <c r="H599" s="38"/>
      <c r="I599" s="39"/>
      <c r="J599" s="38"/>
    </row>
    <row r="600" spans="2:10" ht="12.75" customHeight="1" x14ac:dyDescent="0.2">
      <c r="B600" s="37"/>
      <c r="C600" s="37" t="str">
        <f>IF(D600="","",MATCH(D600,Parametros!$B$4:$B$15,0))</f>
        <v/>
      </c>
      <c r="D600" s="38"/>
      <c r="E600" s="38"/>
      <c r="F600" s="38"/>
      <c r="G600" s="38"/>
      <c r="H600" s="38"/>
      <c r="I600" s="39"/>
      <c r="J600" s="38"/>
    </row>
    <row r="601" spans="2:10" ht="12.75" customHeight="1" x14ac:dyDescent="0.2">
      <c r="B601" s="37"/>
      <c r="C601" s="37" t="str">
        <f>IF(D601="","",MATCH(D601,Parametros!$B$4:$B$15,0))</f>
        <v/>
      </c>
      <c r="D601" s="38"/>
      <c r="E601" s="38"/>
      <c r="F601" s="38"/>
      <c r="G601" s="38"/>
      <c r="H601" s="38"/>
      <c r="I601" s="39"/>
      <c r="J601" s="38"/>
    </row>
    <row r="602" spans="2:10" ht="12.75" customHeight="1" x14ac:dyDescent="0.2">
      <c r="B602" s="37"/>
      <c r="C602" s="37" t="str">
        <f>IF(D602="","",MATCH(D602,Parametros!$B$4:$B$15,0))</f>
        <v/>
      </c>
      <c r="D602" s="38"/>
      <c r="E602" s="38"/>
      <c r="F602" s="38"/>
      <c r="G602" s="38"/>
      <c r="H602" s="38"/>
      <c r="I602" s="39"/>
      <c r="J602" s="38"/>
    </row>
    <row r="603" spans="2:10" ht="12.75" customHeight="1" x14ac:dyDescent="0.2">
      <c r="B603" s="37"/>
      <c r="C603" s="37" t="str">
        <f>IF(D603="","",MATCH(D603,Parametros!$B$4:$B$15,0))</f>
        <v/>
      </c>
      <c r="D603" s="38"/>
      <c r="E603" s="38"/>
      <c r="F603" s="38"/>
      <c r="G603" s="38"/>
      <c r="H603" s="38"/>
      <c r="I603" s="39"/>
      <c r="J603" s="38"/>
    </row>
    <row r="604" spans="2:10" ht="12.75" customHeight="1" x14ac:dyDescent="0.2">
      <c r="B604" s="37"/>
      <c r="C604" s="37" t="str">
        <f>IF(D604="","",MATCH(D604,Parametros!$B$4:$B$15,0))</f>
        <v/>
      </c>
      <c r="D604" s="38"/>
      <c r="E604" s="38"/>
      <c r="F604" s="38"/>
      <c r="G604" s="38"/>
      <c r="H604" s="38"/>
      <c r="I604" s="39"/>
      <c r="J604" s="38"/>
    </row>
    <row r="605" spans="2:10" ht="12.75" customHeight="1" x14ac:dyDescent="0.2">
      <c r="B605" s="37"/>
      <c r="C605" s="37" t="str">
        <f>IF(D605="","",MATCH(D605,Parametros!$B$4:$B$15,0))</f>
        <v/>
      </c>
      <c r="D605" s="38"/>
      <c r="E605" s="38"/>
      <c r="F605" s="38"/>
      <c r="G605" s="38"/>
      <c r="H605" s="38"/>
      <c r="I605" s="39"/>
      <c r="J605" s="38"/>
    </row>
    <row r="606" spans="2:10" ht="12.75" customHeight="1" x14ac:dyDescent="0.2">
      <c r="B606" s="37"/>
      <c r="C606" s="37" t="str">
        <f>IF(D606="","",MATCH(D606,Parametros!$B$4:$B$15,0))</f>
        <v/>
      </c>
      <c r="D606" s="38"/>
      <c r="E606" s="38"/>
      <c r="F606" s="38"/>
      <c r="G606" s="38"/>
      <c r="H606" s="38"/>
      <c r="I606" s="39"/>
      <c r="J606" s="38"/>
    </row>
    <row r="607" spans="2:10" ht="12.75" customHeight="1" x14ac:dyDescent="0.2">
      <c r="B607" s="37"/>
      <c r="C607" s="37" t="str">
        <f>IF(D607="","",MATCH(D607,Parametros!$B$4:$B$15,0))</f>
        <v/>
      </c>
      <c r="D607" s="38"/>
      <c r="E607" s="38"/>
      <c r="F607" s="38"/>
      <c r="G607" s="38"/>
      <c r="H607" s="38"/>
      <c r="I607" s="39"/>
      <c r="J607" s="38"/>
    </row>
    <row r="608" spans="2:10" ht="12.75" customHeight="1" x14ac:dyDescent="0.2">
      <c r="B608" s="37"/>
      <c r="C608" s="37" t="str">
        <f>IF(D608="","",MATCH(D608,Parametros!$B$4:$B$15,0))</f>
        <v/>
      </c>
      <c r="D608" s="38"/>
      <c r="E608" s="38"/>
      <c r="F608" s="38"/>
      <c r="G608" s="38"/>
      <c r="H608" s="38"/>
      <c r="I608" s="39"/>
      <c r="J608" s="38"/>
    </row>
    <row r="609" spans="2:10" ht="12.75" customHeight="1" x14ac:dyDescent="0.2">
      <c r="B609" s="37"/>
      <c r="C609" s="37" t="str">
        <f>IF(D609="","",MATCH(D609,Parametros!$B$4:$B$15,0))</f>
        <v/>
      </c>
      <c r="D609" s="38"/>
      <c r="E609" s="38"/>
      <c r="F609" s="38"/>
      <c r="G609" s="38"/>
      <c r="H609" s="38"/>
      <c r="I609" s="39"/>
      <c r="J609" s="38"/>
    </row>
    <row r="610" spans="2:10" ht="12.75" customHeight="1" x14ac:dyDescent="0.2">
      <c r="B610" s="37"/>
      <c r="C610" s="37" t="str">
        <f>IF(D610="","",MATCH(D610,Parametros!$B$4:$B$15,0))</f>
        <v/>
      </c>
      <c r="D610" s="38"/>
      <c r="E610" s="38"/>
      <c r="F610" s="38"/>
      <c r="G610" s="38"/>
      <c r="H610" s="38"/>
      <c r="I610" s="39"/>
      <c r="J610" s="38"/>
    </row>
    <row r="611" spans="2:10" ht="12.75" customHeight="1" x14ac:dyDescent="0.2">
      <c r="B611" s="37"/>
      <c r="C611" s="37" t="str">
        <f>IF(D611="","",MATCH(D611,Parametros!$B$4:$B$15,0))</f>
        <v/>
      </c>
      <c r="D611" s="38"/>
      <c r="E611" s="38"/>
      <c r="F611" s="38"/>
      <c r="G611" s="38"/>
      <c r="H611" s="38"/>
      <c r="I611" s="39"/>
      <c r="J611" s="38"/>
    </row>
    <row r="612" spans="2:10" ht="12.75" customHeight="1" x14ac:dyDescent="0.2">
      <c r="B612" s="37"/>
      <c r="C612" s="37" t="str">
        <f>IF(D612="","",MATCH(D612,Parametros!$B$4:$B$15,0))</f>
        <v/>
      </c>
      <c r="D612" s="38"/>
      <c r="E612" s="38"/>
      <c r="F612" s="38"/>
      <c r="G612" s="38"/>
      <c r="H612" s="38"/>
      <c r="I612" s="39"/>
      <c r="J612" s="38"/>
    </row>
    <row r="613" spans="2:10" ht="12.75" customHeight="1" x14ac:dyDescent="0.2">
      <c r="B613" s="37"/>
      <c r="C613" s="37" t="str">
        <f>IF(D613="","",MATCH(D613,Parametros!$B$4:$B$15,0))</f>
        <v/>
      </c>
      <c r="D613" s="38"/>
      <c r="E613" s="38"/>
      <c r="F613" s="38"/>
      <c r="G613" s="38"/>
      <c r="H613" s="38"/>
      <c r="I613" s="39"/>
      <c r="J613" s="38"/>
    </row>
    <row r="614" spans="2:10" ht="12.75" customHeight="1" x14ac:dyDescent="0.2">
      <c r="B614" s="37"/>
      <c r="C614" s="37" t="str">
        <f>IF(D614="","",MATCH(D614,Parametros!$B$4:$B$15,0))</f>
        <v/>
      </c>
      <c r="D614" s="38"/>
      <c r="E614" s="38"/>
      <c r="F614" s="38"/>
      <c r="G614" s="38"/>
      <c r="H614" s="38"/>
      <c r="I614" s="39"/>
      <c r="J614" s="38"/>
    </row>
    <row r="615" spans="2:10" ht="12.75" customHeight="1" x14ac:dyDescent="0.2">
      <c r="B615" s="37"/>
      <c r="C615" s="37" t="str">
        <f>IF(D615="","",MATCH(D615,Parametros!$B$4:$B$15,0))</f>
        <v/>
      </c>
      <c r="D615" s="38"/>
      <c r="E615" s="38"/>
      <c r="F615" s="38"/>
      <c r="G615" s="38"/>
      <c r="H615" s="38"/>
      <c r="I615" s="39"/>
      <c r="J615" s="38"/>
    </row>
    <row r="616" spans="2:10" ht="12.75" customHeight="1" x14ac:dyDescent="0.2">
      <c r="B616" s="37"/>
      <c r="C616" s="37" t="str">
        <f>IF(D616="","",MATCH(D616,Parametros!$B$4:$B$15,0))</f>
        <v/>
      </c>
      <c r="D616" s="38"/>
      <c r="E616" s="38"/>
      <c r="F616" s="38"/>
      <c r="G616" s="38"/>
      <c r="H616" s="38"/>
      <c r="I616" s="39"/>
      <c r="J616" s="38"/>
    </row>
    <row r="617" spans="2:10" ht="12.75" customHeight="1" x14ac:dyDescent="0.2">
      <c r="B617" s="37"/>
      <c r="C617" s="37" t="str">
        <f>IF(D617="","",MATCH(D617,Parametros!$B$4:$B$15,0))</f>
        <v/>
      </c>
      <c r="D617" s="38"/>
      <c r="E617" s="38"/>
      <c r="F617" s="38"/>
      <c r="G617" s="38"/>
      <c r="H617" s="38"/>
      <c r="I617" s="39"/>
      <c r="J617" s="38"/>
    </row>
    <row r="618" spans="2:10" ht="12.75" customHeight="1" x14ac:dyDescent="0.2">
      <c r="B618" s="37"/>
      <c r="C618" s="37" t="str">
        <f>IF(D618="","",MATCH(D618,Parametros!$B$4:$B$15,0))</f>
        <v/>
      </c>
      <c r="D618" s="38"/>
      <c r="E618" s="38"/>
      <c r="F618" s="38"/>
      <c r="G618" s="38"/>
      <c r="H618" s="38"/>
      <c r="I618" s="39"/>
      <c r="J618" s="38"/>
    </row>
    <row r="619" spans="2:10" ht="12.75" customHeight="1" x14ac:dyDescent="0.2">
      <c r="B619" s="37"/>
      <c r="C619" s="37" t="str">
        <f>IF(D619="","",MATCH(D619,Parametros!$B$4:$B$15,0))</f>
        <v/>
      </c>
      <c r="D619" s="38"/>
      <c r="E619" s="38"/>
      <c r="F619" s="38"/>
      <c r="G619" s="38"/>
      <c r="H619" s="38"/>
      <c r="I619" s="39"/>
      <c r="J619" s="38"/>
    </row>
    <row r="620" spans="2:10" ht="12.75" customHeight="1" x14ac:dyDescent="0.2">
      <c r="B620" s="37"/>
      <c r="C620" s="37" t="str">
        <f>IF(D620="","",MATCH(D620,Parametros!$B$4:$B$15,0))</f>
        <v/>
      </c>
      <c r="D620" s="38"/>
      <c r="E620" s="38"/>
      <c r="F620" s="38"/>
      <c r="G620" s="38"/>
      <c r="H620" s="38"/>
      <c r="I620" s="39"/>
      <c r="J620" s="38"/>
    </row>
    <row r="621" spans="2:10" ht="12.75" customHeight="1" x14ac:dyDescent="0.2">
      <c r="B621" s="37"/>
      <c r="C621" s="37" t="str">
        <f>IF(D621="","",MATCH(D621,Parametros!$B$4:$B$15,0))</f>
        <v/>
      </c>
      <c r="D621" s="38"/>
      <c r="E621" s="38"/>
      <c r="F621" s="38"/>
      <c r="G621" s="38"/>
      <c r="H621" s="38"/>
      <c r="I621" s="39"/>
      <c r="J621" s="38"/>
    </row>
    <row r="622" spans="2:10" ht="12.75" customHeight="1" x14ac:dyDescent="0.2">
      <c r="B622" s="37"/>
      <c r="C622" s="37" t="str">
        <f>IF(D622="","",MATCH(D622,Parametros!$B$4:$B$15,0))</f>
        <v/>
      </c>
      <c r="D622" s="38"/>
      <c r="E622" s="38"/>
      <c r="F622" s="38"/>
      <c r="G622" s="38"/>
      <c r="H622" s="38"/>
      <c r="I622" s="39"/>
      <c r="J622" s="38"/>
    </row>
    <row r="623" spans="2:10" ht="12.75" customHeight="1" x14ac:dyDescent="0.2">
      <c r="B623" s="37"/>
      <c r="C623" s="37" t="str">
        <f>IF(D623="","",MATCH(D623,Parametros!$B$4:$B$15,0))</f>
        <v/>
      </c>
      <c r="D623" s="38"/>
      <c r="E623" s="38"/>
      <c r="F623" s="38"/>
      <c r="G623" s="38"/>
      <c r="H623" s="38"/>
      <c r="I623" s="39"/>
      <c r="J623" s="38"/>
    </row>
    <row r="624" spans="2:10" ht="12.75" customHeight="1" x14ac:dyDescent="0.2">
      <c r="B624" s="37"/>
      <c r="C624" s="37" t="str">
        <f>IF(D624="","",MATCH(D624,Parametros!$B$4:$B$15,0))</f>
        <v/>
      </c>
      <c r="D624" s="38"/>
      <c r="E624" s="38"/>
      <c r="F624" s="38"/>
      <c r="G624" s="38"/>
      <c r="H624" s="38"/>
      <c r="I624" s="39"/>
      <c r="J624" s="38"/>
    </row>
    <row r="625" spans="2:10" ht="12.75" customHeight="1" x14ac:dyDescent="0.2">
      <c r="B625" s="37"/>
      <c r="C625" s="37" t="str">
        <f>IF(D625="","",MATCH(D625,Parametros!$B$4:$B$15,0))</f>
        <v/>
      </c>
      <c r="D625" s="38"/>
      <c r="E625" s="38"/>
      <c r="F625" s="38"/>
      <c r="G625" s="38"/>
      <c r="H625" s="38"/>
      <c r="I625" s="39"/>
      <c r="J625" s="38"/>
    </row>
    <row r="626" spans="2:10" ht="12.75" customHeight="1" x14ac:dyDescent="0.2">
      <c r="B626" s="37"/>
      <c r="C626" s="37" t="str">
        <f>IF(D626="","",MATCH(D626,Parametros!$B$4:$B$15,0))</f>
        <v/>
      </c>
      <c r="D626" s="38"/>
      <c r="E626" s="38"/>
      <c r="F626" s="38"/>
      <c r="G626" s="38"/>
      <c r="H626" s="38"/>
      <c r="I626" s="39"/>
      <c r="J626" s="38"/>
    </row>
    <row r="627" spans="2:10" ht="12.75" customHeight="1" x14ac:dyDescent="0.2">
      <c r="B627" s="37"/>
      <c r="C627" s="37" t="str">
        <f>IF(D627="","",MATCH(D627,Parametros!$B$4:$B$15,0))</f>
        <v/>
      </c>
      <c r="D627" s="38"/>
      <c r="E627" s="38"/>
      <c r="F627" s="38"/>
      <c r="G627" s="38"/>
      <c r="H627" s="38"/>
      <c r="I627" s="39"/>
      <c r="J627" s="38"/>
    </row>
    <row r="628" spans="2:10" ht="12.75" customHeight="1" x14ac:dyDescent="0.2">
      <c r="B628" s="37"/>
      <c r="C628" s="37" t="str">
        <f>IF(D628="","",MATCH(D628,Parametros!$B$4:$B$15,0))</f>
        <v/>
      </c>
      <c r="D628" s="38"/>
      <c r="E628" s="38"/>
      <c r="F628" s="38"/>
      <c r="G628" s="38"/>
      <c r="H628" s="38"/>
      <c r="I628" s="39"/>
      <c r="J628" s="38"/>
    </row>
    <row r="629" spans="2:10" ht="12.75" customHeight="1" x14ac:dyDescent="0.2">
      <c r="B629" s="37"/>
      <c r="C629" s="37" t="str">
        <f>IF(D629="","",MATCH(D629,Parametros!$B$4:$B$15,0))</f>
        <v/>
      </c>
      <c r="D629" s="38"/>
      <c r="E629" s="38"/>
      <c r="F629" s="38"/>
      <c r="G629" s="38"/>
      <c r="H629" s="38"/>
      <c r="I629" s="39"/>
      <c r="J629" s="38"/>
    </row>
    <row r="630" spans="2:10" ht="12.75" customHeight="1" x14ac:dyDescent="0.2">
      <c r="B630" s="37"/>
      <c r="C630" s="37" t="str">
        <f>IF(D630="","",MATCH(D630,Parametros!$B$4:$B$15,0))</f>
        <v/>
      </c>
      <c r="D630" s="38"/>
      <c r="E630" s="38"/>
      <c r="F630" s="38"/>
      <c r="G630" s="38"/>
      <c r="H630" s="38"/>
      <c r="I630" s="39"/>
      <c r="J630" s="38"/>
    </row>
    <row r="631" spans="2:10" ht="12.75" customHeight="1" x14ac:dyDescent="0.2">
      <c r="B631" s="37"/>
      <c r="C631" s="37" t="str">
        <f>IF(D631="","",MATCH(D631,Parametros!$B$4:$B$15,0))</f>
        <v/>
      </c>
      <c r="D631" s="38"/>
      <c r="E631" s="38"/>
      <c r="F631" s="38"/>
      <c r="G631" s="38"/>
      <c r="H631" s="38"/>
      <c r="I631" s="39"/>
      <c r="J631" s="38"/>
    </row>
    <row r="632" spans="2:10" ht="12.75" customHeight="1" x14ac:dyDescent="0.2">
      <c r="B632" s="37"/>
      <c r="C632" s="37" t="str">
        <f>IF(D632="","",MATCH(D632,Parametros!$B$4:$B$15,0))</f>
        <v/>
      </c>
      <c r="D632" s="38"/>
      <c r="E632" s="38"/>
      <c r="F632" s="38"/>
      <c r="G632" s="38"/>
      <c r="H632" s="38"/>
      <c r="I632" s="39"/>
      <c r="J632" s="38"/>
    </row>
    <row r="633" spans="2:10" ht="12.75" customHeight="1" x14ac:dyDescent="0.2">
      <c r="B633" s="37"/>
      <c r="C633" s="37" t="str">
        <f>IF(D633="","",MATCH(D633,Parametros!$B$4:$B$15,0))</f>
        <v/>
      </c>
      <c r="D633" s="38"/>
      <c r="E633" s="38"/>
      <c r="F633" s="38"/>
      <c r="G633" s="38"/>
      <c r="H633" s="38"/>
      <c r="I633" s="39"/>
      <c r="J633" s="38"/>
    </row>
    <row r="634" spans="2:10" ht="12.75" customHeight="1" x14ac:dyDescent="0.2">
      <c r="B634" s="37"/>
      <c r="C634" s="37" t="str">
        <f>IF(D634="","",MATCH(D634,Parametros!$B$4:$B$15,0))</f>
        <v/>
      </c>
      <c r="D634" s="38"/>
      <c r="E634" s="38"/>
      <c r="F634" s="38"/>
      <c r="G634" s="38"/>
      <c r="H634" s="38"/>
      <c r="I634" s="39"/>
      <c r="J634" s="38"/>
    </row>
    <row r="635" spans="2:10" ht="12.75" customHeight="1" x14ac:dyDescent="0.2">
      <c r="B635" s="37"/>
      <c r="C635" s="37" t="str">
        <f>IF(D635="","",MATCH(D635,Parametros!$B$4:$B$15,0))</f>
        <v/>
      </c>
      <c r="D635" s="38"/>
      <c r="E635" s="38"/>
      <c r="F635" s="38"/>
      <c r="G635" s="38"/>
      <c r="H635" s="38"/>
      <c r="I635" s="39"/>
      <c r="J635" s="38"/>
    </row>
    <row r="636" spans="2:10" ht="12.75" customHeight="1" x14ac:dyDescent="0.2">
      <c r="B636" s="37"/>
      <c r="C636" s="37" t="str">
        <f>IF(D636="","",MATCH(D636,Parametros!$B$4:$B$15,0))</f>
        <v/>
      </c>
      <c r="D636" s="38"/>
      <c r="E636" s="38"/>
      <c r="F636" s="38"/>
      <c r="G636" s="38"/>
      <c r="H636" s="38"/>
      <c r="I636" s="39"/>
      <c r="J636" s="38"/>
    </row>
    <row r="637" spans="2:10" ht="12.75" customHeight="1" x14ac:dyDescent="0.2">
      <c r="B637" s="37"/>
      <c r="C637" s="37" t="str">
        <f>IF(D637="","",MATCH(D637,Parametros!$B$4:$B$15,0))</f>
        <v/>
      </c>
      <c r="D637" s="38"/>
      <c r="E637" s="38"/>
      <c r="F637" s="38"/>
      <c r="G637" s="38"/>
      <c r="H637" s="38"/>
      <c r="I637" s="39"/>
      <c r="J637" s="38"/>
    </row>
    <row r="638" spans="2:10" ht="12.75" customHeight="1" x14ac:dyDescent="0.2">
      <c r="B638" s="37"/>
      <c r="C638" s="37" t="str">
        <f>IF(D638="","",MATCH(D638,Parametros!$B$4:$B$15,0))</f>
        <v/>
      </c>
      <c r="D638" s="38"/>
      <c r="E638" s="38"/>
      <c r="F638" s="38"/>
      <c r="G638" s="38"/>
      <c r="H638" s="38"/>
      <c r="I638" s="39"/>
      <c r="J638" s="38"/>
    </row>
    <row r="639" spans="2:10" ht="12.75" customHeight="1" x14ac:dyDescent="0.2">
      <c r="B639" s="37"/>
      <c r="C639" s="37" t="str">
        <f>IF(D639="","",MATCH(D639,Parametros!$B$4:$B$15,0))</f>
        <v/>
      </c>
      <c r="D639" s="38"/>
      <c r="E639" s="38"/>
      <c r="F639" s="38"/>
      <c r="G639" s="38"/>
      <c r="H639" s="38"/>
      <c r="I639" s="39"/>
      <c r="J639" s="38"/>
    </row>
    <row r="640" spans="2:10" ht="12.75" customHeight="1" x14ac:dyDescent="0.2">
      <c r="B640" s="37"/>
      <c r="C640" s="37" t="str">
        <f>IF(D640="","",MATCH(D640,Parametros!$B$4:$B$15,0))</f>
        <v/>
      </c>
      <c r="D640" s="38"/>
      <c r="E640" s="38"/>
      <c r="F640" s="38"/>
      <c r="G640" s="38"/>
      <c r="H640" s="38"/>
      <c r="I640" s="39"/>
      <c r="J640" s="38"/>
    </row>
    <row r="641" spans="2:10" ht="12.75" customHeight="1" x14ac:dyDescent="0.2">
      <c r="B641" s="37"/>
      <c r="C641" s="37" t="str">
        <f>IF(D641="","",MATCH(D641,Parametros!$B$4:$B$15,0))</f>
        <v/>
      </c>
      <c r="D641" s="38"/>
      <c r="E641" s="38"/>
      <c r="F641" s="38"/>
      <c r="G641" s="38"/>
      <c r="H641" s="38"/>
      <c r="I641" s="39"/>
      <c r="J641" s="38"/>
    </row>
    <row r="642" spans="2:10" ht="12.75" customHeight="1" x14ac:dyDescent="0.2">
      <c r="B642" s="37"/>
      <c r="C642" s="37" t="str">
        <f>IF(D642="","",MATCH(D642,Parametros!$B$4:$B$15,0))</f>
        <v/>
      </c>
      <c r="D642" s="38"/>
      <c r="E642" s="38"/>
      <c r="F642" s="38"/>
      <c r="G642" s="38"/>
      <c r="H642" s="38"/>
      <c r="I642" s="39"/>
      <c r="J642" s="38"/>
    </row>
    <row r="643" spans="2:10" ht="12.75" customHeight="1" x14ac:dyDescent="0.2">
      <c r="B643" s="37"/>
      <c r="C643" s="37" t="str">
        <f>IF(D643="","",MATCH(D643,Parametros!$B$4:$B$15,0))</f>
        <v/>
      </c>
      <c r="D643" s="38"/>
      <c r="E643" s="38"/>
      <c r="F643" s="38"/>
      <c r="G643" s="38"/>
      <c r="H643" s="38"/>
      <c r="I643" s="39"/>
      <c r="J643" s="38"/>
    </row>
    <row r="644" spans="2:10" ht="12.75" customHeight="1" x14ac:dyDescent="0.2">
      <c r="B644" s="37"/>
      <c r="C644" s="37" t="str">
        <f>IF(D644="","",MATCH(D644,Parametros!$B$4:$B$15,0))</f>
        <v/>
      </c>
      <c r="D644" s="38"/>
      <c r="E644" s="38"/>
      <c r="F644" s="38"/>
      <c r="G644" s="38"/>
      <c r="H644" s="38"/>
      <c r="I644" s="39"/>
      <c r="J644" s="38"/>
    </row>
    <row r="645" spans="2:10" ht="12.75" customHeight="1" x14ac:dyDescent="0.2">
      <c r="B645" s="37"/>
      <c r="C645" s="37" t="str">
        <f>IF(D645="","",MATCH(D645,Parametros!$B$4:$B$15,0))</f>
        <v/>
      </c>
      <c r="D645" s="38"/>
      <c r="E645" s="38"/>
      <c r="F645" s="38"/>
      <c r="G645" s="38"/>
      <c r="H645" s="38"/>
      <c r="I645" s="39"/>
      <c r="J645" s="38"/>
    </row>
    <row r="646" spans="2:10" ht="12.75" customHeight="1" x14ac:dyDescent="0.2">
      <c r="B646" s="37"/>
      <c r="C646" s="37" t="str">
        <f>IF(D646="","",MATCH(D646,Parametros!$B$4:$B$15,0))</f>
        <v/>
      </c>
      <c r="D646" s="38"/>
      <c r="E646" s="38"/>
      <c r="F646" s="38"/>
      <c r="G646" s="38"/>
      <c r="H646" s="38"/>
      <c r="I646" s="39"/>
      <c r="J646" s="38"/>
    </row>
    <row r="647" spans="2:10" ht="12.75" customHeight="1" x14ac:dyDescent="0.2">
      <c r="B647" s="37"/>
      <c r="C647" s="37" t="str">
        <f>IF(D647="","",MATCH(D647,Parametros!$B$4:$B$15,0))</f>
        <v/>
      </c>
      <c r="D647" s="38"/>
      <c r="E647" s="38"/>
      <c r="F647" s="38"/>
      <c r="G647" s="38"/>
      <c r="H647" s="38"/>
      <c r="I647" s="39"/>
      <c r="J647" s="38"/>
    </row>
    <row r="648" spans="2:10" ht="12.75" customHeight="1" x14ac:dyDescent="0.2">
      <c r="B648" s="37"/>
      <c r="C648" s="37" t="str">
        <f>IF(D648="","",MATCH(D648,Parametros!$B$4:$B$15,0))</f>
        <v/>
      </c>
      <c r="D648" s="38"/>
      <c r="E648" s="38"/>
      <c r="F648" s="38"/>
      <c r="G648" s="38"/>
      <c r="H648" s="38"/>
      <c r="I648" s="39"/>
      <c r="J648" s="38"/>
    </row>
    <row r="649" spans="2:10" ht="12.75" customHeight="1" x14ac:dyDescent="0.2">
      <c r="B649" s="37"/>
      <c r="C649" s="37" t="str">
        <f>IF(D649="","",MATCH(D649,Parametros!$B$4:$B$15,0))</f>
        <v/>
      </c>
      <c r="D649" s="38"/>
      <c r="E649" s="38"/>
      <c r="F649" s="38"/>
      <c r="G649" s="38"/>
      <c r="H649" s="38"/>
      <c r="I649" s="39"/>
      <c r="J649" s="38"/>
    </row>
    <row r="650" spans="2:10" ht="12.75" customHeight="1" x14ac:dyDescent="0.2">
      <c r="B650" s="37"/>
      <c r="C650" s="37" t="str">
        <f>IF(D650="","",MATCH(D650,Parametros!$B$4:$B$15,0))</f>
        <v/>
      </c>
      <c r="D650" s="38"/>
      <c r="E650" s="38"/>
      <c r="F650" s="38"/>
      <c r="G650" s="38"/>
      <c r="H650" s="38"/>
      <c r="I650" s="39"/>
      <c r="J650" s="38"/>
    </row>
    <row r="651" spans="2:10" ht="12.75" customHeight="1" x14ac:dyDescent="0.2">
      <c r="B651" s="37"/>
      <c r="C651" s="37" t="str">
        <f>IF(D651="","",MATCH(D651,Parametros!$B$4:$B$15,0))</f>
        <v/>
      </c>
      <c r="D651" s="38"/>
      <c r="E651" s="38"/>
      <c r="F651" s="38"/>
      <c r="G651" s="38"/>
      <c r="H651" s="38"/>
      <c r="I651" s="39"/>
      <c r="J651" s="38"/>
    </row>
    <row r="652" spans="2:10" ht="12.75" customHeight="1" x14ac:dyDescent="0.2">
      <c r="B652" s="37"/>
      <c r="C652" s="37" t="str">
        <f>IF(D652="","",MATCH(D652,Parametros!$B$4:$B$15,0))</f>
        <v/>
      </c>
      <c r="D652" s="38"/>
      <c r="E652" s="38"/>
      <c r="F652" s="38"/>
      <c r="G652" s="38"/>
      <c r="H652" s="38"/>
      <c r="I652" s="39"/>
      <c r="J652" s="38"/>
    </row>
    <row r="653" spans="2:10" ht="12.75" customHeight="1" x14ac:dyDescent="0.2">
      <c r="B653" s="37"/>
      <c r="C653" s="37" t="str">
        <f>IF(D653="","",MATCH(D653,Parametros!$B$4:$B$15,0))</f>
        <v/>
      </c>
      <c r="D653" s="38"/>
      <c r="E653" s="38"/>
      <c r="F653" s="38"/>
      <c r="G653" s="38"/>
      <c r="H653" s="38"/>
      <c r="I653" s="39"/>
      <c r="J653" s="38"/>
    </row>
    <row r="654" spans="2:10" ht="12.75" customHeight="1" x14ac:dyDescent="0.2">
      <c r="B654" s="37"/>
      <c r="C654" s="37" t="str">
        <f>IF(D654="","",MATCH(D654,Parametros!$B$4:$B$15,0))</f>
        <v/>
      </c>
      <c r="D654" s="38"/>
      <c r="E654" s="38"/>
      <c r="F654" s="38"/>
      <c r="G654" s="38"/>
      <c r="H654" s="38"/>
      <c r="I654" s="39"/>
      <c r="J654" s="38"/>
    </row>
    <row r="655" spans="2:10" ht="12.75" customHeight="1" x14ac:dyDescent="0.2">
      <c r="B655" s="37"/>
      <c r="C655" s="37" t="str">
        <f>IF(D655="","",MATCH(D655,Parametros!$B$4:$B$15,0))</f>
        <v/>
      </c>
      <c r="D655" s="38"/>
      <c r="E655" s="38"/>
      <c r="F655" s="38"/>
      <c r="G655" s="38"/>
      <c r="H655" s="38"/>
      <c r="I655" s="39"/>
      <c r="J655" s="38"/>
    </row>
    <row r="656" spans="2:10" ht="12.75" customHeight="1" x14ac:dyDescent="0.2">
      <c r="B656" s="37"/>
      <c r="C656" s="37" t="str">
        <f>IF(D656="","",MATCH(D656,Parametros!$B$4:$B$15,0))</f>
        <v/>
      </c>
      <c r="D656" s="38"/>
      <c r="E656" s="38"/>
      <c r="F656" s="38"/>
      <c r="G656" s="38"/>
      <c r="H656" s="38"/>
      <c r="I656" s="39"/>
      <c r="J656" s="38"/>
    </row>
    <row r="657" spans="2:10" ht="12.75" customHeight="1" x14ac:dyDescent="0.2">
      <c r="B657" s="37"/>
      <c r="C657" s="37" t="str">
        <f>IF(D657="","",MATCH(D657,Parametros!$B$4:$B$15,0))</f>
        <v/>
      </c>
      <c r="D657" s="38"/>
      <c r="E657" s="38"/>
      <c r="F657" s="38"/>
      <c r="G657" s="38"/>
      <c r="H657" s="38"/>
      <c r="I657" s="39"/>
      <c r="J657" s="38"/>
    </row>
    <row r="658" spans="2:10" ht="12.75" customHeight="1" x14ac:dyDescent="0.2">
      <c r="B658" s="37"/>
      <c r="C658" s="37" t="str">
        <f>IF(D658="","",MATCH(D658,Parametros!$B$4:$B$15,0))</f>
        <v/>
      </c>
      <c r="D658" s="38"/>
      <c r="E658" s="38"/>
      <c r="F658" s="38"/>
      <c r="G658" s="38"/>
      <c r="H658" s="38"/>
      <c r="I658" s="39"/>
      <c r="J658" s="38"/>
    </row>
    <row r="659" spans="2:10" ht="12.75" customHeight="1" x14ac:dyDescent="0.2">
      <c r="B659" s="37"/>
      <c r="C659" s="37" t="str">
        <f>IF(D659="","",MATCH(D659,Parametros!$B$4:$B$15,0))</f>
        <v/>
      </c>
      <c r="D659" s="38"/>
      <c r="E659" s="38"/>
      <c r="F659" s="38"/>
      <c r="G659" s="38"/>
      <c r="H659" s="38"/>
      <c r="I659" s="39"/>
      <c r="J659" s="38"/>
    </row>
    <row r="660" spans="2:10" ht="12.75" customHeight="1" x14ac:dyDescent="0.2">
      <c r="B660" s="37"/>
      <c r="C660" s="37" t="str">
        <f>IF(D660="","",MATCH(D660,Parametros!$B$4:$B$15,0))</f>
        <v/>
      </c>
      <c r="D660" s="38"/>
      <c r="E660" s="38"/>
      <c r="F660" s="38"/>
      <c r="G660" s="38"/>
      <c r="H660" s="38"/>
      <c r="I660" s="39"/>
      <c r="J660" s="38"/>
    </row>
    <row r="661" spans="2:10" ht="12.75" customHeight="1" x14ac:dyDescent="0.2">
      <c r="B661" s="37"/>
      <c r="C661" s="37" t="str">
        <f>IF(D661="","",MATCH(D661,Parametros!$B$4:$B$15,0))</f>
        <v/>
      </c>
      <c r="D661" s="38"/>
      <c r="E661" s="38"/>
      <c r="F661" s="38"/>
      <c r="G661" s="38"/>
      <c r="H661" s="38"/>
      <c r="I661" s="39"/>
      <c r="J661" s="38"/>
    </row>
    <row r="662" spans="2:10" ht="12.75" customHeight="1" x14ac:dyDescent="0.2">
      <c r="B662" s="37"/>
      <c r="C662" s="37" t="str">
        <f>IF(D662="","",MATCH(D662,Parametros!$B$4:$B$15,0))</f>
        <v/>
      </c>
      <c r="D662" s="38"/>
      <c r="E662" s="38"/>
      <c r="F662" s="38"/>
      <c r="G662" s="38"/>
      <c r="H662" s="38"/>
      <c r="I662" s="39"/>
      <c r="J662" s="38"/>
    </row>
    <row r="663" spans="2:10" ht="12.75" customHeight="1" x14ac:dyDescent="0.2">
      <c r="B663" s="37"/>
      <c r="C663" s="37" t="str">
        <f>IF(D663="","",MATCH(D663,Parametros!$B$4:$B$15,0))</f>
        <v/>
      </c>
      <c r="D663" s="38"/>
      <c r="E663" s="38"/>
      <c r="F663" s="38"/>
      <c r="G663" s="38"/>
      <c r="H663" s="38"/>
      <c r="I663" s="39"/>
      <c r="J663" s="38"/>
    </row>
    <row r="664" spans="2:10" ht="12.75" customHeight="1" x14ac:dyDescent="0.2">
      <c r="B664" s="37"/>
      <c r="C664" s="37" t="str">
        <f>IF(D664="","",MATCH(D664,Parametros!$B$4:$B$15,0))</f>
        <v/>
      </c>
      <c r="D664" s="38"/>
      <c r="E664" s="38"/>
      <c r="F664" s="38"/>
      <c r="G664" s="38"/>
      <c r="H664" s="38"/>
      <c r="I664" s="39"/>
      <c r="J664" s="38"/>
    </row>
    <row r="665" spans="2:10" ht="12.75" customHeight="1" x14ac:dyDescent="0.2">
      <c r="B665" s="37"/>
      <c r="C665" s="37" t="str">
        <f>IF(D665="","",MATCH(D665,Parametros!$B$4:$B$15,0))</f>
        <v/>
      </c>
      <c r="D665" s="38"/>
      <c r="E665" s="38"/>
      <c r="F665" s="38"/>
      <c r="G665" s="38"/>
      <c r="H665" s="38"/>
      <c r="I665" s="39"/>
      <c r="J665" s="38"/>
    </row>
    <row r="666" spans="2:10" ht="12.75" customHeight="1" x14ac:dyDescent="0.2">
      <c r="B666" s="37"/>
      <c r="C666" s="37" t="str">
        <f>IF(D666="","",MATCH(D666,Parametros!$B$4:$B$15,0))</f>
        <v/>
      </c>
      <c r="D666" s="38"/>
      <c r="E666" s="38"/>
      <c r="F666" s="38"/>
      <c r="G666" s="38"/>
      <c r="H666" s="38"/>
      <c r="I666" s="39"/>
      <c r="J666" s="38"/>
    </row>
    <row r="667" spans="2:10" ht="12.75" customHeight="1" x14ac:dyDescent="0.2">
      <c r="B667" s="37"/>
      <c r="C667" s="37" t="str">
        <f>IF(D667="","",MATCH(D667,Parametros!$B$4:$B$15,0))</f>
        <v/>
      </c>
      <c r="D667" s="38"/>
      <c r="E667" s="38"/>
      <c r="F667" s="38"/>
      <c r="G667" s="38"/>
      <c r="H667" s="38"/>
      <c r="I667" s="39"/>
      <c r="J667" s="38"/>
    </row>
    <row r="668" spans="2:10" ht="12.75" customHeight="1" x14ac:dyDescent="0.2">
      <c r="B668" s="37"/>
      <c r="C668" s="37" t="str">
        <f>IF(D668="","",MATCH(D668,Parametros!$B$4:$B$15,0))</f>
        <v/>
      </c>
      <c r="D668" s="38"/>
      <c r="E668" s="38"/>
      <c r="F668" s="38"/>
      <c r="G668" s="38"/>
      <c r="H668" s="38"/>
      <c r="I668" s="39"/>
      <c r="J668" s="38"/>
    </row>
    <row r="669" spans="2:10" ht="12.75" customHeight="1" x14ac:dyDescent="0.2">
      <c r="B669" s="37"/>
      <c r="C669" s="37" t="str">
        <f>IF(D669="","",MATCH(D669,Parametros!$B$4:$B$15,0))</f>
        <v/>
      </c>
      <c r="D669" s="38"/>
      <c r="E669" s="38"/>
      <c r="F669" s="38"/>
      <c r="G669" s="38"/>
      <c r="H669" s="38"/>
      <c r="I669" s="39"/>
      <c r="J669" s="38"/>
    </row>
    <row r="670" spans="2:10" ht="12.75" customHeight="1" x14ac:dyDescent="0.2">
      <c r="B670" s="37"/>
      <c r="C670" s="37" t="str">
        <f>IF(D670="","",MATCH(D670,Parametros!$B$4:$B$15,0))</f>
        <v/>
      </c>
      <c r="D670" s="38"/>
      <c r="E670" s="38"/>
      <c r="F670" s="38"/>
      <c r="G670" s="38"/>
      <c r="H670" s="38"/>
      <c r="I670" s="39"/>
      <c r="J670" s="38"/>
    </row>
    <row r="671" spans="2:10" ht="12.75" customHeight="1" x14ac:dyDescent="0.2">
      <c r="B671" s="37"/>
      <c r="C671" s="37" t="str">
        <f>IF(D671="","",MATCH(D671,Parametros!$B$4:$B$15,0))</f>
        <v/>
      </c>
      <c r="D671" s="38"/>
      <c r="E671" s="38"/>
      <c r="F671" s="38"/>
      <c r="G671" s="38"/>
      <c r="H671" s="38"/>
      <c r="I671" s="39"/>
      <c r="J671" s="38"/>
    </row>
    <row r="672" spans="2:10" ht="12.75" customHeight="1" x14ac:dyDescent="0.2">
      <c r="B672" s="37"/>
      <c r="C672" s="37" t="str">
        <f>IF(D672="","",MATCH(D672,Parametros!$B$4:$B$15,0))</f>
        <v/>
      </c>
      <c r="D672" s="38"/>
      <c r="E672" s="38"/>
      <c r="F672" s="38"/>
      <c r="G672" s="38"/>
      <c r="H672" s="38"/>
      <c r="I672" s="39"/>
      <c r="J672" s="38"/>
    </row>
    <row r="673" spans="2:10" ht="12.75" customHeight="1" x14ac:dyDescent="0.2">
      <c r="B673" s="37"/>
      <c r="C673" s="37" t="str">
        <f>IF(D673="","",MATCH(D673,Parametros!$B$4:$B$15,0))</f>
        <v/>
      </c>
      <c r="D673" s="38"/>
      <c r="E673" s="38"/>
      <c r="F673" s="38"/>
      <c r="G673" s="38"/>
      <c r="H673" s="38"/>
      <c r="I673" s="39"/>
      <c r="J673" s="38"/>
    </row>
    <row r="674" spans="2:10" ht="12.75" customHeight="1" x14ac:dyDescent="0.2">
      <c r="B674" s="37"/>
      <c r="C674" s="37" t="str">
        <f>IF(D674="","",MATCH(D674,Parametros!$B$4:$B$15,0))</f>
        <v/>
      </c>
      <c r="D674" s="38"/>
      <c r="E674" s="38"/>
      <c r="F674" s="38"/>
      <c r="G674" s="38"/>
      <c r="H674" s="38"/>
      <c r="I674" s="39"/>
      <c r="J674" s="38"/>
    </row>
    <row r="675" spans="2:10" ht="12.75" customHeight="1" x14ac:dyDescent="0.2">
      <c r="B675" s="37"/>
      <c r="C675" s="37" t="str">
        <f>IF(D675="","",MATCH(D675,Parametros!$B$4:$B$15,0))</f>
        <v/>
      </c>
      <c r="D675" s="38"/>
      <c r="E675" s="38"/>
      <c r="F675" s="38"/>
      <c r="G675" s="38"/>
      <c r="H675" s="38"/>
      <c r="I675" s="39"/>
      <c r="J675" s="38"/>
    </row>
    <row r="676" spans="2:10" ht="12.75" customHeight="1" x14ac:dyDescent="0.2">
      <c r="B676" s="37"/>
      <c r="C676" s="37" t="str">
        <f>IF(D676="","",MATCH(D676,Parametros!$B$4:$B$15,0))</f>
        <v/>
      </c>
      <c r="D676" s="38"/>
      <c r="E676" s="38"/>
      <c r="F676" s="38"/>
      <c r="G676" s="38"/>
      <c r="H676" s="38"/>
      <c r="I676" s="39"/>
      <c r="J676" s="38"/>
    </row>
    <row r="677" spans="2:10" ht="12.75" customHeight="1" x14ac:dyDescent="0.2">
      <c r="B677" s="37"/>
      <c r="C677" s="37" t="str">
        <f>IF(D677="","",MATCH(D677,Parametros!$B$4:$B$15,0))</f>
        <v/>
      </c>
      <c r="D677" s="38"/>
      <c r="E677" s="38"/>
      <c r="F677" s="38"/>
      <c r="G677" s="38"/>
      <c r="H677" s="38"/>
      <c r="I677" s="39"/>
      <c r="J677" s="38"/>
    </row>
    <row r="678" spans="2:10" ht="12.75" customHeight="1" x14ac:dyDescent="0.2">
      <c r="B678" s="37"/>
      <c r="C678" s="37" t="str">
        <f>IF(D678="","",MATCH(D678,Parametros!$B$4:$B$15,0))</f>
        <v/>
      </c>
      <c r="D678" s="38"/>
      <c r="E678" s="38"/>
      <c r="F678" s="38"/>
      <c r="G678" s="38"/>
      <c r="H678" s="38"/>
      <c r="I678" s="39"/>
      <c r="J678" s="38"/>
    </row>
    <row r="679" spans="2:10" ht="12.75" customHeight="1" x14ac:dyDescent="0.2">
      <c r="B679" s="37"/>
      <c r="C679" s="37" t="str">
        <f>IF(D679="","",MATCH(D679,Parametros!$B$4:$B$15,0))</f>
        <v/>
      </c>
      <c r="D679" s="38"/>
      <c r="E679" s="38"/>
      <c r="F679" s="38"/>
      <c r="G679" s="38"/>
      <c r="H679" s="38"/>
      <c r="I679" s="39"/>
      <c r="J679" s="38"/>
    </row>
    <row r="680" spans="2:10" ht="12.75" customHeight="1" x14ac:dyDescent="0.2">
      <c r="B680" s="37"/>
      <c r="C680" s="37" t="str">
        <f>IF(D680="","",MATCH(D680,Parametros!$B$4:$B$15,0))</f>
        <v/>
      </c>
      <c r="D680" s="38"/>
      <c r="E680" s="38"/>
      <c r="F680" s="38"/>
      <c r="G680" s="38"/>
      <c r="H680" s="38"/>
      <c r="I680" s="39"/>
      <c r="J680" s="38"/>
    </row>
    <row r="681" spans="2:10" ht="12.75" customHeight="1" x14ac:dyDescent="0.2">
      <c r="B681" s="37"/>
      <c r="C681" s="37" t="str">
        <f>IF(D681="","",MATCH(D681,Parametros!$B$4:$B$15,0))</f>
        <v/>
      </c>
      <c r="D681" s="38"/>
      <c r="E681" s="38"/>
      <c r="F681" s="38"/>
      <c r="G681" s="38"/>
      <c r="H681" s="38"/>
      <c r="I681" s="39"/>
      <c r="J681" s="38"/>
    </row>
    <row r="682" spans="2:10" ht="12.75" customHeight="1" x14ac:dyDescent="0.2">
      <c r="B682" s="37"/>
      <c r="C682" s="37" t="str">
        <f>IF(D682="","",MATCH(D682,Parametros!$B$4:$B$15,0))</f>
        <v/>
      </c>
      <c r="D682" s="38"/>
      <c r="E682" s="38"/>
      <c r="F682" s="38"/>
      <c r="G682" s="38"/>
      <c r="H682" s="38"/>
      <c r="I682" s="39"/>
      <c r="J682" s="38"/>
    </row>
    <row r="683" spans="2:10" ht="12.75" customHeight="1" x14ac:dyDescent="0.2">
      <c r="B683" s="37"/>
      <c r="C683" s="37" t="str">
        <f>IF(D683="","",MATCH(D683,Parametros!$B$4:$B$15,0))</f>
        <v/>
      </c>
      <c r="D683" s="38"/>
      <c r="E683" s="38"/>
      <c r="F683" s="38"/>
      <c r="G683" s="38"/>
      <c r="H683" s="38"/>
      <c r="I683" s="39"/>
      <c r="J683" s="38"/>
    </row>
    <row r="684" spans="2:10" ht="12.75" customHeight="1" x14ac:dyDescent="0.2">
      <c r="B684" s="37"/>
      <c r="C684" s="37" t="str">
        <f>IF(D684="","",MATCH(D684,Parametros!$B$4:$B$15,0))</f>
        <v/>
      </c>
      <c r="D684" s="38"/>
      <c r="E684" s="38"/>
      <c r="F684" s="38"/>
      <c r="G684" s="38"/>
      <c r="H684" s="38"/>
      <c r="I684" s="39"/>
      <c r="J684" s="38"/>
    </row>
    <row r="685" spans="2:10" ht="12.75" customHeight="1" x14ac:dyDescent="0.2">
      <c r="B685" s="37"/>
      <c r="C685" s="37" t="str">
        <f>IF(D685="","",MATCH(D685,Parametros!$B$4:$B$15,0))</f>
        <v/>
      </c>
      <c r="D685" s="38"/>
      <c r="E685" s="38"/>
      <c r="F685" s="38"/>
      <c r="G685" s="38"/>
      <c r="H685" s="38"/>
      <c r="I685" s="39"/>
      <c r="J685" s="38"/>
    </row>
    <row r="686" spans="2:10" ht="12.75" customHeight="1" x14ac:dyDescent="0.2">
      <c r="B686" s="37"/>
      <c r="C686" s="37" t="str">
        <f>IF(D686="","",MATCH(D686,Parametros!$B$4:$B$15,0))</f>
        <v/>
      </c>
      <c r="D686" s="38"/>
      <c r="E686" s="38"/>
      <c r="F686" s="38"/>
      <c r="G686" s="38"/>
      <c r="H686" s="38"/>
      <c r="I686" s="39"/>
      <c r="J686" s="38"/>
    </row>
    <row r="687" spans="2:10" ht="12.75" customHeight="1" x14ac:dyDescent="0.2">
      <c r="B687" s="37"/>
      <c r="C687" s="37" t="str">
        <f>IF(D687="","",MATCH(D687,Parametros!$B$4:$B$15,0))</f>
        <v/>
      </c>
      <c r="D687" s="38"/>
      <c r="E687" s="38"/>
      <c r="F687" s="38"/>
      <c r="G687" s="38"/>
      <c r="H687" s="38"/>
      <c r="I687" s="39"/>
      <c r="J687" s="38"/>
    </row>
    <row r="688" spans="2:10" ht="12.75" customHeight="1" x14ac:dyDescent="0.2">
      <c r="B688" s="37"/>
      <c r="C688" s="37" t="str">
        <f>IF(D688="","",MATCH(D688,Parametros!$B$4:$B$15,0))</f>
        <v/>
      </c>
      <c r="D688" s="38"/>
      <c r="E688" s="38"/>
      <c r="F688" s="38"/>
      <c r="G688" s="38"/>
      <c r="H688" s="38"/>
      <c r="I688" s="39"/>
      <c r="J688" s="38"/>
    </row>
    <row r="689" spans="2:10" ht="12.75" customHeight="1" x14ac:dyDescent="0.2">
      <c r="B689" s="37"/>
      <c r="C689" s="37" t="str">
        <f>IF(D689="","",MATCH(D689,Parametros!$B$4:$B$15,0))</f>
        <v/>
      </c>
      <c r="D689" s="38"/>
      <c r="E689" s="38"/>
      <c r="F689" s="38"/>
      <c r="G689" s="38"/>
      <c r="H689" s="38"/>
      <c r="I689" s="39"/>
      <c r="J689" s="38"/>
    </row>
    <row r="690" spans="2:10" ht="12.75" customHeight="1" x14ac:dyDescent="0.2">
      <c r="B690" s="37"/>
      <c r="C690" s="37" t="str">
        <f>IF(D690="","",MATCH(D690,Parametros!$B$4:$B$15,0))</f>
        <v/>
      </c>
      <c r="D690" s="38"/>
      <c r="E690" s="38"/>
      <c r="F690" s="38"/>
      <c r="G690" s="38"/>
      <c r="H690" s="38"/>
      <c r="I690" s="39"/>
      <c r="J690" s="38"/>
    </row>
    <row r="691" spans="2:10" ht="12.75" customHeight="1" x14ac:dyDescent="0.2">
      <c r="B691" s="37"/>
      <c r="C691" s="37" t="str">
        <f>IF(D691="","",MATCH(D691,Parametros!$B$4:$B$15,0))</f>
        <v/>
      </c>
      <c r="D691" s="38"/>
      <c r="E691" s="38"/>
      <c r="F691" s="38"/>
      <c r="G691" s="38"/>
      <c r="H691" s="38"/>
      <c r="I691" s="39"/>
      <c r="J691" s="38"/>
    </row>
    <row r="692" spans="2:10" ht="12.75" customHeight="1" x14ac:dyDescent="0.2">
      <c r="B692" s="37"/>
      <c r="C692" s="37" t="str">
        <f>IF(D692="","",MATCH(D692,Parametros!$B$4:$B$15,0))</f>
        <v/>
      </c>
      <c r="D692" s="38"/>
      <c r="E692" s="38"/>
      <c r="F692" s="38"/>
      <c r="G692" s="38"/>
      <c r="H692" s="38"/>
      <c r="I692" s="39"/>
      <c r="J692" s="38"/>
    </row>
    <row r="693" spans="2:10" ht="12.75" customHeight="1" x14ac:dyDescent="0.2">
      <c r="B693" s="37"/>
      <c r="C693" s="37" t="str">
        <f>IF(D693="","",MATCH(D693,Parametros!$B$4:$B$15,0))</f>
        <v/>
      </c>
      <c r="D693" s="38"/>
      <c r="E693" s="38"/>
      <c r="F693" s="38"/>
      <c r="G693" s="38"/>
      <c r="H693" s="38"/>
      <c r="I693" s="39"/>
      <c r="J693" s="38"/>
    </row>
    <row r="694" spans="2:10" ht="12.75" customHeight="1" x14ac:dyDescent="0.2">
      <c r="B694" s="37"/>
      <c r="C694" s="37" t="str">
        <f>IF(D694="","",MATCH(D694,Parametros!$B$4:$B$15,0))</f>
        <v/>
      </c>
      <c r="D694" s="38"/>
      <c r="E694" s="38"/>
      <c r="F694" s="38"/>
      <c r="G694" s="38"/>
      <c r="H694" s="38"/>
      <c r="I694" s="39"/>
      <c r="J694" s="38"/>
    </row>
    <row r="695" spans="2:10" ht="12.75" customHeight="1" x14ac:dyDescent="0.2">
      <c r="B695" s="37"/>
      <c r="C695" s="37" t="str">
        <f>IF(D695="","",MATCH(D695,Parametros!$B$4:$B$15,0))</f>
        <v/>
      </c>
      <c r="D695" s="38"/>
      <c r="E695" s="38"/>
      <c r="F695" s="38"/>
      <c r="G695" s="38"/>
      <c r="H695" s="38"/>
      <c r="I695" s="39"/>
      <c r="J695" s="38"/>
    </row>
    <row r="696" spans="2:10" ht="12.75" customHeight="1" x14ac:dyDescent="0.2">
      <c r="B696" s="37"/>
      <c r="C696" s="37" t="str">
        <f>IF(D696="","",MATCH(D696,Parametros!$B$4:$B$15,0))</f>
        <v/>
      </c>
      <c r="D696" s="38"/>
      <c r="E696" s="38"/>
      <c r="F696" s="38"/>
      <c r="G696" s="38"/>
      <c r="H696" s="38"/>
      <c r="I696" s="39"/>
      <c r="J696" s="38"/>
    </row>
    <row r="697" spans="2:10" ht="12.75" customHeight="1" x14ac:dyDescent="0.2">
      <c r="B697" s="37"/>
      <c r="C697" s="37" t="str">
        <f>IF(D697="","",MATCH(D697,Parametros!$B$4:$B$15,0))</f>
        <v/>
      </c>
      <c r="D697" s="38"/>
      <c r="E697" s="38"/>
      <c r="F697" s="38"/>
      <c r="G697" s="38"/>
      <c r="H697" s="38"/>
      <c r="I697" s="39"/>
      <c r="J697" s="38"/>
    </row>
    <row r="698" spans="2:10" ht="12.75" customHeight="1" x14ac:dyDescent="0.2">
      <c r="B698" s="37"/>
      <c r="C698" s="37" t="str">
        <f>IF(D698="","",MATCH(D698,Parametros!$B$4:$B$15,0))</f>
        <v/>
      </c>
      <c r="D698" s="38"/>
      <c r="E698" s="38"/>
      <c r="F698" s="38"/>
      <c r="G698" s="38"/>
      <c r="H698" s="38"/>
      <c r="I698" s="39"/>
      <c r="J698" s="38"/>
    </row>
    <row r="699" spans="2:10" ht="12.75" customHeight="1" x14ac:dyDescent="0.2">
      <c r="B699" s="37"/>
      <c r="C699" s="37" t="str">
        <f>IF(D699="","",MATCH(D699,Parametros!$B$4:$B$15,0))</f>
        <v/>
      </c>
      <c r="D699" s="38"/>
      <c r="E699" s="38"/>
      <c r="F699" s="38"/>
      <c r="G699" s="38"/>
      <c r="H699" s="38"/>
      <c r="I699" s="39"/>
      <c r="J699" s="38"/>
    </row>
    <row r="700" spans="2:10" ht="12.75" customHeight="1" x14ac:dyDescent="0.2">
      <c r="B700" s="37"/>
      <c r="C700" s="37" t="str">
        <f>IF(D700="","",MATCH(D700,Parametros!$B$4:$B$15,0))</f>
        <v/>
      </c>
      <c r="D700" s="38"/>
      <c r="E700" s="38"/>
      <c r="F700" s="38"/>
      <c r="G700" s="38"/>
      <c r="H700" s="38"/>
      <c r="I700" s="39"/>
      <c r="J700" s="38"/>
    </row>
    <row r="701" spans="2:10" ht="12.75" customHeight="1" x14ac:dyDescent="0.2">
      <c r="B701" s="37"/>
      <c r="C701" s="37" t="str">
        <f>IF(D701="","",MATCH(D701,Parametros!$B$4:$B$15,0))</f>
        <v/>
      </c>
      <c r="D701" s="38"/>
      <c r="E701" s="38"/>
      <c r="F701" s="38"/>
      <c r="G701" s="38"/>
      <c r="H701" s="38"/>
      <c r="I701" s="39"/>
      <c r="J701" s="38"/>
    </row>
    <row r="702" spans="2:10" ht="12.75" customHeight="1" x14ac:dyDescent="0.2">
      <c r="B702" s="37"/>
      <c r="C702" s="37" t="str">
        <f>IF(D702="","",MATCH(D702,Parametros!$B$4:$B$15,0))</f>
        <v/>
      </c>
      <c r="D702" s="38"/>
      <c r="E702" s="38"/>
      <c r="F702" s="38"/>
      <c r="G702" s="38"/>
      <c r="H702" s="38"/>
      <c r="I702" s="39"/>
      <c r="J702" s="38"/>
    </row>
    <row r="703" spans="2:10" ht="12.75" customHeight="1" x14ac:dyDescent="0.2">
      <c r="B703" s="37"/>
      <c r="C703" s="37" t="str">
        <f>IF(D703="","",MATCH(D703,Parametros!$B$4:$B$15,0))</f>
        <v/>
      </c>
      <c r="D703" s="38"/>
      <c r="E703" s="38"/>
      <c r="F703" s="38"/>
      <c r="G703" s="38"/>
      <c r="H703" s="38"/>
      <c r="I703" s="39"/>
      <c r="J703" s="38"/>
    </row>
    <row r="704" spans="2:10" ht="12.75" customHeight="1" x14ac:dyDescent="0.2">
      <c r="B704" s="37"/>
      <c r="C704" s="37" t="str">
        <f>IF(D704="","",MATCH(D704,Parametros!$B$4:$B$15,0))</f>
        <v/>
      </c>
      <c r="D704" s="38"/>
      <c r="E704" s="38"/>
      <c r="F704" s="38"/>
      <c r="G704" s="38"/>
      <c r="H704" s="38"/>
      <c r="I704" s="39"/>
      <c r="J704" s="38"/>
    </row>
    <row r="705" spans="2:10" ht="12.75" customHeight="1" x14ac:dyDescent="0.2">
      <c r="B705" s="37"/>
      <c r="C705" s="37" t="str">
        <f>IF(D705="","",MATCH(D705,Parametros!$B$4:$B$15,0))</f>
        <v/>
      </c>
      <c r="D705" s="38"/>
      <c r="E705" s="38"/>
      <c r="F705" s="38"/>
      <c r="G705" s="38"/>
      <c r="H705" s="38"/>
      <c r="I705" s="39"/>
      <c r="J705" s="38"/>
    </row>
    <row r="706" spans="2:10" ht="12.75" customHeight="1" x14ac:dyDescent="0.2">
      <c r="B706" s="37"/>
      <c r="C706" s="37" t="str">
        <f>IF(D706="","",MATCH(D706,Parametros!$B$4:$B$15,0))</f>
        <v/>
      </c>
      <c r="D706" s="38"/>
      <c r="E706" s="38"/>
      <c r="F706" s="38"/>
      <c r="G706" s="38"/>
      <c r="H706" s="38"/>
      <c r="I706" s="39"/>
      <c r="J706" s="38"/>
    </row>
    <row r="707" spans="2:10" ht="12.75" customHeight="1" x14ac:dyDescent="0.2">
      <c r="B707" s="37"/>
      <c r="C707" s="37" t="str">
        <f>IF(D707="","",MATCH(D707,Parametros!$B$4:$B$15,0))</f>
        <v/>
      </c>
      <c r="D707" s="38"/>
      <c r="E707" s="38"/>
      <c r="F707" s="38"/>
      <c r="G707" s="38"/>
      <c r="H707" s="38"/>
      <c r="I707" s="39"/>
      <c r="J707" s="38"/>
    </row>
    <row r="708" spans="2:10" ht="12.75" customHeight="1" x14ac:dyDescent="0.2">
      <c r="B708" s="37"/>
      <c r="C708" s="37" t="str">
        <f>IF(D708="","",MATCH(D708,Parametros!$B$4:$B$15,0))</f>
        <v/>
      </c>
      <c r="D708" s="38"/>
      <c r="E708" s="38"/>
      <c r="F708" s="38"/>
      <c r="G708" s="38"/>
      <c r="H708" s="38"/>
      <c r="I708" s="39"/>
      <c r="J708" s="38"/>
    </row>
    <row r="709" spans="2:10" ht="12.75" customHeight="1" x14ac:dyDescent="0.2">
      <c r="B709" s="37"/>
      <c r="C709" s="37" t="str">
        <f>IF(D709="","",MATCH(D709,Parametros!$B$4:$B$15,0))</f>
        <v/>
      </c>
      <c r="D709" s="38"/>
      <c r="E709" s="38"/>
      <c r="F709" s="38"/>
      <c r="G709" s="38"/>
      <c r="H709" s="38"/>
      <c r="I709" s="39"/>
      <c r="J709" s="38"/>
    </row>
    <row r="710" spans="2:10" ht="12.75" customHeight="1" x14ac:dyDescent="0.2">
      <c r="B710" s="37"/>
      <c r="C710" s="37" t="str">
        <f>IF(D710="","",MATCH(D710,Parametros!$B$4:$B$15,0))</f>
        <v/>
      </c>
      <c r="D710" s="38"/>
      <c r="E710" s="38"/>
      <c r="F710" s="38"/>
      <c r="G710" s="38"/>
      <c r="H710" s="38"/>
      <c r="I710" s="39"/>
      <c r="J710" s="38"/>
    </row>
    <row r="711" spans="2:10" ht="12.75" customHeight="1" x14ac:dyDescent="0.2">
      <c r="B711" s="37"/>
      <c r="C711" s="37" t="str">
        <f>IF(D711="","",MATCH(D711,Parametros!$B$4:$B$15,0))</f>
        <v/>
      </c>
      <c r="D711" s="38"/>
      <c r="E711" s="38"/>
      <c r="F711" s="38"/>
      <c r="G711" s="38"/>
      <c r="H711" s="38"/>
      <c r="I711" s="39"/>
      <c r="J711" s="38"/>
    </row>
    <row r="712" spans="2:10" ht="12.75" customHeight="1" x14ac:dyDescent="0.2">
      <c r="B712" s="37"/>
      <c r="C712" s="37" t="str">
        <f>IF(D712="","",MATCH(D712,Parametros!$B$4:$B$15,0))</f>
        <v/>
      </c>
      <c r="D712" s="38"/>
      <c r="E712" s="38"/>
      <c r="F712" s="38"/>
      <c r="G712" s="38"/>
      <c r="H712" s="38"/>
      <c r="I712" s="39"/>
      <c r="J712" s="38"/>
    </row>
    <row r="713" spans="2:10" ht="12.75" customHeight="1" x14ac:dyDescent="0.2">
      <c r="B713" s="37"/>
      <c r="C713" s="37" t="str">
        <f>IF(D713="","",MATCH(D713,Parametros!$B$4:$B$15,0))</f>
        <v/>
      </c>
      <c r="D713" s="38"/>
      <c r="E713" s="38"/>
      <c r="F713" s="38"/>
      <c r="G713" s="38"/>
      <c r="H713" s="38"/>
      <c r="I713" s="39"/>
      <c r="J713" s="38"/>
    </row>
    <row r="714" spans="2:10" ht="12.75" customHeight="1" x14ac:dyDescent="0.2">
      <c r="B714" s="37"/>
      <c r="C714" s="37" t="str">
        <f>IF(D714="","",MATCH(D714,Parametros!$B$4:$B$15,0))</f>
        <v/>
      </c>
      <c r="D714" s="38"/>
      <c r="E714" s="38"/>
      <c r="F714" s="38"/>
      <c r="G714" s="38"/>
      <c r="H714" s="38"/>
      <c r="I714" s="39"/>
      <c r="J714" s="38"/>
    </row>
    <row r="715" spans="2:10" ht="12.75" customHeight="1" x14ac:dyDescent="0.2">
      <c r="B715" s="37"/>
      <c r="C715" s="37" t="str">
        <f>IF(D715="","",MATCH(D715,Parametros!$B$4:$B$15,0))</f>
        <v/>
      </c>
      <c r="D715" s="38"/>
      <c r="E715" s="38"/>
      <c r="F715" s="38"/>
      <c r="G715" s="38"/>
      <c r="H715" s="38"/>
      <c r="I715" s="39"/>
      <c r="J715" s="38"/>
    </row>
    <row r="716" spans="2:10" ht="12.75" customHeight="1" x14ac:dyDescent="0.2">
      <c r="B716" s="37"/>
      <c r="C716" s="37" t="str">
        <f>IF(D716="","",MATCH(D716,Parametros!$B$4:$B$15,0))</f>
        <v/>
      </c>
      <c r="D716" s="38"/>
      <c r="E716" s="38"/>
      <c r="F716" s="38"/>
      <c r="G716" s="38"/>
      <c r="H716" s="38"/>
      <c r="I716" s="39"/>
      <c r="J716" s="38"/>
    </row>
    <row r="717" spans="2:10" ht="12.75" customHeight="1" x14ac:dyDescent="0.2">
      <c r="B717" s="37"/>
      <c r="C717" s="37" t="str">
        <f>IF(D717="","",MATCH(D717,Parametros!$B$4:$B$15,0))</f>
        <v/>
      </c>
      <c r="D717" s="38"/>
      <c r="E717" s="38"/>
      <c r="F717" s="38"/>
      <c r="G717" s="38"/>
      <c r="H717" s="38"/>
      <c r="I717" s="39"/>
      <c r="J717" s="38"/>
    </row>
    <row r="718" spans="2:10" ht="12.75" customHeight="1" x14ac:dyDescent="0.2">
      <c r="B718" s="37"/>
      <c r="C718" s="37" t="str">
        <f>IF(D718="","",MATCH(D718,Parametros!$B$4:$B$15,0))</f>
        <v/>
      </c>
      <c r="D718" s="38"/>
      <c r="E718" s="38"/>
      <c r="F718" s="38"/>
      <c r="G718" s="38"/>
      <c r="H718" s="38"/>
      <c r="I718" s="39"/>
      <c r="J718" s="38"/>
    </row>
    <row r="719" spans="2:10" ht="12.75" customHeight="1" x14ac:dyDescent="0.2">
      <c r="B719" s="37"/>
      <c r="C719" s="37" t="str">
        <f>IF(D719="","",MATCH(D719,Parametros!$B$4:$B$15,0))</f>
        <v/>
      </c>
      <c r="D719" s="38"/>
      <c r="E719" s="38"/>
      <c r="F719" s="38"/>
      <c r="G719" s="38"/>
      <c r="H719" s="38"/>
      <c r="I719" s="39"/>
      <c r="J719" s="38"/>
    </row>
    <row r="720" spans="2:10" ht="12.75" customHeight="1" x14ac:dyDescent="0.2">
      <c r="B720" s="37"/>
      <c r="C720" s="37" t="str">
        <f>IF(D720="","",MATCH(D720,Parametros!$B$4:$B$15,0))</f>
        <v/>
      </c>
      <c r="D720" s="38"/>
      <c r="E720" s="38"/>
      <c r="F720" s="38"/>
      <c r="G720" s="38"/>
      <c r="H720" s="38"/>
      <c r="I720" s="39"/>
      <c r="J720" s="38"/>
    </row>
    <row r="721" spans="2:10" ht="12.75" customHeight="1" x14ac:dyDescent="0.2">
      <c r="B721" s="37"/>
      <c r="C721" s="37" t="str">
        <f>IF(D721="","",MATCH(D721,Parametros!$B$4:$B$15,0))</f>
        <v/>
      </c>
      <c r="D721" s="38"/>
      <c r="E721" s="38"/>
      <c r="F721" s="38"/>
      <c r="G721" s="38"/>
      <c r="H721" s="38"/>
      <c r="I721" s="39"/>
      <c r="J721" s="38"/>
    </row>
    <row r="722" spans="2:10" ht="12.75" customHeight="1" x14ac:dyDescent="0.2">
      <c r="B722" s="37"/>
      <c r="C722" s="37" t="str">
        <f>IF(D722="","",MATCH(D722,Parametros!$B$4:$B$15,0))</f>
        <v/>
      </c>
      <c r="D722" s="38"/>
      <c r="E722" s="38"/>
      <c r="F722" s="38"/>
      <c r="G722" s="38"/>
      <c r="H722" s="38"/>
      <c r="I722" s="39"/>
      <c r="J722" s="38"/>
    </row>
    <row r="723" spans="2:10" ht="12.75" customHeight="1" x14ac:dyDescent="0.2">
      <c r="B723" s="37"/>
      <c r="C723" s="37" t="str">
        <f>IF(D723="","",MATCH(D723,Parametros!$B$4:$B$15,0))</f>
        <v/>
      </c>
      <c r="D723" s="38"/>
      <c r="E723" s="38"/>
      <c r="F723" s="38"/>
      <c r="G723" s="38"/>
      <c r="H723" s="38"/>
      <c r="I723" s="39"/>
      <c r="J723" s="38"/>
    </row>
    <row r="724" spans="2:10" ht="12.75" customHeight="1" x14ac:dyDescent="0.2">
      <c r="B724" s="37"/>
      <c r="C724" s="37" t="str">
        <f>IF(D724="","",MATCH(D724,Parametros!$B$4:$B$15,0))</f>
        <v/>
      </c>
      <c r="D724" s="38"/>
      <c r="E724" s="38"/>
      <c r="F724" s="38"/>
      <c r="G724" s="38"/>
      <c r="H724" s="38"/>
      <c r="I724" s="39"/>
      <c r="J724" s="38"/>
    </row>
    <row r="725" spans="2:10" ht="12.75" customHeight="1" x14ac:dyDescent="0.2">
      <c r="B725" s="37"/>
      <c r="C725" s="37" t="str">
        <f>IF(D725="","",MATCH(D725,Parametros!$B$4:$B$15,0))</f>
        <v/>
      </c>
      <c r="D725" s="38"/>
      <c r="E725" s="38"/>
      <c r="F725" s="38"/>
      <c r="G725" s="38"/>
      <c r="H725" s="38"/>
      <c r="I725" s="39"/>
      <c r="J725" s="38"/>
    </row>
    <row r="726" spans="2:10" ht="12.75" customHeight="1" x14ac:dyDescent="0.2">
      <c r="B726" s="37"/>
      <c r="C726" s="37" t="str">
        <f>IF(D726="","",MATCH(D726,Parametros!$B$4:$B$15,0))</f>
        <v/>
      </c>
      <c r="D726" s="38"/>
      <c r="E726" s="38"/>
      <c r="F726" s="38"/>
      <c r="G726" s="38"/>
      <c r="H726" s="38"/>
      <c r="I726" s="39"/>
      <c r="J726" s="38"/>
    </row>
    <row r="727" spans="2:10" ht="12.75" customHeight="1" x14ac:dyDescent="0.2">
      <c r="B727" s="37"/>
      <c r="C727" s="37" t="str">
        <f>IF(D727="","",MATCH(D727,Parametros!$B$4:$B$15,0))</f>
        <v/>
      </c>
      <c r="D727" s="38"/>
      <c r="E727" s="38"/>
      <c r="F727" s="38"/>
      <c r="G727" s="38"/>
      <c r="H727" s="38"/>
      <c r="I727" s="39"/>
      <c r="J727" s="38"/>
    </row>
    <row r="728" spans="2:10" ht="12.75" customHeight="1" x14ac:dyDescent="0.2">
      <c r="B728" s="37"/>
      <c r="C728" s="37" t="str">
        <f>IF(D728="","",MATCH(D728,Parametros!$B$4:$B$15,0))</f>
        <v/>
      </c>
      <c r="D728" s="38"/>
      <c r="E728" s="38"/>
      <c r="F728" s="38"/>
      <c r="G728" s="38"/>
      <c r="H728" s="38"/>
      <c r="I728" s="39"/>
      <c r="J728" s="38"/>
    </row>
    <row r="729" spans="2:10" ht="12.75" customHeight="1" x14ac:dyDescent="0.2">
      <c r="B729" s="37"/>
      <c r="C729" s="37" t="str">
        <f>IF(D729="","",MATCH(D729,Parametros!$B$4:$B$15,0))</f>
        <v/>
      </c>
      <c r="D729" s="38"/>
      <c r="E729" s="38"/>
      <c r="F729" s="38"/>
      <c r="G729" s="38"/>
      <c r="H729" s="38"/>
      <c r="I729" s="39"/>
      <c r="J729" s="38"/>
    </row>
    <row r="730" spans="2:10" ht="12.75" customHeight="1" x14ac:dyDescent="0.2">
      <c r="B730" s="37"/>
      <c r="C730" s="37" t="str">
        <f>IF(D730="","",MATCH(D730,Parametros!$B$4:$B$15,0))</f>
        <v/>
      </c>
      <c r="D730" s="38"/>
      <c r="E730" s="38"/>
      <c r="F730" s="38"/>
      <c r="G730" s="38"/>
      <c r="H730" s="38"/>
      <c r="I730" s="39"/>
      <c r="J730" s="38"/>
    </row>
    <row r="731" spans="2:10" ht="12.75" customHeight="1" x14ac:dyDescent="0.2">
      <c r="B731" s="37"/>
      <c r="C731" s="37" t="str">
        <f>IF(D731="","",MATCH(D731,Parametros!$B$4:$B$15,0))</f>
        <v/>
      </c>
      <c r="D731" s="38"/>
      <c r="E731" s="38"/>
      <c r="F731" s="38"/>
      <c r="G731" s="38"/>
      <c r="H731" s="38"/>
      <c r="I731" s="39"/>
      <c r="J731" s="38"/>
    </row>
    <row r="732" spans="2:10" ht="12.75" customHeight="1" x14ac:dyDescent="0.2">
      <c r="B732" s="37"/>
      <c r="C732" s="37" t="str">
        <f>IF(D732="","",MATCH(D732,Parametros!$B$4:$B$15,0))</f>
        <v/>
      </c>
      <c r="D732" s="38"/>
      <c r="E732" s="38"/>
      <c r="F732" s="38"/>
      <c r="G732" s="38"/>
      <c r="H732" s="38"/>
      <c r="I732" s="39"/>
      <c r="J732" s="38"/>
    </row>
    <row r="733" spans="2:10" ht="12.75" customHeight="1" x14ac:dyDescent="0.2">
      <c r="B733" s="37"/>
      <c r="C733" s="37" t="str">
        <f>IF(D733="","",MATCH(D733,Parametros!$B$4:$B$15,0))</f>
        <v/>
      </c>
      <c r="D733" s="38"/>
      <c r="E733" s="38"/>
      <c r="F733" s="38"/>
      <c r="G733" s="38"/>
      <c r="H733" s="38"/>
      <c r="I733" s="39"/>
      <c r="J733" s="38"/>
    </row>
    <row r="734" spans="2:10" ht="12.75" customHeight="1" x14ac:dyDescent="0.2">
      <c r="B734" s="37"/>
      <c r="C734" s="37" t="str">
        <f>IF(D734="","",MATCH(D734,Parametros!$B$4:$B$15,0))</f>
        <v/>
      </c>
      <c r="D734" s="38"/>
      <c r="E734" s="38"/>
      <c r="F734" s="38"/>
      <c r="G734" s="38"/>
      <c r="H734" s="38"/>
      <c r="I734" s="39"/>
      <c r="J734" s="38"/>
    </row>
    <row r="735" spans="2:10" ht="12.75" customHeight="1" x14ac:dyDescent="0.2">
      <c r="B735" s="37"/>
      <c r="C735" s="37" t="str">
        <f>IF(D735="","",MATCH(D735,Parametros!$B$4:$B$15,0))</f>
        <v/>
      </c>
      <c r="D735" s="38"/>
      <c r="E735" s="38"/>
      <c r="F735" s="38"/>
      <c r="G735" s="38"/>
      <c r="H735" s="38"/>
      <c r="I735" s="39"/>
      <c r="J735" s="38"/>
    </row>
    <row r="736" spans="2:10" ht="12.75" customHeight="1" x14ac:dyDescent="0.2">
      <c r="B736" s="37"/>
      <c r="C736" s="37" t="str">
        <f>IF(D736="","",MATCH(D736,Parametros!$B$4:$B$15,0))</f>
        <v/>
      </c>
      <c r="D736" s="38"/>
      <c r="E736" s="38"/>
      <c r="F736" s="38"/>
      <c r="G736" s="38"/>
      <c r="H736" s="38"/>
      <c r="I736" s="39"/>
      <c r="J736" s="38"/>
    </row>
    <row r="737" spans="2:10" ht="12.75" customHeight="1" x14ac:dyDescent="0.2">
      <c r="B737" s="37"/>
      <c r="C737" s="37" t="str">
        <f>IF(D737="","",MATCH(D737,Parametros!$B$4:$B$15,0))</f>
        <v/>
      </c>
      <c r="D737" s="38"/>
      <c r="E737" s="38"/>
      <c r="F737" s="38"/>
      <c r="G737" s="38"/>
      <c r="H737" s="38"/>
      <c r="I737" s="39"/>
      <c r="J737" s="38"/>
    </row>
    <row r="738" spans="2:10" ht="12.75" customHeight="1" x14ac:dyDescent="0.2">
      <c r="B738" s="37"/>
      <c r="C738" s="37" t="str">
        <f>IF(D738="","",MATCH(D738,Parametros!$B$4:$B$15,0))</f>
        <v/>
      </c>
      <c r="D738" s="38"/>
      <c r="E738" s="38"/>
      <c r="F738" s="38"/>
      <c r="G738" s="38"/>
      <c r="H738" s="38"/>
      <c r="I738" s="39"/>
      <c r="J738" s="38"/>
    </row>
    <row r="739" spans="2:10" ht="12.75" customHeight="1" x14ac:dyDescent="0.2">
      <c r="B739" s="37"/>
      <c r="C739" s="37" t="str">
        <f>IF(D739="","",MATCH(D739,Parametros!$B$4:$B$15,0))</f>
        <v/>
      </c>
      <c r="D739" s="38"/>
      <c r="E739" s="38"/>
      <c r="F739" s="38"/>
      <c r="G739" s="38"/>
      <c r="H739" s="38"/>
      <c r="I739" s="39"/>
      <c r="J739" s="38"/>
    </row>
    <row r="740" spans="2:10" ht="12.75" customHeight="1" x14ac:dyDescent="0.2">
      <c r="B740" s="37"/>
      <c r="C740" s="37" t="str">
        <f>IF(D740="","",MATCH(D740,Parametros!$B$4:$B$15,0))</f>
        <v/>
      </c>
      <c r="D740" s="38"/>
      <c r="E740" s="38"/>
      <c r="F740" s="38"/>
      <c r="G740" s="38"/>
      <c r="H740" s="38"/>
      <c r="I740" s="39"/>
      <c r="J740" s="38"/>
    </row>
    <row r="741" spans="2:10" ht="12.75" customHeight="1" x14ac:dyDescent="0.2">
      <c r="B741" s="37"/>
      <c r="C741" s="37" t="str">
        <f>IF(D741="","",MATCH(D741,Parametros!$B$4:$B$15,0))</f>
        <v/>
      </c>
      <c r="D741" s="38"/>
      <c r="E741" s="38"/>
      <c r="F741" s="38"/>
      <c r="G741" s="38"/>
      <c r="H741" s="38"/>
      <c r="I741" s="39"/>
      <c r="J741" s="38"/>
    </row>
    <row r="742" spans="2:10" ht="12.75" customHeight="1" x14ac:dyDescent="0.2">
      <c r="B742" s="37"/>
      <c r="C742" s="37" t="str">
        <f>IF(D742="","",MATCH(D742,Parametros!$B$4:$B$15,0))</f>
        <v/>
      </c>
      <c r="D742" s="38"/>
      <c r="E742" s="38"/>
      <c r="F742" s="38"/>
      <c r="G742" s="38"/>
      <c r="H742" s="38"/>
      <c r="I742" s="39"/>
      <c r="J742" s="38"/>
    </row>
    <row r="743" spans="2:10" ht="12.75" customHeight="1" x14ac:dyDescent="0.2">
      <c r="B743" s="37"/>
      <c r="C743" s="37" t="str">
        <f>IF(D743="","",MATCH(D743,Parametros!$B$4:$B$15,0))</f>
        <v/>
      </c>
      <c r="D743" s="38"/>
      <c r="E743" s="38"/>
      <c r="F743" s="38"/>
      <c r="G743" s="38"/>
      <c r="H743" s="38"/>
      <c r="I743" s="39"/>
      <c r="J743" s="38"/>
    </row>
    <row r="744" spans="2:10" ht="12.75" customHeight="1" x14ac:dyDescent="0.2">
      <c r="B744" s="37"/>
      <c r="C744" s="37" t="str">
        <f>IF(D744="","",MATCH(D744,Parametros!$B$4:$B$15,0))</f>
        <v/>
      </c>
      <c r="D744" s="38"/>
      <c r="E744" s="38"/>
      <c r="F744" s="38"/>
      <c r="G744" s="38"/>
      <c r="H744" s="38"/>
      <c r="I744" s="39"/>
      <c r="J744" s="38"/>
    </row>
    <row r="745" spans="2:10" ht="12.75" customHeight="1" x14ac:dyDescent="0.2">
      <c r="B745" s="37"/>
      <c r="C745" s="37" t="str">
        <f>IF(D745="","",MATCH(D745,Parametros!$B$4:$B$15,0))</f>
        <v/>
      </c>
      <c r="D745" s="38"/>
      <c r="E745" s="38"/>
      <c r="F745" s="38"/>
      <c r="G745" s="38"/>
      <c r="H745" s="38"/>
      <c r="I745" s="39"/>
      <c r="J745" s="38"/>
    </row>
    <row r="746" spans="2:10" ht="12.75" customHeight="1" x14ac:dyDescent="0.2">
      <c r="B746" s="37"/>
      <c r="C746" s="37" t="str">
        <f>IF(D746="","",MATCH(D746,Parametros!$B$4:$B$15,0))</f>
        <v/>
      </c>
      <c r="D746" s="38"/>
      <c r="E746" s="38"/>
      <c r="F746" s="38"/>
      <c r="G746" s="38"/>
      <c r="H746" s="38"/>
      <c r="I746" s="39"/>
      <c r="J746" s="38"/>
    </row>
    <row r="747" spans="2:10" ht="12.75" customHeight="1" x14ac:dyDescent="0.2">
      <c r="B747" s="37"/>
      <c r="C747" s="37" t="str">
        <f>IF(D747="","",MATCH(D747,Parametros!$B$4:$B$15,0))</f>
        <v/>
      </c>
      <c r="D747" s="38"/>
      <c r="E747" s="38"/>
      <c r="F747" s="38"/>
      <c r="G747" s="38"/>
      <c r="H747" s="38"/>
      <c r="I747" s="39"/>
      <c r="J747" s="38"/>
    </row>
    <row r="748" spans="2:10" ht="12.75" customHeight="1" x14ac:dyDescent="0.2">
      <c r="B748" s="37"/>
      <c r="C748" s="37" t="str">
        <f>IF(D748="","",MATCH(D748,Parametros!$B$4:$B$15,0))</f>
        <v/>
      </c>
      <c r="D748" s="38"/>
      <c r="E748" s="38"/>
      <c r="F748" s="38"/>
      <c r="G748" s="38"/>
      <c r="H748" s="38"/>
      <c r="I748" s="39"/>
      <c r="J748" s="38"/>
    </row>
    <row r="749" spans="2:10" ht="12.75" customHeight="1" x14ac:dyDescent="0.2">
      <c r="B749" s="37"/>
      <c r="C749" s="37" t="str">
        <f>IF(D749="","",MATCH(D749,Parametros!$B$4:$B$15,0))</f>
        <v/>
      </c>
      <c r="D749" s="38"/>
      <c r="E749" s="38"/>
      <c r="F749" s="38"/>
      <c r="G749" s="38"/>
      <c r="H749" s="38"/>
      <c r="I749" s="39"/>
      <c r="J749" s="38"/>
    </row>
    <row r="750" spans="2:10" ht="12.75" customHeight="1" x14ac:dyDescent="0.2">
      <c r="B750" s="37"/>
      <c r="C750" s="37" t="str">
        <f>IF(D750="","",MATCH(D750,Parametros!$B$4:$B$15,0))</f>
        <v/>
      </c>
      <c r="D750" s="38"/>
      <c r="E750" s="38"/>
      <c r="F750" s="38"/>
      <c r="G750" s="38"/>
      <c r="H750" s="38"/>
      <c r="I750" s="39"/>
      <c r="J750" s="38"/>
    </row>
    <row r="751" spans="2:10" ht="12.75" customHeight="1" x14ac:dyDescent="0.2">
      <c r="B751" s="37"/>
      <c r="C751" s="37" t="str">
        <f>IF(D751="","",MATCH(D751,Parametros!$B$4:$B$15,0))</f>
        <v/>
      </c>
      <c r="D751" s="38"/>
      <c r="E751" s="38"/>
      <c r="F751" s="38"/>
      <c r="G751" s="38"/>
      <c r="H751" s="38"/>
      <c r="I751" s="39"/>
      <c r="J751" s="38"/>
    </row>
    <row r="752" spans="2:10" ht="12.75" customHeight="1" x14ac:dyDescent="0.2">
      <c r="B752" s="37"/>
      <c r="C752" s="37" t="str">
        <f>IF(D752="","",MATCH(D752,Parametros!$B$4:$B$15,0))</f>
        <v/>
      </c>
      <c r="D752" s="38"/>
      <c r="E752" s="38"/>
      <c r="F752" s="38"/>
      <c r="G752" s="38"/>
      <c r="H752" s="38"/>
      <c r="I752" s="39"/>
      <c r="J752" s="38"/>
    </row>
    <row r="753" spans="2:10" ht="12.75" customHeight="1" x14ac:dyDescent="0.2">
      <c r="B753" s="37"/>
      <c r="C753" s="37" t="str">
        <f>IF(D753="","",MATCH(D753,Parametros!$B$4:$B$15,0))</f>
        <v/>
      </c>
      <c r="D753" s="38"/>
      <c r="E753" s="38"/>
      <c r="F753" s="38"/>
      <c r="G753" s="38"/>
      <c r="H753" s="38"/>
      <c r="I753" s="39"/>
      <c r="J753" s="38"/>
    </row>
    <row r="754" spans="2:10" ht="12.75" customHeight="1" x14ac:dyDescent="0.2">
      <c r="B754" s="37"/>
      <c r="C754" s="37" t="str">
        <f>IF(D754="","",MATCH(D754,Parametros!$B$4:$B$15,0))</f>
        <v/>
      </c>
      <c r="D754" s="38"/>
      <c r="E754" s="38"/>
      <c r="F754" s="38"/>
      <c r="G754" s="38"/>
      <c r="H754" s="38"/>
      <c r="I754" s="39"/>
      <c r="J754" s="38"/>
    </row>
    <row r="755" spans="2:10" ht="12.75" customHeight="1" x14ac:dyDescent="0.2">
      <c r="B755" s="37"/>
      <c r="C755" s="37" t="str">
        <f>IF(D755="","",MATCH(D755,Parametros!$B$4:$B$15,0))</f>
        <v/>
      </c>
      <c r="D755" s="38"/>
      <c r="E755" s="38"/>
      <c r="F755" s="38"/>
      <c r="G755" s="38"/>
      <c r="H755" s="38"/>
      <c r="I755" s="39"/>
      <c r="J755" s="38"/>
    </row>
    <row r="756" spans="2:10" ht="12.75" customHeight="1" x14ac:dyDescent="0.2">
      <c r="B756" s="37"/>
      <c r="C756" s="37" t="str">
        <f>IF(D756="","",MATCH(D756,Parametros!$B$4:$B$15,0))</f>
        <v/>
      </c>
      <c r="D756" s="38"/>
      <c r="E756" s="38"/>
      <c r="F756" s="38"/>
      <c r="G756" s="38"/>
      <c r="H756" s="38"/>
      <c r="I756" s="39"/>
      <c r="J756" s="38"/>
    </row>
    <row r="757" spans="2:10" ht="12.75" customHeight="1" x14ac:dyDescent="0.2">
      <c r="B757" s="37"/>
      <c r="C757" s="37" t="str">
        <f>IF(D757="","",MATCH(D757,Parametros!$B$4:$B$15,0))</f>
        <v/>
      </c>
      <c r="D757" s="38"/>
      <c r="E757" s="38"/>
      <c r="F757" s="38"/>
      <c r="G757" s="38"/>
      <c r="H757" s="38"/>
      <c r="I757" s="39"/>
      <c r="J757" s="38"/>
    </row>
    <row r="758" spans="2:10" ht="12.75" customHeight="1" x14ac:dyDescent="0.2">
      <c r="B758" s="37"/>
      <c r="C758" s="37" t="str">
        <f>IF(D758="","",MATCH(D758,Parametros!$B$4:$B$15,0))</f>
        <v/>
      </c>
      <c r="D758" s="38"/>
      <c r="E758" s="38"/>
      <c r="F758" s="38"/>
      <c r="G758" s="38"/>
      <c r="H758" s="38"/>
      <c r="I758" s="39"/>
      <c r="J758" s="38"/>
    </row>
    <row r="759" spans="2:10" ht="12.75" customHeight="1" x14ac:dyDescent="0.2">
      <c r="B759" s="37"/>
      <c r="C759" s="37" t="str">
        <f>IF(D759="","",MATCH(D759,Parametros!$B$4:$B$15,0))</f>
        <v/>
      </c>
      <c r="D759" s="38"/>
      <c r="E759" s="38"/>
      <c r="F759" s="38"/>
      <c r="G759" s="38"/>
      <c r="H759" s="38"/>
      <c r="I759" s="39"/>
      <c r="J759" s="38"/>
    </row>
    <row r="760" spans="2:10" ht="12.75" customHeight="1" x14ac:dyDescent="0.2">
      <c r="B760" s="37"/>
      <c r="C760" s="37" t="str">
        <f>IF(D760="","",MATCH(D760,Parametros!$B$4:$B$15,0))</f>
        <v/>
      </c>
      <c r="D760" s="38"/>
      <c r="E760" s="38"/>
      <c r="F760" s="38"/>
      <c r="G760" s="38"/>
      <c r="H760" s="38"/>
      <c r="I760" s="39"/>
      <c r="J760" s="38"/>
    </row>
    <row r="761" spans="2:10" ht="12.75" customHeight="1" x14ac:dyDescent="0.2">
      <c r="B761" s="37"/>
      <c r="C761" s="37" t="str">
        <f>IF(D761="","",MATCH(D761,Parametros!$B$4:$B$15,0))</f>
        <v/>
      </c>
      <c r="D761" s="38"/>
      <c r="E761" s="38"/>
      <c r="F761" s="38"/>
      <c r="G761" s="38"/>
      <c r="H761" s="38"/>
      <c r="I761" s="39"/>
      <c r="J761" s="38"/>
    </row>
    <row r="762" spans="2:10" ht="12.75" customHeight="1" x14ac:dyDescent="0.2">
      <c r="B762" s="37"/>
      <c r="C762" s="37" t="str">
        <f>IF(D762="","",MATCH(D762,Parametros!$B$4:$B$15,0))</f>
        <v/>
      </c>
      <c r="D762" s="38"/>
      <c r="E762" s="38"/>
      <c r="F762" s="38"/>
      <c r="G762" s="38"/>
      <c r="H762" s="38"/>
      <c r="I762" s="39"/>
      <c r="J762" s="38"/>
    </row>
    <row r="763" spans="2:10" ht="12.75" customHeight="1" x14ac:dyDescent="0.2">
      <c r="B763" s="37"/>
      <c r="C763" s="37" t="str">
        <f>IF(D763="","",MATCH(D763,Parametros!$B$4:$B$15,0))</f>
        <v/>
      </c>
      <c r="D763" s="38"/>
      <c r="E763" s="38"/>
      <c r="F763" s="38"/>
      <c r="G763" s="38"/>
      <c r="H763" s="38"/>
      <c r="I763" s="39"/>
      <c r="J763" s="38"/>
    </row>
    <row r="764" spans="2:10" ht="12.75" customHeight="1" x14ac:dyDescent="0.2">
      <c r="B764" s="37"/>
      <c r="C764" s="37" t="str">
        <f>IF(D764="","",MATCH(D764,Parametros!$B$4:$B$15,0))</f>
        <v/>
      </c>
      <c r="D764" s="38"/>
      <c r="E764" s="38"/>
      <c r="F764" s="38"/>
      <c r="G764" s="38"/>
      <c r="H764" s="38"/>
      <c r="I764" s="39"/>
      <c r="J764" s="38"/>
    </row>
    <row r="765" spans="2:10" ht="12.75" customHeight="1" x14ac:dyDescent="0.2">
      <c r="B765" s="37"/>
      <c r="C765" s="37" t="str">
        <f>IF(D765="","",MATCH(D765,Parametros!$B$4:$B$15,0))</f>
        <v/>
      </c>
      <c r="D765" s="38"/>
      <c r="E765" s="38"/>
      <c r="F765" s="38"/>
      <c r="G765" s="38"/>
      <c r="H765" s="38"/>
      <c r="I765" s="39"/>
      <c r="J765" s="38"/>
    </row>
    <row r="766" spans="2:10" ht="12.75" customHeight="1" x14ac:dyDescent="0.2">
      <c r="B766" s="37"/>
      <c r="C766" s="37" t="str">
        <f>IF(D766="","",MATCH(D766,Parametros!$B$4:$B$15,0))</f>
        <v/>
      </c>
      <c r="D766" s="38"/>
      <c r="E766" s="38"/>
      <c r="F766" s="38"/>
      <c r="G766" s="38"/>
      <c r="H766" s="38"/>
      <c r="I766" s="39"/>
      <c r="J766" s="38"/>
    </row>
    <row r="767" spans="2:10" ht="12.75" customHeight="1" x14ac:dyDescent="0.2">
      <c r="B767" s="37"/>
      <c r="C767" s="37" t="str">
        <f>IF(D767="","",MATCH(D767,Parametros!$B$4:$B$15,0))</f>
        <v/>
      </c>
      <c r="D767" s="38"/>
      <c r="E767" s="38"/>
      <c r="F767" s="38"/>
      <c r="G767" s="38"/>
      <c r="H767" s="38"/>
      <c r="I767" s="39"/>
      <c r="J767" s="38"/>
    </row>
    <row r="768" spans="2:10" ht="12.75" customHeight="1" x14ac:dyDescent="0.2">
      <c r="B768" s="37"/>
      <c r="C768" s="37" t="str">
        <f>IF(D768="","",MATCH(D768,Parametros!$B$4:$B$15,0))</f>
        <v/>
      </c>
      <c r="D768" s="38"/>
      <c r="E768" s="38"/>
      <c r="F768" s="38"/>
      <c r="G768" s="38"/>
      <c r="H768" s="38"/>
      <c r="I768" s="39"/>
      <c r="J768" s="38"/>
    </row>
    <row r="769" spans="2:10" ht="12.75" customHeight="1" x14ac:dyDescent="0.2">
      <c r="B769" s="37"/>
      <c r="C769" s="37" t="str">
        <f>IF(D769="","",MATCH(D769,Parametros!$B$4:$B$15,0))</f>
        <v/>
      </c>
      <c r="D769" s="38"/>
      <c r="E769" s="38"/>
      <c r="F769" s="38"/>
      <c r="G769" s="38"/>
      <c r="H769" s="38"/>
      <c r="I769" s="39"/>
      <c r="J769" s="38"/>
    </row>
    <row r="770" spans="2:10" ht="12.75" customHeight="1" x14ac:dyDescent="0.2">
      <c r="B770" s="37"/>
      <c r="C770" s="37" t="str">
        <f>IF(D770="","",MATCH(D770,Parametros!$B$4:$B$15,0))</f>
        <v/>
      </c>
      <c r="D770" s="38"/>
      <c r="E770" s="38"/>
      <c r="F770" s="38"/>
      <c r="G770" s="38"/>
      <c r="H770" s="38"/>
      <c r="I770" s="39"/>
      <c r="J770" s="38"/>
    </row>
    <row r="771" spans="2:10" ht="12.75" customHeight="1" x14ac:dyDescent="0.2">
      <c r="B771" s="37"/>
      <c r="C771" s="37" t="str">
        <f>IF(D771="","",MATCH(D771,Parametros!$B$4:$B$15,0))</f>
        <v/>
      </c>
      <c r="D771" s="38"/>
      <c r="E771" s="38"/>
      <c r="F771" s="38"/>
      <c r="G771" s="38"/>
      <c r="H771" s="38"/>
      <c r="I771" s="39"/>
      <c r="J771" s="38"/>
    </row>
    <row r="772" spans="2:10" ht="12.75" customHeight="1" x14ac:dyDescent="0.2">
      <c r="B772" s="37"/>
      <c r="C772" s="37" t="str">
        <f>IF(D772="","",MATCH(D772,Parametros!$B$4:$B$15,0))</f>
        <v/>
      </c>
      <c r="D772" s="38"/>
      <c r="E772" s="38"/>
      <c r="F772" s="38"/>
      <c r="G772" s="38"/>
      <c r="H772" s="38"/>
      <c r="I772" s="39"/>
      <c r="J772" s="38"/>
    </row>
    <row r="773" spans="2:10" ht="12.75" customHeight="1" x14ac:dyDescent="0.2">
      <c r="B773" s="37"/>
      <c r="C773" s="37" t="str">
        <f>IF(D773="","",MATCH(D773,Parametros!$B$4:$B$15,0))</f>
        <v/>
      </c>
      <c r="D773" s="38"/>
      <c r="E773" s="38"/>
      <c r="F773" s="38"/>
      <c r="G773" s="38"/>
      <c r="H773" s="38"/>
      <c r="I773" s="39"/>
      <c r="J773" s="38"/>
    </row>
    <row r="774" spans="2:10" ht="12.75" customHeight="1" x14ac:dyDescent="0.2">
      <c r="B774" s="37"/>
      <c r="C774" s="37" t="str">
        <f>IF(D774="","",MATCH(D774,Parametros!$B$4:$B$15,0))</f>
        <v/>
      </c>
      <c r="D774" s="38"/>
      <c r="E774" s="38"/>
      <c r="F774" s="38"/>
      <c r="G774" s="38"/>
      <c r="H774" s="38"/>
      <c r="I774" s="39"/>
      <c r="J774" s="38"/>
    </row>
    <row r="775" spans="2:10" ht="12.75" customHeight="1" x14ac:dyDescent="0.2">
      <c r="B775" s="37"/>
      <c r="C775" s="37" t="str">
        <f>IF(D775="","",MATCH(D775,Parametros!$B$4:$B$15,0))</f>
        <v/>
      </c>
      <c r="D775" s="38"/>
      <c r="E775" s="38"/>
      <c r="F775" s="38"/>
      <c r="G775" s="38"/>
      <c r="H775" s="38"/>
      <c r="I775" s="39"/>
      <c r="J775" s="38"/>
    </row>
    <row r="776" spans="2:10" ht="12.75" customHeight="1" x14ac:dyDescent="0.2">
      <c r="B776" s="37"/>
      <c r="C776" s="37" t="str">
        <f>IF(D776="","",MATCH(D776,Parametros!$B$4:$B$15,0))</f>
        <v/>
      </c>
      <c r="D776" s="38"/>
      <c r="E776" s="38"/>
      <c r="F776" s="38"/>
      <c r="G776" s="38"/>
      <c r="H776" s="38"/>
      <c r="I776" s="39"/>
      <c r="J776" s="38"/>
    </row>
    <row r="777" spans="2:10" ht="12.75" customHeight="1" x14ac:dyDescent="0.2">
      <c r="B777" s="37"/>
      <c r="C777" s="37" t="str">
        <f>IF(D777="","",MATCH(D777,Parametros!$B$4:$B$15,0))</f>
        <v/>
      </c>
      <c r="D777" s="38"/>
      <c r="E777" s="38"/>
      <c r="F777" s="38"/>
      <c r="G777" s="38"/>
      <c r="H777" s="38"/>
      <c r="I777" s="39"/>
      <c r="J777" s="38"/>
    </row>
    <row r="778" spans="2:10" ht="12.75" customHeight="1" x14ac:dyDescent="0.2">
      <c r="B778" s="37"/>
      <c r="C778" s="37" t="str">
        <f>IF(D778="","",MATCH(D778,Parametros!$B$4:$B$15,0))</f>
        <v/>
      </c>
      <c r="D778" s="38"/>
      <c r="E778" s="38"/>
      <c r="F778" s="38"/>
      <c r="G778" s="38"/>
      <c r="H778" s="38"/>
      <c r="I778" s="39"/>
      <c r="J778" s="38"/>
    </row>
    <row r="779" spans="2:10" ht="12.75" customHeight="1" x14ac:dyDescent="0.2">
      <c r="B779" s="37"/>
      <c r="C779" s="37" t="str">
        <f>IF(D779="","",MATCH(D779,Parametros!$B$4:$B$15,0))</f>
        <v/>
      </c>
      <c r="D779" s="38"/>
      <c r="E779" s="38"/>
      <c r="F779" s="38"/>
      <c r="G779" s="38"/>
      <c r="H779" s="38"/>
      <c r="I779" s="39"/>
      <c r="J779" s="38"/>
    </row>
    <row r="780" spans="2:10" ht="12.75" customHeight="1" x14ac:dyDescent="0.2">
      <c r="B780" s="37"/>
      <c r="C780" s="37" t="str">
        <f>IF(D780="","",MATCH(D780,Parametros!$B$4:$B$15,0))</f>
        <v/>
      </c>
      <c r="D780" s="38"/>
      <c r="E780" s="38"/>
      <c r="F780" s="38"/>
      <c r="G780" s="38"/>
      <c r="H780" s="38"/>
      <c r="I780" s="39"/>
      <c r="J780" s="38"/>
    </row>
    <row r="781" spans="2:10" ht="12.75" customHeight="1" x14ac:dyDescent="0.2">
      <c r="B781" s="37"/>
      <c r="C781" s="37" t="str">
        <f>IF(D781="","",MATCH(D781,Parametros!$B$4:$B$15,0))</f>
        <v/>
      </c>
      <c r="D781" s="38"/>
      <c r="E781" s="38"/>
      <c r="F781" s="38"/>
      <c r="G781" s="38"/>
      <c r="H781" s="38"/>
      <c r="I781" s="39"/>
      <c r="J781" s="38"/>
    </row>
    <row r="782" spans="2:10" ht="12.75" customHeight="1" x14ac:dyDescent="0.2">
      <c r="B782" s="37"/>
      <c r="C782" s="37" t="str">
        <f>IF(D782="","",MATCH(D782,Parametros!$B$4:$B$15,0))</f>
        <v/>
      </c>
      <c r="D782" s="38"/>
      <c r="E782" s="38"/>
      <c r="F782" s="38"/>
      <c r="G782" s="38"/>
      <c r="H782" s="38"/>
      <c r="I782" s="39"/>
      <c r="J782" s="38"/>
    </row>
    <row r="783" spans="2:10" ht="12.75" customHeight="1" x14ac:dyDescent="0.2">
      <c r="B783" s="37"/>
      <c r="C783" s="37" t="str">
        <f>IF(D783="","",MATCH(D783,Parametros!$B$4:$B$15,0))</f>
        <v/>
      </c>
      <c r="D783" s="38"/>
      <c r="E783" s="38"/>
      <c r="F783" s="38"/>
      <c r="G783" s="38"/>
      <c r="H783" s="38"/>
      <c r="I783" s="39"/>
      <c r="J783" s="38"/>
    </row>
    <row r="784" spans="2:10" ht="12.75" customHeight="1" x14ac:dyDescent="0.2">
      <c r="B784" s="37"/>
      <c r="C784" s="37" t="str">
        <f>IF(D784="","",MATCH(D784,Parametros!$B$4:$B$15,0))</f>
        <v/>
      </c>
      <c r="D784" s="38"/>
      <c r="E784" s="38"/>
      <c r="F784" s="38"/>
      <c r="G784" s="38"/>
      <c r="H784" s="38"/>
      <c r="I784" s="39"/>
      <c r="J784" s="38"/>
    </row>
    <row r="785" spans="2:10" ht="12.75" customHeight="1" x14ac:dyDescent="0.2">
      <c r="B785" s="37"/>
      <c r="C785" s="37" t="str">
        <f>IF(D785="","",MATCH(D785,Parametros!$B$4:$B$15,0))</f>
        <v/>
      </c>
      <c r="D785" s="38"/>
      <c r="E785" s="38"/>
      <c r="F785" s="38"/>
      <c r="G785" s="38"/>
      <c r="H785" s="38"/>
      <c r="I785" s="39"/>
      <c r="J785" s="38"/>
    </row>
    <row r="786" spans="2:10" ht="12.75" customHeight="1" x14ac:dyDescent="0.2">
      <c r="B786" s="37"/>
      <c r="C786" s="37" t="str">
        <f>IF(D786="","",MATCH(D786,Parametros!$B$4:$B$15,0))</f>
        <v/>
      </c>
      <c r="D786" s="38"/>
      <c r="E786" s="38"/>
      <c r="F786" s="38"/>
      <c r="G786" s="38"/>
      <c r="H786" s="38"/>
      <c r="I786" s="39"/>
      <c r="J786" s="38"/>
    </row>
    <row r="787" spans="2:10" ht="12.75" customHeight="1" x14ac:dyDescent="0.2">
      <c r="B787" s="37"/>
      <c r="C787" s="37" t="str">
        <f>IF(D787="","",MATCH(D787,Parametros!$B$4:$B$15,0))</f>
        <v/>
      </c>
      <c r="D787" s="38"/>
      <c r="E787" s="38"/>
      <c r="F787" s="38"/>
      <c r="G787" s="38"/>
      <c r="H787" s="38"/>
      <c r="I787" s="39"/>
      <c r="J787" s="38"/>
    </row>
    <row r="788" spans="2:10" ht="12.75" customHeight="1" x14ac:dyDescent="0.2">
      <c r="B788" s="37"/>
      <c r="C788" s="37" t="str">
        <f>IF(D788="","",MATCH(D788,Parametros!$B$4:$B$15,0))</f>
        <v/>
      </c>
      <c r="D788" s="38"/>
      <c r="E788" s="38"/>
      <c r="F788" s="38"/>
      <c r="G788" s="38"/>
      <c r="H788" s="38"/>
      <c r="I788" s="39"/>
      <c r="J788" s="38"/>
    </row>
    <row r="789" spans="2:10" ht="12.75" customHeight="1" x14ac:dyDescent="0.2">
      <c r="B789" s="37"/>
      <c r="C789" s="37" t="str">
        <f>IF(D789="","",MATCH(D789,Parametros!$B$4:$B$15,0))</f>
        <v/>
      </c>
      <c r="D789" s="38"/>
      <c r="E789" s="38"/>
      <c r="F789" s="38"/>
      <c r="G789" s="38"/>
      <c r="H789" s="38"/>
      <c r="I789" s="39"/>
      <c r="J789" s="38"/>
    </row>
    <row r="790" spans="2:10" ht="12.75" customHeight="1" x14ac:dyDescent="0.2">
      <c r="B790" s="37"/>
      <c r="C790" s="37" t="str">
        <f>IF(D790="","",MATCH(D790,Parametros!$B$4:$B$15,0))</f>
        <v/>
      </c>
      <c r="D790" s="38"/>
      <c r="E790" s="38"/>
      <c r="F790" s="38"/>
      <c r="G790" s="38"/>
      <c r="H790" s="38"/>
      <c r="I790" s="39"/>
      <c r="J790" s="38"/>
    </row>
    <row r="791" spans="2:10" ht="12.75" customHeight="1" x14ac:dyDescent="0.2">
      <c r="B791" s="37"/>
      <c r="C791" s="37" t="str">
        <f>IF(D791="","",MATCH(D791,Parametros!$B$4:$B$15,0))</f>
        <v/>
      </c>
      <c r="D791" s="38"/>
      <c r="E791" s="38"/>
      <c r="F791" s="38"/>
      <c r="G791" s="38"/>
      <c r="H791" s="38"/>
      <c r="I791" s="39"/>
      <c r="J791" s="38"/>
    </row>
    <row r="792" spans="2:10" ht="12.75" customHeight="1" x14ac:dyDescent="0.2">
      <c r="B792" s="37"/>
      <c r="C792" s="37" t="str">
        <f>IF(D792="","",MATCH(D792,Parametros!$B$4:$B$15,0))</f>
        <v/>
      </c>
      <c r="D792" s="38"/>
      <c r="E792" s="38"/>
      <c r="F792" s="38"/>
      <c r="G792" s="38"/>
      <c r="H792" s="38"/>
      <c r="I792" s="39"/>
      <c r="J792" s="38"/>
    </row>
    <row r="793" spans="2:10" ht="12.75" customHeight="1" x14ac:dyDescent="0.2">
      <c r="B793" s="37"/>
      <c r="C793" s="37" t="str">
        <f>IF(D793="","",MATCH(D793,Parametros!$B$4:$B$15,0))</f>
        <v/>
      </c>
      <c r="D793" s="38"/>
      <c r="E793" s="38"/>
      <c r="F793" s="38"/>
      <c r="G793" s="38"/>
      <c r="H793" s="38"/>
      <c r="I793" s="39"/>
      <c r="J793" s="38"/>
    </row>
    <row r="794" spans="2:10" ht="12.75" customHeight="1" x14ac:dyDescent="0.2">
      <c r="B794" s="37"/>
      <c r="C794" s="37" t="str">
        <f>IF(D794="","",MATCH(D794,Parametros!$B$4:$B$15,0))</f>
        <v/>
      </c>
      <c r="D794" s="38"/>
      <c r="E794" s="38"/>
      <c r="F794" s="38"/>
      <c r="G794" s="38"/>
      <c r="H794" s="38"/>
      <c r="I794" s="39"/>
      <c r="J794" s="38"/>
    </row>
    <row r="795" spans="2:10" ht="12.75" customHeight="1" x14ac:dyDescent="0.2">
      <c r="B795" s="37"/>
      <c r="C795" s="37" t="str">
        <f>IF(D795="","",MATCH(D795,Parametros!$B$4:$B$15,0))</f>
        <v/>
      </c>
      <c r="D795" s="38"/>
      <c r="E795" s="38"/>
      <c r="F795" s="38"/>
      <c r="G795" s="38"/>
      <c r="H795" s="38"/>
      <c r="I795" s="39"/>
      <c r="J795" s="38"/>
    </row>
    <row r="796" spans="2:10" ht="12.75" customHeight="1" x14ac:dyDescent="0.2">
      <c r="B796" s="37"/>
      <c r="C796" s="37" t="str">
        <f>IF(D796="","",MATCH(D796,Parametros!$B$4:$B$15,0))</f>
        <v/>
      </c>
      <c r="D796" s="38"/>
      <c r="E796" s="38"/>
      <c r="F796" s="38"/>
      <c r="G796" s="38"/>
      <c r="H796" s="38"/>
      <c r="I796" s="39"/>
      <c r="J796" s="38"/>
    </row>
    <row r="797" spans="2:10" ht="12.75" customHeight="1" x14ac:dyDescent="0.2">
      <c r="B797" s="37"/>
      <c r="C797" s="37" t="str">
        <f>IF(D797="","",MATCH(D797,Parametros!$B$4:$B$15,0))</f>
        <v/>
      </c>
      <c r="D797" s="38"/>
      <c r="E797" s="38"/>
      <c r="F797" s="38"/>
      <c r="G797" s="38"/>
      <c r="H797" s="38"/>
      <c r="I797" s="39"/>
      <c r="J797" s="38"/>
    </row>
    <row r="798" spans="2:10" ht="12.75" customHeight="1" x14ac:dyDescent="0.2">
      <c r="B798" s="37"/>
      <c r="C798" s="37" t="str">
        <f>IF(D798="","",MATCH(D798,Parametros!$B$4:$B$15,0))</f>
        <v/>
      </c>
      <c r="D798" s="38"/>
      <c r="E798" s="38"/>
      <c r="F798" s="38"/>
      <c r="G798" s="38"/>
      <c r="H798" s="38"/>
      <c r="I798" s="39"/>
      <c r="J798" s="38"/>
    </row>
    <row r="799" spans="2:10" ht="12.75" customHeight="1" x14ac:dyDescent="0.2">
      <c r="B799" s="37"/>
      <c r="C799" s="37" t="str">
        <f>IF(D799="","",MATCH(D799,Parametros!$B$4:$B$15,0))</f>
        <v/>
      </c>
      <c r="D799" s="38"/>
      <c r="E799" s="38"/>
      <c r="F799" s="38"/>
      <c r="G799" s="38"/>
      <c r="H799" s="38"/>
      <c r="I799" s="39"/>
      <c r="J799" s="38"/>
    </row>
    <row r="800" spans="2:10" ht="12.75" customHeight="1" x14ac:dyDescent="0.2">
      <c r="B800" s="37"/>
      <c r="C800" s="37" t="str">
        <f>IF(D800="","",MATCH(D800,Parametros!$B$4:$B$15,0))</f>
        <v/>
      </c>
      <c r="D800" s="38"/>
      <c r="E800" s="38"/>
      <c r="F800" s="38"/>
      <c r="G800" s="38"/>
      <c r="H800" s="38"/>
      <c r="I800" s="39"/>
      <c r="J800" s="38"/>
    </row>
    <row r="801" spans="2:10" ht="12.75" customHeight="1" x14ac:dyDescent="0.2">
      <c r="B801" s="37"/>
      <c r="C801" s="37" t="str">
        <f>IF(D801="","",MATCH(D801,Parametros!$B$4:$B$15,0))</f>
        <v/>
      </c>
      <c r="D801" s="38"/>
      <c r="E801" s="38"/>
      <c r="F801" s="38"/>
      <c r="G801" s="38"/>
      <c r="H801" s="38"/>
      <c r="I801" s="39"/>
      <c r="J801" s="38"/>
    </row>
    <row r="802" spans="2:10" ht="12.75" customHeight="1" x14ac:dyDescent="0.2">
      <c r="B802" s="37"/>
      <c r="C802" s="37" t="str">
        <f>IF(D802="","",MATCH(D802,Parametros!$B$4:$B$15,0))</f>
        <v/>
      </c>
      <c r="D802" s="38"/>
      <c r="E802" s="38"/>
      <c r="F802" s="38"/>
      <c r="G802" s="38"/>
      <c r="H802" s="38"/>
      <c r="I802" s="39"/>
      <c r="J802" s="38"/>
    </row>
    <row r="803" spans="2:10" ht="12.75" customHeight="1" x14ac:dyDescent="0.2">
      <c r="B803" s="37"/>
      <c r="C803" s="37" t="str">
        <f>IF(D803="","",MATCH(D803,Parametros!$B$4:$B$15,0))</f>
        <v/>
      </c>
      <c r="D803" s="38"/>
      <c r="E803" s="38"/>
      <c r="F803" s="38"/>
      <c r="G803" s="38"/>
      <c r="H803" s="38"/>
      <c r="I803" s="39"/>
      <c r="J803" s="38"/>
    </row>
    <row r="804" spans="2:10" ht="12.75" customHeight="1" x14ac:dyDescent="0.2">
      <c r="B804" s="37"/>
      <c r="C804" s="37" t="str">
        <f>IF(D804="","",MATCH(D804,Parametros!$B$4:$B$15,0))</f>
        <v/>
      </c>
      <c r="D804" s="38"/>
      <c r="E804" s="38"/>
      <c r="F804" s="38"/>
      <c r="G804" s="38"/>
      <c r="H804" s="38"/>
      <c r="I804" s="39"/>
      <c r="J804" s="38"/>
    </row>
    <row r="805" spans="2:10" ht="12.75" customHeight="1" x14ac:dyDescent="0.2">
      <c r="B805" s="37"/>
      <c r="C805" s="37" t="str">
        <f>IF(D805="","",MATCH(D805,Parametros!$B$4:$B$15,0))</f>
        <v/>
      </c>
      <c r="D805" s="38"/>
      <c r="E805" s="38"/>
      <c r="F805" s="38"/>
      <c r="G805" s="38"/>
      <c r="H805" s="38"/>
      <c r="I805" s="39"/>
      <c r="J805" s="38"/>
    </row>
    <row r="806" spans="2:10" ht="12.75" customHeight="1" x14ac:dyDescent="0.2">
      <c r="B806" s="37"/>
      <c r="C806" s="37" t="str">
        <f>IF(D806="","",MATCH(D806,Parametros!$B$4:$B$15,0))</f>
        <v/>
      </c>
      <c r="D806" s="38"/>
      <c r="E806" s="38"/>
      <c r="F806" s="38"/>
      <c r="G806" s="38"/>
      <c r="H806" s="38"/>
      <c r="I806" s="39"/>
      <c r="J806" s="38"/>
    </row>
    <row r="807" spans="2:10" ht="12.75" customHeight="1" x14ac:dyDescent="0.2">
      <c r="B807" s="37"/>
      <c r="C807" s="37" t="str">
        <f>IF(D807="","",MATCH(D807,Parametros!$B$4:$B$15,0))</f>
        <v/>
      </c>
      <c r="D807" s="38"/>
      <c r="E807" s="38"/>
      <c r="F807" s="38"/>
      <c r="G807" s="38"/>
      <c r="H807" s="38"/>
      <c r="I807" s="39"/>
      <c r="J807" s="38"/>
    </row>
    <row r="808" spans="2:10" ht="12.75" customHeight="1" x14ac:dyDescent="0.2">
      <c r="B808" s="37"/>
      <c r="C808" s="37" t="str">
        <f>IF(D808="","",MATCH(D808,Parametros!$B$4:$B$15,0))</f>
        <v/>
      </c>
      <c r="D808" s="38"/>
      <c r="E808" s="38"/>
      <c r="F808" s="38"/>
      <c r="G808" s="38"/>
      <c r="H808" s="38"/>
      <c r="I808" s="39"/>
      <c r="J808" s="38"/>
    </row>
    <row r="809" spans="2:10" ht="12.75" customHeight="1" x14ac:dyDescent="0.2">
      <c r="B809" s="37"/>
      <c r="C809" s="37" t="str">
        <f>IF(D809="","",MATCH(D809,Parametros!$B$4:$B$15,0))</f>
        <v/>
      </c>
      <c r="D809" s="38"/>
      <c r="E809" s="38"/>
      <c r="F809" s="38"/>
      <c r="G809" s="38"/>
      <c r="H809" s="38"/>
      <c r="I809" s="39"/>
      <c r="J809" s="38"/>
    </row>
    <row r="810" spans="2:10" ht="12.75" customHeight="1" x14ac:dyDescent="0.2">
      <c r="B810" s="37"/>
      <c r="C810" s="37" t="str">
        <f>IF(D810="","",MATCH(D810,Parametros!$B$4:$B$15,0))</f>
        <v/>
      </c>
      <c r="D810" s="38"/>
      <c r="E810" s="38"/>
      <c r="F810" s="38"/>
      <c r="G810" s="38"/>
      <c r="H810" s="38"/>
      <c r="I810" s="39"/>
      <c r="J810" s="38"/>
    </row>
    <row r="811" spans="2:10" ht="12.75" customHeight="1" x14ac:dyDescent="0.2">
      <c r="B811" s="37"/>
      <c r="C811" s="37" t="str">
        <f>IF(D811="","",MATCH(D811,Parametros!$B$4:$B$15,0))</f>
        <v/>
      </c>
      <c r="D811" s="38"/>
      <c r="E811" s="38"/>
      <c r="F811" s="38"/>
      <c r="G811" s="38"/>
      <c r="H811" s="38"/>
      <c r="I811" s="39"/>
      <c r="J811" s="38"/>
    </row>
    <row r="812" spans="2:10" ht="12.75" customHeight="1" x14ac:dyDescent="0.2">
      <c r="B812" s="37"/>
      <c r="C812" s="37" t="str">
        <f>IF(D812="","",MATCH(D812,Parametros!$B$4:$B$15,0))</f>
        <v/>
      </c>
      <c r="D812" s="38"/>
      <c r="E812" s="38"/>
      <c r="F812" s="38"/>
      <c r="G812" s="38"/>
      <c r="H812" s="38"/>
      <c r="I812" s="39"/>
      <c r="J812" s="38"/>
    </row>
    <row r="813" spans="2:10" ht="12.75" customHeight="1" x14ac:dyDescent="0.2">
      <c r="B813" s="37"/>
      <c r="C813" s="37" t="str">
        <f>IF(D813="","",MATCH(D813,Parametros!$B$4:$B$15,0))</f>
        <v/>
      </c>
      <c r="D813" s="38"/>
      <c r="E813" s="38"/>
      <c r="F813" s="38"/>
      <c r="G813" s="38"/>
      <c r="H813" s="38"/>
      <c r="I813" s="39"/>
      <c r="J813" s="38"/>
    </row>
    <row r="814" spans="2:10" ht="12.75" customHeight="1" x14ac:dyDescent="0.2">
      <c r="B814" s="37"/>
      <c r="C814" s="37" t="str">
        <f>IF(D814="","",MATCH(D814,Parametros!$B$4:$B$15,0))</f>
        <v/>
      </c>
      <c r="D814" s="38"/>
      <c r="E814" s="38"/>
      <c r="F814" s="38"/>
      <c r="G814" s="38"/>
      <c r="H814" s="38"/>
      <c r="I814" s="39"/>
      <c r="J814" s="38"/>
    </row>
    <row r="815" spans="2:10" ht="12.75" customHeight="1" x14ac:dyDescent="0.2">
      <c r="B815" s="37"/>
      <c r="C815" s="37" t="str">
        <f>IF(D815="","",MATCH(D815,Parametros!$B$4:$B$15,0))</f>
        <v/>
      </c>
      <c r="D815" s="38"/>
      <c r="E815" s="38"/>
      <c r="F815" s="38"/>
      <c r="G815" s="38"/>
      <c r="H815" s="38"/>
      <c r="I815" s="39"/>
      <c r="J815" s="38"/>
    </row>
    <row r="816" spans="2:10" ht="12.75" customHeight="1" x14ac:dyDescent="0.2">
      <c r="B816" s="37"/>
      <c r="C816" s="37" t="str">
        <f>IF(D816="","",MATCH(D816,Parametros!$B$4:$B$15,0))</f>
        <v/>
      </c>
      <c r="D816" s="38"/>
      <c r="E816" s="38"/>
      <c r="F816" s="38"/>
      <c r="G816" s="38"/>
      <c r="H816" s="38"/>
      <c r="I816" s="39"/>
      <c r="J816" s="38"/>
    </row>
    <row r="817" spans="2:10" ht="12.75" customHeight="1" x14ac:dyDescent="0.2">
      <c r="B817" s="37"/>
      <c r="C817" s="37" t="str">
        <f>IF(D817="","",MATCH(D817,Parametros!$B$4:$B$15,0))</f>
        <v/>
      </c>
      <c r="D817" s="38"/>
      <c r="E817" s="38"/>
      <c r="F817" s="38"/>
      <c r="G817" s="38"/>
      <c r="H817" s="38"/>
      <c r="I817" s="39"/>
      <c r="J817" s="38"/>
    </row>
    <row r="818" spans="2:10" ht="12.75" customHeight="1" x14ac:dyDescent="0.2">
      <c r="B818" s="37"/>
      <c r="C818" s="37" t="str">
        <f>IF(D818="","",MATCH(D818,Parametros!$B$4:$B$15,0))</f>
        <v/>
      </c>
      <c r="D818" s="38"/>
      <c r="E818" s="38"/>
      <c r="F818" s="38"/>
      <c r="G818" s="38"/>
      <c r="H818" s="38"/>
      <c r="I818" s="39"/>
      <c r="J818" s="38"/>
    </row>
    <row r="819" spans="2:10" ht="12.75" customHeight="1" x14ac:dyDescent="0.2">
      <c r="B819" s="37"/>
      <c r="C819" s="37" t="str">
        <f>IF(D819="","",MATCH(D819,Parametros!$B$4:$B$15,0))</f>
        <v/>
      </c>
      <c r="D819" s="38"/>
      <c r="E819" s="38"/>
      <c r="F819" s="38"/>
      <c r="G819" s="38"/>
      <c r="H819" s="38"/>
      <c r="I819" s="39"/>
      <c r="J819" s="38"/>
    </row>
    <row r="820" spans="2:10" ht="12.75" customHeight="1" x14ac:dyDescent="0.2">
      <c r="B820" s="37"/>
      <c r="C820" s="37" t="str">
        <f>IF(D820="","",MATCH(D820,Parametros!$B$4:$B$15,0))</f>
        <v/>
      </c>
      <c r="D820" s="38"/>
      <c r="E820" s="38"/>
      <c r="F820" s="38"/>
      <c r="G820" s="38"/>
      <c r="H820" s="38"/>
      <c r="I820" s="39"/>
      <c r="J820" s="38"/>
    </row>
    <row r="821" spans="2:10" ht="12.75" customHeight="1" x14ac:dyDescent="0.2">
      <c r="B821" s="37"/>
      <c r="C821" s="37" t="str">
        <f>IF(D821="","",MATCH(D821,Parametros!$B$4:$B$15,0))</f>
        <v/>
      </c>
      <c r="D821" s="38"/>
      <c r="E821" s="38"/>
      <c r="F821" s="38"/>
      <c r="G821" s="38"/>
      <c r="H821" s="38"/>
      <c r="I821" s="39"/>
      <c r="J821" s="38"/>
    </row>
    <row r="822" spans="2:10" ht="12.75" customHeight="1" x14ac:dyDescent="0.2">
      <c r="B822" s="37"/>
      <c r="C822" s="37" t="str">
        <f>IF(D822="","",MATCH(D822,Parametros!$B$4:$B$15,0))</f>
        <v/>
      </c>
      <c r="D822" s="38"/>
      <c r="E822" s="38"/>
      <c r="F822" s="38"/>
      <c r="G822" s="38"/>
      <c r="H822" s="38"/>
      <c r="I822" s="39"/>
      <c r="J822" s="38"/>
    </row>
    <row r="823" spans="2:10" ht="12.75" customHeight="1" x14ac:dyDescent="0.2">
      <c r="B823" s="37"/>
      <c r="C823" s="37" t="str">
        <f>IF(D823="","",MATCH(D823,Parametros!$B$4:$B$15,0))</f>
        <v/>
      </c>
      <c r="D823" s="38"/>
      <c r="E823" s="38"/>
      <c r="F823" s="38"/>
      <c r="G823" s="38"/>
      <c r="H823" s="38"/>
      <c r="I823" s="39"/>
      <c r="J823" s="38"/>
    </row>
    <row r="824" spans="2:10" ht="12.75" customHeight="1" x14ac:dyDescent="0.2">
      <c r="B824" s="37"/>
      <c r="C824" s="37" t="str">
        <f>IF(D824="","",MATCH(D824,Parametros!$B$4:$B$15,0))</f>
        <v/>
      </c>
      <c r="D824" s="38"/>
      <c r="E824" s="38"/>
      <c r="F824" s="38"/>
      <c r="G824" s="38"/>
      <c r="H824" s="38"/>
      <c r="I824" s="39"/>
      <c r="J824" s="38"/>
    </row>
    <row r="825" spans="2:10" ht="12.75" customHeight="1" x14ac:dyDescent="0.2">
      <c r="B825" s="37"/>
      <c r="C825" s="37" t="str">
        <f>IF(D825="","",MATCH(D825,Parametros!$B$4:$B$15,0))</f>
        <v/>
      </c>
      <c r="D825" s="38"/>
      <c r="E825" s="38"/>
      <c r="F825" s="38"/>
      <c r="G825" s="38"/>
      <c r="H825" s="38"/>
      <c r="I825" s="39"/>
      <c r="J825" s="38"/>
    </row>
    <row r="826" spans="2:10" ht="12.75" customHeight="1" x14ac:dyDescent="0.2">
      <c r="B826" s="37"/>
      <c r="C826" s="37" t="str">
        <f>IF(D826="","",MATCH(D826,Parametros!$B$4:$B$15,0))</f>
        <v/>
      </c>
      <c r="D826" s="38"/>
      <c r="E826" s="38"/>
      <c r="F826" s="38"/>
      <c r="G826" s="38"/>
      <c r="H826" s="38"/>
      <c r="I826" s="39"/>
      <c r="J826" s="38"/>
    </row>
    <row r="827" spans="2:10" ht="12.75" customHeight="1" x14ac:dyDescent="0.2">
      <c r="B827" s="37"/>
      <c r="C827" s="37" t="str">
        <f>IF(D827="","",MATCH(D827,Parametros!$B$4:$B$15,0))</f>
        <v/>
      </c>
      <c r="D827" s="38"/>
      <c r="E827" s="38"/>
      <c r="F827" s="38"/>
      <c r="G827" s="38"/>
      <c r="H827" s="38"/>
      <c r="I827" s="39"/>
      <c r="J827" s="38"/>
    </row>
    <row r="828" spans="2:10" ht="12.75" customHeight="1" x14ac:dyDescent="0.2">
      <c r="B828" s="37"/>
      <c r="C828" s="37" t="str">
        <f>IF(D828="","",MATCH(D828,Parametros!$B$4:$B$15,0))</f>
        <v/>
      </c>
      <c r="D828" s="38"/>
      <c r="E828" s="38"/>
      <c r="F828" s="38"/>
      <c r="G828" s="38"/>
      <c r="H828" s="38"/>
      <c r="I828" s="39"/>
      <c r="J828" s="38"/>
    </row>
    <row r="829" spans="2:10" ht="12.75" customHeight="1" x14ac:dyDescent="0.2">
      <c r="B829" s="37"/>
      <c r="C829" s="37" t="str">
        <f>IF(D829="","",MATCH(D829,Parametros!$B$4:$B$15,0))</f>
        <v/>
      </c>
      <c r="D829" s="38"/>
      <c r="E829" s="38"/>
      <c r="F829" s="38"/>
      <c r="G829" s="38"/>
      <c r="H829" s="38"/>
      <c r="I829" s="39"/>
      <c r="J829" s="38"/>
    </row>
    <row r="830" spans="2:10" ht="12.75" customHeight="1" x14ac:dyDescent="0.2">
      <c r="B830" s="37"/>
      <c r="C830" s="37" t="str">
        <f>IF(D830="","",MATCH(D830,Parametros!$B$4:$B$15,0))</f>
        <v/>
      </c>
      <c r="D830" s="38"/>
      <c r="E830" s="38"/>
      <c r="F830" s="38"/>
      <c r="G830" s="38"/>
      <c r="H830" s="38"/>
      <c r="I830" s="39"/>
      <c r="J830" s="38"/>
    </row>
    <row r="831" spans="2:10" ht="12.75" customHeight="1" x14ac:dyDescent="0.2">
      <c r="B831" s="37"/>
      <c r="C831" s="37" t="str">
        <f>IF(D831="","",MATCH(D831,Parametros!$B$4:$B$15,0))</f>
        <v/>
      </c>
      <c r="D831" s="38"/>
      <c r="E831" s="38"/>
      <c r="F831" s="38"/>
      <c r="G831" s="38"/>
      <c r="H831" s="38"/>
      <c r="I831" s="39"/>
      <c r="J831" s="38"/>
    </row>
    <row r="832" spans="2:10" ht="12.75" customHeight="1" x14ac:dyDescent="0.2">
      <c r="B832" s="37"/>
      <c r="C832" s="37" t="str">
        <f>IF(D832="","",MATCH(D832,Parametros!$B$4:$B$15,0))</f>
        <v/>
      </c>
      <c r="D832" s="38"/>
      <c r="E832" s="38"/>
      <c r="F832" s="38"/>
      <c r="G832" s="38"/>
      <c r="H832" s="38"/>
      <c r="I832" s="39"/>
      <c r="J832" s="38"/>
    </row>
    <row r="833" spans="2:10" ht="12.75" customHeight="1" x14ac:dyDescent="0.2">
      <c r="B833" s="37"/>
      <c r="C833" s="37" t="str">
        <f>IF(D833="","",MATCH(D833,Parametros!$B$4:$B$15,0))</f>
        <v/>
      </c>
      <c r="D833" s="38"/>
      <c r="E833" s="38"/>
      <c r="F833" s="38"/>
      <c r="G833" s="38"/>
      <c r="H833" s="38"/>
      <c r="I833" s="39"/>
      <c r="J833" s="38"/>
    </row>
    <row r="834" spans="2:10" ht="12.75" customHeight="1" x14ac:dyDescent="0.2">
      <c r="B834" s="37"/>
      <c r="C834" s="37" t="str">
        <f>IF(D834="","",MATCH(D834,Parametros!$B$4:$B$15,0))</f>
        <v/>
      </c>
      <c r="D834" s="38"/>
      <c r="E834" s="38"/>
      <c r="F834" s="38"/>
      <c r="G834" s="38"/>
      <c r="H834" s="38"/>
      <c r="I834" s="39"/>
      <c r="J834" s="38"/>
    </row>
    <row r="835" spans="2:10" ht="12.75" customHeight="1" x14ac:dyDescent="0.2">
      <c r="B835" s="37"/>
      <c r="C835" s="37" t="str">
        <f>IF(D835="","",MATCH(D835,Parametros!$B$4:$B$15,0))</f>
        <v/>
      </c>
      <c r="D835" s="38"/>
      <c r="E835" s="38"/>
      <c r="F835" s="38"/>
      <c r="G835" s="38"/>
      <c r="H835" s="38"/>
      <c r="I835" s="39"/>
      <c r="J835" s="38"/>
    </row>
    <row r="836" spans="2:10" ht="12.75" customHeight="1" x14ac:dyDescent="0.2">
      <c r="B836" s="37"/>
      <c r="C836" s="37" t="str">
        <f>IF(D836="","",MATCH(D836,Parametros!$B$4:$B$15,0))</f>
        <v/>
      </c>
      <c r="D836" s="38"/>
      <c r="E836" s="38"/>
      <c r="F836" s="38"/>
      <c r="G836" s="38"/>
      <c r="H836" s="38"/>
      <c r="I836" s="39"/>
      <c r="J836" s="38"/>
    </row>
    <row r="837" spans="2:10" ht="12.75" customHeight="1" x14ac:dyDescent="0.2">
      <c r="B837" s="37"/>
      <c r="C837" s="37" t="str">
        <f>IF(D837="","",MATCH(D837,Parametros!$B$4:$B$15,0))</f>
        <v/>
      </c>
      <c r="D837" s="38"/>
      <c r="E837" s="38"/>
      <c r="F837" s="38"/>
      <c r="G837" s="38"/>
      <c r="H837" s="38"/>
      <c r="I837" s="39"/>
      <c r="J837" s="38"/>
    </row>
    <row r="838" spans="2:10" ht="12.75" customHeight="1" x14ac:dyDescent="0.2">
      <c r="B838" s="37"/>
      <c r="C838" s="37" t="str">
        <f>IF(D838="","",MATCH(D838,Parametros!$B$4:$B$15,0))</f>
        <v/>
      </c>
      <c r="D838" s="38"/>
      <c r="E838" s="38"/>
      <c r="F838" s="38"/>
      <c r="G838" s="38"/>
      <c r="H838" s="38"/>
      <c r="I838" s="39"/>
      <c r="J838" s="38"/>
    </row>
    <row r="839" spans="2:10" ht="12.75" customHeight="1" x14ac:dyDescent="0.2">
      <c r="B839" s="37"/>
      <c r="C839" s="37" t="str">
        <f>IF(D839="","",MATCH(D839,Parametros!$B$4:$B$15,0))</f>
        <v/>
      </c>
      <c r="D839" s="38"/>
      <c r="E839" s="38"/>
      <c r="F839" s="38"/>
      <c r="G839" s="38"/>
      <c r="H839" s="38"/>
      <c r="I839" s="39"/>
      <c r="J839" s="38"/>
    </row>
    <row r="840" spans="2:10" ht="12.75" customHeight="1" x14ac:dyDescent="0.2">
      <c r="B840" s="37"/>
      <c r="C840" s="37" t="str">
        <f>IF(D840="","",MATCH(D840,Parametros!$B$4:$B$15,0))</f>
        <v/>
      </c>
      <c r="D840" s="38"/>
      <c r="E840" s="38"/>
      <c r="F840" s="38"/>
      <c r="G840" s="38"/>
      <c r="H840" s="38"/>
      <c r="I840" s="39"/>
      <c r="J840" s="38"/>
    </row>
    <row r="841" spans="2:10" ht="12.75" customHeight="1" x14ac:dyDescent="0.2">
      <c r="B841" s="37"/>
      <c r="C841" s="37" t="str">
        <f>IF(D841="","",MATCH(D841,Parametros!$B$4:$B$15,0))</f>
        <v/>
      </c>
      <c r="D841" s="38"/>
      <c r="E841" s="38"/>
      <c r="F841" s="38"/>
      <c r="G841" s="38"/>
      <c r="H841" s="38"/>
      <c r="I841" s="39"/>
      <c r="J841" s="38"/>
    </row>
    <row r="842" spans="2:10" ht="12.75" customHeight="1" x14ac:dyDescent="0.2">
      <c r="B842" s="37"/>
      <c r="C842" s="37" t="str">
        <f>IF(D842="","",MATCH(D842,Parametros!$B$4:$B$15,0))</f>
        <v/>
      </c>
      <c r="D842" s="38"/>
      <c r="E842" s="38"/>
      <c r="F842" s="38"/>
      <c r="G842" s="38"/>
      <c r="H842" s="38"/>
      <c r="I842" s="39"/>
      <c r="J842" s="38"/>
    </row>
    <row r="843" spans="2:10" ht="12.75" customHeight="1" x14ac:dyDescent="0.2">
      <c r="B843" s="37"/>
      <c r="C843" s="37" t="str">
        <f>IF(D843="","",MATCH(D843,Parametros!$B$4:$B$15,0))</f>
        <v/>
      </c>
      <c r="D843" s="38"/>
      <c r="E843" s="38"/>
      <c r="F843" s="38"/>
      <c r="G843" s="38"/>
      <c r="H843" s="38"/>
      <c r="I843" s="39"/>
      <c r="J843" s="38"/>
    </row>
    <row r="844" spans="2:10" ht="12.75" customHeight="1" x14ac:dyDescent="0.2">
      <c r="B844" s="37"/>
      <c r="C844" s="37" t="str">
        <f>IF(D844="","",MATCH(D844,Parametros!$B$4:$B$15,0))</f>
        <v/>
      </c>
      <c r="D844" s="38"/>
      <c r="E844" s="38"/>
      <c r="F844" s="38"/>
      <c r="G844" s="38"/>
      <c r="H844" s="38"/>
      <c r="I844" s="39"/>
      <c r="J844" s="38"/>
    </row>
    <row r="845" spans="2:10" ht="12.75" customHeight="1" x14ac:dyDescent="0.2">
      <c r="B845" s="37"/>
      <c r="C845" s="37" t="str">
        <f>IF(D845="","",MATCH(D845,Parametros!$B$4:$B$15,0))</f>
        <v/>
      </c>
      <c r="D845" s="38"/>
      <c r="E845" s="38"/>
      <c r="F845" s="38"/>
      <c r="G845" s="38"/>
      <c r="H845" s="38"/>
      <c r="I845" s="39"/>
      <c r="J845" s="38"/>
    </row>
    <row r="846" spans="2:10" ht="12.75" customHeight="1" x14ac:dyDescent="0.2">
      <c r="B846" s="37"/>
      <c r="C846" s="37" t="str">
        <f>IF(D846="","",MATCH(D846,Parametros!$B$4:$B$15,0))</f>
        <v/>
      </c>
      <c r="D846" s="38"/>
      <c r="E846" s="38"/>
      <c r="F846" s="38"/>
      <c r="G846" s="38"/>
      <c r="H846" s="38"/>
      <c r="I846" s="39"/>
      <c r="J846" s="38"/>
    </row>
    <row r="847" spans="2:10" ht="12.75" customHeight="1" x14ac:dyDescent="0.2">
      <c r="B847" s="37"/>
      <c r="C847" s="37" t="str">
        <f>IF(D847="","",MATCH(D847,Parametros!$B$4:$B$15,0))</f>
        <v/>
      </c>
      <c r="D847" s="38"/>
      <c r="E847" s="38"/>
      <c r="F847" s="38"/>
      <c r="G847" s="38"/>
      <c r="H847" s="38"/>
      <c r="I847" s="39"/>
      <c r="J847" s="38"/>
    </row>
    <row r="848" spans="2:10" ht="12.75" customHeight="1" x14ac:dyDescent="0.2">
      <c r="B848" s="37"/>
      <c r="C848" s="37" t="str">
        <f>IF(D848="","",MATCH(D848,Parametros!$B$4:$B$15,0))</f>
        <v/>
      </c>
      <c r="D848" s="38"/>
      <c r="E848" s="38"/>
      <c r="F848" s="38"/>
      <c r="G848" s="38"/>
      <c r="H848" s="38"/>
      <c r="I848" s="39"/>
      <c r="J848" s="38"/>
    </row>
    <row r="849" spans="2:10" ht="12.75" customHeight="1" x14ac:dyDescent="0.2">
      <c r="B849" s="37"/>
      <c r="C849" s="37" t="str">
        <f>IF(D849="","",MATCH(D849,Parametros!$B$4:$B$15,0))</f>
        <v/>
      </c>
      <c r="D849" s="38"/>
      <c r="E849" s="38"/>
      <c r="F849" s="38"/>
      <c r="G849" s="38"/>
      <c r="H849" s="38"/>
      <c r="I849" s="39"/>
      <c r="J849" s="38"/>
    </row>
    <row r="850" spans="2:10" ht="12.75" customHeight="1" x14ac:dyDescent="0.2">
      <c r="B850" s="37"/>
      <c r="C850" s="37" t="str">
        <f>IF(D850="","",MATCH(D850,Parametros!$B$4:$B$15,0))</f>
        <v/>
      </c>
      <c r="D850" s="38"/>
      <c r="E850" s="38"/>
      <c r="F850" s="38"/>
      <c r="G850" s="38"/>
      <c r="H850" s="38"/>
      <c r="I850" s="39"/>
      <c r="J850" s="38"/>
    </row>
    <row r="851" spans="2:10" ht="12.75" customHeight="1" x14ac:dyDescent="0.2">
      <c r="B851" s="37"/>
      <c r="C851" s="37" t="str">
        <f>IF(D851="","",MATCH(D851,Parametros!$B$4:$B$15,0))</f>
        <v/>
      </c>
      <c r="D851" s="38"/>
      <c r="E851" s="38"/>
      <c r="F851" s="38"/>
      <c r="G851" s="38"/>
      <c r="H851" s="38"/>
      <c r="I851" s="39"/>
      <c r="J851" s="38"/>
    </row>
    <row r="852" spans="2:10" ht="12.75" customHeight="1" x14ac:dyDescent="0.2">
      <c r="B852" s="37"/>
      <c r="C852" s="37" t="str">
        <f>IF(D852="","",MATCH(D852,Parametros!$B$4:$B$15,0))</f>
        <v/>
      </c>
      <c r="D852" s="38"/>
      <c r="E852" s="38"/>
      <c r="F852" s="38"/>
      <c r="G852" s="38"/>
      <c r="H852" s="38"/>
      <c r="I852" s="39"/>
      <c r="J852" s="38"/>
    </row>
    <row r="853" spans="2:10" ht="12.75" customHeight="1" x14ac:dyDescent="0.2">
      <c r="B853" s="37"/>
      <c r="C853" s="37" t="str">
        <f>IF(D853="","",MATCH(D853,Parametros!$B$4:$B$15,0))</f>
        <v/>
      </c>
      <c r="D853" s="38"/>
      <c r="E853" s="38"/>
      <c r="F853" s="38"/>
      <c r="G853" s="38"/>
      <c r="H853" s="38"/>
      <c r="I853" s="39"/>
      <c r="J853" s="38"/>
    </row>
    <row r="854" spans="2:10" ht="12.75" customHeight="1" x14ac:dyDescent="0.2">
      <c r="B854" s="37"/>
      <c r="C854" s="37" t="str">
        <f>IF(D854="","",MATCH(D854,Parametros!$B$4:$B$15,0))</f>
        <v/>
      </c>
      <c r="D854" s="38"/>
      <c r="E854" s="38"/>
      <c r="F854" s="38"/>
      <c r="G854" s="38"/>
      <c r="H854" s="38"/>
      <c r="I854" s="39"/>
      <c r="J854" s="38"/>
    </row>
    <row r="855" spans="2:10" ht="12.75" customHeight="1" x14ac:dyDescent="0.2">
      <c r="B855" s="37"/>
      <c r="C855" s="37" t="str">
        <f>IF(D855="","",MATCH(D855,Parametros!$B$4:$B$15,0))</f>
        <v/>
      </c>
      <c r="D855" s="38"/>
      <c r="E855" s="38"/>
      <c r="F855" s="38"/>
      <c r="G855" s="38"/>
      <c r="H855" s="38"/>
      <c r="I855" s="39"/>
      <c r="J855" s="38"/>
    </row>
    <row r="856" spans="2:10" ht="12.75" customHeight="1" x14ac:dyDescent="0.2">
      <c r="B856" s="37"/>
      <c r="C856" s="37" t="str">
        <f>IF(D856="","",MATCH(D856,Parametros!$B$4:$B$15,0))</f>
        <v/>
      </c>
      <c r="D856" s="38"/>
      <c r="E856" s="38"/>
      <c r="F856" s="38"/>
      <c r="G856" s="38"/>
      <c r="H856" s="38"/>
      <c r="I856" s="39"/>
      <c r="J856" s="38"/>
    </row>
    <row r="857" spans="2:10" ht="12.75" customHeight="1" x14ac:dyDescent="0.2">
      <c r="B857" s="37"/>
      <c r="C857" s="37" t="str">
        <f>IF(D857="","",MATCH(D857,Parametros!$B$4:$B$15,0))</f>
        <v/>
      </c>
      <c r="D857" s="38"/>
      <c r="E857" s="38"/>
      <c r="F857" s="38"/>
      <c r="G857" s="38"/>
      <c r="H857" s="38"/>
      <c r="I857" s="39"/>
      <c r="J857" s="38"/>
    </row>
    <row r="858" spans="2:10" ht="12.75" customHeight="1" x14ac:dyDescent="0.2">
      <c r="B858" s="37"/>
      <c r="C858" s="37" t="str">
        <f>IF(D858="","",MATCH(D858,Parametros!$B$4:$B$15,0))</f>
        <v/>
      </c>
      <c r="D858" s="38"/>
      <c r="E858" s="38"/>
      <c r="F858" s="38"/>
      <c r="G858" s="38"/>
      <c r="H858" s="38"/>
      <c r="I858" s="39"/>
      <c r="J858" s="38"/>
    </row>
    <row r="859" spans="2:10" ht="12.75" customHeight="1" x14ac:dyDescent="0.2">
      <c r="B859" s="37"/>
      <c r="C859" s="37" t="str">
        <f>IF(D859="","",MATCH(D859,Parametros!$B$4:$B$15,0))</f>
        <v/>
      </c>
      <c r="D859" s="38"/>
      <c r="E859" s="38"/>
      <c r="F859" s="38"/>
      <c r="G859" s="38"/>
      <c r="H859" s="38"/>
      <c r="I859" s="39"/>
      <c r="J859" s="38"/>
    </row>
    <row r="860" spans="2:10" ht="12.75" customHeight="1" x14ac:dyDescent="0.2">
      <c r="B860" s="37"/>
      <c r="C860" s="37" t="str">
        <f>IF(D860="","",MATCH(D860,Parametros!$B$4:$B$15,0))</f>
        <v/>
      </c>
      <c r="D860" s="38"/>
      <c r="E860" s="38"/>
      <c r="F860" s="38"/>
      <c r="G860" s="38"/>
      <c r="H860" s="38"/>
      <c r="I860" s="39"/>
      <c r="J860" s="38"/>
    </row>
    <row r="861" spans="2:10" ht="12.75" customHeight="1" x14ac:dyDescent="0.2">
      <c r="B861" s="37"/>
      <c r="C861" s="37" t="str">
        <f>IF(D861="","",MATCH(D861,Parametros!$B$4:$B$15,0))</f>
        <v/>
      </c>
      <c r="D861" s="38"/>
      <c r="E861" s="38"/>
      <c r="F861" s="38"/>
      <c r="G861" s="38"/>
      <c r="H861" s="38"/>
      <c r="I861" s="39"/>
      <c r="J861" s="38"/>
    </row>
    <row r="862" spans="2:10" ht="12.75" customHeight="1" x14ac:dyDescent="0.2">
      <c r="B862" s="37"/>
      <c r="C862" s="37" t="str">
        <f>IF(D862="","",MATCH(D862,Parametros!$B$4:$B$15,0))</f>
        <v/>
      </c>
      <c r="D862" s="38"/>
      <c r="E862" s="38"/>
      <c r="F862" s="38"/>
      <c r="G862" s="38"/>
      <c r="H862" s="38"/>
      <c r="I862" s="39"/>
      <c r="J862" s="38"/>
    </row>
    <row r="863" spans="2:10" ht="12.75" customHeight="1" x14ac:dyDescent="0.2">
      <c r="B863" s="37"/>
      <c r="C863" s="37" t="str">
        <f>IF(D863="","",MATCH(D863,Parametros!$B$4:$B$15,0))</f>
        <v/>
      </c>
      <c r="D863" s="38"/>
      <c r="E863" s="38"/>
      <c r="F863" s="38"/>
      <c r="G863" s="38"/>
      <c r="H863" s="38"/>
      <c r="I863" s="39"/>
      <c r="J863" s="38"/>
    </row>
    <row r="864" spans="2:10" ht="12.75" customHeight="1" x14ac:dyDescent="0.2">
      <c r="B864" s="37"/>
      <c r="C864" s="37" t="str">
        <f>IF(D864="","",MATCH(D864,Parametros!$B$4:$B$15,0))</f>
        <v/>
      </c>
      <c r="D864" s="38"/>
      <c r="E864" s="38"/>
      <c r="F864" s="38"/>
      <c r="G864" s="38"/>
      <c r="H864" s="38"/>
      <c r="I864" s="39"/>
      <c r="J864" s="38"/>
    </row>
    <row r="865" spans="2:10" ht="12.75" customHeight="1" x14ac:dyDescent="0.2">
      <c r="B865" s="37"/>
      <c r="C865" s="37" t="str">
        <f>IF(D865="","",MATCH(D865,Parametros!$B$4:$B$15,0))</f>
        <v/>
      </c>
      <c r="D865" s="38"/>
      <c r="E865" s="38"/>
      <c r="F865" s="38"/>
      <c r="G865" s="38"/>
      <c r="H865" s="38"/>
      <c r="I865" s="39"/>
      <c r="J865" s="38"/>
    </row>
    <row r="866" spans="2:10" ht="12.75" customHeight="1" x14ac:dyDescent="0.2">
      <c r="B866" s="37"/>
      <c r="C866" s="37" t="str">
        <f>IF(D866="","",MATCH(D866,Parametros!$B$4:$B$15,0))</f>
        <v/>
      </c>
      <c r="D866" s="38"/>
      <c r="E866" s="38"/>
      <c r="F866" s="38"/>
      <c r="G866" s="38"/>
      <c r="H866" s="38"/>
      <c r="I866" s="39"/>
      <c r="J866" s="38"/>
    </row>
    <row r="867" spans="2:10" ht="12.75" customHeight="1" x14ac:dyDescent="0.2">
      <c r="B867" s="37"/>
      <c r="C867" s="37" t="str">
        <f>IF(D867="","",MATCH(D867,Parametros!$B$4:$B$15,0))</f>
        <v/>
      </c>
      <c r="D867" s="38"/>
      <c r="E867" s="38"/>
      <c r="F867" s="38"/>
      <c r="G867" s="38"/>
      <c r="H867" s="38"/>
      <c r="I867" s="39"/>
      <c r="J867" s="38"/>
    </row>
    <row r="868" spans="2:10" ht="12.75" customHeight="1" x14ac:dyDescent="0.2">
      <c r="B868" s="37"/>
      <c r="C868" s="37" t="str">
        <f>IF(D868="","",MATCH(D868,Parametros!$B$4:$B$15,0))</f>
        <v/>
      </c>
      <c r="D868" s="38"/>
      <c r="E868" s="38"/>
      <c r="F868" s="38"/>
      <c r="G868" s="38"/>
      <c r="H868" s="38"/>
      <c r="I868" s="39"/>
      <c r="J868" s="38"/>
    </row>
    <row r="869" spans="2:10" ht="12.75" customHeight="1" x14ac:dyDescent="0.2">
      <c r="B869" s="37"/>
      <c r="C869" s="37" t="str">
        <f>IF(D869="","",MATCH(D869,Parametros!$B$4:$B$15,0))</f>
        <v/>
      </c>
      <c r="D869" s="38"/>
      <c r="E869" s="38"/>
      <c r="F869" s="38"/>
      <c r="G869" s="38"/>
      <c r="H869" s="38"/>
      <c r="I869" s="39"/>
      <c r="J869" s="38"/>
    </row>
    <row r="870" spans="2:10" ht="12.75" customHeight="1" x14ac:dyDescent="0.2">
      <c r="B870" s="37"/>
      <c r="C870" s="37" t="str">
        <f>IF(D870="","",MATCH(D870,Parametros!$B$4:$B$15,0))</f>
        <v/>
      </c>
      <c r="D870" s="38"/>
      <c r="E870" s="38"/>
      <c r="F870" s="38"/>
      <c r="G870" s="38"/>
      <c r="H870" s="38"/>
      <c r="I870" s="39"/>
      <c r="J870" s="38"/>
    </row>
    <row r="871" spans="2:10" ht="12.75" customHeight="1" x14ac:dyDescent="0.2">
      <c r="B871" s="37"/>
      <c r="C871" s="37" t="str">
        <f>IF(D871="","",MATCH(D871,Parametros!$B$4:$B$15,0))</f>
        <v/>
      </c>
      <c r="D871" s="38"/>
      <c r="E871" s="38"/>
      <c r="F871" s="38"/>
      <c r="G871" s="38"/>
      <c r="H871" s="38"/>
      <c r="I871" s="39"/>
      <c r="J871" s="38"/>
    </row>
    <row r="872" spans="2:10" ht="12.75" customHeight="1" x14ac:dyDescent="0.2">
      <c r="B872" s="37"/>
      <c r="C872" s="37" t="str">
        <f>IF(D872="","",MATCH(D872,Parametros!$B$4:$B$15,0))</f>
        <v/>
      </c>
      <c r="D872" s="38"/>
      <c r="E872" s="38"/>
      <c r="F872" s="38"/>
      <c r="G872" s="38"/>
      <c r="H872" s="38"/>
      <c r="I872" s="39"/>
      <c r="J872" s="38"/>
    </row>
    <row r="873" spans="2:10" ht="12.75" customHeight="1" x14ac:dyDescent="0.2">
      <c r="B873" s="37"/>
      <c r="C873" s="37" t="str">
        <f>IF(D873="","",MATCH(D873,Parametros!$B$4:$B$15,0))</f>
        <v/>
      </c>
      <c r="D873" s="38"/>
      <c r="E873" s="38"/>
      <c r="F873" s="38"/>
      <c r="G873" s="38"/>
      <c r="H873" s="38"/>
      <c r="I873" s="39"/>
      <c r="J873" s="38"/>
    </row>
    <row r="874" spans="2:10" ht="12.75" customHeight="1" x14ac:dyDescent="0.2">
      <c r="B874" s="37"/>
      <c r="C874" s="37" t="str">
        <f>IF(D874="","",MATCH(D874,Parametros!$B$4:$B$15,0))</f>
        <v/>
      </c>
      <c r="D874" s="38"/>
      <c r="E874" s="38"/>
      <c r="F874" s="38"/>
      <c r="G874" s="38"/>
      <c r="H874" s="38"/>
      <c r="I874" s="39"/>
      <c r="J874" s="38"/>
    </row>
    <row r="875" spans="2:10" ht="12.75" customHeight="1" x14ac:dyDescent="0.2">
      <c r="B875" s="37"/>
      <c r="C875" s="37" t="str">
        <f>IF(D875="","",MATCH(D875,Parametros!$B$4:$B$15,0))</f>
        <v/>
      </c>
      <c r="D875" s="38"/>
      <c r="E875" s="38"/>
      <c r="F875" s="38"/>
      <c r="G875" s="38"/>
      <c r="H875" s="38"/>
      <c r="I875" s="39"/>
      <c r="J875" s="38"/>
    </row>
    <row r="876" spans="2:10" ht="12.75" customHeight="1" x14ac:dyDescent="0.2">
      <c r="B876" s="37"/>
      <c r="C876" s="37" t="str">
        <f>IF(D876="","",MATCH(D876,Parametros!$B$4:$B$15,0))</f>
        <v/>
      </c>
      <c r="D876" s="38"/>
      <c r="E876" s="38"/>
      <c r="F876" s="38"/>
      <c r="G876" s="38"/>
      <c r="H876" s="38"/>
      <c r="I876" s="39"/>
      <c r="J876" s="38"/>
    </row>
    <row r="877" spans="2:10" ht="12.75" customHeight="1" x14ac:dyDescent="0.2">
      <c r="B877" s="37"/>
      <c r="C877" s="37" t="str">
        <f>IF(D877="","",MATCH(D877,Parametros!$B$4:$B$15,0))</f>
        <v/>
      </c>
      <c r="D877" s="38"/>
      <c r="E877" s="38"/>
      <c r="F877" s="38"/>
      <c r="G877" s="38"/>
      <c r="H877" s="38"/>
      <c r="I877" s="39"/>
      <c r="J877" s="38"/>
    </row>
    <row r="878" spans="2:10" ht="12.75" customHeight="1" x14ac:dyDescent="0.2">
      <c r="B878" s="37"/>
      <c r="C878" s="37" t="str">
        <f>IF(D878="","",MATCH(D878,Parametros!$B$4:$B$15,0))</f>
        <v/>
      </c>
      <c r="D878" s="38"/>
      <c r="E878" s="38"/>
      <c r="F878" s="38"/>
      <c r="G878" s="38"/>
      <c r="H878" s="38"/>
      <c r="I878" s="39"/>
      <c r="J878" s="38"/>
    </row>
    <row r="879" spans="2:10" ht="12.75" customHeight="1" x14ac:dyDescent="0.2">
      <c r="B879" s="37"/>
      <c r="C879" s="37" t="str">
        <f>IF(D879="","",MATCH(D879,Parametros!$B$4:$B$15,0))</f>
        <v/>
      </c>
      <c r="D879" s="38"/>
      <c r="E879" s="38"/>
      <c r="F879" s="38"/>
      <c r="G879" s="38"/>
      <c r="H879" s="38"/>
      <c r="I879" s="39"/>
      <c r="J879" s="38"/>
    </row>
    <row r="880" spans="2:10" ht="12.75" customHeight="1" x14ac:dyDescent="0.2">
      <c r="B880" s="37"/>
      <c r="C880" s="37" t="str">
        <f>IF(D880="","",MATCH(D880,Parametros!$B$4:$B$15,0))</f>
        <v/>
      </c>
      <c r="D880" s="38"/>
      <c r="E880" s="38"/>
      <c r="F880" s="38"/>
      <c r="G880" s="38"/>
      <c r="H880" s="38"/>
      <c r="I880" s="39"/>
      <c r="J880" s="38"/>
    </row>
    <row r="881" spans="2:10" ht="12.75" customHeight="1" x14ac:dyDescent="0.2">
      <c r="B881" s="37"/>
      <c r="C881" s="37" t="str">
        <f>IF(D881="","",MATCH(D881,Parametros!$B$4:$B$15,0))</f>
        <v/>
      </c>
      <c r="D881" s="38"/>
      <c r="E881" s="38"/>
      <c r="F881" s="38"/>
      <c r="G881" s="38"/>
      <c r="H881" s="38"/>
      <c r="I881" s="39"/>
      <c r="J881" s="38"/>
    </row>
    <row r="882" spans="2:10" ht="12.75" customHeight="1" x14ac:dyDescent="0.2">
      <c r="B882" s="37"/>
      <c r="C882" s="37" t="str">
        <f>IF(D882="","",MATCH(D882,Parametros!$B$4:$B$15,0))</f>
        <v/>
      </c>
      <c r="D882" s="38"/>
      <c r="E882" s="38"/>
      <c r="F882" s="38"/>
      <c r="G882" s="38"/>
      <c r="H882" s="38"/>
      <c r="I882" s="39"/>
      <c r="J882" s="38"/>
    </row>
    <row r="883" spans="2:10" ht="12.75" customHeight="1" x14ac:dyDescent="0.2">
      <c r="B883" s="37"/>
      <c r="C883" s="37" t="str">
        <f>IF(D883="","",MATCH(D883,Parametros!$B$4:$B$15,0))</f>
        <v/>
      </c>
      <c r="D883" s="38"/>
      <c r="E883" s="38"/>
      <c r="F883" s="38"/>
      <c r="G883" s="38"/>
      <c r="H883" s="38"/>
      <c r="I883" s="39"/>
      <c r="J883" s="38"/>
    </row>
    <row r="884" spans="2:10" ht="12.75" customHeight="1" x14ac:dyDescent="0.2">
      <c r="B884" s="37"/>
      <c r="C884" s="37" t="str">
        <f>IF(D884="","",MATCH(D884,Parametros!$B$4:$B$15,0))</f>
        <v/>
      </c>
      <c r="D884" s="38"/>
      <c r="E884" s="38"/>
      <c r="F884" s="38"/>
      <c r="G884" s="38"/>
      <c r="H884" s="38"/>
      <c r="I884" s="39"/>
      <c r="J884" s="38"/>
    </row>
    <row r="885" spans="2:10" ht="12.75" customHeight="1" x14ac:dyDescent="0.2">
      <c r="B885" s="37"/>
      <c r="C885" s="37" t="str">
        <f>IF(D885="","",MATCH(D885,Parametros!$B$4:$B$15,0))</f>
        <v/>
      </c>
      <c r="D885" s="38"/>
      <c r="E885" s="38"/>
      <c r="F885" s="38"/>
      <c r="G885" s="38"/>
      <c r="H885" s="38"/>
      <c r="I885" s="39"/>
      <c r="J885" s="38"/>
    </row>
    <row r="886" spans="2:10" ht="12.75" customHeight="1" x14ac:dyDescent="0.2">
      <c r="B886" s="37"/>
      <c r="C886" s="37" t="str">
        <f>IF(D886="","",MATCH(D886,Parametros!$B$4:$B$15,0))</f>
        <v/>
      </c>
      <c r="D886" s="38"/>
      <c r="E886" s="38"/>
      <c r="F886" s="38"/>
      <c r="G886" s="38"/>
      <c r="H886" s="38"/>
      <c r="I886" s="39"/>
      <c r="J886" s="38"/>
    </row>
    <row r="887" spans="2:10" ht="12.75" customHeight="1" x14ac:dyDescent="0.2">
      <c r="B887" s="37"/>
      <c r="C887" s="37" t="str">
        <f>IF(D887="","",MATCH(D887,Parametros!$B$4:$B$15,0))</f>
        <v/>
      </c>
      <c r="D887" s="38"/>
      <c r="E887" s="38"/>
      <c r="F887" s="38"/>
      <c r="G887" s="38"/>
      <c r="H887" s="38"/>
      <c r="I887" s="39"/>
      <c r="J887" s="38"/>
    </row>
    <row r="888" spans="2:10" ht="12.75" customHeight="1" x14ac:dyDescent="0.2">
      <c r="B888" s="37"/>
      <c r="C888" s="37" t="str">
        <f>IF(D888="","",MATCH(D888,Parametros!$B$4:$B$15,0))</f>
        <v/>
      </c>
      <c r="D888" s="38"/>
      <c r="E888" s="38"/>
      <c r="F888" s="38"/>
      <c r="G888" s="38"/>
      <c r="H888" s="38"/>
      <c r="I888" s="39"/>
      <c r="J888" s="38"/>
    </row>
    <row r="889" spans="2:10" ht="12.75" customHeight="1" x14ac:dyDescent="0.2">
      <c r="B889" s="37"/>
      <c r="C889" s="37" t="str">
        <f>IF(D889="","",MATCH(D889,Parametros!$B$4:$B$15,0))</f>
        <v/>
      </c>
      <c r="D889" s="38"/>
      <c r="E889" s="38"/>
      <c r="F889" s="38"/>
      <c r="G889" s="38"/>
      <c r="H889" s="38"/>
      <c r="I889" s="39"/>
      <c r="J889" s="38"/>
    </row>
    <row r="890" spans="2:10" ht="12.75" customHeight="1" x14ac:dyDescent="0.2">
      <c r="B890" s="37"/>
      <c r="C890" s="37" t="str">
        <f>IF(D890="","",MATCH(D890,Parametros!$B$4:$B$15,0))</f>
        <v/>
      </c>
      <c r="D890" s="38"/>
      <c r="E890" s="38"/>
      <c r="F890" s="38"/>
      <c r="G890" s="38"/>
      <c r="H890" s="38"/>
      <c r="I890" s="39"/>
      <c r="J890" s="38"/>
    </row>
    <row r="891" spans="2:10" ht="12.75" customHeight="1" x14ac:dyDescent="0.2">
      <c r="B891" s="37"/>
      <c r="C891" s="37" t="str">
        <f>IF(D891="","",MATCH(D891,Parametros!$B$4:$B$15,0))</f>
        <v/>
      </c>
      <c r="D891" s="38"/>
      <c r="E891" s="38"/>
      <c r="F891" s="38"/>
      <c r="G891" s="38"/>
      <c r="H891" s="38"/>
      <c r="I891" s="39"/>
      <c r="J891" s="38"/>
    </row>
    <row r="892" spans="2:10" ht="12.75" customHeight="1" x14ac:dyDescent="0.2">
      <c r="B892" s="37"/>
      <c r="C892" s="37" t="str">
        <f>IF(D892="","",MATCH(D892,Parametros!$B$4:$B$15,0))</f>
        <v/>
      </c>
      <c r="D892" s="38"/>
      <c r="E892" s="38"/>
      <c r="F892" s="38"/>
      <c r="G892" s="38"/>
      <c r="H892" s="38"/>
      <c r="I892" s="39"/>
      <c r="J892" s="38"/>
    </row>
    <row r="893" spans="2:10" ht="12.75" customHeight="1" x14ac:dyDescent="0.2">
      <c r="B893" s="37"/>
      <c r="C893" s="37" t="str">
        <f>IF(D893="","",MATCH(D893,Parametros!$B$4:$B$15,0))</f>
        <v/>
      </c>
      <c r="D893" s="38"/>
      <c r="E893" s="38"/>
      <c r="F893" s="38"/>
      <c r="G893" s="38"/>
      <c r="H893" s="38"/>
      <c r="I893" s="39"/>
      <c r="J893" s="38"/>
    </row>
    <row r="894" spans="2:10" ht="12.75" customHeight="1" x14ac:dyDescent="0.2">
      <c r="B894" s="37"/>
      <c r="C894" s="37" t="str">
        <f>IF(D894="","",MATCH(D894,Parametros!$B$4:$B$15,0))</f>
        <v/>
      </c>
      <c r="D894" s="38"/>
      <c r="E894" s="38"/>
      <c r="F894" s="38"/>
      <c r="G894" s="38"/>
      <c r="H894" s="38"/>
      <c r="I894" s="39"/>
      <c r="J894" s="38"/>
    </row>
    <row r="895" spans="2:10" ht="12.75" customHeight="1" x14ac:dyDescent="0.2">
      <c r="B895" s="37"/>
      <c r="C895" s="37" t="str">
        <f>IF(D895="","",MATCH(D895,Parametros!$B$4:$B$15,0))</f>
        <v/>
      </c>
      <c r="D895" s="38"/>
      <c r="E895" s="38"/>
      <c r="F895" s="38"/>
      <c r="G895" s="38"/>
      <c r="H895" s="38"/>
      <c r="I895" s="39"/>
      <c r="J895" s="38"/>
    </row>
    <row r="896" spans="2:10" ht="12.75" customHeight="1" x14ac:dyDescent="0.2">
      <c r="B896" s="37"/>
      <c r="C896" s="37" t="str">
        <f>IF(D896="","",MATCH(D896,Parametros!$B$4:$B$15,0))</f>
        <v/>
      </c>
      <c r="D896" s="38"/>
      <c r="E896" s="38"/>
      <c r="F896" s="38"/>
      <c r="G896" s="38"/>
      <c r="H896" s="38"/>
      <c r="I896" s="39"/>
      <c r="J896" s="38"/>
    </row>
    <row r="897" spans="2:10" ht="12.75" customHeight="1" x14ac:dyDescent="0.2">
      <c r="B897" s="37"/>
      <c r="C897" s="37" t="str">
        <f>IF(D897="","",MATCH(D897,Parametros!$B$4:$B$15,0))</f>
        <v/>
      </c>
      <c r="D897" s="38"/>
      <c r="E897" s="38"/>
      <c r="F897" s="38"/>
      <c r="G897" s="38"/>
      <c r="H897" s="38"/>
      <c r="I897" s="39"/>
      <c r="J897" s="38"/>
    </row>
    <row r="898" spans="2:10" ht="12.75" customHeight="1" x14ac:dyDescent="0.2">
      <c r="B898" s="37"/>
      <c r="C898" s="37" t="str">
        <f>IF(D898="","",MATCH(D898,Parametros!$B$4:$B$15,0))</f>
        <v/>
      </c>
      <c r="D898" s="38"/>
      <c r="E898" s="38"/>
      <c r="F898" s="38"/>
      <c r="G898" s="38"/>
      <c r="H898" s="38"/>
      <c r="I898" s="39"/>
      <c r="J898" s="38"/>
    </row>
    <row r="899" spans="2:10" ht="12.75" customHeight="1" x14ac:dyDescent="0.2">
      <c r="B899" s="37"/>
      <c r="C899" s="37" t="str">
        <f>IF(D899="","",MATCH(D899,Parametros!$B$4:$B$15,0))</f>
        <v/>
      </c>
      <c r="D899" s="38"/>
      <c r="E899" s="38"/>
      <c r="F899" s="38"/>
      <c r="G899" s="38"/>
      <c r="H899" s="38"/>
      <c r="I899" s="39"/>
      <c r="J899" s="38"/>
    </row>
    <row r="900" spans="2:10" ht="12.75" customHeight="1" x14ac:dyDescent="0.2">
      <c r="B900" s="37"/>
      <c r="C900" s="37" t="str">
        <f>IF(D900="","",MATCH(D900,Parametros!$B$4:$B$15,0))</f>
        <v/>
      </c>
      <c r="D900" s="38"/>
      <c r="E900" s="38"/>
      <c r="F900" s="38"/>
      <c r="G900" s="38"/>
      <c r="H900" s="38"/>
      <c r="I900" s="39"/>
      <c r="J900" s="38"/>
    </row>
    <row r="901" spans="2:10" ht="12.75" customHeight="1" x14ac:dyDescent="0.2">
      <c r="B901" s="37"/>
      <c r="C901" s="37" t="str">
        <f>IF(D901="","",MATCH(D901,Parametros!$B$4:$B$15,0))</f>
        <v/>
      </c>
      <c r="D901" s="38"/>
      <c r="E901" s="38"/>
      <c r="F901" s="38"/>
      <c r="G901" s="38"/>
      <c r="H901" s="38"/>
      <c r="I901" s="39"/>
      <c r="J901" s="38"/>
    </row>
    <row r="902" spans="2:10" ht="12.75" customHeight="1" x14ac:dyDescent="0.2">
      <c r="B902" s="37"/>
      <c r="C902" s="37" t="str">
        <f>IF(D902="","",MATCH(D902,Parametros!$B$4:$B$15,0))</f>
        <v/>
      </c>
      <c r="D902" s="38"/>
      <c r="E902" s="38"/>
      <c r="F902" s="38"/>
      <c r="G902" s="38"/>
      <c r="H902" s="38"/>
      <c r="I902" s="39"/>
      <c r="J902" s="38"/>
    </row>
    <row r="903" spans="2:10" ht="12.75" customHeight="1" x14ac:dyDescent="0.2">
      <c r="B903" s="37"/>
      <c r="C903" s="37" t="str">
        <f>IF(D903="","",MATCH(D903,Parametros!$B$4:$B$15,0))</f>
        <v/>
      </c>
      <c r="D903" s="38"/>
      <c r="E903" s="38"/>
      <c r="F903" s="38"/>
      <c r="G903" s="38"/>
      <c r="H903" s="38"/>
      <c r="I903" s="39"/>
      <c r="J903" s="38"/>
    </row>
    <row r="904" spans="2:10" ht="12.75" customHeight="1" x14ac:dyDescent="0.2">
      <c r="B904" s="37"/>
      <c r="C904" s="37" t="str">
        <f>IF(D904="","",MATCH(D904,Parametros!$B$4:$B$15,0))</f>
        <v/>
      </c>
      <c r="D904" s="38"/>
      <c r="E904" s="38"/>
      <c r="F904" s="38"/>
      <c r="G904" s="38"/>
      <c r="H904" s="38"/>
      <c r="I904" s="39"/>
      <c r="J904" s="38"/>
    </row>
    <row r="905" spans="2:10" ht="12.75" customHeight="1" x14ac:dyDescent="0.2">
      <c r="B905" s="37"/>
      <c r="C905" s="37" t="str">
        <f>IF(D905="","",MATCH(D905,Parametros!$B$4:$B$15,0))</f>
        <v/>
      </c>
      <c r="D905" s="38"/>
      <c r="E905" s="38"/>
      <c r="F905" s="38"/>
      <c r="G905" s="38"/>
      <c r="H905" s="38"/>
      <c r="I905" s="39"/>
      <c r="J905" s="38"/>
    </row>
    <row r="906" spans="2:10" ht="12.75" customHeight="1" x14ac:dyDescent="0.2">
      <c r="B906" s="37"/>
      <c r="C906" s="37" t="str">
        <f>IF(D906="","",MATCH(D906,Parametros!$B$4:$B$15,0))</f>
        <v/>
      </c>
      <c r="D906" s="38"/>
      <c r="E906" s="38"/>
      <c r="F906" s="38"/>
      <c r="G906" s="38"/>
      <c r="H906" s="38"/>
      <c r="I906" s="39"/>
      <c r="J906" s="38"/>
    </row>
    <row r="907" spans="2:10" ht="12.75" customHeight="1" x14ac:dyDescent="0.2">
      <c r="B907" s="37"/>
      <c r="C907" s="37" t="str">
        <f>IF(D907="","",MATCH(D907,Parametros!$B$4:$B$15,0))</f>
        <v/>
      </c>
      <c r="D907" s="38"/>
      <c r="E907" s="38"/>
      <c r="F907" s="38"/>
      <c r="G907" s="38"/>
      <c r="H907" s="38"/>
      <c r="I907" s="39"/>
      <c r="J907" s="38"/>
    </row>
    <row r="908" spans="2:10" ht="12.75" customHeight="1" x14ac:dyDescent="0.2">
      <c r="B908" s="37"/>
      <c r="C908" s="37" t="str">
        <f>IF(D908="","",MATCH(D908,Parametros!$B$4:$B$15,0))</f>
        <v/>
      </c>
      <c r="D908" s="38"/>
      <c r="E908" s="38"/>
      <c r="F908" s="38"/>
      <c r="G908" s="38"/>
      <c r="H908" s="38"/>
      <c r="I908" s="39"/>
      <c r="J908" s="38"/>
    </row>
    <row r="909" spans="2:10" ht="12.75" customHeight="1" x14ac:dyDescent="0.2">
      <c r="B909" s="37"/>
      <c r="C909" s="37" t="str">
        <f>IF(D909="","",MATCH(D909,Parametros!$B$4:$B$15,0))</f>
        <v/>
      </c>
      <c r="D909" s="38"/>
      <c r="E909" s="38"/>
      <c r="F909" s="38"/>
      <c r="G909" s="38"/>
      <c r="H909" s="38"/>
      <c r="I909" s="39"/>
      <c r="J909" s="38"/>
    </row>
    <row r="910" spans="2:10" ht="12.75" customHeight="1" x14ac:dyDescent="0.2">
      <c r="B910" s="37"/>
      <c r="C910" s="37" t="str">
        <f>IF(D910="","",MATCH(D910,Parametros!$B$4:$B$15,0))</f>
        <v/>
      </c>
      <c r="D910" s="38"/>
      <c r="E910" s="38"/>
      <c r="F910" s="38"/>
      <c r="G910" s="38"/>
      <c r="H910" s="38"/>
      <c r="I910" s="39"/>
      <c r="J910" s="38"/>
    </row>
    <row r="911" spans="2:10" ht="12.75" customHeight="1" x14ac:dyDescent="0.2">
      <c r="B911" s="37"/>
      <c r="C911" s="37" t="str">
        <f>IF(D911="","",MATCH(D911,Parametros!$B$4:$B$15,0))</f>
        <v/>
      </c>
      <c r="D911" s="38"/>
      <c r="E911" s="38"/>
      <c r="F911" s="38"/>
      <c r="G911" s="38"/>
      <c r="H911" s="38"/>
      <c r="I911" s="39"/>
      <c r="J911" s="38"/>
    </row>
    <row r="912" spans="2:10" ht="12.75" customHeight="1" x14ac:dyDescent="0.2">
      <c r="B912" s="37"/>
      <c r="C912" s="37" t="str">
        <f>IF(D912="","",MATCH(D912,Parametros!$B$4:$B$15,0))</f>
        <v/>
      </c>
      <c r="D912" s="38"/>
      <c r="E912" s="38"/>
      <c r="F912" s="38"/>
      <c r="G912" s="38"/>
      <c r="H912" s="38"/>
      <c r="I912" s="39"/>
      <c r="J912" s="38"/>
    </row>
    <row r="913" spans="2:10" ht="12.75" customHeight="1" x14ac:dyDescent="0.2">
      <c r="B913" s="37"/>
      <c r="C913" s="37" t="str">
        <f>IF(D913="","",MATCH(D913,Parametros!$B$4:$B$15,0))</f>
        <v/>
      </c>
      <c r="D913" s="38"/>
      <c r="E913" s="38"/>
      <c r="F913" s="38"/>
      <c r="G913" s="38"/>
      <c r="H913" s="38"/>
      <c r="I913" s="39"/>
      <c r="J913" s="38"/>
    </row>
    <row r="914" spans="2:10" ht="12.75" customHeight="1" x14ac:dyDescent="0.2">
      <c r="B914" s="37"/>
      <c r="C914" s="37" t="str">
        <f>IF(D914="","",MATCH(D914,Parametros!$B$4:$B$15,0))</f>
        <v/>
      </c>
      <c r="D914" s="38"/>
      <c r="E914" s="38"/>
      <c r="F914" s="38"/>
      <c r="G914" s="38"/>
      <c r="H914" s="38"/>
      <c r="I914" s="39"/>
      <c r="J914" s="38"/>
    </row>
    <row r="915" spans="2:10" ht="12.75" customHeight="1" x14ac:dyDescent="0.2">
      <c r="B915" s="37"/>
      <c r="C915" s="37" t="str">
        <f>IF(D915="","",MATCH(D915,Parametros!$B$4:$B$15,0))</f>
        <v/>
      </c>
      <c r="D915" s="38"/>
      <c r="E915" s="38"/>
      <c r="F915" s="38"/>
      <c r="G915" s="38"/>
      <c r="H915" s="38"/>
      <c r="I915" s="39"/>
      <c r="J915" s="38"/>
    </row>
    <row r="916" spans="2:10" ht="12.75" customHeight="1" x14ac:dyDescent="0.2">
      <c r="B916" s="37"/>
      <c r="C916" s="37" t="str">
        <f>IF(D916="","",MATCH(D916,Parametros!$B$4:$B$15,0))</f>
        <v/>
      </c>
      <c r="D916" s="38"/>
      <c r="E916" s="38"/>
      <c r="F916" s="38"/>
      <c r="G916" s="38"/>
      <c r="H916" s="38"/>
      <c r="I916" s="39"/>
      <c r="J916" s="38"/>
    </row>
    <row r="917" spans="2:10" ht="12.75" customHeight="1" x14ac:dyDescent="0.2">
      <c r="B917" s="37"/>
      <c r="C917" s="37" t="str">
        <f>IF(D917="","",MATCH(D917,Parametros!$B$4:$B$15,0))</f>
        <v/>
      </c>
      <c r="D917" s="38"/>
      <c r="E917" s="38"/>
      <c r="F917" s="38"/>
      <c r="G917" s="38"/>
      <c r="H917" s="38"/>
      <c r="I917" s="39"/>
      <c r="J917" s="38"/>
    </row>
    <row r="918" spans="2:10" ht="12.75" customHeight="1" x14ac:dyDescent="0.2">
      <c r="B918" s="37"/>
      <c r="C918" s="37" t="str">
        <f>IF(D918="","",MATCH(D918,Parametros!$B$4:$B$15,0))</f>
        <v/>
      </c>
      <c r="D918" s="38"/>
      <c r="E918" s="38"/>
      <c r="F918" s="38"/>
      <c r="G918" s="38"/>
      <c r="H918" s="38"/>
      <c r="I918" s="39"/>
      <c r="J918" s="38"/>
    </row>
    <row r="919" spans="2:10" ht="12.75" customHeight="1" x14ac:dyDescent="0.2">
      <c r="B919" s="37"/>
      <c r="C919" s="37" t="str">
        <f>IF(D919="","",MATCH(D919,Parametros!$B$4:$B$15,0))</f>
        <v/>
      </c>
      <c r="D919" s="38"/>
      <c r="E919" s="38"/>
      <c r="F919" s="38"/>
      <c r="G919" s="38"/>
      <c r="H919" s="38"/>
      <c r="I919" s="39"/>
      <c r="J919" s="38"/>
    </row>
    <row r="920" spans="2:10" ht="12.75" customHeight="1" x14ac:dyDescent="0.2">
      <c r="B920" s="37"/>
      <c r="C920" s="37" t="str">
        <f>IF(D920="","",MATCH(D920,Parametros!$B$4:$B$15,0))</f>
        <v/>
      </c>
      <c r="D920" s="38"/>
      <c r="E920" s="38"/>
      <c r="F920" s="38"/>
      <c r="G920" s="38"/>
      <c r="H920" s="38"/>
      <c r="I920" s="39"/>
      <c r="J920" s="38"/>
    </row>
    <row r="921" spans="2:10" ht="12.75" customHeight="1" x14ac:dyDescent="0.2">
      <c r="B921" s="37"/>
      <c r="C921" s="37" t="str">
        <f>IF(D921="","",MATCH(D921,Parametros!$B$4:$B$15,0))</f>
        <v/>
      </c>
      <c r="D921" s="38"/>
      <c r="E921" s="38"/>
      <c r="F921" s="38"/>
      <c r="G921" s="38"/>
      <c r="H921" s="38"/>
      <c r="I921" s="39"/>
      <c r="J921" s="38"/>
    </row>
    <row r="922" spans="2:10" ht="12.75" customHeight="1" x14ac:dyDescent="0.2">
      <c r="B922" s="37"/>
      <c r="C922" s="37" t="str">
        <f>IF(D922="","",MATCH(D922,Parametros!$B$4:$B$15,0))</f>
        <v/>
      </c>
      <c r="D922" s="38"/>
      <c r="E922" s="38"/>
      <c r="F922" s="38"/>
      <c r="G922" s="38"/>
      <c r="H922" s="38"/>
      <c r="I922" s="39"/>
      <c r="J922" s="38"/>
    </row>
    <row r="923" spans="2:10" ht="12.75" customHeight="1" x14ac:dyDescent="0.2">
      <c r="B923" s="37"/>
      <c r="C923" s="37" t="str">
        <f>IF(D923="","",MATCH(D923,Parametros!$B$4:$B$15,0))</f>
        <v/>
      </c>
      <c r="D923" s="38"/>
      <c r="E923" s="38"/>
      <c r="F923" s="38"/>
      <c r="G923" s="38"/>
      <c r="H923" s="38"/>
      <c r="I923" s="39"/>
      <c r="J923" s="38"/>
    </row>
    <row r="924" spans="2:10" ht="12.75" customHeight="1" x14ac:dyDescent="0.2">
      <c r="B924" s="37"/>
      <c r="C924" s="37" t="str">
        <f>IF(D924="","",MATCH(D924,Parametros!$B$4:$B$15,0))</f>
        <v/>
      </c>
      <c r="D924" s="38"/>
      <c r="E924" s="38"/>
      <c r="F924" s="38"/>
      <c r="G924" s="38"/>
      <c r="H924" s="38"/>
      <c r="I924" s="39"/>
      <c r="J924" s="38"/>
    </row>
    <row r="925" spans="2:10" ht="12.75" customHeight="1" x14ac:dyDescent="0.2">
      <c r="B925" s="37"/>
      <c r="C925" s="37" t="str">
        <f>IF(D925="","",MATCH(D925,Parametros!$B$4:$B$15,0))</f>
        <v/>
      </c>
      <c r="D925" s="38"/>
      <c r="E925" s="38"/>
      <c r="F925" s="38"/>
      <c r="G925" s="38"/>
      <c r="H925" s="38"/>
      <c r="I925" s="39"/>
      <c r="J925" s="38"/>
    </row>
    <row r="926" spans="2:10" ht="12.75" customHeight="1" x14ac:dyDescent="0.2">
      <c r="B926" s="37"/>
      <c r="C926" s="37" t="str">
        <f>IF(D926="","",MATCH(D926,Parametros!$B$4:$B$15,0))</f>
        <v/>
      </c>
      <c r="D926" s="38"/>
      <c r="E926" s="38"/>
      <c r="F926" s="38"/>
      <c r="G926" s="38"/>
      <c r="H926" s="38"/>
      <c r="I926" s="39"/>
      <c r="J926" s="38"/>
    </row>
    <row r="927" spans="2:10" ht="12.75" customHeight="1" x14ac:dyDescent="0.2">
      <c r="B927" s="37"/>
      <c r="C927" s="37" t="str">
        <f>IF(D927="","",MATCH(D927,Parametros!$B$4:$B$15,0))</f>
        <v/>
      </c>
      <c r="D927" s="38"/>
      <c r="E927" s="38"/>
      <c r="F927" s="38"/>
      <c r="G927" s="38"/>
      <c r="H927" s="38"/>
      <c r="I927" s="39"/>
      <c r="J927" s="38"/>
    </row>
    <row r="928" spans="2:10" ht="12.75" customHeight="1" x14ac:dyDescent="0.2">
      <c r="B928" s="37"/>
      <c r="C928" s="37" t="str">
        <f>IF(D928="","",MATCH(D928,Parametros!$B$4:$B$15,0))</f>
        <v/>
      </c>
      <c r="D928" s="38"/>
      <c r="E928" s="38"/>
      <c r="F928" s="38"/>
      <c r="G928" s="38"/>
      <c r="H928" s="38"/>
      <c r="I928" s="39"/>
      <c r="J928" s="38"/>
    </row>
    <row r="929" spans="2:10" ht="12.75" customHeight="1" x14ac:dyDescent="0.2">
      <c r="B929" s="37"/>
      <c r="C929" s="37" t="str">
        <f>IF(D929="","",MATCH(D929,Parametros!$B$4:$B$15,0))</f>
        <v/>
      </c>
      <c r="D929" s="38"/>
      <c r="E929" s="38"/>
      <c r="F929" s="38"/>
      <c r="G929" s="38"/>
      <c r="H929" s="38"/>
      <c r="I929" s="39"/>
      <c r="J929" s="38"/>
    </row>
    <row r="930" spans="2:10" ht="12.75" customHeight="1" x14ac:dyDescent="0.2">
      <c r="B930" s="37"/>
      <c r="C930" s="37" t="str">
        <f>IF(D930="","",MATCH(D930,Parametros!$B$4:$B$15,0))</f>
        <v/>
      </c>
      <c r="D930" s="38"/>
      <c r="E930" s="38"/>
      <c r="F930" s="38"/>
      <c r="G930" s="38"/>
      <c r="H930" s="38"/>
      <c r="I930" s="39"/>
      <c r="J930" s="38"/>
    </row>
    <row r="931" spans="2:10" ht="12.75" customHeight="1" x14ac:dyDescent="0.2">
      <c r="B931" s="37"/>
      <c r="C931" s="37" t="str">
        <f>IF(D931="","",MATCH(D931,Parametros!$B$4:$B$15,0))</f>
        <v/>
      </c>
      <c r="D931" s="38"/>
      <c r="E931" s="38"/>
      <c r="F931" s="38"/>
      <c r="G931" s="38"/>
      <c r="H931" s="38"/>
      <c r="I931" s="39"/>
      <c r="J931" s="38"/>
    </row>
    <row r="932" spans="2:10" ht="12.75" customHeight="1" x14ac:dyDescent="0.2">
      <c r="B932" s="37"/>
      <c r="C932" s="37" t="str">
        <f>IF(D932="","",MATCH(D932,Parametros!$B$4:$B$15,0))</f>
        <v/>
      </c>
      <c r="D932" s="38"/>
      <c r="E932" s="38"/>
      <c r="F932" s="38"/>
      <c r="G932" s="38"/>
      <c r="H932" s="38"/>
      <c r="I932" s="39"/>
      <c r="J932" s="38"/>
    </row>
    <row r="933" spans="2:10" ht="12.75" customHeight="1" x14ac:dyDescent="0.2">
      <c r="B933" s="37"/>
      <c r="C933" s="37" t="str">
        <f>IF(D933="","",MATCH(D933,Parametros!$B$4:$B$15,0))</f>
        <v/>
      </c>
      <c r="D933" s="38"/>
      <c r="E933" s="38"/>
      <c r="F933" s="38"/>
      <c r="G933" s="38"/>
      <c r="H933" s="38"/>
      <c r="I933" s="39"/>
      <c r="J933" s="38"/>
    </row>
    <row r="934" spans="2:10" ht="12.75" customHeight="1" x14ac:dyDescent="0.2">
      <c r="B934" s="37"/>
      <c r="C934" s="37" t="str">
        <f>IF(D934="","",MATCH(D934,Parametros!$B$4:$B$15,0))</f>
        <v/>
      </c>
      <c r="D934" s="38"/>
      <c r="E934" s="38"/>
      <c r="F934" s="38"/>
      <c r="G934" s="38"/>
      <c r="H934" s="38"/>
      <c r="I934" s="39"/>
      <c r="J934" s="38"/>
    </row>
    <row r="935" spans="2:10" ht="12.75" customHeight="1" x14ac:dyDescent="0.2">
      <c r="B935" s="37"/>
      <c r="C935" s="37" t="str">
        <f>IF(D935="","",MATCH(D935,Parametros!$B$4:$B$15,0))</f>
        <v/>
      </c>
      <c r="D935" s="38"/>
      <c r="E935" s="38"/>
      <c r="F935" s="38"/>
      <c r="G935" s="38"/>
      <c r="H935" s="38"/>
      <c r="I935" s="39"/>
      <c r="J935" s="38"/>
    </row>
    <row r="936" spans="2:10" ht="12.75" customHeight="1" x14ac:dyDescent="0.2">
      <c r="B936" s="37"/>
      <c r="C936" s="37" t="str">
        <f>IF(D936="","",MATCH(D936,Parametros!$B$4:$B$15,0))</f>
        <v/>
      </c>
      <c r="D936" s="38"/>
      <c r="E936" s="38"/>
      <c r="F936" s="38"/>
      <c r="G936" s="38"/>
      <c r="H936" s="38"/>
      <c r="I936" s="39"/>
      <c r="J936" s="38"/>
    </row>
    <row r="937" spans="2:10" ht="12.75" customHeight="1" x14ac:dyDescent="0.2">
      <c r="B937" s="37"/>
      <c r="C937" s="37" t="str">
        <f>IF(D937="","",MATCH(D937,Parametros!$B$4:$B$15,0))</f>
        <v/>
      </c>
      <c r="D937" s="38"/>
      <c r="E937" s="38"/>
      <c r="F937" s="38"/>
      <c r="G937" s="38"/>
      <c r="H937" s="38"/>
      <c r="I937" s="39"/>
      <c r="J937" s="38"/>
    </row>
    <row r="938" spans="2:10" ht="12.75" customHeight="1" x14ac:dyDescent="0.2">
      <c r="B938" s="37"/>
      <c r="C938" s="37" t="str">
        <f>IF(D938="","",MATCH(D938,Parametros!$B$4:$B$15,0))</f>
        <v/>
      </c>
      <c r="D938" s="38"/>
      <c r="E938" s="38"/>
      <c r="F938" s="38"/>
      <c r="G938" s="38"/>
      <c r="H938" s="38"/>
      <c r="I938" s="39"/>
      <c r="J938" s="38"/>
    </row>
    <row r="939" spans="2:10" ht="12.75" customHeight="1" x14ac:dyDescent="0.2">
      <c r="B939" s="37"/>
      <c r="C939" s="37" t="str">
        <f>IF(D939="","",MATCH(D939,Parametros!$B$4:$B$15,0))</f>
        <v/>
      </c>
      <c r="D939" s="38"/>
      <c r="E939" s="38"/>
      <c r="F939" s="38"/>
      <c r="G939" s="38"/>
      <c r="H939" s="38"/>
      <c r="I939" s="39"/>
      <c r="J939" s="38"/>
    </row>
    <row r="940" spans="2:10" ht="12.75" customHeight="1" x14ac:dyDescent="0.2">
      <c r="B940" s="37"/>
      <c r="C940" s="37" t="str">
        <f>IF(D940="","",MATCH(D940,Parametros!$B$4:$B$15,0))</f>
        <v/>
      </c>
      <c r="D940" s="38"/>
      <c r="E940" s="38"/>
      <c r="F940" s="38"/>
      <c r="G940" s="38"/>
      <c r="H940" s="38"/>
      <c r="I940" s="39"/>
      <c r="J940" s="38"/>
    </row>
    <row r="941" spans="2:10" ht="12.75" customHeight="1" x14ac:dyDescent="0.2">
      <c r="B941" s="37"/>
      <c r="C941" s="37" t="str">
        <f>IF(D941="","",MATCH(D941,Parametros!$B$4:$B$15,0))</f>
        <v/>
      </c>
      <c r="D941" s="38"/>
      <c r="E941" s="38"/>
      <c r="F941" s="38"/>
      <c r="G941" s="38"/>
      <c r="H941" s="38"/>
      <c r="I941" s="39"/>
      <c r="J941" s="38"/>
    </row>
    <row r="942" spans="2:10" ht="12.75" customHeight="1" x14ac:dyDescent="0.2">
      <c r="B942" s="37"/>
      <c r="C942" s="37" t="str">
        <f>IF(D942="","",MATCH(D942,Parametros!$B$4:$B$15,0))</f>
        <v/>
      </c>
      <c r="D942" s="38"/>
      <c r="E942" s="38"/>
      <c r="F942" s="38"/>
      <c r="G942" s="38"/>
      <c r="H942" s="38"/>
      <c r="I942" s="39"/>
      <c r="J942" s="38"/>
    </row>
    <row r="943" spans="2:10" ht="12.75" customHeight="1" x14ac:dyDescent="0.2">
      <c r="B943" s="37"/>
      <c r="C943" s="37" t="str">
        <f>IF(D943="","",MATCH(D943,Parametros!$B$4:$B$15,0))</f>
        <v/>
      </c>
      <c r="D943" s="38"/>
      <c r="E943" s="38"/>
      <c r="F943" s="38"/>
      <c r="G943" s="38"/>
      <c r="H943" s="38"/>
      <c r="I943" s="39"/>
      <c r="J943" s="38"/>
    </row>
    <row r="944" spans="2:10" ht="12.75" customHeight="1" x14ac:dyDescent="0.2">
      <c r="B944" s="37"/>
      <c r="C944" s="37" t="str">
        <f>IF(D944="","",MATCH(D944,Parametros!$B$4:$B$15,0))</f>
        <v/>
      </c>
      <c r="D944" s="38"/>
      <c r="E944" s="38"/>
      <c r="F944" s="38"/>
      <c r="G944" s="38"/>
      <c r="H944" s="38"/>
      <c r="I944" s="39"/>
      <c r="J944" s="38"/>
    </row>
    <row r="945" spans="2:10" ht="12.75" customHeight="1" x14ac:dyDescent="0.2">
      <c r="B945" s="37"/>
      <c r="C945" s="37" t="str">
        <f>IF(D945="","",MATCH(D945,Parametros!$B$4:$B$15,0))</f>
        <v/>
      </c>
      <c r="D945" s="38"/>
      <c r="E945" s="38"/>
      <c r="F945" s="38"/>
      <c r="G945" s="38"/>
      <c r="H945" s="38"/>
      <c r="I945" s="39"/>
      <c r="J945" s="38"/>
    </row>
    <row r="946" spans="2:10" ht="12.75" customHeight="1" x14ac:dyDescent="0.2">
      <c r="B946" s="37"/>
      <c r="C946" s="37" t="str">
        <f>IF(D946="","",MATCH(D946,Parametros!$B$4:$B$15,0))</f>
        <v/>
      </c>
      <c r="D946" s="38"/>
      <c r="E946" s="38"/>
      <c r="F946" s="38"/>
      <c r="G946" s="38"/>
      <c r="H946" s="38"/>
      <c r="I946" s="39"/>
      <c r="J946" s="38"/>
    </row>
    <row r="947" spans="2:10" ht="12.75" customHeight="1" x14ac:dyDescent="0.2">
      <c r="B947" s="37"/>
      <c r="C947" s="37" t="str">
        <f>IF(D947="","",MATCH(D947,Parametros!$B$4:$B$15,0))</f>
        <v/>
      </c>
      <c r="D947" s="38"/>
      <c r="E947" s="38"/>
      <c r="F947" s="38"/>
      <c r="G947" s="38"/>
      <c r="H947" s="38"/>
      <c r="I947" s="39"/>
      <c r="J947" s="38"/>
    </row>
    <row r="948" spans="2:10" ht="12.75" customHeight="1" x14ac:dyDescent="0.2">
      <c r="B948" s="37"/>
      <c r="C948" s="37" t="str">
        <f>IF(D948="","",MATCH(D948,Parametros!$B$4:$B$15,0))</f>
        <v/>
      </c>
      <c r="D948" s="38"/>
      <c r="E948" s="38"/>
      <c r="F948" s="38"/>
      <c r="G948" s="38"/>
      <c r="H948" s="38"/>
      <c r="I948" s="39"/>
      <c r="J948" s="38"/>
    </row>
    <row r="949" spans="2:10" ht="12.75" customHeight="1" x14ac:dyDescent="0.2">
      <c r="B949" s="37"/>
      <c r="C949" s="37" t="str">
        <f>IF(D949="","",MATCH(D949,Parametros!$B$4:$B$15,0))</f>
        <v/>
      </c>
      <c r="D949" s="38"/>
      <c r="E949" s="38"/>
      <c r="F949" s="38"/>
      <c r="G949" s="38"/>
      <c r="H949" s="38"/>
      <c r="I949" s="39"/>
      <c r="J949" s="38"/>
    </row>
    <row r="950" spans="2:10" ht="12.75" customHeight="1" x14ac:dyDescent="0.2">
      <c r="B950" s="37"/>
      <c r="C950" s="37" t="str">
        <f>IF(D950="","",MATCH(D950,Parametros!$B$4:$B$15,0))</f>
        <v/>
      </c>
      <c r="D950" s="38"/>
      <c r="E950" s="38"/>
      <c r="F950" s="38"/>
      <c r="G950" s="38"/>
      <c r="H950" s="38"/>
      <c r="I950" s="39"/>
      <c r="J950" s="38"/>
    </row>
    <row r="951" spans="2:10" ht="12.75" customHeight="1" x14ac:dyDescent="0.2">
      <c r="B951" s="37"/>
      <c r="C951" s="37" t="str">
        <f>IF(D951="","",MATCH(D951,Parametros!$B$4:$B$15,0))</f>
        <v/>
      </c>
      <c r="D951" s="38"/>
      <c r="E951" s="38"/>
      <c r="F951" s="38"/>
      <c r="G951" s="38"/>
      <c r="H951" s="38"/>
      <c r="I951" s="39"/>
      <c r="J951" s="38"/>
    </row>
    <row r="952" spans="2:10" ht="12.75" customHeight="1" x14ac:dyDescent="0.2">
      <c r="B952" s="37"/>
      <c r="C952" s="37" t="str">
        <f>IF(D952="","",MATCH(D952,Parametros!$B$4:$B$15,0))</f>
        <v/>
      </c>
      <c r="D952" s="38"/>
      <c r="E952" s="38"/>
      <c r="F952" s="38"/>
      <c r="G952" s="38"/>
      <c r="H952" s="38"/>
      <c r="I952" s="39"/>
      <c r="J952" s="38"/>
    </row>
    <row r="953" spans="2:10" ht="12.75" customHeight="1" x14ac:dyDescent="0.2">
      <c r="B953" s="37"/>
      <c r="C953" s="37" t="str">
        <f>IF(D953="","",MATCH(D953,Parametros!$B$4:$B$15,0))</f>
        <v/>
      </c>
      <c r="D953" s="38"/>
      <c r="E953" s="38"/>
      <c r="F953" s="38"/>
      <c r="G953" s="38"/>
      <c r="H953" s="38"/>
      <c r="I953" s="39"/>
      <c r="J953" s="38"/>
    </row>
    <row r="954" spans="2:10" ht="12.75" customHeight="1" x14ac:dyDescent="0.2">
      <c r="B954" s="37"/>
      <c r="C954" s="37" t="str">
        <f>IF(D954="","",MATCH(D954,Parametros!$B$4:$B$15,0))</f>
        <v/>
      </c>
      <c r="D954" s="38"/>
      <c r="E954" s="38"/>
      <c r="F954" s="38"/>
      <c r="G954" s="38"/>
      <c r="H954" s="38"/>
      <c r="I954" s="39"/>
      <c r="J954" s="38"/>
    </row>
    <row r="955" spans="2:10" ht="12.75" customHeight="1" x14ac:dyDescent="0.2">
      <c r="B955" s="37"/>
      <c r="C955" s="37" t="str">
        <f>IF(D955="","",MATCH(D955,Parametros!$B$4:$B$15,0))</f>
        <v/>
      </c>
      <c r="D955" s="38"/>
      <c r="E955" s="38"/>
      <c r="F955" s="38"/>
      <c r="G955" s="38"/>
      <c r="H955" s="38"/>
      <c r="I955" s="39"/>
      <c r="J955" s="38"/>
    </row>
    <row r="956" spans="2:10" ht="12.75" customHeight="1" x14ac:dyDescent="0.2">
      <c r="B956" s="37"/>
      <c r="C956" s="37" t="str">
        <f>IF(D956="","",MATCH(D956,Parametros!$B$4:$B$15,0))</f>
        <v/>
      </c>
      <c r="D956" s="38"/>
      <c r="E956" s="38"/>
      <c r="F956" s="38"/>
      <c r="G956" s="38"/>
      <c r="H956" s="38"/>
      <c r="I956" s="39"/>
      <c r="J956" s="38"/>
    </row>
    <row r="957" spans="2:10" ht="12.75" customHeight="1" x14ac:dyDescent="0.2">
      <c r="B957" s="37"/>
      <c r="C957" s="37" t="str">
        <f>IF(D957="","",MATCH(D957,Parametros!$B$4:$B$15,0))</f>
        <v/>
      </c>
      <c r="D957" s="38"/>
      <c r="E957" s="38"/>
      <c r="F957" s="38"/>
      <c r="G957" s="38"/>
      <c r="H957" s="38"/>
      <c r="I957" s="39"/>
      <c r="J957" s="38"/>
    </row>
    <row r="958" spans="2:10" ht="12.75" customHeight="1" x14ac:dyDescent="0.2">
      <c r="B958" s="37"/>
      <c r="C958" s="37" t="str">
        <f>IF(D958="","",MATCH(D958,Parametros!$B$4:$B$15,0))</f>
        <v/>
      </c>
      <c r="D958" s="38"/>
      <c r="E958" s="38"/>
      <c r="F958" s="38"/>
      <c r="G958" s="38"/>
      <c r="H958" s="38"/>
      <c r="I958" s="39"/>
      <c r="J958" s="38"/>
    </row>
    <row r="959" spans="2:10" ht="12.75" customHeight="1" x14ac:dyDescent="0.2">
      <c r="B959" s="37"/>
      <c r="C959" s="37" t="str">
        <f>IF(D959="","",MATCH(D959,Parametros!$B$4:$B$15,0))</f>
        <v/>
      </c>
      <c r="D959" s="38"/>
      <c r="E959" s="38"/>
      <c r="F959" s="38"/>
      <c r="G959" s="38"/>
      <c r="H959" s="38"/>
      <c r="I959" s="39"/>
      <c r="J959" s="38"/>
    </row>
    <row r="960" spans="2:10" ht="12.75" customHeight="1" x14ac:dyDescent="0.2">
      <c r="B960" s="37"/>
      <c r="C960" s="37" t="str">
        <f>IF(D960="","",MATCH(D960,Parametros!$B$4:$B$15,0))</f>
        <v/>
      </c>
      <c r="D960" s="38"/>
      <c r="E960" s="38"/>
      <c r="F960" s="38"/>
      <c r="G960" s="38"/>
      <c r="H960" s="38"/>
      <c r="I960" s="39"/>
      <c r="J960" s="38"/>
    </row>
    <row r="961" spans="2:10" ht="12.75" customHeight="1" x14ac:dyDescent="0.2">
      <c r="B961" s="37"/>
      <c r="C961" s="37" t="str">
        <f>IF(D961="","",MATCH(D961,Parametros!$B$4:$B$15,0))</f>
        <v/>
      </c>
      <c r="D961" s="38"/>
      <c r="E961" s="38"/>
      <c r="F961" s="38"/>
      <c r="G961" s="38"/>
      <c r="H961" s="38"/>
      <c r="I961" s="39"/>
      <c r="J961" s="38"/>
    </row>
    <row r="962" spans="2:10" ht="12.75" customHeight="1" x14ac:dyDescent="0.2">
      <c r="B962" s="37"/>
      <c r="C962" s="37" t="str">
        <f>IF(D962="","",MATCH(D962,Parametros!$B$4:$B$15,0))</f>
        <v/>
      </c>
      <c r="D962" s="38"/>
      <c r="E962" s="38"/>
      <c r="F962" s="38"/>
      <c r="G962" s="38"/>
      <c r="H962" s="38"/>
      <c r="I962" s="39"/>
      <c r="J962" s="38"/>
    </row>
    <row r="963" spans="2:10" ht="12.75" customHeight="1" x14ac:dyDescent="0.2">
      <c r="B963" s="37"/>
      <c r="C963" s="37" t="str">
        <f>IF(D963="","",MATCH(D963,Parametros!$B$4:$B$15,0))</f>
        <v/>
      </c>
      <c r="D963" s="38"/>
      <c r="E963" s="38"/>
      <c r="F963" s="38"/>
      <c r="G963" s="38"/>
      <c r="H963" s="38"/>
      <c r="I963" s="39"/>
      <c r="J963" s="38"/>
    </row>
    <row r="964" spans="2:10" ht="12.75" customHeight="1" x14ac:dyDescent="0.2">
      <c r="B964" s="37"/>
      <c r="C964" s="37" t="str">
        <f>IF(D964="","",MATCH(D964,Parametros!$B$4:$B$15,0))</f>
        <v/>
      </c>
      <c r="D964" s="38"/>
      <c r="E964" s="38"/>
      <c r="F964" s="38"/>
      <c r="G964" s="38"/>
      <c r="H964" s="38"/>
      <c r="I964" s="39"/>
      <c r="J964" s="38"/>
    </row>
    <row r="965" spans="2:10" ht="12.75" customHeight="1" x14ac:dyDescent="0.2">
      <c r="B965" s="37"/>
      <c r="C965" s="37" t="str">
        <f>IF(D965="","",MATCH(D965,Parametros!$B$4:$B$15,0))</f>
        <v/>
      </c>
      <c r="D965" s="38"/>
      <c r="E965" s="38"/>
      <c r="F965" s="38"/>
      <c r="G965" s="38"/>
      <c r="H965" s="38"/>
      <c r="I965" s="39"/>
      <c r="J965" s="38"/>
    </row>
    <row r="966" spans="2:10" ht="12.75" customHeight="1" x14ac:dyDescent="0.2">
      <c r="B966" s="37"/>
      <c r="C966" s="37" t="str">
        <f>IF(D966="","",MATCH(D966,Parametros!$B$4:$B$15,0))</f>
        <v/>
      </c>
      <c r="D966" s="38"/>
      <c r="E966" s="38"/>
      <c r="F966" s="38"/>
      <c r="G966" s="38"/>
      <c r="H966" s="38"/>
      <c r="I966" s="39"/>
      <c r="J966" s="38"/>
    </row>
    <row r="967" spans="2:10" ht="12.75" customHeight="1" x14ac:dyDescent="0.2">
      <c r="B967" s="37"/>
      <c r="C967" s="37" t="str">
        <f>IF(D967="","",MATCH(D967,Parametros!$B$4:$B$15,0))</f>
        <v/>
      </c>
      <c r="D967" s="38"/>
      <c r="E967" s="38"/>
      <c r="F967" s="38"/>
      <c r="G967" s="38"/>
      <c r="H967" s="38"/>
      <c r="I967" s="39"/>
      <c r="J967" s="38"/>
    </row>
    <row r="968" spans="2:10" ht="12.75" customHeight="1" x14ac:dyDescent="0.2">
      <c r="B968" s="37"/>
      <c r="C968" s="37" t="str">
        <f>IF(D968="","",MATCH(D968,Parametros!$B$4:$B$15,0))</f>
        <v/>
      </c>
      <c r="D968" s="38"/>
      <c r="E968" s="38"/>
      <c r="F968" s="38"/>
      <c r="G968" s="38"/>
      <c r="H968" s="38"/>
      <c r="I968" s="39"/>
      <c r="J968" s="38"/>
    </row>
    <row r="969" spans="2:10" ht="12.75" customHeight="1" x14ac:dyDescent="0.2">
      <c r="B969" s="37"/>
      <c r="C969" s="37" t="str">
        <f>IF(D969="","",MATCH(D969,Parametros!$B$4:$B$15,0))</f>
        <v/>
      </c>
      <c r="D969" s="38"/>
      <c r="E969" s="38"/>
      <c r="F969" s="38"/>
      <c r="G969" s="38"/>
      <c r="H969" s="38"/>
      <c r="I969" s="39"/>
      <c r="J969" s="38"/>
    </row>
    <row r="970" spans="2:10" ht="12.75" customHeight="1" x14ac:dyDescent="0.2">
      <c r="B970" s="37"/>
      <c r="C970" s="37" t="str">
        <f>IF(D970="","",MATCH(D970,Parametros!$B$4:$B$15,0))</f>
        <v/>
      </c>
      <c r="D970" s="38"/>
      <c r="E970" s="38"/>
      <c r="F970" s="38"/>
      <c r="G970" s="38"/>
      <c r="H970" s="38"/>
      <c r="I970" s="39"/>
      <c r="J970" s="38"/>
    </row>
    <row r="971" spans="2:10" ht="12.75" customHeight="1" x14ac:dyDescent="0.2">
      <c r="B971" s="37"/>
      <c r="C971" s="37" t="str">
        <f>IF(D971="","",MATCH(D971,Parametros!$B$4:$B$15,0))</f>
        <v/>
      </c>
      <c r="D971" s="38"/>
      <c r="E971" s="38"/>
      <c r="F971" s="38"/>
      <c r="G971" s="38"/>
      <c r="H971" s="38"/>
      <c r="I971" s="39"/>
      <c r="J971" s="38"/>
    </row>
    <row r="972" spans="2:10" ht="12.75" customHeight="1" x14ac:dyDescent="0.2">
      <c r="B972" s="37"/>
      <c r="C972" s="37" t="str">
        <f>IF(D972="","",MATCH(D972,Parametros!$B$4:$B$15,0))</f>
        <v/>
      </c>
      <c r="D972" s="38"/>
      <c r="E972" s="38"/>
      <c r="F972" s="38"/>
      <c r="G972" s="38"/>
      <c r="H972" s="38"/>
      <c r="I972" s="39"/>
      <c r="J972" s="38"/>
    </row>
    <row r="973" spans="2:10" ht="12.75" customHeight="1" x14ac:dyDescent="0.2">
      <c r="B973" s="37"/>
      <c r="C973" s="37" t="str">
        <f>IF(D973="","",MATCH(D973,Parametros!$B$4:$B$15,0))</f>
        <v/>
      </c>
      <c r="D973" s="38"/>
      <c r="E973" s="38"/>
      <c r="F973" s="38"/>
      <c r="G973" s="38"/>
      <c r="H973" s="38"/>
      <c r="I973" s="39"/>
      <c r="J973" s="38"/>
    </row>
    <row r="974" spans="2:10" ht="12.75" customHeight="1" x14ac:dyDescent="0.2">
      <c r="B974" s="37"/>
      <c r="C974" s="37" t="str">
        <f>IF(D974="","",MATCH(D974,Parametros!$B$4:$B$15,0))</f>
        <v/>
      </c>
      <c r="D974" s="38"/>
      <c r="E974" s="38"/>
      <c r="F974" s="38"/>
      <c r="G974" s="38"/>
      <c r="H974" s="38"/>
      <c r="I974" s="39"/>
      <c r="J974" s="38"/>
    </row>
    <row r="975" spans="2:10" ht="12.75" customHeight="1" x14ac:dyDescent="0.2">
      <c r="B975" s="37"/>
      <c r="C975" s="37" t="str">
        <f>IF(D975="","",MATCH(D975,Parametros!$B$4:$B$15,0))</f>
        <v/>
      </c>
      <c r="D975" s="38"/>
      <c r="E975" s="38"/>
      <c r="F975" s="38"/>
      <c r="G975" s="38"/>
      <c r="H975" s="38"/>
      <c r="I975" s="39"/>
      <c r="J975" s="38"/>
    </row>
    <row r="976" spans="2:10" ht="12.75" customHeight="1" x14ac:dyDescent="0.2">
      <c r="B976" s="37"/>
      <c r="C976" s="37" t="str">
        <f>IF(D976="","",MATCH(D976,Parametros!$B$4:$B$15,0))</f>
        <v/>
      </c>
      <c r="D976" s="38"/>
      <c r="E976" s="38"/>
      <c r="F976" s="38"/>
      <c r="G976" s="38"/>
      <c r="H976" s="38"/>
      <c r="I976" s="39"/>
      <c r="J976" s="38"/>
    </row>
    <row r="977" spans="2:10" ht="12.75" customHeight="1" x14ac:dyDescent="0.2">
      <c r="B977" s="37"/>
      <c r="C977" s="37" t="str">
        <f>IF(D977="","",MATCH(D977,Parametros!$B$4:$B$15,0))</f>
        <v/>
      </c>
      <c r="D977" s="38"/>
      <c r="E977" s="38"/>
      <c r="F977" s="38"/>
      <c r="G977" s="38"/>
      <c r="H977" s="38"/>
      <c r="I977" s="39"/>
      <c r="J977" s="38"/>
    </row>
    <row r="978" spans="2:10" ht="12.75" customHeight="1" x14ac:dyDescent="0.2">
      <c r="B978" s="37"/>
      <c r="C978" s="37" t="str">
        <f>IF(D978="","",MATCH(D978,Parametros!$B$4:$B$15,0))</f>
        <v/>
      </c>
      <c r="D978" s="38"/>
      <c r="E978" s="38"/>
      <c r="F978" s="38"/>
      <c r="G978" s="38"/>
      <c r="H978" s="38"/>
      <c r="I978" s="39"/>
      <c r="J978" s="38"/>
    </row>
    <row r="979" spans="2:10" ht="12.75" customHeight="1" x14ac:dyDescent="0.2">
      <c r="B979" s="37"/>
      <c r="C979" s="37" t="str">
        <f>IF(D979="","",MATCH(D979,Parametros!$B$4:$B$15,0))</f>
        <v/>
      </c>
      <c r="D979" s="38"/>
      <c r="E979" s="38"/>
      <c r="F979" s="38"/>
      <c r="G979" s="38"/>
      <c r="H979" s="38"/>
      <c r="I979" s="39"/>
      <c r="J979" s="38"/>
    </row>
    <row r="980" spans="2:10" ht="12.75" customHeight="1" x14ac:dyDescent="0.2">
      <c r="B980" s="37"/>
      <c r="C980" s="37" t="str">
        <f>IF(D980="","",MATCH(D980,Parametros!$B$4:$B$15,0))</f>
        <v/>
      </c>
      <c r="D980" s="38"/>
      <c r="E980" s="38"/>
      <c r="F980" s="38"/>
      <c r="G980" s="38"/>
      <c r="H980" s="38"/>
      <c r="I980" s="39"/>
      <c r="J980" s="38"/>
    </row>
    <row r="981" spans="2:10" ht="12.75" customHeight="1" x14ac:dyDescent="0.2">
      <c r="B981" s="37"/>
      <c r="C981" s="37" t="str">
        <f>IF(D981="","",MATCH(D981,Parametros!$B$4:$B$15,0))</f>
        <v/>
      </c>
      <c r="D981" s="38"/>
      <c r="E981" s="38"/>
      <c r="F981" s="38"/>
      <c r="G981" s="38"/>
      <c r="H981" s="38"/>
      <c r="I981" s="39"/>
      <c r="J981" s="38"/>
    </row>
    <row r="982" spans="2:10" ht="12.75" customHeight="1" x14ac:dyDescent="0.2">
      <c r="B982" s="37"/>
      <c r="C982" s="37" t="str">
        <f>IF(D982="","",MATCH(D982,Parametros!$B$4:$B$15,0))</f>
        <v/>
      </c>
      <c r="D982" s="38"/>
      <c r="E982" s="38"/>
      <c r="F982" s="38"/>
      <c r="G982" s="38"/>
      <c r="H982" s="38"/>
      <c r="I982" s="39"/>
      <c r="J982" s="38"/>
    </row>
    <row r="983" spans="2:10" ht="12.75" customHeight="1" x14ac:dyDescent="0.2">
      <c r="B983" s="37"/>
      <c r="C983" s="37" t="str">
        <f>IF(D983="","",MATCH(D983,Parametros!$B$4:$B$15,0))</f>
        <v/>
      </c>
      <c r="D983" s="38"/>
      <c r="E983" s="38"/>
      <c r="F983" s="38"/>
      <c r="G983" s="38"/>
      <c r="H983" s="38"/>
      <c r="I983" s="39"/>
      <c r="J983" s="38"/>
    </row>
    <row r="984" spans="2:10" ht="12.75" customHeight="1" x14ac:dyDescent="0.2">
      <c r="B984" s="37"/>
      <c r="C984" s="37" t="str">
        <f>IF(D984="","",MATCH(D984,Parametros!$B$4:$B$15,0))</f>
        <v/>
      </c>
      <c r="D984" s="38"/>
      <c r="E984" s="38"/>
      <c r="F984" s="38"/>
      <c r="G984" s="38"/>
      <c r="H984" s="38"/>
      <c r="I984" s="39"/>
      <c r="J984" s="38"/>
    </row>
    <row r="985" spans="2:10" ht="12.75" customHeight="1" x14ac:dyDescent="0.2">
      <c r="B985" s="37"/>
      <c r="C985" s="37" t="str">
        <f>IF(D985="","",MATCH(D985,Parametros!$B$4:$B$15,0))</f>
        <v/>
      </c>
      <c r="D985" s="38"/>
      <c r="E985" s="38"/>
      <c r="F985" s="38"/>
      <c r="G985" s="38"/>
      <c r="H985" s="38"/>
      <c r="I985" s="39"/>
      <c r="J985" s="38"/>
    </row>
    <row r="986" spans="2:10" ht="12.75" customHeight="1" x14ac:dyDescent="0.2">
      <c r="B986" s="37"/>
      <c r="C986" s="37" t="str">
        <f>IF(D986="","",MATCH(D986,Parametros!$B$4:$B$15,0))</f>
        <v/>
      </c>
      <c r="D986" s="38"/>
      <c r="E986" s="38"/>
      <c r="F986" s="38"/>
      <c r="G986" s="38"/>
      <c r="H986" s="38"/>
      <c r="I986" s="39"/>
      <c r="J986" s="38"/>
    </row>
    <row r="987" spans="2:10" ht="12.75" customHeight="1" x14ac:dyDescent="0.2">
      <c r="B987" s="37"/>
      <c r="C987" s="37" t="str">
        <f>IF(D987="","",MATCH(D987,Parametros!$B$4:$B$15,0))</f>
        <v/>
      </c>
      <c r="D987" s="38"/>
      <c r="E987" s="38"/>
      <c r="F987" s="38"/>
      <c r="G987" s="38"/>
      <c r="H987" s="38"/>
      <c r="I987" s="39"/>
      <c r="J987" s="38"/>
    </row>
    <row r="988" spans="2:10" ht="12.75" customHeight="1" x14ac:dyDescent="0.2">
      <c r="B988" s="37"/>
      <c r="C988" s="37" t="str">
        <f>IF(D988="","",MATCH(D988,Parametros!$B$4:$B$15,0))</f>
        <v/>
      </c>
      <c r="D988" s="38"/>
      <c r="E988" s="38"/>
      <c r="F988" s="38"/>
      <c r="G988" s="38"/>
      <c r="H988" s="38"/>
      <c r="I988" s="39"/>
      <c r="J988" s="38"/>
    </row>
    <row r="989" spans="2:10" ht="12.75" customHeight="1" x14ac:dyDescent="0.2">
      <c r="B989" s="37"/>
      <c r="C989" s="37" t="str">
        <f>IF(D989="","",MATCH(D989,Parametros!$B$4:$B$15,0))</f>
        <v/>
      </c>
      <c r="D989" s="38"/>
      <c r="E989" s="38"/>
      <c r="F989" s="38"/>
      <c r="G989" s="38"/>
      <c r="H989" s="38"/>
      <c r="I989" s="39"/>
      <c r="J989" s="38"/>
    </row>
    <row r="990" spans="2:10" ht="12.75" customHeight="1" x14ac:dyDescent="0.2">
      <c r="B990" s="37"/>
      <c r="C990" s="37" t="str">
        <f>IF(D990="","",MATCH(D990,Parametros!$B$4:$B$15,0))</f>
        <v/>
      </c>
      <c r="D990" s="38"/>
      <c r="E990" s="38"/>
      <c r="F990" s="38"/>
      <c r="G990" s="38"/>
      <c r="H990" s="38"/>
      <c r="I990" s="39"/>
      <c r="J990" s="38"/>
    </row>
    <row r="991" spans="2:10" ht="12.75" customHeight="1" x14ac:dyDescent="0.2">
      <c r="B991" s="37"/>
      <c r="C991" s="37" t="str">
        <f>IF(D991="","",MATCH(D991,Parametros!$B$4:$B$15,0))</f>
        <v/>
      </c>
      <c r="D991" s="38"/>
      <c r="E991" s="38"/>
      <c r="F991" s="38"/>
      <c r="G991" s="38"/>
      <c r="H991" s="38"/>
      <c r="I991" s="39"/>
      <c r="J991" s="38"/>
    </row>
    <row r="992" spans="2:10" ht="12.75" customHeight="1" x14ac:dyDescent="0.2">
      <c r="B992" s="37"/>
      <c r="C992" s="37" t="str">
        <f>IF(D992="","",MATCH(D992,Parametros!$B$4:$B$15,0))</f>
        <v/>
      </c>
      <c r="D992" s="38"/>
      <c r="E992" s="38"/>
      <c r="F992" s="38"/>
      <c r="G992" s="38"/>
      <c r="H992" s="38"/>
      <c r="I992" s="39"/>
      <c r="J992" s="38"/>
    </row>
    <row r="993" spans="2:10" ht="12.75" customHeight="1" x14ac:dyDescent="0.2">
      <c r="B993" s="37"/>
      <c r="C993" s="37" t="str">
        <f>IF(D993="","",MATCH(D993,Parametros!$B$4:$B$15,0))</f>
        <v/>
      </c>
      <c r="D993" s="38"/>
      <c r="E993" s="38"/>
      <c r="F993" s="38"/>
      <c r="G993" s="38"/>
      <c r="H993" s="38"/>
      <c r="I993" s="39"/>
      <c r="J993" s="38"/>
    </row>
    <row r="994" spans="2:10" ht="12.75" customHeight="1" x14ac:dyDescent="0.2">
      <c r="B994" s="37"/>
      <c r="C994" s="37" t="str">
        <f>IF(D994="","",MATCH(D994,Parametros!$B$4:$B$15,0))</f>
        <v/>
      </c>
      <c r="D994" s="38"/>
      <c r="E994" s="38"/>
      <c r="F994" s="38"/>
      <c r="G994" s="38"/>
      <c r="H994" s="38"/>
      <c r="I994" s="39"/>
      <c r="J994" s="38"/>
    </row>
    <row r="995" spans="2:10" ht="12.75" customHeight="1" x14ac:dyDescent="0.2">
      <c r="B995" s="37"/>
      <c r="C995" s="37" t="str">
        <f>IF(D995="","",MATCH(D995,Parametros!$B$4:$B$15,0))</f>
        <v/>
      </c>
      <c r="D995" s="38"/>
      <c r="E995" s="38"/>
      <c r="F995" s="38"/>
      <c r="G995" s="38"/>
      <c r="H995" s="38"/>
      <c r="I995" s="39"/>
      <c r="J995" s="38"/>
    </row>
    <row r="996" spans="2:10" ht="12.75" customHeight="1" x14ac:dyDescent="0.2">
      <c r="B996" s="37"/>
      <c r="C996" s="37" t="str">
        <f>IF(D996="","",MATCH(D996,Parametros!$B$4:$B$15,0))</f>
        <v/>
      </c>
      <c r="D996" s="38"/>
      <c r="E996" s="38"/>
      <c r="F996" s="38"/>
      <c r="G996" s="38"/>
      <c r="H996" s="38"/>
      <c r="I996" s="39"/>
      <c r="J996" s="38"/>
    </row>
    <row r="997" spans="2:10" ht="12.75" customHeight="1" x14ac:dyDescent="0.2">
      <c r="B997" s="37"/>
      <c r="C997" s="37" t="str">
        <f>IF(D997="","",MATCH(D997,Parametros!$B$4:$B$15,0))</f>
        <v/>
      </c>
      <c r="D997" s="38"/>
      <c r="E997" s="38"/>
      <c r="F997" s="38"/>
      <c r="G997" s="38"/>
      <c r="H997" s="38"/>
      <c r="I997" s="39"/>
      <c r="J997" s="38"/>
    </row>
    <row r="998" spans="2:10" ht="12.75" customHeight="1" x14ac:dyDescent="0.2">
      <c r="B998" s="37"/>
      <c r="C998" s="37" t="str">
        <f>IF(D998="","",MATCH(D998,Parametros!$B$4:$B$15,0))</f>
        <v/>
      </c>
      <c r="D998" s="38"/>
      <c r="E998" s="38"/>
      <c r="F998" s="38"/>
      <c r="G998" s="38"/>
      <c r="H998" s="38"/>
      <c r="I998" s="39"/>
      <c r="J998" s="38"/>
    </row>
    <row r="999" spans="2:10" ht="12.75" customHeight="1" x14ac:dyDescent="0.2">
      <c r="B999" s="37"/>
      <c r="C999" s="37" t="str">
        <f>IF(D999="","",MATCH(D999,Parametros!$B$4:$B$15,0))</f>
        <v/>
      </c>
      <c r="D999" s="38"/>
      <c r="E999" s="38"/>
      <c r="F999" s="38"/>
      <c r="G999" s="38"/>
      <c r="H999" s="38"/>
      <c r="I999" s="39"/>
      <c r="J999" s="38"/>
    </row>
    <row r="1000" spans="2:10" ht="12.75" customHeight="1" x14ac:dyDescent="0.2">
      <c r="B1000" s="37"/>
      <c r="C1000" s="37" t="str">
        <f>IF(D1000="","",MATCH(D1000,Parametros!$B$4:$B$15,0))</f>
        <v/>
      </c>
      <c r="D1000" s="38"/>
      <c r="E1000" s="38"/>
      <c r="F1000" s="38"/>
      <c r="G1000" s="38"/>
      <c r="H1000" s="38"/>
      <c r="I1000" s="39"/>
      <c r="J1000" s="38"/>
    </row>
    <row r="1001" spans="2:10" ht="12.75" customHeight="1" x14ac:dyDescent="0.2">
      <c r="B1001" s="37"/>
      <c r="C1001" s="37" t="str">
        <f>IF(D1001="","",MATCH(D1001,Parametros!$B$4:$B$15,0))</f>
        <v/>
      </c>
      <c r="D1001" s="38"/>
      <c r="E1001" s="38"/>
      <c r="F1001" s="38"/>
      <c r="G1001" s="38"/>
      <c r="H1001" s="38"/>
      <c r="I1001" s="39"/>
      <c r="J1001" s="38"/>
    </row>
    <row r="1002" spans="2:10" ht="12.75" customHeight="1" x14ac:dyDescent="0.2">
      <c r="B1002" s="37"/>
      <c r="C1002" s="37" t="str">
        <f>IF(D1002="","",MATCH(D1002,Parametros!$B$4:$B$15,0))</f>
        <v/>
      </c>
      <c r="D1002" s="38"/>
      <c r="E1002" s="38"/>
      <c r="F1002" s="38"/>
      <c r="G1002" s="38"/>
      <c r="H1002" s="38"/>
      <c r="I1002" s="39"/>
      <c r="J1002" s="38"/>
    </row>
    <row r="1003" spans="2:10" ht="12.75" customHeight="1" x14ac:dyDescent="0.2">
      <c r="B1003" s="37"/>
      <c r="C1003" s="37" t="str">
        <f>IF(D1003="","",MATCH(D1003,Parametros!$B$4:$B$15,0))</f>
        <v/>
      </c>
      <c r="D1003" s="38"/>
      <c r="E1003" s="38"/>
      <c r="F1003" s="38"/>
      <c r="G1003" s="38"/>
      <c r="H1003" s="38"/>
      <c r="I1003" s="39"/>
      <c r="J1003" s="38"/>
    </row>
    <row r="1004" spans="2:10" ht="12.75" customHeight="1" x14ac:dyDescent="0.2">
      <c r="B1004" s="37"/>
      <c r="C1004" s="37" t="str">
        <f>IF(D1004="","",MATCH(D1004,Parametros!$B$4:$B$15,0))</f>
        <v/>
      </c>
      <c r="D1004" s="38"/>
      <c r="E1004" s="38"/>
      <c r="F1004" s="38"/>
      <c r="G1004" s="38"/>
      <c r="H1004" s="38"/>
      <c r="I1004" s="39"/>
      <c r="J1004" s="38"/>
    </row>
    <row r="1005" spans="2:10" ht="12.75" customHeight="1" x14ac:dyDescent="0.2">
      <c r="B1005" s="37"/>
      <c r="C1005" s="37" t="str">
        <f>IF(D1005="","",MATCH(D1005,Parametros!$B$4:$B$15,0))</f>
        <v/>
      </c>
      <c r="D1005" s="38"/>
      <c r="E1005" s="38"/>
      <c r="F1005" s="38"/>
      <c r="G1005" s="38"/>
      <c r="H1005" s="38"/>
      <c r="I1005" s="39"/>
      <c r="J1005" s="38"/>
    </row>
    <row r="1006" spans="2:10" ht="12.75" customHeight="1" x14ac:dyDescent="0.2">
      <c r="B1006" s="37"/>
      <c r="C1006" s="37" t="str">
        <f>IF(D1006="","",MATCH(D1006,Parametros!$B$4:$B$15,0))</f>
        <v/>
      </c>
      <c r="D1006" s="38"/>
      <c r="E1006" s="38"/>
      <c r="F1006" s="38"/>
      <c r="G1006" s="38"/>
      <c r="H1006" s="38"/>
      <c r="I1006" s="39"/>
      <c r="J1006" s="38"/>
    </row>
    <row r="1007" spans="2:10" ht="12.75" customHeight="1" x14ac:dyDescent="0.2">
      <c r="B1007" s="37"/>
      <c r="C1007" s="37" t="str">
        <f>IF(D1007="","",MATCH(D1007,Parametros!$B$4:$B$15,0))</f>
        <v/>
      </c>
      <c r="D1007" s="38"/>
      <c r="E1007" s="38"/>
      <c r="F1007" s="38"/>
      <c r="G1007" s="38"/>
      <c r="H1007" s="38"/>
      <c r="I1007" s="39"/>
      <c r="J1007" s="38"/>
    </row>
    <row r="1008" spans="2:10" ht="12.75" customHeight="1" x14ac:dyDescent="0.2">
      <c r="B1008" s="37"/>
      <c r="C1008" s="37" t="str">
        <f>IF(D1008="","",MATCH(D1008,Parametros!$B$4:$B$15,0))</f>
        <v/>
      </c>
      <c r="D1008" s="38"/>
      <c r="E1008" s="38"/>
      <c r="F1008" s="38"/>
      <c r="G1008" s="38"/>
      <c r="H1008" s="38"/>
      <c r="I1008" s="39"/>
      <c r="J1008" s="38"/>
    </row>
    <row r="1009" spans="2:10" ht="12.75" customHeight="1" x14ac:dyDescent="0.2">
      <c r="B1009" s="37"/>
      <c r="C1009" s="37" t="str">
        <f>IF(D1009="","",MATCH(D1009,Parametros!$B$4:$B$15,0))</f>
        <v/>
      </c>
      <c r="D1009" s="38"/>
      <c r="E1009" s="38"/>
      <c r="F1009" s="38"/>
      <c r="G1009" s="38"/>
      <c r="H1009" s="38"/>
      <c r="I1009" s="39"/>
      <c r="J1009" s="38"/>
    </row>
    <row r="1010" spans="2:10" ht="12.75" customHeight="1" x14ac:dyDescent="0.2">
      <c r="B1010" s="37"/>
      <c r="C1010" s="37" t="str">
        <f>IF(D1010="","",MATCH(D1010,Parametros!$B$4:$B$15,0))</f>
        <v/>
      </c>
      <c r="D1010" s="38"/>
      <c r="E1010" s="38"/>
      <c r="F1010" s="38"/>
      <c r="G1010" s="38"/>
      <c r="H1010" s="38"/>
      <c r="I1010" s="39"/>
      <c r="J1010" s="38"/>
    </row>
    <row r="1011" spans="2:10" ht="12.75" customHeight="1" x14ac:dyDescent="0.2">
      <c r="B1011" s="37"/>
      <c r="C1011" s="37" t="str">
        <f>IF(D1011="","",MATCH(D1011,Parametros!$B$4:$B$15,0))</f>
        <v/>
      </c>
      <c r="D1011" s="38"/>
      <c r="E1011" s="38"/>
      <c r="F1011" s="38"/>
      <c r="G1011" s="38"/>
      <c r="H1011" s="38"/>
      <c r="I1011" s="39"/>
      <c r="J1011" s="38"/>
    </row>
    <row r="1012" spans="2:10" ht="12.75" customHeight="1" x14ac:dyDescent="0.2">
      <c r="B1012" s="37"/>
      <c r="C1012" s="37" t="str">
        <f>IF(D1012="","",MATCH(D1012,Parametros!$B$4:$B$15,0))</f>
        <v/>
      </c>
      <c r="D1012" s="38"/>
      <c r="E1012" s="38"/>
      <c r="F1012" s="38"/>
      <c r="G1012" s="38"/>
      <c r="H1012" s="38"/>
      <c r="I1012" s="39"/>
      <c r="J1012" s="38"/>
    </row>
    <row r="1013" spans="2:10" ht="12.75" customHeight="1" x14ac:dyDescent="0.2">
      <c r="B1013" s="37"/>
      <c r="C1013" s="37" t="str">
        <f>IF(D1013="","",MATCH(D1013,Parametros!$B$4:$B$15,0))</f>
        <v/>
      </c>
      <c r="D1013" s="38"/>
      <c r="E1013" s="38"/>
      <c r="F1013" s="38"/>
      <c r="G1013" s="38"/>
      <c r="H1013" s="38"/>
      <c r="I1013" s="39"/>
      <c r="J1013" s="38"/>
    </row>
    <row r="1014" spans="2:10" ht="12.75" customHeight="1" x14ac:dyDescent="0.2">
      <c r="B1014" s="37"/>
      <c r="C1014" s="37" t="str">
        <f>IF(D1014="","",MATCH(D1014,Parametros!$B$4:$B$15,0))</f>
        <v/>
      </c>
      <c r="D1014" s="38"/>
      <c r="E1014" s="38"/>
      <c r="F1014" s="38"/>
      <c r="G1014" s="38"/>
      <c r="H1014" s="38"/>
      <c r="I1014" s="39"/>
      <c r="J1014" s="38"/>
    </row>
    <row r="1015" spans="2:10" ht="12.75" customHeight="1" x14ac:dyDescent="0.2">
      <c r="B1015" s="37"/>
      <c r="C1015" s="37" t="str">
        <f>IF(D1015="","",MATCH(D1015,Parametros!$B$4:$B$15,0))</f>
        <v/>
      </c>
      <c r="D1015" s="38"/>
      <c r="E1015" s="38"/>
      <c r="F1015" s="38"/>
      <c r="G1015" s="38"/>
      <c r="H1015" s="38"/>
      <c r="I1015" s="39"/>
      <c r="J1015" s="38"/>
    </row>
    <row r="1016" spans="2:10" ht="12.75" customHeight="1" x14ac:dyDescent="0.2">
      <c r="B1016" s="37"/>
      <c r="C1016" s="37" t="str">
        <f>IF(D1016="","",MATCH(D1016,Parametros!$B$4:$B$15,0))</f>
        <v/>
      </c>
      <c r="D1016" s="38"/>
      <c r="E1016" s="38"/>
      <c r="F1016" s="38"/>
      <c r="G1016" s="38"/>
      <c r="H1016" s="38"/>
      <c r="I1016" s="39"/>
      <c r="J1016" s="38"/>
    </row>
    <row r="1017" spans="2:10" ht="12.75" customHeight="1" x14ac:dyDescent="0.2">
      <c r="B1017" s="37"/>
      <c r="C1017" s="37" t="str">
        <f>IF(D1017="","",MATCH(D1017,Parametros!$B$4:$B$15,0))</f>
        <v/>
      </c>
      <c r="D1017" s="38"/>
      <c r="E1017" s="38"/>
      <c r="F1017" s="38"/>
      <c r="G1017" s="38"/>
      <c r="H1017" s="38"/>
      <c r="I1017" s="39"/>
      <c r="J1017" s="38"/>
    </row>
    <row r="1018" spans="2:10" ht="12.75" customHeight="1" x14ac:dyDescent="0.2">
      <c r="B1018" s="37"/>
      <c r="C1018" s="37" t="str">
        <f>IF(D1018="","",MATCH(D1018,Parametros!$B$4:$B$15,0))</f>
        <v/>
      </c>
      <c r="D1018" s="38"/>
      <c r="E1018" s="38"/>
      <c r="F1018" s="38"/>
      <c r="G1018" s="38"/>
      <c r="H1018" s="38"/>
      <c r="I1018" s="39"/>
      <c r="J1018" s="38"/>
    </row>
    <row r="1019" spans="2:10" ht="12.75" customHeight="1" x14ac:dyDescent="0.2">
      <c r="B1019" s="37"/>
      <c r="C1019" s="37" t="str">
        <f>IF(D1019="","",MATCH(D1019,Parametros!$B$4:$B$15,0))</f>
        <v/>
      </c>
      <c r="D1019" s="38"/>
      <c r="E1019" s="38"/>
      <c r="F1019" s="38"/>
      <c r="G1019" s="38"/>
      <c r="H1019" s="38"/>
      <c r="I1019" s="39"/>
      <c r="J1019" s="38"/>
    </row>
    <row r="1020" spans="2:10" ht="12.75" customHeight="1" x14ac:dyDescent="0.2">
      <c r="B1020" s="37"/>
      <c r="C1020" s="37" t="str">
        <f>IF(D1020="","",MATCH(D1020,Parametros!$B$4:$B$15,0))</f>
        <v/>
      </c>
      <c r="D1020" s="38"/>
      <c r="E1020" s="38"/>
      <c r="F1020" s="38"/>
      <c r="G1020" s="38"/>
      <c r="H1020" s="38"/>
      <c r="I1020" s="39"/>
      <c r="J1020" s="38"/>
    </row>
    <row r="1021" spans="2:10" ht="12.75" customHeight="1" x14ac:dyDescent="0.2">
      <c r="B1021" s="37"/>
      <c r="C1021" s="37" t="str">
        <f>IF(D1021="","",MATCH(D1021,Parametros!$B$4:$B$15,0))</f>
        <v/>
      </c>
      <c r="D1021" s="38"/>
      <c r="E1021" s="38"/>
      <c r="F1021" s="38"/>
      <c r="G1021" s="38"/>
      <c r="H1021" s="38"/>
      <c r="I1021" s="39"/>
      <c r="J1021" s="38"/>
    </row>
    <row r="1022" spans="2:10" ht="12.75" customHeight="1" x14ac:dyDescent="0.2">
      <c r="B1022" s="37"/>
      <c r="C1022" s="37" t="str">
        <f>IF(D1022="","",MATCH(D1022,Parametros!$B$4:$B$15,0))</f>
        <v/>
      </c>
      <c r="D1022" s="38"/>
      <c r="E1022" s="38"/>
      <c r="F1022" s="38"/>
      <c r="G1022" s="38"/>
      <c r="H1022" s="38"/>
      <c r="I1022" s="39"/>
      <c r="J1022" s="38"/>
    </row>
    <row r="1023" spans="2:10" ht="12.75" customHeight="1" x14ac:dyDescent="0.2">
      <c r="B1023" s="37"/>
      <c r="C1023" s="37" t="str">
        <f>IF(D1023="","",MATCH(D1023,Parametros!$B$4:$B$15,0))</f>
        <v/>
      </c>
      <c r="D1023" s="38"/>
      <c r="E1023" s="38"/>
      <c r="F1023" s="38"/>
      <c r="G1023" s="38"/>
      <c r="H1023" s="38"/>
      <c r="I1023" s="39"/>
      <c r="J1023" s="38"/>
    </row>
    <row r="1024" spans="2:10" ht="12.75" customHeight="1" x14ac:dyDescent="0.2">
      <c r="B1024" s="37"/>
      <c r="C1024" s="37" t="str">
        <f>IF(D1024="","",MATCH(D1024,Parametros!$B$4:$B$15,0))</f>
        <v/>
      </c>
      <c r="D1024" s="38"/>
      <c r="E1024" s="38"/>
      <c r="F1024" s="38"/>
      <c r="G1024" s="38"/>
      <c r="H1024" s="38"/>
      <c r="I1024" s="39"/>
      <c r="J1024" s="38"/>
    </row>
    <row r="1025" spans="2:10" ht="12.75" customHeight="1" x14ac:dyDescent="0.2">
      <c r="B1025" s="37"/>
      <c r="C1025" s="37" t="str">
        <f>IF(D1025="","",MATCH(D1025,Parametros!$B$4:$B$15,0))</f>
        <v/>
      </c>
      <c r="D1025" s="38"/>
      <c r="E1025" s="38"/>
      <c r="F1025" s="38"/>
      <c r="G1025" s="38"/>
      <c r="H1025" s="38"/>
      <c r="I1025" s="39"/>
      <c r="J1025" s="38"/>
    </row>
    <row r="1026" spans="2:10" ht="12.75" customHeight="1" x14ac:dyDescent="0.2">
      <c r="B1026" s="37"/>
      <c r="C1026" s="37" t="str">
        <f>IF(D1026="","",MATCH(D1026,Parametros!$B$4:$B$15,0))</f>
        <v/>
      </c>
      <c r="D1026" s="38"/>
      <c r="E1026" s="38"/>
      <c r="F1026" s="38"/>
      <c r="G1026" s="38"/>
      <c r="H1026" s="38"/>
      <c r="I1026" s="39"/>
      <c r="J1026" s="38"/>
    </row>
    <row r="1027" spans="2:10" ht="12.75" customHeight="1" x14ac:dyDescent="0.2">
      <c r="B1027" s="37"/>
      <c r="C1027" s="37" t="str">
        <f>IF(D1027="","",MATCH(D1027,Parametros!$B$4:$B$15,0))</f>
        <v/>
      </c>
      <c r="D1027" s="38"/>
      <c r="E1027" s="38"/>
      <c r="F1027" s="38"/>
      <c r="G1027" s="38"/>
      <c r="H1027" s="38"/>
      <c r="I1027" s="39"/>
      <c r="J1027" s="38"/>
    </row>
    <row r="1028" spans="2:10" ht="12.75" customHeight="1" x14ac:dyDescent="0.2">
      <c r="B1028" s="37"/>
      <c r="C1028" s="37" t="str">
        <f>IF(D1028="","",MATCH(D1028,Parametros!$B$4:$B$15,0))</f>
        <v/>
      </c>
      <c r="D1028" s="38"/>
      <c r="E1028" s="38"/>
      <c r="F1028" s="38"/>
      <c r="G1028" s="38"/>
      <c r="H1028" s="38"/>
      <c r="I1028" s="39"/>
      <c r="J1028" s="38"/>
    </row>
    <row r="1029" spans="2:10" ht="12.75" customHeight="1" x14ac:dyDescent="0.2">
      <c r="B1029" s="37"/>
      <c r="C1029" s="37" t="str">
        <f>IF(D1029="","",MATCH(D1029,Parametros!$B$4:$B$15,0))</f>
        <v/>
      </c>
      <c r="D1029" s="38"/>
      <c r="E1029" s="38"/>
      <c r="F1029" s="38"/>
      <c r="G1029" s="38"/>
      <c r="H1029" s="38"/>
      <c r="I1029" s="39"/>
      <c r="J1029" s="38"/>
    </row>
    <row r="1030" spans="2:10" ht="12.75" customHeight="1" x14ac:dyDescent="0.2">
      <c r="B1030" s="37"/>
      <c r="C1030" s="37" t="str">
        <f>IF(D1030="","",MATCH(D1030,Parametros!$B$4:$B$15,0))</f>
        <v/>
      </c>
      <c r="D1030" s="38"/>
      <c r="E1030" s="38"/>
      <c r="F1030" s="38"/>
      <c r="G1030" s="38"/>
      <c r="H1030" s="38"/>
      <c r="I1030" s="39"/>
      <c r="J1030" s="38"/>
    </row>
    <row r="1031" spans="2:10" ht="12.75" customHeight="1" x14ac:dyDescent="0.2">
      <c r="B1031" s="37"/>
      <c r="C1031" s="37" t="str">
        <f>IF(D1031="","",MATCH(D1031,Parametros!$B$4:$B$15,0))</f>
        <v/>
      </c>
      <c r="D1031" s="38"/>
      <c r="E1031" s="38"/>
      <c r="F1031" s="38"/>
      <c r="G1031" s="38"/>
      <c r="H1031" s="38"/>
      <c r="I1031" s="39"/>
      <c r="J1031" s="38"/>
    </row>
    <row r="1032" spans="2:10" ht="12.75" customHeight="1" x14ac:dyDescent="0.2">
      <c r="B1032" s="37"/>
      <c r="C1032" s="37" t="str">
        <f>IF(D1032="","",MATCH(D1032,Parametros!$B$4:$B$15,0))</f>
        <v/>
      </c>
      <c r="D1032" s="38"/>
      <c r="E1032" s="38"/>
      <c r="F1032" s="38"/>
      <c r="G1032" s="38"/>
      <c r="H1032" s="38"/>
      <c r="I1032" s="39"/>
      <c r="J1032" s="38"/>
    </row>
    <row r="1033" spans="2:10" ht="12.75" customHeight="1" x14ac:dyDescent="0.2">
      <c r="B1033" s="37"/>
      <c r="C1033" s="37" t="str">
        <f>IF(D1033="","",MATCH(D1033,Parametros!$B$4:$B$15,0))</f>
        <v/>
      </c>
      <c r="D1033" s="38"/>
      <c r="E1033" s="38"/>
      <c r="F1033" s="38"/>
      <c r="G1033" s="38"/>
      <c r="H1033" s="38"/>
      <c r="I1033" s="39"/>
      <c r="J1033" s="38"/>
    </row>
    <row r="1034" spans="2:10" ht="12.75" customHeight="1" x14ac:dyDescent="0.2">
      <c r="B1034" s="37"/>
      <c r="C1034" s="37" t="str">
        <f>IF(D1034="","",MATCH(D1034,Parametros!$B$4:$B$15,0))</f>
        <v/>
      </c>
      <c r="D1034" s="38"/>
      <c r="E1034" s="38"/>
      <c r="F1034" s="38"/>
      <c r="G1034" s="38"/>
      <c r="H1034" s="38"/>
      <c r="I1034" s="39"/>
      <c r="J1034" s="38"/>
    </row>
    <row r="1035" spans="2:10" ht="12.75" customHeight="1" x14ac:dyDescent="0.2">
      <c r="B1035" s="37"/>
      <c r="C1035" s="37" t="str">
        <f>IF(D1035="","",MATCH(D1035,Parametros!$B$4:$B$15,0))</f>
        <v/>
      </c>
      <c r="D1035" s="38"/>
      <c r="E1035" s="38"/>
      <c r="F1035" s="38"/>
      <c r="G1035" s="38"/>
      <c r="H1035" s="38"/>
      <c r="I1035" s="39"/>
      <c r="J1035" s="38"/>
    </row>
    <row r="1036" spans="2:10" ht="12.75" customHeight="1" x14ac:dyDescent="0.2">
      <c r="B1036" s="37"/>
      <c r="C1036" s="37" t="str">
        <f>IF(D1036="","",MATCH(D1036,Parametros!$B$4:$B$15,0))</f>
        <v/>
      </c>
      <c r="D1036" s="38"/>
      <c r="E1036" s="38"/>
      <c r="F1036" s="38"/>
      <c r="G1036" s="38"/>
      <c r="H1036" s="38"/>
      <c r="I1036" s="39"/>
      <c r="J1036" s="38"/>
    </row>
    <row r="1037" spans="2:10" ht="12.75" customHeight="1" x14ac:dyDescent="0.2">
      <c r="B1037" s="37"/>
      <c r="C1037" s="37" t="str">
        <f>IF(D1037="","",MATCH(D1037,Parametros!$B$4:$B$15,0))</f>
        <v/>
      </c>
      <c r="D1037" s="38"/>
      <c r="E1037" s="38"/>
      <c r="F1037" s="38"/>
      <c r="G1037" s="38"/>
      <c r="H1037" s="38"/>
      <c r="I1037" s="39"/>
      <c r="J1037" s="38"/>
    </row>
    <row r="1038" spans="2:10" ht="12.75" customHeight="1" x14ac:dyDescent="0.2">
      <c r="B1038" s="37"/>
      <c r="C1038" s="37" t="str">
        <f>IF(D1038="","",MATCH(D1038,Parametros!$B$4:$B$15,0))</f>
        <v/>
      </c>
      <c r="D1038" s="38"/>
      <c r="E1038" s="38"/>
      <c r="F1038" s="38"/>
      <c r="G1038" s="38"/>
      <c r="H1038" s="38"/>
      <c r="I1038" s="39"/>
      <c r="J1038" s="38"/>
    </row>
    <row r="1039" spans="2:10" ht="12.75" customHeight="1" x14ac:dyDescent="0.2">
      <c r="B1039" s="37"/>
      <c r="C1039" s="37" t="str">
        <f>IF(D1039="","",MATCH(D1039,Parametros!$B$4:$B$15,0))</f>
        <v/>
      </c>
      <c r="D1039" s="38"/>
      <c r="E1039" s="38"/>
      <c r="F1039" s="38"/>
      <c r="G1039" s="38"/>
      <c r="H1039" s="38"/>
      <c r="I1039" s="39"/>
      <c r="J1039" s="38"/>
    </row>
    <row r="1040" spans="2:10" ht="12.75" customHeight="1" x14ac:dyDescent="0.2">
      <c r="B1040" s="37"/>
      <c r="C1040" s="37" t="str">
        <f>IF(D1040="","",MATCH(D1040,Parametros!$B$4:$B$15,0))</f>
        <v/>
      </c>
      <c r="D1040" s="38"/>
      <c r="E1040" s="38"/>
      <c r="F1040" s="38"/>
      <c r="G1040" s="38"/>
      <c r="H1040" s="38"/>
      <c r="I1040" s="39"/>
      <c r="J1040" s="38"/>
    </row>
    <row r="1041" spans="2:10" ht="12.75" customHeight="1" x14ac:dyDescent="0.2">
      <c r="B1041" s="37"/>
      <c r="C1041" s="37" t="str">
        <f>IF(D1041="","",MATCH(D1041,Parametros!$B$4:$B$15,0))</f>
        <v/>
      </c>
      <c r="D1041" s="38"/>
      <c r="E1041" s="38"/>
      <c r="F1041" s="38"/>
      <c r="G1041" s="38"/>
      <c r="H1041" s="38"/>
      <c r="I1041" s="39"/>
      <c r="J1041" s="38"/>
    </row>
    <row r="1042" spans="2:10" ht="12.75" customHeight="1" x14ac:dyDescent="0.2">
      <c r="B1042" s="37"/>
      <c r="C1042" s="37" t="str">
        <f>IF(D1042="","",MATCH(D1042,Parametros!$B$4:$B$15,0))</f>
        <v/>
      </c>
      <c r="D1042" s="38"/>
      <c r="E1042" s="38"/>
      <c r="F1042" s="38"/>
      <c r="G1042" s="38"/>
      <c r="H1042" s="38"/>
      <c r="I1042" s="39"/>
      <c r="J1042" s="38"/>
    </row>
    <row r="1043" spans="2:10" ht="12.75" customHeight="1" x14ac:dyDescent="0.2">
      <c r="B1043" s="37"/>
      <c r="C1043" s="37" t="str">
        <f>IF(D1043="","",MATCH(D1043,Parametros!$B$4:$B$15,0))</f>
        <v/>
      </c>
      <c r="D1043" s="38"/>
      <c r="E1043" s="38"/>
      <c r="F1043" s="38"/>
      <c r="G1043" s="38"/>
      <c r="H1043" s="38"/>
      <c r="I1043" s="39"/>
      <c r="J1043" s="38"/>
    </row>
    <row r="1044" spans="2:10" ht="12.75" customHeight="1" x14ac:dyDescent="0.2">
      <c r="B1044" s="37"/>
      <c r="C1044" s="37" t="str">
        <f>IF(D1044="","",MATCH(D1044,Parametros!$B$4:$B$15,0))</f>
        <v/>
      </c>
      <c r="D1044" s="38"/>
      <c r="E1044" s="38"/>
      <c r="F1044" s="38"/>
      <c r="G1044" s="38"/>
      <c r="H1044" s="38"/>
      <c r="I1044" s="39"/>
      <c r="J1044" s="38"/>
    </row>
    <row r="1045" spans="2:10" ht="12.75" customHeight="1" x14ac:dyDescent="0.2">
      <c r="B1045" s="37"/>
      <c r="C1045" s="37" t="str">
        <f>IF(D1045="","",MATCH(D1045,Parametros!$B$4:$B$15,0))</f>
        <v/>
      </c>
      <c r="D1045" s="38"/>
      <c r="E1045" s="38"/>
      <c r="F1045" s="38"/>
      <c r="G1045" s="38"/>
      <c r="H1045" s="38"/>
      <c r="I1045" s="39"/>
      <c r="J1045" s="38"/>
    </row>
    <row r="1046" spans="2:10" ht="12.75" customHeight="1" x14ac:dyDescent="0.2">
      <c r="B1046" s="37"/>
      <c r="C1046" s="37" t="str">
        <f>IF(D1046="","",MATCH(D1046,Parametros!$B$4:$B$15,0))</f>
        <v/>
      </c>
      <c r="D1046" s="38"/>
      <c r="E1046" s="38"/>
      <c r="F1046" s="38"/>
      <c r="G1046" s="38"/>
      <c r="H1046" s="38"/>
      <c r="I1046" s="39"/>
      <c r="J1046" s="38"/>
    </row>
    <row r="1047" spans="2:10" ht="12.75" customHeight="1" x14ac:dyDescent="0.2">
      <c r="B1047" s="37"/>
      <c r="C1047" s="37" t="str">
        <f>IF(D1047="","",MATCH(D1047,Parametros!$B$4:$B$15,0))</f>
        <v/>
      </c>
      <c r="D1047" s="38"/>
      <c r="E1047" s="38"/>
      <c r="F1047" s="38"/>
      <c r="G1047" s="38"/>
      <c r="H1047" s="38"/>
      <c r="I1047" s="39"/>
      <c r="J1047" s="38"/>
    </row>
    <row r="1048" spans="2:10" ht="12.75" customHeight="1" x14ac:dyDescent="0.2">
      <c r="B1048" s="37"/>
      <c r="C1048" s="37" t="str">
        <f>IF(D1048="","",MATCH(D1048,Parametros!$B$4:$B$15,0))</f>
        <v/>
      </c>
      <c r="D1048" s="38"/>
      <c r="E1048" s="38"/>
      <c r="F1048" s="38"/>
      <c r="G1048" s="38"/>
      <c r="H1048" s="38"/>
      <c r="I1048" s="39"/>
      <c r="J1048" s="38"/>
    </row>
    <row r="1049" spans="2:10" ht="12.75" customHeight="1" x14ac:dyDescent="0.2">
      <c r="B1049" s="37"/>
      <c r="C1049" s="37" t="str">
        <f>IF(D1049="","",MATCH(D1049,Parametros!$B$4:$B$15,0))</f>
        <v/>
      </c>
      <c r="D1049" s="38"/>
      <c r="E1049" s="38"/>
      <c r="F1049" s="38"/>
      <c r="G1049" s="38"/>
      <c r="H1049" s="38"/>
      <c r="I1049" s="39"/>
      <c r="J1049" s="38"/>
    </row>
    <row r="1050" spans="2:10" ht="12.75" customHeight="1" x14ac:dyDescent="0.2">
      <c r="B1050" s="37"/>
      <c r="C1050" s="37" t="str">
        <f>IF(D1050="","",MATCH(D1050,Parametros!$B$4:$B$15,0))</f>
        <v/>
      </c>
      <c r="D1050" s="38"/>
      <c r="E1050" s="38"/>
      <c r="F1050" s="38"/>
      <c r="G1050" s="38"/>
      <c r="H1050" s="38"/>
      <c r="I1050" s="39"/>
      <c r="J1050" s="38"/>
    </row>
    <row r="1051" spans="2:10" ht="12.75" customHeight="1" x14ac:dyDescent="0.2">
      <c r="B1051" s="37"/>
      <c r="C1051" s="37" t="str">
        <f>IF(D1051="","",MATCH(D1051,Parametros!$B$4:$B$15,0))</f>
        <v/>
      </c>
      <c r="D1051" s="38"/>
      <c r="E1051" s="38"/>
      <c r="F1051" s="38"/>
      <c r="G1051" s="38"/>
      <c r="H1051" s="38"/>
      <c r="I1051" s="39"/>
      <c r="J1051" s="38"/>
    </row>
    <row r="1052" spans="2:10" ht="12.75" customHeight="1" x14ac:dyDescent="0.2">
      <c r="B1052" s="37"/>
      <c r="C1052" s="37" t="str">
        <f>IF(D1052="","",MATCH(D1052,Parametros!$B$4:$B$15,0))</f>
        <v/>
      </c>
      <c r="D1052" s="38"/>
      <c r="E1052" s="38"/>
      <c r="F1052" s="38"/>
      <c r="G1052" s="38"/>
      <c r="H1052" s="38"/>
      <c r="I1052" s="39"/>
      <c r="J1052" s="38"/>
    </row>
    <row r="1053" spans="2:10" ht="12.75" customHeight="1" x14ac:dyDescent="0.2">
      <c r="B1053" s="37"/>
      <c r="C1053" s="37" t="str">
        <f>IF(D1053="","",MATCH(D1053,Parametros!$B$4:$B$15,0))</f>
        <v/>
      </c>
      <c r="D1053" s="38"/>
      <c r="E1053" s="38"/>
      <c r="F1053" s="38"/>
      <c r="G1053" s="38"/>
      <c r="H1053" s="38"/>
      <c r="I1053" s="39"/>
      <c r="J1053" s="38"/>
    </row>
    <row r="1054" spans="2:10" ht="12.75" customHeight="1" x14ac:dyDescent="0.2">
      <c r="B1054" s="37"/>
      <c r="C1054" s="37" t="str">
        <f>IF(D1054="","",MATCH(D1054,Parametros!$B$4:$B$15,0))</f>
        <v/>
      </c>
      <c r="D1054" s="38"/>
      <c r="E1054" s="38"/>
      <c r="F1054" s="38"/>
      <c r="G1054" s="38"/>
      <c r="H1054" s="38"/>
      <c r="I1054" s="39"/>
      <c r="J1054" s="38"/>
    </row>
    <row r="1055" spans="2:10" ht="12.75" customHeight="1" x14ac:dyDescent="0.2">
      <c r="B1055" s="37"/>
      <c r="C1055" s="37" t="str">
        <f>IF(D1055="","",MATCH(D1055,Parametros!$B$4:$B$15,0))</f>
        <v/>
      </c>
      <c r="D1055" s="38"/>
      <c r="E1055" s="38"/>
      <c r="F1055" s="38"/>
      <c r="G1055" s="38"/>
      <c r="H1055" s="38"/>
      <c r="I1055" s="39"/>
      <c r="J1055" s="38"/>
    </row>
    <row r="1056" spans="2:10" ht="12.75" customHeight="1" x14ac:dyDescent="0.2">
      <c r="B1056" s="37"/>
      <c r="C1056" s="37" t="str">
        <f>IF(D1056="","",MATCH(D1056,Parametros!$B$4:$B$15,0))</f>
        <v/>
      </c>
      <c r="D1056" s="38"/>
      <c r="E1056" s="38"/>
      <c r="F1056" s="38"/>
      <c r="G1056" s="38"/>
      <c r="H1056" s="38"/>
      <c r="I1056" s="39"/>
      <c r="J1056" s="38"/>
    </row>
    <row r="1057" spans="2:10" ht="12.75" customHeight="1" x14ac:dyDescent="0.2">
      <c r="B1057" s="37"/>
      <c r="C1057" s="37" t="str">
        <f>IF(D1057="","",MATCH(D1057,Parametros!$B$4:$B$15,0))</f>
        <v/>
      </c>
      <c r="D1057" s="38"/>
      <c r="E1057" s="38"/>
      <c r="F1057" s="38"/>
      <c r="G1057" s="38"/>
      <c r="H1057" s="38"/>
      <c r="I1057" s="39"/>
      <c r="J1057" s="38"/>
    </row>
    <row r="1058" spans="2:10" ht="12.75" customHeight="1" x14ac:dyDescent="0.2">
      <c r="B1058" s="37"/>
      <c r="C1058" s="37" t="str">
        <f>IF(D1058="","",MATCH(D1058,Parametros!$B$4:$B$15,0))</f>
        <v/>
      </c>
      <c r="D1058" s="38"/>
      <c r="E1058" s="38"/>
      <c r="F1058" s="38"/>
      <c r="G1058" s="38"/>
      <c r="H1058" s="38"/>
      <c r="I1058" s="39"/>
      <c r="J1058" s="38"/>
    </row>
    <row r="1059" spans="2:10" ht="12.75" customHeight="1" x14ac:dyDescent="0.2">
      <c r="B1059" s="37"/>
      <c r="C1059" s="37" t="str">
        <f>IF(D1059="","",MATCH(D1059,Parametros!$B$4:$B$15,0))</f>
        <v/>
      </c>
      <c r="D1059" s="38"/>
      <c r="E1059" s="38"/>
      <c r="F1059" s="38"/>
      <c r="G1059" s="38"/>
      <c r="H1059" s="38"/>
      <c r="I1059" s="39"/>
      <c r="J1059" s="38"/>
    </row>
    <row r="1060" spans="2:10" ht="12.75" customHeight="1" x14ac:dyDescent="0.2">
      <c r="B1060" s="37"/>
      <c r="C1060" s="37" t="str">
        <f>IF(D1060="","",MATCH(D1060,Parametros!$B$4:$B$15,0))</f>
        <v/>
      </c>
      <c r="D1060" s="38"/>
      <c r="E1060" s="38"/>
      <c r="F1060" s="38"/>
      <c r="G1060" s="38"/>
      <c r="H1060" s="38"/>
      <c r="I1060" s="39"/>
      <c r="J1060" s="38"/>
    </row>
    <row r="1061" spans="2:10" ht="12.75" customHeight="1" x14ac:dyDescent="0.2">
      <c r="B1061" s="37"/>
      <c r="C1061" s="37" t="str">
        <f>IF(D1061="","",MATCH(D1061,Parametros!$B$4:$B$15,0))</f>
        <v/>
      </c>
      <c r="D1061" s="38"/>
      <c r="E1061" s="38"/>
      <c r="F1061" s="38"/>
      <c r="G1061" s="38"/>
      <c r="H1061" s="38"/>
      <c r="I1061" s="39"/>
      <c r="J1061" s="38"/>
    </row>
    <row r="1062" spans="2:10" ht="12.75" customHeight="1" x14ac:dyDescent="0.2">
      <c r="B1062" s="37"/>
      <c r="C1062" s="37" t="str">
        <f>IF(D1062="","",MATCH(D1062,Parametros!$B$4:$B$15,0))</f>
        <v/>
      </c>
      <c r="D1062" s="38"/>
      <c r="E1062" s="38"/>
      <c r="F1062" s="38"/>
      <c r="G1062" s="38"/>
      <c r="H1062" s="38"/>
      <c r="I1062" s="39"/>
      <c r="J1062" s="38"/>
    </row>
    <row r="1063" spans="2:10" ht="12.75" customHeight="1" x14ac:dyDescent="0.2">
      <c r="B1063" s="37"/>
      <c r="C1063" s="37" t="str">
        <f>IF(D1063="","",MATCH(D1063,Parametros!$B$4:$B$15,0))</f>
        <v/>
      </c>
      <c r="D1063" s="38"/>
      <c r="E1063" s="38"/>
      <c r="F1063" s="38"/>
      <c r="G1063" s="38"/>
      <c r="H1063" s="38"/>
      <c r="I1063" s="39"/>
      <c r="J1063" s="38"/>
    </row>
    <row r="1064" spans="2:10" ht="12.75" customHeight="1" x14ac:dyDescent="0.2">
      <c r="B1064" s="37"/>
      <c r="C1064" s="37" t="str">
        <f>IF(D1064="","",MATCH(D1064,Parametros!$B$4:$B$15,0))</f>
        <v/>
      </c>
      <c r="D1064" s="38"/>
      <c r="E1064" s="38"/>
      <c r="F1064" s="38"/>
      <c r="G1064" s="38"/>
      <c r="H1064" s="38"/>
      <c r="I1064" s="39"/>
      <c r="J1064" s="38"/>
    </row>
    <row r="1065" spans="2:10" ht="12.75" customHeight="1" x14ac:dyDescent="0.2">
      <c r="B1065" s="37"/>
      <c r="C1065" s="37" t="str">
        <f>IF(D1065="","",MATCH(D1065,Parametros!$B$4:$B$15,0))</f>
        <v/>
      </c>
      <c r="D1065" s="38"/>
      <c r="E1065" s="38"/>
      <c r="F1065" s="38"/>
      <c r="G1065" s="38"/>
      <c r="H1065" s="38"/>
      <c r="I1065" s="39"/>
      <c r="J1065" s="38"/>
    </row>
    <row r="1066" spans="2:10" ht="12.75" customHeight="1" x14ac:dyDescent="0.2">
      <c r="B1066" s="37"/>
      <c r="C1066" s="37" t="str">
        <f>IF(D1066="","",MATCH(D1066,Parametros!$B$4:$B$15,0))</f>
        <v/>
      </c>
      <c r="D1066" s="38"/>
      <c r="E1066" s="38"/>
      <c r="F1066" s="38"/>
      <c r="G1066" s="38"/>
      <c r="H1066" s="38"/>
      <c r="I1066" s="39"/>
      <c r="J1066" s="38"/>
    </row>
    <row r="1067" spans="2:10" ht="12.75" customHeight="1" x14ac:dyDescent="0.2">
      <c r="B1067" s="37"/>
      <c r="C1067" s="37" t="str">
        <f>IF(D1067="","",MATCH(D1067,Parametros!$B$4:$B$15,0))</f>
        <v/>
      </c>
      <c r="D1067" s="38"/>
      <c r="E1067" s="38"/>
      <c r="F1067" s="38"/>
      <c r="G1067" s="38"/>
      <c r="H1067" s="38"/>
      <c r="I1067" s="39"/>
      <c r="J1067" s="38"/>
    </row>
    <row r="1068" spans="2:10" ht="12.75" customHeight="1" x14ac:dyDescent="0.2">
      <c r="B1068" s="37"/>
      <c r="C1068" s="37" t="str">
        <f>IF(D1068="","",MATCH(D1068,Parametros!$B$4:$B$15,0))</f>
        <v/>
      </c>
      <c r="D1068" s="38"/>
      <c r="E1068" s="38"/>
      <c r="F1068" s="38"/>
      <c r="G1068" s="38"/>
      <c r="H1068" s="38"/>
      <c r="I1068" s="39"/>
      <c r="J1068" s="38"/>
    </row>
    <row r="1069" spans="2:10" ht="12.75" customHeight="1" x14ac:dyDescent="0.2">
      <c r="B1069" s="37"/>
      <c r="C1069" s="37" t="str">
        <f>IF(D1069="","",MATCH(D1069,Parametros!$B$4:$B$15,0))</f>
        <v/>
      </c>
      <c r="D1069" s="38"/>
      <c r="E1069" s="38"/>
      <c r="F1069" s="38"/>
      <c r="G1069" s="38"/>
      <c r="H1069" s="38"/>
      <c r="I1069" s="39"/>
      <c r="J1069" s="38"/>
    </row>
    <row r="1070" spans="2:10" ht="12.75" customHeight="1" x14ac:dyDescent="0.2">
      <c r="B1070" s="37"/>
      <c r="C1070" s="37" t="str">
        <f>IF(D1070="","",MATCH(D1070,Parametros!$B$4:$B$15,0))</f>
        <v/>
      </c>
      <c r="D1070" s="38"/>
      <c r="E1070" s="38"/>
      <c r="F1070" s="38"/>
      <c r="G1070" s="38"/>
      <c r="H1070" s="38"/>
      <c r="I1070" s="39"/>
      <c r="J1070" s="38"/>
    </row>
    <row r="1071" spans="2:10" ht="12.75" customHeight="1" x14ac:dyDescent="0.2">
      <c r="B1071" s="37"/>
      <c r="C1071" s="37" t="str">
        <f>IF(D1071="","",MATCH(D1071,Parametros!$B$4:$B$15,0))</f>
        <v/>
      </c>
      <c r="D1071" s="38"/>
      <c r="E1071" s="38"/>
      <c r="F1071" s="38"/>
      <c r="G1071" s="38"/>
      <c r="H1071" s="38"/>
      <c r="I1071" s="39"/>
      <c r="J1071" s="38"/>
    </row>
    <row r="1072" spans="2:10" ht="12.75" customHeight="1" x14ac:dyDescent="0.2">
      <c r="B1072" s="37"/>
      <c r="C1072" s="37" t="str">
        <f>IF(D1072="","",MATCH(D1072,Parametros!$B$4:$B$15,0))</f>
        <v/>
      </c>
      <c r="D1072" s="38"/>
      <c r="E1072" s="38"/>
      <c r="F1072" s="38"/>
      <c r="G1072" s="38"/>
      <c r="H1072" s="38"/>
      <c r="I1072" s="39"/>
      <c r="J1072" s="38"/>
    </row>
    <row r="1073" spans="2:10" ht="12.75" customHeight="1" x14ac:dyDescent="0.2">
      <c r="B1073" s="37"/>
      <c r="C1073" s="37" t="str">
        <f>IF(D1073="","",MATCH(D1073,Parametros!$B$4:$B$15,0))</f>
        <v/>
      </c>
      <c r="D1073" s="38"/>
      <c r="E1073" s="38"/>
      <c r="F1073" s="38"/>
      <c r="G1073" s="38"/>
      <c r="H1073" s="38"/>
      <c r="I1073" s="39"/>
      <c r="J1073" s="38"/>
    </row>
    <row r="1074" spans="2:10" ht="12.75" customHeight="1" x14ac:dyDescent="0.2">
      <c r="B1074" s="37"/>
      <c r="C1074" s="37" t="str">
        <f>IF(D1074="","",MATCH(D1074,Parametros!$B$4:$B$15,0))</f>
        <v/>
      </c>
      <c r="D1074" s="38"/>
      <c r="E1074" s="38"/>
      <c r="F1074" s="38"/>
      <c r="G1074" s="38"/>
      <c r="H1074" s="38"/>
      <c r="I1074" s="39"/>
      <c r="J1074" s="38"/>
    </row>
    <row r="1075" spans="2:10" ht="12.75" customHeight="1" x14ac:dyDescent="0.2">
      <c r="B1075" s="37"/>
      <c r="C1075" s="37" t="str">
        <f>IF(D1075="","",MATCH(D1075,Parametros!$B$4:$B$15,0))</f>
        <v/>
      </c>
      <c r="D1075" s="38"/>
      <c r="E1075" s="38"/>
      <c r="F1075" s="38"/>
      <c r="G1075" s="38"/>
      <c r="H1075" s="38"/>
      <c r="I1075" s="39"/>
      <c r="J1075" s="38"/>
    </row>
    <row r="1076" spans="2:10" ht="12.75" customHeight="1" x14ac:dyDescent="0.2">
      <c r="B1076" s="37"/>
      <c r="C1076" s="37" t="str">
        <f>IF(D1076="","",MATCH(D1076,Parametros!$B$4:$B$15,0))</f>
        <v/>
      </c>
      <c r="D1076" s="38"/>
      <c r="E1076" s="38"/>
      <c r="F1076" s="38"/>
      <c r="G1076" s="38"/>
      <c r="H1076" s="38"/>
      <c r="I1076" s="39"/>
      <c r="J1076" s="38"/>
    </row>
    <row r="1077" spans="2:10" ht="12.75" customHeight="1" x14ac:dyDescent="0.2">
      <c r="B1077" s="37"/>
      <c r="C1077" s="37" t="str">
        <f>IF(D1077="","",MATCH(D1077,Parametros!$B$4:$B$15,0))</f>
        <v/>
      </c>
      <c r="D1077" s="38"/>
      <c r="E1077" s="38"/>
      <c r="F1077" s="38"/>
      <c r="G1077" s="38"/>
      <c r="H1077" s="38"/>
      <c r="I1077" s="39"/>
      <c r="J1077" s="38"/>
    </row>
    <row r="1078" spans="2:10" ht="12.75" customHeight="1" x14ac:dyDescent="0.2">
      <c r="B1078" s="37"/>
      <c r="C1078" s="37" t="str">
        <f>IF(D1078="","",MATCH(D1078,Parametros!$B$4:$B$15,0))</f>
        <v/>
      </c>
      <c r="D1078" s="38"/>
      <c r="E1078" s="38"/>
      <c r="F1078" s="38"/>
      <c r="G1078" s="38"/>
      <c r="H1078" s="38"/>
      <c r="I1078" s="39"/>
      <c r="J1078" s="38"/>
    </row>
    <row r="1079" spans="2:10" ht="12.75" customHeight="1" x14ac:dyDescent="0.2">
      <c r="B1079" s="37"/>
      <c r="C1079" s="37" t="str">
        <f>IF(D1079="","",MATCH(D1079,Parametros!$B$4:$B$15,0))</f>
        <v/>
      </c>
      <c r="D1079" s="38"/>
      <c r="E1079" s="38"/>
      <c r="F1079" s="38"/>
      <c r="G1079" s="38"/>
      <c r="H1079" s="38"/>
      <c r="I1079" s="39"/>
      <c r="J1079" s="38"/>
    </row>
    <row r="1080" spans="2:10" ht="12.75" customHeight="1" x14ac:dyDescent="0.2">
      <c r="B1080" s="37"/>
      <c r="C1080" s="37" t="str">
        <f>IF(D1080="","",MATCH(D1080,Parametros!$B$4:$B$15,0))</f>
        <v/>
      </c>
      <c r="D1080" s="38"/>
      <c r="E1080" s="38"/>
      <c r="F1080" s="38"/>
      <c r="G1080" s="38"/>
      <c r="H1080" s="38"/>
      <c r="I1080" s="39"/>
      <c r="J1080" s="38"/>
    </row>
    <row r="1081" spans="2:10" ht="12.75" customHeight="1" x14ac:dyDescent="0.2">
      <c r="B1081" s="37"/>
      <c r="C1081" s="37" t="str">
        <f>IF(D1081="","",MATCH(D1081,Parametros!$B$4:$B$15,0))</f>
        <v/>
      </c>
      <c r="D1081" s="38"/>
      <c r="E1081" s="38"/>
      <c r="F1081" s="38"/>
      <c r="G1081" s="38"/>
      <c r="H1081" s="38"/>
      <c r="I1081" s="39"/>
      <c r="J1081" s="38"/>
    </row>
    <row r="1082" spans="2:10" ht="12.75" customHeight="1" x14ac:dyDescent="0.2">
      <c r="B1082" s="37"/>
      <c r="C1082" s="37" t="str">
        <f>IF(D1082="","",MATCH(D1082,Parametros!$B$4:$B$15,0))</f>
        <v/>
      </c>
      <c r="D1082" s="38"/>
      <c r="E1082" s="38"/>
      <c r="F1082" s="38"/>
      <c r="G1082" s="38"/>
      <c r="H1082" s="38"/>
      <c r="I1082" s="39"/>
      <c r="J1082" s="38"/>
    </row>
    <row r="1083" spans="2:10" ht="12.75" customHeight="1" x14ac:dyDescent="0.2">
      <c r="B1083" s="37"/>
      <c r="C1083" s="37" t="str">
        <f>IF(D1083="","",MATCH(D1083,Parametros!$B$4:$B$15,0))</f>
        <v/>
      </c>
      <c r="D1083" s="38"/>
      <c r="E1083" s="38"/>
      <c r="F1083" s="38"/>
      <c r="G1083" s="38"/>
      <c r="H1083" s="38"/>
      <c r="I1083" s="39"/>
      <c r="J1083" s="38"/>
    </row>
    <row r="1084" spans="2:10" ht="12.75" customHeight="1" x14ac:dyDescent="0.2">
      <c r="B1084" s="37"/>
      <c r="C1084" s="37" t="str">
        <f>IF(D1084="","",MATCH(D1084,Parametros!$B$4:$B$15,0))</f>
        <v/>
      </c>
      <c r="D1084" s="38"/>
      <c r="E1084" s="38"/>
      <c r="F1084" s="38"/>
      <c r="G1084" s="38"/>
      <c r="H1084" s="38"/>
      <c r="I1084" s="39"/>
      <c r="J1084" s="38"/>
    </row>
    <row r="1085" spans="2:10" ht="12.75" customHeight="1" x14ac:dyDescent="0.2">
      <c r="B1085" s="37"/>
      <c r="C1085" s="37" t="str">
        <f>IF(D1085="","",MATCH(D1085,Parametros!$B$4:$B$15,0))</f>
        <v/>
      </c>
      <c r="D1085" s="38"/>
      <c r="E1085" s="38"/>
      <c r="F1085" s="38"/>
      <c r="G1085" s="38"/>
      <c r="H1085" s="38"/>
      <c r="I1085" s="39"/>
      <c r="J1085" s="38"/>
    </row>
    <row r="1086" spans="2:10" ht="12.75" customHeight="1" x14ac:dyDescent="0.2">
      <c r="B1086" s="37"/>
      <c r="C1086" s="37" t="str">
        <f>IF(D1086="","",MATCH(D1086,Parametros!$B$4:$B$15,0))</f>
        <v/>
      </c>
      <c r="D1086" s="38"/>
      <c r="E1086" s="38"/>
      <c r="F1086" s="38"/>
      <c r="G1086" s="38"/>
      <c r="H1086" s="38"/>
      <c r="I1086" s="39"/>
      <c r="J1086" s="38"/>
    </row>
    <row r="1087" spans="2:10" ht="12.75" customHeight="1" x14ac:dyDescent="0.2">
      <c r="B1087" s="37"/>
      <c r="C1087" s="37" t="str">
        <f>IF(D1087="","",MATCH(D1087,Parametros!$B$4:$B$15,0))</f>
        <v/>
      </c>
      <c r="D1087" s="38"/>
      <c r="E1087" s="38"/>
      <c r="F1087" s="38"/>
      <c r="G1087" s="38"/>
      <c r="H1087" s="38"/>
      <c r="I1087" s="39"/>
      <c r="J1087" s="38"/>
    </row>
    <row r="1088" spans="2:10" ht="12.75" customHeight="1" x14ac:dyDescent="0.2">
      <c r="B1088" s="37"/>
      <c r="C1088" s="37" t="str">
        <f>IF(D1088="","",MATCH(D1088,Parametros!$B$4:$B$15,0))</f>
        <v/>
      </c>
      <c r="D1088" s="38"/>
      <c r="E1088" s="38"/>
      <c r="F1088" s="38"/>
      <c r="G1088" s="38"/>
      <c r="H1088" s="38"/>
      <c r="I1088" s="39"/>
      <c r="J1088" s="38"/>
    </row>
    <row r="1089" spans="2:10" ht="12.75" customHeight="1" x14ac:dyDescent="0.2">
      <c r="B1089" s="37"/>
      <c r="C1089" s="37" t="str">
        <f>IF(D1089="","",MATCH(D1089,Parametros!$B$4:$B$15,0))</f>
        <v/>
      </c>
      <c r="D1089" s="38"/>
      <c r="E1089" s="38"/>
      <c r="F1089" s="38"/>
      <c r="G1089" s="38"/>
      <c r="H1089" s="38"/>
      <c r="I1089" s="39"/>
      <c r="J1089" s="38"/>
    </row>
    <row r="1090" spans="2:10" ht="12.75" customHeight="1" x14ac:dyDescent="0.2">
      <c r="B1090" s="37"/>
      <c r="C1090" s="37" t="str">
        <f>IF(D1090="","",MATCH(D1090,Parametros!$B$4:$B$15,0))</f>
        <v/>
      </c>
      <c r="D1090" s="38"/>
      <c r="E1090" s="38"/>
      <c r="F1090" s="38"/>
      <c r="G1090" s="38"/>
      <c r="H1090" s="38"/>
      <c r="I1090" s="39"/>
      <c r="J1090" s="38"/>
    </row>
    <row r="1091" spans="2:10" ht="12.75" customHeight="1" x14ac:dyDescent="0.2">
      <c r="B1091" s="37"/>
      <c r="C1091" s="37" t="str">
        <f>IF(D1091="","",MATCH(D1091,Parametros!$B$4:$B$15,0))</f>
        <v/>
      </c>
      <c r="D1091" s="38"/>
      <c r="E1091" s="38"/>
      <c r="F1091" s="38"/>
      <c r="G1091" s="38"/>
      <c r="H1091" s="38"/>
      <c r="I1091" s="39"/>
      <c r="J1091" s="38"/>
    </row>
    <row r="1092" spans="2:10" ht="12.75" customHeight="1" x14ac:dyDescent="0.2">
      <c r="B1092" s="37"/>
      <c r="C1092" s="37" t="str">
        <f>IF(D1092="","",MATCH(D1092,Parametros!$B$4:$B$15,0))</f>
        <v/>
      </c>
      <c r="D1092" s="38"/>
      <c r="E1092" s="38"/>
      <c r="F1092" s="38"/>
      <c r="G1092" s="38"/>
      <c r="H1092" s="38"/>
      <c r="I1092" s="39"/>
      <c r="J1092" s="38"/>
    </row>
    <row r="1093" spans="2:10" ht="12.75" customHeight="1" x14ac:dyDescent="0.2">
      <c r="B1093" s="37"/>
      <c r="C1093" s="37" t="str">
        <f>IF(D1093="","",MATCH(D1093,Parametros!$B$4:$B$15,0))</f>
        <v/>
      </c>
      <c r="D1093" s="38"/>
      <c r="E1093" s="38"/>
      <c r="F1093" s="38"/>
      <c r="G1093" s="38"/>
      <c r="H1093" s="38"/>
      <c r="I1093" s="39"/>
      <c r="J1093" s="38"/>
    </row>
    <row r="1094" spans="2:10" ht="12.75" customHeight="1" x14ac:dyDescent="0.2">
      <c r="B1094" s="37"/>
      <c r="C1094" s="37" t="str">
        <f>IF(D1094="","",MATCH(D1094,Parametros!$B$4:$B$15,0))</f>
        <v/>
      </c>
      <c r="D1094" s="38"/>
      <c r="E1094" s="38"/>
      <c r="F1094" s="38"/>
      <c r="G1094" s="38"/>
      <c r="H1094" s="38"/>
      <c r="I1094" s="39"/>
      <c r="J1094" s="38"/>
    </row>
    <row r="1095" spans="2:10" ht="12.75" customHeight="1" x14ac:dyDescent="0.2">
      <c r="B1095" s="37"/>
      <c r="C1095" s="37" t="str">
        <f>IF(D1095="","",MATCH(D1095,Parametros!$B$4:$B$15,0))</f>
        <v/>
      </c>
      <c r="D1095" s="38"/>
      <c r="E1095" s="38"/>
      <c r="F1095" s="38"/>
      <c r="G1095" s="38"/>
      <c r="H1095" s="38"/>
      <c r="I1095" s="39"/>
      <c r="J1095" s="38"/>
    </row>
    <row r="1096" spans="2:10" ht="12.75" customHeight="1" x14ac:dyDescent="0.2">
      <c r="B1096" s="37"/>
      <c r="C1096" s="37" t="str">
        <f>IF(D1096="","",MATCH(D1096,Parametros!$B$4:$B$15,0))</f>
        <v/>
      </c>
      <c r="D1096" s="38"/>
      <c r="E1096" s="38"/>
      <c r="F1096" s="38"/>
      <c r="G1096" s="38"/>
      <c r="H1096" s="38"/>
      <c r="I1096" s="39"/>
      <c r="J1096" s="38"/>
    </row>
    <row r="1097" spans="2:10" ht="12.75" customHeight="1" x14ac:dyDescent="0.2">
      <c r="B1097" s="37"/>
      <c r="C1097" s="37" t="str">
        <f>IF(D1097="","",MATCH(D1097,Parametros!$B$4:$B$15,0))</f>
        <v/>
      </c>
      <c r="D1097" s="38"/>
      <c r="E1097" s="38"/>
      <c r="F1097" s="38"/>
      <c r="G1097" s="38"/>
      <c r="H1097" s="38"/>
      <c r="I1097" s="39"/>
      <c r="J1097" s="38"/>
    </row>
    <row r="1098" spans="2:10" ht="12.75" customHeight="1" x14ac:dyDescent="0.2">
      <c r="B1098" s="37"/>
      <c r="C1098" s="37" t="str">
        <f>IF(D1098="","",MATCH(D1098,Parametros!$B$4:$B$15,0))</f>
        <v/>
      </c>
      <c r="D1098" s="38"/>
      <c r="E1098" s="38"/>
      <c r="F1098" s="38"/>
      <c r="G1098" s="38"/>
      <c r="H1098" s="38"/>
      <c r="I1098" s="39"/>
      <c r="J1098" s="38"/>
    </row>
    <row r="1099" spans="2:10" ht="12.75" customHeight="1" x14ac:dyDescent="0.2">
      <c r="B1099" s="37"/>
      <c r="C1099" s="37" t="str">
        <f>IF(D1099="","",MATCH(D1099,Parametros!$B$4:$B$15,0))</f>
        <v/>
      </c>
      <c r="D1099" s="38"/>
      <c r="E1099" s="38"/>
      <c r="F1099" s="38"/>
      <c r="G1099" s="38"/>
      <c r="H1099" s="38"/>
      <c r="I1099" s="39"/>
      <c r="J1099" s="38"/>
    </row>
    <row r="1100" spans="2:10" ht="12.75" customHeight="1" x14ac:dyDescent="0.2">
      <c r="B1100" s="37"/>
      <c r="C1100" s="37" t="str">
        <f>IF(D1100="","",MATCH(D1100,Parametros!$B$4:$B$15,0))</f>
        <v/>
      </c>
      <c r="D1100" s="38"/>
      <c r="E1100" s="38"/>
      <c r="F1100" s="38"/>
      <c r="G1100" s="38"/>
      <c r="H1100" s="38"/>
      <c r="I1100" s="39"/>
      <c r="J1100" s="38"/>
    </row>
    <row r="1101" spans="2:10" ht="12.75" customHeight="1" x14ac:dyDescent="0.2">
      <c r="B1101" s="37"/>
      <c r="C1101" s="37" t="str">
        <f>IF(D1101="","",MATCH(D1101,Parametros!$B$4:$B$15,0))</f>
        <v/>
      </c>
      <c r="D1101" s="38"/>
      <c r="E1101" s="38"/>
      <c r="F1101" s="38"/>
      <c r="G1101" s="38"/>
      <c r="H1101" s="38"/>
      <c r="I1101" s="39"/>
      <c r="J1101" s="38"/>
    </row>
    <row r="1102" spans="2:10" ht="12.75" customHeight="1" x14ac:dyDescent="0.2">
      <c r="B1102" s="37"/>
      <c r="C1102" s="37" t="str">
        <f>IF(D1102="","",MATCH(D1102,Parametros!$B$4:$B$15,0))</f>
        <v/>
      </c>
      <c r="D1102" s="38"/>
      <c r="E1102" s="38"/>
      <c r="F1102" s="38"/>
      <c r="G1102" s="38"/>
      <c r="H1102" s="38"/>
      <c r="I1102" s="39"/>
      <c r="J1102" s="38"/>
    </row>
    <row r="1103" spans="2:10" ht="12.75" customHeight="1" x14ac:dyDescent="0.2">
      <c r="B1103" s="37"/>
      <c r="C1103" s="37" t="str">
        <f>IF(D1103="","",MATCH(D1103,Parametros!$B$4:$B$15,0))</f>
        <v/>
      </c>
      <c r="D1103" s="38"/>
      <c r="E1103" s="38"/>
      <c r="F1103" s="38"/>
      <c r="G1103" s="38"/>
      <c r="H1103" s="38"/>
      <c r="I1103" s="39"/>
      <c r="J1103" s="38"/>
    </row>
    <row r="1104" spans="2:10" ht="12.75" customHeight="1" x14ac:dyDescent="0.2">
      <c r="B1104" s="37"/>
      <c r="C1104" s="37" t="str">
        <f>IF(D1104="","",MATCH(D1104,Parametros!$B$4:$B$15,0))</f>
        <v/>
      </c>
      <c r="D1104" s="38"/>
      <c r="E1104" s="38"/>
      <c r="F1104" s="38"/>
      <c r="G1104" s="38"/>
      <c r="H1104" s="38"/>
      <c r="I1104" s="39"/>
      <c r="J1104" s="38"/>
    </row>
    <row r="1105" spans="2:10" ht="12.75" customHeight="1" x14ac:dyDescent="0.2">
      <c r="B1105" s="37"/>
      <c r="C1105" s="37" t="str">
        <f>IF(D1105="","",MATCH(D1105,Parametros!$B$4:$B$15,0))</f>
        <v/>
      </c>
      <c r="D1105" s="38"/>
      <c r="E1105" s="38"/>
      <c r="F1105" s="38"/>
      <c r="G1105" s="38"/>
      <c r="H1105" s="38"/>
      <c r="I1105" s="39"/>
      <c r="J1105" s="38"/>
    </row>
    <row r="1106" spans="2:10" ht="12.75" customHeight="1" x14ac:dyDescent="0.2">
      <c r="B1106" s="37"/>
      <c r="C1106" s="37" t="str">
        <f>IF(D1106="","",MATCH(D1106,Parametros!$B$4:$B$15,0))</f>
        <v/>
      </c>
      <c r="D1106" s="38"/>
      <c r="E1106" s="38"/>
      <c r="F1106" s="38"/>
      <c r="G1106" s="38"/>
      <c r="H1106" s="38"/>
      <c r="I1106" s="39"/>
      <c r="J1106" s="38"/>
    </row>
    <row r="1107" spans="2:10" ht="12.75" customHeight="1" x14ac:dyDescent="0.2">
      <c r="B1107" s="37"/>
      <c r="C1107" s="37" t="str">
        <f>IF(D1107="","",MATCH(D1107,Parametros!$B$4:$B$15,0))</f>
        <v/>
      </c>
      <c r="D1107" s="38"/>
      <c r="E1107" s="38"/>
      <c r="F1107" s="38"/>
      <c r="G1107" s="38"/>
      <c r="H1107" s="38"/>
      <c r="I1107" s="39"/>
      <c r="J1107" s="38"/>
    </row>
    <row r="1108" spans="2:10" ht="12.75" customHeight="1" x14ac:dyDescent="0.2">
      <c r="B1108" s="37"/>
      <c r="C1108" s="37" t="str">
        <f>IF(D1108="","",MATCH(D1108,Parametros!$B$4:$B$15,0))</f>
        <v/>
      </c>
      <c r="D1108" s="38"/>
      <c r="E1108" s="38"/>
      <c r="F1108" s="38"/>
      <c r="G1108" s="38"/>
      <c r="H1108" s="38"/>
      <c r="I1108" s="39"/>
      <c r="J1108" s="38"/>
    </row>
    <row r="1109" spans="2:10" ht="12.75" customHeight="1" x14ac:dyDescent="0.2">
      <c r="B1109" s="37"/>
      <c r="C1109" s="37" t="str">
        <f>IF(D1109="","",MATCH(D1109,Parametros!$B$4:$B$15,0))</f>
        <v/>
      </c>
      <c r="D1109" s="38"/>
      <c r="E1109" s="38"/>
      <c r="F1109" s="38"/>
      <c r="G1109" s="38"/>
      <c r="H1109" s="38"/>
      <c r="I1109" s="39"/>
      <c r="J1109" s="38"/>
    </row>
    <row r="1110" spans="2:10" ht="12.75" customHeight="1" x14ac:dyDescent="0.2">
      <c r="B1110" s="37"/>
      <c r="C1110" s="37" t="str">
        <f>IF(D1110="","",MATCH(D1110,Parametros!$B$4:$B$15,0))</f>
        <v/>
      </c>
      <c r="D1110" s="38"/>
      <c r="E1110" s="38"/>
      <c r="F1110" s="38"/>
      <c r="G1110" s="38"/>
      <c r="H1110" s="38"/>
      <c r="I1110" s="39"/>
      <c r="J1110" s="38"/>
    </row>
    <row r="1111" spans="2:10" ht="12.75" customHeight="1" x14ac:dyDescent="0.2">
      <c r="B1111" s="37"/>
      <c r="C1111" s="37" t="str">
        <f>IF(D1111="","",MATCH(D1111,Parametros!$B$4:$B$15,0))</f>
        <v/>
      </c>
      <c r="D1111" s="38"/>
      <c r="E1111" s="38"/>
      <c r="F1111" s="38"/>
      <c r="G1111" s="38"/>
      <c r="H1111" s="38"/>
      <c r="I1111" s="39"/>
      <c r="J1111" s="38"/>
    </row>
    <row r="1112" spans="2:10" ht="12.75" customHeight="1" x14ac:dyDescent="0.2">
      <c r="B1112" s="37"/>
      <c r="C1112" s="37" t="str">
        <f>IF(D1112="","",MATCH(D1112,Parametros!$B$4:$B$15,0))</f>
        <v/>
      </c>
      <c r="D1112" s="38"/>
      <c r="E1112" s="38"/>
      <c r="F1112" s="38"/>
      <c r="G1112" s="38"/>
      <c r="H1112" s="38"/>
      <c r="I1112" s="39"/>
      <c r="J1112" s="38"/>
    </row>
    <row r="1113" spans="2:10" ht="12.75" customHeight="1" x14ac:dyDescent="0.2">
      <c r="B1113" s="37"/>
      <c r="C1113" s="37" t="str">
        <f>IF(D1113="","",MATCH(D1113,Parametros!$B$4:$B$15,0))</f>
        <v/>
      </c>
      <c r="D1113" s="38"/>
      <c r="E1113" s="38"/>
      <c r="F1113" s="38"/>
      <c r="G1113" s="38"/>
      <c r="H1113" s="38"/>
      <c r="I1113" s="39"/>
      <c r="J1113" s="38"/>
    </row>
    <row r="1114" spans="2:10" ht="12.75" customHeight="1" x14ac:dyDescent="0.2">
      <c r="B1114" s="37"/>
      <c r="C1114" s="37" t="str">
        <f>IF(D1114="","",MATCH(D1114,Parametros!$B$4:$B$15,0))</f>
        <v/>
      </c>
      <c r="D1114" s="38"/>
      <c r="E1114" s="38"/>
      <c r="F1114" s="38"/>
      <c r="G1114" s="38"/>
      <c r="H1114" s="38"/>
      <c r="I1114" s="39"/>
      <c r="J1114" s="38"/>
    </row>
    <row r="1115" spans="2:10" ht="12.75" customHeight="1" x14ac:dyDescent="0.2">
      <c r="B1115" s="37"/>
      <c r="C1115" s="37" t="str">
        <f>IF(D1115="","",MATCH(D1115,Parametros!$B$4:$B$15,0))</f>
        <v/>
      </c>
      <c r="D1115" s="38"/>
      <c r="E1115" s="38"/>
      <c r="F1115" s="38"/>
      <c r="G1115" s="38"/>
      <c r="H1115" s="38"/>
      <c r="I1115" s="39"/>
      <c r="J1115" s="38"/>
    </row>
    <row r="1116" spans="2:10" ht="12.75" customHeight="1" x14ac:dyDescent="0.2">
      <c r="B1116" s="37"/>
      <c r="C1116" s="37" t="str">
        <f>IF(D1116="","",MATCH(D1116,Parametros!$B$4:$B$15,0))</f>
        <v/>
      </c>
      <c r="D1116" s="38"/>
      <c r="E1116" s="38"/>
      <c r="F1116" s="38"/>
      <c r="G1116" s="38"/>
      <c r="H1116" s="38"/>
      <c r="I1116" s="39"/>
      <c r="J1116" s="38"/>
    </row>
    <row r="1117" spans="2:10" ht="12.75" customHeight="1" x14ac:dyDescent="0.2">
      <c r="B1117" s="37"/>
      <c r="C1117" s="37" t="str">
        <f>IF(D1117="","",MATCH(D1117,Parametros!$B$4:$B$15,0))</f>
        <v/>
      </c>
      <c r="D1117" s="38"/>
      <c r="E1117" s="38"/>
      <c r="F1117" s="38"/>
      <c r="G1117" s="38"/>
      <c r="H1117" s="38"/>
      <c r="I1117" s="39"/>
      <c r="J1117" s="38"/>
    </row>
    <row r="1118" spans="2:10" ht="12.75" customHeight="1" x14ac:dyDescent="0.2">
      <c r="B1118" s="37"/>
      <c r="C1118" s="37" t="str">
        <f>IF(D1118="","",MATCH(D1118,Parametros!$B$4:$B$15,0))</f>
        <v/>
      </c>
      <c r="D1118" s="38"/>
      <c r="E1118" s="38"/>
      <c r="F1118" s="38"/>
      <c r="G1118" s="38"/>
      <c r="H1118" s="38"/>
      <c r="I1118" s="39"/>
      <c r="J1118" s="38"/>
    </row>
    <row r="1119" spans="2:10" ht="12.75" customHeight="1" x14ac:dyDescent="0.2">
      <c r="B1119" s="37"/>
      <c r="C1119" s="37" t="str">
        <f>IF(D1119="","",MATCH(D1119,Parametros!$B$4:$B$15,0))</f>
        <v/>
      </c>
      <c r="D1119" s="38"/>
      <c r="E1119" s="38"/>
      <c r="F1119" s="38"/>
      <c r="G1119" s="38"/>
      <c r="H1119" s="38"/>
      <c r="I1119" s="39"/>
      <c r="J1119" s="38"/>
    </row>
    <row r="1120" spans="2:10" ht="12.75" customHeight="1" x14ac:dyDescent="0.2">
      <c r="B1120" s="37"/>
      <c r="C1120" s="37" t="str">
        <f>IF(D1120="","",MATCH(D1120,Parametros!$B$4:$B$15,0))</f>
        <v/>
      </c>
      <c r="D1120" s="38"/>
      <c r="E1120" s="38"/>
      <c r="F1120" s="38"/>
      <c r="G1120" s="38"/>
      <c r="H1120" s="38"/>
      <c r="I1120" s="39"/>
      <c r="J1120" s="38"/>
    </row>
    <row r="1121" spans="2:10" ht="12.75" customHeight="1" x14ac:dyDescent="0.2">
      <c r="B1121" s="37"/>
      <c r="C1121" s="37" t="str">
        <f>IF(D1121="","",MATCH(D1121,Parametros!$B$4:$B$15,0))</f>
        <v/>
      </c>
      <c r="D1121" s="38"/>
      <c r="E1121" s="38"/>
      <c r="F1121" s="38"/>
      <c r="G1121" s="38"/>
      <c r="H1121" s="38"/>
      <c r="I1121" s="39"/>
      <c r="J1121" s="38"/>
    </row>
    <row r="1122" spans="2:10" ht="12.75" customHeight="1" x14ac:dyDescent="0.2">
      <c r="B1122" s="37"/>
      <c r="C1122" s="37" t="str">
        <f>IF(D1122="","",MATCH(D1122,Parametros!$B$4:$B$15,0))</f>
        <v/>
      </c>
      <c r="D1122" s="38"/>
      <c r="E1122" s="38"/>
      <c r="F1122" s="38"/>
      <c r="G1122" s="38"/>
      <c r="H1122" s="38"/>
      <c r="I1122" s="39"/>
      <c r="J1122" s="38"/>
    </row>
    <row r="1123" spans="2:10" ht="12.75" customHeight="1" x14ac:dyDescent="0.2">
      <c r="B1123" s="37"/>
      <c r="C1123" s="37" t="str">
        <f>IF(D1123="","",MATCH(D1123,Parametros!$B$4:$B$15,0))</f>
        <v/>
      </c>
      <c r="D1123" s="38"/>
      <c r="E1123" s="38"/>
      <c r="F1123" s="38"/>
      <c r="G1123" s="38"/>
      <c r="H1123" s="38"/>
      <c r="I1123" s="39"/>
      <c r="J1123" s="38"/>
    </row>
    <row r="1124" spans="2:10" ht="12.75" customHeight="1" x14ac:dyDescent="0.2">
      <c r="B1124" s="37"/>
      <c r="C1124" s="37" t="str">
        <f>IF(D1124="","",MATCH(D1124,Parametros!$B$4:$B$15,0))</f>
        <v/>
      </c>
      <c r="D1124" s="38"/>
      <c r="E1124" s="38"/>
      <c r="F1124" s="38"/>
      <c r="G1124" s="38"/>
      <c r="H1124" s="38"/>
      <c r="I1124" s="39"/>
      <c r="J1124" s="38"/>
    </row>
    <row r="1125" spans="2:10" ht="12.75" customHeight="1" x14ac:dyDescent="0.2">
      <c r="B1125" s="37"/>
      <c r="C1125" s="37" t="str">
        <f>IF(D1125="","",MATCH(D1125,Parametros!$B$4:$B$15,0))</f>
        <v/>
      </c>
      <c r="D1125" s="38"/>
      <c r="E1125" s="38"/>
      <c r="F1125" s="38"/>
      <c r="G1125" s="38"/>
      <c r="H1125" s="38"/>
      <c r="I1125" s="39"/>
      <c r="J1125" s="38"/>
    </row>
    <row r="1126" spans="2:10" ht="12.75" customHeight="1" x14ac:dyDescent="0.2">
      <c r="B1126" s="37"/>
      <c r="C1126" s="37" t="str">
        <f>IF(D1126="","",MATCH(D1126,Parametros!$B$4:$B$15,0))</f>
        <v/>
      </c>
      <c r="D1126" s="38"/>
      <c r="E1126" s="38"/>
      <c r="F1126" s="38"/>
      <c r="G1126" s="38"/>
      <c r="H1126" s="38"/>
      <c r="I1126" s="39"/>
      <c r="J1126" s="38"/>
    </row>
    <row r="1127" spans="2:10" ht="12.75" customHeight="1" x14ac:dyDescent="0.2">
      <c r="B1127" s="37"/>
      <c r="C1127" s="37" t="str">
        <f>IF(D1127="","",MATCH(D1127,Parametros!$B$4:$B$15,0))</f>
        <v/>
      </c>
      <c r="D1127" s="38"/>
      <c r="E1127" s="38"/>
      <c r="F1127" s="38"/>
      <c r="G1127" s="38"/>
      <c r="H1127" s="38"/>
      <c r="I1127" s="39"/>
      <c r="J1127" s="38"/>
    </row>
    <row r="1128" spans="2:10" ht="12.75" customHeight="1" x14ac:dyDescent="0.2">
      <c r="B1128" s="37"/>
      <c r="C1128" s="37" t="str">
        <f>IF(D1128="","",MATCH(D1128,Parametros!$B$4:$B$15,0))</f>
        <v/>
      </c>
      <c r="D1128" s="38"/>
      <c r="E1128" s="38"/>
      <c r="F1128" s="38"/>
      <c r="G1128" s="38"/>
      <c r="H1128" s="38"/>
      <c r="I1128" s="39"/>
      <c r="J1128" s="38"/>
    </row>
    <row r="1129" spans="2:10" ht="12.75" customHeight="1" x14ac:dyDescent="0.2">
      <c r="B1129" s="37"/>
      <c r="C1129" s="37" t="str">
        <f>IF(D1129="","",MATCH(D1129,Parametros!$B$4:$B$15,0))</f>
        <v/>
      </c>
      <c r="D1129" s="38"/>
      <c r="E1129" s="38"/>
      <c r="F1129" s="38"/>
      <c r="G1129" s="38"/>
      <c r="H1129" s="38"/>
      <c r="I1129" s="39"/>
      <c r="J1129" s="38"/>
    </row>
    <row r="1130" spans="2:10" ht="12.75" customHeight="1" x14ac:dyDescent="0.2">
      <c r="B1130" s="37"/>
      <c r="C1130" s="37" t="str">
        <f>IF(D1130="","",MATCH(D1130,Parametros!$B$4:$B$15,0))</f>
        <v/>
      </c>
      <c r="D1130" s="38"/>
      <c r="E1130" s="38"/>
      <c r="F1130" s="38"/>
      <c r="G1130" s="38"/>
      <c r="H1130" s="38"/>
      <c r="I1130" s="39"/>
      <c r="J1130" s="38"/>
    </row>
    <row r="1131" spans="2:10" ht="12.75" customHeight="1" x14ac:dyDescent="0.2">
      <c r="B1131" s="37"/>
      <c r="C1131" s="37" t="str">
        <f>IF(D1131="","",MATCH(D1131,Parametros!$B$4:$B$15,0))</f>
        <v/>
      </c>
      <c r="D1131" s="38"/>
      <c r="E1131" s="38"/>
      <c r="F1131" s="38"/>
      <c r="G1131" s="38"/>
      <c r="H1131" s="38"/>
      <c r="I1131" s="39"/>
      <c r="J1131" s="38"/>
    </row>
    <row r="1132" spans="2:10" ht="12.75" customHeight="1" x14ac:dyDescent="0.2">
      <c r="B1132" s="37"/>
      <c r="C1132" s="37" t="str">
        <f>IF(D1132="","",MATCH(D1132,Parametros!$B$4:$B$15,0))</f>
        <v/>
      </c>
      <c r="D1132" s="38"/>
      <c r="E1132" s="38"/>
      <c r="F1132" s="38"/>
      <c r="G1132" s="38"/>
      <c r="H1132" s="38"/>
      <c r="I1132" s="39"/>
      <c r="J1132" s="38"/>
    </row>
    <row r="1133" spans="2:10" ht="12.75" customHeight="1" x14ac:dyDescent="0.2">
      <c r="B1133" s="37"/>
      <c r="C1133" s="37" t="str">
        <f>IF(D1133="","",MATCH(D1133,Parametros!$B$4:$B$15,0))</f>
        <v/>
      </c>
      <c r="D1133" s="38"/>
      <c r="E1133" s="38"/>
      <c r="F1133" s="38"/>
      <c r="G1133" s="38"/>
      <c r="H1133" s="38"/>
      <c r="I1133" s="39"/>
      <c r="J1133" s="38"/>
    </row>
    <row r="1134" spans="2:10" ht="12.75" customHeight="1" x14ac:dyDescent="0.2">
      <c r="B1134" s="37"/>
      <c r="C1134" s="37" t="str">
        <f>IF(D1134="","",MATCH(D1134,Parametros!$B$4:$B$15,0))</f>
        <v/>
      </c>
      <c r="D1134" s="38"/>
      <c r="E1134" s="38"/>
      <c r="F1134" s="38"/>
      <c r="G1134" s="38"/>
      <c r="H1134" s="38"/>
      <c r="I1134" s="39"/>
      <c r="J1134" s="38"/>
    </row>
    <row r="1135" spans="2:10" ht="12.75" customHeight="1" x14ac:dyDescent="0.2">
      <c r="B1135" s="37"/>
      <c r="C1135" s="37" t="str">
        <f>IF(D1135="","",MATCH(D1135,Parametros!$B$4:$B$15,0))</f>
        <v/>
      </c>
      <c r="D1135" s="38"/>
      <c r="E1135" s="38"/>
      <c r="F1135" s="38"/>
      <c r="G1135" s="38"/>
      <c r="H1135" s="38"/>
      <c r="I1135" s="39"/>
      <c r="J1135" s="38"/>
    </row>
    <row r="1136" spans="2:10" ht="12.75" customHeight="1" x14ac:dyDescent="0.2">
      <c r="B1136" s="37"/>
      <c r="C1136" s="37" t="str">
        <f>IF(D1136="","",MATCH(D1136,Parametros!$B$4:$B$15,0))</f>
        <v/>
      </c>
      <c r="D1136" s="38"/>
      <c r="E1136" s="38"/>
      <c r="F1136" s="38"/>
      <c r="G1136" s="38"/>
      <c r="H1136" s="38"/>
      <c r="I1136" s="39"/>
      <c r="J1136" s="38"/>
    </row>
    <row r="1137" spans="2:10" ht="12.75" customHeight="1" x14ac:dyDescent="0.2">
      <c r="B1137" s="37"/>
      <c r="C1137" s="37" t="str">
        <f>IF(D1137="","",MATCH(D1137,Parametros!$B$4:$B$15,0))</f>
        <v/>
      </c>
      <c r="D1137" s="38"/>
      <c r="E1137" s="38"/>
      <c r="F1137" s="38"/>
      <c r="G1137" s="38"/>
      <c r="H1137" s="38"/>
      <c r="I1137" s="39"/>
      <c r="J1137" s="38"/>
    </row>
    <row r="1138" spans="2:10" ht="12.75" customHeight="1" x14ac:dyDescent="0.2">
      <c r="B1138" s="37"/>
      <c r="C1138" s="37" t="str">
        <f>IF(D1138="","",MATCH(D1138,Parametros!$B$4:$B$15,0))</f>
        <v/>
      </c>
      <c r="D1138" s="38"/>
      <c r="E1138" s="38"/>
      <c r="F1138" s="38"/>
      <c r="G1138" s="38"/>
      <c r="H1138" s="38"/>
      <c r="I1138" s="39"/>
      <c r="J1138" s="38"/>
    </row>
    <row r="1139" spans="2:10" ht="12.75" customHeight="1" x14ac:dyDescent="0.2">
      <c r="B1139" s="37"/>
      <c r="C1139" s="37" t="str">
        <f>IF(D1139="","",MATCH(D1139,Parametros!$B$4:$B$15,0))</f>
        <v/>
      </c>
      <c r="D1139" s="38"/>
      <c r="E1139" s="38"/>
      <c r="F1139" s="38"/>
      <c r="G1139" s="38"/>
      <c r="H1139" s="38"/>
      <c r="I1139" s="39"/>
      <c r="J1139" s="38"/>
    </row>
    <row r="1140" spans="2:10" ht="12.75" customHeight="1" x14ac:dyDescent="0.2">
      <c r="B1140" s="37"/>
      <c r="C1140" s="37" t="str">
        <f>IF(D1140="","",MATCH(D1140,Parametros!$B$4:$B$15,0))</f>
        <v/>
      </c>
      <c r="D1140" s="38"/>
      <c r="E1140" s="38"/>
      <c r="F1140" s="38"/>
      <c r="G1140" s="38"/>
      <c r="H1140" s="38"/>
      <c r="I1140" s="39"/>
      <c r="J1140" s="38"/>
    </row>
    <row r="1141" spans="2:10" ht="12.75" customHeight="1" x14ac:dyDescent="0.2">
      <c r="B1141" s="37"/>
      <c r="C1141" s="37" t="str">
        <f>IF(D1141="","",MATCH(D1141,Parametros!$B$4:$B$15,0))</f>
        <v/>
      </c>
      <c r="D1141" s="38"/>
      <c r="E1141" s="38"/>
      <c r="F1141" s="38"/>
      <c r="G1141" s="38"/>
      <c r="H1141" s="38"/>
      <c r="I1141" s="39"/>
      <c r="J1141" s="38"/>
    </row>
    <row r="1142" spans="2:10" ht="12.75" customHeight="1" x14ac:dyDescent="0.2">
      <c r="B1142" s="37"/>
      <c r="C1142" s="37" t="str">
        <f>IF(D1142="","",MATCH(D1142,Parametros!$B$4:$B$15,0))</f>
        <v/>
      </c>
      <c r="D1142" s="38"/>
      <c r="E1142" s="38"/>
      <c r="F1142" s="38"/>
      <c r="G1142" s="38"/>
      <c r="H1142" s="38"/>
      <c r="I1142" s="39"/>
      <c r="J1142" s="38"/>
    </row>
    <row r="1143" spans="2:10" ht="12.75" customHeight="1" x14ac:dyDescent="0.2">
      <c r="B1143" s="37"/>
      <c r="C1143" s="37" t="str">
        <f>IF(D1143="","",MATCH(D1143,Parametros!$B$4:$B$15,0))</f>
        <v/>
      </c>
      <c r="D1143" s="38"/>
      <c r="E1143" s="38"/>
      <c r="F1143" s="38"/>
      <c r="G1143" s="38"/>
      <c r="H1143" s="38"/>
      <c r="I1143" s="39"/>
      <c r="J1143" s="38"/>
    </row>
    <row r="1144" spans="2:10" ht="12.75" customHeight="1" x14ac:dyDescent="0.2">
      <c r="B1144" s="37"/>
      <c r="C1144" s="37" t="str">
        <f>IF(D1144="","",MATCH(D1144,Parametros!$B$4:$B$15,0))</f>
        <v/>
      </c>
      <c r="D1144" s="38"/>
      <c r="E1144" s="38"/>
      <c r="F1144" s="38"/>
      <c r="G1144" s="38"/>
      <c r="H1144" s="38"/>
      <c r="I1144" s="39"/>
      <c r="J1144" s="38"/>
    </row>
    <row r="1145" spans="2:10" ht="12.75" customHeight="1" x14ac:dyDescent="0.2">
      <c r="B1145" s="37"/>
      <c r="C1145" s="37" t="str">
        <f>IF(D1145="","",MATCH(D1145,Parametros!$B$4:$B$15,0))</f>
        <v/>
      </c>
      <c r="D1145" s="38"/>
      <c r="E1145" s="38"/>
      <c r="F1145" s="38"/>
      <c r="G1145" s="38"/>
      <c r="H1145" s="38"/>
      <c r="I1145" s="39"/>
      <c r="J1145" s="38"/>
    </row>
    <row r="1146" spans="2:10" ht="12.75" customHeight="1" x14ac:dyDescent="0.2">
      <c r="B1146" s="37"/>
      <c r="C1146" s="37" t="str">
        <f>IF(D1146="","",MATCH(D1146,Parametros!$B$4:$B$15,0))</f>
        <v/>
      </c>
      <c r="D1146" s="38"/>
      <c r="E1146" s="38"/>
      <c r="F1146" s="38"/>
      <c r="G1146" s="38"/>
      <c r="H1146" s="38"/>
      <c r="I1146" s="39"/>
      <c r="J1146" s="38"/>
    </row>
    <row r="1147" spans="2:10" ht="12.75" customHeight="1" x14ac:dyDescent="0.2">
      <c r="B1147" s="37"/>
      <c r="C1147" s="37" t="str">
        <f>IF(D1147="","",MATCH(D1147,Parametros!$B$4:$B$15,0))</f>
        <v/>
      </c>
      <c r="D1147" s="38"/>
      <c r="E1147" s="38"/>
      <c r="F1147" s="38"/>
      <c r="G1147" s="38"/>
      <c r="H1147" s="38"/>
      <c r="I1147" s="39"/>
      <c r="J1147" s="38"/>
    </row>
    <row r="1148" spans="2:10" ht="12.75" customHeight="1" x14ac:dyDescent="0.2">
      <c r="B1148" s="37"/>
      <c r="C1148" s="37" t="str">
        <f>IF(D1148="","",MATCH(D1148,Parametros!$B$4:$B$15,0))</f>
        <v/>
      </c>
      <c r="D1148" s="38"/>
      <c r="E1148" s="38"/>
      <c r="F1148" s="38"/>
      <c r="G1148" s="38"/>
      <c r="H1148" s="38"/>
      <c r="I1148" s="39"/>
      <c r="J1148" s="38"/>
    </row>
    <row r="1149" spans="2:10" ht="12.75" customHeight="1" x14ac:dyDescent="0.2">
      <c r="B1149" s="37"/>
      <c r="C1149" s="37" t="str">
        <f>IF(D1149="","",MATCH(D1149,Parametros!$B$4:$B$15,0))</f>
        <v/>
      </c>
      <c r="D1149" s="38"/>
      <c r="E1149" s="38"/>
      <c r="F1149" s="38"/>
      <c r="G1149" s="38"/>
      <c r="H1149" s="38"/>
      <c r="I1149" s="39"/>
      <c r="J1149" s="38"/>
    </row>
    <row r="1150" spans="2:10" ht="12.75" customHeight="1" x14ac:dyDescent="0.2">
      <c r="B1150" s="37"/>
      <c r="C1150" s="37" t="str">
        <f>IF(D1150="","",MATCH(D1150,Parametros!$B$4:$B$15,0))</f>
        <v/>
      </c>
      <c r="D1150" s="38"/>
      <c r="E1150" s="38"/>
      <c r="F1150" s="38"/>
      <c r="G1150" s="38"/>
      <c r="H1150" s="38"/>
      <c r="I1150" s="39"/>
      <c r="J1150" s="38"/>
    </row>
    <row r="1151" spans="2:10" ht="12.75" customHeight="1" x14ac:dyDescent="0.2">
      <c r="B1151" s="37"/>
      <c r="C1151" s="37" t="str">
        <f>IF(D1151="","",MATCH(D1151,Parametros!$B$4:$B$15,0))</f>
        <v/>
      </c>
      <c r="D1151" s="38"/>
      <c r="E1151" s="38"/>
      <c r="F1151" s="38"/>
      <c r="G1151" s="38"/>
      <c r="H1151" s="38"/>
      <c r="I1151" s="39"/>
      <c r="J1151" s="38"/>
    </row>
    <row r="1152" spans="2:10" ht="12.75" customHeight="1" x14ac:dyDescent="0.2">
      <c r="B1152" s="37"/>
      <c r="C1152" s="37" t="str">
        <f>IF(D1152="","",MATCH(D1152,Parametros!$B$4:$B$15,0))</f>
        <v/>
      </c>
      <c r="D1152" s="38"/>
      <c r="E1152" s="38"/>
      <c r="F1152" s="38"/>
      <c r="G1152" s="38"/>
      <c r="H1152" s="38"/>
      <c r="I1152" s="39"/>
      <c r="J1152" s="38"/>
    </row>
    <row r="1153" spans="2:10" ht="12.75" customHeight="1" x14ac:dyDescent="0.2">
      <c r="B1153" s="37"/>
      <c r="C1153" s="37" t="str">
        <f>IF(D1153="","",MATCH(D1153,Parametros!$B$4:$B$15,0))</f>
        <v/>
      </c>
      <c r="D1153" s="38"/>
      <c r="E1153" s="38"/>
      <c r="F1153" s="38"/>
      <c r="G1153" s="38"/>
      <c r="H1153" s="38"/>
      <c r="I1153" s="39"/>
      <c r="J1153" s="38"/>
    </row>
    <row r="1154" spans="2:10" ht="12.75" customHeight="1" x14ac:dyDescent="0.2">
      <c r="B1154" s="37"/>
      <c r="C1154" s="37" t="str">
        <f>IF(D1154="","",MATCH(D1154,Parametros!$B$4:$B$15,0))</f>
        <v/>
      </c>
      <c r="D1154" s="38"/>
      <c r="E1154" s="38"/>
      <c r="F1154" s="38"/>
      <c r="G1154" s="38"/>
      <c r="H1154" s="38"/>
      <c r="I1154" s="39"/>
      <c r="J1154" s="38"/>
    </row>
    <row r="1155" spans="2:10" ht="12.75" customHeight="1" x14ac:dyDescent="0.2">
      <c r="B1155" s="37"/>
      <c r="C1155" s="37" t="str">
        <f>IF(D1155="","",MATCH(D1155,Parametros!$B$4:$B$15,0))</f>
        <v/>
      </c>
      <c r="D1155" s="38"/>
      <c r="E1155" s="38"/>
      <c r="F1155" s="38"/>
      <c r="G1155" s="38"/>
      <c r="H1155" s="38"/>
      <c r="I1155" s="39"/>
      <c r="J1155" s="38"/>
    </row>
    <row r="1156" spans="2:10" ht="12.75" customHeight="1" x14ac:dyDescent="0.2">
      <c r="B1156" s="37"/>
      <c r="C1156" s="37" t="str">
        <f>IF(D1156="","",MATCH(D1156,Parametros!$B$4:$B$15,0))</f>
        <v/>
      </c>
      <c r="D1156" s="38"/>
      <c r="E1156" s="38"/>
      <c r="F1156" s="38"/>
      <c r="G1156" s="38"/>
      <c r="H1156" s="38"/>
      <c r="I1156" s="39"/>
      <c r="J1156" s="38"/>
    </row>
    <row r="1157" spans="2:10" ht="12.75" customHeight="1" x14ac:dyDescent="0.2">
      <c r="B1157" s="37"/>
      <c r="C1157" s="37" t="str">
        <f>IF(D1157="","",MATCH(D1157,Parametros!$B$4:$B$15,0))</f>
        <v/>
      </c>
      <c r="D1157" s="38"/>
      <c r="E1157" s="38"/>
      <c r="F1157" s="38"/>
      <c r="G1157" s="38"/>
      <c r="H1157" s="38"/>
      <c r="I1157" s="39"/>
      <c r="J1157" s="38"/>
    </row>
    <row r="1158" spans="2:10" ht="12.75" customHeight="1" x14ac:dyDescent="0.2">
      <c r="B1158" s="37"/>
      <c r="C1158" s="37" t="str">
        <f>IF(D1158="","",MATCH(D1158,Parametros!$B$4:$B$15,0))</f>
        <v/>
      </c>
      <c r="D1158" s="38"/>
      <c r="E1158" s="38"/>
      <c r="F1158" s="38"/>
      <c r="G1158" s="38"/>
      <c r="H1158" s="38"/>
      <c r="I1158" s="39"/>
      <c r="J1158" s="38"/>
    </row>
    <row r="1159" spans="2:10" ht="12.75" customHeight="1" x14ac:dyDescent="0.2">
      <c r="B1159" s="37"/>
      <c r="C1159" s="37" t="str">
        <f>IF(D1159="","",MATCH(D1159,Parametros!$B$4:$B$15,0))</f>
        <v/>
      </c>
      <c r="D1159" s="38"/>
      <c r="E1159" s="38"/>
      <c r="F1159" s="38"/>
      <c r="G1159" s="38"/>
      <c r="H1159" s="38"/>
      <c r="I1159" s="39"/>
      <c r="J1159" s="38"/>
    </row>
    <row r="1160" spans="2:10" ht="12.75" customHeight="1" x14ac:dyDescent="0.2">
      <c r="B1160" s="37"/>
      <c r="C1160" s="37" t="str">
        <f>IF(D1160="","",MATCH(D1160,Parametros!$B$4:$B$15,0))</f>
        <v/>
      </c>
      <c r="D1160" s="38"/>
      <c r="E1160" s="38"/>
      <c r="F1160" s="38"/>
      <c r="G1160" s="38"/>
      <c r="H1160" s="38"/>
      <c r="I1160" s="39"/>
      <c r="J1160" s="38"/>
    </row>
    <row r="1161" spans="2:10" ht="12.75" customHeight="1" x14ac:dyDescent="0.2">
      <c r="B1161" s="37"/>
      <c r="C1161" s="37" t="str">
        <f>IF(D1161="","",MATCH(D1161,Parametros!$B$4:$B$15,0))</f>
        <v/>
      </c>
      <c r="D1161" s="38"/>
      <c r="E1161" s="38"/>
      <c r="F1161" s="38"/>
      <c r="G1161" s="38"/>
      <c r="H1161" s="38"/>
      <c r="I1161" s="39"/>
      <c r="J1161" s="38"/>
    </row>
    <row r="1162" spans="2:10" ht="12.75" customHeight="1" x14ac:dyDescent="0.2">
      <c r="B1162" s="37"/>
      <c r="C1162" s="37" t="str">
        <f>IF(D1162="","",MATCH(D1162,Parametros!$B$4:$B$15,0))</f>
        <v/>
      </c>
      <c r="D1162" s="38"/>
      <c r="E1162" s="38"/>
      <c r="F1162" s="38"/>
      <c r="G1162" s="38"/>
      <c r="H1162" s="38"/>
      <c r="I1162" s="39"/>
      <c r="J1162" s="38"/>
    </row>
    <row r="1163" spans="2:10" ht="12.75" customHeight="1" x14ac:dyDescent="0.2">
      <c r="B1163" s="37"/>
      <c r="C1163" s="37" t="str">
        <f>IF(D1163="","",MATCH(D1163,Parametros!$B$4:$B$15,0))</f>
        <v/>
      </c>
      <c r="D1163" s="38"/>
      <c r="E1163" s="38"/>
      <c r="F1163" s="38"/>
      <c r="G1163" s="38"/>
      <c r="H1163" s="38"/>
      <c r="I1163" s="39"/>
      <c r="J1163" s="38"/>
    </row>
    <row r="1164" spans="2:10" ht="12.75" customHeight="1" x14ac:dyDescent="0.2">
      <c r="B1164" s="37"/>
      <c r="C1164" s="37" t="str">
        <f>IF(D1164="","",MATCH(D1164,Parametros!$B$4:$B$15,0))</f>
        <v/>
      </c>
      <c r="D1164" s="38"/>
      <c r="E1164" s="38"/>
      <c r="F1164" s="38"/>
      <c r="G1164" s="38"/>
      <c r="H1164" s="38"/>
      <c r="I1164" s="39"/>
      <c r="J1164" s="38"/>
    </row>
    <row r="1165" spans="2:10" ht="12.75" customHeight="1" x14ac:dyDescent="0.2">
      <c r="B1165" s="37"/>
      <c r="C1165" s="37" t="str">
        <f>IF(D1165="","",MATCH(D1165,Parametros!$B$4:$B$15,0))</f>
        <v/>
      </c>
      <c r="D1165" s="38"/>
      <c r="E1165" s="38"/>
      <c r="F1165" s="38"/>
      <c r="G1165" s="38"/>
      <c r="H1165" s="38"/>
      <c r="I1165" s="39"/>
      <c r="J1165" s="38"/>
    </row>
    <row r="1166" spans="2:10" ht="12.75" customHeight="1" x14ac:dyDescent="0.2">
      <c r="B1166" s="37"/>
      <c r="C1166" s="37" t="str">
        <f>IF(D1166="","",MATCH(D1166,Parametros!$B$4:$B$15,0))</f>
        <v/>
      </c>
      <c r="D1166" s="38"/>
      <c r="E1166" s="38"/>
      <c r="F1166" s="38"/>
      <c r="G1166" s="38"/>
      <c r="H1166" s="38"/>
      <c r="I1166" s="39"/>
      <c r="J1166" s="38"/>
    </row>
    <row r="1167" spans="2:10" ht="12.75" customHeight="1" x14ac:dyDescent="0.2">
      <c r="B1167" s="37"/>
      <c r="C1167" s="37" t="str">
        <f>IF(D1167="","",MATCH(D1167,Parametros!$B$4:$B$15,0))</f>
        <v/>
      </c>
      <c r="D1167" s="38"/>
      <c r="E1167" s="38"/>
      <c r="F1167" s="38"/>
      <c r="G1167" s="38"/>
      <c r="H1167" s="38"/>
      <c r="I1167" s="39"/>
      <c r="J1167" s="38"/>
    </row>
    <row r="1168" spans="2:10" ht="12.75" customHeight="1" x14ac:dyDescent="0.2">
      <c r="B1168" s="37"/>
      <c r="C1168" s="37" t="str">
        <f>IF(D1168="","",MATCH(D1168,Parametros!$B$4:$B$15,0))</f>
        <v/>
      </c>
      <c r="D1168" s="38"/>
      <c r="E1168" s="38"/>
      <c r="F1168" s="38"/>
      <c r="G1168" s="38"/>
      <c r="H1168" s="38"/>
      <c r="I1168" s="39"/>
      <c r="J1168" s="38"/>
    </row>
    <row r="1169" spans="2:10" ht="12.75" customHeight="1" x14ac:dyDescent="0.2">
      <c r="B1169" s="37"/>
      <c r="C1169" s="37" t="str">
        <f>IF(D1169="","",MATCH(D1169,Parametros!$B$4:$B$15,0))</f>
        <v/>
      </c>
      <c r="D1169" s="38"/>
      <c r="E1169" s="38"/>
      <c r="F1169" s="38"/>
      <c r="G1169" s="38"/>
      <c r="H1169" s="38"/>
      <c r="I1169" s="39"/>
      <c r="J1169" s="38"/>
    </row>
    <row r="1170" spans="2:10" ht="12.75" customHeight="1" x14ac:dyDescent="0.2">
      <c r="B1170" s="37"/>
      <c r="C1170" s="37" t="str">
        <f>IF(D1170="","",MATCH(D1170,Parametros!$B$4:$B$15,0))</f>
        <v/>
      </c>
      <c r="D1170" s="38"/>
      <c r="E1170" s="38"/>
      <c r="F1170" s="38"/>
      <c r="G1170" s="38"/>
      <c r="H1170" s="38"/>
      <c r="I1170" s="39"/>
      <c r="J1170" s="38"/>
    </row>
    <row r="1171" spans="2:10" ht="12.75" customHeight="1" x14ac:dyDescent="0.2">
      <c r="B1171" s="37"/>
      <c r="C1171" s="37" t="str">
        <f>IF(D1171="","",MATCH(D1171,Parametros!$B$4:$B$15,0))</f>
        <v/>
      </c>
      <c r="D1171" s="38"/>
      <c r="E1171" s="38"/>
      <c r="F1171" s="38"/>
      <c r="G1171" s="38"/>
      <c r="H1171" s="38"/>
      <c r="I1171" s="39"/>
      <c r="J1171" s="38"/>
    </row>
    <row r="1172" spans="2:10" ht="12.75" customHeight="1" x14ac:dyDescent="0.2">
      <c r="B1172" s="37"/>
      <c r="C1172" s="37" t="str">
        <f>IF(D1172="","",MATCH(D1172,Parametros!$B$4:$B$15,0))</f>
        <v/>
      </c>
      <c r="D1172" s="38"/>
      <c r="E1172" s="38"/>
      <c r="F1172" s="38"/>
      <c r="G1172" s="38"/>
      <c r="H1172" s="38"/>
      <c r="I1172" s="39"/>
      <c r="J1172" s="38"/>
    </row>
    <row r="1173" spans="2:10" ht="12.75" customHeight="1" x14ac:dyDescent="0.2">
      <c r="B1173" s="37"/>
      <c r="C1173" s="37" t="str">
        <f>IF(D1173="","",MATCH(D1173,Parametros!$B$4:$B$15,0))</f>
        <v/>
      </c>
      <c r="D1173" s="38"/>
      <c r="E1173" s="38"/>
      <c r="F1173" s="38"/>
      <c r="G1173" s="38"/>
      <c r="H1173" s="38"/>
      <c r="I1173" s="39"/>
      <c r="J1173" s="38"/>
    </row>
    <row r="1174" spans="2:10" ht="12.75" customHeight="1" x14ac:dyDescent="0.2">
      <c r="B1174" s="37"/>
      <c r="C1174" s="37" t="str">
        <f>IF(D1174="","",MATCH(D1174,Parametros!$B$4:$B$15,0))</f>
        <v/>
      </c>
      <c r="D1174" s="38"/>
      <c r="E1174" s="38"/>
      <c r="F1174" s="38"/>
      <c r="G1174" s="38"/>
      <c r="H1174" s="38"/>
      <c r="I1174" s="39"/>
      <c r="J1174" s="38"/>
    </row>
    <row r="1175" spans="2:10" ht="12.75" customHeight="1" x14ac:dyDescent="0.2">
      <c r="B1175" s="37"/>
      <c r="C1175" s="37" t="str">
        <f>IF(D1175="","",MATCH(D1175,Parametros!$B$4:$B$15,0))</f>
        <v/>
      </c>
      <c r="D1175" s="38"/>
      <c r="E1175" s="38"/>
      <c r="F1175" s="38"/>
      <c r="G1175" s="38"/>
      <c r="H1175" s="38"/>
      <c r="I1175" s="39"/>
      <c r="J1175" s="38"/>
    </row>
    <row r="1176" spans="2:10" ht="12.75" customHeight="1" x14ac:dyDescent="0.2">
      <c r="B1176" s="37"/>
      <c r="C1176" s="37" t="str">
        <f>IF(D1176="","",MATCH(D1176,Parametros!$B$4:$B$15,0))</f>
        <v/>
      </c>
      <c r="D1176" s="38"/>
      <c r="E1176" s="38"/>
      <c r="F1176" s="38"/>
      <c r="G1176" s="38"/>
      <c r="H1176" s="38"/>
      <c r="I1176" s="39"/>
      <c r="J1176" s="38"/>
    </row>
    <row r="1177" spans="2:10" ht="12.75" customHeight="1" x14ac:dyDescent="0.2">
      <c r="B1177" s="37"/>
      <c r="C1177" s="37" t="str">
        <f>IF(D1177="","",MATCH(D1177,Parametros!$B$4:$B$15,0))</f>
        <v/>
      </c>
      <c r="D1177" s="38"/>
      <c r="E1177" s="38"/>
      <c r="F1177" s="38"/>
      <c r="G1177" s="38"/>
      <c r="H1177" s="38"/>
      <c r="I1177" s="39"/>
      <c r="J1177" s="38"/>
    </row>
    <row r="1178" spans="2:10" ht="12.75" customHeight="1" x14ac:dyDescent="0.2">
      <c r="B1178" s="37"/>
      <c r="C1178" s="37" t="str">
        <f>IF(D1178="","",MATCH(D1178,Parametros!$B$4:$B$15,0))</f>
        <v/>
      </c>
      <c r="D1178" s="38"/>
      <c r="E1178" s="38"/>
      <c r="F1178" s="38"/>
      <c r="G1178" s="38"/>
      <c r="H1178" s="38"/>
      <c r="I1178" s="39"/>
      <c r="J1178" s="38"/>
    </row>
    <row r="1179" spans="2:10" ht="12.75" customHeight="1" x14ac:dyDescent="0.2">
      <c r="B1179" s="37"/>
      <c r="C1179" s="37" t="str">
        <f>IF(D1179="","",MATCH(D1179,Parametros!$B$4:$B$15,0))</f>
        <v/>
      </c>
      <c r="D1179" s="38"/>
      <c r="E1179" s="38"/>
      <c r="F1179" s="38"/>
      <c r="G1179" s="38"/>
      <c r="H1179" s="38"/>
      <c r="I1179" s="39"/>
      <c r="J1179" s="38"/>
    </row>
    <row r="1180" spans="2:10" ht="12.75" customHeight="1" x14ac:dyDescent="0.2">
      <c r="B1180" s="37"/>
      <c r="C1180" s="37" t="str">
        <f>IF(D1180="","",MATCH(D1180,Parametros!$B$4:$B$15,0))</f>
        <v/>
      </c>
      <c r="D1180" s="38"/>
      <c r="E1180" s="38"/>
      <c r="F1180" s="38"/>
      <c r="G1180" s="38"/>
      <c r="H1180" s="38"/>
      <c r="I1180" s="39"/>
      <c r="J1180" s="38"/>
    </row>
    <row r="1181" spans="2:10" ht="12.75" customHeight="1" x14ac:dyDescent="0.2">
      <c r="B1181" s="37"/>
      <c r="C1181" s="37" t="str">
        <f>IF(D1181="","",MATCH(D1181,Parametros!$B$4:$B$15,0))</f>
        <v/>
      </c>
      <c r="D1181" s="38"/>
      <c r="E1181" s="38"/>
      <c r="F1181" s="38"/>
      <c r="G1181" s="38"/>
      <c r="H1181" s="38"/>
      <c r="I1181" s="39"/>
      <c r="J1181" s="38"/>
    </row>
    <row r="1182" spans="2:10" ht="12.75" customHeight="1" x14ac:dyDescent="0.2">
      <c r="B1182" s="37"/>
      <c r="C1182" s="37" t="str">
        <f>IF(D1182="","",MATCH(D1182,Parametros!$B$4:$B$15,0))</f>
        <v/>
      </c>
      <c r="D1182" s="38"/>
      <c r="E1182" s="38"/>
      <c r="F1182" s="38"/>
      <c r="G1182" s="38"/>
      <c r="H1182" s="38"/>
      <c r="I1182" s="39"/>
      <c r="J1182" s="38"/>
    </row>
    <row r="1183" spans="2:10" ht="12.75" customHeight="1" x14ac:dyDescent="0.2">
      <c r="B1183" s="37"/>
      <c r="C1183" s="37" t="str">
        <f>IF(D1183="","",MATCH(D1183,Parametros!$B$4:$B$15,0))</f>
        <v/>
      </c>
      <c r="D1183" s="38"/>
      <c r="E1183" s="38"/>
      <c r="F1183" s="38"/>
      <c r="G1183" s="38"/>
      <c r="H1183" s="38"/>
      <c r="I1183" s="39"/>
      <c r="J1183" s="38"/>
    </row>
    <row r="1184" spans="2:10" ht="12.75" customHeight="1" x14ac:dyDescent="0.2">
      <c r="B1184" s="37"/>
      <c r="C1184" s="37" t="str">
        <f>IF(D1184="","",MATCH(D1184,Parametros!$B$4:$B$15,0))</f>
        <v/>
      </c>
      <c r="D1184" s="38"/>
      <c r="E1184" s="38"/>
      <c r="F1184" s="38"/>
      <c r="G1184" s="38"/>
      <c r="H1184" s="38"/>
      <c r="I1184" s="39"/>
      <c r="J1184" s="38"/>
    </row>
    <row r="1185" spans="2:10" ht="12.75" customHeight="1" x14ac:dyDescent="0.2">
      <c r="B1185" s="37"/>
      <c r="C1185" s="37" t="str">
        <f>IF(D1185="","",MATCH(D1185,Parametros!$B$4:$B$15,0))</f>
        <v/>
      </c>
      <c r="D1185" s="38"/>
      <c r="E1185" s="38"/>
      <c r="F1185" s="38"/>
      <c r="G1185" s="38"/>
      <c r="H1185" s="38"/>
      <c r="I1185" s="39"/>
      <c r="J1185" s="38"/>
    </row>
    <row r="1186" spans="2:10" ht="12.75" customHeight="1" x14ac:dyDescent="0.2">
      <c r="B1186" s="37"/>
      <c r="C1186" s="37" t="str">
        <f>IF(D1186="","",MATCH(D1186,Parametros!$B$4:$B$15,0))</f>
        <v/>
      </c>
      <c r="D1186" s="38"/>
      <c r="E1186" s="38"/>
      <c r="F1186" s="38"/>
      <c r="G1186" s="38"/>
      <c r="H1186" s="38"/>
      <c r="I1186" s="39"/>
      <c r="J1186" s="38"/>
    </row>
    <row r="1187" spans="2:10" ht="12.75" customHeight="1" x14ac:dyDescent="0.2">
      <c r="B1187" s="37"/>
      <c r="C1187" s="37" t="str">
        <f>IF(D1187="","",MATCH(D1187,Parametros!$B$4:$B$15,0))</f>
        <v/>
      </c>
      <c r="D1187" s="38"/>
      <c r="E1187" s="38"/>
      <c r="F1187" s="38"/>
      <c r="G1187" s="38"/>
      <c r="H1187" s="38"/>
      <c r="I1187" s="39"/>
      <c r="J1187" s="38"/>
    </row>
    <row r="1188" spans="2:10" ht="12.75" customHeight="1" x14ac:dyDescent="0.2">
      <c r="B1188" s="37"/>
      <c r="C1188" s="37" t="str">
        <f>IF(D1188="","",MATCH(D1188,Parametros!$B$4:$B$15,0))</f>
        <v/>
      </c>
      <c r="D1188" s="38"/>
      <c r="E1188" s="38"/>
      <c r="F1188" s="38"/>
      <c r="G1188" s="38"/>
      <c r="H1188" s="38"/>
      <c r="I1188" s="39"/>
      <c r="J1188" s="38"/>
    </row>
    <row r="1189" spans="2:10" ht="12.75" customHeight="1" x14ac:dyDescent="0.2">
      <c r="B1189" s="37"/>
      <c r="C1189" s="37" t="str">
        <f>IF(D1189="","",MATCH(D1189,Parametros!$B$4:$B$15,0))</f>
        <v/>
      </c>
      <c r="D1189" s="38"/>
      <c r="E1189" s="38"/>
      <c r="F1189" s="38"/>
      <c r="G1189" s="38"/>
      <c r="H1189" s="38"/>
      <c r="I1189" s="39"/>
      <c r="J1189" s="38"/>
    </row>
    <row r="1190" spans="2:10" ht="12.75" customHeight="1" x14ac:dyDescent="0.2">
      <c r="B1190" s="37"/>
      <c r="C1190" s="37" t="str">
        <f>IF(D1190="","",MATCH(D1190,Parametros!$B$4:$B$15,0))</f>
        <v/>
      </c>
      <c r="D1190" s="38"/>
      <c r="E1190" s="38"/>
      <c r="F1190" s="38"/>
      <c r="G1190" s="38"/>
      <c r="H1190" s="38"/>
      <c r="I1190" s="39"/>
      <c r="J1190" s="38"/>
    </row>
    <row r="1191" spans="2:10" ht="12.75" customHeight="1" x14ac:dyDescent="0.2">
      <c r="B1191" s="37"/>
      <c r="C1191" s="37" t="str">
        <f>IF(D1191="","",MATCH(D1191,Parametros!$B$4:$B$15,0))</f>
        <v/>
      </c>
      <c r="D1191" s="38"/>
      <c r="E1191" s="38"/>
      <c r="F1191" s="38"/>
      <c r="G1191" s="38"/>
      <c r="H1191" s="38"/>
      <c r="I1191" s="39"/>
      <c r="J1191" s="38"/>
    </row>
    <row r="1192" spans="2:10" ht="12.75" customHeight="1" x14ac:dyDescent="0.2">
      <c r="B1192" s="37"/>
      <c r="C1192" s="37" t="str">
        <f>IF(D1192="","",MATCH(D1192,Parametros!$B$4:$B$15,0))</f>
        <v/>
      </c>
      <c r="D1192" s="38"/>
      <c r="E1192" s="38"/>
      <c r="F1192" s="38"/>
      <c r="G1192" s="38"/>
      <c r="H1192" s="38"/>
      <c r="I1192" s="39"/>
      <c r="J1192" s="38"/>
    </row>
    <row r="1193" spans="2:10" ht="12.75" customHeight="1" x14ac:dyDescent="0.2">
      <c r="B1193" s="37"/>
      <c r="C1193" s="37" t="str">
        <f>IF(D1193="","",MATCH(D1193,Parametros!$B$4:$B$15,0))</f>
        <v/>
      </c>
      <c r="D1193" s="38"/>
      <c r="E1193" s="38"/>
      <c r="F1193" s="38"/>
      <c r="G1193" s="38"/>
      <c r="H1193" s="38"/>
      <c r="I1193" s="39"/>
      <c r="J1193" s="38"/>
    </row>
    <row r="1194" spans="2:10" ht="12.75" customHeight="1" x14ac:dyDescent="0.2">
      <c r="B1194" s="37"/>
      <c r="C1194" s="37" t="str">
        <f>IF(D1194="","",MATCH(D1194,Parametros!$B$4:$B$15,0))</f>
        <v/>
      </c>
      <c r="D1194" s="38"/>
      <c r="E1194" s="38"/>
      <c r="F1194" s="38"/>
      <c r="G1194" s="38"/>
      <c r="H1194" s="38"/>
      <c r="I1194" s="39"/>
      <c r="J1194" s="38"/>
    </row>
    <row r="1195" spans="2:10" ht="12.75" customHeight="1" x14ac:dyDescent="0.2">
      <c r="B1195" s="37"/>
      <c r="C1195" s="37" t="str">
        <f>IF(D1195="","",MATCH(D1195,Parametros!$B$4:$B$15,0))</f>
        <v/>
      </c>
      <c r="D1195" s="38"/>
      <c r="E1195" s="38"/>
      <c r="F1195" s="38"/>
      <c r="G1195" s="38"/>
      <c r="H1195" s="38"/>
      <c r="I1195" s="39"/>
      <c r="J1195" s="38"/>
    </row>
    <row r="1196" spans="2:10" ht="12.75" customHeight="1" x14ac:dyDescent="0.2">
      <c r="B1196" s="37"/>
      <c r="C1196" s="37" t="str">
        <f>IF(D1196="","",MATCH(D1196,Parametros!$B$4:$B$15,0))</f>
        <v/>
      </c>
      <c r="D1196" s="38"/>
      <c r="E1196" s="38"/>
      <c r="F1196" s="38"/>
      <c r="G1196" s="38"/>
      <c r="H1196" s="38"/>
      <c r="I1196" s="39"/>
      <c r="J1196" s="38"/>
    </row>
    <row r="1197" spans="2:10" ht="12.75" customHeight="1" x14ac:dyDescent="0.2">
      <c r="B1197" s="37"/>
      <c r="C1197" s="37" t="str">
        <f>IF(D1197="","",MATCH(D1197,Parametros!$B$4:$B$15,0))</f>
        <v/>
      </c>
      <c r="D1197" s="38"/>
      <c r="E1197" s="38"/>
      <c r="F1197" s="38"/>
      <c r="G1197" s="38"/>
      <c r="H1197" s="38"/>
      <c r="I1197" s="39"/>
      <c r="J1197" s="38"/>
    </row>
    <row r="1198" spans="2:10" ht="12.75" customHeight="1" x14ac:dyDescent="0.2">
      <c r="B1198" s="37"/>
      <c r="C1198" s="37" t="str">
        <f>IF(D1198="","",MATCH(D1198,Parametros!$B$4:$B$15,0))</f>
        <v/>
      </c>
      <c r="D1198" s="38"/>
      <c r="E1198" s="38"/>
      <c r="F1198" s="38"/>
      <c r="G1198" s="38"/>
      <c r="H1198" s="38"/>
      <c r="I1198" s="39"/>
      <c r="J1198" s="38"/>
    </row>
    <row r="1199" spans="2:10" ht="12.75" customHeight="1" x14ac:dyDescent="0.2">
      <c r="B1199" s="37"/>
      <c r="C1199" s="37" t="str">
        <f>IF(D1199="","",MATCH(D1199,Parametros!$B$4:$B$15,0))</f>
        <v/>
      </c>
      <c r="D1199" s="38"/>
      <c r="E1199" s="38"/>
      <c r="F1199" s="38"/>
      <c r="G1199" s="38"/>
      <c r="H1199" s="38"/>
      <c r="I1199" s="39"/>
      <c r="J1199" s="38"/>
    </row>
    <row r="1200" spans="2:10" ht="12.75" customHeight="1" x14ac:dyDescent="0.2">
      <c r="B1200" s="37"/>
      <c r="C1200" s="37" t="str">
        <f>IF(D1200="","",MATCH(D1200,Parametros!$B$4:$B$15,0))</f>
        <v/>
      </c>
      <c r="D1200" s="38"/>
      <c r="E1200" s="38"/>
      <c r="F1200" s="38"/>
      <c r="G1200" s="38"/>
      <c r="H1200" s="38"/>
      <c r="I1200" s="39"/>
      <c r="J1200" s="38"/>
    </row>
    <row r="1201" spans="2:10" ht="12.75" customHeight="1" x14ac:dyDescent="0.2">
      <c r="B1201" s="37"/>
      <c r="C1201" s="37" t="str">
        <f>IF(D1201="","",MATCH(D1201,Parametros!$B$4:$B$15,0))</f>
        <v/>
      </c>
      <c r="D1201" s="38"/>
      <c r="E1201" s="38"/>
      <c r="F1201" s="38"/>
      <c r="G1201" s="38"/>
      <c r="H1201" s="38"/>
      <c r="I1201" s="39"/>
      <c r="J1201" s="38"/>
    </row>
    <row r="1202" spans="2:10" ht="12.75" customHeight="1" x14ac:dyDescent="0.2">
      <c r="B1202" s="37"/>
      <c r="C1202" s="37" t="str">
        <f>IF(D1202="","",MATCH(D1202,Parametros!$B$4:$B$15,0))</f>
        <v/>
      </c>
      <c r="D1202" s="38"/>
      <c r="E1202" s="38"/>
      <c r="F1202" s="38"/>
      <c r="G1202" s="38"/>
      <c r="H1202" s="38"/>
      <c r="I1202" s="39"/>
      <c r="J1202" s="38"/>
    </row>
    <row r="1203" spans="2:10" ht="12.75" customHeight="1" x14ac:dyDescent="0.2">
      <c r="B1203" s="37"/>
      <c r="C1203" s="37" t="str">
        <f>IF(D1203="","",MATCH(D1203,Parametros!$B$4:$B$15,0))</f>
        <v/>
      </c>
      <c r="D1203" s="38"/>
      <c r="E1203" s="38"/>
      <c r="F1203" s="38"/>
      <c r="G1203" s="38"/>
      <c r="H1203" s="38"/>
      <c r="I1203" s="39"/>
      <c r="J1203" s="38"/>
    </row>
    <row r="1204" spans="2:10" ht="12.75" customHeight="1" x14ac:dyDescent="0.2">
      <c r="B1204" s="37"/>
      <c r="C1204" s="37" t="str">
        <f>IF(D1204="","",MATCH(D1204,Parametros!$B$4:$B$15,0))</f>
        <v/>
      </c>
      <c r="D1204" s="38"/>
      <c r="E1204" s="38"/>
      <c r="F1204" s="38"/>
      <c r="G1204" s="38"/>
      <c r="H1204" s="38"/>
      <c r="I1204" s="39"/>
      <c r="J1204" s="38"/>
    </row>
    <row r="1205" spans="2:10" ht="12.75" customHeight="1" x14ac:dyDescent="0.2">
      <c r="B1205" s="37"/>
      <c r="C1205" s="37" t="str">
        <f>IF(D1205="","",MATCH(D1205,Parametros!$B$4:$B$15,0))</f>
        <v/>
      </c>
      <c r="D1205" s="38"/>
      <c r="E1205" s="38"/>
      <c r="F1205" s="38"/>
      <c r="G1205" s="38"/>
      <c r="H1205" s="38"/>
      <c r="I1205" s="39"/>
      <c r="J1205" s="38"/>
    </row>
    <row r="1206" spans="2:10" ht="12.75" customHeight="1" x14ac:dyDescent="0.2">
      <c r="B1206" s="37"/>
      <c r="C1206" s="37" t="str">
        <f>IF(D1206="","",MATCH(D1206,Parametros!$B$4:$B$15,0))</f>
        <v/>
      </c>
      <c r="D1206" s="38"/>
      <c r="E1206" s="38"/>
      <c r="F1206" s="38"/>
      <c r="G1206" s="38"/>
      <c r="H1206" s="38"/>
      <c r="I1206" s="39"/>
      <c r="J1206" s="38"/>
    </row>
    <row r="1207" spans="2:10" ht="12.75" customHeight="1" x14ac:dyDescent="0.2">
      <c r="B1207" s="37"/>
      <c r="C1207" s="37" t="str">
        <f>IF(D1207="","",MATCH(D1207,Parametros!$B$4:$B$15,0))</f>
        <v/>
      </c>
      <c r="D1207" s="38"/>
      <c r="E1207" s="38"/>
      <c r="F1207" s="38"/>
      <c r="G1207" s="38"/>
      <c r="H1207" s="38"/>
      <c r="I1207" s="39"/>
      <c r="J1207" s="38"/>
    </row>
    <row r="1208" spans="2:10" ht="12.75" customHeight="1" x14ac:dyDescent="0.2">
      <c r="B1208" s="37"/>
      <c r="C1208" s="37" t="str">
        <f>IF(D1208="","",MATCH(D1208,Parametros!$B$4:$B$15,0))</f>
        <v/>
      </c>
      <c r="D1208" s="38"/>
      <c r="E1208" s="38"/>
      <c r="F1208" s="38"/>
      <c r="G1208" s="38"/>
      <c r="H1208" s="38"/>
      <c r="I1208" s="39"/>
      <c r="J1208" s="38"/>
    </row>
    <row r="1209" spans="2:10" ht="12.75" customHeight="1" x14ac:dyDescent="0.2">
      <c r="B1209" s="37"/>
      <c r="C1209" s="37" t="str">
        <f>IF(D1209="","",MATCH(D1209,Parametros!$B$4:$B$15,0))</f>
        <v/>
      </c>
      <c r="D1209" s="38"/>
      <c r="E1209" s="38"/>
      <c r="F1209" s="38"/>
      <c r="G1209" s="38"/>
      <c r="H1209" s="38"/>
      <c r="I1209" s="39"/>
      <c r="J1209" s="38"/>
    </row>
    <row r="1210" spans="2:10" ht="12.75" customHeight="1" x14ac:dyDescent="0.2">
      <c r="B1210" s="37"/>
      <c r="C1210" s="37" t="str">
        <f>IF(D1210="","",MATCH(D1210,Parametros!$B$4:$B$15,0))</f>
        <v/>
      </c>
      <c r="D1210" s="38"/>
      <c r="E1210" s="38"/>
      <c r="F1210" s="38"/>
      <c r="G1210" s="38"/>
      <c r="H1210" s="38"/>
      <c r="I1210" s="39"/>
      <c r="J1210" s="38"/>
    </row>
    <row r="1211" spans="2:10" ht="12.75" customHeight="1" x14ac:dyDescent="0.2">
      <c r="B1211" s="37"/>
      <c r="C1211" s="37" t="str">
        <f>IF(D1211="","",MATCH(D1211,Parametros!$B$4:$B$15,0))</f>
        <v/>
      </c>
      <c r="D1211" s="38"/>
      <c r="E1211" s="38"/>
      <c r="F1211" s="38"/>
      <c r="G1211" s="38"/>
      <c r="H1211" s="38"/>
      <c r="I1211" s="39"/>
      <c r="J1211" s="38"/>
    </row>
    <row r="1212" spans="2:10" ht="12.75" customHeight="1" x14ac:dyDescent="0.2">
      <c r="B1212" s="37"/>
      <c r="C1212" s="37" t="str">
        <f>IF(D1212="","",MATCH(D1212,Parametros!$B$4:$B$15,0))</f>
        <v/>
      </c>
      <c r="D1212" s="38"/>
      <c r="E1212" s="38"/>
      <c r="F1212" s="38"/>
      <c r="G1212" s="38"/>
      <c r="H1212" s="38"/>
      <c r="I1212" s="39"/>
      <c r="J1212" s="38"/>
    </row>
    <row r="1213" spans="2:10" ht="12.75" customHeight="1" x14ac:dyDescent="0.2">
      <c r="B1213" s="37"/>
      <c r="C1213" s="37" t="str">
        <f>IF(D1213="","",MATCH(D1213,Parametros!$B$4:$B$15,0))</f>
        <v/>
      </c>
      <c r="D1213" s="38"/>
      <c r="E1213" s="38"/>
      <c r="F1213" s="38"/>
      <c r="G1213" s="38"/>
      <c r="H1213" s="38"/>
      <c r="I1213" s="39"/>
      <c r="J1213" s="38"/>
    </row>
    <row r="1214" spans="2:10" ht="12.75" customHeight="1" x14ac:dyDescent="0.2">
      <c r="B1214" s="37"/>
      <c r="C1214" s="37" t="str">
        <f>IF(D1214="","",MATCH(D1214,Parametros!$B$4:$B$15,0))</f>
        <v/>
      </c>
      <c r="D1214" s="38"/>
      <c r="E1214" s="38"/>
      <c r="F1214" s="38"/>
      <c r="G1214" s="38"/>
      <c r="H1214" s="38"/>
      <c r="I1214" s="39"/>
      <c r="J1214" s="38"/>
    </row>
    <row r="1215" spans="2:10" ht="12.75" customHeight="1" x14ac:dyDescent="0.2">
      <c r="B1215" s="37"/>
      <c r="C1215" s="37" t="str">
        <f>IF(D1215="","",MATCH(D1215,Parametros!$B$4:$B$15,0))</f>
        <v/>
      </c>
      <c r="D1215" s="38"/>
      <c r="E1215" s="38"/>
      <c r="F1215" s="38"/>
      <c r="G1215" s="38"/>
      <c r="H1215" s="38"/>
      <c r="I1215" s="39"/>
      <c r="J1215" s="38"/>
    </row>
    <row r="1216" spans="2:10" ht="12.75" customHeight="1" x14ac:dyDescent="0.2">
      <c r="B1216" s="37"/>
      <c r="C1216" s="37" t="str">
        <f>IF(D1216="","",MATCH(D1216,Parametros!$B$4:$B$15,0))</f>
        <v/>
      </c>
      <c r="D1216" s="38"/>
      <c r="E1216" s="38"/>
      <c r="F1216" s="38"/>
      <c r="G1216" s="38"/>
      <c r="H1216" s="38"/>
      <c r="I1216" s="39"/>
      <c r="J1216" s="38"/>
    </row>
    <row r="1217" spans="2:10" ht="12.75" customHeight="1" x14ac:dyDescent="0.2">
      <c r="B1217" s="37"/>
      <c r="C1217" s="37" t="str">
        <f>IF(D1217="","",MATCH(D1217,Parametros!$B$4:$B$15,0))</f>
        <v/>
      </c>
      <c r="D1217" s="38"/>
      <c r="E1217" s="38"/>
      <c r="F1217" s="38"/>
      <c r="G1217" s="38"/>
      <c r="H1217" s="38"/>
      <c r="I1217" s="39"/>
      <c r="J1217" s="38"/>
    </row>
    <row r="1218" spans="2:10" ht="12.75" customHeight="1" x14ac:dyDescent="0.2">
      <c r="B1218" s="37"/>
      <c r="C1218" s="37" t="str">
        <f>IF(D1218="","",MATCH(D1218,Parametros!$B$4:$B$15,0))</f>
        <v/>
      </c>
      <c r="D1218" s="38"/>
      <c r="E1218" s="38"/>
      <c r="F1218" s="38"/>
      <c r="G1218" s="38"/>
      <c r="H1218" s="38"/>
      <c r="I1218" s="39"/>
      <c r="J1218" s="38"/>
    </row>
    <row r="1219" spans="2:10" ht="12.75" customHeight="1" x14ac:dyDescent="0.2">
      <c r="B1219" s="37"/>
      <c r="C1219" s="37" t="str">
        <f>IF(D1219="","",MATCH(D1219,Parametros!$B$4:$B$15,0))</f>
        <v/>
      </c>
      <c r="D1219" s="38"/>
      <c r="E1219" s="38"/>
      <c r="F1219" s="38"/>
      <c r="G1219" s="38"/>
      <c r="H1219" s="38"/>
      <c r="I1219" s="39"/>
      <c r="J1219" s="38"/>
    </row>
    <row r="1220" spans="2:10" ht="12.75" customHeight="1" x14ac:dyDescent="0.2">
      <c r="B1220" s="37"/>
      <c r="C1220" s="37" t="str">
        <f>IF(D1220="","",MATCH(D1220,Parametros!$B$4:$B$15,0))</f>
        <v/>
      </c>
      <c r="D1220" s="38"/>
      <c r="E1220" s="38"/>
      <c r="F1220" s="38"/>
      <c r="G1220" s="38"/>
      <c r="H1220" s="38"/>
      <c r="I1220" s="39"/>
      <c r="J1220" s="38"/>
    </row>
    <row r="1221" spans="2:10" ht="12.75" customHeight="1" x14ac:dyDescent="0.2">
      <c r="B1221" s="37"/>
      <c r="C1221" s="37" t="str">
        <f>IF(D1221="","",MATCH(D1221,Parametros!$B$4:$B$15,0))</f>
        <v/>
      </c>
      <c r="D1221" s="38"/>
      <c r="E1221" s="38"/>
      <c r="F1221" s="38"/>
      <c r="G1221" s="38"/>
      <c r="H1221" s="38"/>
      <c r="I1221" s="39"/>
      <c r="J1221" s="38"/>
    </row>
    <row r="1222" spans="2:10" ht="12.75" customHeight="1" x14ac:dyDescent="0.2">
      <c r="B1222" s="37"/>
      <c r="C1222" s="37" t="str">
        <f>IF(D1222="","",MATCH(D1222,Parametros!$B$4:$B$15,0))</f>
        <v/>
      </c>
      <c r="D1222" s="38"/>
      <c r="E1222" s="38"/>
      <c r="F1222" s="38"/>
      <c r="G1222" s="38"/>
      <c r="H1222" s="38"/>
      <c r="I1222" s="39"/>
      <c r="J1222" s="38"/>
    </row>
    <row r="1223" spans="2:10" ht="12.75" customHeight="1" x14ac:dyDescent="0.2">
      <c r="B1223" s="37"/>
      <c r="C1223" s="37" t="str">
        <f>IF(D1223="","",MATCH(D1223,Parametros!$B$4:$B$15,0))</f>
        <v/>
      </c>
      <c r="D1223" s="38"/>
      <c r="E1223" s="38"/>
      <c r="F1223" s="38"/>
      <c r="G1223" s="38"/>
      <c r="H1223" s="38"/>
      <c r="I1223" s="39"/>
      <c r="J1223" s="38"/>
    </row>
    <row r="1224" spans="2:10" ht="12.75" customHeight="1" x14ac:dyDescent="0.2">
      <c r="B1224" s="37"/>
      <c r="C1224" s="37" t="str">
        <f>IF(D1224="","",MATCH(D1224,Parametros!$B$4:$B$15,0))</f>
        <v/>
      </c>
      <c r="D1224" s="38"/>
      <c r="E1224" s="38"/>
      <c r="F1224" s="38"/>
      <c r="G1224" s="38"/>
      <c r="H1224" s="38"/>
      <c r="I1224" s="39"/>
      <c r="J1224" s="38"/>
    </row>
    <row r="1225" spans="2:10" ht="12.75" customHeight="1" x14ac:dyDescent="0.2">
      <c r="B1225" s="37"/>
      <c r="C1225" s="37" t="str">
        <f>IF(D1225="","",MATCH(D1225,Parametros!$B$4:$B$15,0))</f>
        <v/>
      </c>
      <c r="D1225" s="38"/>
      <c r="E1225" s="38"/>
      <c r="F1225" s="38"/>
      <c r="G1225" s="38"/>
      <c r="H1225" s="38"/>
      <c r="I1225" s="39"/>
      <c r="J1225" s="38"/>
    </row>
    <row r="1226" spans="2:10" ht="12.75" customHeight="1" x14ac:dyDescent="0.2">
      <c r="B1226" s="37"/>
      <c r="C1226" s="37" t="str">
        <f>IF(D1226="","",MATCH(D1226,Parametros!$B$4:$B$15,0))</f>
        <v/>
      </c>
      <c r="D1226" s="38"/>
      <c r="E1226" s="38"/>
      <c r="F1226" s="38"/>
      <c r="G1226" s="38"/>
      <c r="H1226" s="38"/>
      <c r="I1226" s="39"/>
      <c r="J1226" s="38"/>
    </row>
    <row r="1227" spans="2:10" ht="12.75" customHeight="1" x14ac:dyDescent="0.2">
      <c r="B1227" s="37"/>
      <c r="C1227" s="37" t="str">
        <f>IF(D1227="","",MATCH(D1227,Parametros!$B$4:$B$15,0))</f>
        <v/>
      </c>
      <c r="D1227" s="38"/>
      <c r="E1227" s="38"/>
      <c r="F1227" s="38"/>
      <c r="G1227" s="38"/>
      <c r="H1227" s="38"/>
      <c r="I1227" s="39"/>
      <c r="J1227" s="38"/>
    </row>
    <row r="1228" spans="2:10" ht="12.75" customHeight="1" x14ac:dyDescent="0.2">
      <c r="B1228" s="37"/>
      <c r="C1228" s="37" t="str">
        <f>IF(D1228="","",MATCH(D1228,Parametros!$B$4:$B$15,0))</f>
        <v/>
      </c>
      <c r="D1228" s="38"/>
      <c r="E1228" s="38"/>
      <c r="F1228" s="38"/>
      <c r="G1228" s="38"/>
      <c r="H1228" s="38"/>
      <c r="I1228" s="39"/>
      <c r="J1228" s="38"/>
    </row>
    <row r="1229" spans="2:10" ht="12.75" customHeight="1" x14ac:dyDescent="0.2">
      <c r="B1229" s="37"/>
      <c r="C1229" s="37" t="str">
        <f>IF(D1229="","",MATCH(D1229,Parametros!$B$4:$B$15,0))</f>
        <v/>
      </c>
      <c r="D1229" s="38"/>
      <c r="E1229" s="38"/>
      <c r="F1229" s="38"/>
      <c r="G1229" s="38"/>
      <c r="H1229" s="38"/>
      <c r="I1229" s="39"/>
      <c r="J1229" s="38"/>
    </row>
    <row r="1230" spans="2:10" ht="12.75" customHeight="1" x14ac:dyDescent="0.2">
      <c r="B1230" s="37"/>
      <c r="C1230" s="37" t="str">
        <f>IF(D1230="","",MATCH(D1230,Parametros!$B$4:$B$15,0))</f>
        <v/>
      </c>
      <c r="D1230" s="38"/>
      <c r="E1230" s="38"/>
      <c r="F1230" s="38"/>
      <c r="G1230" s="38"/>
      <c r="H1230" s="38"/>
      <c r="I1230" s="39"/>
      <c r="J1230" s="38"/>
    </row>
    <row r="1231" spans="2:10" ht="12.75" customHeight="1" x14ac:dyDescent="0.2">
      <c r="B1231" s="37"/>
      <c r="C1231" s="37" t="str">
        <f>IF(D1231="","",MATCH(D1231,Parametros!$B$4:$B$15,0))</f>
        <v/>
      </c>
      <c r="D1231" s="38"/>
      <c r="E1231" s="38"/>
      <c r="F1231" s="38"/>
      <c r="G1231" s="38"/>
      <c r="H1231" s="38"/>
      <c r="I1231" s="39"/>
      <c r="J1231" s="38"/>
    </row>
    <row r="1232" spans="2:10" ht="12.75" customHeight="1" x14ac:dyDescent="0.2">
      <c r="B1232" s="37"/>
      <c r="C1232" s="37" t="str">
        <f>IF(D1232="","",MATCH(D1232,Parametros!$B$4:$B$15,0))</f>
        <v/>
      </c>
      <c r="D1232" s="38"/>
      <c r="E1232" s="38"/>
      <c r="F1232" s="38"/>
      <c r="G1232" s="38"/>
      <c r="H1232" s="38"/>
      <c r="I1232" s="39"/>
      <c r="J1232" s="38"/>
    </row>
    <row r="1233" spans="2:10" ht="12.75" customHeight="1" x14ac:dyDescent="0.2">
      <c r="B1233" s="37"/>
      <c r="C1233" s="37" t="str">
        <f>IF(D1233="","",MATCH(D1233,Parametros!$B$4:$B$15,0))</f>
        <v/>
      </c>
      <c r="D1233" s="38"/>
      <c r="E1233" s="38"/>
      <c r="F1233" s="38"/>
      <c r="G1233" s="38"/>
      <c r="H1233" s="38"/>
      <c r="I1233" s="39"/>
      <c r="J1233" s="38"/>
    </row>
    <row r="1234" spans="2:10" ht="12.75" customHeight="1" x14ac:dyDescent="0.2">
      <c r="B1234" s="37"/>
      <c r="C1234" s="37" t="str">
        <f>IF(D1234="","",MATCH(D1234,Parametros!$B$4:$B$15,0))</f>
        <v/>
      </c>
      <c r="D1234" s="38"/>
      <c r="E1234" s="38"/>
      <c r="F1234" s="38"/>
      <c r="G1234" s="38"/>
      <c r="H1234" s="38"/>
      <c r="I1234" s="39"/>
      <c r="J1234" s="38"/>
    </row>
    <row r="1235" spans="2:10" ht="12.75" customHeight="1" x14ac:dyDescent="0.2">
      <c r="B1235" s="37"/>
      <c r="C1235" s="37" t="str">
        <f>IF(D1235="","",MATCH(D1235,Parametros!$B$4:$B$15,0))</f>
        <v/>
      </c>
      <c r="D1235" s="38"/>
      <c r="E1235" s="38"/>
      <c r="F1235" s="38"/>
      <c r="G1235" s="38"/>
      <c r="H1235" s="38"/>
      <c r="I1235" s="39"/>
      <c r="J1235" s="38"/>
    </row>
    <row r="1236" spans="2:10" ht="12.75" customHeight="1" x14ac:dyDescent="0.2">
      <c r="B1236" s="37"/>
      <c r="C1236" s="37" t="str">
        <f>IF(D1236="","",MATCH(D1236,Parametros!$B$4:$B$15,0))</f>
        <v/>
      </c>
      <c r="D1236" s="38"/>
      <c r="E1236" s="38"/>
      <c r="F1236" s="38"/>
      <c r="G1236" s="38"/>
      <c r="H1236" s="38"/>
      <c r="I1236" s="39"/>
      <c r="J1236" s="38"/>
    </row>
    <row r="1237" spans="2:10" ht="12.75" customHeight="1" x14ac:dyDescent="0.2">
      <c r="B1237" s="37"/>
      <c r="C1237" s="37" t="str">
        <f>IF(D1237="","",MATCH(D1237,Parametros!$B$4:$B$15,0))</f>
        <v/>
      </c>
      <c r="D1237" s="38"/>
      <c r="E1237" s="38"/>
      <c r="F1237" s="38"/>
      <c r="G1237" s="38"/>
      <c r="H1237" s="38"/>
      <c r="I1237" s="39"/>
      <c r="J1237" s="38"/>
    </row>
    <row r="1238" spans="2:10" ht="12.75" customHeight="1" x14ac:dyDescent="0.2">
      <c r="B1238" s="37"/>
      <c r="C1238" s="37" t="str">
        <f>IF(D1238="","",MATCH(D1238,Parametros!$B$4:$B$15,0))</f>
        <v/>
      </c>
      <c r="D1238" s="38"/>
      <c r="E1238" s="38"/>
      <c r="F1238" s="38"/>
      <c r="G1238" s="38"/>
      <c r="H1238" s="38"/>
      <c r="I1238" s="39"/>
      <c r="J1238" s="38"/>
    </row>
    <row r="1239" spans="2:10" ht="12.75" customHeight="1" x14ac:dyDescent="0.2">
      <c r="B1239" s="37"/>
      <c r="C1239" s="37" t="str">
        <f>IF(D1239="","",MATCH(D1239,Parametros!$B$4:$B$15,0))</f>
        <v/>
      </c>
      <c r="D1239" s="38"/>
      <c r="E1239" s="38"/>
      <c r="F1239" s="38"/>
      <c r="G1239" s="38"/>
      <c r="H1239" s="38"/>
      <c r="I1239" s="39"/>
      <c r="J1239" s="38"/>
    </row>
    <row r="1240" spans="2:10" ht="12.75" customHeight="1" x14ac:dyDescent="0.2">
      <c r="B1240" s="37"/>
      <c r="C1240" s="37" t="str">
        <f>IF(D1240="","",MATCH(D1240,Parametros!$B$4:$B$15,0))</f>
        <v/>
      </c>
      <c r="D1240" s="38"/>
      <c r="E1240" s="38"/>
      <c r="F1240" s="38"/>
      <c r="G1240" s="38"/>
      <c r="H1240" s="38"/>
      <c r="I1240" s="39"/>
      <c r="J1240" s="38"/>
    </row>
    <row r="1241" spans="2:10" ht="12.75" customHeight="1" x14ac:dyDescent="0.2">
      <c r="B1241" s="37"/>
      <c r="C1241" s="37" t="str">
        <f>IF(D1241="","",MATCH(D1241,Parametros!$B$4:$B$15,0))</f>
        <v/>
      </c>
      <c r="D1241" s="38"/>
      <c r="E1241" s="38"/>
      <c r="F1241" s="38"/>
      <c r="G1241" s="38"/>
      <c r="H1241" s="38"/>
      <c r="I1241" s="39"/>
      <c r="J1241" s="38"/>
    </row>
    <row r="1242" spans="2:10" ht="12.75" customHeight="1" x14ac:dyDescent="0.2">
      <c r="B1242" s="37"/>
      <c r="C1242" s="37" t="str">
        <f>IF(D1242="","",MATCH(D1242,Parametros!$B$4:$B$15,0))</f>
        <v/>
      </c>
      <c r="D1242" s="38"/>
      <c r="E1242" s="38"/>
      <c r="F1242" s="38"/>
      <c r="G1242" s="38"/>
      <c r="H1242" s="38"/>
      <c r="I1242" s="39"/>
      <c r="J1242" s="38"/>
    </row>
    <row r="1243" spans="2:10" ht="12.75" customHeight="1" x14ac:dyDescent="0.2">
      <c r="B1243" s="37"/>
      <c r="C1243" s="37" t="str">
        <f>IF(D1243="","",MATCH(D1243,Parametros!$B$4:$B$15,0))</f>
        <v/>
      </c>
      <c r="D1243" s="38"/>
      <c r="E1243" s="38"/>
      <c r="F1243" s="38"/>
      <c r="G1243" s="38"/>
      <c r="H1243" s="38"/>
      <c r="I1243" s="39"/>
      <c r="J1243" s="38"/>
    </row>
    <row r="1244" spans="2:10" ht="12.75" customHeight="1" x14ac:dyDescent="0.2">
      <c r="B1244" s="37"/>
      <c r="C1244" s="37" t="str">
        <f>IF(D1244="","",MATCH(D1244,Parametros!$B$4:$B$15,0))</f>
        <v/>
      </c>
      <c r="D1244" s="38"/>
      <c r="E1244" s="38"/>
      <c r="F1244" s="38"/>
      <c r="G1244" s="38"/>
      <c r="H1244" s="38"/>
      <c r="I1244" s="39"/>
      <c r="J1244" s="38"/>
    </row>
    <row r="1245" spans="2:10" ht="12.75" customHeight="1" x14ac:dyDescent="0.2">
      <c r="B1245" s="37"/>
      <c r="C1245" s="37" t="str">
        <f>IF(D1245="","",MATCH(D1245,Parametros!$B$4:$B$15,0))</f>
        <v/>
      </c>
      <c r="D1245" s="38"/>
      <c r="E1245" s="38"/>
      <c r="F1245" s="38"/>
      <c r="G1245" s="38"/>
      <c r="H1245" s="38"/>
      <c r="I1245" s="39"/>
      <c r="J1245" s="38"/>
    </row>
    <row r="1246" spans="2:10" ht="12.75" customHeight="1" x14ac:dyDescent="0.2">
      <c r="B1246" s="37"/>
      <c r="C1246" s="37" t="str">
        <f>IF(D1246="","",MATCH(D1246,Parametros!$B$4:$B$15,0))</f>
        <v/>
      </c>
      <c r="D1246" s="38"/>
      <c r="E1246" s="38"/>
      <c r="F1246" s="38"/>
      <c r="G1246" s="38"/>
      <c r="H1246" s="38"/>
      <c r="I1246" s="39"/>
      <c r="J1246" s="38"/>
    </row>
    <row r="1247" spans="2:10" ht="12.75" customHeight="1" x14ac:dyDescent="0.2">
      <c r="B1247" s="37"/>
      <c r="C1247" s="37" t="str">
        <f>IF(D1247="","",MATCH(D1247,Parametros!$B$4:$B$15,0))</f>
        <v/>
      </c>
      <c r="D1247" s="38"/>
      <c r="E1247" s="38"/>
      <c r="F1247" s="38"/>
      <c r="G1247" s="38"/>
      <c r="H1247" s="38"/>
      <c r="I1247" s="39"/>
      <c r="J1247" s="38"/>
    </row>
    <row r="1248" spans="2:10" ht="12.75" customHeight="1" x14ac:dyDescent="0.2">
      <c r="B1248" s="37"/>
      <c r="C1248" s="37" t="str">
        <f>IF(D1248="","",MATCH(D1248,Parametros!$B$4:$B$15,0))</f>
        <v/>
      </c>
      <c r="D1248" s="38"/>
      <c r="E1248" s="38"/>
      <c r="F1248" s="38"/>
      <c r="G1248" s="38"/>
      <c r="H1248" s="38"/>
      <c r="I1248" s="39"/>
      <c r="J1248" s="38"/>
    </row>
    <row r="1249" spans="2:10" ht="12.75" customHeight="1" x14ac:dyDescent="0.2">
      <c r="B1249" s="37"/>
      <c r="C1249" s="37" t="str">
        <f>IF(D1249="","",MATCH(D1249,Parametros!$B$4:$B$15,0))</f>
        <v/>
      </c>
      <c r="D1249" s="38"/>
      <c r="E1249" s="38"/>
      <c r="F1249" s="38"/>
      <c r="G1249" s="38"/>
      <c r="H1249" s="38"/>
      <c r="I1249" s="39"/>
      <c r="J1249" s="38"/>
    </row>
    <row r="1250" spans="2:10" ht="12.75" customHeight="1" x14ac:dyDescent="0.2">
      <c r="B1250" s="37"/>
      <c r="C1250" s="37" t="str">
        <f>IF(D1250="","",MATCH(D1250,Parametros!$B$4:$B$15,0))</f>
        <v/>
      </c>
      <c r="D1250" s="38"/>
      <c r="E1250" s="38"/>
      <c r="F1250" s="38"/>
      <c r="G1250" s="38"/>
      <c r="H1250" s="38"/>
      <c r="I1250" s="39"/>
      <c r="J1250" s="38"/>
    </row>
    <row r="1251" spans="2:10" ht="12.75" customHeight="1" x14ac:dyDescent="0.2">
      <c r="B1251" s="37"/>
      <c r="C1251" s="37" t="str">
        <f>IF(D1251="","",MATCH(D1251,Parametros!$B$4:$B$15,0))</f>
        <v/>
      </c>
      <c r="D1251" s="38"/>
      <c r="E1251" s="38"/>
      <c r="F1251" s="38"/>
      <c r="G1251" s="38"/>
      <c r="H1251" s="38"/>
      <c r="I1251" s="39"/>
      <c r="J1251" s="38"/>
    </row>
    <row r="1252" spans="2:10" ht="12.75" customHeight="1" x14ac:dyDescent="0.2">
      <c r="B1252" s="37"/>
      <c r="C1252" s="37" t="str">
        <f>IF(D1252="","",MATCH(D1252,Parametros!$B$4:$B$15,0))</f>
        <v/>
      </c>
      <c r="D1252" s="38"/>
      <c r="E1252" s="38"/>
      <c r="F1252" s="38"/>
      <c r="G1252" s="38"/>
      <c r="H1252" s="38"/>
      <c r="I1252" s="39"/>
      <c r="J1252" s="38"/>
    </row>
    <row r="1253" spans="2:10" ht="12.75" customHeight="1" x14ac:dyDescent="0.2">
      <c r="B1253" s="37"/>
      <c r="C1253" s="37" t="str">
        <f>IF(D1253="","",MATCH(D1253,Parametros!$B$4:$B$15,0))</f>
        <v/>
      </c>
      <c r="D1253" s="38"/>
      <c r="E1253" s="38"/>
      <c r="F1253" s="38"/>
      <c r="G1253" s="38"/>
      <c r="H1253" s="38"/>
      <c r="I1253" s="39"/>
      <c r="J1253" s="38"/>
    </row>
    <row r="1254" spans="2:10" ht="12.75" customHeight="1" x14ac:dyDescent="0.2">
      <c r="B1254" s="37"/>
      <c r="C1254" s="37" t="str">
        <f>IF(D1254="","",MATCH(D1254,Parametros!$B$4:$B$15,0))</f>
        <v/>
      </c>
      <c r="D1254" s="38"/>
      <c r="E1254" s="38"/>
      <c r="F1254" s="38"/>
      <c r="G1254" s="38"/>
      <c r="H1254" s="38"/>
      <c r="I1254" s="39"/>
      <c r="J1254" s="38"/>
    </row>
    <row r="1255" spans="2:10" ht="12.75" customHeight="1" x14ac:dyDescent="0.2">
      <c r="B1255" s="37"/>
      <c r="C1255" s="37" t="str">
        <f>IF(D1255="","",MATCH(D1255,Parametros!$B$4:$B$15,0))</f>
        <v/>
      </c>
      <c r="D1255" s="38"/>
      <c r="E1255" s="38"/>
      <c r="F1255" s="38"/>
      <c r="G1255" s="38"/>
      <c r="H1255" s="38"/>
      <c r="I1255" s="39"/>
      <c r="J1255" s="38"/>
    </row>
    <row r="1256" spans="2:10" ht="12.75" customHeight="1" x14ac:dyDescent="0.2">
      <c r="B1256" s="37"/>
      <c r="C1256" s="37" t="str">
        <f>IF(D1256="","",MATCH(D1256,Parametros!$B$4:$B$15,0))</f>
        <v/>
      </c>
      <c r="D1256" s="38"/>
      <c r="E1256" s="38"/>
      <c r="F1256" s="38"/>
      <c r="G1256" s="38"/>
      <c r="H1256" s="38"/>
      <c r="I1256" s="39"/>
      <c r="J1256" s="38"/>
    </row>
    <row r="1257" spans="2:10" ht="12.75" customHeight="1" x14ac:dyDescent="0.2">
      <c r="B1257" s="37"/>
      <c r="C1257" s="37" t="str">
        <f>IF(D1257="","",MATCH(D1257,Parametros!$B$4:$B$15,0))</f>
        <v/>
      </c>
      <c r="D1257" s="38"/>
      <c r="E1257" s="38"/>
      <c r="F1257" s="38"/>
      <c r="G1257" s="38"/>
      <c r="H1257" s="38"/>
      <c r="I1257" s="39"/>
      <c r="J1257" s="38"/>
    </row>
    <row r="1258" spans="2:10" ht="12.75" customHeight="1" x14ac:dyDescent="0.2">
      <c r="B1258" s="37"/>
      <c r="C1258" s="37" t="str">
        <f>IF(D1258="","",MATCH(D1258,Parametros!$B$4:$B$15,0))</f>
        <v/>
      </c>
      <c r="D1258" s="38"/>
      <c r="E1258" s="38"/>
      <c r="F1258" s="38"/>
      <c r="G1258" s="38"/>
      <c r="H1258" s="38"/>
      <c r="I1258" s="39"/>
      <c r="J1258" s="38"/>
    </row>
    <row r="1259" spans="2:10" ht="12.75" customHeight="1" x14ac:dyDescent="0.2">
      <c r="B1259" s="37"/>
      <c r="C1259" s="37" t="str">
        <f>IF(D1259="","",MATCH(D1259,Parametros!$B$4:$B$15,0))</f>
        <v/>
      </c>
      <c r="D1259" s="38"/>
      <c r="E1259" s="38"/>
      <c r="F1259" s="38"/>
      <c r="G1259" s="38"/>
      <c r="H1259" s="38"/>
      <c r="I1259" s="39"/>
      <c r="J1259" s="38"/>
    </row>
    <row r="1260" spans="2:10" ht="12.75" customHeight="1" x14ac:dyDescent="0.2">
      <c r="B1260" s="37"/>
      <c r="C1260" s="37" t="str">
        <f>IF(D1260="","",MATCH(D1260,Parametros!$B$4:$B$15,0))</f>
        <v/>
      </c>
      <c r="D1260" s="38"/>
      <c r="E1260" s="38"/>
      <c r="F1260" s="38"/>
      <c r="G1260" s="38"/>
      <c r="H1260" s="38"/>
      <c r="I1260" s="39"/>
      <c r="J1260" s="38"/>
    </row>
    <row r="1261" spans="2:10" ht="12.75" customHeight="1" x14ac:dyDescent="0.2">
      <c r="B1261" s="37"/>
      <c r="C1261" s="37" t="str">
        <f>IF(D1261="","",MATCH(D1261,Parametros!$B$4:$B$15,0))</f>
        <v/>
      </c>
      <c r="D1261" s="38"/>
      <c r="E1261" s="38"/>
      <c r="F1261" s="38"/>
      <c r="G1261" s="38"/>
      <c r="H1261" s="38"/>
      <c r="I1261" s="39"/>
      <c r="J1261" s="38"/>
    </row>
    <row r="1262" spans="2:10" ht="12.75" customHeight="1" x14ac:dyDescent="0.2">
      <c r="B1262" s="37"/>
      <c r="C1262" s="37" t="str">
        <f>IF(D1262="","",MATCH(D1262,Parametros!$B$4:$B$15,0))</f>
        <v/>
      </c>
      <c r="D1262" s="38"/>
      <c r="E1262" s="38"/>
      <c r="F1262" s="38"/>
      <c r="G1262" s="38"/>
      <c r="H1262" s="38"/>
      <c r="I1262" s="39"/>
      <c r="J1262" s="38"/>
    </row>
    <row r="1263" spans="2:10" ht="12.75" customHeight="1" x14ac:dyDescent="0.2">
      <c r="B1263" s="37"/>
      <c r="C1263" s="37" t="str">
        <f>IF(D1263="","",MATCH(D1263,Parametros!$B$4:$B$15,0))</f>
        <v/>
      </c>
      <c r="D1263" s="38"/>
      <c r="E1263" s="38"/>
      <c r="F1263" s="38"/>
      <c r="G1263" s="38"/>
      <c r="H1263" s="38"/>
      <c r="I1263" s="39"/>
      <c r="J1263" s="38"/>
    </row>
    <row r="1264" spans="2:10" ht="12.75" customHeight="1" x14ac:dyDescent="0.2">
      <c r="B1264" s="37"/>
      <c r="C1264" s="37" t="str">
        <f>IF(D1264="","",MATCH(D1264,Parametros!$B$4:$B$15,0))</f>
        <v/>
      </c>
      <c r="D1264" s="38"/>
      <c r="E1264" s="38"/>
      <c r="F1264" s="38"/>
      <c r="G1264" s="38"/>
      <c r="H1264" s="38"/>
      <c r="I1264" s="39"/>
      <c r="J1264" s="38"/>
    </row>
    <row r="1265" spans="2:10" ht="12.75" customHeight="1" x14ac:dyDescent="0.2">
      <c r="B1265" s="37"/>
      <c r="C1265" s="37" t="str">
        <f>IF(D1265="","",MATCH(D1265,Parametros!$B$4:$B$15,0))</f>
        <v/>
      </c>
      <c r="D1265" s="38"/>
      <c r="E1265" s="38"/>
      <c r="F1265" s="38"/>
      <c r="G1265" s="38"/>
      <c r="H1265" s="38"/>
      <c r="I1265" s="39"/>
      <c r="J1265" s="38"/>
    </row>
    <row r="1266" spans="2:10" ht="12.75" customHeight="1" x14ac:dyDescent="0.2">
      <c r="B1266" s="37"/>
      <c r="C1266" s="37" t="str">
        <f>IF(D1266="","",MATCH(D1266,Parametros!$B$4:$B$15,0))</f>
        <v/>
      </c>
      <c r="D1266" s="38"/>
      <c r="E1266" s="38"/>
      <c r="F1266" s="38"/>
      <c r="G1266" s="38"/>
      <c r="H1266" s="38"/>
      <c r="I1266" s="39"/>
      <c r="J1266" s="38"/>
    </row>
    <row r="1267" spans="2:10" ht="12.75" customHeight="1" x14ac:dyDescent="0.2">
      <c r="B1267" s="37"/>
      <c r="C1267" s="37" t="str">
        <f>IF(D1267="","",MATCH(D1267,Parametros!$B$4:$B$15,0))</f>
        <v/>
      </c>
      <c r="D1267" s="38"/>
      <c r="E1267" s="38"/>
      <c r="F1267" s="38"/>
      <c r="G1267" s="38"/>
      <c r="H1267" s="38"/>
      <c r="I1267" s="39"/>
      <c r="J1267" s="38"/>
    </row>
    <row r="1268" spans="2:10" ht="12.75" customHeight="1" x14ac:dyDescent="0.2">
      <c r="B1268" s="37"/>
      <c r="C1268" s="37" t="str">
        <f>IF(D1268="","",MATCH(D1268,Parametros!$B$4:$B$15,0))</f>
        <v/>
      </c>
      <c r="D1268" s="38"/>
      <c r="E1268" s="38"/>
      <c r="F1268" s="38"/>
      <c r="G1268" s="38"/>
      <c r="H1268" s="38"/>
      <c r="I1268" s="39"/>
      <c r="J1268" s="38"/>
    </row>
    <row r="1269" spans="2:10" ht="12.75" customHeight="1" x14ac:dyDescent="0.2">
      <c r="B1269" s="37"/>
      <c r="C1269" s="37" t="str">
        <f>IF(D1269="","",MATCH(D1269,Parametros!$B$4:$B$15,0))</f>
        <v/>
      </c>
      <c r="D1269" s="38"/>
      <c r="E1269" s="38"/>
      <c r="F1269" s="38"/>
      <c r="G1269" s="38"/>
      <c r="H1269" s="38"/>
      <c r="I1269" s="39"/>
      <c r="J1269" s="38"/>
    </row>
    <row r="1270" spans="2:10" ht="12.75" customHeight="1" x14ac:dyDescent="0.2">
      <c r="B1270" s="37"/>
      <c r="C1270" s="37" t="str">
        <f>IF(D1270="","",MATCH(D1270,Parametros!$B$4:$B$15,0))</f>
        <v/>
      </c>
      <c r="D1270" s="38"/>
      <c r="E1270" s="38"/>
      <c r="F1270" s="38"/>
      <c r="G1270" s="38"/>
      <c r="H1270" s="38"/>
      <c r="I1270" s="39"/>
      <c r="J1270" s="38"/>
    </row>
    <row r="1271" spans="2:10" ht="12.75" customHeight="1" x14ac:dyDescent="0.2">
      <c r="B1271" s="37"/>
      <c r="C1271" s="37" t="str">
        <f>IF(D1271="","",MATCH(D1271,Parametros!$B$4:$B$15,0))</f>
        <v/>
      </c>
      <c r="D1271" s="38"/>
      <c r="E1271" s="38"/>
      <c r="F1271" s="38"/>
      <c r="G1271" s="38"/>
      <c r="H1271" s="38"/>
      <c r="I1271" s="39"/>
      <c r="J1271" s="38"/>
    </row>
    <row r="1272" spans="2:10" ht="12.75" customHeight="1" x14ac:dyDescent="0.2">
      <c r="B1272" s="37"/>
      <c r="C1272" s="37" t="str">
        <f>IF(D1272="","",MATCH(D1272,Parametros!$B$4:$B$15,0))</f>
        <v/>
      </c>
      <c r="D1272" s="38"/>
      <c r="E1272" s="38"/>
      <c r="F1272" s="38"/>
      <c r="G1272" s="38"/>
      <c r="H1272" s="38"/>
      <c r="I1272" s="39"/>
      <c r="J1272" s="38"/>
    </row>
    <row r="1273" spans="2:10" ht="12.75" customHeight="1" x14ac:dyDescent="0.2">
      <c r="B1273" s="37"/>
      <c r="C1273" s="37" t="str">
        <f>IF(D1273="","",MATCH(D1273,Parametros!$B$4:$B$15,0))</f>
        <v/>
      </c>
      <c r="D1273" s="38"/>
      <c r="E1273" s="38"/>
      <c r="F1273" s="38"/>
      <c r="G1273" s="38"/>
      <c r="H1273" s="38"/>
      <c r="I1273" s="39"/>
      <c r="J1273" s="38"/>
    </row>
    <row r="1274" spans="2:10" ht="12.75" customHeight="1" x14ac:dyDescent="0.2">
      <c r="B1274" s="37"/>
      <c r="C1274" s="37" t="str">
        <f>IF(D1274="","",MATCH(D1274,Parametros!$B$4:$B$15,0))</f>
        <v/>
      </c>
      <c r="D1274" s="38"/>
      <c r="E1274" s="38"/>
      <c r="F1274" s="38"/>
      <c r="G1274" s="38"/>
      <c r="H1274" s="38"/>
      <c r="I1274" s="39"/>
      <c r="J1274" s="38"/>
    </row>
    <row r="1275" spans="2:10" ht="12.75" customHeight="1" x14ac:dyDescent="0.2">
      <c r="B1275" s="37"/>
      <c r="C1275" s="37" t="str">
        <f>IF(D1275="","",MATCH(D1275,Parametros!$B$4:$B$15,0))</f>
        <v/>
      </c>
      <c r="D1275" s="38"/>
      <c r="E1275" s="38"/>
      <c r="F1275" s="38"/>
      <c r="G1275" s="38"/>
      <c r="H1275" s="38"/>
      <c r="I1275" s="39"/>
      <c r="J1275" s="38"/>
    </row>
    <row r="1276" spans="2:10" ht="12.75" customHeight="1" x14ac:dyDescent="0.2">
      <c r="B1276" s="37"/>
      <c r="C1276" s="37" t="str">
        <f>IF(D1276="","",MATCH(D1276,Parametros!$B$4:$B$15,0))</f>
        <v/>
      </c>
      <c r="D1276" s="38"/>
      <c r="E1276" s="38"/>
      <c r="F1276" s="38"/>
      <c r="G1276" s="38"/>
      <c r="H1276" s="38"/>
      <c r="I1276" s="39"/>
      <c r="J1276" s="38"/>
    </row>
    <row r="1277" spans="2:10" ht="12.75" customHeight="1" x14ac:dyDescent="0.2">
      <c r="B1277" s="37"/>
      <c r="C1277" s="37" t="str">
        <f>IF(D1277="","",MATCH(D1277,Parametros!$B$4:$B$15,0))</f>
        <v/>
      </c>
      <c r="D1277" s="38"/>
      <c r="E1277" s="38"/>
      <c r="F1277" s="38"/>
      <c r="G1277" s="38"/>
      <c r="H1277" s="38"/>
      <c r="I1277" s="39"/>
      <c r="J1277" s="38"/>
    </row>
    <row r="1278" spans="2:10" ht="12.75" customHeight="1" x14ac:dyDescent="0.2">
      <c r="B1278" s="37"/>
      <c r="C1278" s="37" t="str">
        <f>IF(D1278="","",MATCH(D1278,Parametros!$B$4:$B$15,0))</f>
        <v/>
      </c>
      <c r="D1278" s="38"/>
      <c r="E1278" s="38"/>
      <c r="F1278" s="38"/>
      <c r="G1278" s="38"/>
      <c r="H1278" s="38"/>
      <c r="I1278" s="39"/>
      <c r="J1278" s="38"/>
    </row>
    <row r="1279" spans="2:10" ht="12.75" customHeight="1" x14ac:dyDescent="0.2">
      <c r="B1279" s="37"/>
      <c r="C1279" s="37" t="str">
        <f>IF(D1279="","",MATCH(D1279,Parametros!$B$4:$B$15,0))</f>
        <v/>
      </c>
      <c r="D1279" s="38"/>
      <c r="E1279" s="38"/>
      <c r="F1279" s="38"/>
      <c r="G1279" s="38"/>
      <c r="H1279" s="38"/>
      <c r="I1279" s="39"/>
      <c r="J1279" s="38"/>
    </row>
    <row r="1280" spans="2:10" ht="12.75" customHeight="1" x14ac:dyDescent="0.2">
      <c r="B1280" s="37"/>
      <c r="C1280" s="37" t="str">
        <f>IF(D1280="","",MATCH(D1280,Parametros!$B$4:$B$15,0))</f>
        <v/>
      </c>
      <c r="D1280" s="38"/>
      <c r="E1280" s="38"/>
      <c r="F1280" s="38"/>
      <c r="G1280" s="38"/>
      <c r="H1280" s="38"/>
      <c r="I1280" s="39"/>
      <c r="J1280" s="38"/>
    </row>
    <row r="1281" spans="2:10" ht="12.75" customHeight="1" x14ac:dyDescent="0.2">
      <c r="B1281" s="37"/>
      <c r="C1281" s="37" t="str">
        <f>IF(D1281="","",MATCH(D1281,Parametros!$B$4:$B$15,0))</f>
        <v/>
      </c>
      <c r="D1281" s="38"/>
      <c r="E1281" s="38"/>
      <c r="F1281" s="38"/>
      <c r="G1281" s="38"/>
      <c r="H1281" s="38"/>
      <c r="I1281" s="39"/>
      <c r="J1281" s="38"/>
    </row>
    <row r="1282" spans="2:10" ht="12.75" customHeight="1" x14ac:dyDescent="0.2">
      <c r="B1282" s="37"/>
      <c r="C1282" s="37" t="str">
        <f>IF(D1282="","",MATCH(D1282,Parametros!$B$4:$B$15,0))</f>
        <v/>
      </c>
      <c r="D1282" s="38"/>
      <c r="E1282" s="38"/>
      <c r="F1282" s="38"/>
      <c r="G1282" s="38"/>
      <c r="H1282" s="38"/>
      <c r="I1282" s="39"/>
      <c r="J1282" s="38"/>
    </row>
    <row r="1283" spans="2:10" ht="12.75" customHeight="1" x14ac:dyDescent="0.2">
      <c r="B1283" s="37"/>
      <c r="C1283" s="37" t="str">
        <f>IF(D1283="","",MATCH(D1283,Parametros!$B$4:$B$15,0))</f>
        <v/>
      </c>
      <c r="D1283" s="38"/>
      <c r="E1283" s="38"/>
      <c r="F1283" s="38"/>
      <c r="G1283" s="38"/>
      <c r="H1283" s="38"/>
      <c r="I1283" s="39"/>
      <c r="J1283" s="38"/>
    </row>
    <row r="1284" spans="2:10" ht="12.75" customHeight="1" x14ac:dyDescent="0.2">
      <c r="B1284" s="37"/>
      <c r="C1284" s="37" t="str">
        <f>IF(D1284="","",MATCH(D1284,Parametros!$B$4:$B$15,0))</f>
        <v/>
      </c>
      <c r="D1284" s="38"/>
      <c r="E1284" s="38"/>
      <c r="F1284" s="38"/>
      <c r="G1284" s="38"/>
      <c r="H1284" s="38"/>
      <c r="I1284" s="39"/>
      <c r="J1284" s="38"/>
    </row>
    <row r="1285" spans="2:10" ht="12.75" customHeight="1" x14ac:dyDescent="0.2">
      <c r="B1285" s="37"/>
      <c r="C1285" s="37" t="str">
        <f>IF(D1285="","",MATCH(D1285,Parametros!$B$4:$B$15,0))</f>
        <v/>
      </c>
      <c r="D1285" s="38"/>
      <c r="E1285" s="38"/>
      <c r="F1285" s="38"/>
      <c r="G1285" s="38"/>
      <c r="H1285" s="38"/>
      <c r="I1285" s="39"/>
      <c r="J1285" s="38"/>
    </row>
    <row r="1286" spans="2:10" ht="12.75" customHeight="1" x14ac:dyDescent="0.2">
      <c r="B1286" s="37"/>
      <c r="C1286" s="37" t="str">
        <f>IF(D1286="","",MATCH(D1286,Parametros!$B$4:$B$15,0))</f>
        <v/>
      </c>
      <c r="D1286" s="38"/>
      <c r="E1286" s="38"/>
      <c r="F1286" s="38"/>
      <c r="G1286" s="38"/>
      <c r="H1286" s="38"/>
      <c r="I1286" s="39"/>
      <c r="J1286" s="38"/>
    </row>
    <row r="1287" spans="2:10" ht="12.75" customHeight="1" x14ac:dyDescent="0.2">
      <c r="B1287" s="37"/>
      <c r="C1287" s="37" t="str">
        <f>IF(D1287="","",MATCH(D1287,Parametros!$B$4:$B$15,0))</f>
        <v/>
      </c>
      <c r="D1287" s="38"/>
      <c r="E1287" s="38"/>
      <c r="F1287" s="38"/>
      <c r="G1287" s="38"/>
      <c r="H1287" s="38"/>
      <c r="I1287" s="39"/>
      <c r="J1287" s="38"/>
    </row>
    <row r="1288" spans="2:10" ht="12.75" customHeight="1" x14ac:dyDescent="0.2">
      <c r="B1288" s="37"/>
      <c r="C1288" s="37" t="str">
        <f>IF(D1288="","",MATCH(D1288,Parametros!$B$4:$B$15,0))</f>
        <v/>
      </c>
      <c r="D1288" s="38"/>
      <c r="E1288" s="38"/>
      <c r="F1288" s="38"/>
      <c r="G1288" s="38"/>
      <c r="H1288" s="38"/>
      <c r="I1288" s="39"/>
      <c r="J1288" s="38"/>
    </row>
    <row r="1289" spans="2:10" ht="12.75" customHeight="1" x14ac:dyDescent="0.2">
      <c r="B1289" s="37"/>
      <c r="C1289" s="37" t="str">
        <f>IF(D1289="","",MATCH(D1289,Parametros!$B$4:$B$15,0))</f>
        <v/>
      </c>
      <c r="D1289" s="38"/>
      <c r="E1289" s="38"/>
      <c r="F1289" s="38"/>
      <c r="G1289" s="38"/>
      <c r="H1289" s="38"/>
      <c r="I1289" s="39"/>
      <c r="J1289" s="38"/>
    </row>
    <row r="1290" spans="2:10" ht="12.75" customHeight="1" x14ac:dyDescent="0.2">
      <c r="B1290" s="37"/>
      <c r="C1290" s="37" t="str">
        <f>IF(D1290="","",MATCH(D1290,Parametros!$B$4:$B$15,0))</f>
        <v/>
      </c>
      <c r="D1290" s="38"/>
      <c r="E1290" s="38"/>
      <c r="F1290" s="38"/>
      <c r="G1290" s="38"/>
      <c r="H1290" s="38"/>
      <c r="I1290" s="39"/>
      <c r="J1290" s="38"/>
    </row>
    <row r="1291" spans="2:10" ht="12.75" customHeight="1" x14ac:dyDescent="0.2">
      <c r="B1291" s="37"/>
      <c r="C1291" s="37" t="str">
        <f>IF(D1291="","",MATCH(D1291,Parametros!$B$4:$B$15,0))</f>
        <v/>
      </c>
      <c r="D1291" s="38"/>
      <c r="E1291" s="38"/>
      <c r="F1291" s="38"/>
      <c r="G1291" s="38"/>
      <c r="H1291" s="38"/>
      <c r="I1291" s="39"/>
      <c r="J1291" s="38"/>
    </row>
    <row r="1292" spans="2:10" ht="12.75" customHeight="1" x14ac:dyDescent="0.2">
      <c r="B1292" s="37"/>
      <c r="C1292" s="37" t="str">
        <f>IF(D1292="","",MATCH(D1292,Parametros!$B$4:$B$15,0))</f>
        <v/>
      </c>
      <c r="D1292" s="38"/>
      <c r="E1292" s="38"/>
      <c r="F1292" s="38"/>
      <c r="G1292" s="38"/>
      <c r="H1292" s="38"/>
      <c r="I1292" s="39"/>
      <c r="J1292" s="38"/>
    </row>
    <row r="1293" spans="2:10" ht="12.75" customHeight="1" x14ac:dyDescent="0.2">
      <c r="B1293" s="37"/>
      <c r="C1293" s="37" t="str">
        <f>IF(D1293="","",MATCH(D1293,Parametros!$B$4:$B$15,0))</f>
        <v/>
      </c>
      <c r="D1293" s="38"/>
      <c r="E1293" s="38"/>
      <c r="F1293" s="38"/>
      <c r="G1293" s="38"/>
      <c r="H1293" s="38"/>
      <c r="I1293" s="39"/>
      <c r="J1293" s="38"/>
    </row>
    <row r="1294" spans="2:10" ht="12.75" customHeight="1" x14ac:dyDescent="0.2">
      <c r="B1294" s="37"/>
      <c r="C1294" s="37" t="str">
        <f>IF(D1294="","",MATCH(D1294,Parametros!$B$4:$B$15,0))</f>
        <v/>
      </c>
      <c r="D1294" s="38"/>
      <c r="E1294" s="38"/>
      <c r="F1294" s="38"/>
      <c r="G1294" s="38"/>
      <c r="H1294" s="38"/>
      <c r="I1294" s="39"/>
      <c r="J1294" s="38"/>
    </row>
    <row r="1295" spans="2:10" ht="12.75" customHeight="1" x14ac:dyDescent="0.2">
      <c r="B1295" s="37"/>
      <c r="C1295" s="37" t="str">
        <f>IF(D1295="","",MATCH(D1295,Parametros!$B$4:$B$15,0))</f>
        <v/>
      </c>
      <c r="D1295" s="38"/>
      <c r="E1295" s="38"/>
      <c r="F1295" s="38"/>
      <c r="G1295" s="38"/>
      <c r="H1295" s="38"/>
      <c r="I1295" s="39"/>
      <c r="J1295" s="38"/>
    </row>
    <row r="1296" spans="2:10" ht="12.75" customHeight="1" x14ac:dyDescent="0.2">
      <c r="B1296" s="37"/>
      <c r="C1296" s="37" t="str">
        <f>IF(D1296="","",MATCH(D1296,Parametros!$B$4:$B$15,0))</f>
        <v/>
      </c>
      <c r="D1296" s="38"/>
      <c r="E1296" s="38"/>
      <c r="F1296" s="38"/>
      <c r="G1296" s="38"/>
      <c r="H1296" s="38"/>
      <c r="I1296" s="39"/>
      <c r="J1296" s="38"/>
    </row>
    <row r="1297" spans="2:10" ht="12.75" customHeight="1" x14ac:dyDescent="0.2">
      <c r="B1297" s="37"/>
      <c r="C1297" s="37" t="str">
        <f>IF(D1297="","",MATCH(D1297,Parametros!$B$4:$B$15,0))</f>
        <v/>
      </c>
      <c r="D1297" s="38"/>
      <c r="E1297" s="38"/>
      <c r="F1297" s="38"/>
      <c r="G1297" s="38"/>
      <c r="H1297" s="38"/>
      <c r="I1297" s="39"/>
      <c r="J1297" s="38"/>
    </row>
    <row r="1298" spans="2:10" ht="12.75" customHeight="1" x14ac:dyDescent="0.2">
      <c r="B1298" s="37"/>
      <c r="C1298" s="37" t="str">
        <f>IF(D1298="","",MATCH(D1298,Parametros!$B$4:$B$15,0))</f>
        <v/>
      </c>
      <c r="D1298" s="38"/>
      <c r="E1298" s="38"/>
      <c r="F1298" s="38"/>
      <c r="G1298" s="38"/>
      <c r="H1298" s="38"/>
      <c r="I1298" s="39"/>
      <c r="J1298" s="38"/>
    </row>
    <row r="1299" spans="2:10" ht="12.75" customHeight="1" x14ac:dyDescent="0.2">
      <c r="B1299" s="37"/>
      <c r="C1299" s="37" t="str">
        <f>IF(D1299="","",MATCH(D1299,Parametros!$B$4:$B$15,0))</f>
        <v/>
      </c>
      <c r="D1299" s="38"/>
      <c r="E1299" s="38"/>
      <c r="F1299" s="38"/>
      <c r="G1299" s="38"/>
      <c r="H1299" s="38"/>
      <c r="I1299" s="39"/>
      <c r="J1299" s="38"/>
    </row>
    <row r="1300" spans="2:10" ht="12.75" customHeight="1" x14ac:dyDescent="0.2">
      <c r="B1300" s="37"/>
      <c r="C1300" s="37" t="str">
        <f>IF(D1300="","",MATCH(D1300,Parametros!$B$4:$B$15,0))</f>
        <v/>
      </c>
      <c r="D1300" s="38"/>
      <c r="E1300" s="38"/>
      <c r="F1300" s="38"/>
      <c r="G1300" s="38"/>
      <c r="H1300" s="38"/>
      <c r="I1300" s="39"/>
      <c r="J1300" s="38"/>
    </row>
    <row r="1301" spans="2:10" ht="12.75" customHeight="1" x14ac:dyDescent="0.2">
      <c r="B1301" s="37"/>
      <c r="C1301" s="37" t="str">
        <f>IF(D1301="","",MATCH(D1301,Parametros!$B$4:$B$15,0))</f>
        <v/>
      </c>
      <c r="D1301" s="38"/>
      <c r="E1301" s="38"/>
      <c r="F1301" s="38"/>
      <c r="G1301" s="38"/>
      <c r="H1301" s="38"/>
      <c r="I1301" s="39"/>
      <c r="J1301" s="38"/>
    </row>
    <row r="1302" spans="2:10" ht="12.75" customHeight="1" x14ac:dyDescent="0.2">
      <c r="B1302" s="37"/>
      <c r="C1302" s="37" t="str">
        <f>IF(D1302="","",MATCH(D1302,Parametros!$B$4:$B$15,0))</f>
        <v/>
      </c>
      <c r="D1302" s="38"/>
      <c r="E1302" s="38"/>
      <c r="F1302" s="38"/>
      <c r="G1302" s="38"/>
      <c r="H1302" s="38"/>
      <c r="I1302" s="39"/>
      <c r="J1302" s="38"/>
    </row>
    <row r="1303" spans="2:10" ht="12.75" customHeight="1" x14ac:dyDescent="0.2">
      <c r="B1303" s="37"/>
      <c r="C1303" s="37" t="str">
        <f>IF(D1303="","",MATCH(D1303,Parametros!$B$4:$B$15,0))</f>
        <v/>
      </c>
      <c r="D1303" s="38"/>
      <c r="E1303" s="38"/>
      <c r="F1303" s="38"/>
      <c r="G1303" s="38"/>
      <c r="H1303" s="38"/>
      <c r="I1303" s="39"/>
      <c r="J1303" s="38"/>
    </row>
    <row r="1304" spans="2:10" ht="12.75" customHeight="1" x14ac:dyDescent="0.2">
      <c r="B1304" s="37"/>
      <c r="C1304" s="37" t="str">
        <f>IF(D1304="","",MATCH(D1304,Parametros!$B$4:$B$15,0))</f>
        <v/>
      </c>
      <c r="D1304" s="38"/>
      <c r="E1304" s="38"/>
      <c r="F1304" s="38"/>
      <c r="G1304" s="38"/>
      <c r="H1304" s="38"/>
      <c r="I1304" s="39"/>
      <c r="J1304" s="38"/>
    </row>
    <row r="1305" spans="2:10" ht="12.75" customHeight="1" x14ac:dyDescent="0.2">
      <c r="B1305" s="37"/>
      <c r="C1305" s="37" t="str">
        <f>IF(D1305="","",MATCH(D1305,Parametros!$B$4:$B$15,0))</f>
        <v/>
      </c>
      <c r="D1305" s="38"/>
      <c r="E1305" s="38"/>
      <c r="F1305" s="38"/>
      <c r="G1305" s="38"/>
      <c r="H1305" s="38"/>
      <c r="I1305" s="39"/>
      <c r="J1305" s="38"/>
    </row>
    <row r="1306" spans="2:10" ht="12.75" customHeight="1" x14ac:dyDescent="0.2">
      <c r="B1306" s="37"/>
      <c r="C1306" s="37" t="str">
        <f>IF(D1306="","",MATCH(D1306,Parametros!$B$4:$B$15,0))</f>
        <v/>
      </c>
      <c r="D1306" s="38"/>
      <c r="E1306" s="38"/>
      <c r="F1306" s="38"/>
      <c r="G1306" s="38"/>
      <c r="H1306" s="38"/>
      <c r="I1306" s="39"/>
      <c r="J1306" s="38"/>
    </row>
    <row r="1307" spans="2:10" ht="12.75" customHeight="1" x14ac:dyDescent="0.2">
      <c r="B1307" s="37"/>
      <c r="C1307" s="37" t="str">
        <f>IF(D1307="","",MATCH(D1307,Parametros!$B$4:$B$15,0))</f>
        <v/>
      </c>
      <c r="D1307" s="38"/>
      <c r="E1307" s="38"/>
      <c r="F1307" s="38"/>
      <c r="G1307" s="38"/>
      <c r="H1307" s="38"/>
      <c r="I1307" s="39"/>
      <c r="J1307" s="38"/>
    </row>
    <row r="1308" spans="2:10" ht="12.75" customHeight="1" x14ac:dyDescent="0.2">
      <c r="B1308" s="37"/>
      <c r="C1308" s="37" t="str">
        <f>IF(D1308="","",MATCH(D1308,Parametros!$B$4:$B$15,0))</f>
        <v/>
      </c>
      <c r="D1308" s="38"/>
      <c r="E1308" s="38"/>
      <c r="F1308" s="38"/>
      <c r="G1308" s="38"/>
      <c r="H1308" s="38"/>
      <c r="I1308" s="39"/>
      <c r="J1308" s="38"/>
    </row>
    <row r="1309" spans="2:10" ht="12.75" customHeight="1" x14ac:dyDescent="0.2">
      <c r="B1309" s="37"/>
      <c r="C1309" s="37" t="str">
        <f>IF(D1309="","",MATCH(D1309,Parametros!$B$4:$B$15,0))</f>
        <v/>
      </c>
      <c r="D1309" s="38"/>
      <c r="E1309" s="38"/>
      <c r="F1309" s="38"/>
      <c r="G1309" s="38"/>
      <c r="H1309" s="38"/>
      <c r="I1309" s="39"/>
      <c r="J1309" s="38"/>
    </row>
    <row r="1310" spans="2:10" ht="12.75" customHeight="1" x14ac:dyDescent="0.2">
      <c r="B1310" s="37"/>
      <c r="C1310" s="37" t="str">
        <f>IF(D1310="","",MATCH(D1310,Parametros!$B$4:$B$15,0))</f>
        <v/>
      </c>
      <c r="D1310" s="38"/>
      <c r="E1310" s="38"/>
      <c r="F1310" s="38"/>
      <c r="G1310" s="38"/>
      <c r="H1310" s="38"/>
      <c r="I1310" s="39"/>
      <c r="J1310" s="38"/>
    </row>
    <row r="1311" spans="2:10" ht="12.75" customHeight="1" x14ac:dyDescent="0.2">
      <c r="B1311" s="37"/>
      <c r="C1311" s="37" t="str">
        <f>IF(D1311="","",MATCH(D1311,Parametros!$B$4:$B$15,0))</f>
        <v/>
      </c>
      <c r="D1311" s="38"/>
      <c r="E1311" s="38"/>
      <c r="F1311" s="38"/>
      <c r="G1311" s="38"/>
      <c r="H1311" s="38"/>
      <c r="I1311" s="39"/>
      <c r="J1311" s="38"/>
    </row>
    <row r="1312" spans="2:10" ht="12.75" customHeight="1" x14ac:dyDescent="0.2">
      <c r="B1312" s="37"/>
      <c r="C1312" s="37" t="str">
        <f>IF(D1312="","",MATCH(D1312,Parametros!$B$4:$B$15,0))</f>
        <v/>
      </c>
      <c r="D1312" s="38"/>
      <c r="E1312" s="38"/>
      <c r="F1312" s="38"/>
      <c r="G1312" s="38"/>
      <c r="H1312" s="38"/>
      <c r="I1312" s="39"/>
      <c r="J1312" s="38"/>
    </row>
    <row r="1313" spans="2:10" ht="12.75" customHeight="1" x14ac:dyDescent="0.2">
      <c r="B1313" s="37"/>
      <c r="C1313" s="37" t="str">
        <f>IF(D1313="","",MATCH(D1313,Parametros!$B$4:$B$15,0))</f>
        <v/>
      </c>
      <c r="D1313" s="38"/>
      <c r="E1313" s="38"/>
      <c r="F1313" s="38"/>
      <c r="G1313" s="38"/>
      <c r="H1313" s="38"/>
      <c r="I1313" s="39"/>
      <c r="J1313" s="38"/>
    </row>
    <row r="1314" spans="2:10" ht="12.75" customHeight="1" x14ac:dyDescent="0.2">
      <c r="B1314" s="37"/>
      <c r="C1314" s="37" t="str">
        <f>IF(D1314="","",MATCH(D1314,Parametros!$B$4:$B$15,0))</f>
        <v/>
      </c>
      <c r="D1314" s="38"/>
      <c r="E1314" s="38"/>
      <c r="F1314" s="38"/>
      <c r="G1314" s="38"/>
      <c r="H1314" s="38"/>
      <c r="I1314" s="39"/>
      <c r="J1314" s="38"/>
    </row>
    <row r="1315" spans="2:10" ht="12.75" customHeight="1" x14ac:dyDescent="0.2">
      <c r="B1315" s="37"/>
      <c r="C1315" s="37" t="str">
        <f>IF(D1315="","",MATCH(D1315,Parametros!$B$4:$B$15,0))</f>
        <v/>
      </c>
      <c r="D1315" s="38"/>
      <c r="E1315" s="38"/>
      <c r="F1315" s="38"/>
      <c r="G1315" s="38"/>
      <c r="H1315" s="38"/>
      <c r="I1315" s="39"/>
      <c r="J1315" s="38"/>
    </row>
    <row r="1316" spans="2:10" ht="12.75" customHeight="1" x14ac:dyDescent="0.2">
      <c r="B1316" s="37"/>
      <c r="C1316" s="37" t="str">
        <f>IF(D1316="","",MATCH(D1316,Parametros!$B$4:$B$15,0))</f>
        <v/>
      </c>
      <c r="D1316" s="38"/>
      <c r="E1316" s="38"/>
      <c r="F1316" s="38"/>
      <c r="G1316" s="38"/>
      <c r="H1316" s="38"/>
      <c r="I1316" s="39"/>
      <c r="J1316" s="38"/>
    </row>
    <row r="1317" spans="2:10" ht="12.75" customHeight="1" x14ac:dyDescent="0.2">
      <c r="B1317" s="37"/>
      <c r="C1317" s="37" t="str">
        <f>IF(D1317="","",MATCH(D1317,Parametros!$B$4:$B$15,0))</f>
        <v/>
      </c>
      <c r="D1317" s="38"/>
      <c r="E1317" s="38"/>
      <c r="F1317" s="38"/>
      <c r="G1317" s="38"/>
      <c r="H1317" s="38"/>
      <c r="I1317" s="39"/>
      <c r="J1317" s="38"/>
    </row>
    <row r="1318" spans="2:10" ht="12.75" customHeight="1" x14ac:dyDescent="0.2">
      <c r="B1318" s="37"/>
      <c r="C1318" s="37" t="str">
        <f>IF(D1318="","",MATCH(D1318,Parametros!$B$4:$B$15,0))</f>
        <v/>
      </c>
      <c r="D1318" s="38"/>
      <c r="E1318" s="38"/>
      <c r="F1318" s="38"/>
      <c r="G1318" s="38"/>
      <c r="H1318" s="38"/>
      <c r="I1318" s="39"/>
      <c r="J1318" s="38"/>
    </row>
    <row r="1319" spans="2:10" ht="12.75" customHeight="1" x14ac:dyDescent="0.2">
      <c r="B1319" s="37"/>
      <c r="C1319" s="37" t="str">
        <f>IF(D1319="","",MATCH(D1319,Parametros!$B$4:$B$15,0))</f>
        <v/>
      </c>
      <c r="D1319" s="38"/>
      <c r="E1319" s="38"/>
      <c r="F1319" s="38"/>
      <c r="G1319" s="38"/>
      <c r="H1319" s="38"/>
      <c r="I1319" s="39"/>
      <c r="J1319" s="38"/>
    </row>
    <row r="1320" spans="2:10" ht="12.75" customHeight="1" x14ac:dyDescent="0.2">
      <c r="B1320" s="37"/>
      <c r="C1320" s="37" t="str">
        <f>IF(D1320="","",MATCH(D1320,Parametros!$B$4:$B$15,0))</f>
        <v/>
      </c>
      <c r="D1320" s="38"/>
      <c r="E1320" s="38"/>
      <c r="F1320" s="38"/>
      <c r="G1320" s="38"/>
      <c r="H1320" s="38"/>
      <c r="I1320" s="39"/>
      <c r="J1320" s="38"/>
    </row>
    <row r="1321" spans="2:10" ht="12.75" customHeight="1" x14ac:dyDescent="0.2">
      <c r="B1321" s="37"/>
      <c r="C1321" s="37" t="str">
        <f>IF(D1321="","",MATCH(D1321,Parametros!$B$4:$B$15,0))</f>
        <v/>
      </c>
      <c r="D1321" s="38"/>
      <c r="E1321" s="38"/>
      <c r="F1321" s="38"/>
      <c r="G1321" s="38"/>
      <c r="H1321" s="38"/>
      <c r="I1321" s="39"/>
      <c r="J1321" s="38"/>
    </row>
    <row r="1322" spans="2:10" ht="12.75" customHeight="1" x14ac:dyDescent="0.2">
      <c r="B1322" s="37"/>
      <c r="C1322" s="37" t="str">
        <f>IF(D1322="","",MATCH(D1322,Parametros!$B$4:$B$15,0))</f>
        <v/>
      </c>
      <c r="D1322" s="38"/>
      <c r="E1322" s="38"/>
      <c r="F1322" s="38"/>
      <c r="G1322" s="38"/>
      <c r="H1322" s="38"/>
      <c r="I1322" s="39"/>
      <c r="J1322" s="38"/>
    </row>
    <row r="1323" spans="2:10" ht="12.75" customHeight="1" x14ac:dyDescent="0.2">
      <c r="B1323" s="37"/>
      <c r="C1323" s="37" t="str">
        <f>IF(D1323="","",MATCH(D1323,Parametros!$B$4:$B$15,0))</f>
        <v/>
      </c>
      <c r="D1323" s="38"/>
      <c r="E1323" s="38"/>
      <c r="F1323" s="38"/>
      <c r="G1323" s="38"/>
      <c r="H1323" s="38"/>
      <c r="I1323" s="39"/>
      <c r="J1323" s="38"/>
    </row>
    <row r="1324" spans="2:10" ht="12.75" customHeight="1" x14ac:dyDescent="0.2">
      <c r="B1324" s="37"/>
      <c r="C1324" s="37" t="str">
        <f>IF(D1324="","",MATCH(D1324,Parametros!$B$4:$B$15,0))</f>
        <v/>
      </c>
      <c r="D1324" s="38"/>
      <c r="E1324" s="38"/>
      <c r="F1324" s="38"/>
      <c r="G1324" s="38"/>
      <c r="H1324" s="38"/>
      <c r="I1324" s="39"/>
      <c r="J1324" s="38"/>
    </row>
    <row r="1325" spans="2:10" ht="12.75" customHeight="1" x14ac:dyDescent="0.2">
      <c r="B1325" s="37"/>
      <c r="C1325" s="37" t="str">
        <f>IF(D1325="","",MATCH(D1325,Parametros!$B$4:$B$15,0))</f>
        <v/>
      </c>
      <c r="D1325" s="38"/>
      <c r="E1325" s="38"/>
      <c r="F1325" s="38"/>
      <c r="G1325" s="38"/>
      <c r="H1325" s="38"/>
      <c r="I1325" s="39"/>
      <c r="J1325" s="38"/>
    </row>
    <row r="1326" spans="2:10" ht="12.75" customHeight="1" x14ac:dyDescent="0.2">
      <c r="B1326" s="37"/>
      <c r="C1326" s="37" t="str">
        <f>IF(D1326="","",MATCH(D1326,Parametros!$B$4:$B$15,0))</f>
        <v/>
      </c>
      <c r="D1326" s="38"/>
      <c r="E1326" s="38"/>
      <c r="F1326" s="38"/>
      <c r="G1326" s="38"/>
      <c r="H1326" s="38"/>
      <c r="I1326" s="39"/>
      <c r="J1326" s="38"/>
    </row>
    <row r="1327" spans="2:10" ht="12.75" customHeight="1" x14ac:dyDescent="0.2">
      <c r="B1327" s="37"/>
      <c r="C1327" s="37" t="str">
        <f>IF(D1327="","",MATCH(D1327,Parametros!$B$4:$B$15,0))</f>
        <v/>
      </c>
      <c r="D1327" s="38"/>
      <c r="E1327" s="38"/>
      <c r="F1327" s="38"/>
      <c r="G1327" s="38"/>
      <c r="H1327" s="38"/>
      <c r="I1327" s="39"/>
      <c r="J1327" s="38"/>
    </row>
    <row r="1328" spans="2:10" ht="12.75" customHeight="1" x14ac:dyDescent="0.2">
      <c r="B1328" s="37"/>
      <c r="C1328" s="37" t="str">
        <f>IF(D1328="","",MATCH(D1328,Parametros!$B$4:$B$15,0))</f>
        <v/>
      </c>
      <c r="D1328" s="38"/>
      <c r="E1328" s="38"/>
      <c r="F1328" s="38"/>
      <c r="G1328" s="38"/>
      <c r="H1328" s="38"/>
      <c r="I1328" s="39"/>
      <c r="J1328" s="38"/>
    </row>
    <row r="1329" spans="2:10" ht="12.75" customHeight="1" x14ac:dyDescent="0.2">
      <c r="B1329" s="37"/>
      <c r="C1329" s="37" t="str">
        <f>IF(D1329="","",MATCH(D1329,Parametros!$B$4:$B$15,0))</f>
        <v/>
      </c>
      <c r="D1329" s="38"/>
      <c r="E1329" s="38"/>
      <c r="F1329" s="38"/>
      <c r="G1329" s="38"/>
      <c r="H1329" s="38"/>
      <c r="I1329" s="39"/>
      <c r="J1329" s="38"/>
    </row>
    <row r="1330" spans="2:10" ht="12.75" customHeight="1" x14ac:dyDescent="0.2">
      <c r="B1330" s="37"/>
      <c r="C1330" s="37" t="str">
        <f>IF(D1330="","",MATCH(D1330,Parametros!$B$4:$B$15,0))</f>
        <v/>
      </c>
      <c r="D1330" s="38"/>
      <c r="E1330" s="38"/>
      <c r="F1330" s="38"/>
      <c r="G1330" s="38"/>
      <c r="H1330" s="38"/>
      <c r="I1330" s="39"/>
      <c r="J1330" s="38"/>
    </row>
    <row r="1331" spans="2:10" ht="12.75" customHeight="1" x14ac:dyDescent="0.2">
      <c r="B1331" s="37"/>
      <c r="C1331" s="37" t="str">
        <f>IF(D1331="","",MATCH(D1331,Parametros!$B$4:$B$15,0))</f>
        <v/>
      </c>
      <c r="D1331" s="38"/>
      <c r="E1331" s="38"/>
      <c r="F1331" s="38"/>
      <c r="G1331" s="38"/>
      <c r="H1331" s="38"/>
      <c r="I1331" s="39"/>
      <c r="J1331" s="38"/>
    </row>
    <row r="1332" spans="2:10" ht="12.75" customHeight="1" x14ac:dyDescent="0.2">
      <c r="B1332" s="37"/>
      <c r="C1332" s="37" t="str">
        <f>IF(D1332="","",MATCH(D1332,Parametros!$B$4:$B$15,0))</f>
        <v/>
      </c>
      <c r="D1332" s="38"/>
      <c r="E1332" s="38"/>
      <c r="F1332" s="38"/>
      <c r="G1332" s="38"/>
      <c r="H1332" s="38"/>
      <c r="I1332" s="39"/>
      <c r="J1332" s="38"/>
    </row>
    <row r="1333" spans="2:10" ht="12.75" customHeight="1" x14ac:dyDescent="0.2">
      <c r="B1333" s="37"/>
      <c r="C1333" s="37" t="str">
        <f>IF(D1333="","",MATCH(D1333,Parametros!$B$4:$B$15,0))</f>
        <v/>
      </c>
      <c r="D1333" s="38"/>
      <c r="E1333" s="38"/>
      <c r="F1333" s="38"/>
      <c r="G1333" s="38"/>
      <c r="H1333" s="38"/>
      <c r="I1333" s="39"/>
      <c r="J1333" s="38"/>
    </row>
    <row r="1334" spans="2:10" ht="12.75" customHeight="1" x14ac:dyDescent="0.2">
      <c r="B1334" s="37"/>
      <c r="C1334" s="37" t="str">
        <f>IF(D1334="","",MATCH(D1334,Parametros!$B$4:$B$15,0))</f>
        <v/>
      </c>
      <c r="D1334" s="38"/>
      <c r="E1334" s="38"/>
      <c r="F1334" s="38"/>
      <c r="G1334" s="38"/>
      <c r="H1334" s="38"/>
      <c r="I1334" s="39"/>
      <c r="J1334" s="38"/>
    </row>
    <row r="1335" spans="2:10" ht="12.75" customHeight="1" x14ac:dyDescent="0.2">
      <c r="B1335" s="37"/>
      <c r="C1335" s="37" t="str">
        <f>IF(D1335="","",MATCH(D1335,Parametros!$B$4:$B$15,0))</f>
        <v/>
      </c>
      <c r="D1335" s="38"/>
      <c r="E1335" s="38"/>
      <c r="F1335" s="38"/>
      <c r="G1335" s="38"/>
      <c r="H1335" s="38"/>
      <c r="I1335" s="39"/>
      <c r="J1335" s="38"/>
    </row>
    <row r="1336" spans="2:10" ht="12.75" customHeight="1" x14ac:dyDescent="0.2">
      <c r="B1336" s="37"/>
      <c r="C1336" s="37" t="str">
        <f>IF(D1336="","",MATCH(D1336,Parametros!$B$4:$B$15,0))</f>
        <v/>
      </c>
      <c r="D1336" s="38"/>
      <c r="E1336" s="38"/>
      <c r="F1336" s="38"/>
      <c r="G1336" s="38"/>
      <c r="H1336" s="38"/>
      <c r="I1336" s="39"/>
      <c r="J1336" s="38"/>
    </row>
    <row r="1337" spans="2:10" ht="12.75" customHeight="1" x14ac:dyDescent="0.2">
      <c r="B1337" s="37"/>
      <c r="C1337" s="37" t="str">
        <f>IF(D1337="","",MATCH(D1337,Parametros!$B$4:$B$15,0))</f>
        <v/>
      </c>
      <c r="D1337" s="38"/>
      <c r="E1337" s="38"/>
      <c r="F1337" s="38"/>
      <c r="G1337" s="38"/>
      <c r="H1337" s="38"/>
      <c r="I1337" s="39"/>
      <c r="J1337" s="38"/>
    </row>
    <row r="1338" spans="2:10" ht="12.75" customHeight="1" x14ac:dyDescent="0.2">
      <c r="B1338" s="37"/>
      <c r="C1338" s="37" t="str">
        <f>IF(D1338="","",MATCH(D1338,Parametros!$B$4:$B$15,0))</f>
        <v/>
      </c>
      <c r="D1338" s="38"/>
      <c r="E1338" s="38"/>
      <c r="F1338" s="38"/>
      <c r="G1338" s="38"/>
      <c r="H1338" s="38"/>
      <c r="I1338" s="39"/>
      <c r="J1338" s="38"/>
    </row>
    <row r="1339" spans="2:10" ht="12.75" customHeight="1" x14ac:dyDescent="0.2">
      <c r="B1339" s="37"/>
      <c r="C1339" s="37" t="str">
        <f>IF(D1339="","",MATCH(D1339,Parametros!$B$4:$B$15,0))</f>
        <v/>
      </c>
      <c r="D1339" s="38"/>
      <c r="E1339" s="38"/>
      <c r="F1339" s="38"/>
      <c r="G1339" s="38"/>
      <c r="H1339" s="38"/>
      <c r="I1339" s="39"/>
      <c r="J1339" s="38"/>
    </row>
    <row r="1340" spans="2:10" ht="12.75" customHeight="1" x14ac:dyDescent="0.2">
      <c r="B1340" s="37"/>
      <c r="C1340" s="37" t="str">
        <f>IF(D1340="","",MATCH(D1340,Parametros!$B$4:$B$15,0))</f>
        <v/>
      </c>
      <c r="D1340" s="38"/>
      <c r="E1340" s="38"/>
      <c r="F1340" s="38"/>
      <c r="G1340" s="38"/>
      <c r="H1340" s="38"/>
      <c r="I1340" s="39"/>
      <c r="J1340" s="38"/>
    </row>
    <row r="1341" spans="2:10" ht="12.75" customHeight="1" x14ac:dyDescent="0.2">
      <c r="B1341" s="37"/>
      <c r="C1341" s="37" t="str">
        <f>IF(D1341="","",MATCH(D1341,Parametros!$B$4:$B$15,0))</f>
        <v/>
      </c>
      <c r="D1341" s="38"/>
      <c r="E1341" s="38"/>
      <c r="F1341" s="38"/>
      <c r="G1341" s="38"/>
      <c r="H1341" s="38"/>
      <c r="I1341" s="39"/>
      <c r="J1341" s="38"/>
    </row>
    <row r="1342" spans="2:10" ht="12.75" customHeight="1" x14ac:dyDescent="0.2">
      <c r="B1342" s="37"/>
      <c r="C1342" s="37" t="str">
        <f>IF(D1342="","",MATCH(D1342,Parametros!$B$4:$B$15,0))</f>
        <v/>
      </c>
      <c r="D1342" s="38"/>
      <c r="E1342" s="38"/>
      <c r="F1342" s="38"/>
      <c r="G1342" s="38"/>
      <c r="H1342" s="38"/>
      <c r="I1342" s="39"/>
      <c r="J1342" s="38"/>
    </row>
    <row r="1343" spans="2:10" ht="12.75" customHeight="1" x14ac:dyDescent="0.2">
      <c r="B1343" s="37"/>
      <c r="C1343" s="37" t="str">
        <f>IF(D1343="","",MATCH(D1343,Parametros!$B$4:$B$15,0))</f>
        <v/>
      </c>
      <c r="D1343" s="38"/>
      <c r="E1343" s="38"/>
      <c r="F1343" s="38"/>
      <c r="G1343" s="38"/>
      <c r="H1343" s="38"/>
      <c r="I1343" s="39"/>
      <c r="J1343" s="38"/>
    </row>
    <row r="1344" spans="2:10" ht="12.75" customHeight="1" x14ac:dyDescent="0.2">
      <c r="B1344" s="37"/>
      <c r="C1344" s="37" t="str">
        <f>IF(D1344="","",MATCH(D1344,Parametros!$B$4:$B$15,0))</f>
        <v/>
      </c>
      <c r="D1344" s="38"/>
      <c r="E1344" s="38"/>
      <c r="F1344" s="38"/>
      <c r="G1344" s="38"/>
      <c r="H1344" s="38"/>
      <c r="I1344" s="39"/>
      <c r="J1344" s="38"/>
    </row>
    <row r="1345" spans="2:10" ht="12.75" customHeight="1" x14ac:dyDescent="0.2">
      <c r="B1345" s="37"/>
      <c r="C1345" s="37" t="str">
        <f>IF(D1345="","",MATCH(D1345,Parametros!$B$4:$B$15,0))</f>
        <v/>
      </c>
      <c r="D1345" s="38"/>
      <c r="E1345" s="38"/>
      <c r="F1345" s="38"/>
      <c r="G1345" s="38"/>
      <c r="H1345" s="38"/>
      <c r="I1345" s="39"/>
      <c r="J1345" s="38"/>
    </row>
    <row r="1346" spans="2:10" ht="12.75" customHeight="1" x14ac:dyDescent="0.2">
      <c r="B1346" s="37"/>
      <c r="C1346" s="37" t="str">
        <f>IF(D1346="","",MATCH(D1346,Parametros!$B$4:$B$15,0))</f>
        <v/>
      </c>
      <c r="D1346" s="38"/>
      <c r="E1346" s="38"/>
      <c r="F1346" s="38"/>
      <c r="G1346" s="38"/>
      <c r="H1346" s="38"/>
      <c r="I1346" s="39"/>
      <c r="J1346" s="38"/>
    </row>
    <row r="1347" spans="2:10" ht="12.75" customHeight="1" x14ac:dyDescent="0.2">
      <c r="B1347" s="37"/>
      <c r="C1347" s="37" t="str">
        <f>IF(D1347="","",MATCH(D1347,Parametros!$B$4:$B$15,0))</f>
        <v/>
      </c>
      <c r="D1347" s="38"/>
      <c r="E1347" s="38"/>
      <c r="F1347" s="38"/>
      <c r="G1347" s="38"/>
      <c r="H1347" s="38"/>
      <c r="I1347" s="39"/>
      <c r="J1347" s="38"/>
    </row>
    <row r="1348" spans="2:10" ht="12.75" customHeight="1" x14ac:dyDescent="0.2">
      <c r="B1348" s="37"/>
      <c r="C1348" s="37" t="str">
        <f>IF(D1348="","",MATCH(D1348,Parametros!$B$4:$B$15,0))</f>
        <v/>
      </c>
      <c r="D1348" s="38"/>
      <c r="E1348" s="38"/>
      <c r="F1348" s="38"/>
      <c r="G1348" s="38"/>
      <c r="H1348" s="38"/>
      <c r="I1348" s="39"/>
      <c r="J1348" s="38"/>
    </row>
    <row r="1349" spans="2:10" ht="12.75" customHeight="1" x14ac:dyDescent="0.2">
      <c r="B1349" s="37"/>
      <c r="C1349" s="37" t="str">
        <f>IF(D1349="","",MATCH(D1349,Parametros!$B$4:$B$15,0))</f>
        <v/>
      </c>
      <c r="D1349" s="38"/>
      <c r="E1349" s="38"/>
      <c r="F1349" s="38"/>
      <c r="G1349" s="38"/>
      <c r="H1349" s="38"/>
      <c r="I1349" s="39"/>
      <c r="J1349" s="38"/>
    </row>
    <row r="1350" spans="2:10" ht="12.75" customHeight="1" x14ac:dyDescent="0.2">
      <c r="B1350" s="37"/>
      <c r="C1350" s="37" t="str">
        <f>IF(D1350="","",MATCH(D1350,Parametros!$B$4:$B$15,0))</f>
        <v/>
      </c>
      <c r="D1350" s="38"/>
      <c r="E1350" s="38"/>
      <c r="F1350" s="38"/>
      <c r="G1350" s="38"/>
      <c r="H1350" s="38"/>
      <c r="I1350" s="39"/>
      <c r="J1350" s="38"/>
    </row>
    <row r="1351" spans="2:10" ht="12.75" customHeight="1" x14ac:dyDescent="0.2">
      <c r="B1351" s="37"/>
      <c r="C1351" s="37" t="str">
        <f>IF(D1351="","",MATCH(D1351,Parametros!$B$4:$B$15,0))</f>
        <v/>
      </c>
      <c r="D1351" s="38"/>
      <c r="E1351" s="38"/>
      <c r="F1351" s="38"/>
      <c r="G1351" s="38"/>
      <c r="H1351" s="38"/>
      <c r="I1351" s="39"/>
      <c r="J1351" s="38"/>
    </row>
    <row r="1352" spans="2:10" ht="12.75" customHeight="1" x14ac:dyDescent="0.2">
      <c r="B1352" s="37"/>
      <c r="C1352" s="37" t="str">
        <f>IF(D1352="","",MATCH(D1352,Parametros!$B$4:$B$15,0))</f>
        <v/>
      </c>
      <c r="D1352" s="38"/>
      <c r="E1352" s="38"/>
      <c r="F1352" s="38"/>
      <c r="G1352" s="38"/>
      <c r="H1352" s="38"/>
      <c r="I1352" s="39"/>
      <c r="J1352" s="38"/>
    </row>
    <row r="1353" spans="2:10" ht="12.75" customHeight="1" x14ac:dyDescent="0.2">
      <c r="B1353" s="37"/>
      <c r="C1353" s="37" t="str">
        <f>IF(D1353="","",MATCH(D1353,Parametros!$B$4:$B$15,0))</f>
        <v/>
      </c>
      <c r="D1353" s="38"/>
      <c r="E1353" s="38"/>
      <c r="F1353" s="38"/>
      <c r="G1353" s="38"/>
      <c r="H1353" s="38"/>
      <c r="I1353" s="39"/>
      <c r="J1353" s="38"/>
    </row>
    <row r="1354" spans="2:10" ht="12.75" customHeight="1" x14ac:dyDescent="0.2">
      <c r="B1354" s="37"/>
      <c r="C1354" s="37" t="str">
        <f>IF(D1354="","",MATCH(D1354,Parametros!$B$4:$B$15,0))</f>
        <v/>
      </c>
      <c r="D1354" s="38"/>
      <c r="E1354" s="38"/>
      <c r="F1354" s="38"/>
      <c r="G1354" s="38"/>
      <c r="H1354" s="38"/>
      <c r="I1354" s="39"/>
      <c r="J1354" s="38"/>
    </row>
    <row r="1355" spans="2:10" ht="12.75" customHeight="1" x14ac:dyDescent="0.2">
      <c r="B1355" s="37"/>
      <c r="C1355" s="37" t="str">
        <f>IF(D1355="","",MATCH(D1355,Parametros!$B$4:$B$15,0))</f>
        <v/>
      </c>
      <c r="D1355" s="38"/>
      <c r="E1355" s="38"/>
      <c r="F1355" s="38"/>
      <c r="G1355" s="38"/>
      <c r="H1355" s="38"/>
      <c r="I1355" s="39"/>
      <c r="J1355" s="38"/>
    </row>
    <row r="1356" spans="2:10" ht="12.75" customHeight="1" x14ac:dyDescent="0.2">
      <c r="B1356" s="37"/>
      <c r="C1356" s="37" t="str">
        <f>IF(D1356="","",MATCH(D1356,Parametros!$B$4:$B$15,0))</f>
        <v/>
      </c>
      <c r="D1356" s="38"/>
      <c r="E1356" s="38"/>
      <c r="F1356" s="38"/>
      <c r="G1356" s="38"/>
      <c r="H1356" s="38"/>
      <c r="I1356" s="39"/>
      <c r="J1356" s="38"/>
    </row>
    <row r="1357" spans="2:10" ht="12.75" customHeight="1" x14ac:dyDescent="0.2">
      <c r="B1357" s="37"/>
      <c r="C1357" s="37" t="str">
        <f>IF(D1357="","",MATCH(D1357,Parametros!$B$4:$B$15,0))</f>
        <v/>
      </c>
      <c r="D1357" s="38"/>
      <c r="E1357" s="38"/>
      <c r="F1357" s="38"/>
      <c r="G1357" s="38"/>
      <c r="H1357" s="38"/>
      <c r="I1357" s="39"/>
      <c r="J1357" s="38"/>
    </row>
    <row r="1358" spans="2:10" ht="12.75" customHeight="1" x14ac:dyDescent="0.2">
      <c r="B1358" s="37"/>
      <c r="C1358" s="37" t="str">
        <f>IF(D1358="","",MATCH(D1358,Parametros!$B$4:$B$15,0))</f>
        <v/>
      </c>
      <c r="D1358" s="38"/>
      <c r="E1358" s="38"/>
      <c r="F1358" s="38"/>
      <c r="G1358" s="38"/>
      <c r="H1358" s="38"/>
      <c r="I1358" s="39"/>
      <c r="J1358" s="38"/>
    </row>
    <row r="1359" spans="2:10" ht="12.75" customHeight="1" x14ac:dyDescent="0.2">
      <c r="B1359" s="37"/>
      <c r="C1359" s="37" t="str">
        <f>IF(D1359="","",MATCH(D1359,Parametros!$B$4:$B$15,0))</f>
        <v/>
      </c>
      <c r="D1359" s="38"/>
      <c r="E1359" s="38"/>
      <c r="F1359" s="38"/>
      <c r="G1359" s="38"/>
      <c r="H1359" s="38"/>
      <c r="I1359" s="39"/>
      <c r="J1359" s="38"/>
    </row>
    <row r="1360" spans="2:10" ht="12.75" customHeight="1" x14ac:dyDescent="0.2">
      <c r="B1360" s="37"/>
      <c r="C1360" s="37" t="str">
        <f>IF(D1360="","",MATCH(D1360,Parametros!$B$4:$B$15,0))</f>
        <v/>
      </c>
      <c r="D1360" s="38"/>
      <c r="E1360" s="38"/>
      <c r="F1360" s="38"/>
      <c r="G1360" s="38"/>
      <c r="H1360" s="38"/>
      <c r="I1360" s="39"/>
      <c r="J1360" s="38"/>
    </row>
    <row r="1361" spans="2:10" ht="12.75" customHeight="1" x14ac:dyDescent="0.2">
      <c r="B1361" s="37"/>
      <c r="C1361" s="37" t="str">
        <f>IF(D1361="","",MATCH(D1361,Parametros!$B$4:$B$15,0))</f>
        <v/>
      </c>
      <c r="D1361" s="38"/>
      <c r="E1361" s="38"/>
      <c r="F1361" s="38"/>
      <c r="G1361" s="38"/>
      <c r="H1361" s="38"/>
      <c r="I1361" s="39"/>
      <c r="J1361" s="38"/>
    </row>
    <row r="1362" spans="2:10" ht="12.75" customHeight="1" x14ac:dyDescent="0.2">
      <c r="B1362" s="37"/>
      <c r="C1362" s="37" t="str">
        <f>IF(D1362="","",MATCH(D1362,Parametros!$B$4:$B$15,0))</f>
        <v/>
      </c>
      <c r="D1362" s="38"/>
      <c r="E1362" s="38"/>
      <c r="F1362" s="38"/>
      <c r="G1362" s="38"/>
      <c r="H1362" s="38"/>
      <c r="I1362" s="39"/>
      <c r="J1362" s="38"/>
    </row>
    <row r="1363" spans="2:10" ht="12.75" customHeight="1" x14ac:dyDescent="0.2">
      <c r="B1363" s="37"/>
      <c r="C1363" s="37" t="str">
        <f>IF(D1363="","",MATCH(D1363,Parametros!$B$4:$B$15,0))</f>
        <v/>
      </c>
      <c r="D1363" s="38"/>
      <c r="E1363" s="38"/>
      <c r="F1363" s="38"/>
      <c r="G1363" s="38"/>
      <c r="H1363" s="38"/>
      <c r="I1363" s="39"/>
      <c r="J1363" s="38"/>
    </row>
    <row r="1364" spans="2:10" ht="12.75" customHeight="1" x14ac:dyDescent="0.2">
      <c r="B1364" s="37"/>
      <c r="C1364" s="37" t="str">
        <f>IF(D1364="","",MATCH(D1364,Parametros!$B$4:$B$15,0))</f>
        <v/>
      </c>
      <c r="D1364" s="38"/>
      <c r="E1364" s="38"/>
      <c r="F1364" s="38"/>
      <c r="G1364" s="38"/>
      <c r="H1364" s="38"/>
      <c r="I1364" s="39"/>
      <c r="J1364" s="38"/>
    </row>
    <row r="1365" spans="2:10" ht="12.75" customHeight="1" x14ac:dyDescent="0.2">
      <c r="B1365" s="37"/>
      <c r="C1365" s="37" t="str">
        <f>IF(D1365="","",MATCH(D1365,Parametros!$B$4:$B$15,0))</f>
        <v/>
      </c>
      <c r="D1365" s="38"/>
      <c r="E1365" s="38"/>
      <c r="F1365" s="38"/>
      <c r="G1365" s="38"/>
      <c r="H1365" s="38"/>
      <c r="I1365" s="39"/>
      <c r="J1365" s="38"/>
    </row>
    <row r="1366" spans="2:10" ht="12.75" customHeight="1" x14ac:dyDescent="0.2">
      <c r="B1366" s="37"/>
      <c r="C1366" s="37" t="str">
        <f>IF(D1366="","",MATCH(D1366,Parametros!$B$4:$B$15,0))</f>
        <v/>
      </c>
      <c r="D1366" s="38"/>
      <c r="E1366" s="38"/>
      <c r="F1366" s="38"/>
      <c r="G1366" s="38"/>
      <c r="H1366" s="38"/>
      <c r="I1366" s="39"/>
      <c r="J1366" s="38"/>
    </row>
    <row r="1367" spans="2:10" ht="12.75" customHeight="1" x14ac:dyDescent="0.2">
      <c r="B1367" s="37"/>
      <c r="C1367" s="37" t="str">
        <f>IF(D1367="","",MATCH(D1367,Parametros!$B$4:$B$15,0))</f>
        <v/>
      </c>
      <c r="D1367" s="38"/>
      <c r="E1367" s="38"/>
      <c r="F1367" s="38"/>
      <c r="G1367" s="38"/>
      <c r="H1367" s="38"/>
      <c r="I1367" s="39"/>
      <c r="J1367" s="38"/>
    </row>
    <row r="1368" spans="2:10" ht="12.75" customHeight="1" x14ac:dyDescent="0.2">
      <c r="B1368" s="37"/>
      <c r="C1368" s="37" t="str">
        <f>IF(D1368="","",MATCH(D1368,Parametros!$B$4:$B$15,0))</f>
        <v/>
      </c>
      <c r="D1368" s="38"/>
      <c r="E1368" s="38"/>
      <c r="F1368" s="38"/>
      <c r="G1368" s="38"/>
      <c r="H1368" s="38"/>
      <c r="I1368" s="39"/>
      <c r="J1368" s="38"/>
    </row>
    <row r="1369" spans="2:10" ht="12.75" customHeight="1" x14ac:dyDescent="0.2">
      <c r="B1369" s="37"/>
      <c r="C1369" s="37" t="str">
        <f>IF(D1369="","",MATCH(D1369,Parametros!$B$4:$B$15,0))</f>
        <v/>
      </c>
      <c r="D1369" s="38"/>
      <c r="E1369" s="38"/>
      <c r="F1369" s="38"/>
      <c r="G1369" s="38"/>
      <c r="H1369" s="38"/>
      <c r="I1369" s="39"/>
      <c r="J1369" s="38"/>
    </row>
    <row r="1370" spans="2:10" ht="12.75" customHeight="1" x14ac:dyDescent="0.2">
      <c r="B1370" s="37"/>
      <c r="C1370" s="37" t="str">
        <f>IF(D1370="","",MATCH(D1370,Parametros!$B$4:$B$15,0))</f>
        <v/>
      </c>
      <c r="D1370" s="38"/>
      <c r="E1370" s="38"/>
      <c r="F1370" s="38"/>
      <c r="G1370" s="38"/>
      <c r="H1370" s="38"/>
      <c r="I1370" s="39"/>
      <c r="J1370" s="38"/>
    </row>
    <row r="1371" spans="2:10" ht="12.75" customHeight="1" x14ac:dyDescent="0.2">
      <c r="B1371" s="37"/>
      <c r="C1371" s="37" t="str">
        <f>IF(D1371="","",MATCH(D1371,Parametros!$B$4:$B$15,0))</f>
        <v/>
      </c>
      <c r="D1371" s="38"/>
      <c r="E1371" s="38"/>
      <c r="F1371" s="38"/>
      <c r="G1371" s="38"/>
      <c r="H1371" s="38"/>
      <c r="I1371" s="39"/>
      <c r="J1371" s="38"/>
    </row>
    <row r="1372" spans="2:10" ht="12.75" customHeight="1" x14ac:dyDescent="0.2">
      <c r="B1372" s="37"/>
      <c r="C1372" s="37" t="str">
        <f>IF(D1372="","",MATCH(D1372,Parametros!$B$4:$B$15,0))</f>
        <v/>
      </c>
      <c r="D1372" s="38"/>
      <c r="E1372" s="38"/>
      <c r="F1372" s="38"/>
      <c r="G1372" s="38"/>
      <c r="H1372" s="38"/>
      <c r="I1372" s="39"/>
      <c r="J1372" s="38"/>
    </row>
    <row r="1373" spans="2:10" ht="12.75" customHeight="1" x14ac:dyDescent="0.2">
      <c r="B1373" s="37"/>
      <c r="C1373" s="37" t="str">
        <f>IF(D1373="","",MATCH(D1373,Parametros!$B$4:$B$15,0))</f>
        <v/>
      </c>
      <c r="D1373" s="38"/>
      <c r="E1373" s="38"/>
      <c r="F1373" s="38"/>
      <c r="G1373" s="38"/>
      <c r="H1373" s="38"/>
      <c r="I1373" s="39"/>
      <c r="J1373" s="38"/>
    </row>
    <row r="1374" spans="2:10" ht="12.75" customHeight="1" x14ac:dyDescent="0.2">
      <c r="B1374" s="37"/>
      <c r="C1374" s="37" t="str">
        <f>IF(D1374="","",MATCH(D1374,Parametros!$B$4:$B$15,0))</f>
        <v/>
      </c>
      <c r="D1374" s="38"/>
      <c r="E1374" s="38"/>
      <c r="F1374" s="38"/>
      <c r="G1374" s="38"/>
      <c r="H1374" s="38"/>
      <c r="I1374" s="39"/>
      <c r="J1374" s="38"/>
    </row>
    <row r="1375" spans="2:10" ht="12.75" customHeight="1" x14ac:dyDescent="0.2">
      <c r="B1375" s="37"/>
      <c r="C1375" s="37" t="str">
        <f>IF(D1375="","",MATCH(D1375,Parametros!$B$4:$B$15,0))</f>
        <v/>
      </c>
      <c r="D1375" s="38"/>
      <c r="E1375" s="38"/>
      <c r="F1375" s="38"/>
      <c r="G1375" s="38"/>
      <c r="H1375" s="38"/>
      <c r="I1375" s="39"/>
      <c r="J1375" s="38"/>
    </row>
    <row r="1376" spans="2:10" ht="12.75" customHeight="1" x14ac:dyDescent="0.2">
      <c r="B1376" s="37"/>
      <c r="C1376" s="37" t="str">
        <f>IF(D1376="","",MATCH(D1376,Parametros!$B$4:$B$15,0))</f>
        <v/>
      </c>
      <c r="D1376" s="38"/>
      <c r="E1376" s="38"/>
      <c r="F1376" s="38"/>
      <c r="G1376" s="38"/>
      <c r="H1376" s="38"/>
      <c r="I1376" s="39"/>
      <c r="J1376" s="38"/>
    </row>
    <row r="1377" spans="2:10" ht="12.75" customHeight="1" x14ac:dyDescent="0.2">
      <c r="B1377" s="37"/>
      <c r="C1377" s="37" t="str">
        <f>IF(D1377="","",MATCH(D1377,Parametros!$B$4:$B$15,0))</f>
        <v/>
      </c>
      <c r="D1377" s="38"/>
      <c r="E1377" s="38"/>
      <c r="F1377" s="38"/>
      <c r="G1377" s="38"/>
      <c r="H1377" s="38"/>
      <c r="I1377" s="39"/>
      <c r="J1377" s="38"/>
    </row>
    <row r="1378" spans="2:10" ht="12.75" customHeight="1" x14ac:dyDescent="0.2">
      <c r="B1378" s="37"/>
      <c r="C1378" s="37" t="str">
        <f>IF(D1378="","",MATCH(D1378,Parametros!$B$4:$B$15,0))</f>
        <v/>
      </c>
      <c r="D1378" s="38"/>
      <c r="E1378" s="38"/>
      <c r="F1378" s="38"/>
      <c r="G1378" s="38"/>
      <c r="H1378" s="38"/>
      <c r="I1378" s="39"/>
      <c r="J1378" s="38"/>
    </row>
    <row r="1379" spans="2:10" ht="12.75" customHeight="1" x14ac:dyDescent="0.2">
      <c r="B1379" s="37"/>
      <c r="C1379" s="37" t="str">
        <f>IF(D1379="","",MATCH(D1379,Parametros!$B$4:$B$15,0))</f>
        <v/>
      </c>
      <c r="D1379" s="38"/>
      <c r="E1379" s="38"/>
      <c r="F1379" s="38"/>
      <c r="G1379" s="38"/>
      <c r="H1379" s="38"/>
      <c r="I1379" s="39"/>
      <c r="J1379" s="38"/>
    </row>
    <row r="1380" spans="2:10" ht="12.75" customHeight="1" x14ac:dyDescent="0.2">
      <c r="B1380" s="37"/>
      <c r="C1380" s="37" t="str">
        <f>IF(D1380="","",MATCH(D1380,Parametros!$B$4:$B$15,0))</f>
        <v/>
      </c>
      <c r="D1380" s="38"/>
      <c r="E1380" s="38"/>
      <c r="F1380" s="38"/>
      <c r="G1380" s="38"/>
      <c r="H1380" s="38"/>
      <c r="I1380" s="39"/>
      <c r="J1380" s="38"/>
    </row>
    <row r="1381" spans="2:10" ht="12.75" customHeight="1" x14ac:dyDescent="0.2">
      <c r="B1381" s="37"/>
      <c r="C1381" s="37" t="str">
        <f>IF(D1381="","",MATCH(D1381,Parametros!$B$4:$B$15,0))</f>
        <v/>
      </c>
      <c r="D1381" s="38"/>
      <c r="E1381" s="38"/>
      <c r="F1381" s="38"/>
      <c r="G1381" s="38"/>
      <c r="H1381" s="38"/>
      <c r="I1381" s="39"/>
      <c r="J1381" s="38"/>
    </row>
    <row r="1382" spans="2:10" ht="12.75" customHeight="1" x14ac:dyDescent="0.2">
      <c r="B1382" s="37"/>
      <c r="C1382" s="37" t="str">
        <f>IF(D1382="","",MATCH(D1382,Parametros!$B$4:$B$15,0))</f>
        <v/>
      </c>
      <c r="D1382" s="38"/>
      <c r="E1382" s="38"/>
      <c r="F1382" s="38"/>
      <c r="G1382" s="38"/>
      <c r="H1382" s="38"/>
      <c r="I1382" s="39"/>
      <c r="J1382" s="38"/>
    </row>
    <row r="1383" spans="2:10" ht="12.75" customHeight="1" x14ac:dyDescent="0.2">
      <c r="B1383" s="37"/>
      <c r="C1383" s="37" t="str">
        <f>IF(D1383="","",MATCH(D1383,Parametros!$B$4:$B$15,0))</f>
        <v/>
      </c>
      <c r="D1383" s="38"/>
      <c r="E1383" s="38"/>
      <c r="F1383" s="38"/>
      <c r="G1383" s="38"/>
      <c r="H1383" s="38"/>
      <c r="I1383" s="39"/>
      <c r="J1383" s="38"/>
    </row>
    <row r="1384" spans="2:10" ht="12.75" customHeight="1" x14ac:dyDescent="0.2">
      <c r="B1384" s="37"/>
      <c r="C1384" s="37" t="str">
        <f>IF(D1384="","",MATCH(D1384,Parametros!$B$4:$B$15,0))</f>
        <v/>
      </c>
      <c r="D1384" s="38"/>
      <c r="E1384" s="38"/>
      <c r="F1384" s="38"/>
      <c r="G1384" s="38"/>
      <c r="H1384" s="38"/>
      <c r="I1384" s="39"/>
      <c r="J1384" s="38"/>
    </row>
    <row r="1385" spans="2:10" ht="12.75" customHeight="1" x14ac:dyDescent="0.2">
      <c r="B1385" s="37"/>
      <c r="C1385" s="37" t="str">
        <f>IF(D1385="","",MATCH(D1385,Parametros!$B$4:$B$15,0))</f>
        <v/>
      </c>
      <c r="D1385" s="38"/>
      <c r="E1385" s="38"/>
      <c r="F1385" s="38"/>
      <c r="G1385" s="38"/>
      <c r="H1385" s="38"/>
      <c r="I1385" s="39"/>
      <c r="J1385" s="38"/>
    </row>
    <row r="1386" spans="2:10" ht="12.75" customHeight="1" x14ac:dyDescent="0.2">
      <c r="B1386" s="37"/>
      <c r="C1386" s="37" t="str">
        <f>IF(D1386="","",MATCH(D1386,Parametros!$B$4:$B$15,0))</f>
        <v/>
      </c>
      <c r="D1386" s="38"/>
      <c r="E1386" s="38"/>
      <c r="F1386" s="38"/>
      <c r="G1386" s="38"/>
      <c r="H1386" s="38"/>
      <c r="I1386" s="39"/>
      <c r="J1386" s="38"/>
    </row>
    <row r="1387" spans="2:10" ht="12.75" customHeight="1" x14ac:dyDescent="0.2">
      <c r="B1387" s="37"/>
      <c r="C1387" s="37" t="str">
        <f>IF(D1387="","",MATCH(D1387,Parametros!$B$4:$B$15,0))</f>
        <v/>
      </c>
      <c r="D1387" s="38"/>
      <c r="E1387" s="38"/>
      <c r="F1387" s="38"/>
      <c r="G1387" s="38"/>
      <c r="H1387" s="38"/>
      <c r="I1387" s="39"/>
      <c r="J1387" s="38"/>
    </row>
    <row r="1388" spans="2:10" ht="12.75" customHeight="1" x14ac:dyDescent="0.2">
      <c r="B1388" s="37"/>
      <c r="C1388" s="37" t="str">
        <f>IF(D1388="","",MATCH(D1388,Parametros!$B$4:$B$15,0))</f>
        <v/>
      </c>
      <c r="D1388" s="38"/>
      <c r="E1388" s="38"/>
      <c r="F1388" s="38"/>
      <c r="G1388" s="38"/>
      <c r="H1388" s="38"/>
      <c r="I1388" s="39"/>
      <c r="J1388" s="38"/>
    </row>
    <row r="1389" spans="2:10" ht="12.75" customHeight="1" x14ac:dyDescent="0.2">
      <c r="B1389" s="37"/>
      <c r="C1389" s="37" t="str">
        <f>IF(D1389="","",MATCH(D1389,Parametros!$B$4:$B$15,0))</f>
        <v/>
      </c>
      <c r="D1389" s="38"/>
      <c r="E1389" s="38"/>
      <c r="F1389" s="38"/>
      <c r="G1389" s="38"/>
      <c r="H1389" s="38"/>
      <c r="I1389" s="39"/>
      <c r="J1389" s="38"/>
    </row>
    <row r="1390" spans="2:10" ht="12.75" customHeight="1" x14ac:dyDescent="0.2">
      <c r="B1390" s="37"/>
      <c r="C1390" s="37" t="str">
        <f>IF(D1390="","",MATCH(D1390,Parametros!$B$4:$B$15,0))</f>
        <v/>
      </c>
      <c r="D1390" s="38"/>
      <c r="E1390" s="38"/>
      <c r="F1390" s="38"/>
      <c r="G1390" s="38"/>
      <c r="H1390" s="38"/>
      <c r="I1390" s="39"/>
      <c r="J1390" s="38"/>
    </row>
    <row r="1391" spans="2:10" ht="12.75" customHeight="1" x14ac:dyDescent="0.2">
      <c r="B1391" s="37"/>
      <c r="C1391" s="37" t="str">
        <f>IF(D1391="","",MATCH(D1391,Parametros!$B$4:$B$15,0))</f>
        <v/>
      </c>
      <c r="D1391" s="38"/>
      <c r="E1391" s="38"/>
      <c r="F1391" s="38"/>
      <c r="G1391" s="38"/>
      <c r="H1391" s="38"/>
      <c r="I1391" s="39"/>
      <c r="J1391" s="38"/>
    </row>
    <row r="1392" spans="2:10" ht="12.75" customHeight="1" x14ac:dyDescent="0.2">
      <c r="B1392" s="37"/>
      <c r="C1392" s="37" t="str">
        <f>IF(D1392="","",MATCH(D1392,Parametros!$B$4:$B$15,0))</f>
        <v/>
      </c>
      <c r="D1392" s="38"/>
      <c r="E1392" s="38"/>
      <c r="F1392" s="38"/>
      <c r="G1392" s="38"/>
      <c r="H1392" s="38"/>
      <c r="I1392" s="39"/>
      <c r="J1392" s="38"/>
    </row>
    <row r="1393" spans="2:10" ht="12.75" customHeight="1" x14ac:dyDescent="0.2">
      <c r="B1393" s="37"/>
      <c r="C1393" s="37" t="str">
        <f>IF(D1393="","",MATCH(D1393,Parametros!$B$4:$B$15,0))</f>
        <v/>
      </c>
      <c r="D1393" s="38"/>
      <c r="E1393" s="38"/>
      <c r="F1393" s="38"/>
      <c r="G1393" s="38"/>
      <c r="H1393" s="38"/>
      <c r="I1393" s="39"/>
      <c r="J1393" s="38"/>
    </row>
    <row r="1394" spans="2:10" ht="12.75" customHeight="1" x14ac:dyDescent="0.2">
      <c r="B1394" s="37"/>
      <c r="C1394" s="37" t="str">
        <f>IF(D1394="","",MATCH(D1394,Parametros!$B$4:$B$15,0))</f>
        <v/>
      </c>
      <c r="D1394" s="38"/>
      <c r="E1394" s="38"/>
      <c r="F1394" s="38"/>
      <c r="G1394" s="38"/>
      <c r="H1394" s="38"/>
      <c r="I1394" s="39"/>
      <c r="J1394" s="38"/>
    </row>
    <row r="1395" spans="2:10" ht="12.75" customHeight="1" x14ac:dyDescent="0.2">
      <c r="B1395" s="37"/>
      <c r="C1395" s="37" t="str">
        <f>IF(D1395="","",MATCH(D1395,Parametros!$B$4:$B$15,0))</f>
        <v/>
      </c>
      <c r="D1395" s="38"/>
      <c r="E1395" s="38"/>
      <c r="F1395" s="38"/>
      <c r="G1395" s="38"/>
      <c r="H1395" s="38"/>
      <c r="I1395" s="39"/>
      <c r="J1395" s="38"/>
    </row>
    <row r="1396" spans="2:10" ht="12.75" customHeight="1" x14ac:dyDescent="0.2">
      <c r="B1396" s="37"/>
      <c r="C1396" s="37" t="str">
        <f>IF(D1396="","",MATCH(D1396,Parametros!$B$4:$B$15,0))</f>
        <v/>
      </c>
      <c r="D1396" s="38"/>
      <c r="E1396" s="38"/>
      <c r="F1396" s="38"/>
      <c r="G1396" s="38"/>
      <c r="H1396" s="38"/>
      <c r="I1396" s="39"/>
      <c r="J1396" s="38"/>
    </row>
    <row r="1397" spans="2:10" ht="12.75" customHeight="1" x14ac:dyDescent="0.2">
      <c r="B1397" s="37"/>
      <c r="C1397" s="37" t="str">
        <f>IF(D1397="","",MATCH(D1397,Parametros!$B$4:$B$15,0))</f>
        <v/>
      </c>
      <c r="D1397" s="38"/>
      <c r="E1397" s="38"/>
      <c r="F1397" s="38"/>
      <c r="G1397" s="38"/>
      <c r="H1397" s="38"/>
      <c r="I1397" s="39"/>
      <c r="J1397" s="38"/>
    </row>
    <row r="1398" spans="2:10" ht="12.75" customHeight="1" x14ac:dyDescent="0.2">
      <c r="B1398" s="37"/>
      <c r="C1398" s="37" t="str">
        <f>IF(D1398="","",MATCH(D1398,Parametros!$B$4:$B$15,0))</f>
        <v/>
      </c>
      <c r="D1398" s="38"/>
      <c r="E1398" s="38"/>
      <c r="F1398" s="38"/>
      <c r="G1398" s="38"/>
      <c r="H1398" s="38"/>
      <c r="I1398" s="39"/>
      <c r="J1398" s="38"/>
    </row>
    <row r="1399" spans="2:10" ht="12.75" customHeight="1" x14ac:dyDescent="0.2">
      <c r="B1399" s="37"/>
      <c r="C1399" s="37" t="str">
        <f>IF(D1399="","",MATCH(D1399,Parametros!$B$4:$B$15,0))</f>
        <v/>
      </c>
      <c r="D1399" s="38"/>
      <c r="E1399" s="38"/>
      <c r="F1399" s="38"/>
      <c r="G1399" s="38"/>
      <c r="H1399" s="38"/>
      <c r="I1399" s="39"/>
      <c r="J1399" s="38"/>
    </row>
    <row r="1400" spans="2:10" ht="12.75" customHeight="1" x14ac:dyDescent="0.2">
      <c r="B1400" s="37"/>
      <c r="C1400" s="37" t="str">
        <f>IF(D1400="","",MATCH(D1400,Parametros!$B$4:$B$15,0))</f>
        <v/>
      </c>
      <c r="D1400" s="38"/>
      <c r="E1400" s="38"/>
      <c r="F1400" s="38"/>
      <c r="G1400" s="38"/>
      <c r="H1400" s="38"/>
      <c r="I1400" s="39"/>
      <c r="J1400" s="38"/>
    </row>
    <row r="1401" spans="2:10" ht="12.75" customHeight="1" x14ac:dyDescent="0.2">
      <c r="B1401" s="37"/>
      <c r="C1401" s="37" t="str">
        <f>IF(D1401="","",MATCH(D1401,Parametros!$B$4:$B$15,0))</f>
        <v/>
      </c>
      <c r="D1401" s="38"/>
      <c r="E1401" s="38"/>
      <c r="F1401" s="38"/>
      <c r="G1401" s="38"/>
      <c r="H1401" s="38"/>
      <c r="I1401" s="39"/>
      <c r="J1401" s="38"/>
    </row>
    <row r="1402" spans="2:10" ht="12.75" customHeight="1" x14ac:dyDescent="0.2">
      <c r="B1402" s="37"/>
      <c r="C1402" s="37" t="str">
        <f>IF(D1402="","",MATCH(D1402,Parametros!$B$4:$B$15,0))</f>
        <v/>
      </c>
      <c r="D1402" s="38"/>
      <c r="E1402" s="38"/>
      <c r="F1402" s="38"/>
      <c r="G1402" s="38"/>
      <c r="H1402" s="38"/>
      <c r="I1402" s="39"/>
      <c r="J1402" s="38"/>
    </row>
    <row r="1403" spans="2:10" ht="12.75" customHeight="1" x14ac:dyDescent="0.2">
      <c r="B1403" s="37"/>
      <c r="C1403" s="37" t="str">
        <f>IF(D1403="","",MATCH(D1403,Parametros!$B$4:$B$15,0))</f>
        <v/>
      </c>
      <c r="D1403" s="38"/>
      <c r="E1403" s="38"/>
      <c r="F1403" s="38"/>
      <c r="G1403" s="38"/>
      <c r="H1403" s="38"/>
      <c r="I1403" s="39"/>
      <c r="J1403" s="38"/>
    </row>
    <row r="1404" spans="2:10" ht="12.75" customHeight="1" x14ac:dyDescent="0.2">
      <c r="B1404" s="37"/>
      <c r="C1404" s="37" t="str">
        <f>IF(D1404="","",MATCH(D1404,Parametros!$B$4:$B$15,0))</f>
        <v/>
      </c>
      <c r="D1404" s="38"/>
      <c r="E1404" s="38"/>
      <c r="F1404" s="38"/>
      <c r="G1404" s="38"/>
      <c r="H1404" s="38"/>
      <c r="I1404" s="39"/>
      <c r="J1404" s="38"/>
    </row>
    <row r="1405" spans="2:10" ht="12.75" customHeight="1" x14ac:dyDescent="0.2">
      <c r="B1405" s="37"/>
      <c r="C1405" s="37" t="str">
        <f>IF(D1405="","",MATCH(D1405,Parametros!$B$4:$B$15,0))</f>
        <v/>
      </c>
      <c r="D1405" s="38"/>
      <c r="E1405" s="38"/>
      <c r="F1405" s="38"/>
      <c r="G1405" s="38"/>
      <c r="H1405" s="38"/>
      <c r="I1405" s="39"/>
      <c r="J1405" s="38"/>
    </row>
    <row r="1406" spans="2:10" ht="12.75" customHeight="1" x14ac:dyDescent="0.2">
      <c r="B1406" s="37"/>
      <c r="C1406" s="37" t="str">
        <f>IF(D1406="","",MATCH(D1406,Parametros!$B$4:$B$15,0))</f>
        <v/>
      </c>
      <c r="D1406" s="38"/>
      <c r="E1406" s="38"/>
      <c r="F1406" s="38"/>
      <c r="G1406" s="38"/>
      <c r="H1406" s="38"/>
      <c r="I1406" s="39"/>
      <c r="J1406" s="38"/>
    </row>
    <row r="1407" spans="2:10" ht="12.75" customHeight="1" x14ac:dyDescent="0.2">
      <c r="B1407" s="37"/>
      <c r="C1407" s="37" t="str">
        <f>IF(D1407="","",MATCH(D1407,Parametros!$B$4:$B$15,0))</f>
        <v/>
      </c>
      <c r="D1407" s="38"/>
      <c r="E1407" s="38"/>
      <c r="F1407" s="38"/>
      <c r="G1407" s="38"/>
      <c r="H1407" s="38"/>
      <c r="I1407" s="39"/>
      <c r="J1407" s="38"/>
    </row>
    <row r="1408" spans="2:10" ht="12.75" customHeight="1" x14ac:dyDescent="0.2">
      <c r="B1408" s="37"/>
      <c r="C1408" s="37" t="str">
        <f>IF(D1408="","",MATCH(D1408,Parametros!$B$4:$B$15,0))</f>
        <v/>
      </c>
      <c r="D1408" s="38"/>
      <c r="E1408" s="38"/>
      <c r="F1408" s="38"/>
      <c r="G1408" s="38"/>
      <c r="H1408" s="38"/>
      <c r="I1408" s="39"/>
      <c r="J1408" s="38"/>
    </row>
    <row r="1409" spans="2:10" ht="12.75" customHeight="1" x14ac:dyDescent="0.2">
      <c r="B1409" s="37"/>
      <c r="C1409" s="37" t="str">
        <f>IF(D1409="","",MATCH(D1409,Parametros!$B$4:$B$15,0))</f>
        <v/>
      </c>
      <c r="D1409" s="38"/>
      <c r="E1409" s="38"/>
      <c r="F1409" s="38"/>
      <c r="G1409" s="38"/>
      <c r="H1409" s="38"/>
      <c r="I1409" s="39"/>
      <c r="J1409" s="38"/>
    </row>
    <row r="1410" spans="2:10" ht="12.75" customHeight="1" x14ac:dyDescent="0.2">
      <c r="B1410" s="37"/>
      <c r="C1410" s="37" t="str">
        <f>IF(D1410="","",MATCH(D1410,Parametros!$B$4:$B$15,0))</f>
        <v/>
      </c>
      <c r="D1410" s="38"/>
      <c r="E1410" s="38"/>
      <c r="F1410" s="38"/>
      <c r="G1410" s="38"/>
      <c r="H1410" s="38"/>
      <c r="I1410" s="39"/>
      <c r="J1410" s="38"/>
    </row>
    <row r="1411" spans="2:10" ht="12.75" customHeight="1" x14ac:dyDescent="0.2">
      <c r="B1411" s="37"/>
      <c r="C1411" s="37" t="str">
        <f>IF(D1411="","",MATCH(D1411,Parametros!$B$4:$B$15,0))</f>
        <v/>
      </c>
      <c r="D1411" s="38"/>
      <c r="E1411" s="38"/>
      <c r="F1411" s="38"/>
      <c r="G1411" s="38"/>
      <c r="H1411" s="38"/>
      <c r="I1411" s="39"/>
      <c r="J1411" s="38"/>
    </row>
    <row r="1412" spans="2:10" ht="12.75" customHeight="1" x14ac:dyDescent="0.2">
      <c r="B1412" s="37"/>
      <c r="C1412" s="37" t="str">
        <f>IF(D1412="","",MATCH(D1412,Parametros!$B$4:$B$15,0))</f>
        <v/>
      </c>
      <c r="D1412" s="38"/>
      <c r="E1412" s="38"/>
      <c r="F1412" s="38"/>
      <c r="G1412" s="38"/>
      <c r="H1412" s="38"/>
      <c r="I1412" s="39"/>
      <c r="J1412" s="38"/>
    </row>
    <row r="1413" spans="2:10" ht="12.75" customHeight="1" x14ac:dyDescent="0.2">
      <c r="B1413" s="37"/>
      <c r="C1413" s="37" t="str">
        <f>IF(D1413="","",MATCH(D1413,Parametros!$B$4:$B$15,0))</f>
        <v/>
      </c>
      <c r="D1413" s="38"/>
      <c r="E1413" s="38"/>
      <c r="F1413" s="38"/>
      <c r="G1413" s="38"/>
      <c r="H1413" s="38"/>
      <c r="I1413" s="39"/>
      <c r="J1413" s="38"/>
    </row>
    <row r="1414" spans="2:10" ht="12.75" customHeight="1" x14ac:dyDescent="0.2">
      <c r="B1414" s="37"/>
      <c r="C1414" s="37" t="str">
        <f>IF(D1414="","",MATCH(D1414,Parametros!$B$4:$B$15,0))</f>
        <v/>
      </c>
      <c r="D1414" s="38"/>
      <c r="E1414" s="38"/>
      <c r="F1414" s="38"/>
      <c r="G1414" s="38"/>
      <c r="H1414" s="38"/>
      <c r="I1414" s="39"/>
      <c r="J1414" s="38"/>
    </row>
    <row r="1415" spans="2:10" ht="12.75" customHeight="1" x14ac:dyDescent="0.2">
      <c r="B1415" s="37"/>
      <c r="C1415" s="37" t="str">
        <f>IF(D1415="","",MATCH(D1415,Parametros!$B$4:$B$15,0))</f>
        <v/>
      </c>
      <c r="D1415" s="38"/>
      <c r="E1415" s="38"/>
      <c r="F1415" s="38"/>
      <c r="G1415" s="38"/>
      <c r="H1415" s="38"/>
      <c r="I1415" s="39"/>
      <c r="J1415" s="38"/>
    </row>
    <row r="1416" spans="2:10" ht="12.75" customHeight="1" x14ac:dyDescent="0.2">
      <c r="B1416" s="37"/>
      <c r="C1416" s="37" t="str">
        <f>IF(D1416="","",MATCH(D1416,Parametros!$B$4:$B$15,0))</f>
        <v/>
      </c>
      <c r="D1416" s="38"/>
      <c r="E1416" s="38"/>
      <c r="F1416" s="38"/>
      <c r="G1416" s="38"/>
      <c r="H1416" s="38"/>
      <c r="I1416" s="39"/>
      <c r="J1416" s="38"/>
    </row>
    <row r="1417" spans="2:10" ht="12.75" customHeight="1" x14ac:dyDescent="0.2">
      <c r="B1417" s="37"/>
      <c r="C1417" s="37" t="str">
        <f>IF(D1417="","",MATCH(D1417,Parametros!$B$4:$B$15,0))</f>
        <v/>
      </c>
      <c r="D1417" s="38"/>
      <c r="E1417" s="38"/>
      <c r="F1417" s="38"/>
      <c r="G1417" s="38"/>
      <c r="H1417" s="38"/>
      <c r="I1417" s="39"/>
      <c r="J1417" s="38"/>
    </row>
    <row r="1418" spans="2:10" ht="12.75" customHeight="1" x14ac:dyDescent="0.2">
      <c r="B1418" s="37"/>
      <c r="C1418" s="37" t="str">
        <f>IF(D1418="","",MATCH(D1418,Parametros!$B$4:$B$15,0))</f>
        <v/>
      </c>
      <c r="D1418" s="38"/>
      <c r="E1418" s="38"/>
      <c r="F1418" s="38"/>
      <c r="G1418" s="38"/>
      <c r="H1418" s="38"/>
      <c r="I1418" s="39"/>
      <c r="J1418" s="38"/>
    </row>
    <row r="1419" spans="2:10" ht="12.75" customHeight="1" x14ac:dyDescent="0.2">
      <c r="B1419" s="37"/>
      <c r="C1419" s="37" t="str">
        <f>IF(D1419="","",MATCH(D1419,Parametros!$B$4:$B$15,0))</f>
        <v/>
      </c>
      <c r="D1419" s="38"/>
      <c r="E1419" s="38"/>
      <c r="F1419" s="38"/>
      <c r="G1419" s="38"/>
      <c r="H1419" s="38"/>
      <c r="I1419" s="39"/>
      <c r="J1419" s="38"/>
    </row>
    <row r="1420" spans="2:10" ht="12.75" customHeight="1" x14ac:dyDescent="0.2">
      <c r="B1420" s="37"/>
      <c r="C1420" s="37" t="str">
        <f>IF(D1420="","",MATCH(D1420,Parametros!$B$4:$B$15,0))</f>
        <v/>
      </c>
      <c r="D1420" s="38"/>
      <c r="E1420" s="38"/>
      <c r="F1420" s="38"/>
      <c r="G1420" s="38"/>
      <c r="H1420" s="38"/>
      <c r="I1420" s="39"/>
      <c r="J1420" s="38"/>
    </row>
    <row r="1421" spans="2:10" ht="12.75" customHeight="1" x14ac:dyDescent="0.2">
      <c r="B1421" s="37"/>
      <c r="C1421" s="37" t="str">
        <f>IF(D1421="","",MATCH(D1421,Parametros!$B$4:$B$15,0))</f>
        <v/>
      </c>
      <c r="D1421" s="38"/>
      <c r="E1421" s="38"/>
      <c r="F1421" s="38"/>
      <c r="G1421" s="38"/>
      <c r="H1421" s="38"/>
      <c r="I1421" s="39"/>
      <c r="J1421" s="38"/>
    </row>
    <row r="1422" spans="2:10" ht="12.75" customHeight="1" x14ac:dyDescent="0.2">
      <c r="B1422" s="37"/>
      <c r="C1422" s="37" t="str">
        <f>IF(D1422="","",MATCH(D1422,Parametros!$B$4:$B$15,0))</f>
        <v/>
      </c>
      <c r="D1422" s="38"/>
      <c r="E1422" s="38"/>
      <c r="F1422" s="38"/>
      <c r="G1422" s="38"/>
      <c r="H1422" s="38"/>
      <c r="I1422" s="39"/>
      <c r="J1422" s="38"/>
    </row>
    <row r="1423" spans="2:10" ht="12.75" customHeight="1" x14ac:dyDescent="0.2">
      <c r="B1423" s="37"/>
      <c r="C1423" s="37" t="str">
        <f>IF(D1423="","",MATCH(D1423,Parametros!$B$4:$B$15,0))</f>
        <v/>
      </c>
      <c r="D1423" s="38"/>
      <c r="E1423" s="38"/>
      <c r="F1423" s="38"/>
      <c r="G1423" s="38"/>
      <c r="H1423" s="38"/>
      <c r="I1423" s="39"/>
      <c r="J1423" s="38"/>
    </row>
    <row r="1424" spans="2:10" ht="12.75" customHeight="1" x14ac:dyDescent="0.2">
      <c r="B1424" s="37"/>
      <c r="C1424" s="37" t="str">
        <f>IF(D1424="","",MATCH(D1424,Parametros!$B$4:$B$15,0))</f>
        <v/>
      </c>
      <c r="D1424" s="38"/>
      <c r="E1424" s="38"/>
      <c r="F1424" s="38"/>
      <c r="G1424" s="38"/>
      <c r="H1424" s="38"/>
      <c r="I1424" s="39"/>
      <c r="J1424" s="38"/>
    </row>
    <row r="1425" spans="2:10" ht="12.75" customHeight="1" x14ac:dyDescent="0.2">
      <c r="B1425" s="37"/>
      <c r="C1425" s="37" t="str">
        <f>IF(D1425="","",MATCH(D1425,Parametros!$B$4:$B$15,0))</f>
        <v/>
      </c>
      <c r="D1425" s="38"/>
      <c r="E1425" s="38"/>
      <c r="F1425" s="38"/>
      <c r="G1425" s="38"/>
      <c r="H1425" s="38"/>
      <c r="I1425" s="39"/>
      <c r="J1425" s="38"/>
    </row>
    <row r="1426" spans="2:10" ht="12.75" customHeight="1" x14ac:dyDescent="0.2">
      <c r="B1426" s="37"/>
      <c r="C1426" s="37" t="str">
        <f>IF(D1426="","",MATCH(D1426,Parametros!$B$4:$B$15,0))</f>
        <v/>
      </c>
      <c r="D1426" s="38"/>
      <c r="E1426" s="38"/>
      <c r="F1426" s="38"/>
      <c r="G1426" s="38"/>
      <c r="H1426" s="38"/>
      <c r="I1426" s="39"/>
      <c r="J1426" s="38"/>
    </row>
    <row r="1427" spans="2:10" ht="12.75" customHeight="1" x14ac:dyDescent="0.2">
      <c r="B1427" s="37"/>
      <c r="C1427" s="37" t="str">
        <f>IF(D1427="","",MATCH(D1427,Parametros!$B$4:$B$15,0))</f>
        <v/>
      </c>
      <c r="D1427" s="38"/>
      <c r="E1427" s="38"/>
      <c r="F1427" s="38"/>
      <c r="G1427" s="38"/>
      <c r="H1427" s="38"/>
      <c r="I1427" s="39"/>
      <c r="J1427" s="38"/>
    </row>
    <row r="1428" spans="2:10" ht="12.75" customHeight="1" x14ac:dyDescent="0.2">
      <c r="B1428" s="37"/>
      <c r="C1428" s="37" t="str">
        <f>IF(D1428="","",MATCH(D1428,Parametros!$B$4:$B$15,0))</f>
        <v/>
      </c>
      <c r="D1428" s="38"/>
      <c r="E1428" s="38"/>
      <c r="F1428" s="38"/>
      <c r="G1428" s="38"/>
      <c r="H1428" s="38"/>
      <c r="I1428" s="39"/>
      <c r="J1428" s="38"/>
    </row>
    <row r="1429" spans="2:10" ht="12.75" customHeight="1" x14ac:dyDescent="0.2">
      <c r="B1429" s="37"/>
      <c r="C1429" s="37" t="str">
        <f>IF(D1429="","",MATCH(D1429,Parametros!$B$4:$B$15,0))</f>
        <v/>
      </c>
      <c r="D1429" s="38"/>
      <c r="E1429" s="38"/>
      <c r="F1429" s="38"/>
      <c r="G1429" s="38"/>
      <c r="H1429" s="38"/>
      <c r="I1429" s="39"/>
      <c r="J1429" s="38"/>
    </row>
    <row r="1430" spans="2:10" ht="12.75" customHeight="1" x14ac:dyDescent="0.2">
      <c r="B1430" s="37"/>
      <c r="C1430" s="37" t="str">
        <f>IF(D1430="","",MATCH(D1430,Parametros!$B$4:$B$15,0))</f>
        <v/>
      </c>
      <c r="D1430" s="38"/>
      <c r="E1430" s="38"/>
      <c r="F1430" s="38"/>
      <c r="G1430" s="38"/>
      <c r="H1430" s="38"/>
      <c r="I1430" s="39"/>
      <c r="J1430" s="38"/>
    </row>
    <row r="1431" spans="2:10" ht="12.75" customHeight="1" x14ac:dyDescent="0.2">
      <c r="B1431" s="37"/>
      <c r="C1431" s="37" t="str">
        <f>IF(D1431="","",MATCH(D1431,Parametros!$B$4:$B$15,0))</f>
        <v/>
      </c>
      <c r="D1431" s="38"/>
      <c r="E1431" s="38"/>
      <c r="F1431" s="38"/>
      <c r="G1431" s="38"/>
      <c r="H1431" s="38"/>
      <c r="I1431" s="39"/>
      <c r="J1431" s="38"/>
    </row>
    <row r="1432" spans="2:10" ht="12.75" customHeight="1" x14ac:dyDescent="0.2">
      <c r="B1432" s="37"/>
      <c r="C1432" s="37" t="str">
        <f>IF(D1432="","",MATCH(D1432,Parametros!$B$4:$B$15,0))</f>
        <v/>
      </c>
      <c r="D1432" s="38"/>
      <c r="E1432" s="38"/>
      <c r="F1432" s="38"/>
      <c r="G1432" s="38"/>
      <c r="H1432" s="38"/>
      <c r="I1432" s="39"/>
      <c r="J1432" s="38"/>
    </row>
    <row r="1433" spans="2:10" ht="12.75" customHeight="1" x14ac:dyDescent="0.2">
      <c r="B1433" s="37"/>
      <c r="C1433" s="37" t="str">
        <f>IF(D1433="","",MATCH(D1433,Parametros!$B$4:$B$15,0))</f>
        <v/>
      </c>
      <c r="D1433" s="38"/>
      <c r="E1433" s="38"/>
      <c r="F1433" s="38"/>
      <c r="G1433" s="38"/>
      <c r="H1433" s="38"/>
      <c r="I1433" s="39"/>
      <c r="J1433" s="38"/>
    </row>
    <row r="1434" spans="2:10" ht="12.75" customHeight="1" x14ac:dyDescent="0.2">
      <c r="B1434" s="37"/>
      <c r="C1434" s="37" t="str">
        <f>IF(D1434="","",MATCH(D1434,Parametros!$B$4:$B$15,0))</f>
        <v/>
      </c>
      <c r="D1434" s="38"/>
      <c r="E1434" s="38"/>
      <c r="F1434" s="38"/>
      <c r="G1434" s="38"/>
      <c r="H1434" s="38"/>
      <c r="I1434" s="39"/>
      <c r="J1434" s="38"/>
    </row>
    <row r="1435" spans="2:10" ht="12.75" customHeight="1" x14ac:dyDescent="0.2">
      <c r="B1435" s="37"/>
      <c r="C1435" s="37" t="str">
        <f>IF(D1435="","",MATCH(D1435,Parametros!$B$4:$B$15,0))</f>
        <v/>
      </c>
      <c r="D1435" s="38"/>
      <c r="E1435" s="38"/>
      <c r="F1435" s="38"/>
      <c r="G1435" s="38"/>
      <c r="H1435" s="38"/>
      <c r="I1435" s="39"/>
      <c r="J1435" s="38"/>
    </row>
    <row r="1436" spans="2:10" ht="12.75" customHeight="1" x14ac:dyDescent="0.2">
      <c r="B1436" s="37"/>
      <c r="C1436" s="37" t="str">
        <f>IF(D1436="","",MATCH(D1436,Parametros!$B$4:$B$15,0))</f>
        <v/>
      </c>
      <c r="D1436" s="38"/>
      <c r="E1436" s="38"/>
      <c r="F1436" s="38"/>
      <c r="G1436" s="38"/>
      <c r="H1436" s="38"/>
      <c r="I1436" s="39"/>
      <c r="J1436" s="38"/>
    </row>
    <row r="1437" spans="2:10" ht="12.75" customHeight="1" x14ac:dyDescent="0.2">
      <c r="B1437" s="37"/>
      <c r="C1437" s="37" t="str">
        <f>IF(D1437="","",MATCH(D1437,Parametros!$B$4:$B$15,0))</f>
        <v/>
      </c>
      <c r="D1437" s="38"/>
      <c r="E1437" s="38"/>
      <c r="F1437" s="38"/>
      <c r="G1437" s="38"/>
      <c r="H1437" s="38"/>
      <c r="I1437" s="39"/>
      <c r="J1437" s="38"/>
    </row>
    <row r="1438" spans="2:10" ht="12.75" customHeight="1" x14ac:dyDescent="0.2">
      <c r="B1438" s="37"/>
      <c r="C1438" s="37" t="str">
        <f>IF(D1438="","",MATCH(D1438,Parametros!$B$4:$B$15,0))</f>
        <v/>
      </c>
      <c r="D1438" s="38"/>
      <c r="E1438" s="38"/>
      <c r="F1438" s="38"/>
      <c r="G1438" s="38"/>
      <c r="H1438" s="38"/>
      <c r="I1438" s="39"/>
      <c r="J1438" s="38"/>
    </row>
    <row r="1439" spans="2:10" ht="12.75" customHeight="1" x14ac:dyDescent="0.2">
      <c r="B1439" s="37"/>
      <c r="C1439" s="37" t="str">
        <f>IF(D1439="","",MATCH(D1439,Parametros!$B$4:$B$15,0))</f>
        <v/>
      </c>
      <c r="D1439" s="38"/>
      <c r="E1439" s="38"/>
      <c r="F1439" s="38"/>
      <c r="G1439" s="38"/>
      <c r="H1439" s="38"/>
      <c r="I1439" s="39"/>
      <c r="J1439" s="38"/>
    </row>
    <row r="1440" spans="2:10" ht="12.75" customHeight="1" x14ac:dyDescent="0.2">
      <c r="B1440" s="37"/>
      <c r="C1440" s="37" t="str">
        <f>IF(D1440="","",MATCH(D1440,Parametros!$B$4:$B$15,0))</f>
        <v/>
      </c>
      <c r="D1440" s="38"/>
      <c r="E1440" s="38"/>
      <c r="F1440" s="38"/>
      <c r="G1440" s="38"/>
      <c r="H1440" s="38"/>
      <c r="I1440" s="39"/>
      <c r="J1440" s="38"/>
    </row>
    <row r="1441" spans="2:10" ht="12.75" customHeight="1" x14ac:dyDescent="0.2">
      <c r="B1441" s="37"/>
      <c r="C1441" s="37" t="str">
        <f>IF(D1441="","",MATCH(D1441,Parametros!$B$4:$B$15,0))</f>
        <v/>
      </c>
      <c r="D1441" s="38"/>
      <c r="E1441" s="38"/>
      <c r="F1441" s="38"/>
      <c r="G1441" s="38"/>
      <c r="H1441" s="38"/>
      <c r="I1441" s="39"/>
      <c r="J1441" s="38"/>
    </row>
    <row r="1442" spans="2:10" ht="12.75" customHeight="1" x14ac:dyDescent="0.2">
      <c r="B1442" s="37"/>
      <c r="C1442" s="37" t="str">
        <f>IF(D1442="","",MATCH(D1442,Parametros!$B$4:$B$15,0))</f>
        <v/>
      </c>
      <c r="D1442" s="38"/>
      <c r="E1442" s="38"/>
      <c r="F1442" s="38"/>
      <c r="G1442" s="38"/>
      <c r="H1442" s="38"/>
      <c r="I1442" s="39"/>
      <c r="J1442" s="38"/>
    </row>
    <row r="1443" spans="2:10" ht="12.75" customHeight="1" x14ac:dyDescent="0.2">
      <c r="B1443" s="37"/>
      <c r="C1443" s="37" t="str">
        <f>IF(D1443="","",MATCH(D1443,Parametros!$B$4:$B$15,0))</f>
        <v/>
      </c>
      <c r="D1443" s="38"/>
      <c r="E1443" s="38"/>
      <c r="F1443" s="38"/>
      <c r="G1443" s="38"/>
      <c r="H1443" s="38"/>
      <c r="I1443" s="39"/>
      <c r="J1443" s="38"/>
    </row>
    <row r="1444" spans="2:10" ht="12.75" customHeight="1" x14ac:dyDescent="0.2">
      <c r="B1444" s="37"/>
      <c r="C1444" s="37" t="str">
        <f>IF(D1444="","",MATCH(D1444,Parametros!$B$4:$B$15,0))</f>
        <v/>
      </c>
      <c r="D1444" s="38"/>
      <c r="E1444" s="38"/>
      <c r="F1444" s="38"/>
      <c r="G1444" s="38"/>
      <c r="H1444" s="38"/>
      <c r="I1444" s="39"/>
      <c r="J1444" s="38"/>
    </row>
    <row r="1445" spans="2:10" ht="12.75" customHeight="1" x14ac:dyDescent="0.2">
      <c r="B1445" s="37"/>
      <c r="C1445" s="37" t="str">
        <f>IF(D1445="","",MATCH(D1445,Parametros!$B$4:$B$15,0))</f>
        <v/>
      </c>
      <c r="D1445" s="38"/>
      <c r="E1445" s="38"/>
      <c r="F1445" s="38"/>
      <c r="G1445" s="38"/>
      <c r="H1445" s="38"/>
      <c r="I1445" s="39"/>
      <c r="J1445" s="38"/>
    </row>
    <row r="1446" spans="2:10" ht="12.75" customHeight="1" x14ac:dyDescent="0.2">
      <c r="B1446" s="37"/>
      <c r="C1446" s="37" t="str">
        <f>IF(D1446="","",MATCH(D1446,Parametros!$B$4:$B$15,0))</f>
        <v/>
      </c>
      <c r="D1446" s="38"/>
      <c r="E1446" s="38"/>
      <c r="F1446" s="38"/>
      <c r="G1446" s="38"/>
      <c r="H1446" s="38"/>
      <c r="I1446" s="39"/>
      <c r="J1446" s="38"/>
    </row>
    <row r="1447" spans="2:10" ht="12.75" customHeight="1" x14ac:dyDescent="0.2">
      <c r="B1447" s="37"/>
      <c r="C1447" s="37" t="str">
        <f>IF(D1447="","",MATCH(D1447,Parametros!$B$4:$B$15,0))</f>
        <v/>
      </c>
      <c r="D1447" s="38"/>
      <c r="E1447" s="38"/>
      <c r="F1447" s="38"/>
      <c r="G1447" s="38"/>
      <c r="H1447" s="38"/>
      <c r="I1447" s="39"/>
      <c r="J1447" s="38"/>
    </row>
    <row r="1448" spans="2:10" ht="12.75" customHeight="1" x14ac:dyDescent="0.2">
      <c r="B1448" s="37"/>
      <c r="C1448" s="37" t="str">
        <f>IF(D1448="","",MATCH(D1448,Parametros!$B$4:$B$15,0))</f>
        <v/>
      </c>
      <c r="D1448" s="38"/>
      <c r="E1448" s="38"/>
      <c r="F1448" s="38"/>
      <c r="G1448" s="38"/>
      <c r="H1448" s="38"/>
      <c r="I1448" s="39"/>
      <c r="J1448" s="38"/>
    </row>
    <row r="1449" spans="2:10" ht="12.75" customHeight="1" x14ac:dyDescent="0.2">
      <c r="B1449" s="37"/>
      <c r="C1449" s="37" t="str">
        <f>IF(D1449="","",MATCH(D1449,Parametros!$B$4:$B$15,0))</f>
        <v/>
      </c>
      <c r="D1449" s="38"/>
      <c r="E1449" s="38"/>
      <c r="F1449" s="38"/>
      <c r="G1449" s="38"/>
      <c r="H1449" s="38"/>
      <c r="I1449" s="39"/>
      <c r="J1449" s="38"/>
    </row>
    <row r="1450" spans="2:10" ht="12.75" customHeight="1" x14ac:dyDescent="0.2">
      <c r="B1450" s="37"/>
      <c r="C1450" s="37" t="str">
        <f>IF(D1450="","",MATCH(D1450,Parametros!$B$4:$B$15,0))</f>
        <v/>
      </c>
      <c r="D1450" s="38"/>
      <c r="E1450" s="38"/>
      <c r="F1450" s="38"/>
      <c r="G1450" s="38"/>
      <c r="H1450" s="38"/>
      <c r="I1450" s="39"/>
      <c r="J1450" s="38"/>
    </row>
    <row r="1451" spans="2:10" ht="12.75" customHeight="1" x14ac:dyDescent="0.2">
      <c r="B1451" s="37"/>
      <c r="C1451" s="37" t="str">
        <f>IF(D1451="","",MATCH(D1451,Parametros!$B$4:$B$15,0))</f>
        <v/>
      </c>
      <c r="D1451" s="38"/>
      <c r="E1451" s="38"/>
      <c r="F1451" s="38"/>
      <c r="G1451" s="38"/>
      <c r="H1451" s="38"/>
      <c r="I1451" s="39"/>
      <c r="J1451" s="38"/>
    </row>
    <row r="1452" spans="2:10" ht="12.75" customHeight="1" x14ac:dyDescent="0.2">
      <c r="B1452" s="37"/>
      <c r="C1452" s="37" t="str">
        <f>IF(D1452="","",MATCH(D1452,Parametros!$B$4:$B$15,0))</f>
        <v/>
      </c>
      <c r="D1452" s="38"/>
      <c r="E1452" s="38"/>
      <c r="F1452" s="38"/>
      <c r="G1452" s="38"/>
      <c r="H1452" s="38"/>
      <c r="I1452" s="39"/>
      <c r="J1452" s="38"/>
    </row>
    <row r="1453" spans="2:10" ht="12.75" customHeight="1" x14ac:dyDescent="0.2">
      <c r="B1453" s="37"/>
      <c r="C1453" s="37" t="str">
        <f>IF(D1453="","",MATCH(D1453,Parametros!$B$4:$B$15,0))</f>
        <v/>
      </c>
      <c r="D1453" s="38"/>
      <c r="E1453" s="38"/>
      <c r="F1453" s="38"/>
      <c r="G1453" s="38"/>
      <c r="H1453" s="38"/>
      <c r="I1453" s="39"/>
      <c r="J1453" s="38"/>
    </row>
    <row r="1454" spans="2:10" ht="12.75" customHeight="1" x14ac:dyDescent="0.2">
      <c r="B1454" s="37"/>
      <c r="C1454" s="37" t="str">
        <f>IF(D1454="","",MATCH(D1454,Parametros!$B$4:$B$15,0))</f>
        <v/>
      </c>
      <c r="D1454" s="38"/>
      <c r="E1454" s="38"/>
      <c r="F1454" s="38"/>
      <c r="G1454" s="38"/>
      <c r="H1454" s="38"/>
      <c r="I1454" s="39"/>
      <c r="J1454" s="38"/>
    </row>
    <row r="1455" spans="2:10" ht="12.75" customHeight="1" x14ac:dyDescent="0.2">
      <c r="B1455" s="37"/>
      <c r="C1455" s="37" t="str">
        <f>IF(D1455="","",MATCH(D1455,Parametros!$B$4:$B$15,0))</f>
        <v/>
      </c>
      <c r="D1455" s="38"/>
      <c r="E1455" s="38"/>
      <c r="F1455" s="38"/>
      <c r="G1455" s="38"/>
      <c r="H1455" s="38"/>
      <c r="I1455" s="39"/>
      <c r="J1455" s="38"/>
    </row>
    <row r="1456" spans="2:10" ht="12.75" customHeight="1" x14ac:dyDescent="0.2">
      <c r="B1456" s="37"/>
      <c r="C1456" s="37" t="str">
        <f>IF(D1456="","",MATCH(D1456,Parametros!$B$4:$B$15,0))</f>
        <v/>
      </c>
      <c r="D1456" s="38"/>
      <c r="E1456" s="38"/>
      <c r="F1456" s="38"/>
      <c r="G1456" s="38"/>
      <c r="H1456" s="38"/>
      <c r="I1456" s="39"/>
      <c r="J1456" s="38"/>
    </row>
    <row r="1457" spans="2:10" ht="12.75" customHeight="1" x14ac:dyDescent="0.2">
      <c r="B1457" s="37"/>
      <c r="C1457" s="37" t="str">
        <f>IF(D1457="","",MATCH(D1457,Parametros!$B$4:$B$15,0))</f>
        <v/>
      </c>
      <c r="D1457" s="38"/>
      <c r="E1457" s="38"/>
      <c r="F1457" s="38"/>
      <c r="G1457" s="38"/>
      <c r="H1457" s="38"/>
      <c r="I1457" s="39"/>
      <c r="J1457" s="38"/>
    </row>
    <row r="1458" spans="2:10" ht="12.75" customHeight="1" x14ac:dyDescent="0.2">
      <c r="B1458" s="37"/>
      <c r="C1458" s="37" t="str">
        <f>IF(D1458="","",MATCH(D1458,Parametros!$B$4:$B$15,0))</f>
        <v/>
      </c>
      <c r="D1458" s="38"/>
      <c r="E1458" s="38"/>
      <c r="F1458" s="38"/>
      <c r="G1458" s="38"/>
      <c r="H1458" s="38"/>
      <c r="I1458" s="39"/>
      <c r="J1458" s="38"/>
    </row>
    <row r="1459" spans="2:10" ht="12.75" customHeight="1" x14ac:dyDescent="0.2">
      <c r="B1459" s="37"/>
      <c r="C1459" s="37" t="str">
        <f>IF(D1459="","",MATCH(D1459,Parametros!$B$4:$B$15,0))</f>
        <v/>
      </c>
      <c r="D1459" s="38"/>
      <c r="E1459" s="38"/>
      <c r="F1459" s="38"/>
      <c r="G1459" s="38"/>
      <c r="H1459" s="38"/>
      <c r="I1459" s="39"/>
      <c r="J1459" s="38"/>
    </row>
    <row r="1460" spans="2:10" ht="12.75" customHeight="1" x14ac:dyDescent="0.2">
      <c r="B1460" s="37"/>
      <c r="C1460" s="37" t="str">
        <f>IF(D1460="","",MATCH(D1460,Parametros!$B$4:$B$15,0))</f>
        <v/>
      </c>
      <c r="D1460" s="38"/>
      <c r="E1460" s="38"/>
      <c r="F1460" s="38"/>
      <c r="G1460" s="38"/>
      <c r="H1460" s="38"/>
      <c r="I1460" s="39"/>
      <c r="J1460" s="38"/>
    </row>
    <row r="1461" spans="2:10" ht="12.75" customHeight="1" x14ac:dyDescent="0.2">
      <c r="B1461" s="37"/>
      <c r="C1461" s="37" t="str">
        <f>IF(D1461="","",MATCH(D1461,Parametros!$B$4:$B$15,0))</f>
        <v/>
      </c>
      <c r="D1461" s="38"/>
      <c r="E1461" s="38"/>
      <c r="F1461" s="38"/>
      <c r="G1461" s="38"/>
      <c r="H1461" s="38"/>
      <c r="I1461" s="39"/>
      <c r="J1461" s="38"/>
    </row>
    <row r="1462" spans="2:10" ht="12.75" customHeight="1" x14ac:dyDescent="0.2">
      <c r="B1462" s="37"/>
      <c r="C1462" s="37" t="str">
        <f>IF(D1462="","",MATCH(D1462,Parametros!$B$4:$B$15,0))</f>
        <v/>
      </c>
      <c r="D1462" s="38"/>
      <c r="E1462" s="38"/>
      <c r="F1462" s="38"/>
      <c r="G1462" s="38"/>
      <c r="H1462" s="38"/>
      <c r="I1462" s="39"/>
      <c r="J1462" s="38"/>
    </row>
    <row r="1463" spans="2:10" ht="12.75" customHeight="1" x14ac:dyDescent="0.2">
      <c r="B1463" s="37"/>
      <c r="C1463" s="37" t="str">
        <f>IF(D1463="","",MATCH(D1463,Parametros!$B$4:$B$15,0))</f>
        <v/>
      </c>
      <c r="D1463" s="38"/>
      <c r="E1463" s="38"/>
      <c r="F1463" s="38"/>
      <c r="G1463" s="38"/>
      <c r="H1463" s="38"/>
      <c r="I1463" s="39"/>
      <c r="J1463" s="38"/>
    </row>
    <row r="1464" spans="2:10" ht="12.75" customHeight="1" x14ac:dyDescent="0.2">
      <c r="B1464" s="37"/>
      <c r="C1464" s="37" t="str">
        <f>IF(D1464="","",MATCH(D1464,Parametros!$B$4:$B$15,0))</f>
        <v/>
      </c>
      <c r="D1464" s="38"/>
      <c r="E1464" s="38"/>
      <c r="F1464" s="38"/>
      <c r="G1464" s="38"/>
      <c r="H1464" s="38"/>
      <c r="I1464" s="39"/>
      <c r="J1464" s="38"/>
    </row>
    <row r="1465" spans="2:10" ht="12.75" customHeight="1" x14ac:dyDescent="0.2">
      <c r="B1465" s="37"/>
      <c r="C1465" s="37" t="str">
        <f>IF(D1465="","",MATCH(D1465,Parametros!$B$4:$B$15,0))</f>
        <v/>
      </c>
      <c r="D1465" s="38"/>
      <c r="E1465" s="38"/>
      <c r="F1465" s="38"/>
      <c r="G1465" s="38"/>
      <c r="H1465" s="38"/>
      <c r="I1465" s="39"/>
      <c r="J1465" s="38"/>
    </row>
    <row r="1466" spans="2:10" ht="12.75" customHeight="1" x14ac:dyDescent="0.2">
      <c r="B1466" s="37"/>
      <c r="C1466" s="37" t="str">
        <f>IF(D1466="","",MATCH(D1466,Parametros!$B$4:$B$15,0))</f>
        <v/>
      </c>
      <c r="D1466" s="38"/>
      <c r="E1466" s="38"/>
      <c r="F1466" s="38"/>
      <c r="G1466" s="38"/>
      <c r="H1466" s="38"/>
      <c r="I1466" s="39"/>
      <c r="J1466" s="38"/>
    </row>
    <row r="1467" spans="2:10" ht="12.75" customHeight="1" x14ac:dyDescent="0.2">
      <c r="B1467" s="37"/>
      <c r="C1467" s="37" t="str">
        <f>IF(D1467="","",MATCH(D1467,Parametros!$B$4:$B$15,0))</f>
        <v/>
      </c>
      <c r="D1467" s="38"/>
      <c r="E1467" s="38"/>
      <c r="F1467" s="38"/>
      <c r="G1467" s="38"/>
      <c r="H1467" s="38"/>
      <c r="I1467" s="39"/>
      <c r="J1467" s="38"/>
    </row>
    <row r="1468" spans="2:10" ht="12.75" customHeight="1" x14ac:dyDescent="0.2">
      <c r="B1468" s="37"/>
      <c r="C1468" s="37" t="str">
        <f>IF(D1468="","",MATCH(D1468,Parametros!$B$4:$B$15,0))</f>
        <v/>
      </c>
      <c r="D1468" s="38"/>
      <c r="E1468" s="38"/>
      <c r="F1468" s="38"/>
      <c r="G1468" s="38"/>
      <c r="H1468" s="38"/>
      <c r="I1468" s="39"/>
      <c r="J1468" s="38"/>
    </row>
    <row r="1469" spans="2:10" ht="12.75" customHeight="1" x14ac:dyDescent="0.2">
      <c r="B1469" s="37"/>
      <c r="C1469" s="37" t="str">
        <f>IF(D1469="","",MATCH(D1469,Parametros!$B$4:$B$15,0))</f>
        <v/>
      </c>
      <c r="D1469" s="38"/>
      <c r="E1469" s="38"/>
      <c r="F1469" s="38"/>
      <c r="G1469" s="38"/>
      <c r="H1469" s="38"/>
      <c r="I1469" s="39"/>
      <c r="J1469" s="38"/>
    </row>
    <row r="1470" spans="2:10" ht="12.75" customHeight="1" x14ac:dyDescent="0.2">
      <c r="B1470" s="37"/>
      <c r="C1470" s="37" t="str">
        <f>IF(D1470="","",MATCH(D1470,Parametros!$B$4:$B$15,0))</f>
        <v/>
      </c>
      <c r="D1470" s="38"/>
      <c r="E1470" s="38"/>
      <c r="F1470" s="38"/>
      <c r="G1470" s="38"/>
      <c r="H1470" s="38"/>
      <c r="I1470" s="39"/>
      <c r="J1470" s="38"/>
    </row>
    <row r="1471" spans="2:10" ht="12.75" customHeight="1" x14ac:dyDescent="0.2">
      <c r="B1471" s="37"/>
      <c r="C1471" s="37" t="str">
        <f>IF(D1471="","",MATCH(D1471,Parametros!$B$4:$B$15,0))</f>
        <v/>
      </c>
      <c r="D1471" s="38"/>
      <c r="E1471" s="38"/>
      <c r="F1471" s="38"/>
      <c r="G1471" s="38"/>
      <c r="H1471" s="38"/>
      <c r="I1471" s="39"/>
      <c r="J1471" s="38"/>
    </row>
    <row r="1472" spans="2:10" ht="12.75" customHeight="1" x14ac:dyDescent="0.2">
      <c r="B1472" s="37"/>
      <c r="C1472" s="37" t="str">
        <f>IF(D1472="","",MATCH(D1472,Parametros!$B$4:$B$15,0))</f>
        <v/>
      </c>
      <c r="D1472" s="38"/>
      <c r="E1472" s="38"/>
      <c r="F1472" s="38"/>
      <c r="G1472" s="38"/>
      <c r="H1472" s="38"/>
      <c r="I1472" s="39"/>
      <c r="J1472" s="38"/>
    </row>
    <row r="1473" spans="2:10" ht="12.75" customHeight="1" x14ac:dyDescent="0.2">
      <c r="B1473" s="37"/>
      <c r="C1473" s="37" t="str">
        <f>IF(D1473="","",MATCH(D1473,Parametros!$B$4:$B$15,0))</f>
        <v/>
      </c>
      <c r="D1473" s="38"/>
      <c r="E1473" s="38"/>
      <c r="F1473" s="38"/>
      <c r="G1473" s="38"/>
      <c r="H1473" s="38"/>
      <c r="I1473" s="39"/>
      <c r="J1473" s="38"/>
    </row>
    <row r="1474" spans="2:10" ht="12.75" customHeight="1" x14ac:dyDescent="0.2">
      <c r="B1474" s="37"/>
      <c r="C1474" s="37" t="str">
        <f>IF(D1474="","",MATCH(D1474,Parametros!$B$4:$B$15,0))</f>
        <v/>
      </c>
      <c r="D1474" s="38"/>
      <c r="E1474" s="38"/>
      <c r="F1474" s="38"/>
      <c r="G1474" s="38"/>
      <c r="H1474" s="38"/>
      <c r="I1474" s="39"/>
      <c r="J1474" s="38"/>
    </row>
    <row r="1475" spans="2:10" ht="12.75" customHeight="1" x14ac:dyDescent="0.2">
      <c r="B1475" s="37"/>
      <c r="C1475" s="37" t="str">
        <f>IF(D1475="","",MATCH(D1475,Parametros!$B$4:$B$15,0))</f>
        <v/>
      </c>
      <c r="D1475" s="38"/>
      <c r="E1475" s="38"/>
      <c r="F1475" s="38"/>
      <c r="G1475" s="38"/>
      <c r="H1475" s="38"/>
      <c r="I1475" s="39"/>
      <c r="J1475" s="38"/>
    </row>
    <row r="1476" spans="2:10" ht="12.75" customHeight="1" x14ac:dyDescent="0.2">
      <c r="B1476" s="37"/>
      <c r="C1476" s="37" t="str">
        <f>IF(D1476="","",MATCH(D1476,Parametros!$B$4:$B$15,0))</f>
        <v/>
      </c>
      <c r="D1476" s="38"/>
      <c r="E1476" s="38"/>
      <c r="F1476" s="38"/>
      <c r="G1476" s="38"/>
      <c r="H1476" s="38"/>
      <c r="I1476" s="39"/>
      <c r="J1476" s="38"/>
    </row>
    <row r="1477" spans="2:10" ht="12.75" customHeight="1" x14ac:dyDescent="0.2">
      <c r="B1477" s="37"/>
      <c r="C1477" s="37" t="str">
        <f>IF(D1477="","",MATCH(D1477,Parametros!$B$4:$B$15,0))</f>
        <v/>
      </c>
      <c r="D1477" s="38"/>
      <c r="E1477" s="38"/>
      <c r="F1477" s="38"/>
      <c r="G1477" s="38"/>
      <c r="H1477" s="38"/>
      <c r="I1477" s="39"/>
      <c r="J1477" s="38"/>
    </row>
    <row r="1478" spans="2:10" ht="12.75" customHeight="1" x14ac:dyDescent="0.2">
      <c r="B1478" s="37"/>
      <c r="C1478" s="37" t="str">
        <f>IF(D1478="","",MATCH(D1478,Parametros!$B$4:$B$15,0))</f>
        <v/>
      </c>
      <c r="D1478" s="38"/>
      <c r="E1478" s="38"/>
      <c r="F1478" s="38"/>
      <c r="G1478" s="38"/>
      <c r="H1478" s="38"/>
      <c r="I1478" s="39"/>
      <c r="J1478" s="38"/>
    </row>
    <row r="1479" spans="2:10" ht="12.75" customHeight="1" x14ac:dyDescent="0.2">
      <c r="B1479" s="37"/>
      <c r="C1479" s="37" t="str">
        <f>IF(D1479="","",MATCH(D1479,Parametros!$B$4:$B$15,0))</f>
        <v/>
      </c>
      <c r="D1479" s="38"/>
      <c r="E1479" s="38"/>
      <c r="F1479" s="38"/>
      <c r="G1479" s="38"/>
      <c r="H1479" s="38"/>
      <c r="I1479" s="39"/>
      <c r="J1479" s="38"/>
    </row>
    <row r="1480" spans="2:10" ht="12.75" customHeight="1" x14ac:dyDescent="0.2">
      <c r="B1480" s="37"/>
      <c r="C1480" s="37" t="str">
        <f>IF(D1480="","",MATCH(D1480,Parametros!$B$4:$B$15,0))</f>
        <v/>
      </c>
      <c r="D1480" s="38"/>
      <c r="E1480" s="38"/>
      <c r="F1480" s="38"/>
      <c r="G1480" s="38"/>
      <c r="H1480" s="38"/>
      <c r="I1480" s="39"/>
      <c r="J1480" s="38"/>
    </row>
    <row r="1481" spans="2:10" ht="12.75" customHeight="1" x14ac:dyDescent="0.2">
      <c r="B1481" s="37"/>
      <c r="C1481" s="37" t="str">
        <f>IF(D1481="","",MATCH(D1481,Parametros!$B$4:$B$15,0))</f>
        <v/>
      </c>
      <c r="D1481" s="38"/>
      <c r="E1481" s="38"/>
      <c r="F1481" s="38"/>
      <c r="G1481" s="38"/>
      <c r="H1481" s="38"/>
      <c r="I1481" s="39"/>
      <c r="J1481" s="38"/>
    </row>
    <row r="1482" spans="2:10" ht="12.75" customHeight="1" x14ac:dyDescent="0.2">
      <c r="B1482" s="37"/>
      <c r="C1482" s="37" t="str">
        <f>IF(D1482="","",MATCH(D1482,Parametros!$B$4:$B$15,0))</f>
        <v/>
      </c>
      <c r="D1482" s="38"/>
      <c r="E1482" s="38"/>
      <c r="F1482" s="38"/>
      <c r="G1482" s="38"/>
      <c r="H1482" s="38"/>
      <c r="I1482" s="39"/>
      <c r="J1482" s="38"/>
    </row>
    <row r="1483" spans="2:10" ht="12.75" customHeight="1" x14ac:dyDescent="0.2">
      <c r="B1483" s="37"/>
      <c r="C1483" s="37" t="str">
        <f>IF(D1483="","",MATCH(D1483,Parametros!$B$4:$B$15,0))</f>
        <v/>
      </c>
      <c r="D1483" s="38"/>
      <c r="E1483" s="38"/>
      <c r="F1483" s="38"/>
      <c r="G1483" s="38"/>
      <c r="H1483" s="38"/>
      <c r="I1483" s="39"/>
      <c r="J1483" s="38"/>
    </row>
    <row r="1484" spans="2:10" ht="12.75" customHeight="1" x14ac:dyDescent="0.2">
      <c r="B1484" s="37"/>
      <c r="C1484" s="37" t="str">
        <f>IF(D1484="","",MATCH(D1484,Parametros!$B$4:$B$15,0))</f>
        <v/>
      </c>
      <c r="D1484" s="38"/>
      <c r="E1484" s="38"/>
      <c r="F1484" s="38"/>
      <c r="G1484" s="38"/>
      <c r="H1484" s="38"/>
      <c r="I1484" s="39"/>
      <c r="J1484" s="38"/>
    </row>
    <row r="1485" spans="2:10" ht="12.75" customHeight="1" x14ac:dyDescent="0.2">
      <c r="B1485" s="37"/>
      <c r="C1485" s="37" t="str">
        <f>IF(D1485="","",MATCH(D1485,Parametros!$B$4:$B$15,0))</f>
        <v/>
      </c>
      <c r="D1485" s="38"/>
      <c r="E1485" s="38"/>
      <c r="F1485" s="38"/>
      <c r="G1485" s="38"/>
      <c r="H1485" s="38"/>
      <c r="I1485" s="39"/>
      <c r="J1485" s="38"/>
    </row>
    <row r="1486" spans="2:10" ht="12.75" customHeight="1" x14ac:dyDescent="0.2">
      <c r="B1486" s="37"/>
      <c r="C1486" s="37" t="str">
        <f>IF(D1486="","",MATCH(D1486,Parametros!$B$4:$B$15,0))</f>
        <v/>
      </c>
      <c r="D1486" s="38"/>
      <c r="E1486" s="38"/>
      <c r="F1486" s="38"/>
      <c r="G1486" s="38"/>
      <c r="H1486" s="38"/>
      <c r="I1486" s="39"/>
      <c r="J1486" s="38"/>
    </row>
    <row r="1487" spans="2:10" ht="12.75" customHeight="1" x14ac:dyDescent="0.2">
      <c r="B1487" s="37"/>
      <c r="C1487" s="37" t="str">
        <f>IF(D1487="","",MATCH(D1487,Parametros!$B$4:$B$15,0))</f>
        <v/>
      </c>
      <c r="D1487" s="38"/>
      <c r="E1487" s="38"/>
      <c r="F1487" s="38"/>
      <c r="G1487" s="38"/>
      <c r="H1487" s="38"/>
      <c r="I1487" s="39"/>
      <c r="J1487" s="38"/>
    </row>
    <row r="1488" spans="2:10" ht="12.75" customHeight="1" x14ac:dyDescent="0.2">
      <c r="B1488" s="37"/>
      <c r="C1488" s="37" t="str">
        <f>IF(D1488="","",MATCH(D1488,Parametros!$B$4:$B$15,0))</f>
        <v/>
      </c>
      <c r="D1488" s="38"/>
      <c r="E1488" s="38"/>
      <c r="F1488" s="38"/>
      <c r="G1488" s="38"/>
      <c r="H1488" s="38"/>
      <c r="I1488" s="39"/>
      <c r="J1488" s="38"/>
    </row>
    <row r="1489" spans="2:10" ht="12.75" customHeight="1" x14ac:dyDescent="0.2">
      <c r="B1489" s="37"/>
      <c r="C1489" s="37" t="str">
        <f>IF(D1489="","",MATCH(D1489,Parametros!$B$4:$B$15,0))</f>
        <v/>
      </c>
      <c r="D1489" s="38"/>
      <c r="E1489" s="38"/>
      <c r="F1489" s="38"/>
      <c r="G1489" s="38"/>
      <c r="H1489" s="38"/>
      <c r="I1489" s="39"/>
      <c r="J1489" s="38"/>
    </row>
    <row r="1490" spans="2:10" ht="12.75" customHeight="1" x14ac:dyDescent="0.2">
      <c r="B1490" s="37"/>
      <c r="C1490" s="37" t="str">
        <f>IF(D1490="","",MATCH(D1490,Parametros!$B$4:$B$15,0))</f>
        <v/>
      </c>
      <c r="D1490" s="38"/>
      <c r="E1490" s="38"/>
      <c r="F1490" s="38"/>
      <c r="G1490" s="38"/>
      <c r="H1490" s="38"/>
      <c r="I1490" s="39"/>
      <c r="J1490" s="38"/>
    </row>
    <row r="1491" spans="2:10" ht="12.75" customHeight="1" x14ac:dyDescent="0.2">
      <c r="B1491" s="37"/>
      <c r="C1491" s="37" t="str">
        <f>IF(D1491="","",MATCH(D1491,Parametros!$B$4:$B$15,0))</f>
        <v/>
      </c>
      <c r="D1491" s="38"/>
      <c r="E1491" s="38"/>
      <c r="F1491" s="38"/>
      <c r="G1491" s="38"/>
      <c r="H1491" s="38"/>
      <c r="I1491" s="39"/>
      <c r="J1491" s="38"/>
    </row>
    <row r="1492" spans="2:10" ht="12.75" customHeight="1" x14ac:dyDescent="0.2">
      <c r="B1492" s="37"/>
      <c r="C1492" s="37" t="str">
        <f>IF(D1492="","",MATCH(D1492,Parametros!$B$4:$B$15,0))</f>
        <v/>
      </c>
      <c r="D1492" s="38"/>
      <c r="E1492" s="38"/>
      <c r="F1492" s="38"/>
      <c r="G1492" s="38"/>
      <c r="H1492" s="38"/>
      <c r="I1492" s="39"/>
      <c r="J1492" s="38"/>
    </row>
    <row r="1493" spans="2:10" ht="12.75" customHeight="1" x14ac:dyDescent="0.2">
      <c r="B1493" s="37"/>
      <c r="C1493" s="37" t="str">
        <f>IF(D1493="","",MATCH(D1493,Parametros!$B$4:$B$15,0))</f>
        <v/>
      </c>
      <c r="D1493" s="38"/>
      <c r="E1493" s="38"/>
      <c r="F1493" s="38"/>
      <c r="G1493" s="38"/>
      <c r="H1493" s="38"/>
      <c r="I1493" s="39"/>
      <c r="J1493" s="38"/>
    </row>
    <row r="1494" spans="2:10" ht="12.75" customHeight="1" x14ac:dyDescent="0.2">
      <c r="B1494" s="37"/>
      <c r="C1494" s="37" t="str">
        <f>IF(D1494="","",MATCH(D1494,Parametros!$B$4:$B$15,0))</f>
        <v/>
      </c>
      <c r="D1494" s="38"/>
      <c r="E1494" s="38"/>
      <c r="F1494" s="38"/>
      <c r="G1494" s="38"/>
      <c r="H1494" s="38"/>
      <c r="I1494" s="39"/>
      <c r="J1494" s="38"/>
    </row>
    <row r="1495" spans="2:10" ht="12.75" customHeight="1" x14ac:dyDescent="0.2">
      <c r="B1495" s="37"/>
      <c r="C1495" s="37" t="str">
        <f>IF(D1495="","",MATCH(D1495,Parametros!$B$4:$B$15,0))</f>
        <v/>
      </c>
      <c r="D1495" s="38"/>
      <c r="E1495" s="38"/>
      <c r="F1495" s="38"/>
      <c r="G1495" s="38"/>
      <c r="H1495" s="38"/>
      <c r="I1495" s="39"/>
      <c r="J1495" s="38"/>
    </row>
    <row r="1496" spans="2:10" ht="12.75" customHeight="1" x14ac:dyDescent="0.2">
      <c r="B1496" s="37"/>
      <c r="C1496" s="37" t="str">
        <f>IF(D1496="","",MATCH(D1496,Parametros!$B$4:$B$15,0))</f>
        <v/>
      </c>
      <c r="D1496" s="38"/>
      <c r="E1496" s="38"/>
      <c r="F1496" s="38"/>
      <c r="G1496" s="38"/>
      <c r="H1496" s="38"/>
      <c r="I1496" s="39"/>
      <c r="J1496" s="38"/>
    </row>
    <row r="1497" spans="2:10" ht="12.75" customHeight="1" x14ac:dyDescent="0.2">
      <c r="B1497" s="37"/>
      <c r="C1497" s="37" t="str">
        <f>IF(D1497="","",MATCH(D1497,Parametros!$B$4:$B$15,0))</f>
        <v/>
      </c>
      <c r="D1497" s="38"/>
      <c r="E1497" s="38"/>
      <c r="F1497" s="38"/>
      <c r="G1497" s="38"/>
      <c r="H1497" s="38"/>
      <c r="I1497" s="39"/>
      <c r="J1497" s="38"/>
    </row>
    <row r="1498" spans="2:10" ht="12.75" customHeight="1" x14ac:dyDescent="0.2">
      <c r="B1498" s="37"/>
      <c r="C1498" s="37" t="str">
        <f>IF(D1498="","",MATCH(D1498,Parametros!$B$4:$B$15,0))</f>
        <v/>
      </c>
      <c r="D1498" s="38"/>
      <c r="E1498" s="38"/>
      <c r="F1498" s="38"/>
      <c r="G1498" s="38"/>
      <c r="H1498" s="38"/>
      <c r="I1498" s="39"/>
      <c r="J1498" s="38"/>
    </row>
    <row r="1499" spans="2:10" ht="12.75" customHeight="1" x14ac:dyDescent="0.2">
      <c r="B1499" s="37"/>
      <c r="C1499" s="37" t="str">
        <f>IF(D1499="","",MATCH(D1499,Parametros!$B$4:$B$15,0))</f>
        <v/>
      </c>
      <c r="D1499" s="38"/>
      <c r="E1499" s="38"/>
      <c r="F1499" s="38"/>
      <c r="G1499" s="38"/>
      <c r="H1499" s="38"/>
      <c r="I1499" s="39"/>
      <c r="J1499" s="38"/>
    </row>
    <row r="1500" spans="2:10" ht="12.75" customHeight="1" x14ac:dyDescent="0.2">
      <c r="B1500" s="37"/>
      <c r="C1500" s="37" t="str">
        <f>IF(D1500="","",MATCH(D1500,Parametros!$B$4:$B$15,0))</f>
        <v/>
      </c>
      <c r="D1500" s="38"/>
      <c r="E1500" s="38"/>
      <c r="F1500" s="38"/>
      <c r="G1500" s="38"/>
      <c r="H1500" s="38"/>
      <c r="I1500" s="39"/>
      <c r="J1500" s="38"/>
    </row>
    <row r="1501" spans="2:10" ht="12.75" customHeight="1" x14ac:dyDescent="0.2">
      <c r="B1501" s="37"/>
      <c r="C1501" s="37" t="str">
        <f>IF(D1501="","",MATCH(D1501,Parametros!$B$4:$B$15,0))</f>
        <v/>
      </c>
      <c r="D1501" s="38"/>
      <c r="E1501" s="38"/>
      <c r="F1501" s="38"/>
      <c r="G1501" s="38"/>
      <c r="H1501" s="38"/>
      <c r="I1501" s="39"/>
      <c r="J1501" s="38"/>
    </row>
    <row r="1502" spans="2:10" ht="12.75" customHeight="1" x14ac:dyDescent="0.2">
      <c r="B1502" s="37"/>
      <c r="C1502" s="37" t="str">
        <f>IF(D1502="","",MATCH(D1502,Parametros!$B$4:$B$15,0))</f>
        <v/>
      </c>
      <c r="D1502" s="38"/>
      <c r="E1502" s="38"/>
      <c r="F1502" s="38"/>
      <c r="G1502" s="38"/>
      <c r="H1502" s="38"/>
      <c r="I1502" s="39"/>
      <c r="J1502" s="38"/>
    </row>
    <row r="1503" spans="2:10" ht="12.75" customHeight="1" x14ac:dyDescent="0.2">
      <c r="B1503" s="37"/>
      <c r="C1503" s="37" t="str">
        <f>IF(D1503="","",MATCH(D1503,Parametros!$B$4:$B$15,0))</f>
        <v/>
      </c>
      <c r="D1503" s="38"/>
      <c r="E1503" s="38"/>
      <c r="F1503" s="38"/>
      <c r="G1503" s="38"/>
      <c r="H1503" s="38"/>
      <c r="I1503" s="39"/>
      <c r="J1503" s="38"/>
    </row>
    <row r="1504" spans="2:10" ht="12.75" customHeight="1" x14ac:dyDescent="0.2">
      <c r="B1504" s="37"/>
      <c r="C1504" s="37" t="str">
        <f>IF(D1504="","",MATCH(D1504,Parametros!$B$4:$B$15,0))</f>
        <v/>
      </c>
      <c r="D1504" s="38"/>
      <c r="E1504" s="38"/>
      <c r="F1504" s="38"/>
      <c r="G1504" s="38"/>
      <c r="H1504" s="38"/>
      <c r="I1504" s="39"/>
      <c r="J1504" s="38"/>
    </row>
    <row r="1505" spans="2:10" ht="12.75" customHeight="1" x14ac:dyDescent="0.2">
      <c r="B1505" s="37"/>
      <c r="C1505" s="37" t="str">
        <f>IF(D1505="","",MATCH(D1505,Parametros!$B$4:$B$15,0))</f>
        <v/>
      </c>
      <c r="D1505" s="38"/>
      <c r="E1505" s="38"/>
      <c r="F1505" s="38"/>
      <c r="G1505" s="38"/>
      <c r="H1505" s="38"/>
      <c r="I1505" s="39"/>
      <c r="J1505" s="38"/>
    </row>
    <row r="1506" spans="2:10" ht="12.75" customHeight="1" x14ac:dyDescent="0.2">
      <c r="B1506" s="37"/>
      <c r="C1506" s="37" t="str">
        <f>IF(D1506="","",MATCH(D1506,Parametros!$B$4:$B$15,0))</f>
        <v/>
      </c>
      <c r="D1506" s="38"/>
      <c r="E1506" s="38"/>
      <c r="F1506" s="38"/>
      <c r="G1506" s="38"/>
      <c r="H1506" s="38"/>
      <c r="I1506" s="39"/>
      <c r="J1506" s="38"/>
    </row>
    <row r="1507" spans="2:10" ht="12.75" customHeight="1" x14ac:dyDescent="0.2">
      <c r="B1507" s="37"/>
      <c r="C1507" s="37" t="str">
        <f>IF(D1507="","",MATCH(D1507,Parametros!$B$4:$B$15,0))</f>
        <v/>
      </c>
      <c r="D1507" s="38"/>
      <c r="E1507" s="38"/>
      <c r="F1507" s="38"/>
      <c r="G1507" s="38"/>
      <c r="H1507" s="38"/>
      <c r="I1507" s="39"/>
      <c r="J1507" s="38"/>
    </row>
    <row r="1508" spans="2:10" ht="12.75" customHeight="1" x14ac:dyDescent="0.2">
      <c r="B1508" s="37"/>
      <c r="C1508" s="37" t="str">
        <f>IF(D1508="","",MATCH(D1508,Parametros!$B$4:$B$15,0))</f>
        <v/>
      </c>
      <c r="D1508" s="38"/>
      <c r="E1508" s="38"/>
      <c r="F1508" s="38"/>
      <c r="G1508" s="38"/>
      <c r="H1508" s="38"/>
      <c r="I1508" s="39"/>
      <c r="J1508" s="38"/>
    </row>
    <row r="1509" spans="2:10" ht="12.75" customHeight="1" x14ac:dyDescent="0.2">
      <c r="B1509" s="37"/>
      <c r="C1509" s="37" t="str">
        <f>IF(D1509="","",MATCH(D1509,Parametros!$B$4:$B$15,0))</f>
        <v/>
      </c>
      <c r="D1509" s="38"/>
      <c r="E1509" s="38"/>
      <c r="F1509" s="38"/>
      <c r="G1509" s="38"/>
      <c r="H1509" s="38"/>
      <c r="I1509" s="39"/>
      <c r="J1509" s="38"/>
    </row>
    <row r="1510" spans="2:10" ht="12.75" customHeight="1" x14ac:dyDescent="0.2">
      <c r="B1510" s="37"/>
      <c r="C1510" s="37" t="str">
        <f>IF(D1510="","",MATCH(D1510,Parametros!$B$4:$B$15,0))</f>
        <v/>
      </c>
      <c r="D1510" s="38"/>
      <c r="E1510" s="38"/>
      <c r="F1510" s="38"/>
      <c r="G1510" s="38"/>
      <c r="H1510" s="38"/>
      <c r="I1510" s="39"/>
      <c r="J1510" s="38"/>
    </row>
    <row r="1511" spans="2:10" ht="12.75" customHeight="1" x14ac:dyDescent="0.2">
      <c r="B1511" s="37"/>
      <c r="C1511" s="37" t="str">
        <f>IF(D1511="","",MATCH(D1511,Parametros!$B$4:$B$15,0))</f>
        <v/>
      </c>
      <c r="D1511" s="38"/>
      <c r="E1511" s="38"/>
      <c r="F1511" s="38"/>
      <c r="G1511" s="38"/>
      <c r="H1511" s="38"/>
      <c r="I1511" s="39"/>
      <c r="J1511" s="38"/>
    </row>
    <row r="1512" spans="2:10" ht="12.75" customHeight="1" x14ac:dyDescent="0.2">
      <c r="B1512" s="37"/>
      <c r="C1512" s="37" t="str">
        <f>IF(D1512="","",MATCH(D1512,Parametros!$B$4:$B$15,0))</f>
        <v/>
      </c>
      <c r="D1512" s="38"/>
      <c r="E1512" s="38"/>
      <c r="F1512" s="38"/>
      <c r="G1512" s="38"/>
      <c r="H1512" s="38"/>
      <c r="I1512" s="39"/>
      <c r="J1512" s="38"/>
    </row>
    <row r="1513" spans="2:10" ht="12.75" customHeight="1" x14ac:dyDescent="0.2">
      <c r="B1513" s="37"/>
      <c r="C1513" s="37" t="str">
        <f>IF(D1513="","",MATCH(D1513,Parametros!$B$4:$B$15,0))</f>
        <v/>
      </c>
      <c r="D1513" s="38"/>
      <c r="E1513" s="38"/>
      <c r="F1513" s="38"/>
      <c r="G1513" s="38"/>
      <c r="H1513" s="38"/>
      <c r="I1513" s="39"/>
      <c r="J1513" s="38"/>
    </row>
    <row r="1514" spans="2:10" ht="12.75" customHeight="1" x14ac:dyDescent="0.2">
      <c r="B1514" s="37"/>
      <c r="C1514" s="37" t="str">
        <f>IF(D1514="","",MATCH(D1514,Parametros!$B$4:$B$15,0))</f>
        <v/>
      </c>
      <c r="D1514" s="38"/>
      <c r="E1514" s="38"/>
      <c r="F1514" s="38"/>
      <c r="G1514" s="38"/>
      <c r="H1514" s="38"/>
      <c r="I1514" s="39"/>
      <c r="J1514" s="38"/>
    </row>
    <row r="1515" spans="2:10" ht="12.75" customHeight="1" x14ac:dyDescent="0.2">
      <c r="B1515" s="37"/>
      <c r="C1515" s="37" t="str">
        <f>IF(D1515="","",MATCH(D1515,Parametros!$B$4:$B$15,0))</f>
        <v/>
      </c>
      <c r="D1515" s="38"/>
      <c r="E1515" s="38"/>
      <c r="F1515" s="38"/>
      <c r="G1515" s="38"/>
      <c r="H1515" s="38"/>
      <c r="I1515" s="39"/>
      <c r="J1515" s="38"/>
    </row>
    <row r="1516" spans="2:10" ht="12.75" customHeight="1" x14ac:dyDescent="0.2">
      <c r="B1516" s="37"/>
      <c r="C1516" s="37" t="str">
        <f>IF(D1516="","",MATCH(D1516,Parametros!$B$4:$B$15,0))</f>
        <v/>
      </c>
      <c r="D1516" s="38"/>
      <c r="E1516" s="38"/>
      <c r="F1516" s="38"/>
      <c r="G1516" s="38"/>
      <c r="H1516" s="38"/>
      <c r="I1516" s="39"/>
      <c r="J1516" s="38"/>
    </row>
    <row r="1517" spans="2:10" ht="12.75" customHeight="1" x14ac:dyDescent="0.2">
      <c r="B1517" s="37"/>
      <c r="C1517" s="37" t="str">
        <f>IF(D1517="","",MATCH(D1517,Parametros!$B$4:$B$15,0))</f>
        <v/>
      </c>
      <c r="D1517" s="38"/>
      <c r="E1517" s="38"/>
      <c r="F1517" s="38"/>
      <c r="G1517" s="38"/>
      <c r="H1517" s="38"/>
      <c r="I1517" s="39"/>
      <c r="J1517" s="38"/>
    </row>
    <row r="1518" spans="2:10" ht="12.75" customHeight="1" x14ac:dyDescent="0.2">
      <c r="B1518" s="37"/>
      <c r="C1518" s="37" t="str">
        <f>IF(D1518="","",MATCH(D1518,Parametros!$B$4:$B$15,0))</f>
        <v/>
      </c>
      <c r="D1518" s="38"/>
      <c r="E1518" s="38"/>
      <c r="F1518" s="38"/>
      <c r="G1518" s="38"/>
      <c r="H1518" s="38"/>
      <c r="I1518" s="39"/>
      <c r="J1518" s="38"/>
    </row>
    <row r="1519" spans="2:10" ht="12.75" customHeight="1" x14ac:dyDescent="0.2">
      <c r="B1519" s="37"/>
      <c r="C1519" s="37" t="str">
        <f>IF(D1519="","",MATCH(D1519,Parametros!$B$4:$B$15,0))</f>
        <v/>
      </c>
      <c r="D1519" s="38"/>
      <c r="E1519" s="38"/>
      <c r="F1519" s="38"/>
      <c r="G1519" s="38"/>
      <c r="H1519" s="38"/>
      <c r="I1519" s="39"/>
      <c r="J1519" s="38"/>
    </row>
    <row r="1520" spans="2:10" ht="12.75" customHeight="1" x14ac:dyDescent="0.2">
      <c r="B1520" s="37"/>
      <c r="C1520" s="37" t="str">
        <f>IF(D1520="","",MATCH(D1520,Parametros!$B$4:$B$15,0))</f>
        <v/>
      </c>
      <c r="D1520" s="38"/>
      <c r="E1520" s="38"/>
      <c r="F1520" s="38"/>
      <c r="G1520" s="38"/>
      <c r="H1520" s="38"/>
      <c r="I1520" s="39"/>
      <c r="J1520" s="38"/>
    </row>
    <row r="1521" spans="2:10" ht="12.75" customHeight="1" x14ac:dyDescent="0.2">
      <c r="B1521" s="37"/>
      <c r="C1521" s="37" t="str">
        <f>IF(D1521="","",MATCH(D1521,Parametros!$B$4:$B$15,0))</f>
        <v/>
      </c>
      <c r="D1521" s="38"/>
      <c r="E1521" s="38"/>
      <c r="F1521" s="38"/>
      <c r="G1521" s="38"/>
      <c r="H1521" s="38"/>
      <c r="I1521" s="39"/>
      <c r="J1521" s="38"/>
    </row>
    <row r="1522" spans="2:10" ht="12.75" customHeight="1" x14ac:dyDescent="0.2">
      <c r="B1522" s="37"/>
      <c r="C1522" s="37" t="str">
        <f>IF(D1522="","",MATCH(D1522,Parametros!$B$4:$B$15,0))</f>
        <v/>
      </c>
      <c r="D1522" s="38"/>
      <c r="E1522" s="38"/>
      <c r="F1522" s="38"/>
      <c r="G1522" s="38"/>
      <c r="H1522" s="38"/>
      <c r="I1522" s="39"/>
      <c r="J1522" s="38"/>
    </row>
    <row r="1523" spans="2:10" ht="12.75" customHeight="1" x14ac:dyDescent="0.2">
      <c r="B1523" s="37"/>
      <c r="C1523" s="37" t="str">
        <f>IF(D1523="","",MATCH(D1523,Parametros!$B$4:$B$15,0))</f>
        <v/>
      </c>
      <c r="D1523" s="38"/>
      <c r="E1523" s="38"/>
      <c r="F1523" s="38"/>
      <c r="G1523" s="38"/>
      <c r="H1523" s="38"/>
      <c r="I1523" s="39"/>
      <c r="J1523" s="38"/>
    </row>
    <row r="1524" spans="2:10" ht="12.75" customHeight="1" x14ac:dyDescent="0.2">
      <c r="B1524" s="37"/>
      <c r="C1524" s="37" t="str">
        <f>IF(D1524="","",MATCH(D1524,Parametros!$B$4:$B$15,0))</f>
        <v/>
      </c>
      <c r="D1524" s="38"/>
      <c r="E1524" s="38"/>
      <c r="F1524" s="38"/>
      <c r="G1524" s="38"/>
      <c r="H1524" s="38"/>
      <c r="I1524" s="39"/>
      <c r="J1524" s="38"/>
    </row>
    <row r="1525" spans="2:10" ht="12.75" customHeight="1" x14ac:dyDescent="0.2">
      <c r="B1525" s="37"/>
      <c r="C1525" s="37" t="str">
        <f>IF(D1525="","",MATCH(D1525,Parametros!$B$4:$B$15,0))</f>
        <v/>
      </c>
      <c r="D1525" s="38"/>
      <c r="E1525" s="38"/>
      <c r="F1525" s="38"/>
      <c r="G1525" s="38"/>
      <c r="H1525" s="38"/>
      <c r="I1525" s="39"/>
      <c r="J1525" s="38"/>
    </row>
    <row r="1526" spans="2:10" ht="12.75" customHeight="1" x14ac:dyDescent="0.2">
      <c r="B1526" s="37"/>
      <c r="C1526" s="37" t="str">
        <f>IF(D1526="","",MATCH(D1526,Parametros!$B$4:$B$15,0))</f>
        <v/>
      </c>
      <c r="D1526" s="38"/>
      <c r="E1526" s="38"/>
      <c r="F1526" s="38"/>
      <c r="G1526" s="38"/>
      <c r="H1526" s="38"/>
      <c r="I1526" s="39"/>
      <c r="J1526" s="38"/>
    </row>
    <row r="1527" spans="2:10" ht="12.75" customHeight="1" x14ac:dyDescent="0.2">
      <c r="B1527" s="37"/>
      <c r="C1527" s="37" t="str">
        <f>IF(D1527="","",MATCH(D1527,Parametros!$B$4:$B$15,0))</f>
        <v/>
      </c>
      <c r="D1527" s="38"/>
      <c r="E1527" s="38"/>
      <c r="F1527" s="38"/>
      <c r="G1527" s="38"/>
      <c r="H1527" s="38"/>
      <c r="I1527" s="39"/>
      <c r="J1527" s="38"/>
    </row>
    <row r="1528" spans="2:10" ht="12.75" customHeight="1" x14ac:dyDescent="0.2">
      <c r="B1528" s="37"/>
      <c r="C1528" s="37" t="str">
        <f>IF(D1528="","",MATCH(D1528,Parametros!$B$4:$B$15,0))</f>
        <v/>
      </c>
      <c r="D1528" s="38"/>
      <c r="E1528" s="38"/>
      <c r="F1528" s="38"/>
      <c r="G1528" s="38"/>
      <c r="H1528" s="38"/>
      <c r="I1528" s="39"/>
      <c r="J1528" s="38"/>
    </row>
    <row r="1529" spans="2:10" ht="12.75" customHeight="1" x14ac:dyDescent="0.2">
      <c r="B1529" s="37"/>
      <c r="C1529" s="37" t="str">
        <f>IF(D1529="","",MATCH(D1529,Parametros!$B$4:$B$15,0))</f>
        <v/>
      </c>
      <c r="D1529" s="38"/>
      <c r="E1529" s="38"/>
      <c r="F1529" s="38"/>
      <c r="G1529" s="38"/>
      <c r="H1529" s="38"/>
      <c r="I1529" s="39"/>
      <c r="J1529" s="38"/>
    </row>
    <row r="1530" spans="2:10" ht="12.75" customHeight="1" x14ac:dyDescent="0.2">
      <c r="B1530" s="37"/>
      <c r="C1530" s="37" t="str">
        <f>IF(D1530="","",MATCH(D1530,Parametros!$B$4:$B$15,0))</f>
        <v/>
      </c>
      <c r="D1530" s="38"/>
      <c r="E1530" s="38"/>
      <c r="F1530" s="38"/>
      <c r="G1530" s="38"/>
      <c r="H1530" s="38"/>
      <c r="I1530" s="39"/>
      <c r="J1530" s="38"/>
    </row>
    <row r="1531" spans="2:10" ht="12.75" customHeight="1" x14ac:dyDescent="0.2">
      <c r="B1531" s="37"/>
      <c r="C1531" s="37" t="str">
        <f>IF(D1531="","",MATCH(D1531,Parametros!$B$4:$B$15,0))</f>
        <v/>
      </c>
      <c r="D1531" s="38"/>
      <c r="E1531" s="38"/>
      <c r="F1531" s="38"/>
      <c r="G1531" s="38"/>
      <c r="H1531" s="38"/>
      <c r="I1531" s="39"/>
      <c r="J1531" s="38"/>
    </row>
    <row r="1532" spans="2:10" ht="12.75" customHeight="1" x14ac:dyDescent="0.2">
      <c r="B1532" s="37"/>
      <c r="C1532" s="37" t="str">
        <f>IF(D1532="","",MATCH(D1532,Parametros!$B$4:$B$15,0))</f>
        <v/>
      </c>
      <c r="D1532" s="38"/>
      <c r="E1532" s="38"/>
      <c r="F1532" s="38"/>
      <c r="G1532" s="38"/>
      <c r="H1532" s="38"/>
      <c r="I1532" s="39"/>
      <c r="J1532" s="38"/>
    </row>
    <row r="1533" spans="2:10" ht="12.75" customHeight="1" x14ac:dyDescent="0.2">
      <c r="B1533" s="37"/>
      <c r="C1533" s="37" t="str">
        <f>IF(D1533="","",MATCH(D1533,Parametros!$B$4:$B$15,0))</f>
        <v/>
      </c>
      <c r="D1533" s="38"/>
      <c r="E1533" s="38"/>
      <c r="F1533" s="38"/>
      <c r="G1533" s="38"/>
      <c r="H1533" s="38"/>
      <c r="I1533" s="39"/>
      <c r="J1533" s="38"/>
    </row>
    <row r="1534" spans="2:10" ht="12.75" customHeight="1" x14ac:dyDescent="0.2">
      <c r="B1534" s="37"/>
      <c r="C1534" s="37" t="str">
        <f>IF(D1534="","",MATCH(D1534,Parametros!$B$4:$B$15,0))</f>
        <v/>
      </c>
      <c r="D1534" s="38"/>
      <c r="E1534" s="38"/>
      <c r="F1534" s="38"/>
      <c r="G1534" s="38"/>
      <c r="H1534" s="38"/>
      <c r="I1534" s="39"/>
      <c r="J1534" s="38"/>
    </row>
    <row r="1535" spans="2:10" ht="12.75" customHeight="1" x14ac:dyDescent="0.2">
      <c r="B1535" s="37"/>
      <c r="C1535" s="37" t="str">
        <f>IF(D1535="","",MATCH(D1535,Parametros!$B$4:$B$15,0))</f>
        <v/>
      </c>
      <c r="D1535" s="38"/>
      <c r="E1535" s="38"/>
      <c r="F1535" s="38"/>
      <c r="G1535" s="38"/>
      <c r="H1535" s="38"/>
      <c r="I1535" s="39"/>
      <c r="J1535" s="38"/>
    </row>
    <row r="1536" spans="2:10" ht="12.75" customHeight="1" x14ac:dyDescent="0.2">
      <c r="B1536" s="37"/>
      <c r="C1536" s="37" t="str">
        <f>IF(D1536="","",MATCH(D1536,Parametros!$B$4:$B$15,0))</f>
        <v/>
      </c>
      <c r="D1536" s="38"/>
      <c r="E1536" s="38"/>
      <c r="F1536" s="38"/>
      <c r="G1536" s="38"/>
      <c r="H1536" s="38"/>
      <c r="I1536" s="39"/>
      <c r="J1536" s="38"/>
    </row>
    <row r="1537" spans="2:10" ht="12.75" customHeight="1" x14ac:dyDescent="0.2">
      <c r="B1537" s="37"/>
      <c r="C1537" s="37" t="str">
        <f>IF(D1537="","",MATCH(D1537,Parametros!$B$4:$B$15,0))</f>
        <v/>
      </c>
      <c r="D1537" s="38"/>
      <c r="E1537" s="38"/>
      <c r="F1537" s="38"/>
      <c r="G1537" s="38"/>
      <c r="H1537" s="38"/>
      <c r="I1537" s="39"/>
      <c r="J1537" s="38"/>
    </row>
    <row r="1538" spans="2:10" ht="12.75" customHeight="1" x14ac:dyDescent="0.2">
      <c r="B1538" s="37"/>
      <c r="C1538" s="37" t="str">
        <f>IF(D1538="","",MATCH(D1538,Parametros!$B$4:$B$15,0))</f>
        <v/>
      </c>
      <c r="D1538" s="38"/>
      <c r="E1538" s="38"/>
      <c r="F1538" s="38"/>
      <c r="G1538" s="38"/>
      <c r="H1538" s="38"/>
      <c r="I1538" s="39"/>
      <c r="J1538" s="38"/>
    </row>
    <row r="1539" spans="2:10" ht="12.75" customHeight="1" x14ac:dyDescent="0.2">
      <c r="B1539" s="37"/>
      <c r="C1539" s="37" t="str">
        <f>IF(D1539="","",MATCH(D1539,Parametros!$B$4:$B$15,0))</f>
        <v/>
      </c>
      <c r="D1539" s="38"/>
      <c r="E1539" s="38"/>
      <c r="F1539" s="38"/>
      <c r="G1539" s="38"/>
      <c r="H1539" s="38"/>
      <c r="I1539" s="39"/>
      <c r="J1539" s="38"/>
    </row>
    <row r="1540" spans="2:10" ht="12.75" customHeight="1" x14ac:dyDescent="0.2">
      <c r="B1540" s="37"/>
      <c r="C1540" s="37" t="str">
        <f>IF(D1540="","",MATCH(D1540,Parametros!$B$4:$B$15,0))</f>
        <v/>
      </c>
      <c r="D1540" s="38"/>
      <c r="E1540" s="38"/>
      <c r="F1540" s="38"/>
      <c r="G1540" s="38"/>
      <c r="H1540" s="38"/>
      <c r="I1540" s="39"/>
      <c r="J1540" s="38"/>
    </row>
    <row r="1541" spans="2:10" ht="12.75" customHeight="1" x14ac:dyDescent="0.2">
      <c r="B1541" s="37"/>
      <c r="C1541" s="37" t="str">
        <f>IF(D1541="","",MATCH(D1541,Parametros!$B$4:$B$15,0))</f>
        <v/>
      </c>
      <c r="D1541" s="38"/>
      <c r="E1541" s="38"/>
      <c r="F1541" s="38"/>
      <c r="G1541" s="38"/>
      <c r="H1541" s="38"/>
      <c r="I1541" s="39"/>
      <c r="J1541" s="38"/>
    </row>
    <row r="1542" spans="2:10" ht="12.75" customHeight="1" x14ac:dyDescent="0.2">
      <c r="B1542" s="37"/>
      <c r="C1542" s="37" t="str">
        <f>IF(D1542="","",MATCH(D1542,Parametros!$B$4:$B$15,0))</f>
        <v/>
      </c>
      <c r="D1542" s="38"/>
      <c r="E1542" s="38"/>
      <c r="F1542" s="38"/>
      <c r="G1542" s="38"/>
      <c r="H1542" s="38"/>
      <c r="I1542" s="39"/>
      <c r="J1542" s="38"/>
    </row>
    <row r="1543" spans="2:10" ht="12.75" customHeight="1" x14ac:dyDescent="0.2">
      <c r="B1543" s="37"/>
      <c r="C1543" s="37" t="str">
        <f>IF(D1543="","",MATCH(D1543,Parametros!$B$4:$B$15,0))</f>
        <v/>
      </c>
      <c r="D1543" s="38"/>
      <c r="E1543" s="38"/>
      <c r="F1543" s="38"/>
      <c r="G1543" s="38"/>
      <c r="H1543" s="38"/>
      <c r="I1543" s="39"/>
      <c r="J1543" s="38"/>
    </row>
    <row r="1544" spans="2:10" ht="12.75" customHeight="1" x14ac:dyDescent="0.2">
      <c r="B1544" s="37"/>
      <c r="C1544" s="37" t="str">
        <f>IF(D1544="","",MATCH(D1544,Parametros!$B$4:$B$15,0))</f>
        <v/>
      </c>
      <c r="D1544" s="38"/>
      <c r="E1544" s="38"/>
      <c r="F1544" s="38"/>
      <c r="G1544" s="38"/>
      <c r="H1544" s="38"/>
      <c r="I1544" s="39"/>
      <c r="J1544" s="38"/>
    </row>
    <row r="1545" spans="2:10" ht="12.75" customHeight="1" x14ac:dyDescent="0.2">
      <c r="B1545" s="37"/>
      <c r="C1545" s="37" t="str">
        <f>IF(D1545="","",MATCH(D1545,Parametros!$B$4:$B$15,0))</f>
        <v/>
      </c>
      <c r="D1545" s="38"/>
      <c r="E1545" s="38"/>
      <c r="F1545" s="38"/>
      <c r="G1545" s="38"/>
      <c r="H1545" s="38"/>
      <c r="I1545" s="39"/>
      <c r="J1545" s="38"/>
    </row>
    <row r="1546" spans="2:10" ht="12.75" customHeight="1" x14ac:dyDescent="0.2">
      <c r="B1546" s="37"/>
      <c r="C1546" s="37" t="str">
        <f>IF(D1546="","",MATCH(D1546,Parametros!$B$4:$B$15,0))</f>
        <v/>
      </c>
      <c r="D1546" s="38"/>
      <c r="E1546" s="38"/>
      <c r="F1546" s="38"/>
      <c r="G1546" s="38"/>
      <c r="H1546" s="38"/>
      <c r="I1546" s="39"/>
      <c r="J1546" s="38"/>
    </row>
    <row r="1547" spans="2:10" ht="12.75" customHeight="1" x14ac:dyDescent="0.2">
      <c r="B1547" s="37"/>
      <c r="C1547" s="37" t="str">
        <f>IF(D1547="","",MATCH(D1547,Parametros!$B$4:$B$15,0))</f>
        <v/>
      </c>
      <c r="D1547" s="38"/>
      <c r="E1547" s="38"/>
      <c r="F1547" s="38"/>
      <c r="G1547" s="38"/>
      <c r="H1547" s="38"/>
      <c r="I1547" s="39"/>
      <c r="J1547" s="38"/>
    </row>
    <row r="1548" spans="2:10" ht="12.75" customHeight="1" x14ac:dyDescent="0.2">
      <c r="B1548" s="37"/>
      <c r="C1548" s="37" t="str">
        <f>IF(D1548="","",MATCH(D1548,Parametros!$B$4:$B$15,0))</f>
        <v/>
      </c>
      <c r="D1548" s="38"/>
      <c r="E1548" s="38"/>
      <c r="F1548" s="38"/>
      <c r="G1548" s="38"/>
      <c r="H1548" s="38"/>
      <c r="I1548" s="39"/>
      <c r="J1548" s="38"/>
    </row>
    <row r="1549" spans="2:10" ht="12.75" customHeight="1" x14ac:dyDescent="0.2">
      <c r="B1549" s="37"/>
      <c r="C1549" s="37" t="str">
        <f>IF(D1549="","",MATCH(D1549,Parametros!$B$4:$B$15,0))</f>
        <v/>
      </c>
      <c r="D1549" s="38"/>
      <c r="E1549" s="38"/>
      <c r="F1549" s="38"/>
      <c r="G1549" s="38"/>
      <c r="H1549" s="38"/>
      <c r="I1549" s="39"/>
      <c r="J1549" s="38"/>
    </row>
    <row r="1550" spans="2:10" ht="12.75" customHeight="1" x14ac:dyDescent="0.2">
      <c r="B1550" s="37"/>
      <c r="C1550" s="37" t="str">
        <f>IF(D1550="","",MATCH(D1550,Parametros!$B$4:$B$15,0))</f>
        <v/>
      </c>
      <c r="D1550" s="38"/>
      <c r="E1550" s="38"/>
      <c r="F1550" s="38"/>
      <c r="G1550" s="38"/>
      <c r="H1550" s="38"/>
      <c r="I1550" s="39"/>
      <c r="J1550" s="38"/>
    </row>
    <row r="1551" spans="2:10" ht="12.75" customHeight="1" x14ac:dyDescent="0.2">
      <c r="B1551" s="37"/>
      <c r="C1551" s="37" t="str">
        <f>IF(D1551="","",MATCH(D1551,Parametros!$B$4:$B$15,0))</f>
        <v/>
      </c>
      <c r="D1551" s="38"/>
      <c r="E1551" s="38"/>
      <c r="F1551" s="38"/>
      <c r="G1551" s="38"/>
      <c r="H1551" s="38"/>
      <c r="I1551" s="39"/>
      <c r="J1551" s="38"/>
    </row>
    <row r="1552" spans="2:10" ht="12.75" customHeight="1" x14ac:dyDescent="0.2">
      <c r="B1552" s="37"/>
      <c r="C1552" s="37" t="str">
        <f>IF(D1552="","",MATCH(D1552,Parametros!$B$4:$B$15,0))</f>
        <v/>
      </c>
      <c r="D1552" s="38"/>
      <c r="E1552" s="38"/>
      <c r="F1552" s="38"/>
      <c r="G1552" s="38"/>
      <c r="H1552" s="38"/>
      <c r="I1552" s="39"/>
      <c r="J1552" s="38"/>
    </row>
    <row r="1553" spans="2:10" ht="12.75" customHeight="1" x14ac:dyDescent="0.2">
      <c r="B1553" s="37"/>
      <c r="C1553" s="37" t="str">
        <f>IF(D1553="","",MATCH(D1553,Parametros!$B$4:$B$15,0))</f>
        <v/>
      </c>
      <c r="D1553" s="38"/>
      <c r="E1553" s="38"/>
      <c r="F1553" s="38"/>
      <c r="G1553" s="38"/>
      <c r="H1553" s="38"/>
      <c r="I1553" s="39"/>
      <c r="J1553" s="38"/>
    </row>
    <row r="1554" spans="2:10" ht="12.75" customHeight="1" x14ac:dyDescent="0.2">
      <c r="B1554" s="37"/>
      <c r="C1554" s="37" t="str">
        <f>IF(D1554="","",MATCH(D1554,Parametros!$B$4:$B$15,0))</f>
        <v/>
      </c>
      <c r="D1554" s="38"/>
      <c r="E1554" s="38"/>
      <c r="F1554" s="38"/>
      <c r="G1554" s="38"/>
      <c r="H1554" s="38"/>
      <c r="I1554" s="39"/>
      <c r="J1554" s="38"/>
    </row>
    <row r="1555" spans="2:10" ht="12.75" customHeight="1" x14ac:dyDescent="0.2">
      <c r="B1555" s="37"/>
      <c r="C1555" s="37" t="str">
        <f>IF(D1555="","",MATCH(D1555,Parametros!$B$4:$B$15,0))</f>
        <v/>
      </c>
      <c r="D1555" s="38"/>
      <c r="E1555" s="38"/>
      <c r="F1555" s="38"/>
      <c r="G1555" s="38"/>
      <c r="H1555" s="38"/>
      <c r="I1555" s="39"/>
      <c r="J1555" s="38"/>
    </row>
    <row r="1556" spans="2:10" ht="12.75" customHeight="1" x14ac:dyDescent="0.2">
      <c r="B1556" s="37"/>
      <c r="C1556" s="37" t="str">
        <f>IF(D1556="","",MATCH(D1556,Parametros!$B$4:$B$15,0))</f>
        <v/>
      </c>
      <c r="D1556" s="38"/>
      <c r="E1556" s="38"/>
      <c r="F1556" s="38"/>
      <c r="G1556" s="38"/>
      <c r="H1556" s="38"/>
      <c r="I1556" s="39"/>
      <c r="J1556" s="38"/>
    </row>
    <row r="1557" spans="2:10" ht="12.75" customHeight="1" x14ac:dyDescent="0.2">
      <c r="B1557" s="37"/>
      <c r="C1557" s="37" t="str">
        <f>IF(D1557="","",MATCH(D1557,Parametros!$B$4:$B$15,0))</f>
        <v/>
      </c>
      <c r="D1557" s="38"/>
      <c r="E1557" s="38"/>
      <c r="F1557" s="38"/>
      <c r="G1557" s="38"/>
      <c r="H1557" s="38"/>
      <c r="I1557" s="39"/>
      <c r="J1557" s="38"/>
    </row>
    <row r="1558" spans="2:10" ht="12.75" customHeight="1" x14ac:dyDescent="0.2">
      <c r="B1558" s="37"/>
      <c r="C1558" s="37" t="str">
        <f>IF(D1558="","",MATCH(D1558,Parametros!$B$4:$B$15,0))</f>
        <v/>
      </c>
      <c r="D1558" s="38"/>
      <c r="E1558" s="38"/>
      <c r="F1558" s="38"/>
      <c r="G1558" s="38"/>
      <c r="H1558" s="38"/>
      <c r="I1558" s="39"/>
      <c r="J1558" s="38"/>
    </row>
    <row r="1559" spans="2:10" ht="12.75" customHeight="1" x14ac:dyDescent="0.2">
      <c r="B1559" s="37"/>
      <c r="C1559" s="37" t="str">
        <f>IF(D1559="","",MATCH(D1559,Parametros!$B$4:$B$15,0))</f>
        <v/>
      </c>
      <c r="D1559" s="38"/>
      <c r="E1559" s="38"/>
      <c r="F1559" s="38"/>
      <c r="G1559" s="38"/>
      <c r="H1559" s="38"/>
      <c r="I1559" s="39"/>
      <c r="J1559" s="38"/>
    </row>
    <row r="1560" spans="2:10" ht="12.75" customHeight="1" x14ac:dyDescent="0.2">
      <c r="B1560" s="37"/>
      <c r="C1560" s="37" t="str">
        <f>IF(D1560="","",MATCH(D1560,Parametros!$B$4:$B$15,0))</f>
        <v/>
      </c>
      <c r="D1560" s="38"/>
      <c r="E1560" s="38"/>
      <c r="F1560" s="38"/>
      <c r="G1560" s="38"/>
      <c r="H1560" s="38"/>
      <c r="I1560" s="39"/>
      <c r="J1560" s="38"/>
    </row>
    <row r="1561" spans="2:10" ht="12.75" customHeight="1" x14ac:dyDescent="0.2">
      <c r="B1561" s="37"/>
      <c r="C1561" s="37" t="str">
        <f>IF(D1561="","",MATCH(D1561,Parametros!$B$4:$B$15,0))</f>
        <v/>
      </c>
      <c r="D1561" s="38"/>
      <c r="E1561" s="38"/>
      <c r="F1561" s="38"/>
      <c r="G1561" s="38"/>
      <c r="H1561" s="38"/>
      <c r="I1561" s="39"/>
      <c r="J1561" s="38"/>
    </row>
    <row r="1562" spans="2:10" ht="12.75" customHeight="1" x14ac:dyDescent="0.2">
      <c r="B1562" s="37"/>
      <c r="C1562" s="37" t="str">
        <f>IF(D1562="","",MATCH(D1562,Parametros!$B$4:$B$15,0))</f>
        <v/>
      </c>
      <c r="D1562" s="38"/>
      <c r="E1562" s="38"/>
      <c r="F1562" s="38"/>
      <c r="G1562" s="38"/>
      <c r="H1562" s="38"/>
      <c r="I1562" s="39"/>
      <c r="J1562" s="38"/>
    </row>
    <row r="1563" spans="2:10" ht="12.75" customHeight="1" x14ac:dyDescent="0.2">
      <c r="B1563" s="37"/>
      <c r="C1563" s="37" t="str">
        <f>IF(D1563="","",MATCH(D1563,Parametros!$B$4:$B$15,0))</f>
        <v/>
      </c>
      <c r="D1563" s="38"/>
      <c r="E1563" s="38"/>
      <c r="F1563" s="38"/>
      <c r="G1563" s="38"/>
      <c r="H1563" s="38"/>
      <c r="I1563" s="39"/>
      <c r="J1563" s="38"/>
    </row>
    <row r="1564" spans="2:10" ht="12.75" customHeight="1" x14ac:dyDescent="0.2">
      <c r="B1564" s="37"/>
      <c r="C1564" s="37" t="str">
        <f>IF(D1564="","",MATCH(D1564,Parametros!$B$4:$B$15,0))</f>
        <v/>
      </c>
      <c r="D1564" s="38"/>
      <c r="E1564" s="38"/>
      <c r="F1564" s="38"/>
      <c r="G1564" s="38"/>
      <c r="H1564" s="38"/>
      <c r="I1564" s="39"/>
      <c r="J1564" s="38"/>
    </row>
    <row r="1565" spans="2:10" ht="12.75" customHeight="1" x14ac:dyDescent="0.2">
      <c r="B1565" s="37"/>
      <c r="C1565" s="37" t="str">
        <f>IF(D1565="","",MATCH(D1565,Parametros!$B$4:$B$15,0))</f>
        <v/>
      </c>
      <c r="D1565" s="38"/>
      <c r="E1565" s="38"/>
      <c r="F1565" s="38"/>
      <c r="G1565" s="38"/>
      <c r="H1565" s="38"/>
      <c r="I1565" s="39"/>
      <c r="J1565" s="38"/>
    </row>
    <row r="1566" spans="2:10" ht="12.75" customHeight="1" x14ac:dyDescent="0.2">
      <c r="B1566" s="37"/>
      <c r="C1566" s="37" t="str">
        <f>IF(D1566="","",MATCH(D1566,Parametros!$B$4:$B$15,0))</f>
        <v/>
      </c>
      <c r="D1566" s="38"/>
      <c r="E1566" s="38"/>
      <c r="F1566" s="38"/>
      <c r="G1566" s="38"/>
      <c r="H1566" s="38"/>
      <c r="I1566" s="39"/>
      <c r="J1566" s="38"/>
    </row>
    <row r="1567" spans="2:10" ht="12.75" customHeight="1" x14ac:dyDescent="0.2">
      <c r="B1567" s="37"/>
      <c r="C1567" s="37" t="str">
        <f>IF(D1567="","",MATCH(D1567,Parametros!$B$4:$B$15,0))</f>
        <v/>
      </c>
      <c r="D1567" s="38"/>
      <c r="E1567" s="38"/>
      <c r="F1567" s="38"/>
      <c r="G1567" s="38"/>
      <c r="H1567" s="38"/>
      <c r="I1567" s="39"/>
      <c r="J1567" s="38"/>
    </row>
    <row r="1568" spans="2:10" ht="12.75" customHeight="1" x14ac:dyDescent="0.2">
      <c r="B1568" s="37"/>
      <c r="C1568" s="37" t="str">
        <f>IF(D1568="","",MATCH(D1568,Parametros!$B$4:$B$15,0))</f>
        <v/>
      </c>
      <c r="D1568" s="38"/>
      <c r="E1568" s="38"/>
      <c r="F1568" s="38"/>
      <c r="G1568" s="38"/>
      <c r="H1568" s="38"/>
      <c r="I1568" s="39"/>
      <c r="J1568" s="38"/>
    </row>
    <row r="1569" spans="2:10" ht="12.75" customHeight="1" x14ac:dyDescent="0.2">
      <c r="B1569" s="37"/>
      <c r="C1569" s="37" t="str">
        <f>IF(D1569="","",MATCH(D1569,Parametros!$B$4:$B$15,0))</f>
        <v/>
      </c>
      <c r="D1569" s="38"/>
      <c r="E1569" s="38"/>
      <c r="F1569" s="38"/>
      <c r="G1569" s="38"/>
      <c r="H1569" s="38"/>
      <c r="I1569" s="39"/>
      <c r="J1569" s="38"/>
    </row>
    <row r="1570" spans="2:10" ht="12.75" customHeight="1" x14ac:dyDescent="0.2">
      <c r="B1570" s="37"/>
      <c r="C1570" s="37" t="str">
        <f>IF(D1570="","",MATCH(D1570,Parametros!$B$4:$B$15,0))</f>
        <v/>
      </c>
      <c r="D1570" s="38"/>
      <c r="E1570" s="38"/>
      <c r="F1570" s="38"/>
      <c r="G1570" s="38"/>
      <c r="H1570" s="38"/>
      <c r="I1570" s="39"/>
      <c r="J1570" s="38"/>
    </row>
    <row r="1571" spans="2:10" ht="12.75" customHeight="1" x14ac:dyDescent="0.2">
      <c r="B1571" s="37"/>
      <c r="C1571" s="37" t="str">
        <f>IF(D1571="","",MATCH(D1571,Parametros!$B$4:$B$15,0))</f>
        <v/>
      </c>
      <c r="D1571" s="38"/>
      <c r="E1571" s="38"/>
      <c r="F1571" s="38"/>
      <c r="G1571" s="38"/>
      <c r="H1571" s="38"/>
      <c r="I1571" s="39"/>
      <c r="J1571" s="38"/>
    </row>
    <row r="1572" spans="2:10" ht="12.75" customHeight="1" x14ac:dyDescent="0.2">
      <c r="B1572" s="37"/>
      <c r="C1572" s="37" t="str">
        <f>IF(D1572="","",MATCH(D1572,Parametros!$B$4:$B$15,0))</f>
        <v/>
      </c>
      <c r="D1572" s="38"/>
      <c r="E1572" s="38"/>
      <c r="F1572" s="38"/>
      <c r="G1572" s="38"/>
      <c r="H1572" s="38"/>
      <c r="I1572" s="39"/>
      <c r="J1572" s="38"/>
    </row>
    <row r="1573" spans="2:10" ht="12.75" customHeight="1" x14ac:dyDescent="0.2">
      <c r="B1573" s="37"/>
      <c r="C1573" s="37" t="str">
        <f>IF(D1573="","",MATCH(D1573,Parametros!$B$4:$B$15,0))</f>
        <v/>
      </c>
      <c r="D1573" s="38"/>
      <c r="E1573" s="38"/>
      <c r="F1573" s="38"/>
      <c r="G1573" s="38"/>
      <c r="H1573" s="38"/>
      <c r="I1573" s="39"/>
      <c r="J1573" s="38"/>
    </row>
    <row r="1574" spans="2:10" ht="12.75" customHeight="1" x14ac:dyDescent="0.2">
      <c r="B1574" s="37"/>
      <c r="C1574" s="37" t="str">
        <f>IF(D1574="","",MATCH(D1574,Parametros!$B$4:$B$15,0))</f>
        <v/>
      </c>
      <c r="D1574" s="38"/>
      <c r="E1574" s="38"/>
      <c r="F1574" s="38"/>
      <c r="G1574" s="38"/>
      <c r="H1574" s="38"/>
      <c r="I1574" s="39"/>
      <c r="J1574" s="38"/>
    </row>
    <row r="1575" spans="2:10" ht="12.75" customHeight="1" x14ac:dyDescent="0.2">
      <c r="B1575" s="37"/>
      <c r="C1575" s="37" t="str">
        <f>IF(D1575="","",MATCH(D1575,Parametros!$B$4:$B$15,0))</f>
        <v/>
      </c>
      <c r="D1575" s="38"/>
      <c r="E1575" s="38"/>
      <c r="F1575" s="38"/>
      <c r="G1575" s="38"/>
      <c r="H1575" s="38"/>
      <c r="I1575" s="39"/>
      <c r="J1575" s="38"/>
    </row>
    <row r="1576" spans="2:10" ht="12.75" customHeight="1" x14ac:dyDescent="0.2">
      <c r="B1576" s="37"/>
      <c r="C1576" s="37" t="str">
        <f>IF(D1576="","",MATCH(D1576,Parametros!$B$4:$B$15,0))</f>
        <v/>
      </c>
      <c r="D1576" s="38"/>
      <c r="E1576" s="38"/>
      <c r="F1576" s="38"/>
      <c r="G1576" s="38"/>
      <c r="H1576" s="38"/>
      <c r="I1576" s="39"/>
      <c r="J1576" s="38"/>
    </row>
    <row r="1577" spans="2:10" ht="12.75" customHeight="1" x14ac:dyDescent="0.2">
      <c r="B1577" s="37"/>
      <c r="C1577" s="37" t="str">
        <f>IF(D1577="","",MATCH(D1577,Parametros!$B$4:$B$15,0))</f>
        <v/>
      </c>
      <c r="D1577" s="38"/>
      <c r="E1577" s="38"/>
      <c r="F1577" s="38"/>
      <c r="G1577" s="38"/>
      <c r="H1577" s="38"/>
      <c r="I1577" s="39"/>
      <c r="J1577" s="38"/>
    </row>
    <row r="1578" spans="2:10" ht="12.75" customHeight="1" x14ac:dyDescent="0.2">
      <c r="B1578" s="37"/>
      <c r="C1578" s="37" t="str">
        <f>IF(D1578="","",MATCH(D1578,Parametros!$B$4:$B$15,0))</f>
        <v/>
      </c>
      <c r="D1578" s="38"/>
      <c r="E1578" s="38"/>
      <c r="F1578" s="38"/>
      <c r="G1578" s="38"/>
      <c r="H1578" s="38"/>
      <c r="I1578" s="39"/>
      <c r="J1578" s="38"/>
    </row>
    <row r="1579" spans="2:10" ht="12.75" customHeight="1" x14ac:dyDescent="0.2">
      <c r="B1579" s="37"/>
      <c r="C1579" s="37" t="str">
        <f>IF(D1579="","",MATCH(D1579,Parametros!$B$4:$B$15,0))</f>
        <v/>
      </c>
      <c r="D1579" s="38"/>
      <c r="E1579" s="38"/>
      <c r="F1579" s="38"/>
      <c r="G1579" s="38"/>
      <c r="H1579" s="38"/>
      <c r="I1579" s="39"/>
      <c r="J1579" s="38"/>
    </row>
    <row r="1580" spans="2:10" ht="12.75" customHeight="1" x14ac:dyDescent="0.2">
      <c r="B1580" s="37"/>
      <c r="C1580" s="37" t="str">
        <f>IF(D1580="","",MATCH(D1580,Parametros!$B$4:$B$15,0))</f>
        <v/>
      </c>
      <c r="D1580" s="38"/>
      <c r="E1580" s="38"/>
      <c r="F1580" s="38"/>
      <c r="G1580" s="38"/>
      <c r="H1580" s="38"/>
      <c r="I1580" s="39"/>
      <c r="J1580" s="38"/>
    </row>
    <row r="1581" spans="2:10" ht="12.75" customHeight="1" x14ac:dyDescent="0.2">
      <c r="B1581" s="37"/>
      <c r="C1581" s="37" t="str">
        <f>IF(D1581="","",MATCH(D1581,Parametros!$B$4:$B$15,0))</f>
        <v/>
      </c>
      <c r="D1581" s="38"/>
      <c r="E1581" s="38"/>
      <c r="F1581" s="38"/>
      <c r="G1581" s="38"/>
      <c r="H1581" s="38"/>
      <c r="I1581" s="39"/>
      <c r="J1581" s="38"/>
    </row>
    <row r="1582" spans="2:10" ht="12.75" customHeight="1" x14ac:dyDescent="0.2">
      <c r="B1582" s="37"/>
      <c r="C1582" s="37" t="str">
        <f>IF(D1582="","",MATCH(D1582,Parametros!$B$4:$B$15,0))</f>
        <v/>
      </c>
      <c r="D1582" s="38"/>
      <c r="E1582" s="38"/>
      <c r="F1582" s="38"/>
      <c r="G1582" s="38"/>
      <c r="H1582" s="38"/>
      <c r="I1582" s="39"/>
      <c r="J1582" s="38"/>
    </row>
    <row r="1583" spans="2:10" ht="12.75" customHeight="1" x14ac:dyDescent="0.2">
      <c r="B1583" s="37"/>
      <c r="C1583" s="37" t="str">
        <f>IF(D1583="","",MATCH(D1583,Parametros!$B$4:$B$15,0))</f>
        <v/>
      </c>
      <c r="D1583" s="38"/>
      <c r="E1583" s="38"/>
      <c r="F1583" s="38"/>
      <c r="G1583" s="38"/>
      <c r="H1583" s="38"/>
      <c r="I1583" s="39"/>
      <c r="J1583" s="38"/>
    </row>
    <row r="1584" spans="2:10" ht="12.75" customHeight="1" x14ac:dyDescent="0.2">
      <c r="B1584" s="37"/>
      <c r="C1584" s="37" t="str">
        <f>IF(D1584="","",MATCH(D1584,Parametros!$B$4:$B$15,0))</f>
        <v/>
      </c>
      <c r="D1584" s="38"/>
      <c r="E1584" s="38"/>
      <c r="F1584" s="38"/>
      <c r="G1584" s="38"/>
      <c r="H1584" s="38"/>
      <c r="I1584" s="39"/>
      <c r="J1584" s="38"/>
    </row>
    <row r="1585" spans="2:10" ht="12.75" customHeight="1" x14ac:dyDescent="0.2">
      <c r="B1585" s="37"/>
      <c r="C1585" s="37" t="str">
        <f>IF(D1585="","",MATCH(D1585,Parametros!$B$4:$B$15,0))</f>
        <v/>
      </c>
      <c r="D1585" s="38"/>
      <c r="E1585" s="38"/>
      <c r="F1585" s="38"/>
      <c r="G1585" s="38"/>
      <c r="H1585" s="38"/>
      <c r="I1585" s="39"/>
      <c r="J1585" s="38"/>
    </row>
    <row r="1586" spans="2:10" ht="12.75" customHeight="1" x14ac:dyDescent="0.2">
      <c r="B1586" s="37"/>
      <c r="C1586" s="37" t="str">
        <f>IF(D1586="","",MATCH(D1586,Parametros!$B$4:$B$15,0))</f>
        <v/>
      </c>
      <c r="D1586" s="38"/>
      <c r="E1586" s="38"/>
      <c r="F1586" s="38"/>
      <c r="G1586" s="38"/>
      <c r="H1586" s="38"/>
      <c r="I1586" s="39"/>
      <c r="J1586" s="38"/>
    </row>
    <row r="1587" spans="2:10" ht="12.75" customHeight="1" x14ac:dyDescent="0.2">
      <c r="B1587" s="37"/>
      <c r="C1587" s="37" t="str">
        <f>IF(D1587="","",MATCH(D1587,Parametros!$B$4:$B$15,0))</f>
        <v/>
      </c>
      <c r="D1587" s="38"/>
      <c r="E1587" s="38"/>
      <c r="F1587" s="38"/>
      <c r="G1587" s="38"/>
      <c r="H1587" s="38"/>
      <c r="I1587" s="39"/>
      <c r="J1587" s="38"/>
    </row>
    <row r="1588" spans="2:10" ht="12.75" customHeight="1" x14ac:dyDescent="0.2">
      <c r="B1588" s="37"/>
      <c r="C1588" s="37" t="str">
        <f>IF(D1588="","",MATCH(D1588,Parametros!$B$4:$B$15,0))</f>
        <v/>
      </c>
      <c r="D1588" s="38"/>
      <c r="E1588" s="38"/>
      <c r="F1588" s="38"/>
      <c r="G1588" s="38"/>
      <c r="H1588" s="38"/>
      <c r="I1588" s="39"/>
      <c r="J1588" s="38"/>
    </row>
    <row r="1589" spans="2:10" ht="12.75" customHeight="1" x14ac:dyDescent="0.2">
      <c r="B1589" s="37"/>
      <c r="C1589" s="37" t="str">
        <f>IF(D1589="","",MATCH(D1589,Parametros!$B$4:$B$15,0))</f>
        <v/>
      </c>
      <c r="D1589" s="38"/>
      <c r="E1589" s="38"/>
      <c r="F1589" s="38"/>
      <c r="G1589" s="38"/>
      <c r="H1589" s="38"/>
      <c r="I1589" s="39"/>
      <c r="J1589" s="38"/>
    </row>
    <row r="1590" spans="2:10" ht="12.75" customHeight="1" x14ac:dyDescent="0.2">
      <c r="B1590" s="37"/>
      <c r="C1590" s="37" t="str">
        <f>IF(D1590="","",MATCH(D1590,Parametros!$B$4:$B$15,0))</f>
        <v/>
      </c>
      <c r="D1590" s="38"/>
      <c r="E1590" s="38"/>
      <c r="F1590" s="38"/>
      <c r="G1590" s="38"/>
      <c r="H1590" s="38"/>
      <c r="I1590" s="39"/>
      <c r="J1590" s="38"/>
    </row>
    <row r="1591" spans="2:10" ht="12.75" customHeight="1" x14ac:dyDescent="0.2">
      <c r="B1591" s="37"/>
      <c r="C1591" s="37" t="str">
        <f>IF(D1591="","",MATCH(D1591,Parametros!$B$4:$B$15,0))</f>
        <v/>
      </c>
      <c r="D1591" s="38"/>
      <c r="E1591" s="38"/>
      <c r="F1591" s="38"/>
      <c r="G1591" s="38"/>
      <c r="H1591" s="38"/>
      <c r="I1591" s="39"/>
      <c r="J1591" s="38"/>
    </row>
    <row r="1592" spans="2:10" ht="12.75" customHeight="1" x14ac:dyDescent="0.2">
      <c r="B1592" s="37"/>
      <c r="C1592" s="37" t="str">
        <f>IF(D1592="","",MATCH(D1592,Parametros!$B$4:$B$15,0))</f>
        <v/>
      </c>
      <c r="D1592" s="38"/>
      <c r="E1592" s="38"/>
      <c r="F1592" s="38"/>
      <c r="G1592" s="38"/>
      <c r="H1592" s="38"/>
      <c r="I1592" s="39"/>
      <c r="J1592" s="38"/>
    </row>
    <row r="1593" spans="2:10" ht="12.75" customHeight="1" x14ac:dyDescent="0.2">
      <c r="B1593" s="37"/>
      <c r="C1593" s="37" t="str">
        <f>IF(D1593="","",MATCH(D1593,Parametros!$B$4:$B$15,0))</f>
        <v/>
      </c>
      <c r="D1593" s="38"/>
      <c r="E1593" s="38"/>
      <c r="F1593" s="38"/>
      <c r="G1593" s="38"/>
      <c r="H1593" s="38"/>
      <c r="I1593" s="39"/>
      <c r="J1593" s="38"/>
    </row>
    <row r="1594" spans="2:10" ht="12.75" customHeight="1" x14ac:dyDescent="0.2">
      <c r="B1594" s="37"/>
      <c r="C1594" s="37" t="str">
        <f>IF(D1594="","",MATCH(D1594,Parametros!$B$4:$B$15,0))</f>
        <v/>
      </c>
      <c r="D1594" s="38"/>
      <c r="E1594" s="38"/>
      <c r="F1594" s="38"/>
      <c r="G1594" s="38"/>
      <c r="H1594" s="38"/>
      <c r="I1594" s="39"/>
      <c r="J1594" s="38"/>
    </row>
    <row r="1595" spans="2:10" ht="12.75" customHeight="1" x14ac:dyDescent="0.2">
      <c r="B1595" s="37"/>
      <c r="C1595" s="37" t="str">
        <f>IF(D1595="","",MATCH(D1595,Parametros!$B$4:$B$15,0))</f>
        <v/>
      </c>
      <c r="D1595" s="38"/>
      <c r="E1595" s="38"/>
      <c r="F1595" s="38"/>
      <c r="G1595" s="38"/>
      <c r="H1595" s="38"/>
      <c r="I1595" s="39"/>
      <c r="J1595" s="38"/>
    </row>
    <row r="1596" spans="2:10" ht="12.75" customHeight="1" x14ac:dyDescent="0.2">
      <c r="B1596" s="37"/>
      <c r="C1596" s="37" t="str">
        <f>IF(D1596="","",MATCH(D1596,Parametros!$B$4:$B$15,0))</f>
        <v/>
      </c>
      <c r="D1596" s="38"/>
      <c r="E1596" s="38"/>
      <c r="F1596" s="38"/>
      <c r="G1596" s="38"/>
      <c r="H1596" s="38"/>
      <c r="I1596" s="39"/>
      <c r="J1596" s="38"/>
    </row>
    <row r="1597" spans="2:10" ht="12.75" customHeight="1" x14ac:dyDescent="0.2">
      <c r="B1597" s="37"/>
      <c r="C1597" s="37" t="str">
        <f>IF(D1597="","",MATCH(D1597,Parametros!$B$4:$B$15,0))</f>
        <v/>
      </c>
      <c r="D1597" s="38"/>
      <c r="E1597" s="38"/>
      <c r="F1597" s="38"/>
      <c r="G1597" s="38"/>
      <c r="H1597" s="38"/>
      <c r="I1597" s="39"/>
      <c r="J1597" s="38"/>
    </row>
    <row r="1598" spans="2:10" ht="12.75" customHeight="1" x14ac:dyDescent="0.2">
      <c r="B1598" s="37"/>
      <c r="C1598" s="37" t="str">
        <f>IF(D1598="","",MATCH(D1598,Parametros!$B$4:$B$15,0))</f>
        <v/>
      </c>
      <c r="D1598" s="38"/>
      <c r="E1598" s="38"/>
      <c r="F1598" s="38"/>
      <c r="G1598" s="38"/>
      <c r="H1598" s="38"/>
      <c r="I1598" s="39"/>
      <c r="J1598" s="38"/>
    </row>
    <row r="1599" spans="2:10" ht="12.75" customHeight="1" x14ac:dyDescent="0.2">
      <c r="B1599" s="37"/>
      <c r="C1599" s="37" t="str">
        <f>IF(D1599="","",MATCH(D1599,Parametros!$B$4:$B$15,0))</f>
        <v/>
      </c>
      <c r="D1599" s="38"/>
      <c r="E1599" s="38"/>
      <c r="F1599" s="38"/>
      <c r="G1599" s="38"/>
      <c r="H1599" s="38"/>
      <c r="I1599" s="39"/>
      <c r="J1599" s="38"/>
    </row>
    <row r="1600" spans="2:10" ht="12.75" customHeight="1" x14ac:dyDescent="0.2">
      <c r="B1600" s="37"/>
      <c r="C1600" s="37" t="str">
        <f>IF(D1600="","",MATCH(D1600,Parametros!$B$4:$B$15,0))</f>
        <v/>
      </c>
      <c r="D1600" s="38"/>
      <c r="E1600" s="38"/>
      <c r="F1600" s="38"/>
      <c r="G1600" s="38"/>
      <c r="H1600" s="38"/>
      <c r="I1600" s="39"/>
      <c r="J1600" s="38"/>
    </row>
    <row r="1601" spans="2:10" ht="12.75" customHeight="1" x14ac:dyDescent="0.2">
      <c r="B1601" s="37"/>
      <c r="C1601" s="37" t="str">
        <f>IF(D1601="","",MATCH(D1601,Parametros!$B$4:$B$15,0))</f>
        <v/>
      </c>
      <c r="D1601" s="38"/>
      <c r="E1601" s="38"/>
      <c r="F1601" s="38"/>
      <c r="G1601" s="38"/>
      <c r="H1601" s="38"/>
      <c r="I1601" s="39"/>
      <c r="J1601" s="38"/>
    </row>
    <row r="1602" spans="2:10" ht="12.75" customHeight="1" x14ac:dyDescent="0.2">
      <c r="B1602" s="37"/>
      <c r="C1602" s="37" t="str">
        <f>IF(D1602="","",MATCH(D1602,Parametros!$B$4:$B$15,0))</f>
        <v/>
      </c>
      <c r="D1602" s="38"/>
      <c r="E1602" s="38"/>
      <c r="F1602" s="38"/>
      <c r="G1602" s="38"/>
      <c r="H1602" s="38"/>
      <c r="I1602" s="39"/>
      <c r="J1602" s="38"/>
    </row>
    <row r="1603" spans="2:10" ht="12.75" customHeight="1" x14ac:dyDescent="0.2">
      <c r="B1603" s="37"/>
      <c r="C1603" s="37" t="str">
        <f>IF(D1603="","",MATCH(D1603,Parametros!$B$4:$B$15,0))</f>
        <v/>
      </c>
      <c r="D1603" s="38"/>
      <c r="E1603" s="38"/>
      <c r="F1603" s="38"/>
      <c r="G1603" s="38"/>
      <c r="H1603" s="38"/>
      <c r="I1603" s="39"/>
      <c r="J1603" s="38"/>
    </row>
    <row r="1604" spans="2:10" ht="12.75" customHeight="1" x14ac:dyDescent="0.2">
      <c r="B1604" s="37"/>
      <c r="C1604" s="37" t="str">
        <f>IF(D1604="","",MATCH(D1604,Parametros!$B$4:$B$15,0))</f>
        <v/>
      </c>
      <c r="D1604" s="38"/>
      <c r="E1604" s="38"/>
      <c r="F1604" s="38"/>
      <c r="G1604" s="38"/>
      <c r="H1604" s="38"/>
      <c r="I1604" s="39"/>
      <c r="J1604" s="38"/>
    </row>
    <row r="1605" spans="2:10" ht="12.75" customHeight="1" x14ac:dyDescent="0.2">
      <c r="B1605" s="37"/>
      <c r="C1605" s="37" t="str">
        <f>IF(D1605="","",MATCH(D1605,Parametros!$B$4:$B$15,0))</f>
        <v/>
      </c>
      <c r="D1605" s="38"/>
      <c r="E1605" s="38"/>
      <c r="F1605" s="38"/>
      <c r="G1605" s="38"/>
      <c r="H1605" s="38"/>
      <c r="I1605" s="39"/>
      <c r="J1605" s="38"/>
    </row>
    <row r="1606" spans="2:10" ht="12.75" customHeight="1" x14ac:dyDescent="0.2">
      <c r="B1606" s="37"/>
      <c r="C1606" s="37" t="str">
        <f>IF(D1606="","",MATCH(D1606,Parametros!$B$4:$B$15,0))</f>
        <v/>
      </c>
      <c r="D1606" s="38"/>
      <c r="E1606" s="38"/>
      <c r="F1606" s="38"/>
      <c r="G1606" s="38"/>
      <c r="H1606" s="38"/>
      <c r="I1606" s="39"/>
      <c r="J1606" s="38"/>
    </row>
    <row r="1607" spans="2:10" ht="12.75" customHeight="1" x14ac:dyDescent="0.2">
      <c r="B1607" s="37"/>
      <c r="C1607" s="37" t="str">
        <f>IF(D1607="","",MATCH(D1607,Parametros!$B$4:$B$15,0))</f>
        <v/>
      </c>
      <c r="D1607" s="38"/>
      <c r="E1607" s="38"/>
      <c r="F1607" s="38"/>
      <c r="G1607" s="38"/>
      <c r="H1607" s="38"/>
      <c r="I1607" s="39"/>
      <c r="J1607" s="38"/>
    </row>
    <row r="1608" spans="2:10" ht="12.75" customHeight="1" x14ac:dyDescent="0.2">
      <c r="B1608" s="37"/>
      <c r="C1608" s="37" t="str">
        <f>IF(D1608="","",MATCH(D1608,Parametros!$B$4:$B$15,0))</f>
        <v/>
      </c>
      <c r="D1608" s="38"/>
      <c r="E1608" s="38"/>
      <c r="F1608" s="38"/>
      <c r="G1608" s="38"/>
      <c r="H1608" s="38"/>
      <c r="I1608" s="39"/>
      <c r="J1608" s="38"/>
    </row>
    <row r="1609" spans="2:10" ht="12.75" customHeight="1" x14ac:dyDescent="0.2">
      <c r="B1609" s="37"/>
      <c r="C1609" s="37" t="str">
        <f>IF(D1609="","",MATCH(D1609,Parametros!$B$4:$B$15,0))</f>
        <v/>
      </c>
      <c r="D1609" s="38"/>
      <c r="E1609" s="38"/>
      <c r="F1609" s="38"/>
      <c r="G1609" s="38"/>
      <c r="H1609" s="38"/>
      <c r="I1609" s="39"/>
      <c r="J1609" s="38"/>
    </row>
    <row r="1610" spans="2:10" ht="12.75" customHeight="1" x14ac:dyDescent="0.2">
      <c r="B1610" s="37"/>
      <c r="C1610" s="37" t="str">
        <f>IF(D1610="","",MATCH(D1610,Parametros!$B$4:$B$15,0))</f>
        <v/>
      </c>
      <c r="D1610" s="38"/>
      <c r="E1610" s="38"/>
      <c r="F1610" s="38"/>
      <c r="G1610" s="38"/>
      <c r="H1610" s="38"/>
      <c r="I1610" s="39"/>
      <c r="J1610" s="38"/>
    </row>
    <row r="1611" spans="2:10" ht="12.75" customHeight="1" x14ac:dyDescent="0.2">
      <c r="B1611" s="37"/>
      <c r="C1611" s="37" t="str">
        <f>IF(D1611="","",MATCH(D1611,Parametros!$B$4:$B$15,0))</f>
        <v/>
      </c>
      <c r="D1611" s="38"/>
      <c r="E1611" s="38"/>
      <c r="F1611" s="38"/>
      <c r="G1611" s="38"/>
      <c r="H1611" s="38"/>
      <c r="I1611" s="39"/>
      <c r="J1611" s="38"/>
    </row>
    <row r="1612" spans="2:10" ht="12.75" customHeight="1" x14ac:dyDescent="0.2">
      <c r="B1612" s="37"/>
      <c r="C1612" s="37" t="str">
        <f>IF(D1612="","",MATCH(D1612,Parametros!$B$4:$B$15,0))</f>
        <v/>
      </c>
      <c r="D1612" s="38"/>
      <c r="E1612" s="38"/>
      <c r="F1612" s="38"/>
      <c r="G1612" s="38"/>
      <c r="H1612" s="38"/>
      <c r="I1612" s="39"/>
      <c r="J1612" s="38"/>
    </row>
    <row r="1613" spans="2:10" ht="12.75" customHeight="1" x14ac:dyDescent="0.2">
      <c r="B1613" s="37"/>
      <c r="C1613" s="37" t="str">
        <f>IF(D1613="","",MATCH(D1613,Parametros!$B$4:$B$15,0))</f>
        <v/>
      </c>
      <c r="D1613" s="38"/>
      <c r="E1613" s="38"/>
      <c r="F1613" s="38"/>
      <c r="G1613" s="38"/>
      <c r="H1613" s="38"/>
      <c r="I1613" s="39"/>
      <c r="J1613" s="38"/>
    </row>
    <row r="1614" spans="2:10" ht="12.75" customHeight="1" x14ac:dyDescent="0.2">
      <c r="B1614" s="37"/>
      <c r="C1614" s="37" t="str">
        <f>IF(D1614="","",MATCH(D1614,Parametros!$B$4:$B$15,0))</f>
        <v/>
      </c>
      <c r="D1614" s="38"/>
      <c r="E1614" s="38"/>
      <c r="F1614" s="38"/>
      <c r="G1614" s="38"/>
      <c r="H1614" s="38"/>
      <c r="I1614" s="39"/>
      <c r="J1614" s="38"/>
    </row>
    <row r="1615" spans="2:10" ht="12.75" customHeight="1" x14ac:dyDescent="0.2">
      <c r="B1615" s="37"/>
      <c r="C1615" s="37" t="str">
        <f>IF(D1615="","",MATCH(D1615,Parametros!$B$4:$B$15,0))</f>
        <v/>
      </c>
      <c r="D1615" s="38"/>
      <c r="E1615" s="38"/>
      <c r="F1615" s="38"/>
      <c r="G1615" s="38"/>
      <c r="H1615" s="38"/>
      <c r="I1615" s="39"/>
      <c r="J1615" s="38"/>
    </row>
    <row r="1616" spans="2:10" ht="12.75" customHeight="1" x14ac:dyDescent="0.2">
      <c r="B1616" s="37"/>
      <c r="C1616" s="37" t="str">
        <f>IF(D1616="","",MATCH(D1616,Parametros!$B$4:$B$15,0))</f>
        <v/>
      </c>
      <c r="D1616" s="38"/>
      <c r="E1616" s="38"/>
      <c r="F1616" s="38"/>
      <c r="G1616" s="38"/>
      <c r="H1616" s="38"/>
      <c r="I1616" s="39"/>
      <c r="J1616" s="38"/>
    </row>
    <row r="1617" spans="2:10" ht="12.75" customHeight="1" x14ac:dyDescent="0.2">
      <c r="B1617" s="37"/>
      <c r="C1617" s="37" t="str">
        <f>IF(D1617="","",MATCH(D1617,Parametros!$B$4:$B$15,0))</f>
        <v/>
      </c>
      <c r="D1617" s="38"/>
      <c r="E1617" s="38"/>
      <c r="F1617" s="38"/>
      <c r="G1617" s="38"/>
      <c r="H1617" s="38"/>
      <c r="I1617" s="39"/>
      <c r="J1617" s="38"/>
    </row>
    <row r="1618" spans="2:10" ht="12.75" customHeight="1" x14ac:dyDescent="0.2">
      <c r="B1618" s="37"/>
      <c r="C1618" s="37" t="str">
        <f>IF(D1618="","",MATCH(D1618,Parametros!$B$4:$B$15,0))</f>
        <v/>
      </c>
      <c r="D1618" s="38"/>
      <c r="E1618" s="38"/>
      <c r="F1618" s="38"/>
      <c r="G1618" s="38"/>
      <c r="H1618" s="38"/>
      <c r="I1618" s="39"/>
      <c r="J1618" s="38"/>
    </row>
    <row r="1619" spans="2:10" ht="12.75" customHeight="1" x14ac:dyDescent="0.2">
      <c r="B1619" s="37"/>
      <c r="C1619" s="37" t="str">
        <f>IF(D1619="","",MATCH(D1619,Parametros!$B$4:$B$15,0))</f>
        <v/>
      </c>
      <c r="D1619" s="38"/>
      <c r="E1619" s="38"/>
      <c r="F1619" s="38"/>
      <c r="G1619" s="38"/>
      <c r="H1619" s="38"/>
      <c r="I1619" s="39"/>
      <c r="J1619" s="38"/>
    </row>
    <row r="1620" spans="2:10" ht="12.75" customHeight="1" x14ac:dyDescent="0.2">
      <c r="B1620" s="37"/>
      <c r="C1620" s="37" t="str">
        <f>IF(D1620="","",MATCH(D1620,Parametros!$B$4:$B$15,0))</f>
        <v/>
      </c>
      <c r="D1620" s="38"/>
      <c r="E1620" s="38"/>
      <c r="F1620" s="38"/>
      <c r="G1620" s="38"/>
      <c r="H1620" s="38"/>
      <c r="I1620" s="39"/>
      <c r="J1620" s="38"/>
    </row>
    <row r="1621" spans="2:10" ht="12.75" customHeight="1" x14ac:dyDescent="0.2">
      <c r="B1621" s="37"/>
      <c r="C1621" s="37" t="str">
        <f>IF(D1621="","",MATCH(D1621,Parametros!$B$4:$B$15,0))</f>
        <v/>
      </c>
      <c r="D1621" s="38"/>
      <c r="E1621" s="38"/>
      <c r="F1621" s="38"/>
      <c r="G1621" s="38"/>
      <c r="H1621" s="38"/>
      <c r="I1621" s="39"/>
      <c r="J1621" s="38"/>
    </row>
    <row r="1622" spans="2:10" ht="12.75" customHeight="1" x14ac:dyDescent="0.2">
      <c r="B1622" s="37"/>
      <c r="C1622" s="37" t="str">
        <f>IF(D1622="","",MATCH(D1622,Parametros!$B$4:$B$15,0))</f>
        <v/>
      </c>
      <c r="D1622" s="38"/>
      <c r="E1622" s="38"/>
      <c r="F1622" s="38"/>
      <c r="G1622" s="38"/>
      <c r="H1622" s="38"/>
      <c r="I1622" s="39"/>
      <c r="J1622" s="38"/>
    </row>
    <row r="1623" spans="2:10" ht="12.75" customHeight="1" x14ac:dyDescent="0.2">
      <c r="B1623" s="37"/>
      <c r="C1623" s="37" t="str">
        <f>IF(D1623="","",MATCH(D1623,Parametros!$B$4:$B$15,0))</f>
        <v/>
      </c>
      <c r="D1623" s="38"/>
      <c r="E1623" s="38"/>
      <c r="F1623" s="38"/>
      <c r="G1623" s="38"/>
      <c r="H1623" s="38"/>
      <c r="I1623" s="39"/>
      <c r="J1623" s="38"/>
    </row>
    <row r="1624" spans="2:10" ht="12.75" customHeight="1" x14ac:dyDescent="0.2">
      <c r="B1624" s="37"/>
      <c r="C1624" s="37" t="str">
        <f>IF(D1624="","",MATCH(D1624,Parametros!$B$4:$B$15,0))</f>
        <v/>
      </c>
      <c r="D1624" s="38"/>
      <c r="E1624" s="38"/>
      <c r="F1624" s="38"/>
      <c r="G1624" s="38"/>
      <c r="H1624" s="38"/>
      <c r="I1624" s="39"/>
      <c r="J1624" s="38"/>
    </row>
    <row r="1625" spans="2:10" ht="12.75" customHeight="1" x14ac:dyDescent="0.2">
      <c r="B1625" s="37"/>
      <c r="C1625" s="37" t="str">
        <f>IF(D1625="","",MATCH(D1625,Parametros!$B$4:$B$15,0))</f>
        <v/>
      </c>
      <c r="D1625" s="38"/>
      <c r="E1625" s="38"/>
      <c r="F1625" s="38"/>
      <c r="G1625" s="38"/>
      <c r="H1625" s="38"/>
      <c r="I1625" s="39"/>
      <c r="J1625" s="38"/>
    </row>
    <row r="1626" spans="2:10" ht="12.75" customHeight="1" x14ac:dyDescent="0.2">
      <c r="B1626" s="37"/>
      <c r="C1626" s="37" t="str">
        <f>IF(D1626="","",MATCH(D1626,Parametros!$B$4:$B$15,0))</f>
        <v/>
      </c>
      <c r="D1626" s="38"/>
      <c r="E1626" s="38"/>
      <c r="F1626" s="38"/>
      <c r="G1626" s="38"/>
      <c r="H1626" s="38"/>
      <c r="I1626" s="39"/>
      <c r="J1626" s="38"/>
    </row>
    <row r="1627" spans="2:10" ht="12.75" customHeight="1" x14ac:dyDescent="0.2">
      <c r="B1627" s="37"/>
      <c r="C1627" s="37" t="str">
        <f>IF(D1627="","",MATCH(D1627,Parametros!$B$4:$B$15,0))</f>
        <v/>
      </c>
      <c r="D1627" s="38"/>
      <c r="E1627" s="38"/>
      <c r="F1627" s="38"/>
      <c r="G1627" s="38"/>
      <c r="H1627" s="38"/>
      <c r="I1627" s="39"/>
      <c r="J1627" s="38"/>
    </row>
    <row r="1628" spans="2:10" ht="12.75" customHeight="1" x14ac:dyDescent="0.2">
      <c r="B1628" s="37"/>
      <c r="C1628" s="37" t="str">
        <f>IF(D1628="","",MATCH(D1628,Parametros!$B$4:$B$15,0))</f>
        <v/>
      </c>
      <c r="D1628" s="38"/>
      <c r="E1628" s="38"/>
      <c r="F1628" s="38"/>
      <c r="G1628" s="38"/>
      <c r="H1628" s="38"/>
      <c r="I1628" s="39"/>
      <c r="J1628" s="38"/>
    </row>
    <row r="1629" spans="2:10" ht="12.75" customHeight="1" x14ac:dyDescent="0.2">
      <c r="B1629" s="37"/>
      <c r="C1629" s="37" t="str">
        <f>IF(D1629="","",MATCH(D1629,Parametros!$B$4:$B$15,0))</f>
        <v/>
      </c>
      <c r="D1629" s="38"/>
      <c r="E1629" s="38"/>
      <c r="F1629" s="38"/>
      <c r="G1629" s="38"/>
      <c r="H1629" s="38"/>
      <c r="I1629" s="39"/>
      <c r="J1629" s="38"/>
    </row>
    <row r="1630" spans="2:10" ht="12.75" customHeight="1" x14ac:dyDescent="0.2">
      <c r="B1630" s="37"/>
      <c r="C1630" s="37" t="str">
        <f>IF(D1630="","",MATCH(D1630,Parametros!$B$4:$B$15,0))</f>
        <v/>
      </c>
      <c r="D1630" s="38"/>
      <c r="E1630" s="38"/>
      <c r="F1630" s="38"/>
      <c r="G1630" s="38"/>
      <c r="H1630" s="38"/>
      <c r="I1630" s="39"/>
      <c r="J1630" s="38"/>
    </row>
    <row r="1631" spans="2:10" ht="12.75" customHeight="1" x14ac:dyDescent="0.2">
      <c r="B1631" s="37"/>
      <c r="C1631" s="37" t="str">
        <f>IF(D1631="","",MATCH(D1631,Parametros!$B$4:$B$15,0))</f>
        <v/>
      </c>
      <c r="D1631" s="38"/>
      <c r="E1631" s="38"/>
      <c r="F1631" s="38"/>
      <c r="G1631" s="38"/>
      <c r="H1631" s="38"/>
      <c r="I1631" s="39"/>
      <c r="J1631" s="38"/>
    </row>
    <row r="1632" spans="2:10" ht="12.75" customHeight="1" x14ac:dyDescent="0.2">
      <c r="B1632" s="37"/>
      <c r="C1632" s="37" t="str">
        <f>IF(D1632="","",MATCH(D1632,Parametros!$B$4:$B$15,0))</f>
        <v/>
      </c>
      <c r="D1632" s="38"/>
      <c r="E1632" s="38"/>
      <c r="F1632" s="38"/>
      <c r="G1632" s="38"/>
      <c r="H1632" s="38"/>
      <c r="I1632" s="39"/>
      <c r="J1632" s="38"/>
    </row>
    <row r="1633" spans="2:10" ht="12.75" customHeight="1" x14ac:dyDescent="0.2">
      <c r="B1633" s="37"/>
      <c r="C1633" s="37" t="str">
        <f>IF(D1633="","",MATCH(D1633,Parametros!$B$4:$B$15,0))</f>
        <v/>
      </c>
      <c r="D1633" s="38"/>
      <c r="E1633" s="38"/>
      <c r="F1633" s="38"/>
      <c r="G1633" s="38"/>
      <c r="H1633" s="38"/>
      <c r="I1633" s="39"/>
      <c r="J1633" s="38"/>
    </row>
    <row r="1634" spans="2:10" ht="12.75" customHeight="1" x14ac:dyDescent="0.2">
      <c r="B1634" s="37"/>
      <c r="C1634" s="37" t="str">
        <f>IF(D1634="","",MATCH(D1634,Parametros!$B$4:$B$15,0))</f>
        <v/>
      </c>
      <c r="D1634" s="38"/>
      <c r="E1634" s="38"/>
      <c r="F1634" s="38"/>
      <c r="G1634" s="38"/>
      <c r="H1634" s="38"/>
      <c r="I1634" s="39"/>
      <c r="J1634" s="38"/>
    </row>
    <row r="1635" spans="2:10" ht="12.75" customHeight="1" x14ac:dyDescent="0.2">
      <c r="B1635" s="37"/>
      <c r="C1635" s="37" t="str">
        <f>IF(D1635="","",MATCH(D1635,Parametros!$B$4:$B$15,0))</f>
        <v/>
      </c>
      <c r="D1635" s="38"/>
      <c r="E1635" s="38"/>
      <c r="F1635" s="38"/>
      <c r="G1635" s="38"/>
      <c r="H1635" s="38"/>
      <c r="I1635" s="39"/>
      <c r="J1635" s="38"/>
    </row>
    <row r="1636" spans="2:10" ht="12.75" customHeight="1" x14ac:dyDescent="0.2">
      <c r="B1636" s="37"/>
      <c r="C1636" s="37" t="str">
        <f>IF(D1636="","",MATCH(D1636,Parametros!$B$4:$B$15,0))</f>
        <v/>
      </c>
      <c r="D1636" s="38"/>
      <c r="E1636" s="38"/>
      <c r="F1636" s="38"/>
      <c r="G1636" s="38"/>
      <c r="H1636" s="38"/>
      <c r="I1636" s="39"/>
      <c r="J1636" s="38"/>
    </row>
    <row r="1637" spans="2:10" ht="12.75" customHeight="1" x14ac:dyDescent="0.2">
      <c r="B1637" s="37"/>
      <c r="C1637" s="37" t="str">
        <f>IF(D1637="","",MATCH(D1637,Parametros!$B$4:$B$15,0))</f>
        <v/>
      </c>
      <c r="D1637" s="38"/>
      <c r="E1637" s="38"/>
      <c r="F1637" s="38"/>
      <c r="G1637" s="38"/>
      <c r="H1637" s="38"/>
      <c r="I1637" s="39"/>
      <c r="J1637" s="38"/>
    </row>
    <row r="1638" spans="2:10" ht="12.75" customHeight="1" x14ac:dyDescent="0.2">
      <c r="B1638" s="37"/>
      <c r="C1638" s="37" t="str">
        <f>IF(D1638="","",MATCH(D1638,Parametros!$B$4:$B$15,0))</f>
        <v/>
      </c>
      <c r="D1638" s="38"/>
      <c r="E1638" s="38"/>
      <c r="F1638" s="38"/>
      <c r="G1638" s="38"/>
      <c r="H1638" s="38"/>
      <c r="I1638" s="39"/>
      <c r="J1638" s="38"/>
    </row>
    <row r="1639" spans="2:10" ht="12.75" customHeight="1" x14ac:dyDescent="0.2">
      <c r="B1639" s="37"/>
      <c r="C1639" s="37" t="str">
        <f>IF(D1639="","",MATCH(D1639,Parametros!$B$4:$B$15,0))</f>
        <v/>
      </c>
      <c r="D1639" s="38"/>
      <c r="E1639" s="38"/>
      <c r="F1639" s="38"/>
      <c r="G1639" s="38"/>
      <c r="H1639" s="38"/>
      <c r="I1639" s="39"/>
      <c r="J1639" s="38"/>
    </row>
    <row r="1640" spans="2:10" ht="12.75" customHeight="1" x14ac:dyDescent="0.2">
      <c r="B1640" s="37"/>
      <c r="C1640" s="37" t="str">
        <f>IF(D1640="","",MATCH(D1640,Parametros!$B$4:$B$15,0))</f>
        <v/>
      </c>
      <c r="D1640" s="38"/>
      <c r="E1640" s="38"/>
      <c r="F1640" s="38"/>
      <c r="G1640" s="38"/>
      <c r="H1640" s="38"/>
      <c r="I1640" s="39"/>
      <c r="J1640" s="38"/>
    </row>
    <row r="1641" spans="2:10" ht="12.75" customHeight="1" x14ac:dyDescent="0.2">
      <c r="B1641" s="37"/>
      <c r="C1641" s="37" t="str">
        <f>IF(D1641="","",MATCH(D1641,Parametros!$B$4:$B$15,0))</f>
        <v/>
      </c>
      <c r="D1641" s="38"/>
      <c r="E1641" s="38"/>
      <c r="F1641" s="38"/>
      <c r="G1641" s="38"/>
      <c r="H1641" s="38"/>
      <c r="I1641" s="39"/>
      <c r="J1641" s="38"/>
    </row>
    <row r="1642" spans="2:10" ht="12.75" customHeight="1" x14ac:dyDescent="0.2">
      <c r="B1642" s="37"/>
      <c r="C1642" s="37" t="str">
        <f>IF(D1642="","",MATCH(D1642,Parametros!$B$4:$B$15,0))</f>
        <v/>
      </c>
      <c r="D1642" s="38"/>
      <c r="E1642" s="38"/>
      <c r="F1642" s="38"/>
      <c r="G1642" s="38"/>
      <c r="H1642" s="38"/>
      <c r="I1642" s="39"/>
      <c r="J1642" s="38"/>
    </row>
    <row r="1643" spans="2:10" ht="12.75" customHeight="1" x14ac:dyDescent="0.2">
      <c r="B1643" s="37"/>
      <c r="C1643" s="37" t="str">
        <f>IF(D1643="","",MATCH(D1643,Parametros!$B$4:$B$15,0))</f>
        <v/>
      </c>
      <c r="D1643" s="38"/>
      <c r="E1643" s="38"/>
      <c r="F1643" s="38"/>
      <c r="G1643" s="38"/>
      <c r="H1643" s="38"/>
      <c r="I1643" s="39"/>
      <c r="J1643" s="38"/>
    </row>
    <row r="1644" spans="2:10" ht="12.75" customHeight="1" x14ac:dyDescent="0.2">
      <c r="B1644" s="37"/>
      <c r="C1644" s="37" t="str">
        <f>IF(D1644="","",MATCH(D1644,Parametros!$B$4:$B$15,0))</f>
        <v/>
      </c>
      <c r="D1644" s="38"/>
      <c r="E1644" s="38"/>
      <c r="F1644" s="38"/>
      <c r="G1644" s="38"/>
      <c r="H1644" s="38"/>
      <c r="I1644" s="39"/>
      <c r="J1644" s="38"/>
    </row>
    <row r="1645" spans="2:10" ht="12.75" customHeight="1" x14ac:dyDescent="0.2">
      <c r="B1645" s="37"/>
      <c r="C1645" s="37" t="str">
        <f>IF(D1645="","",MATCH(D1645,Parametros!$B$4:$B$15,0))</f>
        <v/>
      </c>
      <c r="D1645" s="38"/>
      <c r="E1645" s="38"/>
      <c r="F1645" s="38"/>
      <c r="G1645" s="38"/>
      <c r="H1645" s="38"/>
      <c r="I1645" s="39"/>
      <c r="J1645" s="38"/>
    </row>
    <row r="1646" spans="2:10" ht="12.75" customHeight="1" x14ac:dyDescent="0.2">
      <c r="B1646" s="37"/>
      <c r="C1646" s="37" t="str">
        <f>IF(D1646="","",MATCH(D1646,Parametros!$B$4:$B$15,0))</f>
        <v/>
      </c>
      <c r="D1646" s="38"/>
      <c r="E1646" s="38"/>
      <c r="F1646" s="38"/>
      <c r="G1646" s="38"/>
      <c r="H1646" s="38"/>
      <c r="I1646" s="39"/>
      <c r="J1646" s="38"/>
    </row>
    <row r="1647" spans="2:10" ht="12.75" customHeight="1" x14ac:dyDescent="0.2">
      <c r="B1647" s="37"/>
      <c r="C1647" s="37" t="str">
        <f>IF(D1647="","",MATCH(D1647,Parametros!$B$4:$B$15,0))</f>
        <v/>
      </c>
      <c r="D1647" s="38"/>
      <c r="E1647" s="38"/>
      <c r="F1647" s="38"/>
      <c r="G1647" s="38"/>
      <c r="H1647" s="38"/>
      <c r="I1647" s="39"/>
      <c r="J1647" s="38"/>
    </row>
    <row r="1648" spans="2:10" ht="12.75" customHeight="1" x14ac:dyDescent="0.2">
      <c r="B1648" s="37"/>
      <c r="C1648" s="37" t="str">
        <f>IF(D1648="","",MATCH(D1648,Parametros!$B$4:$B$15,0))</f>
        <v/>
      </c>
      <c r="D1648" s="38"/>
      <c r="E1648" s="38"/>
      <c r="F1648" s="38"/>
      <c r="G1648" s="38"/>
      <c r="H1648" s="38"/>
      <c r="I1648" s="39"/>
      <c r="J1648" s="38"/>
    </row>
    <row r="1649" spans="2:10" ht="12.75" customHeight="1" x14ac:dyDescent="0.2">
      <c r="B1649" s="37"/>
      <c r="C1649" s="37" t="str">
        <f>IF(D1649="","",MATCH(D1649,Parametros!$B$4:$B$15,0))</f>
        <v/>
      </c>
      <c r="D1649" s="38"/>
      <c r="E1649" s="38"/>
      <c r="F1649" s="38"/>
      <c r="G1649" s="38"/>
      <c r="H1649" s="38"/>
      <c r="I1649" s="39"/>
      <c r="J1649" s="38"/>
    </row>
    <row r="1650" spans="2:10" ht="12.75" customHeight="1" x14ac:dyDescent="0.2">
      <c r="B1650" s="37"/>
      <c r="C1650" s="37" t="str">
        <f>IF(D1650="","",MATCH(D1650,Parametros!$B$4:$B$15,0))</f>
        <v/>
      </c>
      <c r="D1650" s="38"/>
      <c r="E1650" s="38"/>
      <c r="F1650" s="38"/>
      <c r="G1650" s="38"/>
      <c r="H1650" s="38"/>
      <c r="I1650" s="39"/>
      <c r="J1650" s="38"/>
    </row>
    <row r="1651" spans="2:10" ht="12.75" customHeight="1" x14ac:dyDescent="0.2">
      <c r="B1651" s="37"/>
      <c r="C1651" s="37" t="str">
        <f>IF(D1651="","",MATCH(D1651,Parametros!$B$4:$B$15,0))</f>
        <v/>
      </c>
      <c r="D1651" s="38"/>
      <c r="E1651" s="38"/>
      <c r="F1651" s="38"/>
      <c r="G1651" s="38"/>
      <c r="H1651" s="38"/>
      <c r="I1651" s="39"/>
      <c r="J1651" s="38"/>
    </row>
    <row r="1652" spans="2:10" ht="12.75" customHeight="1" x14ac:dyDescent="0.2">
      <c r="B1652" s="37"/>
      <c r="C1652" s="37" t="str">
        <f>IF(D1652="","",MATCH(D1652,Parametros!$B$4:$B$15,0))</f>
        <v/>
      </c>
      <c r="D1652" s="38"/>
      <c r="E1652" s="38"/>
      <c r="F1652" s="38"/>
      <c r="G1652" s="38"/>
      <c r="H1652" s="38"/>
      <c r="I1652" s="39"/>
      <c r="J1652" s="38"/>
    </row>
    <row r="1653" spans="2:10" ht="12.75" customHeight="1" x14ac:dyDescent="0.2">
      <c r="B1653" s="37"/>
      <c r="C1653" s="37" t="str">
        <f>IF(D1653="","",MATCH(D1653,Parametros!$B$4:$B$15,0))</f>
        <v/>
      </c>
      <c r="D1653" s="38"/>
      <c r="E1653" s="38"/>
      <c r="F1653" s="38"/>
      <c r="G1653" s="38"/>
      <c r="H1653" s="38"/>
      <c r="I1653" s="39"/>
      <c r="J1653" s="38"/>
    </row>
    <row r="1654" spans="2:10" ht="12.75" customHeight="1" x14ac:dyDescent="0.2">
      <c r="B1654" s="37"/>
      <c r="C1654" s="37" t="str">
        <f>IF(D1654="","",MATCH(D1654,Parametros!$B$4:$B$15,0))</f>
        <v/>
      </c>
      <c r="D1654" s="38"/>
      <c r="E1654" s="38"/>
      <c r="F1654" s="38"/>
      <c r="G1654" s="38"/>
      <c r="H1654" s="38"/>
      <c r="I1654" s="39"/>
      <c r="J1654" s="38"/>
    </row>
    <row r="1655" spans="2:10" ht="12.75" customHeight="1" x14ac:dyDescent="0.2">
      <c r="B1655" s="37"/>
      <c r="C1655" s="37" t="str">
        <f>IF(D1655="","",MATCH(D1655,Parametros!$B$4:$B$15,0))</f>
        <v/>
      </c>
      <c r="D1655" s="38"/>
      <c r="E1655" s="38"/>
      <c r="F1655" s="38"/>
      <c r="G1655" s="38"/>
      <c r="H1655" s="38"/>
      <c r="I1655" s="39"/>
      <c r="J1655" s="38"/>
    </row>
    <row r="1656" spans="2:10" ht="12.75" customHeight="1" x14ac:dyDescent="0.2">
      <c r="B1656" s="37"/>
      <c r="C1656" s="37" t="str">
        <f>IF(D1656="","",MATCH(D1656,Parametros!$B$4:$B$15,0))</f>
        <v/>
      </c>
      <c r="D1656" s="38"/>
      <c r="E1656" s="38"/>
      <c r="F1656" s="38"/>
      <c r="G1656" s="38"/>
      <c r="H1656" s="38"/>
      <c r="I1656" s="39"/>
      <c r="J1656" s="38"/>
    </row>
    <row r="1657" spans="2:10" ht="12.75" customHeight="1" x14ac:dyDescent="0.2">
      <c r="B1657" s="37"/>
      <c r="C1657" s="37" t="str">
        <f>IF(D1657="","",MATCH(D1657,Parametros!$B$4:$B$15,0))</f>
        <v/>
      </c>
      <c r="D1657" s="38"/>
      <c r="E1657" s="38"/>
      <c r="F1657" s="38"/>
      <c r="G1657" s="38"/>
      <c r="H1657" s="38"/>
      <c r="I1657" s="39"/>
      <c r="J1657" s="38"/>
    </row>
    <row r="1658" spans="2:10" ht="12.75" customHeight="1" x14ac:dyDescent="0.2">
      <c r="B1658" s="37"/>
      <c r="C1658" s="37" t="str">
        <f>IF(D1658="","",MATCH(D1658,Parametros!$B$4:$B$15,0))</f>
        <v/>
      </c>
      <c r="D1658" s="38"/>
      <c r="E1658" s="38"/>
      <c r="F1658" s="38"/>
      <c r="G1658" s="38"/>
      <c r="H1658" s="38"/>
      <c r="I1658" s="39"/>
      <c r="J1658" s="38"/>
    </row>
    <row r="1659" spans="2:10" ht="12.75" customHeight="1" x14ac:dyDescent="0.2">
      <c r="B1659" s="37"/>
      <c r="C1659" s="37" t="str">
        <f>IF(D1659="","",MATCH(D1659,Parametros!$B$4:$B$15,0))</f>
        <v/>
      </c>
      <c r="D1659" s="38"/>
      <c r="E1659" s="38"/>
      <c r="F1659" s="38"/>
      <c r="G1659" s="38"/>
      <c r="H1659" s="38"/>
      <c r="I1659" s="39"/>
      <c r="J1659" s="38"/>
    </row>
    <row r="1660" spans="2:10" ht="12.75" customHeight="1" x14ac:dyDescent="0.2">
      <c r="B1660" s="37"/>
      <c r="C1660" s="37" t="str">
        <f>IF(D1660="","",MATCH(D1660,Parametros!$B$4:$B$15,0))</f>
        <v/>
      </c>
      <c r="D1660" s="38"/>
      <c r="E1660" s="38"/>
      <c r="F1660" s="38"/>
      <c r="G1660" s="38"/>
      <c r="H1660" s="38"/>
      <c r="I1660" s="39"/>
      <c r="J1660" s="38"/>
    </row>
    <row r="1661" spans="2:10" ht="12.75" customHeight="1" x14ac:dyDescent="0.2">
      <c r="B1661" s="37"/>
      <c r="C1661" s="37" t="str">
        <f>IF(D1661="","",MATCH(D1661,Parametros!$B$4:$B$15,0))</f>
        <v/>
      </c>
      <c r="D1661" s="38"/>
      <c r="E1661" s="38"/>
      <c r="F1661" s="38"/>
      <c r="G1661" s="38"/>
      <c r="H1661" s="38"/>
      <c r="I1661" s="39"/>
      <c r="J1661" s="38"/>
    </row>
    <row r="1662" spans="2:10" ht="12.75" customHeight="1" x14ac:dyDescent="0.2">
      <c r="B1662" s="37"/>
      <c r="C1662" s="37" t="str">
        <f>IF(D1662="","",MATCH(D1662,Parametros!$B$4:$B$15,0))</f>
        <v/>
      </c>
      <c r="D1662" s="38"/>
      <c r="E1662" s="38"/>
      <c r="F1662" s="38"/>
      <c r="G1662" s="38"/>
      <c r="H1662" s="38"/>
      <c r="I1662" s="39"/>
      <c r="J1662" s="38"/>
    </row>
    <row r="1663" spans="2:10" ht="12.75" customHeight="1" x14ac:dyDescent="0.2">
      <c r="B1663" s="37"/>
      <c r="C1663" s="37" t="str">
        <f>IF(D1663="","",MATCH(D1663,Parametros!$B$4:$B$15,0))</f>
        <v/>
      </c>
      <c r="D1663" s="38"/>
      <c r="E1663" s="38"/>
      <c r="F1663" s="38"/>
      <c r="G1663" s="38"/>
      <c r="H1663" s="38"/>
      <c r="I1663" s="39"/>
      <c r="J1663" s="38"/>
    </row>
    <row r="1664" spans="2:10" ht="12.75" customHeight="1" x14ac:dyDescent="0.2">
      <c r="B1664" s="37"/>
      <c r="C1664" s="37" t="str">
        <f>IF(D1664="","",MATCH(D1664,Parametros!$B$4:$B$15,0))</f>
        <v/>
      </c>
      <c r="D1664" s="38"/>
      <c r="E1664" s="38"/>
      <c r="F1664" s="38"/>
      <c r="G1664" s="38"/>
      <c r="H1664" s="38"/>
      <c r="I1664" s="39"/>
      <c r="J1664" s="38"/>
    </row>
    <row r="1665" spans="2:10" ht="12.75" customHeight="1" x14ac:dyDescent="0.2">
      <c r="B1665" s="37"/>
      <c r="C1665" s="37" t="str">
        <f>IF(D1665="","",MATCH(D1665,Parametros!$B$4:$B$15,0))</f>
        <v/>
      </c>
      <c r="D1665" s="38"/>
      <c r="E1665" s="38"/>
      <c r="F1665" s="38"/>
      <c r="G1665" s="38"/>
      <c r="H1665" s="38"/>
      <c r="I1665" s="39"/>
      <c r="J1665" s="38"/>
    </row>
    <row r="1666" spans="2:10" ht="12.75" customHeight="1" x14ac:dyDescent="0.2">
      <c r="B1666" s="37"/>
      <c r="C1666" s="37" t="str">
        <f>IF(D1666="","",MATCH(D1666,Parametros!$B$4:$B$15,0))</f>
        <v/>
      </c>
      <c r="D1666" s="38"/>
      <c r="E1666" s="38"/>
      <c r="F1666" s="38"/>
      <c r="G1666" s="38"/>
      <c r="H1666" s="38"/>
      <c r="I1666" s="39"/>
      <c r="J1666" s="38"/>
    </row>
    <row r="1667" spans="2:10" ht="12.75" customHeight="1" x14ac:dyDescent="0.2">
      <c r="B1667" s="37"/>
      <c r="C1667" s="37" t="str">
        <f>IF(D1667="","",MATCH(D1667,Parametros!$B$4:$B$15,0))</f>
        <v/>
      </c>
      <c r="D1667" s="38"/>
      <c r="E1667" s="38"/>
      <c r="F1667" s="38"/>
      <c r="G1667" s="38"/>
      <c r="H1667" s="38"/>
      <c r="I1667" s="39"/>
      <c r="J1667" s="38"/>
    </row>
    <row r="1668" spans="2:10" ht="12.75" customHeight="1" x14ac:dyDescent="0.2">
      <c r="B1668" s="37"/>
      <c r="C1668" s="37" t="str">
        <f>IF(D1668="","",MATCH(D1668,Parametros!$B$4:$B$15,0))</f>
        <v/>
      </c>
      <c r="D1668" s="38"/>
      <c r="E1668" s="38"/>
      <c r="F1668" s="38"/>
      <c r="G1668" s="38"/>
      <c r="H1668" s="38"/>
      <c r="I1668" s="39"/>
      <c r="J1668" s="38"/>
    </row>
    <row r="1669" spans="2:10" ht="12.75" customHeight="1" x14ac:dyDescent="0.2">
      <c r="B1669" s="37"/>
      <c r="C1669" s="37" t="str">
        <f>IF(D1669="","",MATCH(D1669,Parametros!$B$4:$B$15,0))</f>
        <v/>
      </c>
      <c r="D1669" s="38"/>
      <c r="E1669" s="38"/>
      <c r="F1669" s="38"/>
      <c r="G1669" s="38"/>
      <c r="H1669" s="38"/>
      <c r="I1669" s="39"/>
      <c r="J1669" s="38"/>
    </row>
    <row r="1670" spans="2:10" ht="12.75" customHeight="1" x14ac:dyDescent="0.2">
      <c r="B1670" s="37"/>
      <c r="C1670" s="37" t="str">
        <f>IF(D1670="","",MATCH(D1670,Parametros!$B$4:$B$15,0))</f>
        <v/>
      </c>
      <c r="D1670" s="38"/>
      <c r="E1670" s="38"/>
      <c r="F1670" s="38"/>
      <c r="G1670" s="38"/>
      <c r="H1670" s="38"/>
      <c r="I1670" s="39"/>
      <c r="J1670" s="38"/>
    </row>
    <row r="1671" spans="2:10" ht="12.75" customHeight="1" x14ac:dyDescent="0.2">
      <c r="B1671" s="37"/>
      <c r="C1671" s="37" t="str">
        <f>IF(D1671="","",MATCH(D1671,Parametros!$B$4:$B$15,0))</f>
        <v/>
      </c>
      <c r="D1671" s="38"/>
      <c r="E1671" s="38"/>
      <c r="F1671" s="38"/>
      <c r="G1671" s="38"/>
      <c r="H1671" s="38"/>
      <c r="I1671" s="39"/>
      <c r="J1671" s="38"/>
    </row>
    <row r="1672" spans="2:10" ht="12.75" customHeight="1" x14ac:dyDescent="0.2">
      <c r="B1672" s="37"/>
      <c r="C1672" s="37" t="str">
        <f>IF(D1672="","",MATCH(D1672,Parametros!$B$4:$B$15,0))</f>
        <v/>
      </c>
      <c r="D1672" s="38"/>
      <c r="E1672" s="38"/>
      <c r="F1672" s="38"/>
      <c r="G1672" s="38"/>
      <c r="H1672" s="38"/>
      <c r="I1672" s="39"/>
      <c r="J1672" s="38"/>
    </row>
    <row r="1673" spans="2:10" ht="12.75" customHeight="1" x14ac:dyDescent="0.2">
      <c r="B1673" s="37"/>
      <c r="C1673" s="37" t="str">
        <f>IF(D1673="","",MATCH(D1673,Parametros!$B$4:$B$15,0))</f>
        <v/>
      </c>
      <c r="D1673" s="38"/>
      <c r="E1673" s="38"/>
      <c r="F1673" s="38"/>
      <c r="G1673" s="38"/>
      <c r="H1673" s="38"/>
      <c r="I1673" s="39"/>
      <c r="J1673" s="38"/>
    </row>
    <row r="1674" spans="2:10" ht="12.75" customHeight="1" x14ac:dyDescent="0.2">
      <c r="B1674" s="37"/>
      <c r="C1674" s="37" t="str">
        <f>IF(D1674="","",MATCH(D1674,Parametros!$B$4:$B$15,0))</f>
        <v/>
      </c>
      <c r="D1674" s="38"/>
      <c r="E1674" s="38"/>
      <c r="F1674" s="38"/>
      <c r="G1674" s="38"/>
      <c r="H1674" s="38"/>
      <c r="I1674" s="39"/>
      <c r="J1674" s="38"/>
    </row>
    <row r="1675" spans="2:10" ht="12.75" customHeight="1" x14ac:dyDescent="0.2">
      <c r="B1675" s="37"/>
      <c r="C1675" s="37" t="str">
        <f>IF(D1675="","",MATCH(D1675,Parametros!$B$4:$B$15,0))</f>
        <v/>
      </c>
      <c r="D1675" s="38"/>
      <c r="E1675" s="38"/>
      <c r="F1675" s="38"/>
      <c r="G1675" s="38"/>
      <c r="H1675" s="38"/>
      <c r="I1675" s="39"/>
      <c r="J1675" s="38"/>
    </row>
    <row r="1676" spans="2:10" ht="12.75" customHeight="1" x14ac:dyDescent="0.2">
      <c r="B1676" s="37"/>
      <c r="C1676" s="37" t="str">
        <f>IF(D1676="","",MATCH(D1676,Parametros!$B$4:$B$15,0))</f>
        <v/>
      </c>
      <c r="D1676" s="38"/>
      <c r="E1676" s="38"/>
      <c r="F1676" s="38"/>
      <c r="G1676" s="38"/>
      <c r="H1676" s="38"/>
      <c r="I1676" s="39"/>
      <c r="J1676" s="38"/>
    </row>
    <row r="1677" spans="2:10" ht="12.75" customHeight="1" x14ac:dyDescent="0.2">
      <c r="B1677" s="37"/>
      <c r="C1677" s="37" t="str">
        <f>IF(D1677="","",MATCH(D1677,Parametros!$B$4:$B$15,0))</f>
        <v/>
      </c>
      <c r="D1677" s="38"/>
      <c r="E1677" s="38"/>
      <c r="F1677" s="38"/>
      <c r="G1677" s="38"/>
      <c r="H1677" s="38"/>
      <c r="I1677" s="39"/>
      <c r="J1677" s="38"/>
    </row>
    <row r="1678" spans="2:10" ht="12.75" customHeight="1" x14ac:dyDescent="0.2">
      <c r="B1678" s="37"/>
      <c r="C1678" s="37" t="str">
        <f>IF(D1678="","",MATCH(D1678,Parametros!$B$4:$B$15,0))</f>
        <v/>
      </c>
      <c r="D1678" s="38"/>
      <c r="E1678" s="38"/>
      <c r="F1678" s="38"/>
      <c r="G1678" s="38"/>
      <c r="H1678" s="38"/>
      <c r="I1678" s="39"/>
      <c r="J1678" s="38"/>
    </row>
    <row r="1679" spans="2:10" ht="12.75" customHeight="1" x14ac:dyDescent="0.2">
      <c r="B1679" s="37"/>
      <c r="C1679" s="37" t="str">
        <f>IF(D1679="","",MATCH(D1679,Parametros!$B$4:$B$15,0))</f>
        <v/>
      </c>
      <c r="D1679" s="38"/>
      <c r="E1679" s="38"/>
      <c r="F1679" s="38"/>
      <c r="G1679" s="38"/>
      <c r="H1679" s="38"/>
      <c r="I1679" s="39"/>
      <c r="J1679" s="38"/>
    </row>
    <row r="1680" spans="2:10" ht="12.75" customHeight="1" x14ac:dyDescent="0.2">
      <c r="B1680" s="37"/>
      <c r="C1680" s="37" t="str">
        <f>IF(D1680="","",MATCH(D1680,Parametros!$B$4:$B$15,0))</f>
        <v/>
      </c>
      <c r="D1680" s="38"/>
      <c r="E1680" s="38"/>
      <c r="F1680" s="38"/>
      <c r="G1680" s="38"/>
      <c r="H1680" s="38"/>
      <c r="I1680" s="39"/>
      <c r="J1680" s="38"/>
    </row>
    <row r="1681" spans="2:10" ht="12.75" customHeight="1" x14ac:dyDescent="0.2">
      <c r="B1681" s="37"/>
      <c r="C1681" s="37" t="str">
        <f>IF(D1681="","",MATCH(D1681,Parametros!$B$4:$B$15,0))</f>
        <v/>
      </c>
      <c r="D1681" s="38"/>
      <c r="E1681" s="38"/>
      <c r="F1681" s="38"/>
      <c r="G1681" s="38"/>
      <c r="H1681" s="38"/>
      <c r="I1681" s="39"/>
      <c r="J1681" s="38"/>
    </row>
    <row r="1682" spans="2:10" ht="12.75" customHeight="1" x14ac:dyDescent="0.2">
      <c r="B1682" s="37"/>
      <c r="C1682" s="37" t="str">
        <f>IF(D1682="","",MATCH(D1682,Parametros!$B$4:$B$15,0))</f>
        <v/>
      </c>
      <c r="D1682" s="38"/>
      <c r="E1682" s="38"/>
      <c r="F1682" s="38"/>
      <c r="G1682" s="38"/>
      <c r="H1682" s="38"/>
      <c r="I1682" s="39"/>
      <c r="J1682" s="38"/>
    </row>
    <row r="1683" spans="2:10" ht="12.75" customHeight="1" x14ac:dyDescent="0.2">
      <c r="B1683" s="37"/>
      <c r="C1683" s="37" t="str">
        <f>IF(D1683="","",MATCH(D1683,Parametros!$B$4:$B$15,0))</f>
        <v/>
      </c>
      <c r="D1683" s="38"/>
      <c r="E1683" s="38"/>
      <c r="F1683" s="38"/>
      <c r="G1683" s="38"/>
      <c r="H1683" s="38"/>
      <c r="I1683" s="39"/>
      <c r="J1683" s="38"/>
    </row>
    <row r="1684" spans="2:10" ht="12.75" customHeight="1" x14ac:dyDescent="0.2">
      <c r="B1684" s="37"/>
      <c r="C1684" s="37" t="str">
        <f>IF(D1684="","",MATCH(D1684,Parametros!$B$4:$B$15,0))</f>
        <v/>
      </c>
      <c r="D1684" s="38"/>
      <c r="E1684" s="38"/>
      <c r="F1684" s="38"/>
      <c r="G1684" s="38"/>
      <c r="H1684" s="38"/>
      <c r="I1684" s="39"/>
      <c r="J1684" s="38"/>
    </row>
    <row r="1685" spans="2:10" ht="12.75" customHeight="1" x14ac:dyDescent="0.2">
      <c r="B1685" s="37"/>
      <c r="C1685" s="37" t="str">
        <f>IF(D1685="","",MATCH(D1685,Parametros!$B$4:$B$15,0))</f>
        <v/>
      </c>
      <c r="D1685" s="38"/>
      <c r="E1685" s="38"/>
      <c r="F1685" s="38"/>
      <c r="G1685" s="38"/>
      <c r="H1685" s="38"/>
      <c r="I1685" s="39"/>
      <c r="J1685" s="38"/>
    </row>
    <row r="1686" spans="2:10" ht="12.75" customHeight="1" x14ac:dyDescent="0.2">
      <c r="B1686" s="37"/>
      <c r="C1686" s="37" t="str">
        <f>IF(D1686="","",MATCH(D1686,Parametros!$B$4:$B$15,0))</f>
        <v/>
      </c>
      <c r="D1686" s="38"/>
      <c r="E1686" s="38"/>
      <c r="F1686" s="38"/>
      <c r="G1686" s="38"/>
      <c r="H1686" s="38"/>
      <c r="I1686" s="39"/>
      <c r="J1686" s="38"/>
    </row>
    <row r="1687" spans="2:10" ht="12.75" customHeight="1" x14ac:dyDescent="0.2">
      <c r="B1687" s="37"/>
      <c r="C1687" s="37" t="str">
        <f>IF(D1687="","",MATCH(D1687,Parametros!$B$4:$B$15,0))</f>
        <v/>
      </c>
      <c r="D1687" s="38"/>
      <c r="E1687" s="38"/>
      <c r="F1687" s="38"/>
      <c r="G1687" s="38"/>
      <c r="H1687" s="38"/>
      <c r="I1687" s="39"/>
      <c r="J1687" s="38"/>
    </row>
    <row r="1688" spans="2:10" ht="12.75" customHeight="1" x14ac:dyDescent="0.2">
      <c r="B1688" s="37"/>
      <c r="C1688" s="37" t="str">
        <f>IF(D1688="","",MATCH(D1688,Parametros!$B$4:$B$15,0))</f>
        <v/>
      </c>
      <c r="D1688" s="38"/>
      <c r="E1688" s="38"/>
      <c r="F1688" s="38"/>
      <c r="G1688" s="38"/>
      <c r="H1688" s="38"/>
      <c r="I1688" s="39"/>
      <c r="J1688" s="38"/>
    </row>
    <row r="1689" spans="2:10" ht="12.75" customHeight="1" x14ac:dyDescent="0.2">
      <c r="B1689" s="37"/>
      <c r="C1689" s="37" t="str">
        <f>IF(D1689="","",MATCH(D1689,Parametros!$B$4:$B$15,0))</f>
        <v/>
      </c>
      <c r="D1689" s="38"/>
      <c r="E1689" s="38"/>
      <c r="F1689" s="38"/>
      <c r="G1689" s="38"/>
      <c r="H1689" s="38"/>
      <c r="I1689" s="39"/>
      <c r="J1689" s="38"/>
    </row>
    <row r="1690" spans="2:10" ht="12.75" customHeight="1" x14ac:dyDescent="0.2">
      <c r="B1690" s="37"/>
      <c r="C1690" s="37" t="str">
        <f>IF(D1690="","",MATCH(D1690,Parametros!$B$4:$B$15,0))</f>
        <v/>
      </c>
      <c r="D1690" s="38"/>
      <c r="E1690" s="38"/>
      <c r="F1690" s="38"/>
      <c r="G1690" s="38"/>
      <c r="H1690" s="38"/>
      <c r="I1690" s="39"/>
      <c r="J1690" s="38"/>
    </row>
    <row r="1691" spans="2:10" ht="12.75" customHeight="1" x14ac:dyDescent="0.2">
      <c r="B1691" s="37"/>
      <c r="C1691" s="37" t="str">
        <f>IF(D1691="","",MATCH(D1691,Parametros!$B$4:$B$15,0))</f>
        <v/>
      </c>
      <c r="D1691" s="38"/>
      <c r="E1691" s="38"/>
      <c r="F1691" s="38"/>
      <c r="G1691" s="38"/>
      <c r="H1691" s="38"/>
      <c r="I1691" s="39"/>
      <c r="J1691" s="38"/>
    </row>
    <row r="1692" spans="2:10" ht="12.75" customHeight="1" x14ac:dyDescent="0.2">
      <c r="B1692" s="37"/>
      <c r="C1692" s="37" t="str">
        <f>IF(D1692="","",MATCH(D1692,Parametros!$B$4:$B$15,0))</f>
        <v/>
      </c>
      <c r="D1692" s="38"/>
      <c r="E1692" s="38"/>
      <c r="F1692" s="38"/>
      <c r="G1692" s="38"/>
      <c r="H1692" s="38"/>
      <c r="I1692" s="39"/>
      <c r="J1692" s="38"/>
    </row>
    <row r="1693" spans="2:10" ht="12.75" customHeight="1" x14ac:dyDescent="0.2">
      <c r="B1693" s="37"/>
      <c r="C1693" s="37" t="str">
        <f>IF(D1693="","",MATCH(D1693,Parametros!$B$4:$B$15,0))</f>
        <v/>
      </c>
      <c r="D1693" s="38"/>
      <c r="E1693" s="38"/>
      <c r="F1693" s="38"/>
      <c r="G1693" s="38"/>
      <c r="H1693" s="38"/>
      <c r="I1693" s="39"/>
      <c r="J1693" s="38"/>
    </row>
    <row r="1694" spans="2:10" ht="12.75" customHeight="1" x14ac:dyDescent="0.2">
      <c r="B1694" s="37"/>
      <c r="C1694" s="37" t="str">
        <f>IF(D1694="","",MATCH(D1694,Parametros!$B$4:$B$15,0))</f>
        <v/>
      </c>
      <c r="D1694" s="38"/>
      <c r="E1694" s="38"/>
      <c r="F1694" s="38"/>
      <c r="G1694" s="38"/>
      <c r="H1694" s="38"/>
      <c r="I1694" s="39"/>
      <c r="J1694" s="38"/>
    </row>
    <row r="1695" spans="2:10" ht="12.75" customHeight="1" x14ac:dyDescent="0.2">
      <c r="B1695" s="37"/>
      <c r="C1695" s="37" t="str">
        <f>IF(D1695="","",MATCH(D1695,Parametros!$B$4:$B$15,0))</f>
        <v/>
      </c>
      <c r="D1695" s="38"/>
      <c r="E1695" s="38"/>
      <c r="F1695" s="38"/>
      <c r="G1695" s="38"/>
      <c r="H1695" s="38"/>
      <c r="I1695" s="39"/>
      <c r="J1695" s="38"/>
    </row>
    <row r="1696" spans="2:10" ht="12.75" customHeight="1" x14ac:dyDescent="0.2">
      <c r="B1696" s="37"/>
      <c r="C1696" s="37" t="str">
        <f>IF(D1696="","",MATCH(D1696,Parametros!$B$4:$B$15,0))</f>
        <v/>
      </c>
      <c r="D1696" s="38"/>
      <c r="E1696" s="38"/>
      <c r="F1696" s="38"/>
      <c r="G1696" s="38"/>
      <c r="H1696" s="38"/>
      <c r="I1696" s="39"/>
      <c r="J1696" s="38"/>
    </row>
    <row r="1697" spans="2:10" ht="12.75" customHeight="1" x14ac:dyDescent="0.2">
      <c r="B1697" s="37"/>
      <c r="C1697" s="37" t="str">
        <f>IF(D1697="","",MATCH(D1697,Parametros!$B$4:$B$15,0))</f>
        <v/>
      </c>
      <c r="D1697" s="38"/>
      <c r="E1697" s="38"/>
      <c r="F1697" s="38"/>
      <c r="G1697" s="38"/>
      <c r="H1697" s="38"/>
      <c r="I1697" s="39"/>
      <c r="J1697" s="38"/>
    </row>
    <row r="1698" spans="2:10" ht="12.75" customHeight="1" x14ac:dyDescent="0.2">
      <c r="B1698" s="37"/>
      <c r="C1698" s="37" t="str">
        <f>IF(D1698="","",MATCH(D1698,Parametros!$B$4:$B$15,0))</f>
        <v/>
      </c>
      <c r="D1698" s="38"/>
      <c r="E1698" s="38"/>
      <c r="F1698" s="38"/>
      <c r="G1698" s="38"/>
      <c r="H1698" s="38"/>
      <c r="I1698" s="39"/>
      <c r="J1698" s="38"/>
    </row>
    <row r="1699" spans="2:10" ht="12.75" customHeight="1" x14ac:dyDescent="0.2">
      <c r="B1699" s="37"/>
      <c r="C1699" s="37" t="str">
        <f>IF(D1699="","",MATCH(D1699,Parametros!$B$4:$B$15,0))</f>
        <v/>
      </c>
      <c r="D1699" s="38"/>
      <c r="E1699" s="38"/>
      <c r="F1699" s="38"/>
      <c r="G1699" s="38"/>
      <c r="H1699" s="38"/>
      <c r="I1699" s="39"/>
      <c r="J1699" s="38"/>
    </row>
    <row r="1700" spans="2:10" ht="12.75" customHeight="1" x14ac:dyDescent="0.2">
      <c r="B1700" s="37"/>
      <c r="C1700" s="37" t="str">
        <f>IF(D1700="","",MATCH(D1700,Parametros!$B$4:$B$15,0))</f>
        <v/>
      </c>
      <c r="D1700" s="38"/>
      <c r="E1700" s="38"/>
      <c r="F1700" s="38"/>
      <c r="G1700" s="38"/>
      <c r="H1700" s="38"/>
      <c r="I1700" s="39"/>
      <c r="J1700" s="38"/>
    </row>
    <row r="1701" spans="2:10" ht="12.75" customHeight="1" x14ac:dyDescent="0.2">
      <c r="B1701" s="37"/>
      <c r="C1701" s="37" t="str">
        <f>IF(D1701="","",MATCH(D1701,Parametros!$B$4:$B$15,0))</f>
        <v/>
      </c>
      <c r="D1701" s="38"/>
      <c r="E1701" s="38"/>
      <c r="F1701" s="38"/>
      <c r="G1701" s="38"/>
      <c r="H1701" s="38"/>
      <c r="I1701" s="39"/>
      <c r="J1701" s="38"/>
    </row>
    <row r="1702" spans="2:10" ht="12.75" customHeight="1" x14ac:dyDescent="0.2">
      <c r="B1702" s="37"/>
      <c r="C1702" s="37" t="str">
        <f>IF(D1702="","",MATCH(D1702,Parametros!$B$4:$B$15,0))</f>
        <v/>
      </c>
      <c r="D1702" s="38"/>
      <c r="E1702" s="38"/>
      <c r="F1702" s="38"/>
      <c r="G1702" s="38"/>
      <c r="H1702" s="38"/>
      <c r="I1702" s="39"/>
      <c r="J1702" s="38"/>
    </row>
    <row r="1703" spans="2:10" ht="12.75" customHeight="1" x14ac:dyDescent="0.2">
      <c r="B1703" s="37"/>
      <c r="C1703" s="37" t="str">
        <f>IF(D1703="","",MATCH(D1703,Parametros!$B$4:$B$15,0))</f>
        <v/>
      </c>
      <c r="D1703" s="38"/>
      <c r="E1703" s="38"/>
      <c r="F1703" s="38"/>
      <c r="G1703" s="38"/>
      <c r="H1703" s="38"/>
      <c r="I1703" s="39"/>
      <c r="J1703" s="38"/>
    </row>
    <row r="1704" spans="2:10" ht="12.75" customHeight="1" x14ac:dyDescent="0.2">
      <c r="B1704" s="37"/>
      <c r="C1704" s="37" t="str">
        <f>IF(D1704="","",MATCH(D1704,Parametros!$B$4:$B$15,0))</f>
        <v/>
      </c>
      <c r="D1704" s="38"/>
      <c r="E1704" s="38"/>
      <c r="F1704" s="38"/>
      <c r="G1704" s="38"/>
      <c r="H1704" s="38"/>
      <c r="I1704" s="39"/>
      <c r="J1704" s="38"/>
    </row>
    <row r="1705" spans="2:10" ht="12.75" customHeight="1" x14ac:dyDescent="0.2">
      <c r="B1705" s="37"/>
      <c r="C1705" s="37" t="str">
        <f>IF(D1705="","",MATCH(D1705,Parametros!$B$4:$B$15,0))</f>
        <v/>
      </c>
      <c r="D1705" s="38"/>
      <c r="E1705" s="38"/>
      <c r="F1705" s="38"/>
      <c r="G1705" s="38"/>
      <c r="H1705" s="38"/>
      <c r="I1705" s="39"/>
      <c r="J1705" s="38"/>
    </row>
    <row r="1706" spans="2:10" ht="12.75" customHeight="1" x14ac:dyDescent="0.2">
      <c r="B1706" s="37"/>
      <c r="C1706" s="37" t="str">
        <f>IF(D1706="","",MATCH(D1706,Parametros!$B$4:$B$15,0))</f>
        <v/>
      </c>
      <c r="D1706" s="38"/>
      <c r="E1706" s="38"/>
      <c r="F1706" s="38"/>
      <c r="G1706" s="38"/>
      <c r="H1706" s="38"/>
      <c r="I1706" s="39"/>
      <c r="J1706" s="38"/>
    </row>
    <row r="1707" spans="2:10" ht="12.75" customHeight="1" x14ac:dyDescent="0.2">
      <c r="B1707" s="37"/>
      <c r="C1707" s="37" t="str">
        <f>IF(D1707="","",MATCH(D1707,Parametros!$B$4:$B$15,0))</f>
        <v/>
      </c>
      <c r="D1707" s="38"/>
      <c r="E1707" s="38"/>
      <c r="F1707" s="38"/>
      <c r="G1707" s="38"/>
      <c r="H1707" s="38"/>
      <c r="I1707" s="39"/>
      <c r="J1707" s="38"/>
    </row>
    <row r="1708" spans="2:10" ht="12.75" customHeight="1" x14ac:dyDescent="0.2">
      <c r="B1708" s="37"/>
      <c r="C1708" s="37" t="str">
        <f>IF(D1708="","",MATCH(D1708,Parametros!$B$4:$B$15,0))</f>
        <v/>
      </c>
      <c r="D1708" s="38"/>
      <c r="E1708" s="38"/>
      <c r="F1708" s="38"/>
      <c r="G1708" s="38"/>
      <c r="H1708" s="38"/>
      <c r="I1708" s="39"/>
      <c r="J1708" s="38"/>
    </row>
    <row r="1709" spans="2:10" ht="12.75" customHeight="1" x14ac:dyDescent="0.2">
      <c r="B1709" s="37"/>
      <c r="C1709" s="37" t="str">
        <f>IF(D1709="","",MATCH(D1709,Parametros!$B$4:$B$15,0))</f>
        <v/>
      </c>
      <c r="D1709" s="38"/>
      <c r="E1709" s="38"/>
      <c r="F1709" s="38"/>
      <c r="G1709" s="38"/>
      <c r="H1709" s="38"/>
      <c r="I1709" s="39"/>
      <c r="J1709" s="38"/>
    </row>
    <row r="1710" spans="2:10" ht="12.75" customHeight="1" x14ac:dyDescent="0.2">
      <c r="B1710" s="37"/>
      <c r="C1710" s="37" t="str">
        <f>IF(D1710="","",MATCH(D1710,Parametros!$B$4:$B$15,0))</f>
        <v/>
      </c>
      <c r="D1710" s="38"/>
      <c r="E1710" s="38"/>
      <c r="F1710" s="38"/>
      <c r="G1710" s="38"/>
      <c r="H1710" s="38"/>
      <c r="I1710" s="39"/>
      <c r="J1710" s="38"/>
    </row>
    <row r="1711" spans="2:10" ht="12.75" customHeight="1" x14ac:dyDescent="0.2">
      <c r="B1711" s="37"/>
      <c r="C1711" s="37" t="str">
        <f>IF(D1711="","",MATCH(D1711,Parametros!$B$4:$B$15,0))</f>
        <v/>
      </c>
      <c r="D1711" s="38"/>
      <c r="E1711" s="38"/>
      <c r="F1711" s="38"/>
      <c r="G1711" s="38"/>
      <c r="H1711" s="38"/>
      <c r="I1711" s="39"/>
      <c r="J1711" s="38"/>
    </row>
    <row r="1712" spans="2:10" ht="12.75" customHeight="1" x14ac:dyDescent="0.2">
      <c r="B1712" s="37"/>
      <c r="C1712" s="37" t="str">
        <f>IF(D1712="","",MATCH(D1712,Parametros!$B$4:$B$15,0))</f>
        <v/>
      </c>
      <c r="D1712" s="38"/>
      <c r="E1712" s="38"/>
      <c r="F1712" s="38"/>
      <c r="G1712" s="38"/>
      <c r="H1712" s="38"/>
      <c r="I1712" s="39"/>
      <c r="J1712" s="38"/>
    </row>
    <row r="1713" spans="2:10" ht="12.75" customHeight="1" x14ac:dyDescent="0.2">
      <c r="B1713" s="37"/>
      <c r="C1713" s="37" t="str">
        <f>IF(D1713="","",MATCH(D1713,Parametros!$B$4:$B$15,0))</f>
        <v/>
      </c>
      <c r="D1713" s="38"/>
      <c r="E1713" s="38"/>
      <c r="F1713" s="38"/>
      <c r="G1713" s="38"/>
      <c r="H1713" s="38"/>
      <c r="I1713" s="39"/>
      <c r="J1713" s="38"/>
    </row>
    <row r="1714" spans="2:10" ht="12.75" customHeight="1" x14ac:dyDescent="0.2">
      <c r="B1714" s="37"/>
      <c r="C1714" s="37" t="str">
        <f>IF(D1714="","",MATCH(D1714,Parametros!$B$4:$B$15,0))</f>
        <v/>
      </c>
      <c r="D1714" s="38"/>
      <c r="E1714" s="38"/>
      <c r="F1714" s="38"/>
      <c r="G1714" s="38"/>
      <c r="H1714" s="38"/>
      <c r="I1714" s="39"/>
      <c r="J1714" s="38"/>
    </row>
    <row r="1715" spans="2:10" ht="12.75" customHeight="1" x14ac:dyDescent="0.2">
      <c r="B1715" s="37"/>
      <c r="C1715" s="37" t="str">
        <f>IF(D1715="","",MATCH(D1715,Parametros!$B$4:$B$15,0))</f>
        <v/>
      </c>
      <c r="D1715" s="38"/>
      <c r="E1715" s="38"/>
      <c r="F1715" s="38"/>
      <c r="G1715" s="38"/>
      <c r="H1715" s="38"/>
      <c r="I1715" s="39"/>
      <c r="J1715" s="38"/>
    </row>
    <row r="1716" spans="2:10" ht="12.75" customHeight="1" x14ac:dyDescent="0.2">
      <c r="B1716" s="37"/>
      <c r="C1716" s="37" t="str">
        <f>IF(D1716="","",MATCH(D1716,Parametros!$B$4:$B$15,0))</f>
        <v/>
      </c>
      <c r="D1716" s="38"/>
      <c r="E1716" s="38"/>
      <c r="F1716" s="38"/>
      <c r="G1716" s="38"/>
      <c r="H1716" s="38"/>
      <c r="I1716" s="39"/>
      <c r="J1716" s="38"/>
    </row>
    <row r="1717" spans="2:10" ht="12.75" customHeight="1" x14ac:dyDescent="0.2">
      <c r="B1717" s="37"/>
      <c r="C1717" s="37" t="str">
        <f>IF(D1717="","",MATCH(D1717,Parametros!$B$4:$B$15,0))</f>
        <v/>
      </c>
      <c r="D1717" s="38"/>
      <c r="E1717" s="38"/>
      <c r="F1717" s="38"/>
      <c r="G1717" s="38"/>
      <c r="H1717" s="38"/>
      <c r="I1717" s="39"/>
      <c r="J1717" s="38"/>
    </row>
    <row r="1718" spans="2:10" ht="12.75" customHeight="1" x14ac:dyDescent="0.2">
      <c r="B1718" s="37"/>
      <c r="C1718" s="37" t="str">
        <f>IF(D1718="","",MATCH(D1718,Parametros!$B$4:$B$15,0))</f>
        <v/>
      </c>
      <c r="D1718" s="38"/>
      <c r="E1718" s="38"/>
      <c r="F1718" s="38"/>
      <c r="G1718" s="38"/>
      <c r="H1718" s="38"/>
      <c r="I1718" s="39"/>
      <c r="J1718" s="38"/>
    </row>
    <row r="1719" spans="2:10" ht="12.75" customHeight="1" x14ac:dyDescent="0.2">
      <c r="B1719" s="37"/>
      <c r="C1719" s="37" t="str">
        <f>IF(D1719="","",MATCH(D1719,Parametros!$B$4:$B$15,0))</f>
        <v/>
      </c>
      <c r="D1719" s="38"/>
      <c r="E1719" s="38"/>
      <c r="F1719" s="38"/>
      <c r="G1719" s="38"/>
      <c r="H1719" s="38"/>
      <c r="I1719" s="39"/>
      <c r="J1719" s="38"/>
    </row>
    <row r="1720" spans="2:10" ht="12.75" customHeight="1" x14ac:dyDescent="0.2">
      <c r="B1720" s="37"/>
      <c r="C1720" s="37" t="str">
        <f>IF(D1720="","",MATCH(D1720,Parametros!$B$4:$B$15,0))</f>
        <v/>
      </c>
      <c r="D1720" s="38"/>
      <c r="E1720" s="38"/>
      <c r="F1720" s="38"/>
      <c r="G1720" s="38"/>
      <c r="H1720" s="38"/>
      <c r="I1720" s="39"/>
      <c r="J1720" s="38"/>
    </row>
    <row r="1721" spans="2:10" ht="12.75" customHeight="1" x14ac:dyDescent="0.2">
      <c r="B1721" s="37"/>
      <c r="C1721" s="37" t="str">
        <f>IF(D1721="","",MATCH(D1721,Parametros!$B$4:$B$15,0))</f>
        <v/>
      </c>
      <c r="D1721" s="38"/>
      <c r="E1721" s="38"/>
      <c r="F1721" s="38"/>
      <c r="G1721" s="38"/>
      <c r="H1721" s="38"/>
      <c r="I1721" s="39"/>
      <c r="J1721" s="38"/>
    </row>
    <row r="1722" spans="2:10" ht="12.75" customHeight="1" x14ac:dyDescent="0.2">
      <c r="B1722" s="37"/>
      <c r="C1722" s="37" t="str">
        <f>IF(D1722="","",MATCH(D1722,Parametros!$B$4:$B$15,0))</f>
        <v/>
      </c>
      <c r="D1722" s="38"/>
      <c r="E1722" s="38"/>
      <c r="F1722" s="38"/>
      <c r="G1722" s="38"/>
      <c r="H1722" s="38"/>
      <c r="I1722" s="39"/>
      <c r="J1722" s="38"/>
    </row>
    <row r="1723" spans="2:10" ht="12.75" customHeight="1" x14ac:dyDescent="0.2">
      <c r="B1723" s="37"/>
      <c r="C1723" s="37" t="str">
        <f>IF(D1723="","",MATCH(D1723,Parametros!$B$4:$B$15,0))</f>
        <v/>
      </c>
      <c r="D1723" s="38"/>
      <c r="E1723" s="38"/>
      <c r="F1723" s="38"/>
      <c r="G1723" s="38"/>
      <c r="H1723" s="38"/>
      <c r="I1723" s="39"/>
      <c r="J1723" s="38"/>
    </row>
    <row r="1724" spans="2:10" ht="12.75" customHeight="1" x14ac:dyDescent="0.2">
      <c r="B1724" s="37"/>
      <c r="C1724" s="37" t="str">
        <f>IF(D1724="","",MATCH(D1724,Parametros!$B$4:$B$15,0))</f>
        <v/>
      </c>
      <c r="D1724" s="38"/>
      <c r="E1724" s="38"/>
      <c r="F1724" s="38"/>
      <c r="G1724" s="38"/>
      <c r="H1724" s="38"/>
      <c r="I1724" s="39"/>
      <c r="J1724" s="38"/>
    </row>
    <row r="1725" spans="2:10" ht="12.75" customHeight="1" x14ac:dyDescent="0.2">
      <c r="B1725" s="37"/>
      <c r="C1725" s="37" t="str">
        <f>IF(D1725="","",MATCH(D1725,Parametros!$B$4:$B$15,0))</f>
        <v/>
      </c>
      <c r="D1725" s="38"/>
      <c r="E1725" s="38"/>
      <c r="F1725" s="38"/>
      <c r="G1725" s="38"/>
      <c r="H1725" s="38"/>
      <c r="I1725" s="39"/>
      <c r="J1725" s="38"/>
    </row>
    <row r="1726" spans="2:10" ht="12.75" customHeight="1" x14ac:dyDescent="0.2">
      <c r="B1726" s="37"/>
      <c r="C1726" s="37" t="str">
        <f>IF(D1726="","",MATCH(D1726,Parametros!$B$4:$B$15,0))</f>
        <v/>
      </c>
      <c r="D1726" s="38"/>
      <c r="E1726" s="38"/>
      <c r="F1726" s="38"/>
      <c r="G1726" s="38"/>
      <c r="H1726" s="38"/>
      <c r="I1726" s="39"/>
      <c r="J1726" s="38"/>
    </row>
    <row r="1727" spans="2:10" ht="12.75" customHeight="1" x14ac:dyDescent="0.2">
      <c r="B1727" s="37"/>
      <c r="C1727" s="37" t="str">
        <f>IF(D1727="","",MATCH(D1727,Parametros!$B$4:$B$15,0))</f>
        <v/>
      </c>
      <c r="D1727" s="38"/>
      <c r="E1727" s="38"/>
      <c r="F1727" s="38"/>
      <c r="G1727" s="38"/>
      <c r="H1727" s="38"/>
      <c r="I1727" s="39"/>
      <c r="J1727" s="38"/>
    </row>
    <row r="1728" spans="2:10" ht="12.75" customHeight="1" x14ac:dyDescent="0.2">
      <c r="B1728" s="37"/>
      <c r="C1728" s="37" t="str">
        <f>IF(D1728="","",MATCH(D1728,Parametros!$B$4:$B$15,0))</f>
        <v/>
      </c>
      <c r="D1728" s="38"/>
      <c r="E1728" s="38"/>
      <c r="F1728" s="38"/>
      <c r="G1728" s="38"/>
      <c r="H1728" s="38"/>
      <c r="I1728" s="39"/>
      <c r="J1728" s="38"/>
    </row>
    <row r="1729" spans="2:10" ht="12.75" customHeight="1" x14ac:dyDescent="0.2">
      <c r="B1729" s="37"/>
      <c r="C1729" s="37" t="str">
        <f>IF(D1729="","",MATCH(D1729,Parametros!$B$4:$B$15,0))</f>
        <v/>
      </c>
      <c r="D1729" s="38"/>
      <c r="E1729" s="38"/>
      <c r="F1729" s="38"/>
      <c r="G1729" s="38"/>
      <c r="H1729" s="38"/>
      <c r="I1729" s="39"/>
      <c r="J1729" s="38"/>
    </row>
    <row r="1730" spans="2:10" ht="12.75" customHeight="1" x14ac:dyDescent="0.2">
      <c r="B1730" s="37"/>
      <c r="C1730" s="37" t="str">
        <f>IF(D1730="","",MATCH(D1730,Parametros!$B$4:$B$15,0))</f>
        <v/>
      </c>
      <c r="D1730" s="38"/>
      <c r="E1730" s="38"/>
      <c r="F1730" s="38"/>
      <c r="G1730" s="38"/>
      <c r="H1730" s="38"/>
      <c r="I1730" s="39"/>
      <c r="J1730" s="38"/>
    </row>
    <row r="1731" spans="2:10" ht="12.75" customHeight="1" x14ac:dyDescent="0.2">
      <c r="B1731" s="37"/>
      <c r="C1731" s="37" t="str">
        <f>IF(D1731="","",MATCH(D1731,Parametros!$B$4:$B$15,0))</f>
        <v/>
      </c>
      <c r="D1731" s="38"/>
      <c r="E1731" s="38"/>
      <c r="F1731" s="38"/>
      <c r="G1731" s="38"/>
      <c r="H1731" s="38"/>
      <c r="I1731" s="39"/>
      <c r="J1731" s="38"/>
    </row>
    <row r="1732" spans="2:10" ht="12.75" customHeight="1" x14ac:dyDescent="0.2">
      <c r="B1732" s="37"/>
      <c r="C1732" s="37" t="str">
        <f>IF(D1732="","",MATCH(D1732,Parametros!$B$4:$B$15,0))</f>
        <v/>
      </c>
      <c r="D1732" s="38"/>
      <c r="E1732" s="38"/>
      <c r="F1732" s="38"/>
      <c r="G1732" s="38"/>
      <c r="H1732" s="38"/>
      <c r="I1732" s="39"/>
      <c r="J1732" s="38"/>
    </row>
    <row r="1733" spans="2:10" ht="12.75" customHeight="1" x14ac:dyDescent="0.2">
      <c r="B1733" s="37"/>
      <c r="C1733" s="37" t="str">
        <f>IF(D1733="","",MATCH(D1733,Parametros!$B$4:$B$15,0))</f>
        <v/>
      </c>
      <c r="D1733" s="38"/>
      <c r="E1733" s="38"/>
      <c r="F1733" s="38"/>
      <c r="G1733" s="38"/>
      <c r="H1733" s="38"/>
      <c r="I1733" s="39"/>
      <c r="J1733" s="38"/>
    </row>
    <row r="1734" spans="2:10" ht="12.75" customHeight="1" x14ac:dyDescent="0.2">
      <c r="B1734" s="37"/>
      <c r="C1734" s="37" t="str">
        <f>IF(D1734="","",MATCH(D1734,Parametros!$B$4:$B$15,0))</f>
        <v/>
      </c>
      <c r="D1734" s="38"/>
      <c r="E1734" s="38"/>
      <c r="F1734" s="38"/>
      <c r="G1734" s="38"/>
      <c r="H1734" s="38"/>
      <c r="I1734" s="39"/>
      <c r="J1734" s="38"/>
    </row>
    <row r="1735" spans="2:10" ht="12.75" customHeight="1" x14ac:dyDescent="0.2">
      <c r="B1735" s="37"/>
      <c r="C1735" s="37" t="str">
        <f>IF(D1735="","",MATCH(D1735,Parametros!$B$4:$B$15,0))</f>
        <v/>
      </c>
      <c r="D1735" s="38"/>
      <c r="E1735" s="38"/>
      <c r="F1735" s="38"/>
      <c r="G1735" s="38"/>
      <c r="H1735" s="38"/>
      <c r="I1735" s="39"/>
      <c r="J1735" s="38"/>
    </row>
    <row r="1736" spans="2:10" ht="12.75" customHeight="1" x14ac:dyDescent="0.2">
      <c r="B1736" s="37"/>
      <c r="C1736" s="37" t="str">
        <f>IF(D1736="","",MATCH(D1736,Parametros!$B$4:$B$15,0))</f>
        <v/>
      </c>
      <c r="D1736" s="38"/>
      <c r="E1736" s="38"/>
      <c r="F1736" s="38"/>
      <c r="G1736" s="38"/>
      <c r="H1736" s="38"/>
      <c r="I1736" s="39"/>
      <c r="J1736" s="38"/>
    </row>
    <row r="1737" spans="2:10" ht="12.75" customHeight="1" x14ac:dyDescent="0.2">
      <c r="B1737" s="37"/>
      <c r="C1737" s="37" t="str">
        <f>IF(D1737="","",MATCH(D1737,Parametros!$B$4:$B$15,0))</f>
        <v/>
      </c>
      <c r="D1737" s="38"/>
      <c r="E1737" s="38"/>
      <c r="F1737" s="38"/>
      <c r="G1737" s="38"/>
      <c r="H1737" s="38"/>
      <c r="I1737" s="39"/>
      <c r="J1737" s="38"/>
    </row>
    <row r="1738" spans="2:10" ht="12.75" customHeight="1" x14ac:dyDescent="0.2">
      <c r="B1738" s="37"/>
      <c r="C1738" s="37" t="str">
        <f>IF(D1738="","",MATCH(D1738,Parametros!$B$4:$B$15,0))</f>
        <v/>
      </c>
      <c r="D1738" s="38"/>
      <c r="E1738" s="38"/>
      <c r="F1738" s="38"/>
      <c r="G1738" s="38"/>
      <c r="H1738" s="38"/>
      <c r="I1738" s="39"/>
      <c r="J1738" s="38"/>
    </row>
    <row r="1739" spans="2:10" ht="12.75" customHeight="1" x14ac:dyDescent="0.2">
      <c r="B1739" s="37"/>
      <c r="C1739" s="37" t="str">
        <f>IF(D1739="","",MATCH(D1739,Parametros!$B$4:$B$15,0))</f>
        <v/>
      </c>
      <c r="D1739" s="38"/>
      <c r="E1739" s="38"/>
      <c r="F1739" s="38"/>
      <c r="G1739" s="38"/>
      <c r="H1739" s="38"/>
      <c r="I1739" s="39"/>
      <c r="J1739" s="38"/>
    </row>
    <row r="1740" spans="2:10" ht="12.75" customHeight="1" x14ac:dyDescent="0.2">
      <c r="B1740" s="37"/>
      <c r="C1740" s="37" t="str">
        <f>IF(D1740="","",MATCH(D1740,Parametros!$B$4:$B$15,0))</f>
        <v/>
      </c>
      <c r="D1740" s="38"/>
      <c r="E1740" s="38"/>
      <c r="F1740" s="38"/>
      <c r="G1740" s="38"/>
      <c r="H1740" s="38"/>
      <c r="I1740" s="39"/>
      <c r="J1740" s="38"/>
    </row>
    <row r="1741" spans="2:10" ht="12.75" customHeight="1" x14ac:dyDescent="0.2">
      <c r="B1741" s="37"/>
      <c r="C1741" s="37" t="str">
        <f>IF(D1741="","",MATCH(D1741,Parametros!$B$4:$B$15,0))</f>
        <v/>
      </c>
      <c r="D1741" s="38"/>
      <c r="E1741" s="38"/>
      <c r="F1741" s="38"/>
      <c r="G1741" s="38"/>
      <c r="H1741" s="38"/>
      <c r="I1741" s="39"/>
      <c r="J1741" s="38"/>
    </row>
    <row r="1742" spans="2:10" ht="12.75" customHeight="1" x14ac:dyDescent="0.2">
      <c r="B1742" s="37"/>
      <c r="C1742" s="37" t="str">
        <f>IF(D1742="","",MATCH(D1742,Parametros!$B$4:$B$15,0))</f>
        <v/>
      </c>
      <c r="D1742" s="38"/>
      <c r="E1742" s="38"/>
      <c r="F1742" s="38"/>
      <c r="G1742" s="38"/>
      <c r="H1742" s="38"/>
      <c r="I1742" s="39"/>
      <c r="J1742" s="38"/>
    </row>
    <row r="1743" spans="2:10" ht="12.75" customHeight="1" x14ac:dyDescent="0.2">
      <c r="B1743" s="37"/>
      <c r="C1743" s="37" t="str">
        <f>IF(D1743="","",MATCH(D1743,Parametros!$B$4:$B$15,0))</f>
        <v/>
      </c>
      <c r="D1743" s="38"/>
      <c r="E1743" s="38"/>
      <c r="F1743" s="38"/>
      <c r="G1743" s="38"/>
      <c r="H1743" s="38"/>
      <c r="I1743" s="39"/>
      <c r="J1743" s="38"/>
    </row>
    <row r="1744" spans="2:10" ht="12.75" customHeight="1" x14ac:dyDescent="0.2">
      <c r="B1744" s="37"/>
      <c r="C1744" s="37" t="str">
        <f>IF(D1744="","",MATCH(D1744,Parametros!$B$4:$B$15,0))</f>
        <v/>
      </c>
      <c r="D1744" s="38"/>
      <c r="E1744" s="38"/>
      <c r="F1744" s="38"/>
      <c r="G1744" s="38"/>
      <c r="H1744" s="38"/>
      <c r="I1744" s="39"/>
      <c r="J1744" s="38"/>
    </row>
    <row r="1745" spans="2:10" ht="12.75" customHeight="1" x14ac:dyDescent="0.2">
      <c r="B1745" s="37"/>
      <c r="C1745" s="37" t="str">
        <f>IF(D1745="","",MATCH(D1745,Parametros!$B$4:$B$15,0))</f>
        <v/>
      </c>
      <c r="D1745" s="38"/>
      <c r="E1745" s="38"/>
      <c r="F1745" s="38"/>
      <c r="G1745" s="38"/>
      <c r="H1745" s="38"/>
      <c r="I1745" s="39"/>
      <c r="J1745" s="38"/>
    </row>
    <row r="1746" spans="2:10" ht="12.75" customHeight="1" x14ac:dyDescent="0.2">
      <c r="B1746" s="37"/>
      <c r="C1746" s="37" t="str">
        <f>IF(D1746="","",MATCH(D1746,Parametros!$B$4:$B$15,0))</f>
        <v/>
      </c>
      <c r="D1746" s="38"/>
      <c r="E1746" s="38"/>
      <c r="F1746" s="38"/>
      <c r="G1746" s="38"/>
      <c r="H1746" s="38"/>
      <c r="I1746" s="39"/>
      <c r="J1746" s="38"/>
    </row>
    <row r="1747" spans="2:10" ht="12.75" customHeight="1" x14ac:dyDescent="0.2">
      <c r="B1747" s="37"/>
      <c r="C1747" s="37" t="str">
        <f>IF(D1747="","",MATCH(D1747,Parametros!$B$4:$B$15,0))</f>
        <v/>
      </c>
      <c r="D1747" s="38"/>
      <c r="E1747" s="38"/>
      <c r="F1747" s="38"/>
      <c r="G1747" s="38"/>
      <c r="H1747" s="38"/>
      <c r="I1747" s="39"/>
      <c r="J1747" s="38"/>
    </row>
    <row r="1748" spans="2:10" ht="12.75" customHeight="1" x14ac:dyDescent="0.2">
      <c r="B1748" s="37"/>
      <c r="C1748" s="37" t="str">
        <f>IF(D1748="","",MATCH(D1748,Parametros!$B$4:$B$15,0))</f>
        <v/>
      </c>
      <c r="D1748" s="38"/>
      <c r="E1748" s="38"/>
      <c r="F1748" s="38"/>
      <c r="G1748" s="38"/>
      <c r="H1748" s="38"/>
      <c r="I1748" s="39"/>
      <c r="J1748" s="38"/>
    </row>
    <row r="1749" spans="2:10" ht="12.75" customHeight="1" x14ac:dyDescent="0.2">
      <c r="B1749" s="37"/>
      <c r="C1749" s="37" t="str">
        <f>IF(D1749="","",MATCH(D1749,Parametros!$B$4:$B$15,0))</f>
        <v/>
      </c>
      <c r="D1749" s="38"/>
      <c r="E1749" s="38"/>
      <c r="F1749" s="38"/>
      <c r="G1749" s="38"/>
      <c r="H1749" s="38"/>
      <c r="I1749" s="39"/>
      <c r="J1749" s="38"/>
    </row>
    <row r="1750" spans="2:10" ht="12.75" customHeight="1" x14ac:dyDescent="0.2">
      <c r="B1750" s="37"/>
      <c r="C1750" s="37" t="str">
        <f>IF(D1750="","",MATCH(D1750,Parametros!$B$4:$B$15,0))</f>
        <v/>
      </c>
      <c r="D1750" s="38"/>
      <c r="E1750" s="38"/>
      <c r="F1750" s="38"/>
      <c r="G1750" s="38"/>
      <c r="H1750" s="38"/>
      <c r="I1750" s="39"/>
      <c r="J1750" s="38"/>
    </row>
    <row r="1751" spans="2:10" ht="12.75" customHeight="1" x14ac:dyDescent="0.2">
      <c r="B1751" s="37"/>
      <c r="C1751" s="37" t="str">
        <f>IF(D1751="","",MATCH(D1751,Parametros!$B$4:$B$15,0))</f>
        <v/>
      </c>
      <c r="D1751" s="38"/>
      <c r="E1751" s="38"/>
      <c r="F1751" s="38"/>
      <c r="G1751" s="38"/>
      <c r="H1751" s="38"/>
      <c r="I1751" s="39"/>
      <c r="J1751" s="38"/>
    </row>
    <row r="1752" spans="2:10" ht="12.75" customHeight="1" x14ac:dyDescent="0.2">
      <c r="B1752" s="37"/>
      <c r="C1752" s="37" t="str">
        <f>IF(D1752="","",MATCH(D1752,Parametros!$B$4:$B$15,0))</f>
        <v/>
      </c>
      <c r="D1752" s="38"/>
      <c r="E1752" s="38"/>
      <c r="F1752" s="38"/>
      <c r="G1752" s="38"/>
      <c r="H1752" s="38"/>
      <c r="I1752" s="39"/>
      <c r="J1752" s="38"/>
    </row>
    <row r="1753" spans="2:10" ht="12.75" customHeight="1" x14ac:dyDescent="0.2">
      <c r="B1753" s="37"/>
      <c r="C1753" s="37" t="str">
        <f>IF(D1753="","",MATCH(D1753,Parametros!$B$4:$B$15,0))</f>
        <v/>
      </c>
      <c r="D1753" s="38"/>
      <c r="E1753" s="38"/>
      <c r="F1753" s="38"/>
      <c r="G1753" s="38"/>
      <c r="H1753" s="38"/>
      <c r="I1753" s="39"/>
      <c r="J1753" s="38"/>
    </row>
    <row r="1754" spans="2:10" ht="12.75" customHeight="1" x14ac:dyDescent="0.2">
      <c r="B1754" s="37"/>
      <c r="C1754" s="37" t="str">
        <f>IF(D1754="","",MATCH(D1754,Parametros!$B$4:$B$15,0))</f>
        <v/>
      </c>
      <c r="D1754" s="38"/>
      <c r="E1754" s="38"/>
      <c r="F1754" s="38"/>
      <c r="G1754" s="38"/>
      <c r="H1754" s="38"/>
      <c r="I1754" s="39"/>
      <c r="J1754" s="38"/>
    </row>
    <row r="1755" spans="2:10" ht="12.75" customHeight="1" x14ac:dyDescent="0.2">
      <c r="B1755" s="37"/>
      <c r="C1755" s="37" t="str">
        <f>IF(D1755="","",MATCH(D1755,Parametros!$B$4:$B$15,0))</f>
        <v/>
      </c>
      <c r="D1755" s="38"/>
      <c r="E1755" s="38"/>
      <c r="F1755" s="38"/>
      <c r="G1755" s="38"/>
      <c r="H1755" s="38"/>
      <c r="I1755" s="39"/>
      <c r="J1755" s="38"/>
    </row>
    <row r="1756" spans="2:10" ht="12.75" customHeight="1" x14ac:dyDescent="0.2">
      <c r="B1756" s="37"/>
      <c r="C1756" s="37" t="str">
        <f>IF(D1756="","",MATCH(D1756,Parametros!$B$4:$B$15,0))</f>
        <v/>
      </c>
      <c r="D1756" s="38"/>
      <c r="E1756" s="38"/>
      <c r="F1756" s="38"/>
      <c r="G1756" s="38"/>
      <c r="H1756" s="38"/>
      <c r="I1756" s="39"/>
      <c r="J1756" s="38"/>
    </row>
    <row r="1757" spans="2:10" ht="12.75" customHeight="1" x14ac:dyDescent="0.2">
      <c r="B1757" s="37"/>
      <c r="C1757" s="37" t="str">
        <f>IF(D1757="","",MATCH(D1757,Parametros!$B$4:$B$15,0))</f>
        <v/>
      </c>
      <c r="D1757" s="38"/>
      <c r="E1757" s="38"/>
      <c r="F1757" s="38"/>
      <c r="G1757" s="38"/>
      <c r="H1757" s="38"/>
      <c r="I1757" s="39"/>
      <c r="J1757" s="38"/>
    </row>
    <row r="1758" spans="2:10" ht="12.75" customHeight="1" x14ac:dyDescent="0.2">
      <c r="B1758" s="37"/>
      <c r="C1758" s="37" t="str">
        <f>IF(D1758="","",MATCH(D1758,Parametros!$B$4:$B$15,0))</f>
        <v/>
      </c>
      <c r="D1758" s="38"/>
      <c r="E1758" s="38"/>
      <c r="F1758" s="38"/>
      <c r="G1758" s="38"/>
      <c r="H1758" s="38"/>
      <c r="I1758" s="39"/>
      <c r="J1758" s="38"/>
    </row>
    <row r="1759" spans="2:10" ht="12.75" customHeight="1" x14ac:dyDescent="0.2">
      <c r="B1759" s="37"/>
      <c r="C1759" s="37" t="str">
        <f>IF(D1759="","",MATCH(D1759,Parametros!$B$4:$B$15,0))</f>
        <v/>
      </c>
      <c r="D1759" s="38"/>
      <c r="E1759" s="38"/>
      <c r="F1759" s="38"/>
      <c r="G1759" s="38"/>
      <c r="H1759" s="38"/>
      <c r="I1759" s="39"/>
      <c r="J1759" s="38"/>
    </row>
    <row r="1760" spans="2:10" ht="12.75" customHeight="1" x14ac:dyDescent="0.2">
      <c r="B1760" s="37"/>
      <c r="C1760" s="37" t="str">
        <f>IF(D1760="","",MATCH(D1760,Parametros!$B$4:$B$15,0))</f>
        <v/>
      </c>
      <c r="D1760" s="38"/>
      <c r="E1760" s="38"/>
      <c r="F1760" s="38"/>
      <c r="G1760" s="38"/>
      <c r="H1760" s="38"/>
      <c r="I1760" s="39"/>
      <c r="J1760" s="38"/>
    </row>
    <row r="1761" spans="2:10" ht="12.75" customHeight="1" x14ac:dyDescent="0.2">
      <c r="B1761" s="37"/>
      <c r="C1761" s="37" t="str">
        <f>IF(D1761="","",MATCH(D1761,Parametros!$B$4:$B$15,0))</f>
        <v/>
      </c>
      <c r="D1761" s="38"/>
      <c r="E1761" s="38"/>
      <c r="F1761" s="38"/>
      <c r="G1761" s="38"/>
      <c r="H1761" s="38"/>
      <c r="I1761" s="39"/>
      <c r="J1761" s="38"/>
    </row>
    <row r="1762" spans="2:10" ht="12.75" customHeight="1" x14ac:dyDescent="0.2">
      <c r="B1762" s="37"/>
      <c r="C1762" s="37" t="str">
        <f>IF(D1762="","",MATCH(D1762,Parametros!$B$4:$B$15,0))</f>
        <v/>
      </c>
      <c r="D1762" s="38"/>
      <c r="E1762" s="38"/>
      <c r="F1762" s="38"/>
      <c r="G1762" s="38"/>
      <c r="H1762" s="38"/>
      <c r="I1762" s="39"/>
      <c r="J1762" s="38"/>
    </row>
    <row r="1763" spans="2:10" ht="12.75" customHeight="1" x14ac:dyDescent="0.2">
      <c r="B1763" s="37"/>
      <c r="C1763" s="37" t="str">
        <f>IF(D1763="","",MATCH(D1763,Parametros!$B$4:$B$15,0))</f>
        <v/>
      </c>
      <c r="D1763" s="38"/>
      <c r="E1763" s="38"/>
      <c r="F1763" s="38"/>
      <c r="G1763" s="38"/>
      <c r="H1763" s="38"/>
      <c r="I1763" s="39"/>
      <c r="J1763" s="38"/>
    </row>
    <row r="1764" spans="2:10" ht="12.75" customHeight="1" x14ac:dyDescent="0.2">
      <c r="B1764" s="37"/>
      <c r="C1764" s="37" t="str">
        <f>IF(D1764="","",MATCH(D1764,Parametros!$B$4:$B$15,0))</f>
        <v/>
      </c>
      <c r="D1764" s="38"/>
      <c r="E1764" s="38"/>
      <c r="F1764" s="38"/>
      <c r="G1764" s="38"/>
      <c r="H1764" s="38"/>
      <c r="I1764" s="39"/>
      <c r="J1764" s="38"/>
    </row>
    <row r="1765" spans="2:10" ht="12.75" customHeight="1" x14ac:dyDescent="0.2">
      <c r="B1765" s="37"/>
      <c r="C1765" s="37" t="str">
        <f>IF(D1765="","",MATCH(D1765,Parametros!$B$4:$B$15,0))</f>
        <v/>
      </c>
      <c r="D1765" s="38"/>
      <c r="E1765" s="38"/>
      <c r="F1765" s="38"/>
      <c r="G1765" s="38"/>
      <c r="H1765" s="38"/>
      <c r="I1765" s="39"/>
      <c r="J1765" s="38"/>
    </row>
    <row r="1766" spans="2:10" ht="12.75" customHeight="1" x14ac:dyDescent="0.2">
      <c r="B1766" s="37"/>
      <c r="C1766" s="37" t="str">
        <f>IF(D1766="","",MATCH(D1766,Parametros!$B$4:$B$15,0))</f>
        <v/>
      </c>
      <c r="D1766" s="38"/>
      <c r="E1766" s="38"/>
      <c r="F1766" s="38"/>
      <c r="G1766" s="38"/>
      <c r="H1766" s="38"/>
      <c r="I1766" s="39"/>
      <c r="J1766" s="38"/>
    </row>
    <row r="1767" spans="2:10" ht="12.75" customHeight="1" x14ac:dyDescent="0.2">
      <c r="B1767" s="37"/>
      <c r="C1767" s="37" t="str">
        <f>IF(D1767="","",MATCH(D1767,Parametros!$B$4:$B$15,0))</f>
        <v/>
      </c>
      <c r="D1767" s="38"/>
      <c r="E1767" s="38"/>
      <c r="F1767" s="38"/>
      <c r="G1767" s="38"/>
      <c r="H1767" s="38"/>
      <c r="I1767" s="39"/>
      <c r="J1767" s="38"/>
    </row>
    <row r="1768" spans="2:10" ht="12.75" customHeight="1" x14ac:dyDescent="0.2">
      <c r="B1768" s="37"/>
      <c r="C1768" s="37" t="str">
        <f>IF(D1768="","",MATCH(D1768,Parametros!$B$4:$B$15,0))</f>
        <v/>
      </c>
      <c r="D1768" s="38"/>
      <c r="E1768" s="38"/>
      <c r="F1768" s="38"/>
      <c r="G1768" s="38"/>
      <c r="H1768" s="38"/>
      <c r="I1768" s="39"/>
      <c r="J1768" s="38"/>
    </row>
    <row r="1769" spans="2:10" ht="12.75" customHeight="1" x14ac:dyDescent="0.2">
      <c r="B1769" s="37"/>
      <c r="C1769" s="37" t="str">
        <f>IF(D1769="","",MATCH(D1769,Parametros!$B$4:$B$15,0))</f>
        <v/>
      </c>
      <c r="D1769" s="38"/>
      <c r="E1769" s="38"/>
      <c r="F1769" s="38"/>
      <c r="G1769" s="38"/>
      <c r="H1769" s="38"/>
      <c r="I1769" s="39"/>
      <c r="J1769" s="38"/>
    </row>
    <row r="1770" spans="2:10" ht="12.75" customHeight="1" x14ac:dyDescent="0.2">
      <c r="B1770" s="37"/>
      <c r="C1770" s="37" t="str">
        <f>IF(D1770="","",MATCH(D1770,Parametros!$B$4:$B$15,0))</f>
        <v/>
      </c>
      <c r="D1770" s="38"/>
      <c r="E1770" s="38"/>
      <c r="F1770" s="38"/>
      <c r="G1770" s="38"/>
      <c r="H1770" s="38"/>
      <c r="I1770" s="39"/>
      <c r="J1770" s="38"/>
    </row>
    <row r="1771" spans="2:10" ht="12.75" customHeight="1" x14ac:dyDescent="0.2">
      <c r="B1771" s="37"/>
      <c r="C1771" s="37" t="str">
        <f>IF(D1771="","",MATCH(D1771,Parametros!$B$4:$B$15,0))</f>
        <v/>
      </c>
      <c r="D1771" s="38"/>
      <c r="E1771" s="38"/>
      <c r="F1771" s="38"/>
      <c r="G1771" s="38"/>
      <c r="H1771" s="38"/>
      <c r="I1771" s="39"/>
      <c r="J1771" s="38"/>
    </row>
    <row r="1772" spans="2:10" ht="12.75" customHeight="1" x14ac:dyDescent="0.2">
      <c r="B1772" s="37"/>
      <c r="C1772" s="37" t="str">
        <f>IF(D1772="","",MATCH(D1772,Parametros!$B$4:$B$15,0))</f>
        <v/>
      </c>
      <c r="D1772" s="38"/>
      <c r="E1772" s="38"/>
      <c r="F1772" s="38"/>
      <c r="G1772" s="38"/>
      <c r="H1772" s="38"/>
      <c r="I1772" s="39"/>
      <c r="J1772" s="38"/>
    </row>
    <row r="1773" spans="2:10" ht="12.75" customHeight="1" x14ac:dyDescent="0.2">
      <c r="B1773" s="37"/>
      <c r="C1773" s="37" t="str">
        <f>IF(D1773="","",MATCH(D1773,Parametros!$B$4:$B$15,0))</f>
        <v/>
      </c>
      <c r="D1773" s="38"/>
      <c r="E1773" s="38"/>
      <c r="F1773" s="38"/>
      <c r="G1773" s="38"/>
      <c r="H1773" s="38"/>
      <c r="I1773" s="39"/>
      <c r="J1773" s="38"/>
    </row>
    <row r="1774" spans="2:10" ht="12.75" customHeight="1" x14ac:dyDescent="0.2">
      <c r="B1774" s="37"/>
      <c r="C1774" s="37" t="str">
        <f>IF(D1774="","",MATCH(D1774,Parametros!$B$4:$B$15,0))</f>
        <v/>
      </c>
      <c r="D1774" s="38"/>
      <c r="E1774" s="38"/>
      <c r="F1774" s="38"/>
      <c r="G1774" s="38"/>
      <c r="H1774" s="38"/>
      <c r="I1774" s="39"/>
      <c r="J1774" s="38"/>
    </row>
    <row r="1775" spans="2:10" ht="12.75" customHeight="1" x14ac:dyDescent="0.2">
      <c r="B1775" s="37"/>
      <c r="C1775" s="37" t="str">
        <f>IF(D1775="","",MATCH(D1775,Parametros!$B$4:$B$15,0))</f>
        <v/>
      </c>
      <c r="D1775" s="38"/>
      <c r="E1775" s="38"/>
      <c r="F1775" s="38"/>
      <c r="G1775" s="38"/>
      <c r="H1775" s="38"/>
      <c r="I1775" s="39"/>
      <c r="J1775" s="38"/>
    </row>
    <row r="1776" spans="2:10" ht="12.75" customHeight="1" x14ac:dyDescent="0.2">
      <c r="B1776" s="37"/>
      <c r="C1776" s="37" t="str">
        <f>IF(D1776="","",MATCH(D1776,Parametros!$B$4:$B$15,0))</f>
        <v/>
      </c>
      <c r="D1776" s="38"/>
      <c r="E1776" s="38"/>
      <c r="F1776" s="38"/>
      <c r="G1776" s="38"/>
      <c r="H1776" s="38"/>
      <c r="I1776" s="39"/>
      <c r="J1776" s="38"/>
    </row>
    <row r="1777" spans="2:10" ht="12.75" customHeight="1" x14ac:dyDescent="0.2">
      <c r="B1777" s="37"/>
      <c r="C1777" s="37" t="str">
        <f>IF(D1777="","",MATCH(D1777,Parametros!$B$4:$B$15,0))</f>
        <v/>
      </c>
      <c r="D1777" s="38"/>
      <c r="E1777" s="38"/>
      <c r="F1777" s="38"/>
      <c r="G1777" s="38"/>
      <c r="H1777" s="38"/>
      <c r="I1777" s="39"/>
      <c r="J1777" s="38"/>
    </row>
    <row r="1778" spans="2:10" ht="12.75" customHeight="1" x14ac:dyDescent="0.2">
      <c r="B1778" s="37"/>
      <c r="C1778" s="37" t="str">
        <f>IF(D1778="","",MATCH(D1778,Parametros!$B$4:$B$15,0))</f>
        <v/>
      </c>
      <c r="D1778" s="38"/>
      <c r="E1778" s="38"/>
      <c r="F1778" s="38"/>
      <c r="G1778" s="38"/>
      <c r="H1778" s="38"/>
      <c r="I1778" s="39"/>
      <c r="J1778" s="38"/>
    </row>
    <row r="1779" spans="2:10" ht="12.75" customHeight="1" x14ac:dyDescent="0.2">
      <c r="B1779" s="37"/>
      <c r="C1779" s="37" t="str">
        <f>IF(D1779="","",MATCH(D1779,Parametros!$B$4:$B$15,0))</f>
        <v/>
      </c>
      <c r="D1779" s="38"/>
      <c r="E1779" s="38"/>
      <c r="F1779" s="38"/>
      <c r="G1779" s="38"/>
      <c r="H1779" s="38"/>
      <c r="I1779" s="39"/>
      <c r="J1779" s="38"/>
    </row>
    <row r="1780" spans="2:10" ht="12.75" customHeight="1" x14ac:dyDescent="0.2">
      <c r="B1780" s="37"/>
      <c r="C1780" s="37" t="str">
        <f>IF(D1780="","",MATCH(D1780,Parametros!$B$4:$B$15,0))</f>
        <v/>
      </c>
      <c r="D1780" s="38"/>
      <c r="E1780" s="38"/>
      <c r="F1780" s="38"/>
      <c r="G1780" s="38"/>
      <c r="H1780" s="38"/>
      <c r="I1780" s="39"/>
      <c r="J1780" s="38"/>
    </row>
    <row r="1781" spans="2:10" ht="12.75" customHeight="1" x14ac:dyDescent="0.2">
      <c r="B1781" s="37"/>
      <c r="C1781" s="37" t="str">
        <f>IF(D1781="","",MATCH(D1781,Parametros!$B$4:$B$15,0))</f>
        <v/>
      </c>
      <c r="D1781" s="38"/>
      <c r="E1781" s="38"/>
      <c r="F1781" s="38"/>
      <c r="G1781" s="38"/>
      <c r="H1781" s="38"/>
      <c r="I1781" s="39"/>
      <c r="J1781" s="38"/>
    </row>
    <row r="1782" spans="2:10" ht="12.75" customHeight="1" x14ac:dyDescent="0.2">
      <c r="B1782" s="37"/>
      <c r="C1782" s="37" t="str">
        <f>IF(D1782="","",MATCH(D1782,Parametros!$B$4:$B$15,0))</f>
        <v/>
      </c>
      <c r="D1782" s="38"/>
      <c r="E1782" s="38"/>
      <c r="F1782" s="38"/>
      <c r="G1782" s="38"/>
      <c r="H1782" s="38"/>
      <c r="I1782" s="39"/>
      <c r="J1782" s="38"/>
    </row>
    <row r="1783" spans="2:10" ht="12.75" customHeight="1" x14ac:dyDescent="0.2">
      <c r="B1783" s="37"/>
      <c r="C1783" s="37" t="str">
        <f>IF(D1783="","",MATCH(D1783,Parametros!$B$4:$B$15,0))</f>
        <v/>
      </c>
      <c r="D1783" s="38"/>
      <c r="E1783" s="38"/>
      <c r="F1783" s="38"/>
      <c r="G1783" s="38"/>
      <c r="H1783" s="38"/>
      <c r="I1783" s="39"/>
      <c r="J1783" s="38"/>
    </row>
    <row r="1784" spans="2:10" ht="12.75" customHeight="1" x14ac:dyDescent="0.2">
      <c r="B1784" s="37"/>
      <c r="C1784" s="37" t="str">
        <f>IF(D1784="","",MATCH(D1784,Parametros!$B$4:$B$15,0))</f>
        <v/>
      </c>
      <c r="D1784" s="38"/>
      <c r="E1784" s="38"/>
      <c r="F1784" s="38"/>
      <c r="G1784" s="38"/>
      <c r="H1784" s="38"/>
      <c r="I1784" s="39"/>
      <c r="J1784" s="38"/>
    </row>
    <row r="1785" spans="2:10" ht="12.75" customHeight="1" x14ac:dyDescent="0.2">
      <c r="B1785" s="37"/>
      <c r="C1785" s="37" t="str">
        <f>IF(D1785="","",MATCH(D1785,Parametros!$B$4:$B$15,0))</f>
        <v/>
      </c>
      <c r="D1785" s="38"/>
      <c r="E1785" s="38"/>
      <c r="F1785" s="38"/>
      <c r="G1785" s="38"/>
      <c r="H1785" s="38"/>
      <c r="I1785" s="39"/>
      <c r="J1785" s="38"/>
    </row>
    <row r="1786" spans="2:10" ht="12.75" customHeight="1" x14ac:dyDescent="0.2">
      <c r="B1786" s="37"/>
      <c r="C1786" s="37" t="str">
        <f>IF(D1786="","",MATCH(D1786,Parametros!$B$4:$B$15,0))</f>
        <v/>
      </c>
      <c r="D1786" s="38"/>
      <c r="E1786" s="38"/>
      <c r="F1786" s="38"/>
      <c r="G1786" s="38"/>
      <c r="H1786" s="38"/>
      <c r="I1786" s="39"/>
      <c r="J1786" s="38"/>
    </row>
    <row r="1787" spans="2:10" ht="12.75" customHeight="1" x14ac:dyDescent="0.2">
      <c r="B1787" s="37"/>
      <c r="C1787" s="37" t="str">
        <f>IF(D1787="","",MATCH(D1787,Parametros!$B$4:$B$15,0))</f>
        <v/>
      </c>
      <c r="D1787" s="38"/>
      <c r="E1787" s="38"/>
      <c r="F1787" s="38"/>
      <c r="G1787" s="38"/>
      <c r="H1787" s="38"/>
      <c r="I1787" s="39"/>
      <c r="J1787" s="38"/>
    </row>
    <row r="1788" spans="2:10" ht="12.75" customHeight="1" x14ac:dyDescent="0.2">
      <c r="B1788" s="37"/>
      <c r="C1788" s="37" t="str">
        <f>IF(D1788="","",MATCH(D1788,Parametros!$B$4:$B$15,0))</f>
        <v/>
      </c>
      <c r="D1788" s="38"/>
      <c r="E1788" s="38"/>
      <c r="F1788" s="38"/>
      <c r="G1788" s="38"/>
      <c r="H1788" s="38"/>
      <c r="I1788" s="39"/>
      <c r="J1788" s="38"/>
    </row>
    <row r="1789" spans="2:10" ht="12.75" customHeight="1" x14ac:dyDescent="0.2">
      <c r="B1789" s="37"/>
      <c r="C1789" s="37" t="str">
        <f>IF(D1789="","",MATCH(D1789,Parametros!$B$4:$B$15,0))</f>
        <v/>
      </c>
      <c r="D1789" s="38"/>
      <c r="E1789" s="38"/>
      <c r="F1789" s="38"/>
      <c r="G1789" s="38"/>
      <c r="H1789" s="38"/>
      <c r="I1789" s="39"/>
      <c r="J1789" s="38"/>
    </row>
    <row r="1790" spans="2:10" ht="12.75" customHeight="1" x14ac:dyDescent="0.2">
      <c r="B1790" s="37"/>
      <c r="C1790" s="37" t="str">
        <f>IF(D1790="","",MATCH(D1790,Parametros!$B$4:$B$15,0))</f>
        <v/>
      </c>
      <c r="D1790" s="38"/>
      <c r="E1790" s="38"/>
      <c r="F1790" s="38"/>
      <c r="G1790" s="38"/>
      <c r="H1790" s="38"/>
      <c r="I1790" s="39"/>
      <c r="J1790" s="38"/>
    </row>
    <row r="1791" spans="2:10" ht="12.75" customHeight="1" x14ac:dyDescent="0.2">
      <c r="B1791" s="37"/>
      <c r="C1791" s="37" t="str">
        <f>IF(D1791="","",MATCH(D1791,Parametros!$B$4:$B$15,0))</f>
        <v/>
      </c>
      <c r="D1791" s="38"/>
      <c r="E1791" s="38"/>
      <c r="F1791" s="38"/>
      <c r="G1791" s="38"/>
      <c r="H1791" s="38"/>
      <c r="I1791" s="39"/>
      <c r="J1791" s="38"/>
    </row>
    <row r="1792" spans="2:10" ht="12.75" customHeight="1" x14ac:dyDescent="0.2">
      <c r="B1792" s="37"/>
      <c r="C1792" s="37" t="str">
        <f>IF(D1792="","",MATCH(D1792,Parametros!$B$4:$B$15,0))</f>
        <v/>
      </c>
      <c r="D1792" s="38"/>
      <c r="E1792" s="38"/>
      <c r="F1792" s="38"/>
      <c r="G1792" s="38"/>
      <c r="H1792" s="38"/>
      <c r="I1792" s="39"/>
      <c r="J1792" s="38"/>
    </row>
    <row r="1793" spans="2:10" ht="12.75" customHeight="1" x14ac:dyDescent="0.2">
      <c r="B1793" s="37"/>
      <c r="C1793" s="37" t="str">
        <f>IF(D1793="","",MATCH(D1793,Parametros!$B$4:$B$15,0))</f>
        <v/>
      </c>
      <c r="D1793" s="38"/>
      <c r="E1793" s="38"/>
      <c r="F1793" s="38"/>
      <c r="G1793" s="38"/>
      <c r="H1793" s="38"/>
      <c r="I1793" s="39"/>
      <c r="J1793" s="38"/>
    </row>
    <row r="1794" spans="2:10" ht="12.75" customHeight="1" x14ac:dyDescent="0.2">
      <c r="B1794" s="37"/>
      <c r="C1794" s="37" t="str">
        <f>IF(D1794="","",MATCH(D1794,Parametros!$B$4:$B$15,0))</f>
        <v/>
      </c>
      <c r="D1794" s="38"/>
      <c r="E1794" s="38"/>
      <c r="F1794" s="38"/>
      <c r="G1794" s="38"/>
      <c r="H1794" s="38"/>
      <c r="I1794" s="39"/>
      <c r="J1794" s="38"/>
    </row>
    <row r="1795" spans="2:10" ht="12.75" customHeight="1" x14ac:dyDescent="0.2">
      <c r="B1795" s="37"/>
      <c r="C1795" s="37" t="str">
        <f>IF(D1795="","",MATCH(D1795,Parametros!$B$4:$B$15,0))</f>
        <v/>
      </c>
      <c r="D1795" s="38"/>
      <c r="E1795" s="38"/>
      <c r="F1795" s="38"/>
      <c r="G1795" s="38"/>
      <c r="H1795" s="38"/>
      <c r="I1795" s="39"/>
      <c r="J1795" s="38"/>
    </row>
    <row r="1796" spans="2:10" ht="12.75" customHeight="1" x14ac:dyDescent="0.2">
      <c r="B1796" s="37"/>
      <c r="C1796" s="37" t="str">
        <f>IF(D1796="","",MATCH(D1796,Parametros!$B$4:$B$15,0))</f>
        <v/>
      </c>
      <c r="D1796" s="38"/>
      <c r="E1796" s="38"/>
      <c r="F1796" s="38"/>
      <c r="G1796" s="38"/>
      <c r="H1796" s="38"/>
      <c r="I1796" s="39"/>
      <c r="J1796" s="38"/>
    </row>
    <row r="1797" spans="2:10" ht="12.75" customHeight="1" x14ac:dyDescent="0.2">
      <c r="B1797" s="37"/>
      <c r="C1797" s="37" t="str">
        <f>IF(D1797="","",MATCH(D1797,Parametros!$B$4:$B$15,0))</f>
        <v/>
      </c>
      <c r="D1797" s="38"/>
      <c r="E1797" s="38"/>
      <c r="F1797" s="38"/>
      <c r="G1797" s="38"/>
      <c r="H1797" s="38"/>
      <c r="I1797" s="39"/>
      <c r="J1797" s="38"/>
    </row>
    <row r="1798" spans="2:10" ht="12.75" customHeight="1" x14ac:dyDescent="0.2">
      <c r="B1798" s="37"/>
      <c r="C1798" s="37" t="str">
        <f>IF(D1798="","",MATCH(D1798,Parametros!$B$4:$B$15,0))</f>
        <v/>
      </c>
      <c r="D1798" s="38"/>
      <c r="E1798" s="38"/>
      <c r="F1798" s="38"/>
      <c r="G1798" s="38"/>
      <c r="H1798" s="38"/>
      <c r="I1798" s="39"/>
      <c r="J1798" s="38"/>
    </row>
    <row r="1799" spans="2:10" ht="12.75" customHeight="1" x14ac:dyDescent="0.2">
      <c r="B1799" s="37"/>
      <c r="C1799" s="37" t="str">
        <f>IF(D1799="","",MATCH(D1799,Parametros!$B$4:$B$15,0))</f>
        <v/>
      </c>
      <c r="D1799" s="38"/>
      <c r="E1799" s="38"/>
      <c r="F1799" s="38"/>
      <c r="G1799" s="38"/>
      <c r="H1799" s="38"/>
      <c r="I1799" s="39"/>
      <c r="J1799" s="38"/>
    </row>
    <row r="1800" spans="2:10" ht="12.75" customHeight="1" x14ac:dyDescent="0.2">
      <c r="B1800" s="37"/>
      <c r="C1800" s="37" t="str">
        <f>IF(D1800="","",MATCH(D1800,Parametros!$B$4:$B$15,0))</f>
        <v/>
      </c>
      <c r="D1800" s="38"/>
      <c r="E1800" s="38"/>
      <c r="F1800" s="38"/>
      <c r="G1800" s="38"/>
      <c r="H1800" s="38"/>
      <c r="I1800" s="39"/>
      <c r="J1800" s="38"/>
    </row>
    <row r="1801" spans="2:10" ht="12.75" customHeight="1" x14ac:dyDescent="0.2">
      <c r="B1801" s="37"/>
      <c r="C1801" s="37" t="str">
        <f>IF(D1801="","",MATCH(D1801,Parametros!$B$4:$B$15,0))</f>
        <v/>
      </c>
      <c r="D1801" s="38"/>
      <c r="E1801" s="38"/>
      <c r="F1801" s="38"/>
      <c r="G1801" s="38"/>
      <c r="H1801" s="38"/>
      <c r="I1801" s="39"/>
      <c r="J1801" s="38"/>
    </row>
    <row r="1802" spans="2:10" ht="12.75" customHeight="1" x14ac:dyDescent="0.2">
      <c r="B1802" s="37"/>
      <c r="C1802" s="37" t="str">
        <f>IF(D1802="","",MATCH(D1802,Parametros!$B$4:$B$15,0))</f>
        <v/>
      </c>
      <c r="D1802" s="38"/>
      <c r="E1802" s="38"/>
      <c r="F1802" s="38"/>
      <c r="G1802" s="38"/>
      <c r="H1802" s="38"/>
      <c r="I1802" s="39"/>
      <c r="J1802" s="38"/>
    </row>
    <row r="1803" spans="2:10" ht="12.75" customHeight="1" x14ac:dyDescent="0.2">
      <c r="B1803" s="37"/>
      <c r="C1803" s="37" t="str">
        <f>IF(D1803="","",MATCH(D1803,Parametros!$B$4:$B$15,0))</f>
        <v/>
      </c>
      <c r="D1803" s="38"/>
      <c r="E1803" s="38"/>
      <c r="F1803" s="38"/>
      <c r="G1803" s="38"/>
      <c r="H1803" s="38"/>
      <c r="I1803" s="39"/>
      <c r="J1803" s="38"/>
    </row>
    <row r="1804" spans="2:10" ht="12.75" customHeight="1" x14ac:dyDescent="0.2">
      <c r="B1804" s="37"/>
      <c r="C1804" s="37" t="str">
        <f>IF(D1804="","",MATCH(D1804,Parametros!$B$4:$B$15,0))</f>
        <v/>
      </c>
      <c r="D1804" s="38"/>
      <c r="E1804" s="38"/>
      <c r="F1804" s="38"/>
      <c r="G1804" s="38"/>
      <c r="H1804" s="38"/>
      <c r="I1804" s="39"/>
      <c r="J1804" s="38"/>
    </row>
    <row r="1805" spans="2:10" ht="12.75" customHeight="1" x14ac:dyDescent="0.2">
      <c r="B1805" s="37"/>
      <c r="C1805" s="37" t="str">
        <f>IF(D1805="","",MATCH(D1805,Parametros!$B$4:$B$15,0))</f>
        <v/>
      </c>
      <c r="D1805" s="38"/>
      <c r="E1805" s="38"/>
      <c r="F1805" s="38"/>
      <c r="G1805" s="38"/>
      <c r="H1805" s="38"/>
      <c r="I1805" s="39"/>
      <c r="J1805" s="38"/>
    </row>
    <row r="1806" spans="2:10" ht="12.75" customHeight="1" x14ac:dyDescent="0.2">
      <c r="B1806" s="37"/>
      <c r="C1806" s="37" t="str">
        <f>IF(D1806="","",MATCH(D1806,Parametros!$B$4:$B$15,0))</f>
        <v/>
      </c>
      <c r="D1806" s="38"/>
      <c r="E1806" s="38"/>
      <c r="F1806" s="38"/>
      <c r="G1806" s="38"/>
      <c r="H1806" s="38"/>
      <c r="I1806" s="39"/>
      <c r="J1806" s="38"/>
    </row>
    <row r="1807" spans="2:10" ht="12.75" customHeight="1" x14ac:dyDescent="0.2">
      <c r="B1807" s="37"/>
      <c r="C1807" s="37" t="str">
        <f>IF(D1807="","",MATCH(D1807,Parametros!$B$4:$B$15,0))</f>
        <v/>
      </c>
      <c r="D1807" s="38"/>
      <c r="E1807" s="38"/>
      <c r="F1807" s="38"/>
      <c r="G1807" s="38"/>
      <c r="H1807" s="38"/>
      <c r="I1807" s="39"/>
      <c r="J1807" s="38"/>
    </row>
    <row r="1808" spans="2:10" ht="12.75" customHeight="1" x14ac:dyDescent="0.2">
      <c r="B1808" s="37"/>
      <c r="C1808" s="37" t="str">
        <f>IF(D1808="","",MATCH(D1808,Parametros!$B$4:$B$15,0))</f>
        <v/>
      </c>
      <c r="D1808" s="38"/>
      <c r="E1808" s="38"/>
      <c r="F1808" s="38"/>
      <c r="G1808" s="38"/>
      <c r="H1808" s="38"/>
      <c r="I1808" s="39"/>
      <c r="J1808" s="38"/>
    </row>
    <row r="1809" spans="2:10" ht="12.75" customHeight="1" x14ac:dyDescent="0.2">
      <c r="B1809" s="37"/>
      <c r="C1809" s="37" t="str">
        <f>IF(D1809="","",MATCH(D1809,Parametros!$B$4:$B$15,0))</f>
        <v/>
      </c>
      <c r="D1809" s="38"/>
      <c r="E1809" s="38"/>
      <c r="F1809" s="38"/>
      <c r="G1809" s="38"/>
      <c r="H1809" s="38"/>
      <c r="I1809" s="39"/>
      <c r="J1809" s="38"/>
    </row>
    <row r="1810" spans="2:10" ht="12.75" customHeight="1" x14ac:dyDescent="0.2">
      <c r="B1810" s="37"/>
      <c r="C1810" s="37" t="str">
        <f>IF(D1810="","",MATCH(D1810,Parametros!$B$4:$B$15,0))</f>
        <v/>
      </c>
      <c r="D1810" s="38"/>
      <c r="E1810" s="38"/>
      <c r="F1810" s="38"/>
      <c r="G1810" s="38"/>
      <c r="H1810" s="38"/>
      <c r="I1810" s="39"/>
      <c r="J1810" s="38"/>
    </row>
    <row r="1811" spans="2:10" ht="12.75" customHeight="1" x14ac:dyDescent="0.2">
      <c r="B1811" s="37"/>
      <c r="C1811" s="37" t="str">
        <f>IF(D1811="","",MATCH(D1811,Parametros!$B$4:$B$15,0))</f>
        <v/>
      </c>
      <c r="D1811" s="38"/>
      <c r="E1811" s="38"/>
      <c r="F1811" s="38"/>
      <c r="G1811" s="38"/>
      <c r="H1811" s="38"/>
      <c r="I1811" s="39"/>
      <c r="J1811" s="38"/>
    </row>
    <row r="1812" spans="2:10" ht="12.75" customHeight="1" x14ac:dyDescent="0.2">
      <c r="B1812" s="37"/>
      <c r="C1812" s="37" t="str">
        <f>IF(D1812="","",MATCH(D1812,Parametros!$B$4:$B$15,0))</f>
        <v/>
      </c>
      <c r="D1812" s="38"/>
      <c r="E1812" s="38"/>
      <c r="F1812" s="38"/>
      <c r="G1812" s="38"/>
      <c r="H1812" s="38"/>
      <c r="I1812" s="39"/>
      <c r="J1812" s="38"/>
    </row>
    <row r="1813" spans="2:10" ht="12.75" customHeight="1" x14ac:dyDescent="0.2">
      <c r="B1813" s="37"/>
      <c r="C1813" s="37" t="str">
        <f>IF(D1813="","",MATCH(D1813,Parametros!$B$4:$B$15,0))</f>
        <v/>
      </c>
      <c r="D1813" s="38"/>
      <c r="E1813" s="38"/>
      <c r="F1813" s="38"/>
      <c r="G1813" s="38"/>
      <c r="H1813" s="38"/>
      <c r="I1813" s="39"/>
      <c r="J1813" s="38"/>
    </row>
    <row r="1814" spans="2:10" ht="12.75" customHeight="1" x14ac:dyDescent="0.2">
      <c r="B1814" s="37"/>
      <c r="C1814" s="37" t="str">
        <f>IF(D1814="","",MATCH(D1814,Parametros!$B$4:$B$15,0))</f>
        <v/>
      </c>
      <c r="D1814" s="38"/>
      <c r="E1814" s="38"/>
      <c r="F1814" s="38"/>
      <c r="G1814" s="38"/>
      <c r="H1814" s="38"/>
      <c r="I1814" s="39"/>
      <c r="J1814" s="38"/>
    </row>
    <row r="1815" spans="2:10" ht="12.75" customHeight="1" x14ac:dyDescent="0.2">
      <c r="B1815" s="37"/>
      <c r="C1815" s="37" t="str">
        <f>IF(D1815="","",MATCH(D1815,Parametros!$B$4:$B$15,0))</f>
        <v/>
      </c>
      <c r="D1815" s="38"/>
      <c r="E1815" s="38"/>
      <c r="F1815" s="38"/>
      <c r="G1815" s="38"/>
      <c r="H1815" s="38"/>
      <c r="I1815" s="39"/>
      <c r="J1815" s="38"/>
    </row>
    <row r="1816" spans="2:10" ht="12.75" customHeight="1" x14ac:dyDescent="0.2">
      <c r="B1816" s="37"/>
      <c r="C1816" s="37" t="str">
        <f>IF(D1816="","",MATCH(D1816,Parametros!$B$4:$B$15,0))</f>
        <v/>
      </c>
      <c r="D1816" s="38"/>
      <c r="E1816" s="38"/>
      <c r="F1816" s="38"/>
      <c r="G1816" s="38"/>
      <c r="H1816" s="38"/>
      <c r="I1816" s="39"/>
      <c r="J1816" s="38"/>
    </row>
    <row r="1817" spans="2:10" ht="12.75" customHeight="1" x14ac:dyDescent="0.2">
      <c r="B1817" s="37"/>
      <c r="C1817" s="37" t="str">
        <f>IF(D1817="","",MATCH(D1817,Parametros!$B$4:$B$15,0))</f>
        <v/>
      </c>
      <c r="D1817" s="38"/>
      <c r="E1817" s="38"/>
      <c r="F1817" s="38"/>
      <c r="G1817" s="38"/>
      <c r="H1817" s="38"/>
      <c r="I1817" s="39"/>
      <c r="J1817" s="38"/>
    </row>
    <row r="1818" spans="2:10" ht="12.75" customHeight="1" x14ac:dyDescent="0.2">
      <c r="B1818" s="37"/>
      <c r="C1818" s="37" t="str">
        <f>IF(D1818="","",MATCH(D1818,Parametros!$B$4:$B$15,0))</f>
        <v/>
      </c>
      <c r="D1818" s="38"/>
      <c r="E1818" s="38"/>
      <c r="F1818" s="38"/>
      <c r="G1818" s="38"/>
      <c r="H1818" s="38"/>
      <c r="I1818" s="39"/>
      <c r="J1818" s="38"/>
    </row>
    <row r="1819" spans="2:10" ht="12.75" customHeight="1" x14ac:dyDescent="0.2">
      <c r="B1819" s="37"/>
      <c r="C1819" s="37" t="str">
        <f>IF(D1819="","",MATCH(D1819,Parametros!$B$4:$B$15,0))</f>
        <v/>
      </c>
      <c r="D1819" s="38"/>
      <c r="E1819" s="38"/>
      <c r="F1819" s="38"/>
      <c r="G1819" s="38"/>
      <c r="H1819" s="38"/>
      <c r="I1819" s="39"/>
      <c r="J1819" s="38"/>
    </row>
    <row r="1820" spans="2:10" ht="12.75" customHeight="1" x14ac:dyDescent="0.2">
      <c r="B1820" s="37"/>
      <c r="C1820" s="37" t="str">
        <f>IF(D1820="","",MATCH(D1820,Parametros!$B$4:$B$15,0))</f>
        <v/>
      </c>
      <c r="D1820" s="38"/>
      <c r="E1820" s="38"/>
      <c r="F1820" s="38"/>
      <c r="G1820" s="38"/>
      <c r="H1820" s="38"/>
      <c r="I1820" s="39"/>
      <c r="J1820" s="38"/>
    </row>
    <row r="1821" spans="2:10" ht="12.75" customHeight="1" x14ac:dyDescent="0.2">
      <c r="B1821" s="37"/>
      <c r="C1821" s="37" t="str">
        <f>IF(D1821="","",MATCH(D1821,Parametros!$B$4:$B$15,0))</f>
        <v/>
      </c>
      <c r="D1821" s="38"/>
      <c r="E1821" s="38"/>
      <c r="F1821" s="38"/>
      <c r="G1821" s="38"/>
      <c r="H1821" s="38"/>
      <c r="I1821" s="39"/>
      <c r="J1821" s="38"/>
    </row>
    <row r="1822" spans="2:10" ht="12.75" customHeight="1" x14ac:dyDescent="0.2">
      <c r="B1822" s="37"/>
      <c r="C1822" s="37" t="str">
        <f>IF(D1822="","",MATCH(D1822,Parametros!$B$4:$B$15,0))</f>
        <v/>
      </c>
      <c r="D1822" s="38"/>
      <c r="E1822" s="38"/>
      <c r="F1822" s="38"/>
      <c r="G1822" s="38"/>
      <c r="H1822" s="38"/>
      <c r="I1822" s="39"/>
      <c r="J1822" s="38"/>
    </row>
    <row r="1823" spans="2:10" ht="12.75" customHeight="1" x14ac:dyDescent="0.2">
      <c r="B1823" s="37"/>
      <c r="C1823" s="37" t="str">
        <f>IF(D1823="","",MATCH(D1823,Parametros!$B$4:$B$15,0))</f>
        <v/>
      </c>
      <c r="D1823" s="38"/>
      <c r="E1823" s="38"/>
      <c r="F1823" s="38"/>
      <c r="G1823" s="38"/>
      <c r="H1823" s="38"/>
      <c r="I1823" s="39"/>
      <c r="J1823" s="38"/>
    </row>
    <row r="1824" spans="2:10" ht="12.75" customHeight="1" x14ac:dyDescent="0.2">
      <c r="B1824" s="37"/>
      <c r="C1824" s="37" t="str">
        <f>IF(D1824="","",MATCH(D1824,Parametros!$B$4:$B$15,0))</f>
        <v/>
      </c>
      <c r="D1824" s="38"/>
      <c r="E1824" s="38"/>
      <c r="F1824" s="38"/>
      <c r="G1824" s="38"/>
      <c r="H1824" s="38"/>
      <c r="I1824" s="39"/>
      <c r="J1824" s="38"/>
    </row>
    <row r="1825" spans="2:10" ht="12.75" customHeight="1" x14ac:dyDescent="0.2">
      <c r="B1825" s="37"/>
      <c r="C1825" s="37" t="str">
        <f>IF(D1825="","",MATCH(D1825,Parametros!$B$4:$B$15,0))</f>
        <v/>
      </c>
      <c r="D1825" s="38"/>
      <c r="E1825" s="38"/>
      <c r="F1825" s="38"/>
      <c r="G1825" s="38"/>
      <c r="H1825" s="38"/>
      <c r="I1825" s="39"/>
      <c r="J1825" s="38"/>
    </row>
    <row r="1826" spans="2:10" ht="12.75" customHeight="1" x14ac:dyDescent="0.2">
      <c r="B1826" s="37"/>
      <c r="C1826" s="37" t="str">
        <f>IF(D1826="","",MATCH(D1826,Parametros!$B$4:$B$15,0))</f>
        <v/>
      </c>
      <c r="D1826" s="38"/>
      <c r="E1826" s="38"/>
      <c r="F1826" s="38"/>
      <c r="G1826" s="38"/>
      <c r="H1826" s="38"/>
      <c r="I1826" s="39"/>
      <c r="J1826" s="38"/>
    </row>
    <row r="1827" spans="2:10" ht="12.75" customHeight="1" x14ac:dyDescent="0.2">
      <c r="B1827" s="37"/>
      <c r="C1827" s="37" t="str">
        <f>IF(D1827="","",MATCH(D1827,Parametros!$B$4:$B$15,0))</f>
        <v/>
      </c>
      <c r="D1827" s="38"/>
      <c r="E1827" s="38"/>
      <c r="F1827" s="38"/>
      <c r="G1827" s="38"/>
      <c r="H1827" s="38"/>
      <c r="I1827" s="39"/>
      <c r="J1827" s="38"/>
    </row>
    <row r="1828" spans="2:10" ht="12.75" customHeight="1" x14ac:dyDescent="0.2">
      <c r="B1828" s="37"/>
      <c r="C1828" s="37" t="str">
        <f>IF(D1828="","",MATCH(D1828,Parametros!$B$4:$B$15,0))</f>
        <v/>
      </c>
      <c r="D1828" s="38"/>
      <c r="E1828" s="38"/>
      <c r="F1828" s="38"/>
      <c r="G1828" s="38"/>
      <c r="H1828" s="38"/>
      <c r="I1828" s="39"/>
      <c r="J1828" s="38"/>
    </row>
    <row r="1829" spans="2:10" ht="12.75" customHeight="1" x14ac:dyDescent="0.2">
      <c r="B1829" s="37"/>
      <c r="C1829" s="37" t="str">
        <f>IF(D1829="","",MATCH(D1829,Parametros!$B$4:$B$15,0))</f>
        <v/>
      </c>
      <c r="D1829" s="38"/>
      <c r="E1829" s="38"/>
      <c r="F1829" s="38"/>
      <c r="G1829" s="38"/>
      <c r="H1829" s="38"/>
      <c r="I1829" s="39"/>
      <c r="J1829" s="38"/>
    </row>
    <row r="1830" spans="2:10" ht="12.75" customHeight="1" x14ac:dyDescent="0.2">
      <c r="B1830" s="37"/>
      <c r="C1830" s="37" t="str">
        <f>IF(D1830="","",MATCH(D1830,Parametros!$B$4:$B$15,0))</f>
        <v/>
      </c>
      <c r="D1830" s="38"/>
      <c r="E1830" s="38"/>
      <c r="F1830" s="38"/>
      <c r="G1830" s="38"/>
      <c r="H1830" s="38"/>
      <c r="I1830" s="39"/>
      <c r="J1830" s="38"/>
    </row>
    <row r="1831" spans="2:10" ht="12.75" customHeight="1" x14ac:dyDescent="0.2">
      <c r="B1831" s="37"/>
      <c r="C1831" s="37" t="str">
        <f>IF(D1831="","",MATCH(D1831,Parametros!$B$4:$B$15,0))</f>
        <v/>
      </c>
      <c r="D1831" s="38"/>
      <c r="E1831" s="38"/>
      <c r="F1831" s="38"/>
      <c r="G1831" s="38"/>
      <c r="H1831" s="38"/>
      <c r="I1831" s="39"/>
      <c r="J1831" s="38"/>
    </row>
    <row r="1832" spans="2:10" ht="12.75" customHeight="1" x14ac:dyDescent="0.2">
      <c r="B1832" s="37"/>
      <c r="C1832" s="37" t="str">
        <f>IF(D1832="","",MATCH(D1832,Parametros!$B$4:$B$15,0))</f>
        <v/>
      </c>
      <c r="D1832" s="38"/>
      <c r="E1832" s="38"/>
      <c r="F1832" s="38"/>
      <c r="G1832" s="38"/>
      <c r="H1832" s="38"/>
      <c r="I1832" s="39"/>
      <c r="J1832" s="38"/>
    </row>
    <row r="1833" spans="2:10" ht="12.75" customHeight="1" x14ac:dyDescent="0.2">
      <c r="B1833" s="37"/>
      <c r="C1833" s="37" t="str">
        <f>IF(D1833="","",MATCH(D1833,Parametros!$B$4:$B$15,0))</f>
        <v/>
      </c>
      <c r="D1833" s="38"/>
      <c r="E1833" s="38"/>
      <c r="F1833" s="38"/>
      <c r="G1833" s="38"/>
      <c r="H1833" s="38"/>
      <c r="I1833" s="39"/>
      <c r="J1833" s="38"/>
    </row>
    <row r="1834" spans="2:10" ht="12.75" customHeight="1" x14ac:dyDescent="0.2">
      <c r="B1834" s="37"/>
      <c r="C1834" s="37" t="str">
        <f>IF(D1834="","",MATCH(D1834,Parametros!$B$4:$B$15,0))</f>
        <v/>
      </c>
      <c r="D1834" s="38"/>
      <c r="E1834" s="38"/>
      <c r="F1834" s="38"/>
      <c r="G1834" s="38"/>
      <c r="H1834" s="38"/>
      <c r="I1834" s="39"/>
      <c r="J1834" s="38"/>
    </row>
    <row r="1835" spans="2:10" ht="12.75" customHeight="1" x14ac:dyDescent="0.2">
      <c r="B1835" s="37"/>
      <c r="C1835" s="37" t="str">
        <f>IF(D1835="","",MATCH(D1835,Parametros!$B$4:$B$15,0))</f>
        <v/>
      </c>
      <c r="D1835" s="38"/>
      <c r="E1835" s="38"/>
      <c r="F1835" s="38"/>
      <c r="G1835" s="38"/>
      <c r="H1835" s="38"/>
      <c r="I1835" s="39"/>
      <c r="J1835" s="38"/>
    </row>
    <row r="1836" spans="2:10" ht="12.75" customHeight="1" x14ac:dyDescent="0.2">
      <c r="B1836" s="37"/>
      <c r="C1836" s="37" t="str">
        <f>IF(D1836="","",MATCH(D1836,Parametros!$B$4:$B$15,0))</f>
        <v/>
      </c>
      <c r="D1836" s="38"/>
      <c r="E1836" s="38"/>
      <c r="F1836" s="38"/>
      <c r="G1836" s="38"/>
      <c r="H1836" s="38"/>
      <c r="I1836" s="39"/>
      <c r="J1836" s="38"/>
    </row>
    <row r="1837" spans="2:10" ht="12.75" customHeight="1" x14ac:dyDescent="0.2">
      <c r="B1837" s="37"/>
      <c r="C1837" s="37" t="str">
        <f>IF(D1837="","",MATCH(D1837,Parametros!$B$4:$B$15,0))</f>
        <v/>
      </c>
      <c r="D1837" s="38"/>
      <c r="E1837" s="38"/>
      <c r="F1837" s="38"/>
      <c r="G1837" s="38"/>
      <c r="H1837" s="38"/>
      <c r="I1837" s="39"/>
      <c r="J1837" s="38"/>
    </row>
    <row r="1838" spans="2:10" ht="12.75" customHeight="1" x14ac:dyDescent="0.2">
      <c r="B1838" s="37"/>
      <c r="C1838" s="37" t="str">
        <f>IF(D1838="","",MATCH(D1838,Parametros!$B$4:$B$15,0))</f>
        <v/>
      </c>
      <c r="D1838" s="38"/>
      <c r="E1838" s="38"/>
      <c r="F1838" s="38"/>
      <c r="G1838" s="38"/>
      <c r="H1838" s="38"/>
      <c r="I1838" s="39"/>
      <c r="J1838" s="38"/>
    </row>
    <row r="1839" spans="2:10" ht="12.75" customHeight="1" x14ac:dyDescent="0.2">
      <c r="B1839" s="37"/>
      <c r="C1839" s="37" t="str">
        <f>IF(D1839="","",MATCH(D1839,Parametros!$B$4:$B$15,0))</f>
        <v/>
      </c>
      <c r="D1839" s="38"/>
      <c r="E1839" s="38"/>
      <c r="F1839" s="38"/>
      <c r="G1839" s="38"/>
      <c r="H1839" s="38"/>
      <c r="I1839" s="39"/>
      <c r="J1839" s="38"/>
    </row>
    <row r="1840" spans="2:10" ht="12.75" customHeight="1" x14ac:dyDescent="0.2">
      <c r="B1840" s="37"/>
      <c r="C1840" s="37" t="str">
        <f>IF(D1840="","",MATCH(D1840,Parametros!$B$4:$B$15,0))</f>
        <v/>
      </c>
      <c r="D1840" s="38"/>
      <c r="E1840" s="38"/>
      <c r="F1840" s="38"/>
      <c r="G1840" s="38"/>
      <c r="H1840" s="38"/>
      <c r="I1840" s="39"/>
      <c r="J1840" s="38"/>
    </row>
    <row r="1841" spans="2:10" ht="12.75" customHeight="1" x14ac:dyDescent="0.2">
      <c r="B1841" s="37"/>
      <c r="C1841" s="37" t="str">
        <f>IF(D1841="","",MATCH(D1841,Parametros!$B$4:$B$15,0))</f>
        <v/>
      </c>
      <c r="D1841" s="38"/>
      <c r="E1841" s="38"/>
      <c r="F1841" s="38"/>
      <c r="G1841" s="38"/>
      <c r="H1841" s="38"/>
      <c r="I1841" s="39"/>
      <c r="J1841" s="38"/>
    </row>
    <row r="1842" spans="2:10" ht="12.75" customHeight="1" x14ac:dyDescent="0.2">
      <c r="B1842" s="37"/>
      <c r="C1842" s="37" t="str">
        <f>IF(D1842="","",MATCH(D1842,Parametros!$B$4:$B$15,0))</f>
        <v/>
      </c>
      <c r="D1842" s="38"/>
      <c r="E1842" s="38"/>
      <c r="F1842" s="38"/>
      <c r="G1842" s="38"/>
      <c r="H1842" s="38"/>
      <c r="I1842" s="39"/>
      <c r="J1842" s="38"/>
    </row>
    <row r="1843" spans="2:10" ht="12.75" customHeight="1" x14ac:dyDescent="0.2">
      <c r="B1843" s="37"/>
      <c r="C1843" s="37" t="str">
        <f>IF(D1843="","",MATCH(D1843,Parametros!$B$4:$B$15,0))</f>
        <v/>
      </c>
      <c r="D1843" s="38"/>
      <c r="E1843" s="38"/>
      <c r="F1843" s="38"/>
      <c r="G1843" s="38"/>
      <c r="H1843" s="38"/>
      <c r="I1843" s="39"/>
      <c r="J1843" s="38"/>
    </row>
    <row r="1844" spans="2:10" ht="12.75" customHeight="1" x14ac:dyDescent="0.2">
      <c r="B1844" s="37"/>
      <c r="C1844" s="37" t="str">
        <f>IF(D1844="","",MATCH(D1844,Parametros!$B$4:$B$15,0))</f>
        <v/>
      </c>
      <c r="D1844" s="38"/>
      <c r="E1844" s="38"/>
      <c r="F1844" s="38"/>
      <c r="G1844" s="38"/>
      <c r="H1844" s="38"/>
      <c r="I1844" s="39"/>
      <c r="J1844" s="38"/>
    </row>
    <row r="1845" spans="2:10" ht="12.75" customHeight="1" x14ac:dyDescent="0.2">
      <c r="B1845" s="37"/>
      <c r="C1845" s="37" t="str">
        <f>IF(D1845="","",MATCH(D1845,Parametros!$B$4:$B$15,0))</f>
        <v/>
      </c>
      <c r="D1845" s="38"/>
      <c r="E1845" s="38"/>
      <c r="F1845" s="38"/>
      <c r="G1845" s="38"/>
      <c r="H1845" s="38"/>
      <c r="I1845" s="39"/>
      <c r="J1845" s="38"/>
    </row>
    <row r="1846" spans="2:10" ht="12.75" customHeight="1" x14ac:dyDescent="0.2">
      <c r="B1846" s="37"/>
      <c r="C1846" s="37" t="str">
        <f>IF(D1846="","",MATCH(D1846,Parametros!$B$4:$B$15,0))</f>
        <v/>
      </c>
      <c r="D1846" s="38"/>
      <c r="E1846" s="38"/>
      <c r="F1846" s="38"/>
      <c r="G1846" s="38"/>
      <c r="H1846" s="38"/>
      <c r="I1846" s="39"/>
      <c r="J1846" s="38"/>
    </row>
    <row r="1847" spans="2:10" ht="12.75" customHeight="1" x14ac:dyDescent="0.2">
      <c r="B1847" s="37"/>
      <c r="C1847" s="37" t="str">
        <f>IF(D1847="","",MATCH(D1847,Parametros!$B$4:$B$15,0))</f>
        <v/>
      </c>
      <c r="D1847" s="38"/>
      <c r="E1847" s="38"/>
      <c r="F1847" s="38"/>
      <c r="G1847" s="38"/>
      <c r="H1847" s="38"/>
      <c r="I1847" s="39"/>
      <c r="J1847" s="38"/>
    </row>
    <row r="1848" spans="2:10" ht="12.75" customHeight="1" x14ac:dyDescent="0.2">
      <c r="B1848" s="37"/>
      <c r="C1848" s="37" t="str">
        <f>IF(D1848="","",MATCH(D1848,Parametros!$B$4:$B$15,0))</f>
        <v/>
      </c>
      <c r="D1848" s="38"/>
      <c r="E1848" s="38"/>
      <c r="F1848" s="38"/>
      <c r="G1848" s="38"/>
      <c r="H1848" s="38"/>
      <c r="I1848" s="39"/>
      <c r="J1848" s="38"/>
    </row>
    <row r="1849" spans="2:10" ht="12.75" customHeight="1" x14ac:dyDescent="0.2">
      <c r="B1849" s="37"/>
      <c r="C1849" s="37" t="str">
        <f>IF(D1849="","",MATCH(D1849,Parametros!$B$4:$B$15,0))</f>
        <v/>
      </c>
      <c r="D1849" s="38"/>
      <c r="E1849" s="38"/>
      <c r="F1849" s="38"/>
      <c r="G1849" s="38"/>
      <c r="H1849" s="38"/>
      <c r="I1849" s="39"/>
      <c r="J1849" s="38"/>
    </row>
    <row r="1850" spans="2:10" ht="12.75" customHeight="1" x14ac:dyDescent="0.2">
      <c r="B1850" s="37"/>
      <c r="C1850" s="37" t="str">
        <f>IF(D1850="","",MATCH(D1850,Parametros!$B$4:$B$15,0))</f>
        <v/>
      </c>
      <c r="D1850" s="38"/>
      <c r="E1850" s="38"/>
      <c r="F1850" s="38"/>
      <c r="G1850" s="38"/>
      <c r="H1850" s="38"/>
      <c r="I1850" s="39"/>
      <c r="J1850" s="38"/>
    </row>
    <row r="1851" spans="2:10" ht="12.75" customHeight="1" x14ac:dyDescent="0.2">
      <c r="B1851" s="37"/>
      <c r="C1851" s="37" t="str">
        <f>IF(D1851="","",MATCH(D1851,Parametros!$B$4:$B$15,0))</f>
        <v/>
      </c>
      <c r="D1851" s="38"/>
      <c r="E1851" s="38"/>
      <c r="F1851" s="38"/>
      <c r="G1851" s="38"/>
      <c r="H1851" s="38"/>
      <c r="I1851" s="39"/>
      <c r="J1851" s="38"/>
    </row>
    <row r="1852" spans="2:10" ht="12.75" customHeight="1" x14ac:dyDescent="0.2">
      <c r="B1852" s="37"/>
      <c r="C1852" s="37" t="str">
        <f>IF(D1852="","",MATCH(D1852,Parametros!$B$4:$B$15,0))</f>
        <v/>
      </c>
      <c r="D1852" s="38"/>
      <c r="E1852" s="38"/>
      <c r="F1852" s="38"/>
      <c r="G1852" s="38"/>
      <c r="H1852" s="38"/>
      <c r="I1852" s="39"/>
      <c r="J1852" s="38"/>
    </row>
    <row r="1853" spans="2:10" ht="12.75" customHeight="1" x14ac:dyDescent="0.2">
      <c r="B1853" s="37"/>
      <c r="C1853" s="37" t="str">
        <f>IF(D1853="","",MATCH(D1853,Parametros!$B$4:$B$15,0))</f>
        <v/>
      </c>
      <c r="D1853" s="38"/>
      <c r="E1853" s="38"/>
      <c r="F1853" s="38"/>
      <c r="G1853" s="38"/>
      <c r="H1853" s="38"/>
      <c r="I1853" s="39"/>
      <c r="J1853" s="38"/>
    </row>
    <row r="1854" spans="2:10" ht="12.75" customHeight="1" x14ac:dyDescent="0.2">
      <c r="B1854" s="37"/>
      <c r="C1854" s="37" t="str">
        <f>IF(D1854="","",MATCH(D1854,Parametros!$B$4:$B$15,0))</f>
        <v/>
      </c>
      <c r="D1854" s="38"/>
      <c r="E1854" s="38"/>
      <c r="F1854" s="38"/>
      <c r="G1854" s="38"/>
      <c r="H1854" s="38"/>
      <c r="I1854" s="39"/>
      <c r="J1854" s="38"/>
    </row>
    <row r="1855" spans="2:10" ht="12.75" customHeight="1" x14ac:dyDescent="0.2">
      <c r="B1855" s="37"/>
      <c r="C1855" s="37" t="str">
        <f>IF(D1855="","",MATCH(D1855,Parametros!$B$4:$B$15,0))</f>
        <v/>
      </c>
      <c r="D1855" s="38"/>
      <c r="E1855" s="38"/>
      <c r="F1855" s="38"/>
      <c r="G1855" s="38"/>
      <c r="H1855" s="38"/>
      <c r="I1855" s="39"/>
      <c r="J1855" s="38"/>
    </row>
    <row r="1856" spans="2:10" ht="12.75" customHeight="1" x14ac:dyDescent="0.2">
      <c r="B1856" s="37"/>
      <c r="C1856" s="37" t="str">
        <f>IF(D1856="","",MATCH(D1856,Parametros!$B$4:$B$15,0))</f>
        <v/>
      </c>
      <c r="D1856" s="38"/>
      <c r="E1856" s="38"/>
      <c r="F1856" s="38"/>
      <c r="G1856" s="38"/>
      <c r="H1856" s="38"/>
      <c r="I1856" s="39"/>
      <c r="J1856" s="38"/>
    </row>
    <row r="1857" spans="2:10" ht="12.75" customHeight="1" x14ac:dyDescent="0.2">
      <c r="B1857" s="37"/>
      <c r="C1857" s="37" t="str">
        <f>IF(D1857="","",MATCH(D1857,Parametros!$B$4:$B$15,0))</f>
        <v/>
      </c>
      <c r="D1857" s="38"/>
      <c r="E1857" s="38"/>
      <c r="F1857" s="38"/>
      <c r="G1857" s="38"/>
      <c r="H1857" s="38"/>
      <c r="I1857" s="39"/>
      <c r="J1857" s="38"/>
    </row>
    <row r="1858" spans="2:10" ht="12.75" customHeight="1" x14ac:dyDescent="0.2">
      <c r="B1858" s="37"/>
      <c r="C1858" s="37" t="str">
        <f>IF(D1858="","",MATCH(D1858,Parametros!$B$4:$B$15,0))</f>
        <v/>
      </c>
      <c r="D1858" s="38"/>
      <c r="E1858" s="38"/>
      <c r="F1858" s="38"/>
      <c r="G1858" s="38"/>
      <c r="H1858" s="38"/>
      <c r="I1858" s="39"/>
      <c r="J1858" s="38"/>
    </row>
    <row r="1859" spans="2:10" ht="12.75" customHeight="1" x14ac:dyDescent="0.2">
      <c r="B1859" s="37"/>
      <c r="C1859" s="37" t="str">
        <f>IF(D1859="","",MATCH(D1859,Parametros!$B$4:$B$15,0))</f>
        <v/>
      </c>
      <c r="D1859" s="38"/>
      <c r="E1859" s="38"/>
      <c r="F1859" s="38"/>
      <c r="G1859" s="38"/>
      <c r="H1859" s="38"/>
      <c r="I1859" s="39"/>
      <c r="J1859" s="38"/>
    </row>
    <row r="1860" spans="2:10" ht="12.75" customHeight="1" x14ac:dyDescent="0.2">
      <c r="B1860" s="37"/>
      <c r="C1860" s="37" t="str">
        <f>IF(D1860="","",MATCH(D1860,Parametros!$B$4:$B$15,0))</f>
        <v/>
      </c>
      <c r="D1860" s="38"/>
      <c r="E1860" s="38"/>
      <c r="F1860" s="38"/>
      <c r="G1860" s="38"/>
      <c r="H1860" s="38"/>
      <c r="I1860" s="39"/>
      <c r="J1860" s="38"/>
    </row>
    <row r="1861" spans="2:10" ht="12.75" customHeight="1" x14ac:dyDescent="0.2">
      <c r="B1861" s="37"/>
      <c r="C1861" s="37" t="str">
        <f>IF(D1861="","",MATCH(D1861,Parametros!$B$4:$B$15,0))</f>
        <v/>
      </c>
      <c r="D1861" s="38"/>
      <c r="E1861" s="38"/>
      <c r="F1861" s="38"/>
      <c r="G1861" s="38"/>
      <c r="H1861" s="38"/>
      <c r="I1861" s="39"/>
      <c r="J1861" s="38"/>
    </row>
    <row r="1862" spans="2:10" ht="12.75" customHeight="1" x14ac:dyDescent="0.2">
      <c r="B1862" s="37"/>
      <c r="C1862" s="37" t="str">
        <f>IF(D1862="","",MATCH(D1862,Parametros!$B$4:$B$15,0))</f>
        <v/>
      </c>
      <c r="D1862" s="38"/>
      <c r="E1862" s="38"/>
      <c r="F1862" s="38"/>
      <c r="G1862" s="38"/>
      <c r="H1862" s="38"/>
      <c r="I1862" s="39"/>
      <c r="J1862" s="38"/>
    </row>
    <row r="1863" spans="2:10" ht="12.75" customHeight="1" x14ac:dyDescent="0.2">
      <c r="B1863" s="37"/>
      <c r="C1863" s="37" t="str">
        <f>IF(D1863="","",MATCH(D1863,Parametros!$B$4:$B$15,0))</f>
        <v/>
      </c>
      <c r="D1863" s="38"/>
      <c r="E1863" s="38"/>
      <c r="F1863" s="38"/>
      <c r="G1863" s="38"/>
      <c r="H1863" s="38"/>
      <c r="I1863" s="39"/>
      <c r="J1863" s="38"/>
    </row>
    <row r="1864" spans="2:10" ht="12.75" customHeight="1" x14ac:dyDescent="0.2">
      <c r="B1864" s="37"/>
      <c r="C1864" s="37" t="str">
        <f>IF(D1864="","",MATCH(D1864,Parametros!$B$4:$B$15,0))</f>
        <v/>
      </c>
      <c r="D1864" s="38"/>
      <c r="E1864" s="38"/>
      <c r="F1864" s="38"/>
      <c r="G1864" s="38"/>
      <c r="H1864" s="38"/>
      <c r="I1864" s="39"/>
      <c r="J1864" s="38"/>
    </row>
    <row r="1865" spans="2:10" ht="12.75" customHeight="1" x14ac:dyDescent="0.2">
      <c r="B1865" s="37"/>
      <c r="C1865" s="37" t="str">
        <f>IF(D1865="","",MATCH(D1865,Parametros!$B$4:$B$15,0))</f>
        <v/>
      </c>
      <c r="D1865" s="38"/>
      <c r="E1865" s="38"/>
      <c r="F1865" s="38"/>
      <c r="G1865" s="38"/>
      <c r="H1865" s="38"/>
      <c r="I1865" s="39"/>
      <c r="J1865" s="38"/>
    </row>
    <row r="1866" spans="2:10" ht="12.75" customHeight="1" x14ac:dyDescent="0.2">
      <c r="B1866" s="37"/>
      <c r="C1866" s="37" t="str">
        <f>IF(D1866="","",MATCH(D1866,Parametros!$B$4:$B$15,0))</f>
        <v/>
      </c>
      <c r="D1866" s="38"/>
      <c r="E1866" s="38"/>
      <c r="F1866" s="38"/>
      <c r="G1866" s="38"/>
      <c r="H1866" s="38"/>
      <c r="I1866" s="39"/>
      <c r="J1866" s="38"/>
    </row>
    <row r="1867" spans="2:10" ht="12.75" customHeight="1" x14ac:dyDescent="0.2">
      <c r="B1867" s="37"/>
      <c r="C1867" s="37" t="str">
        <f>IF(D1867="","",MATCH(D1867,Parametros!$B$4:$B$15,0))</f>
        <v/>
      </c>
      <c r="D1867" s="38"/>
      <c r="E1867" s="38"/>
      <c r="F1867" s="38"/>
      <c r="G1867" s="38"/>
      <c r="H1867" s="38"/>
      <c r="I1867" s="39"/>
      <c r="J1867" s="38"/>
    </row>
    <row r="1868" spans="2:10" ht="12.75" customHeight="1" x14ac:dyDescent="0.2">
      <c r="B1868" s="37"/>
      <c r="C1868" s="37" t="str">
        <f>IF(D1868="","",MATCH(D1868,Parametros!$B$4:$B$15,0))</f>
        <v/>
      </c>
      <c r="D1868" s="38"/>
      <c r="E1868" s="38"/>
      <c r="F1868" s="38"/>
      <c r="G1868" s="38"/>
      <c r="H1868" s="38"/>
      <c r="I1868" s="39"/>
      <c r="J1868" s="38"/>
    </row>
    <row r="1869" spans="2:10" ht="12.75" customHeight="1" x14ac:dyDescent="0.2">
      <c r="B1869" s="37"/>
      <c r="C1869" s="37" t="str">
        <f>IF(D1869="","",MATCH(D1869,Parametros!$B$4:$B$15,0))</f>
        <v/>
      </c>
      <c r="D1869" s="38"/>
      <c r="E1869" s="38"/>
      <c r="F1869" s="38"/>
      <c r="G1869" s="38"/>
      <c r="H1869" s="38"/>
      <c r="I1869" s="39"/>
      <c r="J1869" s="38"/>
    </row>
    <row r="1870" spans="2:10" ht="12.75" customHeight="1" x14ac:dyDescent="0.2">
      <c r="B1870" s="37"/>
      <c r="C1870" s="37" t="str">
        <f>IF(D1870="","",MATCH(D1870,Parametros!$B$4:$B$15,0))</f>
        <v/>
      </c>
      <c r="D1870" s="38"/>
      <c r="E1870" s="38"/>
      <c r="F1870" s="38"/>
      <c r="G1870" s="38"/>
      <c r="H1870" s="38"/>
      <c r="I1870" s="39"/>
      <c r="J1870" s="38"/>
    </row>
    <row r="1871" spans="2:10" ht="12.75" customHeight="1" x14ac:dyDescent="0.2">
      <c r="B1871" s="37"/>
      <c r="C1871" s="37" t="str">
        <f>IF(D1871="","",MATCH(D1871,Parametros!$B$4:$B$15,0))</f>
        <v/>
      </c>
      <c r="D1871" s="38"/>
      <c r="E1871" s="38"/>
      <c r="F1871" s="38"/>
      <c r="G1871" s="38"/>
      <c r="H1871" s="38"/>
      <c r="I1871" s="39"/>
      <c r="J1871" s="38"/>
    </row>
    <row r="1872" spans="2:10" ht="12.75" customHeight="1" x14ac:dyDescent="0.2">
      <c r="B1872" s="37"/>
      <c r="C1872" s="37" t="str">
        <f>IF(D1872="","",MATCH(D1872,Parametros!$B$4:$B$15,0))</f>
        <v/>
      </c>
      <c r="D1872" s="38"/>
      <c r="E1872" s="38"/>
      <c r="F1872" s="38"/>
      <c r="G1872" s="38"/>
      <c r="H1872" s="38"/>
      <c r="I1872" s="39"/>
      <c r="J1872" s="38"/>
    </row>
    <row r="1873" spans="2:10" ht="12.75" customHeight="1" x14ac:dyDescent="0.2">
      <c r="B1873" s="37"/>
      <c r="C1873" s="37" t="str">
        <f>IF(D1873="","",MATCH(D1873,Parametros!$B$4:$B$15,0))</f>
        <v/>
      </c>
      <c r="D1873" s="38"/>
      <c r="E1873" s="38"/>
      <c r="F1873" s="38"/>
      <c r="G1873" s="38"/>
      <c r="H1873" s="38"/>
      <c r="I1873" s="39"/>
      <c r="J1873" s="38"/>
    </row>
    <row r="1874" spans="2:10" ht="12.75" customHeight="1" x14ac:dyDescent="0.2">
      <c r="B1874" s="37"/>
      <c r="C1874" s="37" t="str">
        <f>IF(D1874="","",MATCH(D1874,Parametros!$B$4:$B$15,0))</f>
        <v/>
      </c>
      <c r="D1874" s="38"/>
      <c r="E1874" s="38"/>
      <c r="F1874" s="38"/>
      <c r="G1874" s="38"/>
      <c r="H1874" s="38"/>
      <c r="I1874" s="39"/>
      <c r="J1874" s="38"/>
    </row>
    <row r="1875" spans="2:10" ht="12.75" customHeight="1" x14ac:dyDescent="0.2">
      <c r="B1875" s="37"/>
      <c r="C1875" s="37" t="str">
        <f>IF(D1875="","",MATCH(D1875,Parametros!$B$4:$B$15,0))</f>
        <v/>
      </c>
      <c r="D1875" s="38"/>
      <c r="E1875" s="38"/>
      <c r="F1875" s="38"/>
      <c r="G1875" s="38"/>
      <c r="H1875" s="38"/>
      <c r="I1875" s="39"/>
      <c r="J1875" s="38"/>
    </row>
    <row r="1876" spans="2:10" ht="12.75" customHeight="1" x14ac:dyDescent="0.2">
      <c r="B1876" s="37"/>
      <c r="C1876" s="37" t="str">
        <f>IF(D1876="","",MATCH(D1876,Parametros!$B$4:$B$15,0))</f>
        <v/>
      </c>
      <c r="D1876" s="38"/>
      <c r="E1876" s="38"/>
      <c r="F1876" s="38"/>
      <c r="G1876" s="38"/>
      <c r="H1876" s="38"/>
      <c r="I1876" s="39"/>
      <c r="J1876" s="38"/>
    </row>
    <row r="1877" spans="2:10" ht="12.75" customHeight="1" x14ac:dyDescent="0.2">
      <c r="B1877" s="37"/>
      <c r="C1877" s="37" t="str">
        <f>IF(D1877="","",MATCH(D1877,Parametros!$B$4:$B$15,0))</f>
        <v/>
      </c>
      <c r="D1877" s="38"/>
      <c r="E1877" s="38"/>
      <c r="F1877" s="38"/>
      <c r="G1877" s="38"/>
      <c r="H1877" s="38"/>
      <c r="I1877" s="39"/>
      <c r="J1877" s="38"/>
    </row>
    <row r="1878" spans="2:10" ht="12.75" customHeight="1" x14ac:dyDescent="0.2">
      <c r="B1878" s="37"/>
      <c r="C1878" s="37" t="str">
        <f>IF(D1878="","",MATCH(D1878,Parametros!$B$4:$B$15,0))</f>
        <v/>
      </c>
      <c r="D1878" s="38"/>
      <c r="E1878" s="38"/>
      <c r="F1878" s="38"/>
      <c r="G1878" s="38"/>
      <c r="H1878" s="38"/>
      <c r="I1878" s="39"/>
      <c r="J1878" s="38"/>
    </row>
    <row r="1879" spans="2:10" ht="12.75" customHeight="1" x14ac:dyDescent="0.2">
      <c r="B1879" s="37"/>
      <c r="C1879" s="37" t="str">
        <f>IF(D1879="","",MATCH(D1879,Parametros!$B$4:$B$15,0))</f>
        <v/>
      </c>
      <c r="D1879" s="38"/>
      <c r="E1879" s="38"/>
      <c r="F1879" s="38"/>
      <c r="G1879" s="38"/>
      <c r="H1879" s="38"/>
      <c r="I1879" s="39"/>
      <c r="J1879" s="38"/>
    </row>
    <row r="1880" spans="2:10" ht="12.75" customHeight="1" x14ac:dyDescent="0.2">
      <c r="B1880" s="37"/>
      <c r="C1880" s="37" t="str">
        <f>IF(D1880="","",MATCH(D1880,Parametros!$B$4:$B$15,0))</f>
        <v/>
      </c>
      <c r="D1880" s="38"/>
      <c r="E1880" s="38"/>
      <c r="F1880" s="38"/>
      <c r="G1880" s="38"/>
      <c r="H1880" s="38"/>
      <c r="I1880" s="39"/>
      <c r="J1880" s="38"/>
    </row>
    <row r="1881" spans="2:10" ht="12.75" customHeight="1" x14ac:dyDescent="0.2">
      <c r="B1881" s="37"/>
      <c r="C1881" s="37" t="str">
        <f>IF(D1881="","",MATCH(D1881,Parametros!$B$4:$B$15,0))</f>
        <v/>
      </c>
      <c r="D1881" s="38"/>
      <c r="E1881" s="38"/>
      <c r="F1881" s="38"/>
      <c r="G1881" s="38"/>
      <c r="H1881" s="38"/>
      <c r="I1881" s="39"/>
      <c r="J1881" s="38"/>
    </row>
    <row r="1882" spans="2:10" ht="12.75" customHeight="1" x14ac:dyDescent="0.2">
      <c r="B1882" s="37"/>
      <c r="C1882" s="37" t="str">
        <f>IF(D1882="","",MATCH(D1882,Parametros!$B$4:$B$15,0))</f>
        <v/>
      </c>
      <c r="D1882" s="38"/>
      <c r="E1882" s="38"/>
      <c r="F1882" s="38"/>
      <c r="G1882" s="38"/>
      <c r="H1882" s="38"/>
      <c r="I1882" s="39"/>
      <c r="J1882" s="38"/>
    </row>
    <row r="1883" spans="2:10" ht="12.75" customHeight="1" x14ac:dyDescent="0.2">
      <c r="B1883" s="37"/>
      <c r="C1883" s="37" t="str">
        <f>IF(D1883="","",MATCH(D1883,Parametros!$B$4:$B$15,0))</f>
        <v/>
      </c>
      <c r="D1883" s="38"/>
      <c r="E1883" s="38"/>
      <c r="F1883" s="38"/>
      <c r="G1883" s="38"/>
      <c r="H1883" s="38"/>
      <c r="I1883" s="39"/>
      <c r="J1883" s="38"/>
    </row>
    <row r="1884" spans="2:10" ht="12.75" customHeight="1" x14ac:dyDescent="0.2">
      <c r="B1884" s="37"/>
      <c r="C1884" s="37" t="str">
        <f>IF(D1884="","",MATCH(D1884,Parametros!$B$4:$B$15,0))</f>
        <v/>
      </c>
      <c r="D1884" s="38"/>
      <c r="E1884" s="38"/>
      <c r="F1884" s="38"/>
      <c r="G1884" s="38"/>
      <c r="H1884" s="38"/>
      <c r="I1884" s="39"/>
      <c r="J1884" s="38"/>
    </row>
    <row r="1885" spans="2:10" ht="12.75" customHeight="1" x14ac:dyDescent="0.2">
      <c r="B1885" s="37"/>
      <c r="C1885" s="37" t="str">
        <f>IF(D1885="","",MATCH(D1885,Parametros!$B$4:$B$15,0))</f>
        <v/>
      </c>
      <c r="D1885" s="38"/>
      <c r="E1885" s="38"/>
      <c r="F1885" s="38"/>
      <c r="G1885" s="38"/>
      <c r="H1885" s="38"/>
      <c r="I1885" s="39"/>
      <c r="J1885" s="38"/>
    </row>
    <row r="1886" spans="2:10" ht="12.75" customHeight="1" x14ac:dyDescent="0.2">
      <c r="B1886" s="37"/>
      <c r="C1886" s="37" t="str">
        <f>IF(D1886="","",MATCH(D1886,Parametros!$B$4:$B$15,0))</f>
        <v/>
      </c>
      <c r="D1886" s="38"/>
      <c r="E1886" s="38"/>
      <c r="F1886" s="38"/>
      <c r="G1886" s="38"/>
      <c r="H1886" s="38"/>
      <c r="I1886" s="39"/>
      <c r="J1886" s="38"/>
    </row>
    <row r="1887" spans="2:10" ht="12.75" customHeight="1" x14ac:dyDescent="0.2">
      <c r="B1887" s="37"/>
      <c r="C1887" s="37" t="str">
        <f>IF(D1887="","",MATCH(D1887,Parametros!$B$4:$B$15,0))</f>
        <v/>
      </c>
      <c r="D1887" s="38"/>
      <c r="E1887" s="38"/>
      <c r="F1887" s="38"/>
      <c r="G1887" s="38"/>
      <c r="H1887" s="38"/>
      <c r="I1887" s="39"/>
      <c r="J1887" s="38"/>
    </row>
    <row r="1888" spans="2:10" ht="12.75" customHeight="1" x14ac:dyDescent="0.2">
      <c r="B1888" s="37"/>
      <c r="C1888" s="37" t="str">
        <f>IF(D1888="","",MATCH(D1888,Parametros!$B$4:$B$15,0))</f>
        <v/>
      </c>
      <c r="D1888" s="38"/>
      <c r="E1888" s="38"/>
      <c r="F1888" s="38"/>
      <c r="G1888" s="38"/>
      <c r="H1888" s="38"/>
      <c r="I1888" s="39"/>
      <c r="J1888" s="38"/>
    </row>
    <row r="1889" spans="2:10" ht="12.75" customHeight="1" x14ac:dyDescent="0.2">
      <c r="B1889" s="37"/>
      <c r="C1889" s="37" t="str">
        <f>IF(D1889="","",MATCH(D1889,Parametros!$B$4:$B$15,0))</f>
        <v/>
      </c>
      <c r="D1889" s="38"/>
      <c r="E1889" s="38"/>
      <c r="F1889" s="38"/>
      <c r="G1889" s="38"/>
      <c r="H1889" s="38"/>
      <c r="I1889" s="39"/>
      <c r="J1889" s="38"/>
    </row>
    <row r="1890" spans="2:10" ht="12.75" customHeight="1" x14ac:dyDescent="0.2">
      <c r="B1890" s="37"/>
      <c r="C1890" s="37" t="str">
        <f>IF(D1890="","",MATCH(D1890,Parametros!$B$4:$B$15,0))</f>
        <v/>
      </c>
      <c r="D1890" s="38"/>
      <c r="E1890" s="38"/>
      <c r="F1890" s="38"/>
      <c r="G1890" s="38"/>
      <c r="H1890" s="38"/>
      <c r="I1890" s="39"/>
      <c r="J1890" s="38"/>
    </row>
    <row r="1891" spans="2:10" ht="12.75" customHeight="1" x14ac:dyDescent="0.2">
      <c r="B1891" s="37"/>
      <c r="C1891" s="37" t="str">
        <f>IF(D1891="","",MATCH(D1891,Parametros!$B$4:$B$15,0))</f>
        <v/>
      </c>
      <c r="D1891" s="38"/>
      <c r="E1891" s="38"/>
      <c r="F1891" s="38"/>
      <c r="G1891" s="38"/>
      <c r="H1891" s="38"/>
      <c r="I1891" s="39"/>
      <c r="J1891" s="38"/>
    </row>
    <row r="1892" spans="2:10" ht="12.75" customHeight="1" x14ac:dyDescent="0.2">
      <c r="B1892" s="37"/>
      <c r="C1892" s="37" t="str">
        <f>IF(D1892="","",MATCH(D1892,Parametros!$B$4:$B$15,0))</f>
        <v/>
      </c>
      <c r="D1892" s="38"/>
      <c r="E1892" s="38"/>
      <c r="F1892" s="38"/>
      <c r="G1892" s="38"/>
      <c r="H1892" s="38"/>
      <c r="I1892" s="39"/>
      <c r="J1892" s="38"/>
    </row>
    <row r="1893" spans="2:10" ht="12.75" customHeight="1" x14ac:dyDescent="0.2">
      <c r="B1893" s="37"/>
      <c r="C1893" s="37" t="str">
        <f>IF(D1893="","",MATCH(D1893,Parametros!$B$4:$B$15,0))</f>
        <v/>
      </c>
      <c r="D1893" s="38"/>
      <c r="E1893" s="38"/>
      <c r="F1893" s="38"/>
      <c r="G1893" s="38"/>
      <c r="H1893" s="38"/>
      <c r="I1893" s="39"/>
      <c r="J1893" s="38"/>
    </row>
    <row r="1894" spans="2:10" ht="12.75" customHeight="1" x14ac:dyDescent="0.2">
      <c r="B1894" s="37"/>
      <c r="C1894" s="37" t="str">
        <f>IF(D1894="","",MATCH(D1894,Parametros!$B$4:$B$15,0))</f>
        <v/>
      </c>
      <c r="D1894" s="38"/>
      <c r="E1894" s="38"/>
      <c r="F1894" s="38"/>
      <c r="G1894" s="38"/>
      <c r="H1894" s="38"/>
      <c r="I1894" s="39"/>
      <c r="J1894" s="38"/>
    </row>
    <row r="1895" spans="2:10" ht="12.75" customHeight="1" x14ac:dyDescent="0.2">
      <c r="B1895" s="37"/>
      <c r="C1895" s="37" t="str">
        <f>IF(D1895="","",MATCH(D1895,Parametros!$B$4:$B$15,0))</f>
        <v/>
      </c>
      <c r="D1895" s="38"/>
      <c r="E1895" s="38"/>
      <c r="F1895" s="38"/>
      <c r="G1895" s="38"/>
      <c r="H1895" s="38"/>
      <c r="I1895" s="39"/>
      <c r="J1895" s="38"/>
    </row>
    <row r="1896" spans="2:10" ht="12.75" customHeight="1" x14ac:dyDescent="0.2">
      <c r="B1896" s="37"/>
      <c r="C1896" s="37" t="str">
        <f>IF(D1896="","",MATCH(D1896,Parametros!$B$4:$B$15,0))</f>
        <v/>
      </c>
      <c r="D1896" s="38"/>
      <c r="E1896" s="38"/>
      <c r="F1896" s="38"/>
      <c r="G1896" s="38"/>
      <c r="H1896" s="38"/>
      <c r="I1896" s="39"/>
      <c r="J1896" s="38"/>
    </row>
    <row r="1897" spans="2:10" ht="12.75" customHeight="1" x14ac:dyDescent="0.2">
      <c r="B1897" s="37"/>
      <c r="C1897" s="37" t="str">
        <f>IF(D1897="","",MATCH(D1897,Parametros!$B$4:$B$15,0))</f>
        <v/>
      </c>
      <c r="D1897" s="38"/>
      <c r="E1897" s="38"/>
      <c r="F1897" s="38"/>
      <c r="G1897" s="38"/>
      <c r="H1897" s="38"/>
      <c r="I1897" s="39"/>
      <c r="J1897" s="38"/>
    </row>
    <row r="1898" spans="2:10" ht="12.75" customHeight="1" x14ac:dyDescent="0.2">
      <c r="B1898" s="37"/>
      <c r="C1898" s="37" t="str">
        <f>IF(D1898="","",MATCH(D1898,Parametros!$B$4:$B$15,0))</f>
        <v/>
      </c>
      <c r="D1898" s="38"/>
      <c r="E1898" s="38"/>
      <c r="F1898" s="38"/>
      <c r="G1898" s="38"/>
      <c r="H1898" s="38"/>
      <c r="I1898" s="39"/>
      <c r="J1898" s="38"/>
    </row>
    <row r="1899" spans="2:10" ht="12.75" customHeight="1" x14ac:dyDescent="0.2">
      <c r="B1899" s="37"/>
      <c r="C1899" s="37" t="str">
        <f>IF(D1899="","",MATCH(D1899,Parametros!$B$4:$B$15,0))</f>
        <v/>
      </c>
      <c r="D1899" s="38"/>
      <c r="E1899" s="38"/>
      <c r="F1899" s="38"/>
      <c r="G1899" s="38"/>
      <c r="H1899" s="38"/>
      <c r="I1899" s="39"/>
      <c r="J1899" s="38"/>
    </row>
    <row r="1900" spans="2:10" ht="12.75" customHeight="1" x14ac:dyDescent="0.2">
      <c r="B1900" s="37"/>
      <c r="C1900" s="37" t="str">
        <f>IF(D1900="","",MATCH(D1900,Parametros!$B$4:$B$15,0))</f>
        <v/>
      </c>
      <c r="D1900" s="38"/>
      <c r="E1900" s="38"/>
      <c r="F1900" s="38"/>
      <c r="G1900" s="38"/>
      <c r="H1900" s="38"/>
      <c r="I1900" s="39"/>
      <c r="J1900" s="38"/>
    </row>
    <row r="1901" spans="2:10" ht="12.75" customHeight="1" x14ac:dyDescent="0.2">
      <c r="B1901" s="37"/>
      <c r="C1901" s="37" t="str">
        <f>IF(D1901="","",MATCH(D1901,Parametros!$B$4:$B$15,0))</f>
        <v/>
      </c>
      <c r="D1901" s="38"/>
      <c r="E1901" s="38"/>
      <c r="F1901" s="38"/>
      <c r="G1901" s="38"/>
      <c r="H1901" s="38"/>
      <c r="I1901" s="39"/>
      <c r="J1901" s="38"/>
    </row>
    <row r="1902" spans="2:10" ht="12.75" customHeight="1" x14ac:dyDescent="0.2">
      <c r="B1902" s="37"/>
      <c r="C1902" s="37" t="str">
        <f>IF(D1902="","",MATCH(D1902,Parametros!$B$4:$B$15,0))</f>
        <v/>
      </c>
      <c r="D1902" s="38"/>
      <c r="E1902" s="38"/>
      <c r="F1902" s="38"/>
      <c r="G1902" s="38"/>
      <c r="H1902" s="38"/>
      <c r="I1902" s="39"/>
      <c r="J1902" s="38"/>
    </row>
    <row r="1903" spans="2:10" ht="12.75" customHeight="1" x14ac:dyDescent="0.2">
      <c r="B1903" s="37"/>
      <c r="C1903" s="37" t="str">
        <f>IF(D1903="","",MATCH(D1903,Parametros!$B$4:$B$15,0))</f>
        <v/>
      </c>
      <c r="D1903" s="38"/>
      <c r="E1903" s="38"/>
      <c r="F1903" s="38"/>
      <c r="G1903" s="38"/>
      <c r="H1903" s="38"/>
      <c r="I1903" s="39"/>
      <c r="J1903" s="38"/>
    </row>
    <row r="1904" spans="2:10" ht="12.75" customHeight="1" x14ac:dyDescent="0.2">
      <c r="B1904" s="37"/>
      <c r="C1904" s="37" t="str">
        <f>IF(D1904="","",MATCH(D1904,Parametros!$B$4:$B$15,0))</f>
        <v/>
      </c>
      <c r="D1904" s="38"/>
      <c r="E1904" s="38"/>
      <c r="F1904" s="38"/>
      <c r="G1904" s="38"/>
      <c r="H1904" s="38"/>
      <c r="I1904" s="39"/>
      <c r="J1904" s="38"/>
    </row>
    <row r="1905" spans="2:10" ht="12.75" customHeight="1" x14ac:dyDescent="0.2">
      <c r="B1905" s="37"/>
      <c r="C1905" s="37" t="str">
        <f>IF(D1905="","",MATCH(D1905,Parametros!$B$4:$B$15,0))</f>
        <v/>
      </c>
      <c r="D1905" s="38"/>
      <c r="E1905" s="38"/>
      <c r="F1905" s="38"/>
      <c r="G1905" s="38"/>
      <c r="H1905" s="38"/>
      <c r="I1905" s="39"/>
      <c r="J1905" s="38"/>
    </row>
    <row r="1906" spans="2:10" ht="12.75" customHeight="1" x14ac:dyDescent="0.2">
      <c r="B1906" s="37"/>
      <c r="C1906" s="37" t="str">
        <f>IF(D1906="","",MATCH(D1906,Parametros!$B$4:$B$15,0))</f>
        <v/>
      </c>
      <c r="D1906" s="38"/>
      <c r="E1906" s="38"/>
      <c r="F1906" s="38"/>
      <c r="G1906" s="38"/>
      <c r="H1906" s="38"/>
      <c r="I1906" s="39"/>
      <c r="J1906" s="38"/>
    </row>
    <row r="1907" spans="2:10" ht="12.75" customHeight="1" x14ac:dyDescent="0.2">
      <c r="B1907" s="37"/>
      <c r="C1907" s="37" t="str">
        <f>IF(D1907="","",MATCH(D1907,Parametros!$B$4:$B$15,0))</f>
        <v/>
      </c>
      <c r="D1907" s="38"/>
      <c r="E1907" s="38"/>
      <c r="F1907" s="38"/>
      <c r="G1907" s="38"/>
      <c r="H1907" s="38"/>
      <c r="I1907" s="39"/>
      <c r="J1907" s="38"/>
    </row>
    <row r="1908" spans="2:10" ht="12.75" customHeight="1" x14ac:dyDescent="0.2">
      <c r="B1908" s="37"/>
      <c r="C1908" s="37" t="str">
        <f>IF(D1908="","",MATCH(D1908,Parametros!$B$4:$B$15,0))</f>
        <v/>
      </c>
      <c r="D1908" s="38"/>
      <c r="E1908" s="38"/>
      <c r="F1908" s="38"/>
      <c r="G1908" s="38"/>
      <c r="H1908" s="38"/>
      <c r="I1908" s="39"/>
      <c r="J1908" s="38"/>
    </row>
    <row r="1909" spans="2:10" ht="12.75" customHeight="1" x14ac:dyDescent="0.2">
      <c r="B1909" s="37"/>
      <c r="C1909" s="37" t="str">
        <f>IF(D1909="","",MATCH(D1909,Parametros!$B$4:$B$15,0))</f>
        <v/>
      </c>
      <c r="D1909" s="38"/>
      <c r="E1909" s="38"/>
      <c r="F1909" s="38"/>
      <c r="G1909" s="38"/>
      <c r="H1909" s="38"/>
      <c r="I1909" s="39"/>
      <c r="J1909" s="38"/>
    </row>
    <row r="1910" spans="2:10" ht="12.75" customHeight="1" x14ac:dyDescent="0.2">
      <c r="B1910" s="37"/>
      <c r="C1910" s="37" t="str">
        <f>IF(D1910="","",MATCH(D1910,Parametros!$B$4:$B$15,0))</f>
        <v/>
      </c>
      <c r="D1910" s="38"/>
      <c r="E1910" s="38"/>
      <c r="F1910" s="38"/>
      <c r="G1910" s="38"/>
      <c r="H1910" s="38"/>
      <c r="I1910" s="39"/>
      <c r="J1910" s="38"/>
    </row>
    <row r="1911" spans="2:10" ht="12.75" customHeight="1" x14ac:dyDescent="0.2">
      <c r="B1911" s="37"/>
      <c r="C1911" s="37" t="str">
        <f>IF(D1911="","",MATCH(D1911,Parametros!$B$4:$B$15,0))</f>
        <v/>
      </c>
      <c r="D1911" s="38"/>
      <c r="E1911" s="38"/>
      <c r="F1911" s="38"/>
      <c r="G1911" s="38"/>
      <c r="H1911" s="38"/>
      <c r="I1911" s="39"/>
      <c r="J1911" s="38"/>
    </row>
    <row r="1912" spans="2:10" ht="12.75" customHeight="1" x14ac:dyDescent="0.2">
      <c r="B1912" s="37"/>
      <c r="C1912" s="37" t="str">
        <f>IF(D1912="","",MATCH(D1912,Parametros!$B$4:$B$15,0))</f>
        <v/>
      </c>
      <c r="D1912" s="38"/>
      <c r="E1912" s="38"/>
      <c r="F1912" s="38"/>
      <c r="G1912" s="38"/>
      <c r="H1912" s="38"/>
      <c r="I1912" s="39"/>
      <c r="J1912" s="38"/>
    </row>
    <row r="1913" spans="2:10" ht="12.75" customHeight="1" x14ac:dyDescent="0.2">
      <c r="B1913" s="37"/>
      <c r="C1913" s="37" t="str">
        <f>IF(D1913="","",MATCH(D1913,Parametros!$B$4:$B$15,0))</f>
        <v/>
      </c>
      <c r="D1913" s="38"/>
      <c r="E1913" s="38"/>
      <c r="F1913" s="38"/>
      <c r="G1913" s="38"/>
      <c r="H1913" s="38"/>
      <c r="I1913" s="39"/>
      <c r="J1913" s="38"/>
    </row>
    <row r="1914" spans="2:10" ht="12.75" customHeight="1" x14ac:dyDescent="0.2">
      <c r="B1914" s="37"/>
      <c r="C1914" s="37" t="str">
        <f>IF(D1914="","",MATCH(D1914,Parametros!$B$4:$B$15,0))</f>
        <v/>
      </c>
      <c r="D1914" s="38"/>
      <c r="E1914" s="38"/>
      <c r="F1914" s="38"/>
      <c r="G1914" s="38"/>
      <c r="H1914" s="38"/>
      <c r="I1914" s="39"/>
      <c r="J1914" s="38"/>
    </row>
    <row r="1915" spans="2:10" ht="12.75" customHeight="1" x14ac:dyDescent="0.2">
      <c r="B1915" s="37"/>
      <c r="C1915" s="37" t="str">
        <f>IF(D1915="","",MATCH(D1915,Parametros!$B$4:$B$15,0))</f>
        <v/>
      </c>
      <c r="D1915" s="38"/>
      <c r="E1915" s="38"/>
      <c r="F1915" s="38"/>
      <c r="G1915" s="38"/>
      <c r="H1915" s="38"/>
      <c r="I1915" s="39"/>
      <c r="J1915" s="38"/>
    </row>
    <row r="1916" spans="2:10" ht="12.75" customHeight="1" x14ac:dyDescent="0.2">
      <c r="B1916" s="37"/>
      <c r="C1916" s="37" t="str">
        <f>IF(D1916="","",MATCH(D1916,Parametros!$B$4:$B$15,0))</f>
        <v/>
      </c>
      <c r="D1916" s="38"/>
      <c r="E1916" s="38"/>
      <c r="F1916" s="38"/>
      <c r="G1916" s="38"/>
      <c r="H1916" s="38"/>
      <c r="I1916" s="39"/>
      <c r="J1916" s="38"/>
    </row>
    <row r="1917" spans="2:10" ht="12.75" customHeight="1" x14ac:dyDescent="0.2">
      <c r="B1917" s="37"/>
      <c r="C1917" s="37" t="str">
        <f>IF(D1917="","",MATCH(D1917,Parametros!$B$4:$B$15,0))</f>
        <v/>
      </c>
      <c r="D1917" s="38"/>
      <c r="E1917" s="38"/>
      <c r="F1917" s="38"/>
      <c r="G1917" s="38"/>
      <c r="H1917" s="38"/>
      <c r="I1917" s="39"/>
      <c r="J1917" s="38"/>
    </row>
    <row r="1918" spans="2:10" ht="12.75" customHeight="1" x14ac:dyDescent="0.2">
      <c r="B1918" s="37"/>
      <c r="C1918" s="37" t="str">
        <f>IF(D1918="","",MATCH(D1918,Parametros!$B$4:$B$15,0))</f>
        <v/>
      </c>
      <c r="D1918" s="38"/>
      <c r="E1918" s="38"/>
      <c r="F1918" s="38"/>
      <c r="G1918" s="38"/>
      <c r="H1918" s="38"/>
      <c r="I1918" s="39"/>
      <c r="J1918" s="38"/>
    </row>
    <row r="1919" spans="2:10" ht="12.75" customHeight="1" x14ac:dyDescent="0.2">
      <c r="B1919" s="37"/>
      <c r="C1919" s="37" t="str">
        <f>IF(D1919="","",MATCH(D1919,Parametros!$B$4:$B$15,0))</f>
        <v/>
      </c>
      <c r="D1919" s="38"/>
      <c r="E1919" s="38"/>
      <c r="F1919" s="38"/>
      <c r="G1919" s="38"/>
      <c r="H1919" s="38"/>
      <c r="I1919" s="39"/>
      <c r="J1919" s="38"/>
    </row>
    <row r="1920" spans="2:10" ht="12.75" customHeight="1" x14ac:dyDescent="0.2">
      <c r="B1920" s="37"/>
      <c r="C1920" s="37" t="str">
        <f>IF(D1920="","",MATCH(D1920,Parametros!$B$4:$B$15,0))</f>
        <v/>
      </c>
      <c r="D1920" s="38"/>
      <c r="E1920" s="38"/>
      <c r="F1920" s="38"/>
      <c r="G1920" s="38"/>
      <c r="H1920" s="38"/>
      <c r="I1920" s="39"/>
      <c r="J1920" s="38"/>
    </row>
    <row r="1921" spans="2:10" ht="12.75" customHeight="1" x14ac:dyDescent="0.2">
      <c r="B1921" s="37"/>
      <c r="C1921" s="37" t="str">
        <f>IF(D1921="","",MATCH(D1921,Parametros!$B$4:$B$15,0))</f>
        <v/>
      </c>
      <c r="D1921" s="38"/>
      <c r="E1921" s="38"/>
      <c r="F1921" s="38"/>
      <c r="G1921" s="38"/>
      <c r="H1921" s="38"/>
      <c r="I1921" s="39"/>
      <c r="J1921" s="38"/>
    </row>
    <row r="1922" spans="2:10" ht="12.75" customHeight="1" x14ac:dyDescent="0.2">
      <c r="B1922" s="37"/>
      <c r="C1922" s="37" t="str">
        <f>IF(D1922="","",MATCH(D1922,Parametros!$B$4:$B$15,0))</f>
        <v/>
      </c>
      <c r="D1922" s="38"/>
      <c r="E1922" s="38"/>
      <c r="F1922" s="38"/>
      <c r="G1922" s="38"/>
      <c r="H1922" s="38"/>
      <c r="I1922" s="39"/>
      <c r="J1922" s="38"/>
    </row>
    <row r="1923" spans="2:10" ht="12.75" customHeight="1" x14ac:dyDescent="0.2">
      <c r="B1923" s="37"/>
      <c r="C1923" s="37" t="str">
        <f>IF(D1923="","",MATCH(D1923,Parametros!$B$4:$B$15,0))</f>
        <v/>
      </c>
      <c r="D1923" s="38"/>
      <c r="E1923" s="38"/>
      <c r="F1923" s="38"/>
      <c r="G1923" s="38"/>
      <c r="H1923" s="38"/>
      <c r="I1923" s="39"/>
      <c r="J1923" s="38"/>
    </row>
    <row r="1924" spans="2:10" ht="12.75" customHeight="1" x14ac:dyDescent="0.2">
      <c r="B1924" s="37"/>
      <c r="C1924" s="37" t="str">
        <f>IF(D1924="","",MATCH(D1924,Parametros!$B$4:$B$15,0))</f>
        <v/>
      </c>
      <c r="D1924" s="38"/>
      <c r="E1924" s="38"/>
      <c r="F1924" s="38"/>
      <c r="G1924" s="38"/>
      <c r="H1924" s="38"/>
      <c r="I1924" s="39"/>
      <c r="J1924" s="38"/>
    </row>
    <row r="1925" spans="2:10" ht="12.75" customHeight="1" x14ac:dyDescent="0.2">
      <c r="B1925" s="37"/>
      <c r="C1925" s="37" t="str">
        <f>IF(D1925="","",MATCH(D1925,Parametros!$B$4:$B$15,0))</f>
        <v/>
      </c>
      <c r="D1925" s="38"/>
      <c r="E1925" s="38"/>
      <c r="F1925" s="38"/>
      <c r="G1925" s="38"/>
      <c r="H1925" s="38"/>
      <c r="I1925" s="39"/>
      <c r="J1925" s="38"/>
    </row>
    <row r="1926" spans="2:10" ht="12.75" customHeight="1" x14ac:dyDescent="0.2">
      <c r="B1926" s="37"/>
      <c r="C1926" s="37" t="str">
        <f>IF(D1926="","",MATCH(D1926,Parametros!$B$4:$B$15,0))</f>
        <v/>
      </c>
      <c r="D1926" s="38"/>
      <c r="E1926" s="38"/>
      <c r="F1926" s="38"/>
      <c r="G1926" s="38"/>
      <c r="H1926" s="38"/>
      <c r="I1926" s="39"/>
      <c r="J1926" s="38"/>
    </row>
    <row r="1927" spans="2:10" ht="12.75" customHeight="1" x14ac:dyDescent="0.2">
      <c r="B1927" s="37"/>
      <c r="C1927" s="37" t="str">
        <f>IF(D1927="","",MATCH(D1927,Parametros!$B$4:$B$15,0))</f>
        <v/>
      </c>
      <c r="D1927" s="38"/>
      <c r="E1927" s="38"/>
      <c r="F1927" s="38"/>
      <c r="G1927" s="38"/>
      <c r="H1927" s="38"/>
      <c r="I1927" s="39"/>
      <c r="J1927" s="38"/>
    </row>
    <row r="1928" spans="2:10" ht="12.75" customHeight="1" x14ac:dyDescent="0.2">
      <c r="B1928" s="37"/>
      <c r="C1928" s="37" t="str">
        <f>IF(D1928="","",MATCH(D1928,Parametros!$B$4:$B$15,0))</f>
        <v/>
      </c>
      <c r="D1928" s="38"/>
      <c r="E1928" s="38"/>
      <c r="F1928" s="38"/>
      <c r="G1928" s="38"/>
      <c r="H1928" s="38"/>
      <c r="I1928" s="39"/>
      <c r="J1928" s="38"/>
    </row>
    <row r="1929" spans="2:10" ht="12.75" customHeight="1" x14ac:dyDescent="0.2">
      <c r="B1929" s="37"/>
      <c r="C1929" s="37" t="str">
        <f>IF(D1929="","",MATCH(D1929,Parametros!$B$4:$B$15,0))</f>
        <v/>
      </c>
      <c r="D1929" s="38"/>
      <c r="E1929" s="38"/>
      <c r="F1929" s="38"/>
      <c r="G1929" s="38"/>
      <c r="H1929" s="38"/>
      <c r="I1929" s="39"/>
      <c r="J1929" s="38"/>
    </row>
    <row r="1930" spans="2:10" ht="12.75" customHeight="1" x14ac:dyDescent="0.2">
      <c r="B1930" s="37"/>
      <c r="C1930" s="37" t="str">
        <f>IF(D1930="","",MATCH(D1930,Parametros!$B$4:$B$15,0))</f>
        <v/>
      </c>
      <c r="D1930" s="38"/>
      <c r="E1930" s="38"/>
      <c r="F1930" s="38"/>
      <c r="G1930" s="38"/>
      <c r="H1930" s="38"/>
      <c r="I1930" s="39"/>
      <c r="J1930" s="38"/>
    </row>
    <row r="1931" spans="2:10" ht="12.75" customHeight="1" x14ac:dyDescent="0.2">
      <c r="B1931" s="37"/>
      <c r="C1931" s="37" t="str">
        <f>IF(D1931="","",MATCH(D1931,Parametros!$B$4:$B$15,0))</f>
        <v/>
      </c>
      <c r="D1931" s="38"/>
      <c r="E1931" s="38"/>
      <c r="F1931" s="38"/>
      <c r="G1931" s="38"/>
      <c r="H1931" s="38"/>
      <c r="I1931" s="39"/>
      <c r="J1931" s="38"/>
    </row>
    <row r="1932" spans="2:10" ht="12.75" customHeight="1" x14ac:dyDescent="0.2">
      <c r="B1932" s="37"/>
      <c r="C1932" s="37" t="str">
        <f>IF(D1932="","",MATCH(D1932,Parametros!$B$4:$B$15,0))</f>
        <v/>
      </c>
      <c r="D1932" s="38"/>
      <c r="E1932" s="38"/>
      <c r="F1932" s="38"/>
      <c r="G1932" s="38"/>
      <c r="H1932" s="38"/>
      <c r="I1932" s="39"/>
      <c r="J1932" s="38"/>
    </row>
    <row r="1933" spans="2:10" ht="12.75" customHeight="1" x14ac:dyDescent="0.2">
      <c r="B1933" s="37"/>
      <c r="C1933" s="37" t="str">
        <f>IF(D1933="","",MATCH(D1933,Parametros!$B$4:$B$15,0))</f>
        <v/>
      </c>
      <c r="D1933" s="38"/>
      <c r="E1933" s="38"/>
      <c r="F1933" s="38"/>
      <c r="G1933" s="38"/>
      <c r="H1933" s="38"/>
      <c r="I1933" s="39"/>
      <c r="J1933" s="38"/>
    </row>
    <row r="1934" spans="2:10" ht="12.75" customHeight="1" x14ac:dyDescent="0.2">
      <c r="B1934" s="37"/>
      <c r="C1934" s="37" t="str">
        <f>IF(D1934="","",MATCH(D1934,Parametros!$B$4:$B$15,0))</f>
        <v/>
      </c>
      <c r="D1934" s="38"/>
      <c r="E1934" s="38"/>
      <c r="F1934" s="38"/>
      <c r="G1934" s="38"/>
      <c r="H1934" s="38"/>
      <c r="I1934" s="39"/>
      <c r="J1934" s="38"/>
    </row>
    <row r="1935" spans="2:10" ht="12.75" customHeight="1" x14ac:dyDescent="0.2">
      <c r="B1935" s="37"/>
      <c r="C1935" s="37" t="str">
        <f>IF(D1935="","",MATCH(D1935,Parametros!$B$4:$B$15,0))</f>
        <v/>
      </c>
      <c r="D1935" s="38"/>
      <c r="E1935" s="38"/>
      <c r="F1935" s="38"/>
      <c r="G1935" s="38"/>
      <c r="H1935" s="38"/>
      <c r="I1935" s="39"/>
      <c r="J1935" s="38"/>
    </row>
    <row r="1936" spans="2:10" ht="12.75" customHeight="1" x14ac:dyDescent="0.2">
      <c r="B1936" s="37"/>
      <c r="C1936" s="37" t="str">
        <f>IF(D1936="","",MATCH(D1936,Parametros!$B$4:$B$15,0))</f>
        <v/>
      </c>
      <c r="D1936" s="38"/>
      <c r="E1936" s="38"/>
      <c r="F1936" s="38"/>
      <c r="G1936" s="38"/>
      <c r="H1936" s="38"/>
      <c r="I1936" s="39"/>
      <c r="J1936" s="38"/>
    </row>
    <row r="1937" spans="2:10" ht="12.75" customHeight="1" x14ac:dyDescent="0.2">
      <c r="B1937" s="37"/>
      <c r="C1937" s="37" t="str">
        <f>IF(D1937="","",MATCH(D1937,Parametros!$B$4:$B$15,0))</f>
        <v/>
      </c>
      <c r="D1937" s="38"/>
      <c r="E1937" s="38"/>
      <c r="F1937" s="38"/>
      <c r="G1937" s="38"/>
      <c r="H1937" s="38"/>
      <c r="I1937" s="39"/>
      <c r="J1937" s="38"/>
    </row>
    <row r="1938" spans="2:10" ht="12.75" customHeight="1" x14ac:dyDescent="0.2">
      <c r="B1938" s="37"/>
      <c r="C1938" s="37" t="str">
        <f>IF(D1938="","",MATCH(D1938,Parametros!$B$4:$B$15,0))</f>
        <v/>
      </c>
      <c r="D1938" s="38"/>
      <c r="E1938" s="38"/>
      <c r="F1938" s="38"/>
      <c r="G1938" s="38"/>
      <c r="H1938" s="38"/>
      <c r="I1938" s="39"/>
      <c r="J1938" s="38"/>
    </row>
    <row r="1939" spans="2:10" ht="12.75" customHeight="1" x14ac:dyDescent="0.2">
      <c r="B1939" s="37"/>
      <c r="C1939" s="37" t="str">
        <f>IF(D1939="","",MATCH(D1939,Parametros!$B$4:$B$15,0))</f>
        <v/>
      </c>
      <c r="D1939" s="38"/>
      <c r="E1939" s="38"/>
      <c r="F1939" s="38"/>
      <c r="G1939" s="38"/>
      <c r="H1939" s="38"/>
      <c r="I1939" s="39"/>
      <c r="J1939" s="38"/>
    </row>
    <row r="1940" spans="2:10" ht="12.75" customHeight="1" x14ac:dyDescent="0.2">
      <c r="B1940" s="37"/>
      <c r="C1940" s="37" t="str">
        <f>IF(D1940="","",MATCH(D1940,Parametros!$B$4:$B$15,0))</f>
        <v/>
      </c>
      <c r="D1940" s="38"/>
      <c r="E1940" s="38"/>
      <c r="F1940" s="38"/>
      <c r="G1940" s="38"/>
      <c r="H1940" s="38"/>
      <c r="I1940" s="39"/>
      <c r="J1940" s="38"/>
    </row>
    <row r="1941" spans="2:10" ht="12.75" customHeight="1" x14ac:dyDescent="0.2">
      <c r="B1941" s="37"/>
      <c r="C1941" s="37" t="str">
        <f>IF(D1941="","",MATCH(D1941,Parametros!$B$4:$B$15,0))</f>
        <v/>
      </c>
      <c r="D1941" s="38"/>
      <c r="E1941" s="38"/>
      <c r="F1941" s="38"/>
      <c r="G1941" s="38"/>
      <c r="H1941" s="38"/>
      <c r="I1941" s="39"/>
      <c r="J1941" s="38"/>
    </row>
    <row r="1942" spans="2:10" ht="12.75" customHeight="1" x14ac:dyDescent="0.2">
      <c r="B1942" s="37"/>
      <c r="C1942" s="37" t="str">
        <f>IF(D1942="","",MATCH(D1942,Parametros!$B$4:$B$15,0))</f>
        <v/>
      </c>
      <c r="D1942" s="38"/>
      <c r="E1942" s="38"/>
      <c r="F1942" s="38"/>
      <c r="G1942" s="38"/>
      <c r="H1942" s="38"/>
      <c r="I1942" s="39"/>
      <c r="J1942" s="38"/>
    </row>
    <row r="1943" spans="2:10" ht="12.75" customHeight="1" x14ac:dyDescent="0.2">
      <c r="B1943" s="37"/>
      <c r="C1943" s="37" t="str">
        <f>IF(D1943="","",MATCH(D1943,Parametros!$B$4:$B$15,0))</f>
        <v/>
      </c>
      <c r="D1943" s="38"/>
      <c r="E1943" s="38"/>
      <c r="F1943" s="38"/>
      <c r="G1943" s="38"/>
      <c r="H1943" s="38"/>
      <c r="I1943" s="39"/>
      <c r="J1943" s="38"/>
    </row>
    <row r="1944" spans="2:10" ht="12.75" customHeight="1" x14ac:dyDescent="0.2">
      <c r="B1944" s="37"/>
      <c r="C1944" s="37" t="str">
        <f>IF(D1944="","",MATCH(D1944,Parametros!$B$4:$B$15,0))</f>
        <v/>
      </c>
      <c r="D1944" s="38"/>
      <c r="E1944" s="38"/>
      <c r="F1944" s="38"/>
      <c r="G1944" s="38"/>
      <c r="H1944" s="38"/>
      <c r="I1944" s="39"/>
      <c r="J1944" s="38"/>
    </row>
    <row r="1945" spans="2:10" ht="12.75" customHeight="1" x14ac:dyDescent="0.2">
      <c r="B1945" s="37"/>
      <c r="C1945" s="37" t="str">
        <f>IF(D1945="","",MATCH(D1945,Parametros!$B$4:$B$15,0))</f>
        <v/>
      </c>
      <c r="D1945" s="38"/>
      <c r="E1945" s="38"/>
      <c r="F1945" s="38"/>
      <c r="G1945" s="38"/>
      <c r="H1945" s="38"/>
      <c r="I1945" s="39"/>
      <c r="J1945" s="38"/>
    </row>
    <row r="1946" spans="2:10" ht="12.75" customHeight="1" x14ac:dyDescent="0.2">
      <c r="B1946" s="37"/>
      <c r="C1946" s="37" t="str">
        <f>IF(D1946="","",MATCH(D1946,Parametros!$B$4:$B$15,0))</f>
        <v/>
      </c>
      <c r="D1946" s="38"/>
      <c r="E1946" s="38"/>
      <c r="F1946" s="38"/>
      <c r="G1946" s="38"/>
      <c r="H1946" s="38"/>
      <c r="I1946" s="39"/>
      <c r="J1946" s="38"/>
    </row>
    <row r="1947" spans="2:10" ht="12.75" customHeight="1" x14ac:dyDescent="0.2">
      <c r="B1947" s="37"/>
      <c r="C1947" s="37" t="str">
        <f>IF(D1947="","",MATCH(D1947,Parametros!$B$4:$B$15,0))</f>
        <v/>
      </c>
      <c r="D1947" s="38"/>
      <c r="E1947" s="38"/>
      <c r="F1947" s="38"/>
      <c r="G1947" s="38"/>
      <c r="H1947" s="38"/>
      <c r="I1947" s="39"/>
      <c r="J1947" s="38"/>
    </row>
    <row r="1948" spans="2:10" ht="12.75" customHeight="1" x14ac:dyDescent="0.2">
      <c r="B1948" s="37"/>
      <c r="C1948" s="37" t="str">
        <f>IF(D1948="","",MATCH(D1948,Parametros!$B$4:$B$15,0))</f>
        <v/>
      </c>
      <c r="D1948" s="38"/>
      <c r="E1948" s="38"/>
      <c r="F1948" s="38"/>
      <c r="G1948" s="38"/>
      <c r="H1948" s="38"/>
      <c r="I1948" s="39"/>
      <c r="J1948" s="38"/>
    </row>
    <row r="1949" spans="2:10" ht="12.75" customHeight="1" x14ac:dyDescent="0.2">
      <c r="B1949" s="37"/>
      <c r="C1949" s="37" t="str">
        <f>IF(D1949="","",MATCH(D1949,Parametros!$B$4:$B$15,0))</f>
        <v/>
      </c>
      <c r="D1949" s="38"/>
      <c r="E1949" s="38"/>
      <c r="F1949" s="38"/>
      <c r="G1949" s="38"/>
      <c r="H1949" s="38"/>
      <c r="I1949" s="39"/>
      <c r="J1949" s="38"/>
    </row>
    <row r="1950" spans="2:10" ht="12.75" customHeight="1" x14ac:dyDescent="0.2">
      <c r="B1950" s="37"/>
      <c r="C1950" s="37" t="str">
        <f>IF(D1950="","",MATCH(D1950,Parametros!$B$4:$B$15,0))</f>
        <v/>
      </c>
      <c r="D1950" s="38"/>
      <c r="E1950" s="38"/>
      <c r="F1950" s="38"/>
      <c r="G1950" s="38"/>
      <c r="H1950" s="38"/>
      <c r="I1950" s="39"/>
      <c r="J1950" s="38"/>
    </row>
    <row r="1951" spans="2:10" ht="12.75" customHeight="1" x14ac:dyDescent="0.2">
      <c r="B1951" s="37"/>
      <c r="C1951" s="37" t="str">
        <f>IF(D1951="","",MATCH(D1951,Parametros!$B$4:$B$15,0))</f>
        <v/>
      </c>
      <c r="D1951" s="38"/>
      <c r="E1951" s="38"/>
      <c r="F1951" s="38"/>
      <c r="G1951" s="38"/>
      <c r="H1951" s="38"/>
      <c r="I1951" s="39"/>
      <c r="J1951" s="38"/>
    </row>
    <row r="1952" spans="2:10" ht="12.75" customHeight="1" x14ac:dyDescent="0.2">
      <c r="B1952" s="37"/>
      <c r="C1952" s="37" t="str">
        <f>IF(D1952="","",MATCH(D1952,Parametros!$B$4:$B$15,0))</f>
        <v/>
      </c>
      <c r="D1952" s="38"/>
      <c r="E1952" s="38"/>
      <c r="F1952" s="38"/>
      <c r="G1952" s="38"/>
      <c r="H1952" s="38"/>
      <c r="I1952" s="39"/>
      <c r="J1952" s="38"/>
    </row>
    <row r="1953" spans="2:10" ht="12.75" customHeight="1" x14ac:dyDescent="0.2">
      <c r="B1953" s="37"/>
      <c r="C1953" s="37" t="str">
        <f>IF(D1953="","",MATCH(D1953,Parametros!$B$4:$B$15,0))</f>
        <v/>
      </c>
      <c r="D1953" s="38"/>
      <c r="E1953" s="38"/>
      <c r="F1953" s="38"/>
      <c r="G1953" s="38"/>
      <c r="H1953" s="38"/>
      <c r="I1953" s="39"/>
      <c r="J1953" s="38"/>
    </row>
    <row r="1954" spans="2:10" ht="12.75" customHeight="1" x14ac:dyDescent="0.2">
      <c r="B1954" s="37"/>
      <c r="C1954" s="37" t="str">
        <f>IF(D1954="","",MATCH(D1954,Parametros!$B$4:$B$15,0))</f>
        <v/>
      </c>
      <c r="D1954" s="38"/>
      <c r="E1954" s="38"/>
      <c r="F1954" s="38"/>
      <c r="G1954" s="38"/>
      <c r="H1954" s="38"/>
      <c r="I1954" s="39"/>
      <c r="J1954" s="38"/>
    </row>
    <row r="1955" spans="2:10" ht="12.75" customHeight="1" x14ac:dyDescent="0.2">
      <c r="B1955" s="37"/>
      <c r="C1955" s="37" t="str">
        <f>IF(D1955="","",MATCH(D1955,Parametros!$B$4:$B$15,0))</f>
        <v/>
      </c>
      <c r="D1955" s="38"/>
      <c r="E1955" s="38"/>
      <c r="F1955" s="38"/>
      <c r="G1955" s="38"/>
      <c r="H1955" s="38"/>
      <c r="I1955" s="39"/>
      <c r="J1955" s="38"/>
    </row>
    <row r="1956" spans="2:10" ht="12.75" customHeight="1" x14ac:dyDescent="0.2">
      <c r="B1956" s="37"/>
      <c r="C1956" s="37" t="str">
        <f>IF(D1956="","",MATCH(D1956,Parametros!$B$4:$B$15,0))</f>
        <v/>
      </c>
      <c r="D1956" s="38"/>
      <c r="E1956" s="38"/>
      <c r="F1956" s="38"/>
      <c r="G1956" s="38"/>
      <c r="H1956" s="38"/>
      <c r="I1956" s="39"/>
      <c r="J1956" s="38"/>
    </row>
    <row r="1957" spans="2:10" ht="12.75" customHeight="1" x14ac:dyDescent="0.2">
      <c r="B1957" s="37"/>
      <c r="C1957" s="37" t="str">
        <f>IF(D1957="","",MATCH(D1957,Parametros!$B$4:$B$15,0))</f>
        <v/>
      </c>
      <c r="D1957" s="38"/>
      <c r="E1957" s="38"/>
      <c r="F1957" s="38"/>
      <c r="G1957" s="38"/>
      <c r="H1957" s="38"/>
      <c r="I1957" s="39"/>
      <c r="J1957" s="38"/>
    </row>
    <row r="1958" spans="2:10" ht="12.75" customHeight="1" x14ac:dyDescent="0.2">
      <c r="B1958" s="37"/>
      <c r="C1958" s="37" t="str">
        <f>IF(D1958="","",MATCH(D1958,Parametros!$B$4:$B$15,0))</f>
        <v/>
      </c>
      <c r="D1958" s="38"/>
      <c r="E1958" s="38"/>
      <c r="F1958" s="38"/>
      <c r="G1958" s="38"/>
      <c r="H1958" s="38"/>
      <c r="I1958" s="39"/>
      <c r="J1958" s="38"/>
    </row>
    <row r="1959" spans="2:10" ht="12.75" customHeight="1" x14ac:dyDescent="0.2">
      <c r="B1959" s="37"/>
      <c r="C1959" s="37" t="str">
        <f>IF(D1959="","",MATCH(D1959,Parametros!$B$4:$B$15,0))</f>
        <v/>
      </c>
      <c r="D1959" s="38"/>
      <c r="E1959" s="38"/>
      <c r="F1959" s="38"/>
      <c r="G1959" s="38"/>
      <c r="H1959" s="38"/>
      <c r="I1959" s="39"/>
      <c r="J1959" s="38"/>
    </row>
    <row r="1960" spans="2:10" ht="12.75" customHeight="1" x14ac:dyDescent="0.2">
      <c r="B1960" s="37"/>
      <c r="C1960" s="37" t="str">
        <f>IF(D1960="","",MATCH(D1960,Parametros!$B$4:$B$15,0))</f>
        <v/>
      </c>
      <c r="D1960" s="38"/>
      <c r="E1960" s="38"/>
      <c r="F1960" s="38"/>
      <c r="G1960" s="38"/>
      <c r="H1960" s="38"/>
      <c r="I1960" s="39"/>
      <c r="J1960" s="38"/>
    </row>
    <row r="1961" spans="2:10" ht="12.75" customHeight="1" x14ac:dyDescent="0.2">
      <c r="B1961" s="37"/>
      <c r="C1961" s="37" t="str">
        <f>IF(D1961="","",MATCH(D1961,Parametros!$B$4:$B$15,0))</f>
        <v/>
      </c>
      <c r="D1961" s="38"/>
      <c r="E1961" s="38"/>
      <c r="F1961" s="38"/>
      <c r="G1961" s="38"/>
      <c r="H1961" s="38"/>
      <c r="I1961" s="39"/>
      <c r="J1961" s="38"/>
    </row>
    <row r="1962" spans="2:10" ht="12.75" customHeight="1" x14ac:dyDescent="0.2">
      <c r="B1962" s="37"/>
      <c r="C1962" s="37" t="str">
        <f>IF(D1962="","",MATCH(D1962,Parametros!$B$4:$B$15,0))</f>
        <v/>
      </c>
      <c r="D1962" s="38"/>
      <c r="E1962" s="38"/>
      <c r="F1962" s="38"/>
      <c r="G1962" s="38"/>
      <c r="H1962" s="38"/>
      <c r="I1962" s="39"/>
      <c r="J1962" s="38"/>
    </row>
    <row r="1963" spans="2:10" ht="12.75" customHeight="1" x14ac:dyDescent="0.2">
      <c r="B1963" s="37"/>
      <c r="C1963" s="37" t="str">
        <f>IF(D1963="","",MATCH(D1963,Parametros!$B$4:$B$15,0))</f>
        <v/>
      </c>
      <c r="D1963" s="38"/>
      <c r="E1963" s="38"/>
      <c r="F1963" s="38"/>
      <c r="G1963" s="38"/>
      <c r="H1963" s="38"/>
      <c r="I1963" s="39"/>
      <c r="J1963" s="38"/>
    </row>
    <row r="1964" spans="2:10" ht="12.75" customHeight="1" x14ac:dyDescent="0.2">
      <c r="B1964" s="37"/>
      <c r="C1964" s="37" t="str">
        <f>IF(D1964="","",MATCH(D1964,Parametros!$B$4:$B$15,0))</f>
        <v/>
      </c>
      <c r="D1964" s="38"/>
      <c r="E1964" s="38"/>
      <c r="F1964" s="38"/>
      <c r="G1964" s="38"/>
      <c r="H1964" s="38"/>
      <c r="I1964" s="39"/>
      <c r="J1964" s="38"/>
    </row>
    <row r="1965" spans="2:10" ht="12.75" customHeight="1" x14ac:dyDescent="0.2">
      <c r="B1965" s="37"/>
      <c r="C1965" s="37" t="str">
        <f>IF(D1965="","",MATCH(D1965,Parametros!$B$4:$B$15,0))</f>
        <v/>
      </c>
      <c r="D1965" s="38"/>
      <c r="E1965" s="38"/>
      <c r="F1965" s="38"/>
      <c r="G1965" s="38"/>
      <c r="H1965" s="38"/>
      <c r="I1965" s="39"/>
      <c r="J1965" s="38"/>
    </row>
    <row r="1966" spans="2:10" ht="12.75" customHeight="1" x14ac:dyDescent="0.2">
      <c r="B1966" s="37"/>
      <c r="C1966" s="37" t="str">
        <f>IF(D1966="","",MATCH(D1966,Parametros!$B$4:$B$15,0))</f>
        <v/>
      </c>
      <c r="D1966" s="38"/>
      <c r="E1966" s="38"/>
      <c r="F1966" s="38"/>
      <c r="G1966" s="38"/>
      <c r="H1966" s="38"/>
      <c r="I1966" s="39"/>
      <c r="J1966" s="38"/>
    </row>
    <row r="1967" spans="2:10" ht="12.75" customHeight="1" x14ac:dyDescent="0.2">
      <c r="B1967" s="37"/>
      <c r="C1967" s="37" t="str">
        <f>IF(D1967="","",MATCH(D1967,Parametros!$B$4:$B$15,0))</f>
        <v/>
      </c>
      <c r="D1967" s="38"/>
      <c r="E1967" s="38"/>
      <c r="F1967" s="38"/>
      <c r="G1967" s="38"/>
      <c r="H1967" s="38"/>
      <c r="I1967" s="39"/>
      <c r="J1967" s="38"/>
    </row>
    <row r="1968" spans="2:10" ht="12.75" customHeight="1" x14ac:dyDescent="0.2">
      <c r="B1968" s="37"/>
      <c r="C1968" s="37" t="str">
        <f>IF(D1968="","",MATCH(D1968,Parametros!$B$4:$B$15,0))</f>
        <v/>
      </c>
      <c r="D1968" s="38"/>
      <c r="E1968" s="38"/>
      <c r="F1968" s="38"/>
      <c r="G1968" s="38"/>
      <c r="H1968" s="38"/>
      <c r="I1968" s="39"/>
      <c r="J1968" s="38"/>
    </row>
    <row r="1969" spans="2:10" ht="12.75" customHeight="1" x14ac:dyDescent="0.2">
      <c r="B1969" s="37"/>
      <c r="C1969" s="37" t="str">
        <f>IF(D1969="","",MATCH(D1969,Parametros!$B$4:$B$15,0))</f>
        <v/>
      </c>
      <c r="D1969" s="38"/>
      <c r="E1969" s="38"/>
      <c r="F1969" s="38"/>
      <c r="G1969" s="38"/>
      <c r="H1969" s="38"/>
      <c r="I1969" s="39"/>
      <c r="J1969" s="38"/>
    </row>
    <row r="1970" spans="2:10" ht="12.75" customHeight="1" x14ac:dyDescent="0.2">
      <c r="B1970" s="37"/>
      <c r="C1970" s="37" t="str">
        <f>IF(D1970="","",MATCH(D1970,Parametros!$B$4:$B$15,0))</f>
        <v/>
      </c>
      <c r="D1970" s="38"/>
      <c r="E1970" s="38"/>
      <c r="F1970" s="38"/>
      <c r="G1970" s="38"/>
      <c r="H1970" s="38"/>
      <c r="I1970" s="39"/>
      <c r="J1970" s="38"/>
    </row>
    <row r="1971" spans="2:10" ht="12.75" customHeight="1" x14ac:dyDescent="0.2">
      <c r="B1971" s="37"/>
      <c r="C1971" s="37" t="str">
        <f>IF(D1971="","",MATCH(D1971,Parametros!$B$4:$B$15,0))</f>
        <v/>
      </c>
      <c r="D1971" s="38"/>
      <c r="E1971" s="38"/>
      <c r="F1971" s="38"/>
      <c r="G1971" s="38"/>
      <c r="H1971" s="38"/>
      <c r="I1971" s="39"/>
      <c r="J1971" s="38"/>
    </row>
    <row r="1972" spans="2:10" ht="12.75" customHeight="1" x14ac:dyDescent="0.2">
      <c r="B1972" s="37"/>
      <c r="C1972" s="37" t="str">
        <f>IF(D1972="","",MATCH(D1972,Parametros!$B$4:$B$15,0))</f>
        <v/>
      </c>
      <c r="D1972" s="38"/>
      <c r="E1972" s="38"/>
      <c r="F1972" s="38"/>
      <c r="G1972" s="38"/>
      <c r="H1972" s="38"/>
      <c r="I1972" s="39"/>
      <c r="J1972" s="38"/>
    </row>
    <row r="1973" spans="2:10" ht="12.75" customHeight="1" x14ac:dyDescent="0.2">
      <c r="B1973" s="37"/>
      <c r="C1973" s="37" t="str">
        <f>IF(D1973="","",MATCH(D1973,Parametros!$B$4:$B$15,0))</f>
        <v/>
      </c>
      <c r="D1973" s="38"/>
      <c r="E1973" s="38"/>
      <c r="F1973" s="38"/>
      <c r="G1973" s="38"/>
      <c r="H1973" s="38"/>
      <c r="I1973" s="39"/>
      <c r="J1973" s="38"/>
    </row>
    <row r="1974" spans="2:10" ht="12.75" customHeight="1" x14ac:dyDescent="0.2">
      <c r="B1974" s="37"/>
      <c r="C1974" s="37" t="str">
        <f>IF(D1974="","",MATCH(D1974,Parametros!$B$4:$B$15,0))</f>
        <v/>
      </c>
      <c r="D1974" s="38"/>
      <c r="E1974" s="38"/>
      <c r="F1974" s="38"/>
      <c r="G1974" s="38"/>
      <c r="H1974" s="38"/>
      <c r="I1974" s="39"/>
      <c r="J1974" s="38"/>
    </row>
    <row r="1975" spans="2:10" ht="12.75" customHeight="1" x14ac:dyDescent="0.2">
      <c r="B1975" s="37"/>
      <c r="C1975" s="37" t="str">
        <f>IF(D1975="","",MATCH(D1975,Parametros!$B$4:$B$15,0))</f>
        <v/>
      </c>
      <c r="D1975" s="38"/>
      <c r="E1975" s="38"/>
      <c r="F1975" s="38"/>
      <c r="G1975" s="38"/>
      <c r="H1975" s="38"/>
      <c r="I1975" s="39"/>
      <c r="J1975" s="38"/>
    </row>
    <row r="1976" spans="2:10" ht="12.75" customHeight="1" x14ac:dyDescent="0.2">
      <c r="B1976" s="37"/>
      <c r="C1976" s="37" t="str">
        <f>IF(D1976="","",MATCH(D1976,Parametros!$B$4:$B$15,0))</f>
        <v/>
      </c>
      <c r="D1976" s="38"/>
      <c r="E1976" s="38"/>
      <c r="F1976" s="38"/>
      <c r="G1976" s="38"/>
      <c r="H1976" s="38"/>
      <c r="I1976" s="39"/>
      <c r="J1976" s="38"/>
    </row>
    <row r="1977" spans="2:10" ht="12.75" customHeight="1" x14ac:dyDescent="0.2">
      <c r="B1977" s="37"/>
      <c r="C1977" s="37" t="str">
        <f>IF(D1977="","",MATCH(D1977,Parametros!$B$4:$B$15,0))</f>
        <v/>
      </c>
      <c r="D1977" s="38"/>
      <c r="E1977" s="38"/>
      <c r="F1977" s="38"/>
      <c r="G1977" s="38"/>
      <c r="H1977" s="38"/>
      <c r="I1977" s="39"/>
      <c r="J1977" s="38"/>
    </row>
    <row r="1978" spans="2:10" ht="12.75" customHeight="1" x14ac:dyDescent="0.2">
      <c r="B1978" s="37"/>
      <c r="C1978" s="37" t="str">
        <f>IF(D1978="","",MATCH(D1978,Parametros!$B$4:$B$15,0))</f>
        <v/>
      </c>
      <c r="D1978" s="38"/>
      <c r="E1978" s="38"/>
      <c r="F1978" s="38"/>
      <c r="G1978" s="38"/>
      <c r="H1978" s="38"/>
      <c r="I1978" s="39"/>
      <c r="J1978" s="38"/>
    </row>
    <row r="1979" spans="2:10" ht="12.75" customHeight="1" x14ac:dyDescent="0.2">
      <c r="B1979" s="37"/>
      <c r="C1979" s="37" t="str">
        <f>IF(D1979="","",MATCH(D1979,Parametros!$B$4:$B$15,0))</f>
        <v/>
      </c>
      <c r="D1979" s="38"/>
      <c r="E1979" s="38"/>
      <c r="F1979" s="38"/>
      <c r="G1979" s="38"/>
      <c r="H1979" s="38"/>
      <c r="I1979" s="39"/>
      <c r="J1979" s="38"/>
    </row>
    <row r="1980" spans="2:10" ht="12.75" customHeight="1" x14ac:dyDescent="0.2">
      <c r="B1980" s="37"/>
      <c r="C1980" s="37" t="str">
        <f>IF(D1980="","",MATCH(D1980,Parametros!$B$4:$B$15,0))</f>
        <v/>
      </c>
      <c r="D1980" s="38"/>
      <c r="E1980" s="38"/>
      <c r="F1980" s="38"/>
      <c r="G1980" s="38"/>
      <c r="H1980" s="38"/>
      <c r="I1980" s="39"/>
      <c r="J1980" s="38"/>
    </row>
    <row r="1981" spans="2:10" ht="12.75" customHeight="1" x14ac:dyDescent="0.2">
      <c r="B1981" s="37"/>
      <c r="C1981" s="37" t="str">
        <f>IF(D1981="","",MATCH(D1981,Parametros!$B$4:$B$15,0))</f>
        <v/>
      </c>
      <c r="D1981" s="38"/>
      <c r="E1981" s="38"/>
      <c r="F1981" s="38"/>
      <c r="G1981" s="38"/>
      <c r="H1981" s="38"/>
      <c r="I1981" s="39"/>
      <c r="J1981" s="38"/>
    </row>
    <row r="1982" spans="2:10" ht="12.75" customHeight="1" x14ac:dyDescent="0.2">
      <c r="B1982" s="37"/>
      <c r="C1982" s="37" t="str">
        <f>IF(D1982="","",MATCH(D1982,Parametros!$B$4:$B$15,0))</f>
        <v/>
      </c>
      <c r="D1982" s="38"/>
      <c r="E1982" s="38"/>
      <c r="F1982" s="38"/>
      <c r="G1982" s="38"/>
      <c r="H1982" s="38"/>
      <c r="I1982" s="39"/>
      <c r="J1982" s="38"/>
    </row>
    <row r="1983" spans="2:10" ht="12.75" customHeight="1" x14ac:dyDescent="0.2">
      <c r="B1983" s="37"/>
      <c r="C1983" s="37" t="str">
        <f>IF(D1983="","",MATCH(D1983,Parametros!$B$4:$B$15,0))</f>
        <v/>
      </c>
      <c r="D1983" s="38"/>
      <c r="E1983" s="38"/>
      <c r="F1983" s="38"/>
      <c r="G1983" s="38"/>
      <c r="H1983" s="38"/>
      <c r="I1983" s="39"/>
      <c r="J1983" s="38"/>
    </row>
    <row r="1984" spans="2:10" ht="12.75" customHeight="1" x14ac:dyDescent="0.2">
      <c r="B1984" s="37"/>
      <c r="C1984" s="37" t="str">
        <f>IF(D1984="","",MATCH(D1984,Parametros!$B$4:$B$15,0))</f>
        <v/>
      </c>
      <c r="D1984" s="38"/>
      <c r="E1984" s="38"/>
      <c r="F1984" s="38"/>
      <c r="G1984" s="38"/>
      <c r="H1984" s="38"/>
      <c r="I1984" s="39"/>
      <c r="J1984" s="38"/>
    </row>
    <row r="1985" spans="2:10" ht="12.75" customHeight="1" x14ac:dyDescent="0.2">
      <c r="B1985" s="37"/>
      <c r="C1985" s="37" t="str">
        <f>IF(D1985="","",MATCH(D1985,Parametros!$B$4:$B$15,0))</f>
        <v/>
      </c>
      <c r="D1985" s="38"/>
      <c r="E1985" s="38"/>
      <c r="F1985" s="38"/>
      <c r="G1985" s="38"/>
      <c r="H1985" s="38"/>
      <c r="I1985" s="39"/>
      <c r="J1985" s="38"/>
    </row>
    <row r="1986" spans="2:10" ht="12.75" customHeight="1" x14ac:dyDescent="0.2">
      <c r="B1986" s="37"/>
      <c r="C1986" s="37" t="str">
        <f>IF(D1986="","",MATCH(D1986,Parametros!$B$4:$B$15,0))</f>
        <v/>
      </c>
      <c r="D1986" s="38"/>
      <c r="E1986" s="38"/>
      <c r="F1986" s="38"/>
      <c r="G1986" s="38"/>
      <c r="H1986" s="38"/>
      <c r="I1986" s="39"/>
      <c r="J1986" s="38"/>
    </row>
    <row r="1987" spans="2:10" ht="12.75" customHeight="1" x14ac:dyDescent="0.2">
      <c r="B1987" s="37"/>
      <c r="C1987" s="37" t="str">
        <f>IF(D1987="","",MATCH(D1987,Parametros!$B$4:$B$15,0))</f>
        <v/>
      </c>
      <c r="D1987" s="38"/>
      <c r="E1987" s="38"/>
      <c r="F1987" s="38"/>
      <c r="G1987" s="38"/>
      <c r="H1987" s="38"/>
      <c r="I1987" s="39"/>
      <c r="J1987" s="38"/>
    </row>
    <row r="1988" spans="2:10" ht="12.75" customHeight="1" x14ac:dyDescent="0.2">
      <c r="B1988" s="37"/>
      <c r="C1988" s="37" t="str">
        <f>IF(D1988="","",MATCH(D1988,Parametros!$B$4:$B$15,0))</f>
        <v/>
      </c>
      <c r="D1988" s="38"/>
      <c r="E1988" s="38"/>
      <c r="F1988" s="38"/>
      <c r="G1988" s="38"/>
      <c r="H1988" s="38"/>
      <c r="I1988" s="39"/>
      <c r="J1988" s="38"/>
    </row>
    <row r="1989" spans="2:10" ht="12.75" customHeight="1" x14ac:dyDescent="0.2">
      <c r="B1989" s="37"/>
      <c r="C1989" s="37" t="str">
        <f>IF(D1989="","",MATCH(D1989,Parametros!$B$4:$B$15,0))</f>
        <v/>
      </c>
      <c r="D1989" s="38"/>
      <c r="E1989" s="38"/>
      <c r="F1989" s="38"/>
      <c r="G1989" s="38"/>
      <c r="H1989" s="38"/>
      <c r="I1989" s="39"/>
      <c r="J1989" s="38"/>
    </row>
    <row r="1990" spans="2:10" ht="12.75" customHeight="1" x14ac:dyDescent="0.2">
      <c r="B1990" s="37"/>
      <c r="C1990" s="37" t="str">
        <f>IF(D1990="","",MATCH(D1990,Parametros!$B$4:$B$15,0))</f>
        <v/>
      </c>
      <c r="D1990" s="38"/>
      <c r="E1990" s="38"/>
      <c r="F1990" s="38"/>
      <c r="G1990" s="38"/>
      <c r="H1990" s="38"/>
      <c r="I1990" s="39"/>
      <c r="J1990" s="38"/>
    </row>
    <row r="1991" spans="2:10" ht="12.75" customHeight="1" x14ac:dyDescent="0.2">
      <c r="B1991" s="37"/>
      <c r="C1991" s="37" t="str">
        <f>IF(D1991="","",MATCH(D1991,Parametros!$B$4:$B$15,0))</f>
        <v/>
      </c>
      <c r="D1991" s="38"/>
      <c r="E1991" s="38"/>
      <c r="F1991" s="38"/>
      <c r="G1991" s="38"/>
      <c r="H1991" s="38"/>
      <c r="I1991" s="39"/>
      <c r="J1991" s="38"/>
    </row>
    <row r="1992" spans="2:10" ht="12.75" customHeight="1" x14ac:dyDescent="0.2">
      <c r="B1992" s="37"/>
      <c r="C1992" s="37" t="str">
        <f>IF(D1992="","",MATCH(D1992,Parametros!$B$4:$B$15,0))</f>
        <v/>
      </c>
      <c r="D1992" s="38"/>
      <c r="E1992" s="38"/>
      <c r="F1992" s="38"/>
      <c r="G1992" s="38"/>
      <c r="H1992" s="38"/>
      <c r="I1992" s="39"/>
      <c r="J1992" s="38"/>
    </row>
    <row r="1993" spans="2:10" ht="12.75" customHeight="1" x14ac:dyDescent="0.2">
      <c r="B1993" s="37"/>
      <c r="C1993" s="37" t="str">
        <f>IF(D1993="","",MATCH(D1993,Parametros!$B$4:$B$15,0))</f>
        <v/>
      </c>
      <c r="D1993" s="38"/>
      <c r="E1993" s="38"/>
      <c r="F1993" s="38"/>
      <c r="G1993" s="38"/>
      <c r="H1993" s="38"/>
      <c r="I1993" s="39"/>
      <c r="J1993" s="38"/>
    </row>
    <row r="1994" spans="2:10" ht="12.75" customHeight="1" x14ac:dyDescent="0.2">
      <c r="B1994" s="37"/>
      <c r="C1994" s="37" t="str">
        <f>IF(D1994="","",MATCH(D1994,Parametros!$B$4:$B$15,0))</f>
        <v/>
      </c>
      <c r="D1994" s="38"/>
      <c r="E1994" s="38"/>
      <c r="F1994" s="38"/>
      <c r="G1994" s="38"/>
      <c r="H1994" s="38"/>
      <c r="I1994" s="39"/>
      <c r="J1994" s="38"/>
    </row>
    <row r="1995" spans="2:10" ht="12.75" customHeight="1" x14ac:dyDescent="0.2">
      <c r="B1995" s="37"/>
      <c r="C1995" s="37" t="str">
        <f>IF(D1995="","",MATCH(D1995,Parametros!$B$4:$B$15,0))</f>
        <v/>
      </c>
      <c r="D1995" s="38"/>
      <c r="E1995" s="38"/>
      <c r="F1995" s="38"/>
      <c r="G1995" s="38"/>
      <c r="H1995" s="38"/>
      <c r="I1995" s="39"/>
      <c r="J1995" s="38"/>
    </row>
    <row r="1996" spans="2:10" ht="12.75" customHeight="1" x14ac:dyDescent="0.2">
      <c r="B1996" s="37"/>
      <c r="C1996" s="37" t="str">
        <f>IF(D1996="","",MATCH(D1996,Parametros!$B$4:$B$15,0))</f>
        <v/>
      </c>
      <c r="D1996" s="38"/>
      <c r="E1996" s="38"/>
      <c r="F1996" s="38"/>
      <c r="G1996" s="38"/>
      <c r="H1996" s="38"/>
      <c r="I1996" s="39"/>
      <c r="J1996" s="38"/>
    </row>
    <row r="1997" spans="2:10" ht="12.75" customHeight="1" x14ac:dyDescent="0.2">
      <c r="B1997" s="37"/>
      <c r="C1997" s="37" t="str">
        <f>IF(D1997="","",MATCH(D1997,Parametros!$B$4:$B$15,0))</f>
        <v/>
      </c>
      <c r="D1997" s="38"/>
      <c r="E1997" s="38"/>
      <c r="F1997" s="38"/>
      <c r="G1997" s="38"/>
      <c r="H1997" s="38"/>
      <c r="I1997" s="39"/>
      <c r="J1997" s="38"/>
    </row>
    <row r="1998" spans="2:10" ht="12.75" customHeight="1" x14ac:dyDescent="0.2">
      <c r="B1998" s="37"/>
      <c r="C1998" s="37" t="str">
        <f>IF(D1998="","",MATCH(D1998,Parametros!$B$4:$B$15,0))</f>
        <v/>
      </c>
      <c r="D1998" s="38"/>
      <c r="E1998" s="38"/>
      <c r="F1998" s="38"/>
      <c r="G1998" s="38"/>
      <c r="H1998" s="38"/>
      <c r="I1998" s="39"/>
      <c r="J1998" s="38"/>
    </row>
    <row r="1999" spans="2:10" ht="12.75" customHeight="1" x14ac:dyDescent="0.2">
      <c r="B1999" s="37"/>
      <c r="C1999" s="37" t="str">
        <f>IF(D1999="","",MATCH(D1999,Parametros!$B$4:$B$15,0))</f>
        <v/>
      </c>
      <c r="D1999" s="38"/>
      <c r="E1999" s="38"/>
      <c r="F1999" s="38"/>
      <c r="G1999" s="38"/>
      <c r="H1999" s="38"/>
      <c r="I1999" s="39"/>
      <c r="J1999" s="38"/>
    </row>
    <row r="2000" spans="2:10" ht="12.75" customHeight="1" x14ac:dyDescent="0.2">
      <c r="B2000" s="37"/>
      <c r="C2000" s="37" t="str">
        <f>IF(D2000="","",MATCH(D2000,Parametros!$B$4:$B$15,0))</f>
        <v/>
      </c>
      <c r="D2000" s="38"/>
      <c r="E2000" s="38"/>
      <c r="F2000" s="38"/>
      <c r="G2000" s="38"/>
      <c r="H2000" s="38"/>
      <c r="I2000" s="39"/>
      <c r="J2000" s="38"/>
    </row>
    <row r="2001" spans="2:10" x14ac:dyDescent="0.2">
      <c r="B2001" s="40"/>
      <c r="C2001" s="40"/>
      <c r="D2001" s="40"/>
      <c r="E2001" s="40"/>
      <c r="F2001" s="40"/>
      <c r="G2001" s="40"/>
      <c r="H2001" s="40"/>
      <c r="I2001" s="40"/>
      <c r="J2001" s="40"/>
    </row>
    <row r="2002" spans="2:10" x14ac:dyDescent="0.2">
      <c r="B2002" s="40"/>
      <c r="C2002" s="40"/>
      <c r="D2002" s="40"/>
      <c r="E2002" s="40"/>
      <c r="F2002" s="40"/>
      <c r="G2002" s="40"/>
      <c r="H2002" s="40"/>
      <c r="I2002" s="40"/>
      <c r="J2002" s="40"/>
    </row>
    <row r="2003" spans="2:10" x14ac:dyDescent="0.2">
      <c r="B2003" s="40"/>
      <c r="C2003" s="40"/>
      <c r="D2003" s="40"/>
      <c r="E2003" s="40"/>
      <c r="F2003" s="40"/>
      <c r="G2003" s="40"/>
      <c r="H2003" s="40"/>
      <c r="I2003" s="40"/>
      <c r="J2003" s="40"/>
    </row>
    <row r="2004" spans="2:10" x14ac:dyDescent="0.2">
      <c r="B2004" s="40"/>
      <c r="C2004" s="40"/>
      <c r="D2004" s="40"/>
      <c r="E2004" s="40"/>
      <c r="F2004" s="40"/>
      <c r="G2004" s="40"/>
      <c r="H2004" s="40"/>
      <c r="I2004" s="40"/>
      <c r="J2004" s="40"/>
    </row>
    <row r="2005" spans="2:10" x14ac:dyDescent="0.2">
      <c r="B2005" s="40"/>
      <c r="C2005" s="40"/>
      <c r="D2005" s="40"/>
      <c r="E2005" s="40"/>
      <c r="F2005" s="40"/>
      <c r="G2005" s="40"/>
      <c r="H2005" s="40"/>
      <c r="I2005" s="40"/>
      <c r="J2005" s="40"/>
    </row>
    <row r="2006" spans="2:10" x14ac:dyDescent="0.2">
      <c r="B2006" s="40"/>
      <c r="C2006" s="40"/>
      <c r="D2006" s="40"/>
      <c r="E2006" s="40"/>
      <c r="F2006" s="40"/>
      <c r="G2006" s="40"/>
      <c r="H2006" s="40"/>
      <c r="I2006" s="40"/>
      <c r="J2006" s="40"/>
    </row>
    <row r="2007" spans="2:10" x14ac:dyDescent="0.2">
      <c r="B2007" s="40"/>
      <c r="C2007" s="40"/>
      <c r="D2007" s="40"/>
      <c r="E2007" s="40"/>
      <c r="F2007" s="40"/>
      <c r="G2007" s="40"/>
      <c r="H2007" s="40"/>
      <c r="I2007" s="40"/>
      <c r="J2007" s="40"/>
    </row>
    <row r="2008" spans="2:10" x14ac:dyDescent="0.2">
      <c r="B2008" s="40"/>
      <c r="C2008" s="40"/>
      <c r="D2008" s="40"/>
      <c r="E2008" s="40"/>
      <c r="F2008" s="40"/>
      <c r="G2008" s="40"/>
      <c r="H2008" s="40"/>
      <c r="I2008" s="40"/>
      <c r="J2008" s="40"/>
    </row>
    <row r="2009" spans="2:10" x14ac:dyDescent="0.2">
      <c r="B2009" s="40"/>
      <c r="C2009" s="40"/>
      <c r="D2009" s="40"/>
      <c r="E2009" s="40"/>
      <c r="F2009" s="40"/>
      <c r="G2009" s="40"/>
      <c r="H2009" s="40"/>
      <c r="I2009" s="40"/>
      <c r="J2009" s="40"/>
    </row>
    <row r="2010" spans="2:10" x14ac:dyDescent="0.2">
      <c r="B2010" s="40"/>
      <c r="C2010" s="40"/>
      <c r="D2010" s="40"/>
      <c r="E2010" s="40"/>
      <c r="F2010" s="40"/>
      <c r="G2010" s="40"/>
      <c r="H2010" s="40"/>
      <c r="I2010" s="40"/>
      <c r="J2010" s="40"/>
    </row>
    <row r="2011" spans="2:10" x14ac:dyDescent="0.2">
      <c r="B2011" s="40"/>
      <c r="C2011" s="40"/>
      <c r="D2011" s="40"/>
      <c r="E2011" s="40"/>
      <c r="F2011" s="40"/>
      <c r="G2011" s="40"/>
      <c r="H2011" s="40"/>
      <c r="I2011" s="40"/>
      <c r="J2011" s="40"/>
    </row>
    <row r="2012" spans="2:10" x14ac:dyDescent="0.2">
      <c r="B2012" s="40"/>
      <c r="C2012" s="40"/>
      <c r="D2012" s="40"/>
      <c r="E2012" s="40"/>
      <c r="F2012" s="40"/>
      <c r="G2012" s="40"/>
      <c r="H2012" s="40"/>
      <c r="I2012" s="40"/>
      <c r="J2012" s="40"/>
    </row>
    <row r="2013" spans="2:10" x14ac:dyDescent="0.2">
      <c r="B2013" s="40"/>
      <c r="C2013" s="40"/>
      <c r="D2013" s="40"/>
      <c r="E2013" s="40"/>
      <c r="F2013" s="40"/>
      <c r="G2013" s="40"/>
      <c r="H2013" s="40"/>
      <c r="I2013" s="40"/>
      <c r="J2013" s="40"/>
    </row>
    <row r="2014" spans="2:10" x14ac:dyDescent="0.2">
      <c r="B2014" s="40"/>
      <c r="C2014" s="40"/>
      <c r="D2014" s="40"/>
      <c r="E2014" s="40"/>
      <c r="F2014" s="40"/>
      <c r="G2014" s="40"/>
      <c r="H2014" s="40"/>
      <c r="I2014" s="40"/>
      <c r="J2014" s="40"/>
    </row>
    <row r="2015" spans="2:10" x14ac:dyDescent="0.2">
      <c r="B2015" s="40"/>
      <c r="C2015" s="40"/>
      <c r="D2015" s="40"/>
      <c r="E2015" s="40"/>
      <c r="F2015" s="40"/>
      <c r="G2015" s="40"/>
      <c r="H2015" s="40"/>
      <c r="I2015" s="40"/>
      <c r="J2015" s="40"/>
    </row>
    <row r="2016" spans="2:10" x14ac:dyDescent="0.2">
      <c r="B2016" s="40"/>
      <c r="C2016" s="40"/>
      <c r="D2016" s="40"/>
      <c r="E2016" s="40"/>
      <c r="F2016" s="40"/>
      <c r="G2016" s="40"/>
      <c r="H2016" s="40"/>
      <c r="I2016" s="40"/>
      <c r="J2016" s="40"/>
    </row>
    <row r="2017" spans="2:10" x14ac:dyDescent="0.2">
      <c r="B2017" s="40"/>
      <c r="C2017" s="40"/>
      <c r="D2017" s="40"/>
      <c r="E2017" s="40"/>
      <c r="F2017" s="40"/>
      <c r="G2017" s="40"/>
      <c r="H2017" s="40"/>
      <c r="I2017" s="40"/>
      <c r="J2017" s="40"/>
    </row>
    <row r="2018" spans="2:10" x14ac:dyDescent="0.2">
      <c r="B2018" s="40"/>
      <c r="C2018" s="40"/>
      <c r="D2018" s="40"/>
      <c r="E2018" s="40"/>
      <c r="F2018" s="40"/>
      <c r="G2018" s="40"/>
      <c r="H2018" s="40"/>
      <c r="I2018" s="40"/>
      <c r="J2018" s="40"/>
    </row>
    <row r="2019" spans="2:10" x14ac:dyDescent="0.2">
      <c r="B2019" s="40"/>
      <c r="C2019" s="40"/>
      <c r="D2019" s="40"/>
      <c r="E2019" s="40"/>
      <c r="F2019" s="40"/>
      <c r="G2019" s="40"/>
      <c r="H2019" s="40"/>
      <c r="I2019" s="40"/>
      <c r="J2019" s="40"/>
    </row>
    <row r="2020" spans="2:10" x14ac:dyDescent="0.2">
      <c r="B2020" s="40"/>
      <c r="C2020" s="40"/>
      <c r="D2020" s="40"/>
      <c r="E2020" s="40"/>
      <c r="F2020" s="40"/>
      <c r="G2020" s="40"/>
      <c r="H2020" s="40"/>
      <c r="I2020" s="40"/>
      <c r="J2020" s="40"/>
    </row>
    <row r="2021" spans="2:10" x14ac:dyDescent="0.2">
      <c r="B2021" s="40"/>
      <c r="C2021" s="40"/>
      <c r="D2021" s="40"/>
      <c r="E2021" s="40"/>
      <c r="F2021" s="40"/>
      <c r="G2021" s="40"/>
      <c r="H2021" s="40"/>
      <c r="I2021" s="40"/>
      <c r="J2021" s="40"/>
    </row>
    <row r="2022" spans="2:10" x14ac:dyDescent="0.2">
      <c r="B2022" s="40"/>
      <c r="C2022" s="40"/>
      <c r="D2022" s="40"/>
      <c r="E2022" s="40"/>
      <c r="F2022" s="40"/>
      <c r="G2022" s="40"/>
      <c r="H2022" s="40"/>
      <c r="I2022" s="40"/>
      <c r="J2022" s="40"/>
    </row>
    <row r="2023" spans="2:10" x14ac:dyDescent="0.2">
      <c r="B2023" s="40"/>
      <c r="C2023" s="40"/>
      <c r="D2023" s="40"/>
      <c r="E2023" s="40"/>
      <c r="F2023" s="40"/>
      <c r="G2023" s="40"/>
      <c r="H2023" s="40"/>
      <c r="I2023" s="40"/>
      <c r="J2023" s="40"/>
    </row>
    <row r="2024" spans="2:10" x14ac:dyDescent="0.2">
      <c r="B2024" s="40"/>
      <c r="C2024" s="40"/>
      <c r="D2024" s="40"/>
      <c r="E2024" s="40"/>
      <c r="F2024" s="40"/>
      <c r="G2024" s="40"/>
      <c r="H2024" s="40"/>
      <c r="I2024" s="40"/>
      <c r="J2024" s="40"/>
    </row>
    <row r="2025" spans="2:10" x14ac:dyDescent="0.2">
      <c r="B2025" s="40"/>
      <c r="C2025" s="40"/>
      <c r="D2025" s="40"/>
      <c r="E2025" s="40"/>
      <c r="F2025" s="40"/>
      <c r="G2025" s="40"/>
      <c r="H2025" s="40"/>
      <c r="I2025" s="40"/>
      <c r="J2025" s="40"/>
    </row>
    <row r="2026" spans="2:10" x14ac:dyDescent="0.2">
      <c r="B2026" s="40"/>
      <c r="C2026" s="40"/>
      <c r="D2026" s="40"/>
      <c r="E2026" s="40"/>
      <c r="F2026" s="40"/>
      <c r="G2026" s="40"/>
      <c r="H2026" s="40"/>
      <c r="I2026" s="40"/>
      <c r="J2026" s="40"/>
    </row>
    <row r="2027" spans="2:10" x14ac:dyDescent="0.2">
      <c r="B2027" s="40"/>
      <c r="C2027" s="40"/>
      <c r="D2027" s="40"/>
      <c r="E2027" s="40"/>
      <c r="F2027" s="40"/>
      <c r="G2027" s="40"/>
      <c r="H2027" s="40"/>
      <c r="I2027" s="40"/>
      <c r="J2027" s="40"/>
    </row>
    <row r="2028" spans="2:10" x14ac:dyDescent="0.2">
      <c r="B2028" s="40"/>
      <c r="C2028" s="40"/>
      <c r="D2028" s="40"/>
      <c r="E2028" s="40"/>
      <c r="F2028" s="40"/>
      <c r="G2028" s="40"/>
      <c r="H2028" s="40"/>
      <c r="I2028" s="40"/>
      <c r="J2028" s="40"/>
    </row>
    <row r="2029" spans="2:10" x14ac:dyDescent="0.2">
      <c r="B2029" s="40"/>
      <c r="C2029" s="40"/>
      <c r="D2029" s="40"/>
      <c r="E2029" s="40"/>
      <c r="F2029" s="40"/>
      <c r="G2029" s="40"/>
      <c r="H2029" s="40"/>
      <c r="I2029" s="40"/>
      <c r="J2029" s="40"/>
    </row>
    <row r="2030" spans="2:10" x14ac:dyDescent="0.2">
      <c r="B2030" s="40"/>
      <c r="C2030" s="40"/>
      <c r="D2030" s="40"/>
      <c r="E2030" s="40"/>
      <c r="F2030" s="40"/>
      <c r="G2030" s="40"/>
      <c r="H2030" s="40"/>
      <c r="I2030" s="40"/>
      <c r="J2030" s="40"/>
    </row>
    <row r="2031" spans="2:10" x14ac:dyDescent="0.2">
      <c r="B2031" s="40"/>
      <c r="C2031" s="40"/>
      <c r="D2031" s="40"/>
      <c r="E2031" s="40"/>
      <c r="F2031" s="40"/>
      <c r="G2031" s="40"/>
      <c r="H2031" s="40"/>
      <c r="I2031" s="40"/>
      <c r="J2031" s="40"/>
    </row>
    <row r="2032" spans="2:10" x14ac:dyDescent="0.2">
      <c r="B2032" s="40"/>
      <c r="C2032" s="40"/>
      <c r="D2032" s="40"/>
      <c r="E2032" s="40"/>
      <c r="F2032" s="40"/>
      <c r="G2032" s="40"/>
      <c r="H2032" s="40"/>
      <c r="I2032" s="40"/>
      <c r="J2032" s="40"/>
    </row>
    <row r="2033" spans="2:10" x14ac:dyDescent="0.2">
      <c r="B2033" s="40"/>
      <c r="C2033" s="40"/>
      <c r="D2033" s="40"/>
      <c r="E2033" s="40"/>
      <c r="F2033" s="40"/>
      <c r="G2033" s="40"/>
      <c r="H2033" s="40"/>
      <c r="I2033" s="40"/>
      <c r="J2033" s="40"/>
    </row>
    <row r="2034" spans="2:10" x14ac:dyDescent="0.2">
      <c r="B2034" s="40"/>
      <c r="C2034" s="40"/>
      <c r="D2034" s="40"/>
      <c r="E2034" s="40"/>
      <c r="F2034" s="40"/>
      <c r="G2034" s="40"/>
      <c r="H2034" s="40"/>
      <c r="I2034" s="40"/>
      <c r="J2034" s="40"/>
    </row>
    <row r="2035" spans="2:10" x14ac:dyDescent="0.2">
      <c r="B2035" s="40"/>
      <c r="C2035" s="40"/>
      <c r="D2035" s="40"/>
      <c r="E2035" s="40"/>
      <c r="F2035" s="40"/>
      <c r="G2035" s="40"/>
      <c r="H2035" s="40"/>
      <c r="I2035" s="40"/>
      <c r="J2035" s="40"/>
    </row>
    <row r="2036" spans="2:10" x14ac:dyDescent="0.2">
      <c r="B2036" s="40"/>
      <c r="C2036" s="40"/>
      <c r="D2036" s="40"/>
      <c r="E2036" s="40"/>
      <c r="F2036" s="40"/>
      <c r="G2036" s="40"/>
      <c r="H2036" s="40"/>
      <c r="I2036" s="40"/>
      <c r="J2036" s="40"/>
    </row>
    <row r="2037" spans="2:10" x14ac:dyDescent="0.2">
      <c r="B2037" s="40"/>
      <c r="C2037" s="40"/>
      <c r="D2037" s="40"/>
      <c r="E2037" s="40"/>
      <c r="F2037" s="40"/>
      <c r="G2037" s="40"/>
      <c r="H2037" s="40"/>
      <c r="I2037" s="40"/>
      <c r="J2037" s="40"/>
    </row>
    <row r="2038" spans="2:10" x14ac:dyDescent="0.2">
      <c r="B2038" s="40"/>
      <c r="C2038" s="40"/>
      <c r="D2038" s="40"/>
      <c r="E2038" s="40"/>
      <c r="F2038" s="40"/>
      <c r="G2038" s="40"/>
      <c r="H2038" s="40"/>
      <c r="I2038" s="40"/>
      <c r="J2038" s="40"/>
    </row>
    <row r="2039" spans="2:10" x14ac:dyDescent="0.2">
      <c r="B2039" s="40"/>
      <c r="C2039" s="40"/>
      <c r="D2039" s="40"/>
      <c r="E2039" s="40"/>
      <c r="F2039" s="40"/>
      <c r="G2039" s="40"/>
      <c r="H2039" s="40"/>
      <c r="I2039" s="40"/>
      <c r="J2039" s="40"/>
    </row>
    <row r="2040" spans="2:10" x14ac:dyDescent="0.2">
      <c r="B2040" s="40"/>
      <c r="C2040" s="40"/>
      <c r="D2040" s="40"/>
      <c r="E2040" s="40"/>
      <c r="F2040" s="40"/>
      <c r="G2040" s="40"/>
      <c r="H2040" s="40"/>
      <c r="I2040" s="40"/>
      <c r="J2040" s="40"/>
    </row>
    <row r="2041" spans="2:10" x14ac:dyDescent="0.2">
      <c r="B2041" s="40"/>
      <c r="C2041" s="40"/>
      <c r="D2041" s="40"/>
      <c r="E2041" s="40"/>
      <c r="F2041" s="40"/>
      <c r="G2041" s="40"/>
      <c r="H2041" s="40"/>
      <c r="I2041" s="40"/>
      <c r="J2041" s="40"/>
    </row>
    <row r="2042" spans="2:10" x14ac:dyDescent="0.2">
      <c r="B2042" s="40"/>
      <c r="C2042" s="40"/>
      <c r="D2042" s="40"/>
      <c r="E2042" s="40"/>
      <c r="F2042" s="40"/>
      <c r="G2042" s="40"/>
      <c r="H2042" s="40"/>
      <c r="I2042" s="40"/>
      <c r="J2042" s="40"/>
    </row>
    <row r="2043" spans="2:10" x14ac:dyDescent="0.2">
      <c r="B2043" s="40"/>
      <c r="C2043" s="40"/>
      <c r="D2043" s="40"/>
      <c r="E2043" s="40"/>
      <c r="F2043" s="40"/>
      <c r="G2043" s="40"/>
      <c r="H2043" s="40"/>
      <c r="I2043" s="40"/>
      <c r="J2043" s="40"/>
    </row>
    <row r="2044" spans="2:10" x14ac:dyDescent="0.2">
      <c r="B2044" s="40"/>
      <c r="C2044" s="40"/>
      <c r="D2044" s="40"/>
      <c r="E2044" s="40"/>
      <c r="F2044" s="40"/>
      <c r="G2044" s="40"/>
      <c r="H2044" s="40"/>
      <c r="I2044" s="40"/>
      <c r="J2044" s="40"/>
    </row>
    <row r="2045" spans="2:10" x14ac:dyDescent="0.2">
      <c r="B2045" s="40"/>
      <c r="C2045" s="40"/>
      <c r="D2045" s="40"/>
      <c r="E2045" s="40"/>
      <c r="F2045" s="40"/>
      <c r="G2045" s="40"/>
      <c r="H2045" s="40"/>
      <c r="I2045" s="40"/>
      <c r="J2045" s="40"/>
    </row>
    <row r="2046" spans="2:10" x14ac:dyDescent="0.2">
      <c r="B2046" s="40"/>
      <c r="C2046" s="40"/>
      <c r="D2046" s="40"/>
      <c r="E2046" s="40"/>
      <c r="F2046" s="40"/>
      <c r="G2046" s="40"/>
      <c r="H2046" s="40"/>
      <c r="I2046" s="40"/>
      <c r="J2046" s="40"/>
    </row>
    <row r="2047" spans="2:10" x14ac:dyDescent="0.2">
      <c r="B2047" s="40"/>
      <c r="C2047" s="40"/>
      <c r="D2047" s="40"/>
      <c r="E2047" s="40"/>
      <c r="F2047" s="40"/>
      <c r="G2047" s="40"/>
      <c r="H2047" s="40"/>
      <c r="I2047" s="40"/>
      <c r="J2047" s="40"/>
    </row>
    <row r="2048" spans="2:10" x14ac:dyDescent="0.2">
      <c r="B2048" s="40"/>
      <c r="C2048" s="40"/>
      <c r="D2048" s="40"/>
      <c r="E2048" s="40"/>
      <c r="F2048" s="40"/>
      <c r="G2048" s="40"/>
      <c r="H2048" s="40"/>
      <c r="I2048" s="40"/>
      <c r="J2048" s="40"/>
    </row>
    <row r="2049" spans="2:10" x14ac:dyDescent="0.2">
      <c r="B2049" s="40"/>
      <c r="C2049" s="40"/>
      <c r="D2049" s="40"/>
      <c r="E2049" s="40"/>
      <c r="F2049" s="40"/>
      <c r="G2049" s="40"/>
      <c r="H2049" s="40"/>
      <c r="I2049" s="40"/>
      <c r="J2049" s="40"/>
    </row>
    <row r="2050" spans="2:10" x14ac:dyDescent="0.2">
      <c r="B2050" s="40"/>
      <c r="C2050" s="40"/>
      <c r="D2050" s="40"/>
      <c r="E2050" s="40"/>
      <c r="F2050" s="40"/>
      <c r="G2050" s="40"/>
      <c r="H2050" s="40"/>
      <c r="I2050" s="40"/>
      <c r="J2050" s="40"/>
    </row>
    <row r="2051" spans="2:10" x14ac:dyDescent="0.2">
      <c r="B2051" s="40"/>
      <c r="C2051" s="40"/>
      <c r="D2051" s="40"/>
      <c r="E2051" s="40"/>
      <c r="F2051" s="40"/>
      <c r="G2051" s="40"/>
      <c r="H2051" s="40"/>
      <c r="I2051" s="40"/>
      <c r="J2051" s="40"/>
    </row>
    <row r="2052" spans="2:10" x14ac:dyDescent="0.2">
      <c r="B2052" s="40"/>
      <c r="C2052" s="40"/>
      <c r="D2052" s="40"/>
      <c r="E2052" s="40"/>
      <c r="F2052" s="40"/>
      <c r="G2052" s="40"/>
      <c r="H2052" s="40"/>
      <c r="I2052" s="40"/>
      <c r="J2052" s="40"/>
    </row>
    <row r="2053" spans="2:10" x14ac:dyDescent="0.2">
      <c r="B2053" s="40"/>
      <c r="C2053" s="40"/>
      <c r="D2053" s="40"/>
      <c r="E2053" s="40"/>
      <c r="F2053" s="40"/>
      <c r="G2053" s="40"/>
      <c r="H2053" s="40"/>
      <c r="I2053" s="40"/>
      <c r="J2053" s="40"/>
    </row>
    <row r="2054" spans="2:10" x14ac:dyDescent="0.2">
      <c r="B2054" s="40"/>
      <c r="C2054" s="40"/>
      <c r="D2054" s="40"/>
      <c r="E2054" s="40"/>
      <c r="F2054" s="40"/>
      <c r="G2054" s="40"/>
      <c r="H2054" s="40"/>
      <c r="I2054" s="40"/>
      <c r="J2054" s="40"/>
    </row>
    <row r="2055" spans="2:10" x14ac:dyDescent="0.2">
      <c r="B2055" s="40"/>
      <c r="C2055" s="40"/>
      <c r="D2055" s="40"/>
      <c r="E2055" s="40"/>
      <c r="F2055" s="40"/>
      <c r="G2055" s="40"/>
      <c r="H2055" s="40"/>
      <c r="I2055" s="40"/>
      <c r="J2055" s="40"/>
    </row>
    <row r="2056" spans="2:10" x14ac:dyDescent="0.2">
      <c r="B2056" s="40"/>
      <c r="C2056" s="40"/>
      <c r="D2056" s="40"/>
      <c r="E2056" s="40"/>
      <c r="F2056" s="40"/>
      <c r="G2056" s="40"/>
      <c r="H2056" s="40"/>
      <c r="I2056" s="40"/>
      <c r="J2056" s="40"/>
    </row>
    <row r="2057" spans="2:10" x14ac:dyDescent="0.2">
      <c r="B2057" s="40"/>
      <c r="C2057" s="40"/>
      <c r="D2057" s="40"/>
      <c r="E2057" s="40"/>
      <c r="F2057" s="40"/>
      <c r="G2057" s="40"/>
      <c r="H2057" s="40"/>
      <c r="I2057" s="40"/>
      <c r="J2057" s="40"/>
    </row>
    <row r="2058" spans="2:10" x14ac:dyDescent="0.2">
      <c r="B2058" s="40"/>
      <c r="C2058" s="40"/>
      <c r="D2058" s="40"/>
      <c r="E2058" s="40"/>
      <c r="F2058" s="40"/>
      <c r="G2058" s="40"/>
      <c r="H2058" s="40"/>
      <c r="I2058" s="40"/>
      <c r="J2058" s="40"/>
    </row>
    <row r="2059" spans="2:10" x14ac:dyDescent="0.2">
      <c r="B2059" s="40"/>
      <c r="C2059" s="40"/>
      <c r="D2059" s="40"/>
      <c r="E2059" s="40"/>
      <c r="F2059" s="40"/>
      <c r="G2059" s="40"/>
      <c r="H2059" s="40"/>
      <c r="I2059" s="40"/>
      <c r="J2059" s="40"/>
    </row>
    <row r="2060" spans="2:10" x14ac:dyDescent="0.2">
      <c r="B2060" s="40"/>
      <c r="C2060" s="40"/>
      <c r="D2060" s="40"/>
      <c r="E2060" s="40"/>
      <c r="F2060" s="40"/>
      <c r="G2060" s="40"/>
      <c r="H2060" s="40"/>
      <c r="I2060" s="40"/>
      <c r="J2060" s="40"/>
    </row>
    <row r="2061" spans="2:10" x14ac:dyDescent="0.2">
      <c r="B2061" s="40"/>
      <c r="C2061" s="40"/>
      <c r="D2061" s="40"/>
      <c r="E2061" s="40"/>
      <c r="F2061" s="40"/>
      <c r="G2061" s="40"/>
      <c r="H2061" s="40"/>
      <c r="I2061" s="40"/>
      <c r="J2061" s="40"/>
    </row>
    <row r="2062" spans="2:10" x14ac:dyDescent="0.2">
      <c r="B2062" s="40"/>
      <c r="C2062" s="40"/>
      <c r="D2062" s="40"/>
      <c r="E2062" s="40"/>
      <c r="F2062" s="40"/>
      <c r="G2062" s="40"/>
      <c r="H2062" s="40"/>
      <c r="I2062" s="40"/>
      <c r="J2062" s="40"/>
    </row>
    <row r="2063" spans="2:10" x14ac:dyDescent="0.2">
      <c r="B2063" s="40"/>
      <c r="C2063" s="40"/>
      <c r="D2063" s="40"/>
      <c r="E2063" s="40"/>
      <c r="F2063" s="40"/>
      <c r="G2063" s="40"/>
      <c r="H2063" s="40"/>
      <c r="I2063" s="40"/>
      <c r="J2063" s="40"/>
    </row>
    <row r="2064" spans="2:10" x14ac:dyDescent="0.2">
      <c r="B2064" s="40"/>
      <c r="C2064" s="40"/>
      <c r="D2064" s="40"/>
      <c r="E2064" s="40"/>
      <c r="F2064" s="40"/>
      <c r="G2064" s="40"/>
      <c r="H2064" s="40"/>
      <c r="I2064" s="40"/>
      <c r="J2064" s="40"/>
    </row>
    <row r="2065" spans="2:10" x14ac:dyDescent="0.2">
      <c r="B2065" s="40"/>
      <c r="C2065" s="40"/>
      <c r="D2065" s="40"/>
      <c r="E2065" s="40"/>
      <c r="F2065" s="40"/>
      <c r="G2065" s="40"/>
      <c r="H2065" s="40"/>
      <c r="I2065" s="40"/>
      <c r="J2065" s="40"/>
    </row>
    <row r="2066" spans="2:10" x14ac:dyDescent="0.2">
      <c r="B2066" s="40"/>
      <c r="C2066" s="40"/>
      <c r="D2066" s="40"/>
      <c r="E2066" s="40"/>
      <c r="F2066" s="40"/>
      <c r="G2066" s="40"/>
      <c r="H2066" s="40"/>
      <c r="I2066" s="40"/>
      <c r="J2066" s="40"/>
    </row>
    <row r="2067" spans="2:10" x14ac:dyDescent="0.2">
      <c r="B2067" s="40"/>
      <c r="C2067" s="40"/>
      <c r="D2067" s="40"/>
      <c r="E2067" s="40"/>
      <c r="F2067" s="40"/>
      <c r="G2067" s="40"/>
      <c r="H2067" s="40"/>
      <c r="I2067" s="40"/>
      <c r="J2067" s="40"/>
    </row>
    <row r="2068" spans="2:10" x14ac:dyDescent="0.2">
      <c r="B2068" s="40"/>
      <c r="C2068" s="40"/>
      <c r="D2068" s="40"/>
      <c r="E2068" s="40"/>
      <c r="F2068" s="40"/>
      <c r="G2068" s="40"/>
      <c r="H2068" s="40"/>
      <c r="I2068" s="40"/>
      <c r="J2068" s="40"/>
    </row>
    <row r="2069" spans="2:10" x14ac:dyDescent="0.2">
      <c r="B2069" s="40"/>
      <c r="C2069" s="40"/>
      <c r="D2069" s="40"/>
      <c r="E2069" s="40"/>
      <c r="F2069" s="40"/>
      <c r="G2069" s="40"/>
      <c r="H2069" s="40"/>
      <c r="I2069" s="40"/>
      <c r="J2069" s="40"/>
    </row>
    <row r="2070" spans="2:10" x14ac:dyDescent="0.2">
      <c r="B2070" s="40"/>
      <c r="C2070" s="40"/>
      <c r="D2070" s="40"/>
      <c r="E2070" s="40"/>
      <c r="F2070" s="40"/>
      <c r="G2070" s="40"/>
      <c r="H2070" s="40"/>
      <c r="I2070" s="40"/>
      <c r="J2070" s="40"/>
    </row>
    <row r="2071" spans="2:10" x14ac:dyDescent="0.2">
      <c r="B2071" s="40"/>
      <c r="C2071" s="40"/>
      <c r="D2071" s="40"/>
      <c r="E2071" s="40"/>
      <c r="F2071" s="40"/>
      <c r="G2071" s="40"/>
      <c r="H2071" s="40"/>
      <c r="I2071" s="40"/>
      <c r="J2071" s="40"/>
    </row>
    <row r="2072" spans="2:10" x14ac:dyDescent="0.2">
      <c r="B2072" s="40"/>
      <c r="C2072" s="40"/>
      <c r="D2072" s="40"/>
      <c r="E2072" s="40"/>
      <c r="F2072" s="40"/>
      <c r="G2072" s="40"/>
      <c r="H2072" s="40"/>
      <c r="I2072" s="40"/>
      <c r="J2072" s="40"/>
    </row>
    <row r="2073" spans="2:10" x14ac:dyDescent="0.2">
      <c r="B2073" s="40"/>
      <c r="C2073" s="40"/>
      <c r="D2073" s="40"/>
      <c r="E2073" s="40"/>
      <c r="F2073" s="40"/>
      <c r="G2073" s="40"/>
      <c r="H2073" s="40"/>
      <c r="I2073" s="40"/>
      <c r="J2073" s="40"/>
    </row>
    <row r="2074" spans="2:10" x14ac:dyDescent="0.2">
      <c r="B2074" s="40"/>
      <c r="C2074" s="40"/>
      <c r="D2074" s="40"/>
      <c r="E2074" s="40"/>
      <c r="F2074" s="40"/>
      <c r="G2074" s="40"/>
      <c r="H2074" s="40"/>
      <c r="I2074" s="40"/>
      <c r="J2074" s="40"/>
    </row>
    <row r="2075" spans="2:10" x14ac:dyDescent="0.2">
      <c r="B2075" s="40"/>
      <c r="C2075" s="40"/>
      <c r="D2075" s="40"/>
      <c r="E2075" s="40"/>
      <c r="F2075" s="40"/>
      <c r="G2075" s="40"/>
      <c r="H2075" s="40"/>
      <c r="I2075" s="40"/>
      <c r="J2075" s="40"/>
    </row>
    <row r="2076" spans="2:10" x14ac:dyDescent="0.2">
      <c r="B2076" s="40"/>
      <c r="C2076" s="40"/>
      <c r="D2076" s="40"/>
      <c r="E2076" s="40"/>
      <c r="F2076" s="40"/>
      <c r="G2076" s="40"/>
      <c r="H2076" s="40"/>
      <c r="I2076" s="40"/>
      <c r="J2076" s="40"/>
    </row>
    <row r="2077" spans="2:10" x14ac:dyDescent="0.2">
      <c r="B2077" s="40"/>
      <c r="C2077" s="40"/>
      <c r="D2077" s="40"/>
      <c r="E2077" s="40"/>
      <c r="F2077" s="40"/>
      <c r="G2077" s="40"/>
      <c r="H2077" s="40"/>
      <c r="I2077" s="40"/>
      <c r="J2077" s="40"/>
    </row>
    <row r="2078" spans="2:10" x14ac:dyDescent="0.2">
      <c r="B2078" s="40"/>
      <c r="C2078" s="40"/>
      <c r="D2078" s="40"/>
      <c r="E2078" s="40"/>
      <c r="F2078" s="40"/>
      <c r="G2078" s="40"/>
      <c r="H2078" s="40"/>
      <c r="I2078" s="40"/>
      <c r="J2078" s="40"/>
    </row>
    <row r="2079" spans="2:10" x14ac:dyDescent="0.2">
      <c r="B2079" s="40"/>
      <c r="C2079" s="40"/>
      <c r="D2079" s="40"/>
      <c r="E2079" s="40"/>
      <c r="F2079" s="40"/>
      <c r="G2079" s="40"/>
      <c r="H2079" s="40"/>
      <c r="I2079" s="40"/>
      <c r="J2079" s="40"/>
    </row>
    <row r="2080" spans="2:10" x14ac:dyDescent="0.2">
      <c r="B2080" s="40"/>
      <c r="C2080" s="40"/>
      <c r="D2080" s="40"/>
      <c r="E2080" s="40"/>
      <c r="F2080" s="40"/>
      <c r="G2080" s="40"/>
      <c r="H2080" s="40"/>
      <c r="I2080" s="40"/>
      <c r="J2080" s="40"/>
    </row>
    <row r="2081" spans="2:10" x14ac:dyDescent="0.2">
      <c r="B2081" s="40"/>
      <c r="C2081" s="40"/>
      <c r="D2081" s="40"/>
      <c r="E2081" s="40"/>
      <c r="F2081" s="40"/>
      <c r="G2081" s="40"/>
      <c r="H2081" s="40"/>
      <c r="I2081" s="40"/>
      <c r="J2081" s="40"/>
    </row>
    <row r="2082" spans="2:10" x14ac:dyDescent="0.2">
      <c r="B2082" s="40"/>
      <c r="C2082" s="40"/>
      <c r="D2082" s="40"/>
      <c r="E2082" s="40"/>
      <c r="F2082" s="40"/>
      <c r="G2082" s="40"/>
      <c r="H2082" s="40"/>
      <c r="I2082" s="40"/>
      <c r="J2082" s="40"/>
    </row>
    <row r="2083" spans="2:10" x14ac:dyDescent="0.2">
      <c r="B2083" s="40"/>
      <c r="C2083" s="40"/>
      <c r="D2083" s="40"/>
      <c r="E2083" s="40"/>
      <c r="F2083" s="40"/>
      <c r="G2083" s="40"/>
      <c r="H2083" s="40"/>
      <c r="I2083" s="40"/>
      <c r="J2083" s="40"/>
    </row>
    <row r="2084" spans="2:10" x14ac:dyDescent="0.2">
      <c r="B2084" s="40"/>
      <c r="C2084" s="40"/>
      <c r="D2084" s="40"/>
      <c r="E2084" s="40"/>
      <c r="F2084" s="40"/>
      <c r="G2084" s="40"/>
      <c r="H2084" s="40"/>
      <c r="I2084" s="40"/>
      <c r="J2084" s="40"/>
    </row>
    <row r="2085" spans="2:10" x14ac:dyDescent="0.2">
      <c r="B2085" s="40"/>
      <c r="C2085" s="40"/>
      <c r="D2085" s="40"/>
      <c r="E2085" s="40"/>
      <c r="F2085" s="40"/>
      <c r="G2085" s="40"/>
      <c r="H2085" s="40"/>
      <c r="I2085" s="40"/>
      <c r="J2085" s="40"/>
    </row>
    <row r="2086" spans="2:10" x14ac:dyDescent="0.2">
      <c r="B2086" s="40"/>
      <c r="C2086" s="40"/>
      <c r="D2086" s="40"/>
      <c r="E2086" s="40"/>
      <c r="F2086" s="40"/>
      <c r="G2086" s="40"/>
      <c r="H2086" s="40"/>
      <c r="I2086" s="40"/>
      <c r="J2086" s="40"/>
    </row>
    <row r="2087" spans="2:10" x14ac:dyDescent="0.2">
      <c r="B2087" s="40"/>
      <c r="C2087" s="40"/>
      <c r="D2087" s="40"/>
      <c r="E2087" s="40"/>
      <c r="F2087" s="40"/>
      <c r="G2087" s="40"/>
      <c r="H2087" s="40"/>
      <c r="I2087" s="40"/>
      <c r="J2087" s="40"/>
    </row>
    <row r="2088" spans="2:10" x14ac:dyDescent="0.2">
      <c r="B2088" s="40"/>
      <c r="C2088" s="40"/>
      <c r="D2088" s="40"/>
      <c r="E2088" s="40"/>
      <c r="F2088" s="40"/>
      <c r="G2088" s="40"/>
      <c r="H2088" s="40"/>
      <c r="I2088" s="40"/>
      <c r="J2088" s="40"/>
    </row>
    <row r="2089" spans="2:10" x14ac:dyDescent="0.2">
      <c r="B2089" s="40"/>
      <c r="C2089" s="40"/>
      <c r="D2089" s="40"/>
      <c r="E2089" s="40"/>
      <c r="F2089" s="40"/>
      <c r="G2089" s="40"/>
      <c r="H2089" s="40"/>
      <c r="I2089" s="40"/>
      <c r="J2089" s="40"/>
    </row>
    <row r="2090" spans="2:10" x14ac:dyDescent="0.2">
      <c r="B2090" s="40"/>
      <c r="C2090" s="40"/>
      <c r="D2090" s="40"/>
      <c r="E2090" s="40"/>
      <c r="F2090" s="40"/>
      <c r="G2090" s="40"/>
      <c r="H2090" s="40"/>
      <c r="I2090" s="40"/>
      <c r="J2090" s="40"/>
    </row>
    <row r="2091" spans="2:10" x14ac:dyDescent="0.2">
      <c r="B2091" s="40"/>
      <c r="C2091" s="40"/>
      <c r="D2091" s="40"/>
      <c r="E2091" s="40"/>
      <c r="F2091" s="40"/>
      <c r="G2091" s="40"/>
      <c r="H2091" s="40"/>
      <c r="I2091" s="40"/>
      <c r="J2091" s="40"/>
    </row>
    <row r="2092" spans="2:10" x14ac:dyDescent="0.2">
      <c r="B2092" s="40"/>
      <c r="C2092" s="40"/>
      <c r="D2092" s="40"/>
      <c r="E2092" s="40"/>
      <c r="F2092" s="40"/>
      <c r="G2092" s="40"/>
      <c r="H2092" s="40"/>
      <c r="I2092" s="40"/>
      <c r="J2092" s="40"/>
    </row>
    <row r="2093" spans="2:10" x14ac:dyDescent="0.2">
      <c r="B2093" s="40"/>
      <c r="C2093" s="40"/>
      <c r="D2093" s="40"/>
      <c r="E2093" s="40"/>
      <c r="F2093" s="40"/>
      <c r="G2093" s="40"/>
      <c r="H2093" s="40"/>
      <c r="I2093" s="40"/>
      <c r="J2093" s="40"/>
    </row>
    <row r="2094" spans="2:10" x14ac:dyDescent="0.2">
      <c r="B2094" s="40"/>
      <c r="C2094" s="40"/>
      <c r="D2094" s="40"/>
      <c r="E2094" s="40"/>
      <c r="F2094" s="40"/>
      <c r="G2094" s="40"/>
      <c r="H2094" s="40"/>
      <c r="I2094" s="40"/>
      <c r="J2094" s="40"/>
    </row>
    <row r="2095" spans="2:10" x14ac:dyDescent="0.2">
      <c r="B2095" s="40"/>
      <c r="C2095" s="40"/>
      <c r="D2095" s="40"/>
      <c r="E2095" s="40"/>
      <c r="F2095" s="40"/>
      <c r="G2095" s="40"/>
      <c r="H2095" s="40"/>
      <c r="I2095" s="40"/>
      <c r="J2095" s="40"/>
    </row>
    <row r="2096" spans="2:10" x14ac:dyDescent="0.2">
      <c r="B2096" s="40"/>
      <c r="C2096" s="40"/>
      <c r="D2096" s="40"/>
      <c r="E2096" s="40"/>
      <c r="F2096" s="40"/>
      <c r="G2096" s="40"/>
      <c r="H2096" s="40"/>
      <c r="I2096" s="40"/>
      <c r="J2096" s="40"/>
    </row>
    <row r="2097" spans="2:10" x14ac:dyDescent="0.2">
      <c r="B2097" s="40"/>
      <c r="C2097" s="40"/>
      <c r="D2097" s="40"/>
      <c r="E2097" s="40"/>
      <c r="F2097" s="40"/>
      <c r="G2097" s="40"/>
      <c r="H2097" s="40"/>
      <c r="I2097" s="40"/>
      <c r="J2097" s="40"/>
    </row>
    <row r="2098" spans="2:10" x14ac:dyDescent="0.2">
      <c r="B2098" s="40"/>
      <c r="C2098" s="40"/>
      <c r="D2098" s="40"/>
      <c r="E2098" s="40"/>
      <c r="F2098" s="40"/>
      <c r="G2098" s="40"/>
      <c r="H2098" s="40"/>
      <c r="I2098" s="40"/>
      <c r="J2098" s="40"/>
    </row>
    <row r="2099" spans="2:10" x14ac:dyDescent="0.2">
      <c r="B2099" s="40"/>
      <c r="C2099" s="40"/>
      <c r="D2099" s="40"/>
      <c r="E2099" s="40"/>
      <c r="F2099" s="40"/>
      <c r="G2099" s="40"/>
      <c r="H2099" s="40"/>
      <c r="I2099" s="40"/>
      <c r="J2099" s="40"/>
    </row>
    <row r="2100" spans="2:10" x14ac:dyDescent="0.2">
      <c r="B2100" s="40"/>
      <c r="C2100" s="40"/>
      <c r="D2100" s="40"/>
      <c r="E2100" s="40"/>
      <c r="F2100" s="40"/>
      <c r="G2100" s="40"/>
      <c r="H2100" s="40"/>
      <c r="I2100" s="40"/>
      <c r="J2100" s="40"/>
    </row>
    <row r="2101" spans="2:10" x14ac:dyDescent="0.2">
      <c r="B2101" s="40"/>
      <c r="C2101" s="40"/>
      <c r="D2101" s="40"/>
      <c r="E2101" s="40"/>
      <c r="F2101" s="40"/>
      <c r="G2101" s="40"/>
      <c r="H2101" s="40"/>
      <c r="I2101" s="40"/>
      <c r="J2101" s="40"/>
    </row>
    <row r="2102" spans="2:10" x14ac:dyDescent="0.2">
      <c r="B2102" s="40"/>
      <c r="C2102" s="40"/>
      <c r="D2102" s="40"/>
      <c r="E2102" s="40"/>
      <c r="F2102" s="40"/>
      <c r="G2102" s="40"/>
      <c r="H2102" s="40"/>
      <c r="I2102" s="40"/>
      <c r="J2102" s="40"/>
    </row>
    <row r="2103" spans="2:10" x14ac:dyDescent="0.2">
      <c r="B2103" s="40"/>
      <c r="C2103" s="40"/>
      <c r="D2103" s="40"/>
      <c r="E2103" s="40"/>
      <c r="F2103" s="40"/>
      <c r="G2103" s="40"/>
      <c r="H2103" s="40"/>
      <c r="I2103" s="40"/>
      <c r="J2103" s="40"/>
    </row>
    <row r="2104" spans="2:10" x14ac:dyDescent="0.2">
      <c r="B2104" s="40"/>
      <c r="C2104" s="40"/>
      <c r="D2104" s="40"/>
      <c r="E2104" s="40"/>
      <c r="F2104" s="40"/>
      <c r="G2104" s="40"/>
      <c r="H2104" s="40"/>
      <c r="I2104" s="40"/>
      <c r="J2104" s="40"/>
    </row>
    <row r="2105" spans="2:10" x14ac:dyDescent="0.2">
      <c r="B2105" s="40"/>
      <c r="C2105" s="40"/>
      <c r="D2105" s="40"/>
      <c r="E2105" s="40"/>
      <c r="F2105" s="40"/>
      <c r="G2105" s="40"/>
      <c r="H2105" s="40"/>
      <c r="I2105" s="40"/>
      <c r="J2105" s="40"/>
    </row>
    <row r="2106" spans="2:10" x14ac:dyDescent="0.2">
      <c r="B2106" s="40"/>
      <c r="C2106" s="40"/>
      <c r="D2106" s="40"/>
      <c r="E2106" s="40"/>
      <c r="F2106" s="40"/>
      <c r="G2106" s="40"/>
      <c r="H2106" s="40"/>
      <c r="I2106" s="40"/>
      <c r="J2106" s="40"/>
    </row>
    <row r="2107" spans="2:10" x14ac:dyDescent="0.2">
      <c r="B2107" s="40"/>
      <c r="C2107" s="40"/>
      <c r="D2107" s="40"/>
      <c r="E2107" s="40"/>
      <c r="F2107" s="40"/>
      <c r="G2107" s="40"/>
      <c r="H2107" s="40"/>
      <c r="I2107" s="40"/>
      <c r="J2107" s="40"/>
    </row>
    <row r="2108" spans="2:10" x14ac:dyDescent="0.2">
      <c r="B2108" s="40"/>
      <c r="C2108" s="40"/>
      <c r="D2108" s="40"/>
      <c r="E2108" s="40"/>
      <c r="F2108" s="40"/>
      <c r="G2108" s="40"/>
      <c r="H2108" s="40"/>
      <c r="I2108" s="40"/>
      <c r="J2108" s="40"/>
    </row>
    <row r="2109" spans="2:10" x14ac:dyDescent="0.2">
      <c r="B2109" s="40"/>
      <c r="C2109" s="40"/>
      <c r="D2109" s="40"/>
      <c r="E2109" s="40"/>
      <c r="F2109" s="40"/>
      <c r="G2109" s="40"/>
      <c r="H2109" s="40"/>
      <c r="I2109" s="40"/>
      <c r="J2109" s="40"/>
    </row>
    <row r="2110" spans="2:10" x14ac:dyDescent="0.2">
      <c r="B2110" s="40"/>
      <c r="C2110" s="40"/>
      <c r="D2110" s="40"/>
      <c r="E2110" s="40"/>
      <c r="F2110" s="40"/>
      <c r="G2110" s="40"/>
      <c r="H2110" s="40"/>
      <c r="I2110" s="40"/>
      <c r="J2110" s="40"/>
    </row>
    <row r="2111" spans="2:10" x14ac:dyDescent="0.2">
      <c r="B2111" s="40"/>
      <c r="C2111" s="40"/>
      <c r="D2111" s="40"/>
      <c r="E2111" s="40"/>
      <c r="F2111" s="40"/>
      <c r="G2111" s="40"/>
      <c r="H2111" s="40"/>
      <c r="I2111" s="40"/>
      <c r="J2111" s="40"/>
    </row>
    <row r="2112" spans="2:10" x14ac:dyDescent="0.2">
      <c r="B2112" s="40"/>
      <c r="C2112" s="40"/>
      <c r="D2112" s="40"/>
      <c r="E2112" s="40"/>
      <c r="F2112" s="40"/>
      <c r="G2112" s="40"/>
      <c r="H2112" s="40"/>
      <c r="I2112" s="40"/>
      <c r="J2112" s="40"/>
    </row>
    <row r="2113" spans="2:10" x14ac:dyDescent="0.2">
      <c r="B2113" s="40"/>
      <c r="C2113" s="40"/>
      <c r="D2113" s="40"/>
      <c r="E2113" s="40"/>
      <c r="F2113" s="40"/>
      <c r="G2113" s="40"/>
      <c r="H2113" s="40"/>
      <c r="I2113" s="40"/>
      <c r="J2113" s="40"/>
    </row>
    <row r="2114" spans="2:10" x14ac:dyDescent="0.2">
      <c r="B2114" s="40"/>
      <c r="C2114" s="40"/>
      <c r="D2114" s="40"/>
      <c r="E2114" s="40"/>
      <c r="F2114" s="40"/>
      <c r="G2114" s="40"/>
      <c r="H2114" s="40"/>
      <c r="I2114" s="40"/>
      <c r="J2114" s="40"/>
    </row>
    <row r="2115" spans="2:10" x14ac:dyDescent="0.2">
      <c r="B2115" s="40"/>
      <c r="C2115" s="40"/>
      <c r="D2115" s="40"/>
      <c r="E2115" s="40"/>
      <c r="F2115" s="40"/>
      <c r="G2115" s="40"/>
      <c r="H2115" s="40"/>
      <c r="I2115" s="40"/>
      <c r="J2115" s="40"/>
    </row>
    <row r="2116" spans="2:10" x14ac:dyDescent="0.2">
      <c r="B2116" s="40"/>
      <c r="C2116" s="40"/>
      <c r="D2116" s="40"/>
      <c r="E2116" s="40"/>
      <c r="F2116" s="40"/>
      <c r="G2116" s="40"/>
      <c r="H2116" s="40"/>
      <c r="I2116" s="40"/>
      <c r="J2116" s="40"/>
    </row>
    <row r="2117" spans="2:10" x14ac:dyDescent="0.2">
      <c r="B2117" s="40"/>
      <c r="C2117" s="40"/>
      <c r="D2117" s="40"/>
      <c r="E2117" s="40"/>
      <c r="F2117" s="40"/>
      <c r="G2117" s="40"/>
      <c r="H2117" s="40"/>
      <c r="I2117" s="40"/>
      <c r="J2117" s="40"/>
    </row>
    <row r="2118" spans="2:10" x14ac:dyDescent="0.2">
      <c r="B2118" s="40"/>
      <c r="C2118" s="40"/>
      <c r="D2118" s="40"/>
      <c r="E2118" s="40"/>
      <c r="F2118" s="40"/>
      <c r="G2118" s="40"/>
      <c r="H2118" s="40"/>
      <c r="I2118" s="40"/>
      <c r="J2118" s="40"/>
    </row>
    <row r="2119" spans="2:10" x14ac:dyDescent="0.2">
      <c r="B2119" s="40"/>
      <c r="C2119" s="40"/>
      <c r="D2119" s="40"/>
      <c r="E2119" s="40"/>
      <c r="F2119" s="40"/>
      <c r="G2119" s="40"/>
      <c r="H2119" s="40"/>
      <c r="I2119" s="40"/>
      <c r="J2119" s="40"/>
    </row>
    <row r="2120" spans="2:10" x14ac:dyDescent="0.2">
      <c r="B2120" s="40"/>
      <c r="C2120" s="40"/>
      <c r="D2120" s="40"/>
      <c r="E2120" s="40"/>
      <c r="F2120" s="40"/>
      <c r="G2120" s="40"/>
      <c r="H2120" s="40"/>
      <c r="I2120" s="40"/>
      <c r="J2120" s="40"/>
    </row>
    <row r="2121" spans="2:10" x14ac:dyDescent="0.2">
      <c r="B2121" s="40"/>
      <c r="C2121" s="40"/>
      <c r="D2121" s="40"/>
      <c r="E2121" s="40"/>
      <c r="F2121" s="40"/>
      <c r="G2121" s="40"/>
      <c r="H2121" s="40"/>
      <c r="I2121" s="40"/>
      <c r="J2121" s="40"/>
    </row>
    <row r="2122" spans="2:10" x14ac:dyDescent="0.2">
      <c r="B2122" s="40"/>
      <c r="C2122" s="40"/>
      <c r="D2122" s="40"/>
      <c r="E2122" s="40"/>
      <c r="F2122" s="40"/>
      <c r="G2122" s="40"/>
      <c r="H2122" s="40"/>
      <c r="I2122" s="40"/>
      <c r="J2122" s="40"/>
    </row>
    <row r="2123" spans="2:10" x14ac:dyDescent="0.2">
      <c r="B2123" s="40"/>
      <c r="C2123" s="40"/>
      <c r="D2123" s="40"/>
      <c r="E2123" s="40"/>
      <c r="F2123" s="40"/>
      <c r="G2123" s="40"/>
      <c r="H2123" s="40"/>
      <c r="I2123" s="40"/>
      <c r="J2123" s="40"/>
    </row>
    <row r="2124" spans="2:10" x14ac:dyDescent="0.2">
      <c r="B2124" s="40"/>
      <c r="C2124" s="40"/>
      <c r="D2124" s="40"/>
      <c r="E2124" s="40"/>
      <c r="F2124" s="40"/>
      <c r="G2124" s="40"/>
      <c r="H2124" s="40"/>
      <c r="I2124" s="40"/>
      <c r="J2124" s="40"/>
    </row>
    <row r="2125" spans="2:10" x14ac:dyDescent="0.2">
      <c r="B2125" s="40"/>
      <c r="C2125" s="40"/>
      <c r="D2125" s="40"/>
      <c r="E2125" s="40"/>
      <c r="F2125" s="40"/>
      <c r="G2125" s="40"/>
      <c r="H2125" s="40"/>
      <c r="I2125" s="40"/>
      <c r="J2125" s="40"/>
    </row>
    <row r="2126" spans="2:10" x14ac:dyDescent="0.2">
      <c r="B2126" s="40"/>
      <c r="C2126" s="40"/>
      <c r="D2126" s="40"/>
      <c r="E2126" s="40"/>
      <c r="F2126" s="40"/>
      <c r="G2126" s="40"/>
      <c r="H2126" s="40"/>
      <c r="I2126" s="40"/>
      <c r="J2126" s="40"/>
    </row>
    <row r="2127" spans="2:10" x14ac:dyDescent="0.2">
      <c r="B2127" s="40"/>
      <c r="C2127" s="40"/>
      <c r="D2127" s="40"/>
      <c r="E2127" s="40"/>
      <c r="F2127" s="40"/>
      <c r="G2127" s="40"/>
      <c r="H2127" s="40"/>
      <c r="I2127" s="40"/>
      <c r="J2127" s="40"/>
    </row>
    <row r="2128" spans="2:10" x14ac:dyDescent="0.2">
      <c r="B2128" s="40"/>
      <c r="C2128" s="40"/>
      <c r="D2128" s="40"/>
      <c r="E2128" s="40"/>
      <c r="F2128" s="40"/>
      <c r="G2128" s="40"/>
      <c r="H2128" s="40"/>
      <c r="I2128" s="40"/>
      <c r="J2128" s="40"/>
    </row>
    <row r="2129" spans="2:10" x14ac:dyDescent="0.2">
      <c r="B2129" s="40"/>
      <c r="C2129" s="40"/>
      <c r="D2129" s="40"/>
      <c r="E2129" s="40"/>
      <c r="F2129" s="40"/>
      <c r="G2129" s="40"/>
      <c r="H2129" s="40"/>
      <c r="I2129" s="40"/>
      <c r="J2129" s="40"/>
    </row>
    <row r="2130" spans="2:10" x14ac:dyDescent="0.2">
      <c r="B2130" s="40"/>
      <c r="C2130" s="40"/>
      <c r="D2130" s="40"/>
      <c r="E2130" s="40"/>
      <c r="F2130" s="40"/>
      <c r="G2130" s="40"/>
      <c r="H2130" s="40"/>
      <c r="I2130" s="40"/>
      <c r="J2130" s="40"/>
    </row>
    <row r="2131" spans="2:10" x14ac:dyDescent="0.2">
      <c r="B2131" s="40"/>
      <c r="C2131" s="40"/>
      <c r="D2131" s="40"/>
      <c r="E2131" s="40"/>
      <c r="F2131" s="40"/>
      <c r="G2131" s="40"/>
      <c r="H2131" s="40"/>
      <c r="I2131" s="40"/>
      <c r="J2131" s="40"/>
    </row>
    <row r="2132" spans="2:10" x14ac:dyDescent="0.2">
      <c r="B2132" s="40"/>
      <c r="C2132" s="40"/>
      <c r="D2132" s="40"/>
      <c r="E2132" s="40"/>
      <c r="F2132" s="40"/>
      <c r="G2132" s="40"/>
      <c r="H2132" s="40"/>
      <c r="I2132" s="40"/>
      <c r="J2132" s="40"/>
    </row>
    <row r="2133" spans="2:10" x14ac:dyDescent="0.2">
      <c r="B2133" s="40"/>
      <c r="C2133" s="40"/>
      <c r="D2133" s="40"/>
      <c r="E2133" s="40"/>
      <c r="F2133" s="40"/>
      <c r="G2133" s="40"/>
      <c r="H2133" s="40"/>
      <c r="I2133" s="40"/>
      <c r="J2133" s="40"/>
    </row>
    <row r="2134" spans="2:10" x14ac:dyDescent="0.2">
      <c r="B2134" s="40"/>
      <c r="C2134" s="40"/>
      <c r="D2134" s="40"/>
      <c r="E2134" s="40"/>
      <c r="F2134" s="40"/>
      <c r="G2134" s="40"/>
      <c r="H2134" s="40"/>
      <c r="I2134" s="40"/>
      <c r="J2134" s="40"/>
    </row>
    <row r="2135" spans="2:10" x14ac:dyDescent="0.2">
      <c r="B2135" s="40"/>
      <c r="C2135" s="40"/>
      <c r="D2135" s="40"/>
      <c r="E2135" s="40"/>
      <c r="F2135" s="40"/>
      <c r="G2135" s="40"/>
      <c r="H2135" s="40"/>
      <c r="I2135" s="40"/>
      <c r="J2135" s="40"/>
    </row>
    <row r="2136" spans="2:10" x14ac:dyDescent="0.2">
      <c r="B2136" s="40"/>
      <c r="C2136" s="40"/>
      <c r="D2136" s="40"/>
      <c r="E2136" s="40"/>
      <c r="F2136" s="40"/>
      <c r="G2136" s="40"/>
      <c r="H2136" s="40"/>
      <c r="I2136" s="40"/>
      <c r="J2136" s="40"/>
    </row>
    <row r="2137" spans="2:10" x14ac:dyDescent="0.2">
      <c r="B2137" s="40"/>
      <c r="C2137" s="40"/>
      <c r="D2137" s="40"/>
      <c r="E2137" s="40"/>
      <c r="F2137" s="40"/>
      <c r="G2137" s="40"/>
      <c r="H2137" s="40"/>
      <c r="I2137" s="40"/>
      <c r="J2137" s="40"/>
    </row>
    <row r="2138" spans="2:10" x14ac:dyDescent="0.2">
      <c r="B2138" s="40"/>
      <c r="C2138" s="40"/>
      <c r="D2138" s="40"/>
      <c r="E2138" s="40"/>
      <c r="F2138" s="40"/>
      <c r="G2138" s="40"/>
      <c r="H2138" s="40"/>
      <c r="I2138" s="40"/>
      <c r="J2138" s="40"/>
    </row>
    <row r="2139" spans="2:10" x14ac:dyDescent="0.2">
      <c r="B2139" s="40"/>
      <c r="C2139" s="40"/>
      <c r="D2139" s="40"/>
      <c r="E2139" s="40"/>
      <c r="F2139" s="40"/>
      <c r="G2139" s="40"/>
      <c r="H2139" s="40"/>
      <c r="I2139" s="40"/>
      <c r="J2139" s="40"/>
    </row>
    <row r="2140" spans="2:10" x14ac:dyDescent="0.2">
      <c r="B2140" s="40"/>
      <c r="C2140" s="40"/>
      <c r="D2140" s="40"/>
      <c r="E2140" s="40"/>
      <c r="F2140" s="40"/>
      <c r="G2140" s="40"/>
      <c r="H2140" s="40"/>
      <c r="I2140" s="40"/>
      <c r="J2140" s="40"/>
    </row>
    <row r="2141" spans="2:10" x14ac:dyDescent="0.2">
      <c r="B2141" s="40"/>
      <c r="C2141" s="40"/>
      <c r="D2141" s="40"/>
      <c r="E2141" s="40"/>
      <c r="F2141" s="40"/>
      <c r="G2141" s="40"/>
      <c r="H2141" s="40"/>
      <c r="I2141" s="40"/>
      <c r="J2141" s="40"/>
    </row>
    <row r="2142" spans="2:10" x14ac:dyDescent="0.2">
      <c r="B2142" s="40"/>
      <c r="C2142" s="40"/>
      <c r="D2142" s="40"/>
      <c r="E2142" s="40"/>
      <c r="F2142" s="40"/>
      <c r="G2142" s="40"/>
      <c r="H2142" s="40"/>
      <c r="I2142" s="40"/>
      <c r="J2142" s="40"/>
    </row>
    <row r="2143" spans="2:10" x14ac:dyDescent="0.2">
      <c r="B2143" s="40"/>
      <c r="C2143" s="40"/>
      <c r="D2143" s="40"/>
      <c r="E2143" s="40"/>
      <c r="F2143" s="40"/>
      <c r="G2143" s="40"/>
      <c r="H2143" s="40"/>
      <c r="I2143" s="40"/>
      <c r="J2143" s="40"/>
    </row>
    <row r="2144" spans="2:10" x14ac:dyDescent="0.2">
      <c r="B2144" s="40"/>
      <c r="C2144" s="40"/>
      <c r="D2144" s="40"/>
      <c r="E2144" s="40"/>
      <c r="F2144" s="40"/>
      <c r="G2144" s="40"/>
      <c r="H2144" s="40"/>
      <c r="I2144" s="40"/>
      <c r="J2144" s="40"/>
    </row>
    <row r="2145" spans="2:10" x14ac:dyDescent="0.2">
      <c r="B2145" s="40"/>
      <c r="C2145" s="40"/>
      <c r="D2145" s="40"/>
      <c r="E2145" s="40"/>
      <c r="F2145" s="40"/>
      <c r="G2145" s="40"/>
      <c r="H2145" s="40"/>
      <c r="I2145" s="40"/>
      <c r="J2145" s="40"/>
    </row>
    <row r="2146" spans="2:10" x14ac:dyDescent="0.2">
      <c r="B2146" s="40"/>
      <c r="C2146" s="40"/>
      <c r="D2146" s="40"/>
      <c r="E2146" s="40"/>
      <c r="F2146" s="40"/>
      <c r="G2146" s="40"/>
      <c r="H2146" s="40"/>
      <c r="I2146" s="40"/>
      <c r="J2146" s="40"/>
    </row>
    <row r="2147" spans="2:10" x14ac:dyDescent="0.2">
      <c r="B2147" s="40"/>
      <c r="C2147" s="40"/>
      <c r="D2147" s="40"/>
      <c r="E2147" s="40"/>
      <c r="F2147" s="40"/>
      <c r="G2147" s="40"/>
      <c r="H2147" s="40"/>
      <c r="I2147" s="40"/>
      <c r="J2147" s="40"/>
    </row>
    <row r="2148" spans="2:10" x14ac:dyDescent="0.2">
      <c r="B2148" s="40"/>
      <c r="C2148" s="40"/>
      <c r="D2148" s="40"/>
      <c r="E2148" s="40"/>
      <c r="F2148" s="40"/>
      <c r="G2148" s="40"/>
      <c r="H2148" s="40"/>
      <c r="I2148" s="40"/>
      <c r="J2148" s="40"/>
    </row>
    <row r="2149" spans="2:10" x14ac:dyDescent="0.2">
      <c r="B2149" s="40"/>
      <c r="C2149" s="40"/>
      <c r="D2149" s="40"/>
      <c r="E2149" s="40"/>
      <c r="F2149" s="40"/>
      <c r="G2149" s="40"/>
      <c r="H2149" s="40"/>
      <c r="I2149" s="40"/>
      <c r="J2149" s="40"/>
    </row>
    <row r="2150" spans="2:10" x14ac:dyDescent="0.2">
      <c r="B2150" s="40"/>
      <c r="C2150" s="40"/>
      <c r="D2150" s="40"/>
      <c r="E2150" s="40"/>
      <c r="F2150" s="40"/>
      <c r="G2150" s="40"/>
      <c r="H2150" s="40"/>
      <c r="I2150" s="40"/>
      <c r="J2150" s="40"/>
    </row>
    <row r="2151" spans="2:10" x14ac:dyDescent="0.2">
      <c r="B2151" s="40"/>
      <c r="C2151" s="40"/>
      <c r="D2151" s="40"/>
      <c r="E2151" s="40"/>
      <c r="F2151" s="40"/>
      <c r="G2151" s="40"/>
      <c r="H2151" s="40"/>
      <c r="I2151" s="40"/>
      <c r="J2151" s="40"/>
    </row>
    <row r="2152" spans="2:10" x14ac:dyDescent="0.2">
      <c r="B2152" s="40"/>
      <c r="C2152" s="40"/>
      <c r="D2152" s="40"/>
      <c r="E2152" s="40"/>
      <c r="F2152" s="40"/>
      <c r="G2152" s="40"/>
      <c r="H2152" s="40"/>
      <c r="I2152" s="40"/>
      <c r="J2152" s="40"/>
    </row>
    <row r="2153" spans="2:10" x14ac:dyDescent="0.2">
      <c r="B2153" s="40"/>
      <c r="C2153" s="40"/>
      <c r="D2153" s="40"/>
      <c r="E2153" s="40"/>
      <c r="F2153" s="40"/>
      <c r="G2153" s="40"/>
      <c r="H2153" s="40"/>
      <c r="I2153" s="40"/>
      <c r="J2153" s="40"/>
    </row>
    <row r="2154" spans="2:10" x14ac:dyDescent="0.2">
      <c r="B2154" s="40"/>
      <c r="C2154" s="40"/>
      <c r="D2154" s="40"/>
      <c r="E2154" s="40"/>
      <c r="F2154" s="40"/>
      <c r="G2154" s="40"/>
      <c r="H2154" s="40"/>
      <c r="I2154" s="40"/>
      <c r="J2154" s="40"/>
    </row>
    <row r="2155" spans="2:10" x14ac:dyDescent="0.2">
      <c r="B2155" s="40"/>
      <c r="C2155" s="40"/>
      <c r="D2155" s="40"/>
      <c r="E2155" s="40"/>
      <c r="F2155" s="40"/>
      <c r="G2155" s="40"/>
      <c r="H2155" s="40"/>
      <c r="I2155" s="40"/>
      <c r="J2155" s="40"/>
    </row>
    <row r="2156" spans="2:10" x14ac:dyDescent="0.2">
      <c r="B2156" s="40"/>
      <c r="C2156" s="40"/>
      <c r="D2156" s="40"/>
      <c r="E2156" s="40"/>
      <c r="F2156" s="40"/>
      <c r="G2156" s="40"/>
      <c r="H2156" s="40"/>
      <c r="I2156" s="40"/>
      <c r="J2156" s="40"/>
    </row>
    <row r="2157" spans="2:10" x14ac:dyDescent="0.2">
      <c r="B2157" s="40"/>
      <c r="C2157" s="40"/>
      <c r="D2157" s="40"/>
      <c r="E2157" s="40"/>
      <c r="F2157" s="40"/>
      <c r="G2157" s="40"/>
      <c r="H2157" s="40"/>
      <c r="I2157" s="40"/>
      <c r="J2157" s="40"/>
    </row>
    <row r="2158" spans="2:10" x14ac:dyDescent="0.2">
      <c r="B2158" s="40"/>
      <c r="C2158" s="40"/>
      <c r="D2158" s="40"/>
      <c r="E2158" s="40"/>
      <c r="F2158" s="40"/>
      <c r="G2158" s="40"/>
      <c r="H2158" s="40"/>
      <c r="I2158" s="40"/>
      <c r="J2158" s="40"/>
    </row>
    <row r="2159" spans="2:10" x14ac:dyDescent="0.2">
      <c r="B2159" s="40"/>
      <c r="C2159" s="40"/>
      <c r="D2159" s="40"/>
      <c r="E2159" s="40"/>
      <c r="F2159" s="40"/>
      <c r="G2159" s="40"/>
      <c r="H2159" s="40"/>
      <c r="I2159" s="40"/>
      <c r="J2159" s="40"/>
    </row>
    <row r="2160" spans="2:10" x14ac:dyDescent="0.2">
      <c r="B2160" s="40"/>
      <c r="C2160" s="40"/>
      <c r="D2160" s="40"/>
      <c r="E2160" s="40"/>
      <c r="F2160" s="40"/>
      <c r="G2160" s="40"/>
      <c r="H2160" s="40"/>
      <c r="I2160" s="40"/>
      <c r="J2160" s="40"/>
    </row>
    <row r="2161" spans="2:10" x14ac:dyDescent="0.2">
      <c r="B2161" s="40"/>
      <c r="C2161" s="40"/>
      <c r="D2161" s="40"/>
      <c r="E2161" s="40"/>
      <c r="F2161" s="40"/>
      <c r="G2161" s="40"/>
      <c r="H2161" s="40"/>
      <c r="I2161" s="40"/>
      <c r="J2161" s="40"/>
    </row>
    <row r="2162" spans="2:10" x14ac:dyDescent="0.2">
      <c r="B2162" s="40"/>
      <c r="C2162" s="40"/>
      <c r="D2162" s="40"/>
      <c r="E2162" s="40"/>
      <c r="F2162" s="40"/>
      <c r="G2162" s="40"/>
      <c r="H2162" s="40"/>
      <c r="I2162" s="40"/>
      <c r="J2162" s="40"/>
    </row>
    <row r="2163" spans="2:10" x14ac:dyDescent="0.2">
      <c r="B2163" s="40"/>
      <c r="C2163" s="40"/>
      <c r="D2163" s="40"/>
      <c r="E2163" s="40"/>
      <c r="F2163" s="40"/>
      <c r="G2163" s="40"/>
      <c r="H2163" s="40"/>
      <c r="I2163" s="40"/>
      <c r="J2163" s="40"/>
    </row>
    <row r="2164" spans="2:10" x14ac:dyDescent="0.2">
      <c r="B2164" s="40"/>
      <c r="C2164" s="40"/>
      <c r="D2164" s="40"/>
      <c r="E2164" s="40"/>
      <c r="F2164" s="40"/>
      <c r="G2164" s="40"/>
      <c r="H2164" s="40"/>
      <c r="I2164" s="40"/>
      <c r="J2164" s="40"/>
    </row>
    <row r="2165" spans="2:10" x14ac:dyDescent="0.2">
      <c r="B2165" s="40"/>
      <c r="C2165" s="40"/>
      <c r="D2165" s="40"/>
      <c r="E2165" s="40"/>
      <c r="F2165" s="40"/>
      <c r="G2165" s="40"/>
      <c r="H2165" s="40"/>
      <c r="I2165" s="40"/>
      <c r="J2165" s="40"/>
    </row>
    <row r="2166" spans="2:10" x14ac:dyDescent="0.2">
      <c r="B2166" s="40"/>
      <c r="C2166" s="40"/>
      <c r="D2166" s="40"/>
      <c r="E2166" s="40"/>
      <c r="F2166" s="40"/>
      <c r="G2166" s="40"/>
      <c r="H2166" s="40"/>
      <c r="I2166" s="40"/>
      <c r="J2166" s="40"/>
    </row>
    <row r="2167" spans="2:10" x14ac:dyDescent="0.2">
      <c r="B2167" s="40"/>
      <c r="C2167" s="40"/>
      <c r="D2167" s="40"/>
      <c r="E2167" s="40"/>
      <c r="F2167" s="40"/>
      <c r="G2167" s="40"/>
      <c r="H2167" s="40"/>
      <c r="I2167" s="40"/>
      <c r="J2167" s="40"/>
    </row>
    <row r="2168" spans="2:10" x14ac:dyDescent="0.2">
      <c r="B2168" s="40"/>
      <c r="C2168" s="40"/>
      <c r="D2168" s="40"/>
      <c r="E2168" s="40"/>
      <c r="F2168" s="40"/>
      <c r="G2168" s="40"/>
      <c r="H2168" s="40"/>
      <c r="I2168" s="40"/>
      <c r="J2168" s="40"/>
    </row>
    <row r="2169" spans="2:10" x14ac:dyDescent="0.2">
      <c r="B2169" s="40"/>
      <c r="C2169" s="40"/>
      <c r="D2169" s="40"/>
      <c r="E2169" s="40"/>
      <c r="F2169" s="40"/>
      <c r="G2169" s="40"/>
      <c r="H2169" s="40"/>
      <c r="I2169" s="40"/>
      <c r="J2169" s="40"/>
    </row>
    <row r="2170" spans="2:10" x14ac:dyDescent="0.2">
      <c r="B2170" s="40"/>
      <c r="C2170" s="40"/>
      <c r="D2170" s="40"/>
      <c r="E2170" s="40"/>
      <c r="F2170" s="40"/>
      <c r="G2170" s="40"/>
      <c r="H2170" s="40"/>
      <c r="I2170" s="40"/>
      <c r="J2170" s="40"/>
    </row>
    <row r="2171" spans="2:10" x14ac:dyDescent="0.2">
      <c r="B2171" s="40"/>
      <c r="C2171" s="40"/>
      <c r="D2171" s="40"/>
      <c r="E2171" s="40"/>
      <c r="F2171" s="40"/>
      <c r="G2171" s="40"/>
      <c r="H2171" s="40"/>
      <c r="I2171" s="40"/>
      <c r="J2171" s="40"/>
    </row>
    <row r="2172" spans="2:10" x14ac:dyDescent="0.2">
      <c r="B2172" s="40"/>
      <c r="C2172" s="40"/>
      <c r="D2172" s="40"/>
      <c r="E2172" s="40"/>
      <c r="F2172" s="40"/>
      <c r="G2172" s="40"/>
      <c r="H2172" s="40"/>
      <c r="I2172" s="40"/>
      <c r="J2172" s="40"/>
    </row>
    <row r="2173" spans="2:10" x14ac:dyDescent="0.2">
      <c r="B2173" s="40"/>
      <c r="C2173" s="40"/>
      <c r="D2173" s="40"/>
      <c r="E2173" s="40"/>
      <c r="F2173" s="40"/>
      <c r="G2173" s="40"/>
      <c r="H2173" s="40"/>
      <c r="I2173" s="40"/>
      <c r="J2173" s="40"/>
    </row>
    <row r="2174" spans="2:10" x14ac:dyDescent="0.2">
      <c r="B2174" s="40"/>
      <c r="C2174" s="40"/>
      <c r="D2174" s="40"/>
      <c r="E2174" s="40"/>
      <c r="F2174" s="40"/>
      <c r="G2174" s="40"/>
      <c r="H2174" s="40"/>
      <c r="I2174" s="40"/>
      <c r="J2174" s="40"/>
    </row>
    <row r="2175" spans="2:10" x14ac:dyDescent="0.2">
      <c r="B2175" s="40"/>
      <c r="C2175" s="40"/>
      <c r="D2175" s="40"/>
      <c r="E2175" s="40"/>
      <c r="F2175" s="40"/>
      <c r="G2175" s="40"/>
      <c r="H2175" s="40"/>
      <c r="I2175" s="40"/>
      <c r="J2175" s="40"/>
    </row>
    <row r="2176" spans="2:10" x14ac:dyDescent="0.2">
      <c r="B2176" s="40"/>
      <c r="C2176" s="40"/>
      <c r="D2176" s="40"/>
      <c r="E2176" s="40"/>
      <c r="F2176" s="40"/>
      <c r="G2176" s="40"/>
      <c r="H2176" s="40"/>
      <c r="I2176" s="40"/>
      <c r="J2176" s="40"/>
    </row>
    <row r="2177" spans="2:10" x14ac:dyDescent="0.2">
      <c r="B2177" s="40"/>
      <c r="C2177" s="40"/>
      <c r="D2177" s="40"/>
      <c r="E2177" s="40"/>
      <c r="F2177" s="40"/>
      <c r="G2177" s="40"/>
      <c r="H2177" s="40"/>
      <c r="I2177" s="40"/>
      <c r="J2177" s="40"/>
    </row>
    <row r="2178" spans="2:10" x14ac:dyDescent="0.2">
      <c r="B2178" s="40"/>
      <c r="C2178" s="40"/>
      <c r="D2178" s="40"/>
      <c r="E2178" s="40"/>
      <c r="F2178" s="40"/>
      <c r="G2178" s="40"/>
      <c r="H2178" s="40"/>
      <c r="I2178" s="40"/>
      <c r="J2178" s="40"/>
    </row>
  </sheetData>
  <dataValidations count="6">
    <dataValidation type="list" allowBlank="1" showErrorMessage="1" sqref="B2:B2000" xr:uid="{00000000-0002-0000-0200-000000000000}">
      <formula1>lst_Anios</formula1>
      <formula2>0</formula2>
    </dataValidation>
    <dataValidation type="list" allowBlank="1" showErrorMessage="1" sqref="D2:D2000" xr:uid="{00000000-0002-0000-0200-000001000000}">
      <formula1>lst_Meses</formula1>
      <formula2>0</formula2>
    </dataValidation>
    <dataValidation type="list" allowBlank="1" showErrorMessage="1" sqref="E2:E2000" xr:uid="{00000000-0002-0000-0200-000002000000}">
      <formula1>lst_Secciones</formula1>
      <formula2>0</formula2>
    </dataValidation>
    <dataValidation type="list" allowBlank="1" showErrorMessage="1" sqref="G2:G2000" xr:uid="{00000000-0002-0000-0200-000003000000}">
      <formula1>lst_Categorias</formula1>
      <formula2>0</formula2>
    </dataValidation>
    <dataValidation type="list" allowBlank="1" showErrorMessage="1" sqref="H2:H2000" xr:uid="{00000000-0002-0000-0200-000004000000}">
      <formula1>lst_Conceptos</formula1>
      <formula2>0</formula2>
    </dataValidation>
    <dataValidation type="list" allowBlank="1" showErrorMessage="1" sqref="F2:F2000" xr:uid="{00000000-0002-0000-0200-000005000000}">
      <formula1>lst_Tipos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00"/>
  <sheetViews>
    <sheetView zoomScale="90" zoomScaleNormal="90" workbookViewId="0">
      <selection activeCell="M22" sqref="M22"/>
    </sheetView>
  </sheetViews>
  <sheetFormatPr baseColWidth="10" defaultColWidth="8.7109375" defaultRowHeight="15" x14ac:dyDescent="0.25"/>
  <cols>
    <col min="1" max="1" width="8.7109375" style="3"/>
    <col min="2" max="2" width="11.5703125" style="2" customWidth="1"/>
    <col min="3" max="3" width="11.85546875" style="41" customWidth="1"/>
    <col min="4" max="4" width="13" style="2" customWidth="1"/>
    <col min="5" max="5" width="12" style="2" customWidth="1"/>
    <col min="6" max="6" width="17.5703125" style="2" customWidth="1"/>
    <col min="7" max="7" width="15.7109375" style="2" customWidth="1"/>
    <col min="8" max="8" width="19.42578125" style="2" customWidth="1"/>
    <col min="9" max="9" width="21.140625" style="2" customWidth="1"/>
    <col min="10" max="10" width="16.85546875" style="2" customWidth="1"/>
    <col min="11" max="11" width="16.28515625" style="2" customWidth="1"/>
    <col min="12" max="12" width="18" style="2" customWidth="1"/>
    <col min="13" max="13" width="29.7109375" style="2" customWidth="1"/>
    <col min="14" max="19" width="8.7109375" style="3"/>
  </cols>
  <sheetData>
    <row r="1" spans="2:13" ht="24" customHeight="1" x14ac:dyDescent="0.2">
      <c r="B1" s="36" t="s">
        <v>110</v>
      </c>
      <c r="C1" s="36" t="s">
        <v>102</v>
      </c>
      <c r="D1" s="36" t="s">
        <v>19</v>
      </c>
      <c r="E1" s="36" t="s">
        <v>18</v>
      </c>
      <c r="F1" s="36" t="s">
        <v>43</v>
      </c>
      <c r="G1" s="36" t="s">
        <v>36</v>
      </c>
      <c r="H1" s="36" t="s">
        <v>40</v>
      </c>
      <c r="I1" s="36" t="s">
        <v>111</v>
      </c>
      <c r="J1" s="36" t="s">
        <v>89</v>
      </c>
      <c r="K1" s="36" t="s">
        <v>112</v>
      </c>
      <c r="L1" s="36" t="s">
        <v>113</v>
      </c>
      <c r="M1" s="36" t="s">
        <v>104</v>
      </c>
    </row>
    <row r="2" spans="2:13" ht="30" customHeight="1" x14ac:dyDescent="0.25">
      <c r="B2" s="42">
        <v>46023</v>
      </c>
      <c r="C2" s="43">
        <f t="shared" ref="C2:C65" si="0">IF(B2="","",MONTH(B2))</f>
        <v>1</v>
      </c>
      <c r="D2" s="44" t="str">
        <f t="shared" ref="D2:D65" si="1">IF(B2="","",CHOOSE(C2,"Enero","Febrero","Marzo","Abril","Mayo","Junio","Julio","Agosto","Septiembre","Octubre","Noviembre","Diciembre"))</f>
        <v>Enero</v>
      </c>
      <c r="E2" s="44">
        <f t="shared" ref="E2:E65" si="2">IF(B2="","",YEAR(B2))</f>
        <v>2026</v>
      </c>
      <c r="F2" s="44" t="s">
        <v>48</v>
      </c>
      <c r="G2" s="44" t="s">
        <v>47</v>
      </c>
      <c r="H2" s="44" t="s">
        <v>47</v>
      </c>
      <c r="I2" s="44" t="s">
        <v>114</v>
      </c>
      <c r="J2" s="45">
        <v>2000000</v>
      </c>
      <c r="K2" s="44" t="s">
        <v>115</v>
      </c>
      <c r="L2" s="44" t="s">
        <v>116</v>
      </c>
      <c r="M2" s="44" t="s">
        <v>106</v>
      </c>
    </row>
    <row r="3" spans="2:13" ht="30" customHeight="1" x14ac:dyDescent="0.25">
      <c r="B3" s="42">
        <v>46027</v>
      </c>
      <c r="C3" s="43">
        <f t="shared" si="0"/>
        <v>1</v>
      </c>
      <c r="D3" s="44" t="str">
        <f t="shared" si="1"/>
        <v>Enero</v>
      </c>
      <c r="E3" s="44">
        <f t="shared" si="2"/>
        <v>2026</v>
      </c>
      <c r="F3" s="44" t="s">
        <v>48</v>
      </c>
      <c r="G3" s="44" t="s">
        <v>50</v>
      </c>
      <c r="H3" s="44" t="s">
        <v>50</v>
      </c>
      <c r="I3" s="44" t="s">
        <v>117</v>
      </c>
      <c r="J3" s="45">
        <v>500000</v>
      </c>
      <c r="K3" s="44" t="s">
        <v>115</v>
      </c>
      <c r="L3" s="44" t="s">
        <v>116</v>
      </c>
      <c r="M3" s="44" t="s">
        <v>106</v>
      </c>
    </row>
    <row r="4" spans="2:13" ht="30" customHeight="1" x14ac:dyDescent="0.25">
      <c r="B4" s="42">
        <v>46024</v>
      </c>
      <c r="C4" s="43">
        <f t="shared" si="0"/>
        <v>1</v>
      </c>
      <c r="D4" s="44" t="str">
        <f t="shared" si="1"/>
        <v>Enero</v>
      </c>
      <c r="E4" s="44">
        <f t="shared" si="2"/>
        <v>2026</v>
      </c>
      <c r="F4" s="44" t="s">
        <v>21</v>
      </c>
      <c r="G4" s="44" t="s">
        <v>33</v>
      </c>
      <c r="H4" s="44" t="s">
        <v>78</v>
      </c>
      <c r="I4" s="44" t="s">
        <v>118</v>
      </c>
      <c r="J4" s="45">
        <v>1000000</v>
      </c>
      <c r="K4" s="44" t="s">
        <v>119</v>
      </c>
      <c r="L4" s="44" t="s">
        <v>116</v>
      </c>
      <c r="M4" s="44" t="s">
        <v>106</v>
      </c>
    </row>
    <row r="5" spans="2:13" ht="30" customHeight="1" x14ac:dyDescent="0.25">
      <c r="B5" s="42">
        <v>46027</v>
      </c>
      <c r="C5" s="43">
        <f t="shared" si="0"/>
        <v>1</v>
      </c>
      <c r="D5" s="44" t="str">
        <f t="shared" si="1"/>
        <v>Enero</v>
      </c>
      <c r="E5" s="44">
        <f t="shared" si="2"/>
        <v>2026</v>
      </c>
      <c r="F5" s="44" t="s">
        <v>21</v>
      </c>
      <c r="G5" s="44" t="s">
        <v>39</v>
      </c>
      <c r="H5" s="44" t="s">
        <v>79</v>
      </c>
      <c r="I5" s="44" t="s">
        <v>120</v>
      </c>
      <c r="J5" s="45">
        <v>30000</v>
      </c>
      <c r="K5" s="44" t="s">
        <v>119</v>
      </c>
      <c r="L5" s="44" t="s">
        <v>121</v>
      </c>
      <c r="M5" s="44" t="s">
        <v>106</v>
      </c>
    </row>
    <row r="6" spans="2:13" ht="30" customHeight="1" x14ac:dyDescent="0.25">
      <c r="B6" s="42"/>
      <c r="C6" s="43" t="str">
        <f t="shared" si="0"/>
        <v/>
      </c>
      <c r="D6" s="44" t="str">
        <f t="shared" si="1"/>
        <v/>
      </c>
      <c r="E6" s="44" t="str">
        <f t="shared" si="2"/>
        <v/>
      </c>
      <c r="F6" s="44"/>
      <c r="G6" s="44"/>
      <c r="H6" s="44"/>
      <c r="I6" s="44"/>
      <c r="J6" s="45"/>
      <c r="K6" s="44"/>
      <c r="L6" s="44"/>
      <c r="M6" s="44"/>
    </row>
    <row r="7" spans="2:13" ht="30" customHeight="1" x14ac:dyDescent="0.25">
      <c r="B7" s="42"/>
      <c r="C7" s="43" t="str">
        <f t="shared" si="0"/>
        <v/>
      </c>
      <c r="D7" s="44" t="str">
        <f t="shared" si="1"/>
        <v/>
      </c>
      <c r="E7" s="44" t="str">
        <f t="shared" si="2"/>
        <v/>
      </c>
      <c r="F7" s="44"/>
      <c r="G7" s="44"/>
      <c r="H7" s="44"/>
      <c r="I7" s="44"/>
      <c r="J7" s="45"/>
      <c r="K7" s="44"/>
      <c r="L7" s="44"/>
      <c r="M7" s="44"/>
    </row>
    <row r="8" spans="2:13" ht="30" customHeight="1" x14ac:dyDescent="0.25">
      <c r="B8" s="42"/>
      <c r="C8" s="43" t="str">
        <f t="shared" si="0"/>
        <v/>
      </c>
      <c r="D8" s="44" t="str">
        <f t="shared" si="1"/>
        <v/>
      </c>
      <c r="E8" s="44" t="str">
        <f t="shared" si="2"/>
        <v/>
      </c>
      <c r="F8" s="44"/>
      <c r="G8" s="44"/>
      <c r="H8" s="44"/>
      <c r="I8" s="44"/>
      <c r="J8" s="45"/>
      <c r="K8" s="44"/>
      <c r="L8" s="44"/>
      <c r="M8" s="44"/>
    </row>
    <row r="9" spans="2:13" ht="30" customHeight="1" x14ac:dyDescent="0.25">
      <c r="B9" s="42"/>
      <c r="C9" s="43" t="str">
        <f t="shared" si="0"/>
        <v/>
      </c>
      <c r="D9" s="44" t="str">
        <f t="shared" si="1"/>
        <v/>
      </c>
      <c r="E9" s="44" t="str">
        <f t="shared" si="2"/>
        <v/>
      </c>
      <c r="F9" s="44"/>
      <c r="G9" s="44"/>
      <c r="H9" s="44"/>
      <c r="I9" s="44"/>
      <c r="J9" s="45"/>
      <c r="K9" s="44"/>
      <c r="L9" s="44"/>
      <c r="M9" s="44"/>
    </row>
    <row r="10" spans="2:13" ht="30" customHeight="1" x14ac:dyDescent="0.25">
      <c r="B10" s="42"/>
      <c r="C10" s="43" t="str">
        <f t="shared" si="0"/>
        <v/>
      </c>
      <c r="D10" s="44" t="str">
        <f t="shared" si="1"/>
        <v/>
      </c>
      <c r="E10" s="44" t="str">
        <f t="shared" si="2"/>
        <v/>
      </c>
      <c r="F10" s="44"/>
      <c r="G10" s="44"/>
      <c r="H10" s="44"/>
      <c r="I10" s="44"/>
      <c r="J10" s="45"/>
      <c r="K10" s="44"/>
      <c r="L10" s="44"/>
      <c r="M10" s="44"/>
    </row>
    <row r="11" spans="2:13" ht="30" customHeight="1" x14ac:dyDescent="0.25">
      <c r="B11" s="42"/>
      <c r="C11" s="43" t="str">
        <f t="shared" si="0"/>
        <v/>
      </c>
      <c r="D11" s="44" t="str">
        <f t="shared" si="1"/>
        <v/>
      </c>
      <c r="E11" s="44" t="str">
        <f t="shared" si="2"/>
        <v/>
      </c>
      <c r="F11" s="44"/>
      <c r="G11" s="44"/>
      <c r="H11" s="44"/>
      <c r="I11" s="44"/>
      <c r="J11" s="45"/>
      <c r="K11" s="44"/>
      <c r="L11" s="44"/>
      <c r="M11" s="44"/>
    </row>
    <row r="12" spans="2:13" ht="30" customHeight="1" x14ac:dyDescent="0.25">
      <c r="B12" s="42"/>
      <c r="C12" s="43" t="str">
        <f t="shared" si="0"/>
        <v/>
      </c>
      <c r="D12" s="44" t="str">
        <f t="shared" si="1"/>
        <v/>
      </c>
      <c r="E12" s="44" t="str">
        <f t="shared" si="2"/>
        <v/>
      </c>
      <c r="F12" s="44"/>
      <c r="G12" s="44"/>
      <c r="H12" s="44"/>
      <c r="I12" s="44"/>
      <c r="J12" s="45"/>
      <c r="K12" s="44"/>
      <c r="L12" s="44"/>
      <c r="M12" s="44"/>
    </row>
    <row r="13" spans="2:13" ht="30" customHeight="1" x14ac:dyDescent="0.25">
      <c r="B13" s="42"/>
      <c r="C13" s="43" t="str">
        <f t="shared" si="0"/>
        <v/>
      </c>
      <c r="D13" s="44" t="str">
        <f t="shared" si="1"/>
        <v/>
      </c>
      <c r="E13" s="44" t="str">
        <f t="shared" si="2"/>
        <v/>
      </c>
      <c r="F13" s="44"/>
      <c r="G13" s="44"/>
      <c r="H13" s="44"/>
      <c r="I13" s="44"/>
      <c r="J13" s="45"/>
      <c r="K13" s="44"/>
      <c r="L13" s="44"/>
      <c r="M13" s="44"/>
    </row>
    <row r="14" spans="2:13" ht="30" customHeight="1" x14ac:dyDescent="0.25">
      <c r="B14" s="42"/>
      <c r="C14" s="43" t="str">
        <f t="shared" si="0"/>
        <v/>
      </c>
      <c r="D14" s="44" t="str">
        <f t="shared" si="1"/>
        <v/>
      </c>
      <c r="E14" s="44" t="str">
        <f t="shared" si="2"/>
        <v/>
      </c>
      <c r="F14" s="44"/>
      <c r="G14" s="44"/>
      <c r="H14" s="44"/>
      <c r="I14" s="44"/>
      <c r="J14" s="45"/>
      <c r="K14" s="44"/>
      <c r="L14" s="44"/>
      <c r="M14" s="44"/>
    </row>
    <row r="15" spans="2:13" ht="30" customHeight="1" x14ac:dyDescent="0.25">
      <c r="B15" s="42"/>
      <c r="C15" s="43" t="str">
        <f t="shared" si="0"/>
        <v/>
      </c>
      <c r="D15" s="44" t="str">
        <f t="shared" si="1"/>
        <v/>
      </c>
      <c r="E15" s="44" t="str">
        <f t="shared" si="2"/>
        <v/>
      </c>
      <c r="F15" s="44"/>
      <c r="G15" s="44"/>
      <c r="H15" s="44"/>
      <c r="I15" s="44"/>
      <c r="J15" s="45"/>
      <c r="K15" s="44"/>
      <c r="L15" s="44"/>
      <c r="M15" s="44"/>
    </row>
    <row r="16" spans="2:13" ht="30" customHeight="1" x14ac:dyDescent="0.25">
      <c r="B16" s="42"/>
      <c r="C16" s="43" t="str">
        <f t="shared" si="0"/>
        <v/>
      </c>
      <c r="D16" s="44" t="str">
        <f t="shared" si="1"/>
        <v/>
      </c>
      <c r="E16" s="44" t="str">
        <f t="shared" si="2"/>
        <v/>
      </c>
      <c r="F16" s="44"/>
      <c r="G16" s="44"/>
      <c r="H16" s="44"/>
      <c r="I16" s="44"/>
      <c r="J16" s="45"/>
      <c r="K16" s="44"/>
      <c r="L16" s="44"/>
      <c r="M16" s="44"/>
    </row>
    <row r="17" spans="2:13" ht="30" customHeight="1" x14ac:dyDescent="0.25">
      <c r="B17" s="42"/>
      <c r="C17" s="43" t="str">
        <f t="shared" si="0"/>
        <v/>
      </c>
      <c r="D17" s="44" t="str">
        <f t="shared" si="1"/>
        <v/>
      </c>
      <c r="E17" s="44" t="str">
        <f t="shared" si="2"/>
        <v/>
      </c>
      <c r="F17" s="44"/>
      <c r="G17" s="44"/>
      <c r="H17" s="44"/>
      <c r="I17" s="44"/>
      <c r="J17" s="45"/>
      <c r="K17" s="44"/>
      <c r="L17" s="44"/>
      <c r="M17" s="44"/>
    </row>
    <row r="18" spans="2:13" ht="30" customHeight="1" x14ac:dyDescent="0.25">
      <c r="B18" s="42"/>
      <c r="C18" s="43" t="str">
        <f t="shared" si="0"/>
        <v/>
      </c>
      <c r="D18" s="44" t="str">
        <f t="shared" si="1"/>
        <v/>
      </c>
      <c r="E18" s="44" t="str">
        <f t="shared" si="2"/>
        <v/>
      </c>
      <c r="F18" s="44"/>
      <c r="G18" s="44"/>
      <c r="H18" s="44"/>
      <c r="I18" s="44"/>
      <c r="J18" s="45"/>
      <c r="K18" s="44"/>
      <c r="L18" s="44"/>
      <c r="M18" s="44"/>
    </row>
    <row r="19" spans="2:13" ht="30" customHeight="1" x14ac:dyDescent="0.25">
      <c r="B19" s="42"/>
      <c r="C19" s="43" t="str">
        <f t="shared" si="0"/>
        <v/>
      </c>
      <c r="D19" s="44" t="str">
        <f t="shared" si="1"/>
        <v/>
      </c>
      <c r="E19" s="44" t="str">
        <f t="shared" si="2"/>
        <v/>
      </c>
      <c r="F19" s="44"/>
      <c r="G19" s="44"/>
      <c r="H19" s="44"/>
      <c r="I19" s="44"/>
      <c r="J19" s="45"/>
      <c r="K19" s="44"/>
      <c r="L19" s="44"/>
      <c r="M19" s="44"/>
    </row>
    <row r="20" spans="2:13" ht="30" customHeight="1" x14ac:dyDescent="0.25">
      <c r="B20" s="42"/>
      <c r="C20" s="43" t="str">
        <f t="shared" si="0"/>
        <v/>
      </c>
      <c r="D20" s="44" t="str">
        <f t="shared" si="1"/>
        <v/>
      </c>
      <c r="E20" s="44" t="str">
        <f t="shared" si="2"/>
        <v/>
      </c>
      <c r="F20" s="44"/>
      <c r="G20" s="44"/>
      <c r="H20" s="44"/>
      <c r="I20" s="44"/>
      <c r="J20" s="45"/>
      <c r="K20" s="44"/>
      <c r="L20" s="44"/>
      <c r="M20" s="44"/>
    </row>
    <row r="21" spans="2:13" ht="30" customHeight="1" x14ac:dyDescent="0.25">
      <c r="B21" s="42"/>
      <c r="C21" s="43" t="str">
        <f t="shared" si="0"/>
        <v/>
      </c>
      <c r="D21" s="44" t="str">
        <f t="shared" si="1"/>
        <v/>
      </c>
      <c r="E21" s="44" t="str">
        <f t="shared" si="2"/>
        <v/>
      </c>
      <c r="F21" s="44"/>
      <c r="G21" s="44"/>
      <c r="H21" s="44"/>
      <c r="I21" s="44"/>
      <c r="J21" s="45"/>
      <c r="K21" s="44"/>
      <c r="L21" s="44"/>
      <c r="M21" s="44"/>
    </row>
    <row r="22" spans="2:13" ht="30" customHeight="1" x14ac:dyDescent="0.25">
      <c r="B22" s="42"/>
      <c r="C22" s="43" t="str">
        <f t="shared" si="0"/>
        <v/>
      </c>
      <c r="D22" s="44" t="str">
        <f t="shared" si="1"/>
        <v/>
      </c>
      <c r="E22" s="44" t="str">
        <f t="shared" si="2"/>
        <v/>
      </c>
      <c r="F22" s="44"/>
      <c r="G22" s="44"/>
      <c r="H22" s="44"/>
      <c r="I22" s="44"/>
      <c r="J22" s="45"/>
      <c r="K22" s="44"/>
      <c r="L22" s="44"/>
      <c r="M22" s="44"/>
    </row>
    <row r="23" spans="2:13" x14ac:dyDescent="0.25">
      <c r="B23" s="42"/>
      <c r="C23" s="43" t="str">
        <f t="shared" si="0"/>
        <v/>
      </c>
      <c r="D23" s="44" t="str">
        <f t="shared" si="1"/>
        <v/>
      </c>
      <c r="E23" s="44" t="str">
        <f t="shared" si="2"/>
        <v/>
      </c>
      <c r="F23" s="44"/>
      <c r="G23" s="44"/>
      <c r="H23" s="44"/>
      <c r="I23" s="44"/>
      <c r="J23" s="45"/>
      <c r="K23" s="44"/>
      <c r="L23" s="44"/>
      <c r="M23" s="44"/>
    </row>
    <row r="24" spans="2:13" x14ac:dyDescent="0.25">
      <c r="B24" s="42"/>
      <c r="C24" s="43" t="str">
        <f t="shared" si="0"/>
        <v/>
      </c>
      <c r="D24" s="44" t="str">
        <f t="shared" si="1"/>
        <v/>
      </c>
      <c r="E24" s="44" t="str">
        <f t="shared" si="2"/>
        <v/>
      </c>
      <c r="F24" s="44"/>
      <c r="G24" s="44"/>
      <c r="H24" s="44"/>
      <c r="I24" s="44"/>
      <c r="J24" s="45"/>
      <c r="K24" s="44"/>
      <c r="L24" s="44"/>
      <c r="M24" s="44"/>
    </row>
    <row r="25" spans="2:13" x14ac:dyDescent="0.25">
      <c r="B25" s="42"/>
      <c r="C25" s="43" t="str">
        <f t="shared" si="0"/>
        <v/>
      </c>
      <c r="D25" s="44" t="str">
        <f t="shared" si="1"/>
        <v/>
      </c>
      <c r="E25" s="44" t="str">
        <f t="shared" si="2"/>
        <v/>
      </c>
      <c r="F25" s="44"/>
      <c r="G25" s="44"/>
      <c r="H25" s="44"/>
      <c r="I25" s="44"/>
      <c r="J25" s="45"/>
      <c r="K25" s="44"/>
      <c r="L25" s="44"/>
      <c r="M25" s="44"/>
    </row>
    <row r="26" spans="2:13" x14ac:dyDescent="0.25">
      <c r="B26" s="42"/>
      <c r="C26" s="43" t="str">
        <f t="shared" si="0"/>
        <v/>
      </c>
      <c r="D26" s="44" t="str">
        <f t="shared" si="1"/>
        <v/>
      </c>
      <c r="E26" s="44" t="str">
        <f t="shared" si="2"/>
        <v/>
      </c>
      <c r="F26" s="44"/>
      <c r="G26" s="44"/>
      <c r="H26" s="44"/>
      <c r="I26" s="44"/>
      <c r="J26" s="45"/>
      <c r="K26" s="44"/>
      <c r="L26" s="44"/>
      <c r="M26" s="44"/>
    </row>
    <row r="27" spans="2:13" x14ac:dyDescent="0.25">
      <c r="B27" s="42"/>
      <c r="C27" s="43" t="str">
        <f t="shared" si="0"/>
        <v/>
      </c>
      <c r="D27" s="44" t="str">
        <f t="shared" si="1"/>
        <v/>
      </c>
      <c r="E27" s="44" t="str">
        <f t="shared" si="2"/>
        <v/>
      </c>
      <c r="F27" s="44"/>
      <c r="G27" s="44"/>
      <c r="H27" s="44"/>
      <c r="I27" s="44"/>
      <c r="J27" s="45"/>
      <c r="K27" s="44"/>
      <c r="L27" s="44"/>
      <c r="M27" s="44"/>
    </row>
    <row r="28" spans="2:13" x14ac:dyDescent="0.25">
      <c r="B28" s="42"/>
      <c r="C28" s="43" t="str">
        <f t="shared" si="0"/>
        <v/>
      </c>
      <c r="D28" s="44" t="str">
        <f t="shared" si="1"/>
        <v/>
      </c>
      <c r="E28" s="44" t="str">
        <f t="shared" si="2"/>
        <v/>
      </c>
      <c r="F28" s="44"/>
      <c r="G28" s="44"/>
      <c r="H28" s="44"/>
      <c r="I28" s="44"/>
      <c r="J28" s="45"/>
      <c r="K28" s="44"/>
      <c r="L28" s="44"/>
      <c r="M28" s="44"/>
    </row>
    <row r="29" spans="2:13" x14ac:dyDescent="0.25">
      <c r="B29" s="42"/>
      <c r="C29" s="43" t="str">
        <f t="shared" si="0"/>
        <v/>
      </c>
      <c r="D29" s="44" t="str">
        <f t="shared" si="1"/>
        <v/>
      </c>
      <c r="E29" s="44" t="str">
        <f t="shared" si="2"/>
        <v/>
      </c>
      <c r="F29" s="44"/>
      <c r="G29" s="44"/>
      <c r="H29" s="44"/>
      <c r="I29" s="44"/>
      <c r="J29" s="45"/>
      <c r="K29" s="44"/>
      <c r="L29" s="44"/>
      <c r="M29" s="44"/>
    </row>
    <row r="30" spans="2:13" x14ac:dyDescent="0.25">
      <c r="B30" s="42"/>
      <c r="C30" s="43" t="str">
        <f t="shared" si="0"/>
        <v/>
      </c>
      <c r="D30" s="44" t="str">
        <f t="shared" si="1"/>
        <v/>
      </c>
      <c r="E30" s="44" t="str">
        <f t="shared" si="2"/>
        <v/>
      </c>
      <c r="F30" s="44"/>
      <c r="G30" s="44"/>
      <c r="H30" s="44"/>
      <c r="I30" s="44"/>
      <c r="J30" s="45"/>
      <c r="K30" s="44"/>
      <c r="L30" s="44"/>
      <c r="M30" s="44"/>
    </row>
    <row r="31" spans="2:13" x14ac:dyDescent="0.25">
      <c r="B31" s="42"/>
      <c r="C31" s="43" t="str">
        <f t="shared" si="0"/>
        <v/>
      </c>
      <c r="D31" s="44" t="str">
        <f t="shared" si="1"/>
        <v/>
      </c>
      <c r="E31" s="44" t="str">
        <f t="shared" si="2"/>
        <v/>
      </c>
      <c r="F31" s="44"/>
      <c r="G31" s="44"/>
      <c r="H31" s="44"/>
      <c r="I31" s="44"/>
      <c r="J31" s="45"/>
      <c r="K31" s="44"/>
      <c r="L31" s="44"/>
      <c r="M31" s="44"/>
    </row>
    <row r="32" spans="2:13" x14ac:dyDescent="0.25">
      <c r="B32" s="42"/>
      <c r="C32" s="43" t="str">
        <f t="shared" si="0"/>
        <v/>
      </c>
      <c r="D32" s="44" t="str">
        <f t="shared" si="1"/>
        <v/>
      </c>
      <c r="E32" s="44" t="str">
        <f t="shared" si="2"/>
        <v/>
      </c>
      <c r="F32" s="44"/>
      <c r="G32" s="44"/>
      <c r="H32" s="44"/>
      <c r="I32" s="44"/>
      <c r="J32" s="45"/>
      <c r="K32" s="44"/>
      <c r="L32" s="44"/>
      <c r="M32" s="44"/>
    </row>
    <row r="33" spans="2:13" x14ac:dyDescent="0.25">
      <c r="B33" s="42"/>
      <c r="C33" s="43" t="str">
        <f t="shared" si="0"/>
        <v/>
      </c>
      <c r="D33" s="44" t="str">
        <f t="shared" si="1"/>
        <v/>
      </c>
      <c r="E33" s="44" t="str">
        <f t="shared" si="2"/>
        <v/>
      </c>
      <c r="F33" s="44"/>
      <c r="G33" s="44"/>
      <c r="H33" s="44"/>
      <c r="I33" s="44"/>
      <c r="J33" s="45"/>
      <c r="K33" s="44"/>
      <c r="L33" s="44"/>
      <c r="M33" s="44"/>
    </row>
    <row r="34" spans="2:13" x14ac:dyDescent="0.25">
      <c r="B34" s="42"/>
      <c r="C34" s="43" t="str">
        <f t="shared" si="0"/>
        <v/>
      </c>
      <c r="D34" s="44" t="str">
        <f t="shared" si="1"/>
        <v/>
      </c>
      <c r="E34" s="44" t="str">
        <f t="shared" si="2"/>
        <v/>
      </c>
      <c r="F34" s="44"/>
      <c r="G34" s="44"/>
      <c r="H34" s="44"/>
      <c r="I34" s="44"/>
      <c r="J34" s="45"/>
      <c r="K34" s="44"/>
      <c r="L34" s="44"/>
      <c r="M34" s="44"/>
    </row>
    <row r="35" spans="2:13" x14ac:dyDescent="0.25">
      <c r="B35" s="42"/>
      <c r="C35" s="43" t="str">
        <f t="shared" si="0"/>
        <v/>
      </c>
      <c r="D35" s="44" t="str">
        <f t="shared" si="1"/>
        <v/>
      </c>
      <c r="E35" s="44" t="str">
        <f t="shared" si="2"/>
        <v/>
      </c>
      <c r="F35" s="44"/>
      <c r="G35" s="44"/>
      <c r="H35" s="44"/>
      <c r="I35" s="44"/>
      <c r="J35" s="45"/>
      <c r="K35" s="44"/>
      <c r="L35" s="44"/>
      <c r="M35" s="44"/>
    </row>
    <row r="36" spans="2:13" x14ac:dyDescent="0.25">
      <c r="B36" s="42"/>
      <c r="C36" s="43" t="str">
        <f t="shared" si="0"/>
        <v/>
      </c>
      <c r="D36" s="44" t="str">
        <f t="shared" si="1"/>
        <v/>
      </c>
      <c r="E36" s="44" t="str">
        <f t="shared" si="2"/>
        <v/>
      </c>
      <c r="F36" s="44"/>
      <c r="G36" s="44"/>
      <c r="H36" s="44"/>
      <c r="I36" s="44"/>
      <c r="J36" s="45"/>
      <c r="K36" s="44"/>
      <c r="L36" s="44"/>
      <c r="M36" s="44"/>
    </row>
    <row r="37" spans="2:13" x14ac:dyDescent="0.25">
      <c r="B37" s="42"/>
      <c r="C37" s="43" t="str">
        <f t="shared" si="0"/>
        <v/>
      </c>
      <c r="D37" s="44" t="str">
        <f t="shared" si="1"/>
        <v/>
      </c>
      <c r="E37" s="44" t="str">
        <f t="shared" si="2"/>
        <v/>
      </c>
      <c r="F37" s="44"/>
      <c r="G37" s="44"/>
      <c r="H37" s="44"/>
      <c r="I37" s="44"/>
      <c r="J37" s="45"/>
      <c r="K37" s="44"/>
      <c r="L37" s="44"/>
      <c r="M37" s="44"/>
    </row>
    <row r="38" spans="2:13" x14ac:dyDescent="0.25">
      <c r="B38" s="42"/>
      <c r="C38" s="43" t="str">
        <f t="shared" si="0"/>
        <v/>
      </c>
      <c r="D38" s="44" t="str">
        <f t="shared" si="1"/>
        <v/>
      </c>
      <c r="E38" s="44" t="str">
        <f t="shared" si="2"/>
        <v/>
      </c>
      <c r="F38" s="44"/>
      <c r="G38" s="44"/>
      <c r="H38" s="44"/>
      <c r="I38" s="44"/>
      <c r="J38" s="45"/>
      <c r="K38" s="44"/>
      <c r="L38" s="44"/>
      <c r="M38" s="44"/>
    </row>
    <row r="39" spans="2:13" x14ac:dyDescent="0.25">
      <c r="B39" s="42"/>
      <c r="C39" s="43" t="str">
        <f t="shared" si="0"/>
        <v/>
      </c>
      <c r="D39" s="44" t="str">
        <f t="shared" si="1"/>
        <v/>
      </c>
      <c r="E39" s="44" t="str">
        <f t="shared" si="2"/>
        <v/>
      </c>
      <c r="F39" s="44"/>
      <c r="G39" s="44"/>
      <c r="H39" s="44"/>
      <c r="I39" s="44"/>
      <c r="J39" s="45"/>
      <c r="K39" s="44"/>
      <c r="L39" s="44"/>
      <c r="M39" s="44"/>
    </row>
    <row r="40" spans="2:13" x14ac:dyDescent="0.25">
      <c r="B40" s="42"/>
      <c r="C40" s="43" t="str">
        <f t="shared" si="0"/>
        <v/>
      </c>
      <c r="D40" s="44" t="str">
        <f t="shared" si="1"/>
        <v/>
      </c>
      <c r="E40" s="44" t="str">
        <f t="shared" si="2"/>
        <v/>
      </c>
      <c r="F40" s="44"/>
      <c r="G40" s="44"/>
      <c r="H40" s="44"/>
      <c r="I40" s="44"/>
      <c r="J40" s="45"/>
      <c r="K40" s="44"/>
      <c r="L40" s="44"/>
      <c r="M40" s="44"/>
    </row>
    <row r="41" spans="2:13" x14ac:dyDescent="0.25">
      <c r="B41" s="42"/>
      <c r="C41" s="43" t="str">
        <f t="shared" si="0"/>
        <v/>
      </c>
      <c r="D41" s="44" t="str">
        <f t="shared" si="1"/>
        <v/>
      </c>
      <c r="E41" s="44" t="str">
        <f t="shared" si="2"/>
        <v/>
      </c>
      <c r="F41" s="44"/>
      <c r="G41" s="44"/>
      <c r="H41" s="44"/>
      <c r="I41" s="44"/>
      <c r="J41" s="45"/>
      <c r="K41" s="44"/>
      <c r="L41" s="44"/>
      <c r="M41" s="44"/>
    </row>
    <row r="42" spans="2:13" x14ac:dyDescent="0.25">
      <c r="B42" s="42"/>
      <c r="C42" s="43" t="str">
        <f t="shared" si="0"/>
        <v/>
      </c>
      <c r="D42" s="44" t="str">
        <f t="shared" si="1"/>
        <v/>
      </c>
      <c r="E42" s="44" t="str">
        <f t="shared" si="2"/>
        <v/>
      </c>
      <c r="F42" s="44"/>
      <c r="G42" s="44"/>
      <c r="H42" s="44"/>
      <c r="I42" s="44"/>
      <c r="J42" s="45"/>
      <c r="K42" s="44"/>
      <c r="L42" s="44"/>
      <c r="M42" s="44"/>
    </row>
    <row r="43" spans="2:13" x14ac:dyDescent="0.25">
      <c r="B43" s="42"/>
      <c r="C43" s="43" t="str">
        <f t="shared" si="0"/>
        <v/>
      </c>
      <c r="D43" s="44" t="str">
        <f t="shared" si="1"/>
        <v/>
      </c>
      <c r="E43" s="44" t="str">
        <f t="shared" si="2"/>
        <v/>
      </c>
      <c r="F43" s="44"/>
      <c r="G43" s="44"/>
      <c r="H43" s="44"/>
      <c r="I43" s="44"/>
      <c r="J43" s="45"/>
      <c r="K43" s="44"/>
      <c r="L43" s="44"/>
      <c r="M43" s="44"/>
    </row>
    <row r="44" spans="2:13" x14ac:dyDescent="0.25">
      <c r="B44" s="42"/>
      <c r="C44" s="43" t="str">
        <f t="shared" si="0"/>
        <v/>
      </c>
      <c r="D44" s="44" t="str">
        <f t="shared" si="1"/>
        <v/>
      </c>
      <c r="E44" s="44" t="str">
        <f t="shared" si="2"/>
        <v/>
      </c>
      <c r="F44" s="44"/>
      <c r="G44" s="44"/>
      <c r="H44" s="44"/>
      <c r="I44" s="44"/>
      <c r="J44" s="45"/>
      <c r="K44" s="44"/>
      <c r="L44" s="44"/>
      <c r="M44" s="44"/>
    </row>
    <row r="45" spans="2:13" x14ac:dyDescent="0.25">
      <c r="B45" s="42"/>
      <c r="C45" s="43" t="str">
        <f t="shared" si="0"/>
        <v/>
      </c>
      <c r="D45" s="44" t="str">
        <f t="shared" si="1"/>
        <v/>
      </c>
      <c r="E45" s="44" t="str">
        <f t="shared" si="2"/>
        <v/>
      </c>
      <c r="F45" s="44"/>
      <c r="G45" s="44"/>
      <c r="H45" s="44"/>
      <c r="I45" s="44"/>
      <c r="J45" s="45"/>
      <c r="K45" s="44"/>
      <c r="L45" s="44"/>
      <c r="M45" s="44"/>
    </row>
    <row r="46" spans="2:13" x14ac:dyDescent="0.25">
      <c r="B46" s="42"/>
      <c r="C46" s="43" t="str">
        <f t="shared" si="0"/>
        <v/>
      </c>
      <c r="D46" s="44" t="str">
        <f t="shared" si="1"/>
        <v/>
      </c>
      <c r="E46" s="44" t="str">
        <f t="shared" si="2"/>
        <v/>
      </c>
      <c r="F46" s="44"/>
      <c r="G46" s="44"/>
      <c r="H46" s="44"/>
      <c r="I46" s="44"/>
      <c r="J46" s="45"/>
      <c r="K46" s="44"/>
      <c r="L46" s="44"/>
      <c r="M46" s="44"/>
    </row>
    <row r="47" spans="2:13" x14ac:dyDescent="0.25">
      <c r="B47" s="42"/>
      <c r="C47" s="43" t="str">
        <f t="shared" si="0"/>
        <v/>
      </c>
      <c r="D47" s="44" t="str">
        <f t="shared" si="1"/>
        <v/>
      </c>
      <c r="E47" s="44" t="str">
        <f t="shared" si="2"/>
        <v/>
      </c>
      <c r="F47" s="44"/>
      <c r="G47" s="44"/>
      <c r="H47" s="44"/>
      <c r="I47" s="44"/>
      <c r="J47" s="45"/>
      <c r="K47" s="44"/>
      <c r="L47" s="44"/>
      <c r="M47" s="44"/>
    </row>
    <row r="48" spans="2:13" x14ac:dyDescent="0.25">
      <c r="B48" s="42"/>
      <c r="C48" s="43" t="str">
        <f t="shared" si="0"/>
        <v/>
      </c>
      <c r="D48" s="44" t="str">
        <f t="shared" si="1"/>
        <v/>
      </c>
      <c r="E48" s="44" t="str">
        <f t="shared" si="2"/>
        <v/>
      </c>
      <c r="F48" s="44"/>
      <c r="G48" s="44"/>
      <c r="H48" s="44"/>
      <c r="I48" s="44"/>
      <c r="J48" s="45"/>
      <c r="K48" s="44"/>
      <c r="L48" s="44"/>
      <c r="M48" s="44"/>
    </row>
    <row r="49" spans="2:13" x14ac:dyDescent="0.25">
      <c r="B49" s="42"/>
      <c r="C49" s="43" t="str">
        <f t="shared" si="0"/>
        <v/>
      </c>
      <c r="D49" s="44" t="str">
        <f t="shared" si="1"/>
        <v/>
      </c>
      <c r="E49" s="44" t="str">
        <f t="shared" si="2"/>
        <v/>
      </c>
      <c r="F49" s="44"/>
      <c r="G49" s="44"/>
      <c r="H49" s="44"/>
      <c r="I49" s="44"/>
      <c r="J49" s="45"/>
      <c r="K49" s="44"/>
      <c r="L49" s="44"/>
      <c r="M49" s="44"/>
    </row>
    <row r="50" spans="2:13" x14ac:dyDescent="0.25">
      <c r="B50" s="42"/>
      <c r="C50" s="43" t="str">
        <f t="shared" si="0"/>
        <v/>
      </c>
      <c r="D50" s="44" t="str">
        <f t="shared" si="1"/>
        <v/>
      </c>
      <c r="E50" s="44" t="str">
        <f t="shared" si="2"/>
        <v/>
      </c>
      <c r="F50" s="44"/>
      <c r="G50" s="44"/>
      <c r="H50" s="44"/>
      <c r="I50" s="44"/>
      <c r="J50" s="45"/>
      <c r="K50" s="44"/>
      <c r="L50" s="44"/>
      <c r="M50" s="44"/>
    </row>
    <row r="51" spans="2:13" x14ac:dyDescent="0.25">
      <c r="B51" s="42"/>
      <c r="C51" s="43" t="str">
        <f t="shared" si="0"/>
        <v/>
      </c>
      <c r="D51" s="44" t="str">
        <f t="shared" si="1"/>
        <v/>
      </c>
      <c r="E51" s="44" t="str">
        <f t="shared" si="2"/>
        <v/>
      </c>
      <c r="F51" s="44"/>
      <c r="G51" s="44"/>
      <c r="H51" s="44"/>
      <c r="I51" s="44"/>
      <c r="J51" s="45"/>
      <c r="K51" s="44"/>
      <c r="L51" s="44"/>
      <c r="M51" s="44"/>
    </row>
    <row r="52" spans="2:13" x14ac:dyDescent="0.25">
      <c r="B52" s="42"/>
      <c r="C52" s="43" t="str">
        <f t="shared" si="0"/>
        <v/>
      </c>
      <c r="D52" s="44" t="str">
        <f t="shared" si="1"/>
        <v/>
      </c>
      <c r="E52" s="44" t="str">
        <f t="shared" si="2"/>
        <v/>
      </c>
      <c r="F52" s="44"/>
      <c r="G52" s="44"/>
      <c r="H52" s="44"/>
      <c r="I52" s="44"/>
      <c r="J52" s="45"/>
      <c r="K52" s="44"/>
      <c r="L52" s="44"/>
      <c r="M52" s="44"/>
    </row>
    <row r="53" spans="2:13" x14ac:dyDescent="0.25">
      <c r="B53" s="42"/>
      <c r="C53" s="43" t="str">
        <f t="shared" si="0"/>
        <v/>
      </c>
      <c r="D53" s="44" t="str">
        <f t="shared" si="1"/>
        <v/>
      </c>
      <c r="E53" s="44" t="str">
        <f t="shared" si="2"/>
        <v/>
      </c>
      <c r="F53" s="44"/>
      <c r="G53" s="44"/>
      <c r="H53" s="44"/>
      <c r="I53" s="44"/>
      <c r="J53" s="45"/>
      <c r="K53" s="44"/>
      <c r="L53" s="44"/>
      <c r="M53" s="44"/>
    </row>
    <row r="54" spans="2:13" x14ac:dyDescent="0.25">
      <c r="B54" s="42"/>
      <c r="C54" s="43" t="str">
        <f t="shared" si="0"/>
        <v/>
      </c>
      <c r="D54" s="44" t="str">
        <f t="shared" si="1"/>
        <v/>
      </c>
      <c r="E54" s="44" t="str">
        <f t="shared" si="2"/>
        <v/>
      </c>
      <c r="F54" s="44"/>
      <c r="G54" s="44"/>
      <c r="H54" s="44"/>
      <c r="I54" s="44"/>
      <c r="J54" s="45"/>
      <c r="K54" s="44"/>
      <c r="L54" s="44"/>
      <c r="M54" s="44"/>
    </row>
    <row r="55" spans="2:13" x14ac:dyDescent="0.25">
      <c r="B55" s="42"/>
      <c r="C55" s="43" t="str">
        <f t="shared" si="0"/>
        <v/>
      </c>
      <c r="D55" s="44" t="str">
        <f t="shared" si="1"/>
        <v/>
      </c>
      <c r="E55" s="44" t="str">
        <f t="shared" si="2"/>
        <v/>
      </c>
      <c r="F55" s="44"/>
      <c r="G55" s="44"/>
      <c r="H55" s="44"/>
      <c r="I55" s="44"/>
      <c r="J55" s="45"/>
      <c r="K55" s="44"/>
      <c r="L55" s="44"/>
      <c r="M55" s="44"/>
    </row>
    <row r="56" spans="2:13" x14ac:dyDescent="0.25">
      <c r="B56" s="42"/>
      <c r="C56" s="43" t="str">
        <f t="shared" si="0"/>
        <v/>
      </c>
      <c r="D56" s="44" t="str">
        <f t="shared" si="1"/>
        <v/>
      </c>
      <c r="E56" s="44" t="str">
        <f t="shared" si="2"/>
        <v/>
      </c>
      <c r="F56" s="44"/>
      <c r="G56" s="44"/>
      <c r="H56" s="44"/>
      <c r="I56" s="44"/>
      <c r="J56" s="45"/>
      <c r="K56" s="44"/>
      <c r="L56" s="44"/>
      <c r="M56" s="44"/>
    </row>
    <row r="57" spans="2:13" x14ac:dyDescent="0.25">
      <c r="B57" s="42"/>
      <c r="C57" s="43" t="str">
        <f t="shared" si="0"/>
        <v/>
      </c>
      <c r="D57" s="44" t="str">
        <f t="shared" si="1"/>
        <v/>
      </c>
      <c r="E57" s="44" t="str">
        <f t="shared" si="2"/>
        <v/>
      </c>
      <c r="F57" s="44"/>
      <c r="G57" s="44"/>
      <c r="H57" s="44"/>
      <c r="I57" s="44"/>
      <c r="J57" s="45"/>
      <c r="K57" s="44"/>
      <c r="L57" s="44"/>
      <c r="M57" s="44"/>
    </row>
    <row r="58" spans="2:13" x14ac:dyDescent="0.25">
      <c r="B58" s="42"/>
      <c r="C58" s="43" t="str">
        <f t="shared" si="0"/>
        <v/>
      </c>
      <c r="D58" s="44" t="str">
        <f t="shared" si="1"/>
        <v/>
      </c>
      <c r="E58" s="44" t="str">
        <f t="shared" si="2"/>
        <v/>
      </c>
      <c r="F58" s="44"/>
      <c r="G58" s="44"/>
      <c r="H58" s="44"/>
      <c r="I58" s="44"/>
      <c r="J58" s="45"/>
      <c r="K58" s="44"/>
      <c r="L58" s="44"/>
      <c r="M58" s="44"/>
    </row>
    <row r="59" spans="2:13" x14ac:dyDescent="0.25">
      <c r="B59" s="42"/>
      <c r="C59" s="43" t="str">
        <f t="shared" si="0"/>
        <v/>
      </c>
      <c r="D59" s="44" t="str">
        <f t="shared" si="1"/>
        <v/>
      </c>
      <c r="E59" s="44" t="str">
        <f t="shared" si="2"/>
        <v/>
      </c>
      <c r="F59" s="44"/>
      <c r="G59" s="44"/>
      <c r="H59" s="44"/>
      <c r="I59" s="44"/>
      <c r="J59" s="45"/>
      <c r="K59" s="44"/>
      <c r="L59" s="44"/>
      <c r="M59" s="44"/>
    </row>
    <row r="60" spans="2:13" x14ac:dyDescent="0.25">
      <c r="B60" s="42"/>
      <c r="C60" s="43" t="str">
        <f t="shared" si="0"/>
        <v/>
      </c>
      <c r="D60" s="44" t="str">
        <f t="shared" si="1"/>
        <v/>
      </c>
      <c r="E60" s="44" t="str">
        <f t="shared" si="2"/>
        <v/>
      </c>
      <c r="F60" s="44"/>
      <c r="G60" s="44"/>
      <c r="H60" s="44"/>
      <c r="I60" s="44"/>
      <c r="J60" s="45"/>
      <c r="K60" s="44"/>
      <c r="L60" s="44"/>
      <c r="M60" s="44"/>
    </row>
    <row r="61" spans="2:13" x14ac:dyDescent="0.25">
      <c r="B61" s="42"/>
      <c r="C61" s="43" t="str">
        <f t="shared" si="0"/>
        <v/>
      </c>
      <c r="D61" s="44" t="str">
        <f t="shared" si="1"/>
        <v/>
      </c>
      <c r="E61" s="44" t="str">
        <f t="shared" si="2"/>
        <v/>
      </c>
      <c r="F61" s="44"/>
      <c r="G61" s="44"/>
      <c r="H61" s="44"/>
      <c r="I61" s="44"/>
      <c r="J61" s="45"/>
      <c r="K61" s="44"/>
      <c r="L61" s="44"/>
      <c r="M61" s="44"/>
    </row>
    <row r="62" spans="2:13" x14ac:dyDescent="0.25">
      <c r="B62" s="42"/>
      <c r="C62" s="43" t="str">
        <f t="shared" si="0"/>
        <v/>
      </c>
      <c r="D62" s="44" t="str">
        <f t="shared" si="1"/>
        <v/>
      </c>
      <c r="E62" s="44" t="str">
        <f t="shared" si="2"/>
        <v/>
      </c>
      <c r="F62" s="44"/>
      <c r="G62" s="44"/>
      <c r="H62" s="44"/>
      <c r="I62" s="44"/>
      <c r="J62" s="45"/>
      <c r="K62" s="44"/>
      <c r="L62" s="44"/>
      <c r="M62" s="44"/>
    </row>
    <row r="63" spans="2:13" x14ac:dyDescent="0.25">
      <c r="B63" s="42"/>
      <c r="C63" s="43" t="str">
        <f t="shared" si="0"/>
        <v/>
      </c>
      <c r="D63" s="44" t="str">
        <f t="shared" si="1"/>
        <v/>
      </c>
      <c r="E63" s="44" t="str">
        <f t="shared" si="2"/>
        <v/>
      </c>
      <c r="F63" s="44"/>
      <c r="G63" s="44"/>
      <c r="H63" s="44"/>
      <c r="I63" s="44"/>
      <c r="J63" s="45"/>
      <c r="K63" s="44"/>
      <c r="L63" s="44"/>
      <c r="M63" s="44"/>
    </row>
    <row r="64" spans="2:13" x14ac:dyDescent="0.25">
      <c r="B64" s="42"/>
      <c r="C64" s="43" t="str">
        <f t="shared" si="0"/>
        <v/>
      </c>
      <c r="D64" s="44" t="str">
        <f t="shared" si="1"/>
        <v/>
      </c>
      <c r="E64" s="44" t="str">
        <f t="shared" si="2"/>
        <v/>
      </c>
      <c r="F64" s="44"/>
      <c r="G64" s="44"/>
      <c r="H64" s="44"/>
      <c r="I64" s="44"/>
      <c r="J64" s="45"/>
      <c r="K64" s="44"/>
      <c r="L64" s="44"/>
      <c r="M64" s="44"/>
    </row>
    <row r="65" spans="2:13" x14ac:dyDescent="0.25">
      <c r="B65" s="42"/>
      <c r="C65" s="43" t="str">
        <f t="shared" si="0"/>
        <v/>
      </c>
      <c r="D65" s="44" t="str">
        <f t="shared" si="1"/>
        <v/>
      </c>
      <c r="E65" s="44" t="str">
        <f t="shared" si="2"/>
        <v/>
      </c>
      <c r="F65" s="44"/>
      <c r="G65" s="44"/>
      <c r="H65" s="44"/>
      <c r="I65" s="44"/>
      <c r="J65" s="45"/>
      <c r="K65" s="44"/>
      <c r="L65" s="44"/>
      <c r="M65" s="44"/>
    </row>
    <row r="66" spans="2:13" x14ac:dyDescent="0.25">
      <c r="B66" s="42"/>
      <c r="C66" s="43" t="str">
        <f t="shared" ref="C66:C129" si="3">IF(B66="","",MONTH(B66))</f>
        <v/>
      </c>
      <c r="D66" s="44" t="str">
        <f t="shared" ref="D66:D129" si="4">IF(B66="","",CHOOSE(C66,"Enero","Febrero","Marzo","Abril","Mayo","Junio","Julio","Agosto","Septiembre","Octubre","Noviembre","Diciembre"))</f>
        <v/>
      </c>
      <c r="E66" s="44" t="str">
        <f t="shared" ref="E66:E129" si="5">IF(B66="","",YEAR(B66))</f>
        <v/>
      </c>
      <c r="F66" s="44"/>
      <c r="G66" s="44"/>
      <c r="H66" s="44"/>
      <c r="I66" s="44"/>
      <c r="J66" s="45"/>
      <c r="K66" s="44"/>
      <c r="L66" s="44"/>
      <c r="M66" s="44"/>
    </row>
    <row r="67" spans="2:13" x14ac:dyDescent="0.25">
      <c r="B67" s="42"/>
      <c r="C67" s="43" t="str">
        <f t="shared" si="3"/>
        <v/>
      </c>
      <c r="D67" s="44" t="str">
        <f t="shared" si="4"/>
        <v/>
      </c>
      <c r="E67" s="44" t="str">
        <f t="shared" si="5"/>
        <v/>
      </c>
      <c r="F67" s="44"/>
      <c r="G67" s="44"/>
      <c r="H67" s="44"/>
      <c r="I67" s="44"/>
      <c r="J67" s="45"/>
      <c r="K67" s="44"/>
      <c r="L67" s="44"/>
      <c r="M67" s="44"/>
    </row>
    <row r="68" spans="2:13" x14ac:dyDescent="0.25">
      <c r="B68" s="42"/>
      <c r="C68" s="43" t="str">
        <f t="shared" si="3"/>
        <v/>
      </c>
      <c r="D68" s="44" t="str">
        <f t="shared" si="4"/>
        <v/>
      </c>
      <c r="E68" s="44" t="str">
        <f t="shared" si="5"/>
        <v/>
      </c>
      <c r="F68" s="44"/>
      <c r="G68" s="44"/>
      <c r="H68" s="44"/>
      <c r="I68" s="44"/>
      <c r="J68" s="45"/>
      <c r="K68" s="44"/>
      <c r="L68" s="44"/>
      <c r="M68" s="44"/>
    </row>
    <row r="69" spans="2:13" x14ac:dyDescent="0.25">
      <c r="B69" s="42"/>
      <c r="C69" s="43" t="str">
        <f t="shared" si="3"/>
        <v/>
      </c>
      <c r="D69" s="44" t="str">
        <f t="shared" si="4"/>
        <v/>
      </c>
      <c r="E69" s="44" t="str">
        <f t="shared" si="5"/>
        <v/>
      </c>
      <c r="F69" s="44"/>
      <c r="G69" s="44"/>
      <c r="H69" s="44"/>
      <c r="I69" s="44"/>
      <c r="J69" s="45"/>
      <c r="K69" s="44"/>
      <c r="L69" s="44"/>
      <c r="M69" s="44"/>
    </row>
    <row r="70" spans="2:13" x14ac:dyDescent="0.25">
      <c r="B70" s="42"/>
      <c r="C70" s="43" t="str">
        <f t="shared" si="3"/>
        <v/>
      </c>
      <c r="D70" s="44" t="str">
        <f t="shared" si="4"/>
        <v/>
      </c>
      <c r="E70" s="44" t="str">
        <f t="shared" si="5"/>
        <v/>
      </c>
      <c r="F70" s="44"/>
      <c r="G70" s="44"/>
      <c r="H70" s="44"/>
      <c r="I70" s="44"/>
      <c r="J70" s="45"/>
      <c r="K70" s="44"/>
      <c r="L70" s="44"/>
      <c r="M70" s="44"/>
    </row>
    <row r="71" spans="2:13" x14ac:dyDescent="0.25">
      <c r="B71" s="42"/>
      <c r="C71" s="43" t="str">
        <f t="shared" si="3"/>
        <v/>
      </c>
      <c r="D71" s="44" t="str">
        <f t="shared" si="4"/>
        <v/>
      </c>
      <c r="E71" s="44" t="str">
        <f t="shared" si="5"/>
        <v/>
      </c>
      <c r="F71" s="44"/>
      <c r="G71" s="44"/>
      <c r="H71" s="44"/>
      <c r="I71" s="44"/>
      <c r="J71" s="45"/>
      <c r="K71" s="44"/>
      <c r="L71" s="44"/>
      <c r="M71" s="44"/>
    </row>
    <row r="72" spans="2:13" x14ac:dyDescent="0.25">
      <c r="B72" s="42"/>
      <c r="C72" s="43" t="str">
        <f t="shared" si="3"/>
        <v/>
      </c>
      <c r="D72" s="44" t="str">
        <f t="shared" si="4"/>
        <v/>
      </c>
      <c r="E72" s="44" t="str">
        <f t="shared" si="5"/>
        <v/>
      </c>
      <c r="F72" s="44"/>
      <c r="G72" s="44"/>
      <c r="H72" s="44"/>
      <c r="I72" s="44"/>
      <c r="J72" s="45"/>
      <c r="K72" s="44"/>
      <c r="L72" s="44"/>
      <c r="M72" s="44"/>
    </row>
    <row r="73" spans="2:13" x14ac:dyDescent="0.25">
      <c r="B73" s="42"/>
      <c r="C73" s="43" t="str">
        <f t="shared" si="3"/>
        <v/>
      </c>
      <c r="D73" s="44" t="str">
        <f t="shared" si="4"/>
        <v/>
      </c>
      <c r="E73" s="44" t="str">
        <f t="shared" si="5"/>
        <v/>
      </c>
      <c r="F73" s="44"/>
      <c r="G73" s="44"/>
      <c r="H73" s="44"/>
      <c r="I73" s="44"/>
      <c r="J73" s="45"/>
      <c r="K73" s="44"/>
      <c r="L73" s="44"/>
      <c r="M73" s="44"/>
    </row>
    <row r="74" spans="2:13" x14ac:dyDescent="0.25">
      <c r="B74" s="42"/>
      <c r="C74" s="43" t="str">
        <f t="shared" si="3"/>
        <v/>
      </c>
      <c r="D74" s="44" t="str">
        <f t="shared" si="4"/>
        <v/>
      </c>
      <c r="E74" s="44" t="str">
        <f t="shared" si="5"/>
        <v/>
      </c>
      <c r="F74" s="44"/>
      <c r="G74" s="44"/>
      <c r="H74" s="44"/>
      <c r="I74" s="44"/>
      <c r="J74" s="45"/>
      <c r="K74" s="44"/>
      <c r="L74" s="44"/>
      <c r="M74" s="44"/>
    </row>
    <row r="75" spans="2:13" x14ac:dyDescent="0.25">
      <c r="B75" s="42"/>
      <c r="C75" s="43" t="str">
        <f t="shared" si="3"/>
        <v/>
      </c>
      <c r="D75" s="44" t="str">
        <f t="shared" si="4"/>
        <v/>
      </c>
      <c r="E75" s="44" t="str">
        <f t="shared" si="5"/>
        <v/>
      </c>
      <c r="F75" s="44"/>
      <c r="G75" s="44"/>
      <c r="H75" s="44"/>
      <c r="I75" s="44"/>
      <c r="J75" s="45"/>
      <c r="K75" s="44"/>
      <c r="L75" s="44"/>
      <c r="M75" s="44"/>
    </row>
    <row r="76" spans="2:13" x14ac:dyDescent="0.25">
      <c r="B76" s="42"/>
      <c r="C76" s="43" t="str">
        <f t="shared" si="3"/>
        <v/>
      </c>
      <c r="D76" s="44" t="str">
        <f t="shared" si="4"/>
        <v/>
      </c>
      <c r="E76" s="44" t="str">
        <f t="shared" si="5"/>
        <v/>
      </c>
      <c r="F76" s="44"/>
      <c r="G76" s="44"/>
      <c r="H76" s="44"/>
      <c r="I76" s="44"/>
      <c r="J76" s="45"/>
      <c r="K76" s="44"/>
      <c r="L76" s="44"/>
      <c r="M76" s="44"/>
    </row>
    <row r="77" spans="2:13" x14ac:dyDescent="0.25">
      <c r="B77" s="42"/>
      <c r="C77" s="43" t="str">
        <f t="shared" si="3"/>
        <v/>
      </c>
      <c r="D77" s="44" t="str">
        <f t="shared" si="4"/>
        <v/>
      </c>
      <c r="E77" s="44" t="str">
        <f t="shared" si="5"/>
        <v/>
      </c>
      <c r="F77" s="44"/>
      <c r="G77" s="44"/>
      <c r="H77" s="44"/>
      <c r="I77" s="44"/>
      <c r="J77" s="45"/>
      <c r="K77" s="44"/>
      <c r="L77" s="44"/>
      <c r="M77" s="44"/>
    </row>
    <row r="78" spans="2:13" x14ac:dyDescent="0.25">
      <c r="B78" s="42"/>
      <c r="C78" s="43" t="str">
        <f t="shared" si="3"/>
        <v/>
      </c>
      <c r="D78" s="44" t="str">
        <f t="shared" si="4"/>
        <v/>
      </c>
      <c r="E78" s="44" t="str">
        <f t="shared" si="5"/>
        <v/>
      </c>
      <c r="F78" s="44"/>
      <c r="G78" s="44"/>
      <c r="H78" s="44"/>
      <c r="I78" s="44"/>
      <c r="J78" s="45"/>
      <c r="K78" s="44"/>
      <c r="L78" s="44"/>
      <c r="M78" s="44"/>
    </row>
    <row r="79" spans="2:13" x14ac:dyDescent="0.25">
      <c r="B79" s="42"/>
      <c r="C79" s="43" t="str">
        <f t="shared" si="3"/>
        <v/>
      </c>
      <c r="D79" s="44" t="str">
        <f t="shared" si="4"/>
        <v/>
      </c>
      <c r="E79" s="44" t="str">
        <f t="shared" si="5"/>
        <v/>
      </c>
      <c r="F79" s="44"/>
      <c r="G79" s="44"/>
      <c r="H79" s="44"/>
      <c r="I79" s="44"/>
      <c r="J79" s="45"/>
      <c r="K79" s="44"/>
      <c r="L79" s="44"/>
      <c r="M79" s="44"/>
    </row>
    <row r="80" spans="2:13" x14ac:dyDescent="0.25">
      <c r="B80" s="42"/>
      <c r="C80" s="43" t="str">
        <f t="shared" si="3"/>
        <v/>
      </c>
      <c r="D80" s="44" t="str">
        <f t="shared" si="4"/>
        <v/>
      </c>
      <c r="E80" s="44" t="str">
        <f t="shared" si="5"/>
        <v/>
      </c>
      <c r="F80" s="44"/>
      <c r="G80" s="44"/>
      <c r="H80" s="44"/>
      <c r="I80" s="44"/>
      <c r="J80" s="45"/>
      <c r="K80" s="44"/>
      <c r="L80" s="44"/>
      <c r="M80" s="44"/>
    </row>
    <row r="81" spans="2:13" x14ac:dyDescent="0.25">
      <c r="B81" s="42"/>
      <c r="C81" s="43" t="str">
        <f t="shared" si="3"/>
        <v/>
      </c>
      <c r="D81" s="44" t="str">
        <f t="shared" si="4"/>
        <v/>
      </c>
      <c r="E81" s="44" t="str">
        <f t="shared" si="5"/>
        <v/>
      </c>
      <c r="F81" s="44"/>
      <c r="G81" s="44"/>
      <c r="H81" s="44"/>
      <c r="I81" s="44"/>
      <c r="J81" s="45"/>
      <c r="K81" s="44"/>
      <c r="L81" s="44"/>
      <c r="M81" s="44"/>
    </row>
    <row r="82" spans="2:13" x14ac:dyDescent="0.25">
      <c r="B82" s="42"/>
      <c r="C82" s="43" t="str">
        <f t="shared" si="3"/>
        <v/>
      </c>
      <c r="D82" s="44" t="str">
        <f t="shared" si="4"/>
        <v/>
      </c>
      <c r="E82" s="44" t="str">
        <f t="shared" si="5"/>
        <v/>
      </c>
      <c r="F82" s="44"/>
      <c r="G82" s="44"/>
      <c r="H82" s="44"/>
      <c r="I82" s="44"/>
      <c r="J82" s="45"/>
      <c r="K82" s="44"/>
      <c r="L82" s="44"/>
      <c r="M82" s="44"/>
    </row>
    <row r="83" spans="2:13" x14ac:dyDescent="0.25">
      <c r="B83" s="42"/>
      <c r="C83" s="43" t="str">
        <f t="shared" si="3"/>
        <v/>
      </c>
      <c r="D83" s="44" t="str">
        <f t="shared" si="4"/>
        <v/>
      </c>
      <c r="E83" s="44" t="str">
        <f t="shared" si="5"/>
        <v/>
      </c>
      <c r="F83" s="44"/>
      <c r="G83" s="44"/>
      <c r="H83" s="44"/>
      <c r="I83" s="44"/>
      <c r="J83" s="45"/>
      <c r="K83" s="44"/>
      <c r="L83" s="44"/>
      <c r="M83" s="44"/>
    </row>
    <row r="84" spans="2:13" x14ac:dyDescent="0.25">
      <c r="B84" s="42"/>
      <c r="C84" s="43" t="str">
        <f t="shared" si="3"/>
        <v/>
      </c>
      <c r="D84" s="44" t="str">
        <f t="shared" si="4"/>
        <v/>
      </c>
      <c r="E84" s="44" t="str">
        <f t="shared" si="5"/>
        <v/>
      </c>
      <c r="F84" s="44"/>
      <c r="G84" s="44"/>
      <c r="H84" s="44"/>
      <c r="I84" s="44"/>
      <c r="J84" s="45"/>
      <c r="K84" s="44"/>
      <c r="L84" s="44"/>
      <c r="M84" s="44"/>
    </row>
    <row r="85" spans="2:13" x14ac:dyDescent="0.25">
      <c r="B85" s="42"/>
      <c r="C85" s="43" t="str">
        <f t="shared" si="3"/>
        <v/>
      </c>
      <c r="D85" s="44" t="str">
        <f t="shared" si="4"/>
        <v/>
      </c>
      <c r="E85" s="44" t="str">
        <f t="shared" si="5"/>
        <v/>
      </c>
      <c r="F85" s="44"/>
      <c r="G85" s="44"/>
      <c r="H85" s="44"/>
      <c r="I85" s="44"/>
      <c r="J85" s="45"/>
      <c r="K85" s="44"/>
      <c r="L85" s="44"/>
      <c r="M85" s="44"/>
    </row>
    <row r="86" spans="2:13" x14ac:dyDescent="0.25">
      <c r="B86" s="42"/>
      <c r="C86" s="43" t="str">
        <f t="shared" si="3"/>
        <v/>
      </c>
      <c r="D86" s="44" t="str">
        <f t="shared" si="4"/>
        <v/>
      </c>
      <c r="E86" s="44" t="str">
        <f t="shared" si="5"/>
        <v/>
      </c>
      <c r="F86" s="44"/>
      <c r="G86" s="44"/>
      <c r="H86" s="44"/>
      <c r="I86" s="44"/>
      <c r="J86" s="45"/>
      <c r="K86" s="44"/>
      <c r="L86" s="44"/>
      <c r="M86" s="44"/>
    </row>
    <row r="87" spans="2:13" x14ac:dyDescent="0.25">
      <c r="B87" s="42"/>
      <c r="C87" s="43" t="str">
        <f t="shared" si="3"/>
        <v/>
      </c>
      <c r="D87" s="44" t="str">
        <f t="shared" si="4"/>
        <v/>
      </c>
      <c r="E87" s="44" t="str">
        <f t="shared" si="5"/>
        <v/>
      </c>
      <c r="F87" s="44"/>
      <c r="G87" s="44"/>
      <c r="H87" s="44"/>
      <c r="I87" s="44"/>
      <c r="J87" s="45"/>
      <c r="K87" s="44"/>
      <c r="L87" s="44"/>
      <c r="M87" s="44"/>
    </row>
    <row r="88" spans="2:13" x14ac:dyDescent="0.25">
      <c r="B88" s="42"/>
      <c r="C88" s="43" t="str">
        <f t="shared" si="3"/>
        <v/>
      </c>
      <c r="D88" s="44" t="str">
        <f t="shared" si="4"/>
        <v/>
      </c>
      <c r="E88" s="44" t="str">
        <f t="shared" si="5"/>
        <v/>
      </c>
      <c r="F88" s="44"/>
      <c r="G88" s="44"/>
      <c r="H88" s="44"/>
      <c r="I88" s="44"/>
      <c r="J88" s="45"/>
      <c r="K88" s="44"/>
      <c r="L88" s="44"/>
      <c r="M88" s="44"/>
    </row>
    <row r="89" spans="2:13" x14ac:dyDescent="0.25">
      <c r="B89" s="42"/>
      <c r="C89" s="43" t="str">
        <f t="shared" si="3"/>
        <v/>
      </c>
      <c r="D89" s="44" t="str">
        <f t="shared" si="4"/>
        <v/>
      </c>
      <c r="E89" s="44" t="str">
        <f t="shared" si="5"/>
        <v/>
      </c>
      <c r="F89" s="44"/>
      <c r="G89" s="44"/>
      <c r="H89" s="44"/>
      <c r="I89" s="44"/>
      <c r="J89" s="45"/>
      <c r="K89" s="44"/>
      <c r="L89" s="44"/>
      <c r="M89" s="44"/>
    </row>
    <row r="90" spans="2:13" x14ac:dyDescent="0.25">
      <c r="B90" s="42"/>
      <c r="C90" s="43" t="str">
        <f t="shared" si="3"/>
        <v/>
      </c>
      <c r="D90" s="44" t="str">
        <f t="shared" si="4"/>
        <v/>
      </c>
      <c r="E90" s="44" t="str">
        <f t="shared" si="5"/>
        <v/>
      </c>
      <c r="F90" s="44"/>
      <c r="G90" s="44"/>
      <c r="H90" s="44"/>
      <c r="I90" s="44"/>
      <c r="J90" s="45"/>
      <c r="K90" s="44"/>
      <c r="L90" s="44"/>
      <c r="M90" s="44"/>
    </row>
    <row r="91" spans="2:13" x14ac:dyDescent="0.25">
      <c r="B91" s="42"/>
      <c r="C91" s="43" t="str">
        <f t="shared" si="3"/>
        <v/>
      </c>
      <c r="D91" s="44" t="str">
        <f t="shared" si="4"/>
        <v/>
      </c>
      <c r="E91" s="44" t="str">
        <f t="shared" si="5"/>
        <v/>
      </c>
      <c r="F91" s="44"/>
      <c r="G91" s="44"/>
      <c r="H91" s="44"/>
      <c r="I91" s="44"/>
      <c r="J91" s="45"/>
      <c r="K91" s="44"/>
      <c r="L91" s="44"/>
      <c r="M91" s="44"/>
    </row>
    <row r="92" spans="2:13" x14ac:dyDescent="0.25">
      <c r="B92" s="42"/>
      <c r="C92" s="43" t="str">
        <f t="shared" si="3"/>
        <v/>
      </c>
      <c r="D92" s="44" t="str">
        <f t="shared" si="4"/>
        <v/>
      </c>
      <c r="E92" s="44" t="str">
        <f t="shared" si="5"/>
        <v/>
      </c>
      <c r="F92" s="44"/>
      <c r="G92" s="44"/>
      <c r="H92" s="44"/>
      <c r="I92" s="44"/>
      <c r="J92" s="45"/>
      <c r="K92" s="44"/>
      <c r="L92" s="44"/>
      <c r="M92" s="44"/>
    </row>
    <row r="93" spans="2:13" x14ac:dyDescent="0.25">
      <c r="B93" s="42"/>
      <c r="C93" s="43" t="str">
        <f t="shared" si="3"/>
        <v/>
      </c>
      <c r="D93" s="44" t="str">
        <f t="shared" si="4"/>
        <v/>
      </c>
      <c r="E93" s="44" t="str">
        <f t="shared" si="5"/>
        <v/>
      </c>
      <c r="F93" s="44"/>
      <c r="G93" s="44"/>
      <c r="H93" s="44"/>
      <c r="I93" s="44"/>
      <c r="J93" s="45"/>
      <c r="K93" s="44"/>
      <c r="L93" s="44"/>
      <c r="M93" s="44"/>
    </row>
    <row r="94" spans="2:13" x14ac:dyDescent="0.25">
      <c r="B94" s="42"/>
      <c r="C94" s="43" t="str">
        <f t="shared" si="3"/>
        <v/>
      </c>
      <c r="D94" s="44" t="str">
        <f t="shared" si="4"/>
        <v/>
      </c>
      <c r="E94" s="44" t="str">
        <f t="shared" si="5"/>
        <v/>
      </c>
      <c r="F94" s="44"/>
      <c r="G94" s="44"/>
      <c r="H94" s="44"/>
      <c r="I94" s="44"/>
      <c r="J94" s="45"/>
      <c r="K94" s="44"/>
      <c r="L94" s="44"/>
      <c r="M94" s="44"/>
    </row>
    <row r="95" spans="2:13" x14ac:dyDescent="0.25">
      <c r="B95" s="42"/>
      <c r="C95" s="43" t="str">
        <f t="shared" si="3"/>
        <v/>
      </c>
      <c r="D95" s="44" t="str">
        <f t="shared" si="4"/>
        <v/>
      </c>
      <c r="E95" s="44" t="str">
        <f t="shared" si="5"/>
        <v/>
      </c>
      <c r="F95" s="44"/>
      <c r="G95" s="44"/>
      <c r="H95" s="44"/>
      <c r="I95" s="44"/>
      <c r="J95" s="45"/>
      <c r="K95" s="44"/>
      <c r="L95" s="44"/>
      <c r="M95" s="44"/>
    </row>
    <row r="96" spans="2:13" x14ac:dyDescent="0.25">
      <c r="B96" s="42"/>
      <c r="C96" s="43" t="str">
        <f t="shared" si="3"/>
        <v/>
      </c>
      <c r="D96" s="44" t="str">
        <f t="shared" si="4"/>
        <v/>
      </c>
      <c r="E96" s="44" t="str">
        <f t="shared" si="5"/>
        <v/>
      </c>
      <c r="F96" s="44"/>
      <c r="G96" s="44"/>
      <c r="H96" s="44"/>
      <c r="I96" s="44"/>
      <c r="J96" s="45"/>
      <c r="K96" s="44"/>
      <c r="L96" s="44"/>
      <c r="M96" s="44"/>
    </row>
    <row r="97" spans="2:13" x14ac:dyDescent="0.25">
      <c r="B97" s="42"/>
      <c r="C97" s="43" t="str">
        <f t="shared" si="3"/>
        <v/>
      </c>
      <c r="D97" s="44" t="str">
        <f t="shared" si="4"/>
        <v/>
      </c>
      <c r="E97" s="44" t="str">
        <f t="shared" si="5"/>
        <v/>
      </c>
      <c r="F97" s="44"/>
      <c r="G97" s="44"/>
      <c r="H97" s="44"/>
      <c r="I97" s="44"/>
      <c r="J97" s="45"/>
      <c r="K97" s="44"/>
      <c r="L97" s="44"/>
      <c r="M97" s="44"/>
    </row>
    <row r="98" spans="2:13" x14ac:dyDescent="0.25">
      <c r="B98" s="42"/>
      <c r="C98" s="43" t="str">
        <f t="shared" si="3"/>
        <v/>
      </c>
      <c r="D98" s="44" t="str">
        <f t="shared" si="4"/>
        <v/>
      </c>
      <c r="E98" s="44" t="str">
        <f t="shared" si="5"/>
        <v/>
      </c>
      <c r="F98" s="44"/>
      <c r="G98" s="44"/>
      <c r="H98" s="44"/>
      <c r="I98" s="44"/>
      <c r="J98" s="45"/>
      <c r="K98" s="44"/>
      <c r="L98" s="44"/>
      <c r="M98" s="44"/>
    </row>
    <row r="99" spans="2:13" x14ac:dyDescent="0.25">
      <c r="B99" s="42"/>
      <c r="C99" s="43" t="str">
        <f t="shared" si="3"/>
        <v/>
      </c>
      <c r="D99" s="44" t="str">
        <f t="shared" si="4"/>
        <v/>
      </c>
      <c r="E99" s="44" t="str">
        <f t="shared" si="5"/>
        <v/>
      </c>
      <c r="F99" s="44"/>
      <c r="G99" s="44"/>
      <c r="H99" s="44"/>
      <c r="I99" s="44"/>
      <c r="J99" s="45"/>
      <c r="K99" s="44"/>
      <c r="L99" s="44"/>
      <c r="M99" s="44"/>
    </row>
    <row r="100" spans="2:13" x14ac:dyDescent="0.25">
      <c r="B100" s="42"/>
      <c r="C100" s="43" t="str">
        <f t="shared" si="3"/>
        <v/>
      </c>
      <c r="D100" s="44" t="str">
        <f t="shared" si="4"/>
        <v/>
      </c>
      <c r="E100" s="44" t="str">
        <f t="shared" si="5"/>
        <v/>
      </c>
      <c r="F100" s="44"/>
      <c r="G100" s="44"/>
      <c r="H100" s="44"/>
      <c r="I100" s="44"/>
      <c r="J100" s="45"/>
      <c r="K100" s="44"/>
      <c r="L100" s="44"/>
      <c r="M100" s="44"/>
    </row>
    <row r="101" spans="2:13" x14ac:dyDescent="0.25">
      <c r="B101" s="42"/>
      <c r="C101" s="43" t="str">
        <f t="shared" si="3"/>
        <v/>
      </c>
      <c r="D101" s="44" t="str">
        <f t="shared" si="4"/>
        <v/>
      </c>
      <c r="E101" s="44" t="str">
        <f t="shared" si="5"/>
        <v/>
      </c>
      <c r="F101" s="44"/>
      <c r="G101" s="44"/>
      <c r="H101" s="44"/>
      <c r="I101" s="44"/>
      <c r="J101" s="45"/>
      <c r="K101" s="44"/>
      <c r="L101" s="44"/>
      <c r="M101" s="44"/>
    </row>
    <row r="102" spans="2:13" x14ac:dyDescent="0.25">
      <c r="B102" s="42"/>
      <c r="C102" s="43" t="str">
        <f t="shared" si="3"/>
        <v/>
      </c>
      <c r="D102" s="44" t="str">
        <f t="shared" si="4"/>
        <v/>
      </c>
      <c r="E102" s="44" t="str">
        <f t="shared" si="5"/>
        <v/>
      </c>
      <c r="F102" s="44"/>
      <c r="G102" s="44"/>
      <c r="H102" s="44"/>
      <c r="I102" s="44"/>
      <c r="J102" s="45"/>
      <c r="K102" s="44"/>
      <c r="L102" s="44"/>
      <c r="M102" s="44"/>
    </row>
    <row r="103" spans="2:13" x14ac:dyDescent="0.25">
      <c r="B103" s="42"/>
      <c r="C103" s="43" t="str">
        <f t="shared" si="3"/>
        <v/>
      </c>
      <c r="D103" s="44" t="str">
        <f t="shared" si="4"/>
        <v/>
      </c>
      <c r="E103" s="44" t="str">
        <f t="shared" si="5"/>
        <v/>
      </c>
      <c r="F103" s="44"/>
      <c r="G103" s="44"/>
      <c r="H103" s="44"/>
      <c r="I103" s="44"/>
      <c r="J103" s="45"/>
      <c r="K103" s="44"/>
      <c r="L103" s="44"/>
      <c r="M103" s="44"/>
    </row>
    <row r="104" spans="2:13" x14ac:dyDescent="0.25">
      <c r="B104" s="42"/>
      <c r="C104" s="43" t="str">
        <f t="shared" si="3"/>
        <v/>
      </c>
      <c r="D104" s="44" t="str">
        <f t="shared" si="4"/>
        <v/>
      </c>
      <c r="E104" s="44" t="str">
        <f t="shared" si="5"/>
        <v/>
      </c>
      <c r="F104" s="44"/>
      <c r="G104" s="44"/>
      <c r="H104" s="44"/>
      <c r="I104" s="44"/>
      <c r="J104" s="45"/>
      <c r="K104" s="44"/>
      <c r="L104" s="44"/>
      <c r="M104" s="44"/>
    </row>
    <row r="105" spans="2:13" x14ac:dyDescent="0.25">
      <c r="B105" s="42"/>
      <c r="C105" s="43" t="str">
        <f t="shared" si="3"/>
        <v/>
      </c>
      <c r="D105" s="44" t="str">
        <f t="shared" si="4"/>
        <v/>
      </c>
      <c r="E105" s="44" t="str">
        <f t="shared" si="5"/>
        <v/>
      </c>
      <c r="F105" s="44"/>
      <c r="G105" s="44"/>
      <c r="H105" s="44"/>
      <c r="I105" s="44"/>
      <c r="J105" s="45"/>
      <c r="K105" s="44"/>
      <c r="L105" s="44"/>
      <c r="M105" s="44"/>
    </row>
    <row r="106" spans="2:13" x14ac:dyDescent="0.25">
      <c r="B106" s="42"/>
      <c r="C106" s="43" t="str">
        <f t="shared" si="3"/>
        <v/>
      </c>
      <c r="D106" s="44" t="str">
        <f t="shared" si="4"/>
        <v/>
      </c>
      <c r="E106" s="44" t="str">
        <f t="shared" si="5"/>
        <v/>
      </c>
      <c r="F106" s="44"/>
      <c r="G106" s="44"/>
      <c r="H106" s="44"/>
      <c r="I106" s="44"/>
      <c r="J106" s="45"/>
      <c r="K106" s="44"/>
      <c r="L106" s="44"/>
      <c r="M106" s="44"/>
    </row>
    <row r="107" spans="2:13" x14ac:dyDescent="0.25">
      <c r="B107" s="42"/>
      <c r="C107" s="43" t="str">
        <f t="shared" si="3"/>
        <v/>
      </c>
      <c r="D107" s="44" t="str">
        <f t="shared" si="4"/>
        <v/>
      </c>
      <c r="E107" s="44" t="str">
        <f t="shared" si="5"/>
        <v/>
      </c>
      <c r="F107" s="44"/>
      <c r="G107" s="44"/>
      <c r="H107" s="44"/>
      <c r="I107" s="44"/>
      <c r="J107" s="45"/>
      <c r="K107" s="44"/>
      <c r="L107" s="44"/>
      <c r="M107" s="44"/>
    </row>
    <row r="108" spans="2:13" x14ac:dyDescent="0.25">
      <c r="B108" s="42"/>
      <c r="C108" s="43" t="str">
        <f t="shared" si="3"/>
        <v/>
      </c>
      <c r="D108" s="44" t="str">
        <f t="shared" si="4"/>
        <v/>
      </c>
      <c r="E108" s="44" t="str">
        <f t="shared" si="5"/>
        <v/>
      </c>
      <c r="F108" s="44"/>
      <c r="G108" s="44"/>
      <c r="H108" s="44"/>
      <c r="I108" s="44"/>
      <c r="J108" s="45"/>
      <c r="K108" s="44"/>
      <c r="L108" s="44"/>
      <c r="M108" s="44"/>
    </row>
    <row r="109" spans="2:13" x14ac:dyDescent="0.25">
      <c r="B109" s="42"/>
      <c r="C109" s="43" t="str">
        <f t="shared" si="3"/>
        <v/>
      </c>
      <c r="D109" s="44" t="str">
        <f t="shared" si="4"/>
        <v/>
      </c>
      <c r="E109" s="44" t="str">
        <f t="shared" si="5"/>
        <v/>
      </c>
      <c r="F109" s="44"/>
      <c r="G109" s="44"/>
      <c r="H109" s="44"/>
      <c r="I109" s="44"/>
      <c r="J109" s="45"/>
      <c r="K109" s="44"/>
      <c r="L109" s="44"/>
      <c r="M109" s="44"/>
    </row>
    <row r="110" spans="2:13" x14ac:dyDescent="0.25">
      <c r="B110" s="42"/>
      <c r="C110" s="43" t="str">
        <f t="shared" si="3"/>
        <v/>
      </c>
      <c r="D110" s="44" t="str">
        <f t="shared" si="4"/>
        <v/>
      </c>
      <c r="E110" s="44" t="str">
        <f t="shared" si="5"/>
        <v/>
      </c>
      <c r="F110" s="44"/>
      <c r="G110" s="44"/>
      <c r="H110" s="44"/>
      <c r="I110" s="44"/>
      <c r="J110" s="45"/>
      <c r="K110" s="44"/>
      <c r="L110" s="44"/>
      <c r="M110" s="44"/>
    </row>
    <row r="111" spans="2:13" x14ac:dyDescent="0.25">
      <c r="B111" s="42"/>
      <c r="C111" s="43" t="str">
        <f t="shared" si="3"/>
        <v/>
      </c>
      <c r="D111" s="44" t="str">
        <f t="shared" si="4"/>
        <v/>
      </c>
      <c r="E111" s="44" t="str">
        <f t="shared" si="5"/>
        <v/>
      </c>
      <c r="F111" s="44"/>
      <c r="G111" s="44"/>
      <c r="H111" s="44"/>
      <c r="I111" s="44"/>
      <c r="J111" s="45"/>
      <c r="K111" s="44"/>
      <c r="L111" s="44"/>
      <c r="M111" s="44"/>
    </row>
    <row r="112" spans="2:13" x14ac:dyDescent="0.25">
      <c r="B112" s="42"/>
      <c r="C112" s="43" t="str">
        <f t="shared" si="3"/>
        <v/>
      </c>
      <c r="D112" s="44" t="str">
        <f t="shared" si="4"/>
        <v/>
      </c>
      <c r="E112" s="44" t="str">
        <f t="shared" si="5"/>
        <v/>
      </c>
      <c r="F112" s="44"/>
      <c r="G112" s="44"/>
      <c r="H112" s="44"/>
      <c r="I112" s="44"/>
      <c r="J112" s="45"/>
      <c r="K112" s="44"/>
      <c r="L112" s="44"/>
      <c r="M112" s="44"/>
    </row>
    <row r="113" spans="2:13" x14ac:dyDescent="0.25">
      <c r="B113" s="42"/>
      <c r="C113" s="43" t="str">
        <f t="shared" si="3"/>
        <v/>
      </c>
      <c r="D113" s="44" t="str">
        <f t="shared" si="4"/>
        <v/>
      </c>
      <c r="E113" s="44" t="str">
        <f t="shared" si="5"/>
        <v/>
      </c>
      <c r="F113" s="44"/>
      <c r="G113" s="44"/>
      <c r="H113" s="44"/>
      <c r="I113" s="44"/>
      <c r="J113" s="45"/>
      <c r="K113" s="44"/>
      <c r="L113" s="44"/>
      <c r="M113" s="44"/>
    </row>
    <row r="114" spans="2:13" x14ac:dyDescent="0.25">
      <c r="B114" s="42"/>
      <c r="C114" s="43" t="str">
        <f t="shared" si="3"/>
        <v/>
      </c>
      <c r="D114" s="44" t="str">
        <f t="shared" si="4"/>
        <v/>
      </c>
      <c r="E114" s="44" t="str">
        <f t="shared" si="5"/>
        <v/>
      </c>
      <c r="F114" s="44"/>
      <c r="G114" s="44"/>
      <c r="H114" s="44"/>
      <c r="I114" s="44"/>
      <c r="J114" s="45"/>
      <c r="K114" s="44"/>
      <c r="L114" s="44"/>
      <c r="M114" s="44"/>
    </row>
    <row r="115" spans="2:13" x14ac:dyDescent="0.25">
      <c r="B115" s="42"/>
      <c r="C115" s="43" t="str">
        <f t="shared" si="3"/>
        <v/>
      </c>
      <c r="D115" s="44" t="str">
        <f t="shared" si="4"/>
        <v/>
      </c>
      <c r="E115" s="44" t="str">
        <f t="shared" si="5"/>
        <v/>
      </c>
      <c r="F115" s="44"/>
      <c r="G115" s="44"/>
      <c r="H115" s="44"/>
      <c r="I115" s="44"/>
      <c r="J115" s="45"/>
      <c r="K115" s="44"/>
      <c r="L115" s="44"/>
      <c r="M115" s="44"/>
    </row>
    <row r="116" spans="2:13" x14ac:dyDescent="0.25">
      <c r="B116" s="42"/>
      <c r="C116" s="43" t="str">
        <f t="shared" si="3"/>
        <v/>
      </c>
      <c r="D116" s="44" t="str">
        <f t="shared" si="4"/>
        <v/>
      </c>
      <c r="E116" s="44" t="str">
        <f t="shared" si="5"/>
        <v/>
      </c>
      <c r="F116" s="44"/>
      <c r="G116" s="44"/>
      <c r="H116" s="44"/>
      <c r="I116" s="44"/>
      <c r="J116" s="45"/>
      <c r="K116" s="44"/>
      <c r="L116" s="44"/>
      <c r="M116" s="44"/>
    </row>
    <row r="117" spans="2:13" x14ac:dyDescent="0.25">
      <c r="B117" s="42"/>
      <c r="C117" s="43" t="str">
        <f t="shared" si="3"/>
        <v/>
      </c>
      <c r="D117" s="44" t="str">
        <f t="shared" si="4"/>
        <v/>
      </c>
      <c r="E117" s="44" t="str">
        <f t="shared" si="5"/>
        <v/>
      </c>
      <c r="F117" s="44"/>
      <c r="G117" s="44"/>
      <c r="H117" s="44"/>
      <c r="I117" s="44"/>
      <c r="J117" s="45"/>
      <c r="K117" s="44"/>
      <c r="L117" s="44"/>
      <c r="M117" s="44"/>
    </row>
    <row r="118" spans="2:13" x14ac:dyDescent="0.25">
      <c r="B118" s="42"/>
      <c r="C118" s="43" t="str">
        <f t="shared" si="3"/>
        <v/>
      </c>
      <c r="D118" s="44" t="str">
        <f t="shared" si="4"/>
        <v/>
      </c>
      <c r="E118" s="44" t="str">
        <f t="shared" si="5"/>
        <v/>
      </c>
      <c r="F118" s="44"/>
      <c r="G118" s="44"/>
      <c r="H118" s="44"/>
      <c r="I118" s="44"/>
      <c r="J118" s="45"/>
      <c r="K118" s="44"/>
      <c r="L118" s="44"/>
      <c r="M118" s="44"/>
    </row>
    <row r="119" spans="2:13" x14ac:dyDescent="0.25">
      <c r="B119" s="42"/>
      <c r="C119" s="43" t="str">
        <f t="shared" si="3"/>
        <v/>
      </c>
      <c r="D119" s="44" t="str">
        <f t="shared" si="4"/>
        <v/>
      </c>
      <c r="E119" s="44" t="str">
        <f t="shared" si="5"/>
        <v/>
      </c>
      <c r="F119" s="44"/>
      <c r="G119" s="44"/>
      <c r="H119" s="44"/>
      <c r="I119" s="44"/>
      <c r="J119" s="45"/>
      <c r="K119" s="44"/>
      <c r="L119" s="44"/>
      <c r="M119" s="44"/>
    </row>
    <row r="120" spans="2:13" x14ac:dyDescent="0.25">
      <c r="B120" s="42"/>
      <c r="C120" s="43" t="str">
        <f t="shared" si="3"/>
        <v/>
      </c>
      <c r="D120" s="44" t="str">
        <f t="shared" si="4"/>
        <v/>
      </c>
      <c r="E120" s="44" t="str">
        <f t="shared" si="5"/>
        <v/>
      </c>
      <c r="F120" s="44"/>
      <c r="G120" s="44"/>
      <c r="H120" s="44"/>
      <c r="I120" s="44"/>
      <c r="J120" s="45"/>
      <c r="K120" s="44"/>
      <c r="L120" s="44"/>
      <c r="M120" s="44"/>
    </row>
    <row r="121" spans="2:13" x14ac:dyDescent="0.25">
      <c r="B121" s="42"/>
      <c r="C121" s="43" t="str">
        <f t="shared" si="3"/>
        <v/>
      </c>
      <c r="D121" s="44" t="str">
        <f t="shared" si="4"/>
        <v/>
      </c>
      <c r="E121" s="44" t="str">
        <f t="shared" si="5"/>
        <v/>
      </c>
      <c r="F121" s="44"/>
      <c r="G121" s="44"/>
      <c r="H121" s="44"/>
      <c r="I121" s="44"/>
      <c r="J121" s="45"/>
      <c r="K121" s="44"/>
      <c r="L121" s="44"/>
      <c r="M121" s="44"/>
    </row>
    <row r="122" spans="2:13" x14ac:dyDescent="0.25">
      <c r="B122" s="42"/>
      <c r="C122" s="43" t="str">
        <f t="shared" si="3"/>
        <v/>
      </c>
      <c r="D122" s="44" t="str">
        <f t="shared" si="4"/>
        <v/>
      </c>
      <c r="E122" s="44" t="str">
        <f t="shared" si="5"/>
        <v/>
      </c>
      <c r="F122" s="44"/>
      <c r="G122" s="44"/>
      <c r="H122" s="44"/>
      <c r="I122" s="44"/>
      <c r="J122" s="45"/>
      <c r="K122" s="44"/>
      <c r="L122" s="44"/>
      <c r="M122" s="44"/>
    </row>
    <row r="123" spans="2:13" x14ac:dyDescent="0.25">
      <c r="B123" s="42"/>
      <c r="C123" s="43" t="str">
        <f t="shared" si="3"/>
        <v/>
      </c>
      <c r="D123" s="44" t="str">
        <f t="shared" si="4"/>
        <v/>
      </c>
      <c r="E123" s="44" t="str">
        <f t="shared" si="5"/>
        <v/>
      </c>
      <c r="F123" s="44"/>
      <c r="G123" s="44"/>
      <c r="H123" s="44"/>
      <c r="I123" s="44"/>
      <c r="J123" s="45"/>
      <c r="K123" s="44"/>
      <c r="L123" s="44"/>
      <c r="M123" s="44"/>
    </row>
    <row r="124" spans="2:13" x14ac:dyDescent="0.25">
      <c r="B124" s="42"/>
      <c r="C124" s="43" t="str">
        <f t="shared" si="3"/>
        <v/>
      </c>
      <c r="D124" s="44" t="str">
        <f t="shared" si="4"/>
        <v/>
      </c>
      <c r="E124" s="44" t="str">
        <f t="shared" si="5"/>
        <v/>
      </c>
      <c r="F124" s="44"/>
      <c r="G124" s="44"/>
      <c r="H124" s="44"/>
      <c r="I124" s="44"/>
      <c r="J124" s="45"/>
      <c r="K124" s="44"/>
      <c r="L124" s="44"/>
      <c r="M124" s="44"/>
    </row>
    <row r="125" spans="2:13" x14ac:dyDescent="0.25">
      <c r="B125" s="42"/>
      <c r="C125" s="43" t="str">
        <f t="shared" si="3"/>
        <v/>
      </c>
      <c r="D125" s="44" t="str">
        <f t="shared" si="4"/>
        <v/>
      </c>
      <c r="E125" s="44" t="str">
        <f t="shared" si="5"/>
        <v/>
      </c>
      <c r="F125" s="44"/>
      <c r="G125" s="44"/>
      <c r="H125" s="44"/>
      <c r="I125" s="44"/>
      <c r="J125" s="45"/>
      <c r="K125" s="44"/>
      <c r="L125" s="44"/>
      <c r="M125" s="44"/>
    </row>
    <row r="126" spans="2:13" x14ac:dyDescent="0.25">
      <c r="B126" s="42"/>
      <c r="C126" s="43" t="str">
        <f t="shared" si="3"/>
        <v/>
      </c>
      <c r="D126" s="44" t="str">
        <f t="shared" si="4"/>
        <v/>
      </c>
      <c r="E126" s="44" t="str">
        <f t="shared" si="5"/>
        <v/>
      </c>
      <c r="F126" s="44"/>
      <c r="G126" s="44"/>
      <c r="H126" s="44"/>
      <c r="I126" s="44"/>
      <c r="J126" s="45"/>
      <c r="K126" s="44"/>
      <c r="L126" s="44"/>
      <c r="M126" s="44"/>
    </row>
    <row r="127" spans="2:13" x14ac:dyDescent="0.25">
      <c r="B127" s="42"/>
      <c r="C127" s="43" t="str">
        <f t="shared" si="3"/>
        <v/>
      </c>
      <c r="D127" s="44" t="str">
        <f t="shared" si="4"/>
        <v/>
      </c>
      <c r="E127" s="44" t="str">
        <f t="shared" si="5"/>
        <v/>
      </c>
      <c r="F127" s="44"/>
      <c r="G127" s="44"/>
      <c r="H127" s="44"/>
      <c r="I127" s="44"/>
      <c r="J127" s="45"/>
      <c r="K127" s="44"/>
      <c r="L127" s="44"/>
      <c r="M127" s="44"/>
    </row>
    <row r="128" spans="2:13" x14ac:dyDescent="0.25">
      <c r="B128" s="42"/>
      <c r="C128" s="43" t="str">
        <f t="shared" si="3"/>
        <v/>
      </c>
      <c r="D128" s="44" t="str">
        <f t="shared" si="4"/>
        <v/>
      </c>
      <c r="E128" s="44" t="str">
        <f t="shared" si="5"/>
        <v/>
      </c>
      <c r="F128" s="44"/>
      <c r="G128" s="44"/>
      <c r="H128" s="44"/>
      <c r="I128" s="44"/>
      <c r="J128" s="45"/>
      <c r="K128" s="44"/>
      <c r="L128" s="44"/>
      <c r="M128" s="44"/>
    </row>
    <row r="129" spans="2:13" x14ac:dyDescent="0.25">
      <c r="B129" s="42"/>
      <c r="C129" s="43" t="str">
        <f t="shared" si="3"/>
        <v/>
      </c>
      <c r="D129" s="44" t="str">
        <f t="shared" si="4"/>
        <v/>
      </c>
      <c r="E129" s="44" t="str">
        <f t="shared" si="5"/>
        <v/>
      </c>
      <c r="F129" s="44"/>
      <c r="G129" s="44"/>
      <c r="H129" s="44"/>
      <c r="I129" s="44"/>
      <c r="J129" s="45"/>
      <c r="K129" s="44"/>
      <c r="L129" s="44"/>
      <c r="M129" s="44"/>
    </row>
    <row r="130" spans="2:13" x14ac:dyDescent="0.25">
      <c r="B130" s="42"/>
      <c r="C130" s="43" t="str">
        <f t="shared" ref="C130:C193" si="6">IF(B130="","",MONTH(B130))</f>
        <v/>
      </c>
      <c r="D130" s="44" t="str">
        <f t="shared" ref="D130:D193" si="7">IF(B130="","",CHOOSE(C130,"Enero","Febrero","Marzo","Abril","Mayo","Junio","Julio","Agosto","Septiembre","Octubre","Noviembre","Diciembre"))</f>
        <v/>
      </c>
      <c r="E130" s="44" t="str">
        <f t="shared" ref="E130:E193" si="8">IF(B130="","",YEAR(B130))</f>
        <v/>
      </c>
      <c r="F130" s="44"/>
      <c r="G130" s="44"/>
      <c r="H130" s="44"/>
      <c r="I130" s="44"/>
      <c r="J130" s="45"/>
      <c r="K130" s="44"/>
      <c r="L130" s="44"/>
      <c r="M130" s="44"/>
    </row>
    <row r="131" spans="2:13" x14ac:dyDescent="0.25">
      <c r="B131" s="42"/>
      <c r="C131" s="43" t="str">
        <f t="shared" si="6"/>
        <v/>
      </c>
      <c r="D131" s="44" t="str">
        <f t="shared" si="7"/>
        <v/>
      </c>
      <c r="E131" s="44" t="str">
        <f t="shared" si="8"/>
        <v/>
      </c>
      <c r="F131" s="44"/>
      <c r="G131" s="44"/>
      <c r="H131" s="44"/>
      <c r="I131" s="44"/>
      <c r="J131" s="45"/>
      <c r="K131" s="44"/>
      <c r="L131" s="44"/>
      <c r="M131" s="44"/>
    </row>
    <row r="132" spans="2:13" x14ac:dyDescent="0.25">
      <c r="B132" s="42"/>
      <c r="C132" s="43" t="str">
        <f t="shared" si="6"/>
        <v/>
      </c>
      <c r="D132" s="44" t="str">
        <f t="shared" si="7"/>
        <v/>
      </c>
      <c r="E132" s="44" t="str">
        <f t="shared" si="8"/>
        <v/>
      </c>
      <c r="F132" s="44"/>
      <c r="G132" s="44"/>
      <c r="H132" s="44"/>
      <c r="I132" s="44"/>
      <c r="J132" s="45"/>
      <c r="K132" s="44"/>
      <c r="L132" s="44"/>
      <c r="M132" s="44"/>
    </row>
    <row r="133" spans="2:13" x14ac:dyDescent="0.25">
      <c r="B133" s="42"/>
      <c r="C133" s="43" t="str">
        <f t="shared" si="6"/>
        <v/>
      </c>
      <c r="D133" s="44" t="str">
        <f t="shared" si="7"/>
        <v/>
      </c>
      <c r="E133" s="44" t="str">
        <f t="shared" si="8"/>
        <v/>
      </c>
      <c r="F133" s="44"/>
      <c r="G133" s="44"/>
      <c r="H133" s="44"/>
      <c r="I133" s="44"/>
      <c r="J133" s="45"/>
      <c r="K133" s="44"/>
      <c r="L133" s="44"/>
      <c r="M133" s="44"/>
    </row>
    <row r="134" spans="2:13" x14ac:dyDescent="0.25">
      <c r="B134" s="42"/>
      <c r="C134" s="43" t="str">
        <f t="shared" si="6"/>
        <v/>
      </c>
      <c r="D134" s="44" t="str">
        <f t="shared" si="7"/>
        <v/>
      </c>
      <c r="E134" s="44" t="str">
        <f t="shared" si="8"/>
        <v/>
      </c>
      <c r="F134" s="44"/>
      <c r="G134" s="44"/>
      <c r="H134" s="44"/>
      <c r="I134" s="44"/>
      <c r="J134" s="45"/>
      <c r="K134" s="44"/>
      <c r="L134" s="44"/>
      <c r="M134" s="44"/>
    </row>
    <row r="135" spans="2:13" x14ac:dyDescent="0.25">
      <c r="B135" s="42"/>
      <c r="C135" s="43" t="str">
        <f t="shared" si="6"/>
        <v/>
      </c>
      <c r="D135" s="44" t="str">
        <f t="shared" si="7"/>
        <v/>
      </c>
      <c r="E135" s="44" t="str">
        <f t="shared" si="8"/>
        <v/>
      </c>
      <c r="F135" s="44"/>
      <c r="G135" s="44"/>
      <c r="H135" s="44"/>
      <c r="I135" s="44"/>
      <c r="J135" s="45"/>
      <c r="K135" s="44"/>
      <c r="L135" s="44"/>
      <c r="M135" s="44"/>
    </row>
    <row r="136" spans="2:13" x14ac:dyDescent="0.25">
      <c r="B136" s="42"/>
      <c r="C136" s="43" t="str">
        <f t="shared" si="6"/>
        <v/>
      </c>
      <c r="D136" s="44" t="str">
        <f t="shared" si="7"/>
        <v/>
      </c>
      <c r="E136" s="44" t="str">
        <f t="shared" si="8"/>
        <v/>
      </c>
      <c r="F136" s="44"/>
      <c r="G136" s="44"/>
      <c r="H136" s="44"/>
      <c r="I136" s="44"/>
      <c r="J136" s="45"/>
      <c r="K136" s="44"/>
      <c r="L136" s="44"/>
      <c r="M136" s="44"/>
    </row>
    <row r="137" spans="2:13" x14ac:dyDescent="0.25">
      <c r="B137" s="42"/>
      <c r="C137" s="43" t="str">
        <f t="shared" si="6"/>
        <v/>
      </c>
      <c r="D137" s="44" t="str">
        <f t="shared" si="7"/>
        <v/>
      </c>
      <c r="E137" s="44" t="str">
        <f t="shared" si="8"/>
        <v/>
      </c>
      <c r="F137" s="44"/>
      <c r="G137" s="44"/>
      <c r="H137" s="44"/>
      <c r="I137" s="44"/>
      <c r="J137" s="45"/>
      <c r="K137" s="44"/>
      <c r="L137" s="44"/>
      <c r="M137" s="44"/>
    </row>
    <row r="138" spans="2:13" x14ac:dyDescent="0.25">
      <c r="B138" s="42"/>
      <c r="C138" s="43" t="str">
        <f t="shared" si="6"/>
        <v/>
      </c>
      <c r="D138" s="44" t="str">
        <f t="shared" si="7"/>
        <v/>
      </c>
      <c r="E138" s="44" t="str">
        <f t="shared" si="8"/>
        <v/>
      </c>
      <c r="F138" s="44"/>
      <c r="G138" s="44"/>
      <c r="H138" s="44"/>
      <c r="I138" s="44"/>
      <c r="J138" s="45"/>
      <c r="K138" s="44"/>
      <c r="L138" s="44"/>
      <c r="M138" s="44"/>
    </row>
    <row r="139" spans="2:13" x14ac:dyDescent="0.25">
      <c r="B139" s="42"/>
      <c r="C139" s="43" t="str">
        <f t="shared" si="6"/>
        <v/>
      </c>
      <c r="D139" s="44" t="str">
        <f t="shared" si="7"/>
        <v/>
      </c>
      <c r="E139" s="44" t="str">
        <f t="shared" si="8"/>
        <v/>
      </c>
      <c r="F139" s="44"/>
      <c r="G139" s="44"/>
      <c r="H139" s="44"/>
      <c r="I139" s="44"/>
      <c r="J139" s="45"/>
      <c r="K139" s="44"/>
      <c r="L139" s="44"/>
      <c r="M139" s="44"/>
    </row>
    <row r="140" spans="2:13" x14ac:dyDescent="0.25">
      <c r="B140" s="42"/>
      <c r="C140" s="43" t="str">
        <f t="shared" si="6"/>
        <v/>
      </c>
      <c r="D140" s="44" t="str">
        <f t="shared" si="7"/>
        <v/>
      </c>
      <c r="E140" s="44" t="str">
        <f t="shared" si="8"/>
        <v/>
      </c>
      <c r="F140" s="44"/>
      <c r="G140" s="44"/>
      <c r="H140" s="44"/>
      <c r="I140" s="44"/>
      <c r="J140" s="45"/>
      <c r="K140" s="44"/>
      <c r="L140" s="44"/>
      <c r="M140" s="44"/>
    </row>
    <row r="141" spans="2:13" x14ac:dyDescent="0.25">
      <c r="B141" s="42"/>
      <c r="C141" s="43" t="str">
        <f t="shared" si="6"/>
        <v/>
      </c>
      <c r="D141" s="44" t="str">
        <f t="shared" si="7"/>
        <v/>
      </c>
      <c r="E141" s="44" t="str">
        <f t="shared" si="8"/>
        <v/>
      </c>
      <c r="F141" s="44"/>
      <c r="G141" s="44"/>
      <c r="H141" s="44"/>
      <c r="I141" s="44"/>
      <c r="J141" s="45"/>
      <c r="K141" s="44"/>
      <c r="L141" s="44"/>
      <c r="M141" s="44"/>
    </row>
    <row r="142" spans="2:13" x14ac:dyDescent="0.25">
      <c r="B142" s="42"/>
      <c r="C142" s="43" t="str">
        <f t="shared" si="6"/>
        <v/>
      </c>
      <c r="D142" s="44" t="str">
        <f t="shared" si="7"/>
        <v/>
      </c>
      <c r="E142" s="44" t="str">
        <f t="shared" si="8"/>
        <v/>
      </c>
      <c r="F142" s="44"/>
      <c r="G142" s="44"/>
      <c r="H142" s="44"/>
      <c r="I142" s="44"/>
      <c r="J142" s="45"/>
      <c r="K142" s="44"/>
      <c r="L142" s="44"/>
      <c r="M142" s="44"/>
    </row>
    <row r="143" spans="2:13" x14ac:dyDescent="0.25">
      <c r="B143" s="42"/>
      <c r="C143" s="43" t="str">
        <f t="shared" si="6"/>
        <v/>
      </c>
      <c r="D143" s="44" t="str">
        <f t="shared" si="7"/>
        <v/>
      </c>
      <c r="E143" s="44" t="str">
        <f t="shared" si="8"/>
        <v/>
      </c>
      <c r="F143" s="44"/>
      <c r="G143" s="44"/>
      <c r="H143" s="44"/>
      <c r="I143" s="44"/>
      <c r="J143" s="45"/>
      <c r="K143" s="44"/>
      <c r="L143" s="44"/>
      <c r="M143" s="44"/>
    </row>
    <row r="144" spans="2:13" x14ac:dyDescent="0.25">
      <c r="B144" s="42"/>
      <c r="C144" s="43" t="str">
        <f t="shared" si="6"/>
        <v/>
      </c>
      <c r="D144" s="44" t="str">
        <f t="shared" si="7"/>
        <v/>
      </c>
      <c r="E144" s="44" t="str">
        <f t="shared" si="8"/>
        <v/>
      </c>
      <c r="F144" s="44"/>
      <c r="G144" s="44"/>
      <c r="H144" s="44"/>
      <c r="I144" s="44"/>
      <c r="J144" s="45"/>
      <c r="K144" s="44"/>
      <c r="L144" s="44"/>
      <c r="M144" s="44"/>
    </row>
    <row r="145" spans="2:13" x14ac:dyDescent="0.25">
      <c r="B145" s="42"/>
      <c r="C145" s="43" t="str">
        <f t="shared" si="6"/>
        <v/>
      </c>
      <c r="D145" s="44" t="str">
        <f t="shared" si="7"/>
        <v/>
      </c>
      <c r="E145" s="44" t="str">
        <f t="shared" si="8"/>
        <v/>
      </c>
      <c r="F145" s="44"/>
      <c r="G145" s="44"/>
      <c r="H145" s="44"/>
      <c r="I145" s="44"/>
      <c r="J145" s="45"/>
      <c r="K145" s="44"/>
      <c r="L145" s="44"/>
      <c r="M145" s="44"/>
    </row>
    <row r="146" spans="2:13" x14ac:dyDescent="0.25">
      <c r="B146" s="42"/>
      <c r="C146" s="43" t="str">
        <f t="shared" si="6"/>
        <v/>
      </c>
      <c r="D146" s="44" t="str">
        <f t="shared" si="7"/>
        <v/>
      </c>
      <c r="E146" s="44" t="str">
        <f t="shared" si="8"/>
        <v/>
      </c>
      <c r="F146" s="44"/>
      <c r="G146" s="44"/>
      <c r="H146" s="44"/>
      <c r="I146" s="44"/>
      <c r="J146" s="45"/>
      <c r="K146" s="44"/>
      <c r="L146" s="44"/>
      <c r="M146" s="44"/>
    </row>
    <row r="147" spans="2:13" x14ac:dyDescent="0.25">
      <c r="B147" s="42"/>
      <c r="C147" s="43" t="str">
        <f t="shared" si="6"/>
        <v/>
      </c>
      <c r="D147" s="44" t="str">
        <f t="shared" si="7"/>
        <v/>
      </c>
      <c r="E147" s="44" t="str">
        <f t="shared" si="8"/>
        <v/>
      </c>
      <c r="F147" s="44"/>
      <c r="G147" s="44"/>
      <c r="H147" s="44"/>
      <c r="I147" s="44"/>
      <c r="J147" s="45"/>
      <c r="K147" s="44"/>
      <c r="L147" s="44"/>
      <c r="M147" s="44"/>
    </row>
    <row r="148" spans="2:13" x14ac:dyDescent="0.25">
      <c r="B148" s="42"/>
      <c r="C148" s="43" t="str">
        <f t="shared" si="6"/>
        <v/>
      </c>
      <c r="D148" s="44" t="str">
        <f t="shared" si="7"/>
        <v/>
      </c>
      <c r="E148" s="44" t="str">
        <f t="shared" si="8"/>
        <v/>
      </c>
      <c r="F148" s="44"/>
      <c r="G148" s="44"/>
      <c r="H148" s="44"/>
      <c r="I148" s="44"/>
      <c r="J148" s="45"/>
      <c r="K148" s="44"/>
      <c r="L148" s="44"/>
      <c r="M148" s="44"/>
    </row>
    <row r="149" spans="2:13" x14ac:dyDescent="0.25">
      <c r="B149" s="42"/>
      <c r="C149" s="43" t="str">
        <f t="shared" si="6"/>
        <v/>
      </c>
      <c r="D149" s="44" t="str">
        <f t="shared" si="7"/>
        <v/>
      </c>
      <c r="E149" s="44" t="str">
        <f t="shared" si="8"/>
        <v/>
      </c>
      <c r="F149" s="44"/>
      <c r="G149" s="44"/>
      <c r="H149" s="44"/>
      <c r="I149" s="44"/>
      <c r="J149" s="45"/>
      <c r="K149" s="44"/>
      <c r="L149" s="44"/>
      <c r="M149" s="44"/>
    </row>
    <row r="150" spans="2:13" x14ac:dyDescent="0.25">
      <c r="B150" s="42"/>
      <c r="C150" s="43" t="str">
        <f t="shared" si="6"/>
        <v/>
      </c>
      <c r="D150" s="44" t="str">
        <f t="shared" si="7"/>
        <v/>
      </c>
      <c r="E150" s="44" t="str">
        <f t="shared" si="8"/>
        <v/>
      </c>
      <c r="F150" s="44"/>
      <c r="G150" s="44"/>
      <c r="H150" s="44"/>
      <c r="I150" s="44"/>
      <c r="J150" s="45"/>
      <c r="K150" s="44"/>
      <c r="L150" s="44"/>
      <c r="M150" s="44"/>
    </row>
    <row r="151" spans="2:13" x14ac:dyDescent="0.25">
      <c r="B151" s="42"/>
      <c r="C151" s="43" t="str">
        <f t="shared" si="6"/>
        <v/>
      </c>
      <c r="D151" s="44" t="str">
        <f t="shared" si="7"/>
        <v/>
      </c>
      <c r="E151" s="44" t="str">
        <f t="shared" si="8"/>
        <v/>
      </c>
      <c r="F151" s="44"/>
      <c r="G151" s="44"/>
      <c r="H151" s="44"/>
      <c r="I151" s="44"/>
      <c r="J151" s="45"/>
      <c r="K151" s="44"/>
      <c r="L151" s="44"/>
      <c r="M151" s="44"/>
    </row>
    <row r="152" spans="2:13" x14ac:dyDescent="0.25">
      <c r="B152" s="42"/>
      <c r="C152" s="43" t="str">
        <f t="shared" si="6"/>
        <v/>
      </c>
      <c r="D152" s="44" t="str">
        <f t="shared" si="7"/>
        <v/>
      </c>
      <c r="E152" s="44" t="str">
        <f t="shared" si="8"/>
        <v/>
      </c>
      <c r="F152" s="44"/>
      <c r="G152" s="44"/>
      <c r="H152" s="44"/>
      <c r="I152" s="44"/>
      <c r="J152" s="45"/>
      <c r="K152" s="44"/>
      <c r="L152" s="44"/>
      <c r="M152" s="44"/>
    </row>
    <row r="153" spans="2:13" x14ac:dyDescent="0.25">
      <c r="B153" s="42"/>
      <c r="C153" s="43" t="str">
        <f t="shared" si="6"/>
        <v/>
      </c>
      <c r="D153" s="44" t="str">
        <f t="shared" si="7"/>
        <v/>
      </c>
      <c r="E153" s="44" t="str">
        <f t="shared" si="8"/>
        <v/>
      </c>
      <c r="F153" s="44"/>
      <c r="G153" s="44"/>
      <c r="H153" s="44"/>
      <c r="I153" s="44"/>
      <c r="J153" s="45"/>
      <c r="K153" s="44"/>
      <c r="L153" s="44"/>
      <c r="M153" s="44"/>
    </row>
    <row r="154" spans="2:13" x14ac:dyDescent="0.25">
      <c r="B154" s="42"/>
      <c r="C154" s="43" t="str">
        <f t="shared" si="6"/>
        <v/>
      </c>
      <c r="D154" s="44" t="str">
        <f t="shared" si="7"/>
        <v/>
      </c>
      <c r="E154" s="44" t="str">
        <f t="shared" si="8"/>
        <v/>
      </c>
      <c r="F154" s="44"/>
      <c r="G154" s="44"/>
      <c r="H154" s="44"/>
      <c r="I154" s="44"/>
      <c r="J154" s="45"/>
      <c r="K154" s="44"/>
      <c r="L154" s="44"/>
      <c r="M154" s="44"/>
    </row>
    <row r="155" spans="2:13" x14ac:dyDescent="0.25">
      <c r="B155" s="42"/>
      <c r="C155" s="43" t="str">
        <f t="shared" si="6"/>
        <v/>
      </c>
      <c r="D155" s="44" t="str">
        <f t="shared" si="7"/>
        <v/>
      </c>
      <c r="E155" s="44" t="str">
        <f t="shared" si="8"/>
        <v/>
      </c>
      <c r="F155" s="44"/>
      <c r="G155" s="44"/>
      <c r="H155" s="44"/>
      <c r="I155" s="44"/>
      <c r="J155" s="45"/>
      <c r="K155" s="44"/>
      <c r="L155" s="44"/>
      <c r="M155" s="44"/>
    </row>
    <row r="156" spans="2:13" x14ac:dyDescent="0.25">
      <c r="B156" s="42"/>
      <c r="C156" s="43" t="str">
        <f t="shared" si="6"/>
        <v/>
      </c>
      <c r="D156" s="44" t="str">
        <f t="shared" si="7"/>
        <v/>
      </c>
      <c r="E156" s="44" t="str">
        <f t="shared" si="8"/>
        <v/>
      </c>
      <c r="F156" s="44"/>
      <c r="G156" s="44"/>
      <c r="H156" s="44"/>
      <c r="I156" s="44"/>
      <c r="J156" s="45"/>
      <c r="K156" s="44"/>
      <c r="L156" s="44"/>
      <c r="M156" s="44"/>
    </row>
    <row r="157" spans="2:13" x14ac:dyDescent="0.25">
      <c r="B157" s="42"/>
      <c r="C157" s="43" t="str">
        <f t="shared" si="6"/>
        <v/>
      </c>
      <c r="D157" s="44" t="str">
        <f t="shared" si="7"/>
        <v/>
      </c>
      <c r="E157" s="44" t="str">
        <f t="shared" si="8"/>
        <v/>
      </c>
      <c r="F157" s="44"/>
      <c r="G157" s="44"/>
      <c r="H157" s="44"/>
      <c r="I157" s="44"/>
      <c r="J157" s="45"/>
      <c r="K157" s="44"/>
      <c r="L157" s="44"/>
      <c r="M157" s="44"/>
    </row>
    <row r="158" spans="2:13" x14ac:dyDescent="0.25">
      <c r="B158" s="42"/>
      <c r="C158" s="43" t="str">
        <f t="shared" si="6"/>
        <v/>
      </c>
      <c r="D158" s="44" t="str">
        <f t="shared" si="7"/>
        <v/>
      </c>
      <c r="E158" s="44" t="str">
        <f t="shared" si="8"/>
        <v/>
      </c>
      <c r="F158" s="44"/>
      <c r="G158" s="44"/>
      <c r="H158" s="44"/>
      <c r="I158" s="44"/>
      <c r="J158" s="45"/>
      <c r="K158" s="44"/>
      <c r="L158" s="44"/>
      <c r="M158" s="44"/>
    </row>
    <row r="159" spans="2:13" x14ac:dyDescent="0.25">
      <c r="B159" s="42"/>
      <c r="C159" s="43" t="str">
        <f t="shared" si="6"/>
        <v/>
      </c>
      <c r="D159" s="44" t="str">
        <f t="shared" si="7"/>
        <v/>
      </c>
      <c r="E159" s="44" t="str">
        <f t="shared" si="8"/>
        <v/>
      </c>
      <c r="F159" s="44"/>
      <c r="G159" s="44"/>
      <c r="H159" s="44"/>
      <c r="I159" s="44"/>
      <c r="J159" s="45"/>
      <c r="K159" s="44"/>
      <c r="L159" s="44"/>
      <c r="M159" s="44"/>
    </row>
    <row r="160" spans="2:13" x14ac:dyDescent="0.25">
      <c r="B160" s="42"/>
      <c r="C160" s="43" t="str">
        <f t="shared" si="6"/>
        <v/>
      </c>
      <c r="D160" s="44" t="str">
        <f t="shared" si="7"/>
        <v/>
      </c>
      <c r="E160" s="44" t="str">
        <f t="shared" si="8"/>
        <v/>
      </c>
      <c r="F160" s="44"/>
      <c r="G160" s="44"/>
      <c r="H160" s="44"/>
      <c r="I160" s="44"/>
      <c r="J160" s="45"/>
      <c r="K160" s="44"/>
      <c r="L160" s="44"/>
      <c r="M160" s="44"/>
    </row>
    <row r="161" spans="2:13" x14ac:dyDescent="0.25">
      <c r="B161" s="42"/>
      <c r="C161" s="43" t="str">
        <f t="shared" si="6"/>
        <v/>
      </c>
      <c r="D161" s="44" t="str">
        <f t="shared" si="7"/>
        <v/>
      </c>
      <c r="E161" s="44" t="str">
        <f t="shared" si="8"/>
        <v/>
      </c>
      <c r="F161" s="44"/>
      <c r="G161" s="44"/>
      <c r="H161" s="44"/>
      <c r="I161" s="44"/>
      <c r="J161" s="45"/>
      <c r="K161" s="44"/>
      <c r="L161" s="44"/>
      <c r="M161" s="44"/>
    </row>
    <row r="162" spans="2:13" x14ac:dyDescent="0.25">
      <c r="B162" s="42"/>
      <c r="C162" s="43" t="str">
        <f t="shared" si="6"/>
        <v/>
      </c>
      <c r="D162" s="44" t="str">
        <f t="shared" si="7"/>
        <v/>
      </c>
      <c r="E162" s="44" t="str">
        <f t="shared" si="8"/>
        <v/>
      </c>
      <c r="F162" s="44"/>
      <c r="G162" s="44"/>
      <c r="H162" s="44"/>
      <c r="I162" s="44"/>
      <c r="J162" s="45"/>
      <c r="K162" s="44"/>
      <c r="L162" s="44"/>
      <c r="M162" s="44"/>
    </row>
    <row r="163" spans="2:13" x14ac:dyDescent="0.25">
      <c r="B163" s="42"/>
      <c r="C163" s="43" t="str">
        <f t="shared" si="6"/>
        <v/>
      </c>
      <c r="D163" s="44" t="str">
        <f t="shared" si="7"/>
        <v/>
      </c>
      <c r="E163" s="44" t="str">
        <f t="shared" si="8"/>
        <v/>
      </c>
      <c r="F163" s="44"/>
      <c r="G163" s="44"/>
      <c r="H163" s="44"/>
      <c r="I163" s="44"/>
      <c r="J163" s="45"/>
      <c r="K163" s="44"/>
      <c r="L163" s="44"/>
      <c r="M163" s="44"/>
    </row>
    <row r="164" spans="2:13" x14ac:dyDescent="0.25">
      <c r="B164" s="42"/>
      <c r="C164" s="43" t="str">
        <f t="shared" si="6"/>
        <v/>
      </c>
      <c r="D164" s="44" t="str">
        <f t="shared" si="7"/>
        <v/>
      </c>
      <c r="E164" s="44" t="str">
        <f t="shared" si="8"/>
        <v/>
      </c>
      <c r="F164" s="44"/>
      <c r="G164" s="44"/>
      <c r="H164" s="44"/>
      <c r="I164" s="44"/>
      <c r="J164" s="45"/>
      <c r="K164" s="44"/>
      <c r="L164" s="44"/>
      <c r="M164" s="44"/>
    </row>
    <row r="165" spans="2:13" x14ac:dyDescent="0.25">
      <c r="B165" s="42"/>
      <c r="C165" s="43" t="str">
        <f t="shared" si="6"/>
        <v/>
      </c>
      <c r="D165" s="44" t="str">
        <f t="shared" si="7"/>
        <v/>
      </c>
      <c r="E165" s="44" t="str">
        <f t="shared" si="8"/>
        <v/>
      </c>
      <c r="F165" s="44"/>
      <c r="G165" s="44"/>
      <c r="H165" s="44"/>
      <c r="I165" s="44"/>
      <c r="J165" s="45"/>
      <c r="K165" s="44"/>
      <c r="L165" s="44"/>
      <c r="M165" s="44"/>
    </row>
    <row r="166" spans="2:13" x14ac:dyDescent="0.25">
      <c r="B166" s="42"/>
      <c r="C166" s="43" t="str">
        <f t="shared" si="6"/>
        <v/>
      </c>
      <c r="D166" s="44" t="str">
        <f t="shared" si="7"/>
        <v/>
      </c>
      <c r="E166" s="44" t="str">
        <f t="shared" si="8"/>
        <v/>
      </c>
      <c r="F166" s="44"/>
      <c r="G166" s="44"/>
      <c r="H166" s="44"/>
      <c r="I166" s="44"/>
      <c r="J166" s="45"/>
      <c r="K166" s="44"/>
      <c r="L166" s="44"/>
      <c r="M166" s="44"/>
    </row>
    <row r="167" spans="2:13" x14ac:dyDescent="0.25">
      <c r="B167" s="42"/>
      <c r="C167" s="43" t="str">
        <f t="shared" si="6"/>
        <v/>
      </c>
      <c r="D167" s="44" t="str">
        <f t="shared" si="7"/>
        <v/>
      </c>
      <c r="E167" s="44" t="str">
        <f t="shared" si="8"/>
        <v/>
      </c>
      <c r="F167" s="44"/>
      <c r="G167" s="44"/>
      <c r="H167" s="44"/>
      <c r="I167" s="44"/>
      <c r="J167" s="45"/>
      <c r="K167" s="44"/>
      <c r="L167" s="44"/>
      <c r="M167" s="44"/>
    </row>
    <row r="168" spans="2:13" x14ac:dyDescent="0.25">
      <c r="B168" s="42"/>
      <c r="C168" s="43" t="str">
        <f t="shared" si="6"/>
        <v/>
      </c>
      <c r="D168" s="44" t="str">
        <f t="shared" si="7"/>
        <v/>
      </c>
      <c r="E168" s="44" t="str">
        <f t="shared" si="8"/>
        <v/>
      </c>
      <c r="F168" s="44"/>
      <c r="G168" s="44"/>
      <c r="H168" s="44"/>
      <c r="I168" s="44"/>
      <c r="J168" s="45"/>
      <c r="K168" s="44"/>
      <c r="L168" s="44"/>
      <c r="M168" s="44"/>
    </row>
    <row r="169" spans="2:13" x14ac:dyDescent="0.25">
      <c r="B169" s="42"/>
      <c r="C169" s="43" t="str">
        <f t="shared" si="6"/>
        <v/>
      </c>
      <c r="D169" s="44" t="str">
        <f t="shared" si="7"/>
        <v/>
      </c>
      <c r="E169" s="44" t="str">
        <f t="shared" si="8"/>
        <v/>
      </c>
      <c r="F169" s="44"/>
      <c r="G169" s="44"/>
      <c r="H169" s="44"/>
      <c r="I169" s="44"/>
      <c r="J169" s="45"/>
      <c r="K169" s="44"/>
      <c r="L169" s="44"/>
      <c r="M169" s="44"/>
    </row>
    <row r="170" spans="2:13" x14ac:dyDescent="0.25">
      <c r="B170" s="42"/>
      <c r="C170" s="43" t="str">
        <f t="shared" si="6"/>
        <v/>
      </c>
      <c r="D170" s="44" t="str">
        <f t="shared" si="7"/>
        <v/>
      </c>
      <c r="E170" s="44" t="str">
        <f t="shared" si="8"/>
        <v/>
      </c>
      <c r="F170" s="44"/>
      <c r="G170" s="44"/>
      <c r="H170" s="44"/>
      <c r="I170" s="44"/>
      <c r="J170" s="45"/>
      <c r="K170" s="44"/>
      <c r="L170" s="44"/>
      <c r="M170" s="44"/>
    </row>
    <row r="171" spans="2:13" x14ac:dyDescent="0.25">
      <c r="B171" s="42"/>
      <c r="C171" s="43" t="str">
        <f t="shared" si="6"/>
        <v/>
      </c>
      <c r="D171" s="44" t="str">
        <f t="shared" si="7"/>
        <v/>
      </c>
      <c r="E171" s="44" t="str">
        <f t="shared" si="8"/>
        <v/>
      </c>
      <c r="F171" s="44"/>
      <c r="G171" s="44"/>
      <c r="H171" s="44"/>
      <c r="I171" s="44"/>
      <c r="J171" s="45"/>
      <c r="K171" s="44"/>
      <c r="L171" s="44"/>
      <c r="M171" s="44"/>
    </row>
    <row r="172" spans="2:13" x14ac:dyDescent="0.25">
      <c r="B172" s="42"/>
      <c r="C172" s="43" t="str">
        <f t="shared" si="6"/>
        <v/>
      </c>
      <c r="D172" s="44" t="str">
        <f t="shared" si="7"/>
        <v/>
      </c>
      <c r="E172" s="44" t="str">
        <f t="shared" si="8"/>
        <v/>
      </c>
      <c r="F172" s="44"/>
      <c r="G172" s="44"/>
      <c r="H172" s="44"/>
      <c r="I172" s="44"/>
      <c r="J172" s="45"/>
      <c r="K172" s="44"/>
      <c r="L172" s="44"/>
      <c r="M172" s="44"/>
    </row>
    <row r="173" spans="2:13" x14ac:dyDescent="0.25">
      <c r="B173" s="42"/>
      <c r="C173" s="43" t="str">
        <f t="shared" si="6"/>
        <v/>
      </c>
      <c r="D173" s="44" t="str">
        <f t="shared" si="7"/>
        <v/>
      </c>
      <c r="E173" s="44" t="str">
        <f t="shared" si="8"/>
        <v/>
      </c>
      <c r="F173" s="44"/>
      <c r="G173" s="44"/>
      <c r="H173" s="44"/>
      <c r="I173" s="44"/>
      <c r="J173" s="45"/>
      <c r="K173" s="44"/>
      <c r="L173" s="44"/>
      <c r="M173" s="44"/>
    </row>
    <row r="174" spans="2:13" x14ac:dyDescent="0.25">
      <c r="B174" s="42"/>
      <c r="C174" s="43" t="str">
        <f t="shared" si="6"/>
        <v/>
      </c>
      <c r="D174" s="44" t="str">
        <f t="shared" si="7"/>
        <v/>
      </c>
      <c r="E174" s="44" t="str">
        <f t="shared" si="8"/>
        <v/>
      </c>
      <c r="F174" s="44"/>
      <c r="G174" s="44"/>
      <c r="H174" s="44"/>
      <c r="I174" s="44"/>
      <c r="J174" s="45"/>
      <c r="K174" s="44"/>
      <c r="L174" s="44"/>
      <c r="M174" s="44"/>
    </row>
    <row r="175" spans="2:13" x14ac:dyDescent="0.25">
      <c r="B175" s="42"/>
      <c r="C175" s="43" t="str">
        <f t="shared" si="6"/>
        <v/>
      </c>
      <c r="D175" s="44" t="str">
        <f t="shared" si="7"/>
        <v/>
      </c>
      <c r="E175" s="44" t="str">
        <f t="shared" si="8"/>
        <v/>
      </c>
      <c r="F175" s="44"/>
      <c r="G175" s="44"/>
      <c r="H175" s="44"/>
      <c r="I175" s="44"/>
      <c r="J175" s="45"/>
      <c r="K175" s="44"/>
      <c r="L175" s="44"/>
      <c r="M175" s="44"/>
    </row>
    <row r="176" spans="2:13" x14ac:dyDescent="0.25">
      <c r="B176" s="42"/>
      <c r="C176" s="43" t="str">
        <f t="shared" si="6"/>
        <v/>
      </c>
      <c r="D176" s="44" t="str">
        <f t="shared" si="7"/>
        <v/>
      </c>
      <c r="E176" s="44" t="str">
        <f t="shared" si="8"/>
        <v/>
      </c>
      <c r="F176" s="44"/>
      <c r="G176" s="44"/>
      <c r="H176" s="44"/>
      <c r="I176" s="44"/>
      <c r="J176" s="45"/>
      <c r="K176" s="44"/>
      <c r="L176" s="44"/>
      <c r="M176" s="44"/>
    </row>
    <row r="177" spans="2:13" x14ac:dyDescent="0.25">
      <c r="B177" s="42"/>
      <c r="C177" s="43" t="str">
        <f t="shared" si="6"/>
        <v/>
      </c>
      <c r="D177" s="44" t="str">
        <f t="shared" si="7"/>
        <v/>
      </c>
      <c r="E177" s="44" t="str">
        <f t="shared" si="8"/>
        <v/>
      </c>
      <c r="F177" s="44"/>
      <c r="G177" s="44"/>
      <c r="H177" s="44"/>
      <c r="I177" s="44"/>
      <c r="J177" s="45"/>
      <c r="K177" s="44"/>
      <c r="L177" s="44"/>
      <c r="M177" s="44"/>
    </row>
    <row r="178" spans="2:13" x14ac:dyDescent="0.25">
      <c r="B178" s="42"/>
      <c r="C178" s="43" t="str">
        <f t="shared" si="6"/>
        <v/>
      </c>
      <c r="D178" s="44" t="str">
        <f t="shared" si="7"/>
        <v/>
      </c>
      <c r="E178" s="44" t="str">
        <f t="shared" si="8"/>
        <v/>
      </c>
      <c r="F178" s="44"/>
      <c r="G178" s="44"/>
      <c r="H178" s="44"/>
      <c r="I178" s="44"/>
      <c r="J178" s="45"/>
      <c r="K178" s="44"/>
      <c r="L178" s="44"/>
      <c r="M178" s="44"/>
    </row>
    <row r="179" spans="2:13" x14ac:dyDescent="0.25">
      <c r="B179" s="42"/>
      <c r="C179" s="43" t="str">
        <f t="shared" si="6"/>
        <v/>
      </c>
      <c r="D179" s="44" t="str">
        <f t="shared" si="7"/>
        <v/>
      </c>
      <c r="E179" s="44" t="str">
        <f t="shared" si="8"/>
        <v/>
      </c>
      <c r="F179" s="44"/>
      <c r="G179" s="44"/>
      <c r="H179" s="44"/>
      <c r="I179" s="44"/>
      <c r="J179" s="45"/>
      <c r="K179" s="44"/>
      <c r="L179" s="44"/>
      <c r="M179" s="44"/>
    </row>
    <row r="180" spans="2:13" x14ac:dyDescent="0.25">
      <c r="B180" s="42"/>
      <c r="C180" s="43" t="str">
        <f t="shared" si="6"/>
        <v/>
      </c>
      <c r="D180" s="44" t="str">
        <f t="shared" si="7"/>
        <v/>
      </c>
      <c r="E180" s="44" t="str">
        <f t="shared" si="8"/>
        <v/>
      </c>
      <c r="F180" s="44"/>
      <c r="G180" s="44"/>
      <c r="H180" s="44"/>
      <c r="I180" s="44"/>
      <c r="J180" s="45"/>
      <c r="K180" s="44"/>
      <c r="L180" s="44"/>
      <c r="M180" s="44"/>
    </row>
    <row r="181" spans="2:13" x14ac:dyDescent="0.25">
      <c r="B181" s="42"/>
      <c r="C181" s="43" t="str">
        <f t="shared" si="6"/>
        <v/>
      </c>
      <c r="D181" s="44" t="str">
        <f t="shared" si="7"/>
        <v/>
      </c>
      <c r="E181" s="44" t="str">
        <f t="shared" si="8"/>
        <v/>
      </c>
      <c r="F181" s="44"/>
      <c r="G181" s="44"/>
      <c r="H181" s="44"/>
      <c r="I181" s="44"/>
      <c r="J181" s="45"/>
      <c r="K181" s="44"/>
      <c r="L181" s="44"/>
      <c r="M181" s="44"/>
    </row>
    <row r="182" spans="2:13" x14ac:dyDescent="0.25">
      <c r="B182" s="42"/>
      <c r="C182" s="43" t="str">
        <f t="shared" si="6"/>
        <v/>
      </c>
      <c r="D182" s="44" t="str">
        <f t="shared" si="7"/>
        <v/>
      </c>
      <c r="E182" s="44" t="str">
        <f t="shared" si="8"/>
        <v/>
      </c>
      <c r="F182" s="44"/>
      <c r="G182" s="44"/>
      <c r="H182" s="44"/>
      <c r="I182" s="44"/>
      <c r="J182" s="45"/>
      <c r="K182" s="44"/>
      <c r="L182" s="44"/>
      <c r="M182" s="44"/>
    </row>
    <row r="183" spans="2:13" x14ac:dyDescent="0.25">
      <c r="B183" s="42"/>
      <c r="C183" s="43" t="str">
        <f t="shared" si="6"/>
        <v/>
      </c>
      <c r="D183" s="44" t="str">
        <f t="shared" si="7"/>
        <v/>
      </c>
      <c r="E183" s="44" t="str">
        <f t="shared" si="8"/>
        <v/>
      </c>
      <c r="F183" s="44"/>
      <c r="G183" s="44"/>
      <c r="H183" s="44"/>
      <c r="I183" s="44"/>
      <c r="J183" s="45"/>
      <c r="K183" s="44"/>
      <c r="L183" s="44"/>
      <c r="M183" s="44"/>
    </row>
    <row r="184" spans="2:13" x14ac:dyDescent="0.25">
      <c r="B184" s="42"/>
      <c r="C184" s="43" t="str">
        <f t="shared" si="6"/>
        <v/>
      </c>
      <c r="D184" s="44" t="str">
        <f t="shared" si="7"/>
        <v/>
      </c>
      <c r="E184" s="44" t="str">
        <f t="shared" si="8"/>
        <v/>
      </c>
      <c r="F184" s="44"/>
      <c r="G184" s="44"/>
      <c r="H184" s="44"/>
      <c r="I184" s="44"/>
      <c r="J184" s="45"/>
      <c r="K184" s="44"/>
      <c r="L184" s="44"/>
      <c r="M184" s="44"/>
    </row>
    <row r="185" spans="2:13" x14ac:dyDescent="0.25">
      <c r="B185" s="42"/>
      <c r="C185" s="43" t="str">
        <f t="shared" si="6"/>
        <v/>
      </c>
      <c r="D185" s="44" t="str">
        <f t="shared" si="7"/>
        <v/>
      </c>
      <c r="E185" s="44" t="str">
        <f t="shared" si="8"/>
        <v/>
      </c>
      <c r="F185" s="44"/>
      <c r="G185" s="44"/>
      <c r="H185" s="44"/>
      <c r="I185" s="44"/>
      <c r="J185" s="45"/>
      <c r="K185" s="44"/>
      <c r="L185" s="44"/>
      <c r="M185" s="44"/>
    </row>
    <row r="186" spans="2:13" x14ac:dyDescent="0.25">
      <c r="B186" s="42"/>
      <c r="C186" s="43" t="str">
        <f t="shared" si="6"/>
        <v/>
      </c>
      <c r="D186" s="44" t="str">
        <f t="shared" si="7"/>
        <v/>
      </c>
      <c r="E186" s="44" t="str">
        <f t="shared" si="8"/>
        <v/>
      </c>
      <c r="F186" s="44"/>
      <c r="G186" s="44"/>
      <c r="H186" s="44"/>
      <c r="I186" s="44"/>
      <c r="J186" s="45"/>
      <c r="K186" s="44"/>
      <c r="L186" s="44"/>
      <c r="M186" s="44"/>
    </row>
    <row r="187" spans="2:13" x14ac:dyDescent="0.25">
      <c r="B187" s="42"/>
      <c r="C187" s="43" t="str">
        <f t="shared" si="6"/>
        <v/>
      </c>
      <c r="D187" s="44" t="str">
        <f t="shared" si="7"/>
        <v/>
      </c>
      <c r="E187" s="44" t="str">
        <f t="shared" si="8"/>
        <v/>
      </c>
      <c r="F187" s="44"/>
      <c r="G187" s="44"/>
      <c r="H187" s="44"/>
      <c r="I187" s="44"/>
      <c r="J187" s="45"/>
      <c r="K187" s="44"/>
      <c r="L187" s="44"/>
      <c r="M187" s="44"/>
    </row>
    <row r="188" spans="2:13" x14ac:dyDescent="0.25">
      <c r="B188" s="42"/>
      <c r="C188" s="43" t="str">
        <f t="shared" si="6"/>
        <v/>
      </c>
      <c r="D188" s="44" t="str">
        <f t="shared" si="7"/>
        <v/>
      </c>
      <c r="E188" s="44" t="str">
        <f t="shared" si="8"/>
        <v/>
      </c>
      <c r="F188" s="44"/>
      <c r="G188" s="44"/>
      <c r="H188" s="44"/>
      <c r="I188" s="44"/>
      <c r="J188" s="45"/>
      <c r="K188" s="44"/>
      <c r="L188" s="44"/>
      <c r="M188" s="44"/>
    </row>
    <row r="189" spans="2:13" x14ac:dyDescent="0.25">
      <c r="B189" s="42"/>
      <c r="C189" s="43" t="str">
        <f t="shared" si="6"/>
        <v/>
      </c>
      <c r="D189" s="44" t="str">
        <f t="shared" si="7"/>
        <v/>
      </c>
      <c r="E189" s="44" t="str">
        <f t="shared" si="8"/>
        <v/>
      </c>
      <c r="F189" s="44"/>
      <c r="G189" s="44"/>
      <c r="H189" s="44"/>
      <c r="I189" s="44"/>
      <c r="J189" s="45"/>
      <c r="K189" s="44"/>
      <c r="L189" s="44"/>
      <c r="M189" s="44"/>
    </row>
    <row r="190" spans="2:13" x14ac:dyDescent="0.25">
      <c r="B190" s="42"/>
      <c r="C190" s="43" t="str">
        <f t="shared" si="6"/>
        <v/>
      </c>
      <c r="D190" s="44" t="str">
        <f t="shared" si="7"/>
        <v/>
      </c>
      <c r="E190" s="44" t="str">
        <f t="shared" si="8"/>
        <v/>
      </c>
      <c r="F190" s="44"/>
      <c r="G190" s="44"/>
      <c r="H190" s="44"/>
      <c r="I190" s="44"/>
      <c r="J190" s="45"/>
      <c r="K190" s="44"/>
      <c r="L190" s="44"/>
      <c r="M190" s="44"/>
    </row>
    <row r="191" spans="2:13" x14ac:dyDescent="0.25">
      <c r="B191" s="42"/>
      <c r="C191" s="43" t="str">
        <f t="shared" si="6"/>
        <v/>
      </c>
      <c r="D191" s="44" t="str">
        <f t="shared" si="7"/>
        <v/>
      </c>
      <c r="E191" s="44" t="str">
        <f t="shared" si="8"/>
        <v/>
      </c>
      <c r="F191" s="44"/>
      <c r="G191" s="44"/>
      <c r="H191" s="44"/>
      <c r="I191" s="44"/>
      <c r="J191" s="45"/>
      <c r="K191" s="44"/>
      <c r="L191" s="44"/>
      <c r="M191" s="44"/>
    </row>
    <row r="192" spans="2:13" x14ac:dyDescent="0.25">
      <c r="B192" s="42"/>
      <c r="C192" s="43" t="str">
        <f t="shared" si="6"/>
        <v/>
      </c>
      <c r="D192" s="44" t="str">
        <f t="shared" si="7"/>
        <v/>
      </c>
      <c r="E192" s="44" t="str">
        <f t="shared" si="8"/>
        <v/>
      </c>
      <c r="F192" s="44"/>
      <c r="G192" s="44"/>
      <c r="H192" s="44"/>
      <c r="I192" s="44"/>
      <c r="J192" s="45"/>
      <c r="K192" s="44"/>
      <c r="L192" s="44"/>
      <c r="M192" s="44"/>
    </row>
    <row r="193" spans="2:13" x14ac:dyDescent="0.25">
      <c r="B193" s="42"/>
      <c r="C193" s="43" t="str">
        <f t="shared" si="6"/>
        <v/>
      </c>
      <c r="D193" s="44" t="str">
        <f t="shared" si="7"/>
        <v/>
      </c>
      <c r="E193" s="44" t="str">
        <f t="shared" si="8"/>
        <v/>
      </c>
      <c r="F193" s="44"/>
      <c r="G193" s="44"/>
      <c r="H193" s="44"/>
      <c r="I193" s="44"/>
      <c r="J193" s="45"/>
      <c r="K193" s="44"/>
      <c r="L193" s="44"/>
      <c r="M193" s="44"/>
    </row>
    <row r="194" spans="2:13" x14ac:dyDescent="0.25">
      <c r="B194" s="42"/>
      <c r="C194" s="43" t="str">
        <f t="shared" ref="C194:C257" si="9">IF(B194="","",MONTH(B194))</f>
        <v/>
      </c>
      <c r="D194" s="44" t="str">
        <f t="shared" ref="D194:D257" si="10">IF(B194="","",CHOOSE(C194,"Enero","Febrero","Marzo","Abril","Mayo","Junio","Julio","Agosto","Septiembre","Octubre","Noviembre","Diciembre"))</f>
        <v/>
      </c>
      <c r="E194" s="44" t="str">
        <f t="shared" ref="E194:E257" si="11">IF(B194="","",YEAR(B194))</f>
        <v/>
      </c>
      <c r="F194" s="44"/>
      <c r="G194" s="44"/>
      <c r="H194" s="44"/>
      <c r="I194" s="44"/>
      <c r="J194" s="45"/>
      <c r="K194" s="44"/>
      <c r="L194" s="44"/>
      <c r="M194" s="44"/>
    </row>
    <row r="195" spans="2:13" x14ac:dyDescent="0.25">
      <c r="B195" s="42"/>
      <c r="C195" s="43" t="str">
        <f t="shared" si="9"/>
        <v/>
      </c>
      <c r="D195" s="44" t="str">
        <f t="shared" si="10"/>
        <v/>
      </c>
      <c r="E195" s="44" t="str">
        <f t="shared" si="11"/>
        <v/>
      </c>
      <c r="F195" s="44"/>
      <c r="G195" s="44"/>
      <c r="H195" s="44"/>
      <c r="I195" s="44"/>
      <c r="J195" s="45"/>
      <c r="K195" s="44"/>
      <c r="L195" s="44"/>
      <c r="M195" s="44"/>
    </row>
    <row r="196" spans="2:13" x14ac:dyDescent="0.25">
      <c r="B196" s="42"/>
      <c r="C196" s="43" t="str">
        <f t="shared" si="9"/>
        <v/>
      </c>
      <c r="D196" s="44" t="str">
        <f t="shared" si="10"/>
        <v/>
      </c>
      <c r="E196" s="44" t="str">
        <f t="shared" si="11"/>
        <v/>
      </c>
      <c r="F196" s="44"/>
      <c r="G196" s="44"/>
      <c r="H196" s="44"/>
      <c r="I196" s="44"/>
      <c r="J196" s="45"/>
      <c r="K196" s="44"/>
      <c r="L196" s="44"/>
      <c r="M196" s="44"/>
    </row>
    <row r="197" spans="2:13" x14ac:dyDescent="0.25">
      <c r="B197" s="42"/>
      <c r="C197" s="43" t="str">
        <f t="shared" si="9"/>
        <v/>
      </c>
      <c r="D197" s="44" t="str">
        <f t="shared" si="10"/>
        <v/>
      </c>
      <c r="E197" s="44" t="str">
        <f t="shared" si="11"/>
        <v/>
      </c>
      <c r="F197" s="44"/>
      <c r="G197" s="44"/>
      <c r="H197" s="44"/>
      <c r="I197" s="44"/>
      <c r="J197" s="45"/>
      <c r="K197" s="44"/>
      <c r="L197" s="44"/>
      <c r="M197" s="44"/>
    </row>
    <row r="198" spans="2:13" x14ac:dyDescent="0.25">
      <c r="B198" s="42"/>
      <c r="C198" s="43" t="str">
        <f t="shared" si="9"/>
        <v/>
      </c>
      <c r="D198" s="44" t="str">
        <f t="shared" si="10"/>
        <v/>
      </c>
      <c r="E198" s="44" t="str">
        <f t="shared" si="11"/>
        <v/>
      </c>
      <c r="F198" s="44"/>
      <c r="G198" s="44"/>
      <c r="H198" s="44"/>
      <c r="I198" s="44"/>
      <c r="J198" s="45"/>
      <c r="K198" s="44"/>
      <c r="L198" s="44"/>
      <c r="M198" s="44"/>
    </row>
    <row r="199" spans="2:13" x14ac:dyDescent="0.25">
      <c r="B199" s="42"/>
      <c r="C199" s="43" t="str">
        <f t="shared" si="9"/>
        <v/>
      </c>
      <c r="D199" s="44" t="str">
        <f t="shared" si="10"/>
        <v/>
      </c>
      <c r="E199" s="44" t="str">
        <f t="shared" si="11"/>
        <v/>
      </c>
      <c r="F199" s="44"/>
      <c r="G199" s="44"/>
      <c r="H199" s="44"/>
      <c r="I199" s="44"/>
      <c r="J199" s="45"/>
      <c r="K199" s="44"/>
      <c r="L199" s="44"/>
      <c r="M199" s="44"/>
    </row>
    <row r="200" spans="2:13" x14ac:dyDescent="0.25">
      <c r="B200" s="42"/>
      <c r="C200" s="43" t="str">
        <f t="shared" si="9"/>
        <v/>
      </c>
      <c r="D200" s="44" t="str">
        <f t="shared" si="10"/>
        <v/>
      </c>
      <c r="E200" s="44" t="str">
        <f t="shared" si="11"/>
        <v/>
      </c>
      <c r="F200" s="44"/>
      <c r="G200" s="44"/>
      <c r="H200" s="44"/>
      <c r="I200" s="44"/>
      <c r="J200" s="45"/>
      <c r="K200" s="44"/>
      <c r="L200" s="44"/>
      <c r="M200" s="44"/>
    </row>
    <row r="201" spans="2:13" x14ac:dyDescent="0.25">
      <c r="B201" s="42"/>
      <c r="C201" s="43" t="str">
        <f t="shared" si="9"/>
        <v/>
      </c>
      <c r="D201" s="44" t="str">
        <f t="shared" si="10"/>
        <v/>
      </c>
      <c r="E201" s="44" t="str">
        <f t="shared" si="11"/>
        <v/>
      </c>
      <c r="F201" s="44"/>
      <c r="G201" s="44"/>
      <c r="H201" s="44"/>
      <c r="I201" s="44"/>
      <c r="J201" s="45"/>
      <c r="K201" s="44"/>
      <c r="L201" s="44"/>
      <c r="M201" s="44"/>
    </row>
    <row r="202" spans="2:13" x14ac:dyDescent="0.25">
      <c r="B202" s="42"/>
      <c r="C202" s="43" t="str">
        <f t="shared" si="9"/>
        <v/>
      </c>
      <c r="D202" s="44" t="str">
        <f t="shared" si="10"/>
        <v/>
      </c>
      <c r="E202" s="44" t="str">
        <f t="shared" si="11"/>
        <v/>
      </c>
      <c r="F202" s="44"/>
      <c r="G202" s="44"/>
      <c r="H202" s="44"/>
      <c r="I202" s="44"/>
      <c r="J202" s="45"/>
      <c r="K202" s="44"/>
      <c r="L202" s="44"/>
      <c r="M202" s="44"/>
    </row>
    <row r="203" spans="2:13" x14ac:dyDescent="0.25">
      <c r="B203" s="42"/>
      <c r="C203" s="43" t="str">
        <f t="shared" si="9"/>
        <v/>
      </c>
      <c r="D203" s="44" t="str">
        <f t="shared" si="10"/>
        <v/>
      </c>
      <c r="E203" s="44" t="str">
        <f t="shared" si="11"/>
        <v/>
      </c>
      <c r="F203" s="44"/>
      <c r="G203" s="44"/>
      <c r="H203" s="44"/>
      <c r="I203" s="44"/>
      <c r="J203" s="45"/>
      <c r="K203" s="44"/>
      <c r="L203" s="44"/>
      <c r="M203" s="44"/>
    </row>
    <row r="204" spans="2:13" x14ac:dyDescent="0.25">
      <c r="B204" s="42"/>
      <c r="C204" s="43" t="str">
        <f t="shared" si="9"/>
        <v/>
      </c>
      <c r="D204" s="44" t="str">
        <f t="shared" si="10"/>
        <v/>
      </c>
      <c r="E204" s="44" t="str">
        <f t="shared" si="11"/>
        <v/>
      </c>
      <c r="F204" s="44"/>
      <c r="G204" s="44"/>
      <c r="H204" s="44"/>
      <c r="I204" s="44"/>
      <c r="J204" s="45"/>
      <c r="K204" s="44"/>
      <c r="L204" s="44"/>
      <c r="M204" s="44"/>
    </row>
    <row r="205" spans="2:13" x14ac:dyDescent="0.25">
      <c r="B205" s="42"/>
      <c r="C205" s="43" t="str">
        <f t="shared" si="9"/>
        <v/>
      </c>
      <c r="D205" s="44" t="str">
        <f t="shared" si="10"/>
        <v/>
      </c>
      <c r="E205" s="44" t="str">
        <f t="shared" si="11"/>
        <v/>
      </c>
      <c r="F205" s="44"/>
      <c r="G205" s="44"/>
      <c r="H205" s="44"/>
      <c r="I205" s="44"/>
      <c r="J205" s="45"/>
      <c r="K205" s="44"/>
      <c r="L205" s="44"/>
      <c r="M205" s="44"/>
    </row>
    <row r="206" spans="2:13" x14ac:dyDescent="0.25">
      <c r="B206" s="42"/>
      <c r="C206" s="43" t="str">
        <f t="shared" si="9"/>
        <v/>
      </c>
      <c r="D206" s="44" t="str">
        <f t="shared" si="10"/>
        <v/>
      </c>
      <c r="E206" s="44" t="str">
        <f t="shared" si="11"/>
        <v/>
      </c>
      <c r="F206" s="44"/>
      <c r="G206" s="44"/>
      <c r="H206" s="44"/>
      <c r="I206" s="44"/>
      <c r="J206" s="45"/>
      <c r="K206" s="44"/>
      <c r="L206" s="44"/>
      <c r="M206" s="44"/>
    </row>
    <row r="207" spans="2:13" x14ac:dyDescent="0.25">
      <c r="B207" s="42"/>
      <c r="C207" s="43" t="str">
        <f t="shared" si="9"/>
        <v/>
      </c>
      <c r="D207" s="44" t="str">
        <f t="shared" si="10"/>
        <v/>
      </c>
      <c r="E207" s="44" t="str">
        <f t="shared" si="11"/>
        <v/>
      </c>
      <c r="F207" s="44"/>
      <c r="G207" s="44"/>
      <c r="H207" s="44"/>
      <c r="I207" s="44"/>
      <c r="J207" s="45"/>
      <c r="K207" s="44"/>
      <c r="L207" s="44"/>
      <c r="M207" s="44"/>
    </row>
    <row r="208" spans="2:13" x14ac:dyDescent="0.25">
      <c r="B208" s="42"/>
      <c r="C208" s="43" t="str">
        <f t="shared" si="9"/>
        <v/>
      </c>
      <c r="D208" s="44" t="str">
        <f t="shared" si="10"/>
        <v/>
      </c>
      <c r="E208" s="44" t="str">
        <f t="shared" si="11"/>
        <v/>
      </c>
      <c r="F208" s="44"/>
      <c r="G208" s="44"/>
      <c r="H208" s="44"/>
      <c r="I208" s="44"/>
      <c r="J208" s="45"/>
      <c r="K208" s="44"/>
      <c r="L208" s="44"/>
      <c r="M208" s="44"/>
    </row>
    <row r="209" spans="2:13" x14ac:dyDescent="0.25">
      <c r="B209" s="42"/>
      <c r="C209" s="43" t="str">
        <f t="shared" si="9"/>
        <v/>
      </c>
      <c r="D209" s="44" t="str">
        <f t="shared" si="10"/>
        <v/>
      </c>
      <c r="E209" s="44" t="str">
        <f t="shared" si="11"/>
        <v/>
      </c>
      <c r="F209" s="44"/>
      <c r="G209" s="44"/>
      <c r="H209" s="44"/>
      <c r="I209" s="44"/>
      <c r="J209" s="45"/>
      <c r="K209" s="44"/>
      <c r="L209" s="44"/>
      <c r="M209" s="44"/>
    </row>
    <row r="210" spans="2:13" x14ac:dyDescent="0.25">
      <c r="B210" s="42"/>
      <c r="C210" s="43" t="str">
        <f t="shared" si="9"/>
        <v/>
      </c>
      <c r="D210" s="44" t="str">
        <f t="shared" si="10"/>
        <v/>
      </c>
      <c r="E210" s="44" t="str">
        <f t="shared" si="11"/>
        <v/>
      </c>
      <c r="F210" s="44"/>
      <c r="G210" s="44"/>
      <c r="H210" s="44"/>
      <c r="I210" s="44"/>
      <c r="J210" s="45"/>
      <c r="K210" s="44"/>
      <c r="L210" s="44"/>
      <c r="M210" s="44"/>
    </row>
    <row r="211" spans="2:13" x14ac:dyDescent="0.25">
      <c r="B211" s="42"/>
      <c r="C211" s="43" t="str">
        <f t="shared" si="9"/>
        <v/>
      </c>
      <c r="D211" s="44" t="str">
        <f t="shared" si="10"/>
        <v/>
      </c>
      <c r="E211" s="44" t="str">
        <f t="shared" si="11"/>
        <v/>
      </c>
      <c r="F211" s="44"/>
      <c r="G211" s="44"/>
      <c r="H211" s="44"/>
      <c r="I211" s="44"/>
      <c r="J211" s="45"/>
      <c r="K211" s="44"/>
      <c r="L211" s="44"/>
      <c r="M211" s="44"/>
    </row>
    <row r="212" spans="2:13" x14ac:dyDescent="0.25">
      <c r="B212" s="42"/>
      <c r="C212" s="43" t="str">
        <f t="shared" si="9"/>
        <v/>
      </c>
      <c r="D212" s="44" t="str">
        <f t="shared" si="10"/>
        <v/>
      </c>
      <c r="E212" s="44" t="str">
        <f t="shared" si="11"/>
        <v/>
      </c>
      <c r="F212" s="44"/>
      <c r="G212" s="44"/>
      <c r="H212" s="44"/>
      <c r="I212" s="44"/>
      <c r="J212" s="45"/>
      <c r="K212" s="44"/>
      <c r="L212" s="44"/>
      <c r="M212" s="44"/>
    </row>
    <row r="213" spans="2:13" x14ac:dyDescent="0.25">
      <c r="B213" s="42"/>
      <c r="C213" s="43" t="str">
        <f t="shared" si="9"/>
        <v/>
      </c>
      <c r="D213" s="44" t="str">
        <f t="shared" si="10"/>
        <v/>
      </c>
      <c r="E213" s="44" t="str">
        <f t="shared" si="11"/>
        <v/>
      </c>
      <c r="F213" s="44"/>
      <c r="G213" s="44"/>
      <c r="H213" s="44"/>
      <c r="I213" s="44"/>
      <c r="J213" s="45"/>
      <c r="K213" s="44"/>
      <c r="L213" s="44"/>
      <c r="M213" s="44"/>
    </row>
    <row r="214" spans="2:13" x14ac:dyDescent="0.25">
      <c r="B214" s="42"/>
      <c r="C214" s="43" t="str">
        <f t="shared" si="9"/>
        <v/>
      </c>
      <c r="D214" s="44" t="str">
        <f t="shared" si="10"/>
        <v/>
      </c>
      <c r="E214" s="44" t="str">
        <f t="shared" si="11"/>
        <v/>
      </c>
      <c r="F214" s="44"/>
      <c r="G214" s="44"/>
      <c r="H214" s="44"/>
      <c r="I214" s="44"/>
      <c r="J214" s="45"/>
      <c r="K214" s="44"/>
      <c r="L214" s="44"/>
      <c r="M214" s="44"/>
    </row>
    <row r="215" spans="2:13" x14ac:dyDescent="0.25">
      <c r="B215" s="42"/>
      <c r="C215" s="43" t="str">
        <f t="shared" si="9"/>
        <v/>
      </c>
      <c r="D215" s="44" t="str">
        <f t="shared" si="10"/>
        <v/>
      </c>
      <c r="E215" s="44" t="str">
        <f t="shared" si="11"/>
        <v/>
      </c>
      <c r="F215" s="44"/>
      <c r="G215" s="44"/>
      <c r="H215" s="44"/>
      <c r="I215" s="44"/>
      <c r="J215" s="45"/>
      <c r="K215" s="44"/>
      <c r="L215" s="44"/>
      <c r="M215" s="44"/>
    </row>
    <row r="216" spans="2:13" x14ac:dyDescent="0.25">
      <c r="B216" s="42"/>
      <c r="C216" s="43" t="str">
        <f t="shared" si="9"/>
        <v/>
      </c>
      <c r="D216" s="44" t="str">
        <f t="shared" si="10"/>
        <v/>
      </c>
      <c r="E216" s="44" t="str">
        <f t="shared" si="11"/>
        <v/>
      </c>
      <c r="F216" s="44"/>
      <c r="G216" s="44"/>
      <c r="H216" s="44"/>
      <c r="I216" s="44"/>
      <c r="J216" s="45"/>
      <c r="K216" s="44"/>
      <c r="L216" s="44"/>
      <c r="M216" s="44"/>
    </row>
    <row r="217" spans="2:13" x14ac:dyDescent="0.25">
      <c r="B217" s="42"/>
      <c r="C217" s="43" t="str">
        <f t="shared" si="9"/>
        <v/>
      </c>
      <c r="D217" s="44" t="str">
        <f t="shared" si="10"/>
        <v/>
      </c>
      <c r="E217" s="44" t="str">
        <f t="shared" si="11"/>
        <v/>
      </c>
      <c r="F217" s="44"/>
      <c r="G217" s="44"/>
      <c r="H217" s="44"/>
      <c r="I217" s="44"/>
      <c r="J217" s="45"/>
      <c r="K217" s="44"/>
      <c r="L217" s="44"/>
      <c r="M217" s="44"/>
    </row>
    <row r="218" spans="2:13" x14ac:dyDescent="0.25">
      <c r="B218" s="42"/>
      <c r="C218" s="43" t="str">
        <f t="shared" si="9"/>
        <v/>
      </c>
      <c r="D218" s="44" t="str">
        <f t="shared" si="10"/>
        <v/>
      </c>
      <c r="E218" s="44" t="str">
        <f t="shared" si="11"/>
        <v/>
      </c>
      <c r="F218" s="44"/>
      <c r="G218" s="44"/>
      <c r="H218" s="44"/>
      <c r="I218" s="44"/>
      <c r="J218" s="45"/>
      <c r="K218" s="44"/>
      <c r="L218" s="44"/>
      <c r="M218" s="44"/>
    </row>
    <row r="219" spans="2:13" x14ac:dyDescent="0.25">
      <c r="B219" s="42"/>
      <c r="C219" s="43" t="str">
        <f t="shared" si="9"/>
        <v/>
      </c>
      <c r="D219" s="44" t="str">
        <f t="shared" si="10"/>
        <v/>
      </c>
      <c r="E219" s="44" t="str">
        <f t="shared" si="11"/>
        <v/>
      </c>
      <c r="F219" s="44"/>
      <c r="G219" s="44"/>
      <c r="H219" s="44"/>
      <c r="I219" s="44"/>
      <c r="J219" s="45"/>
      <c r="K219" s="44"/>
      <c r="L219" s="44"/>
      <c r="M219" s="44"/>
    </row>
    <row r="220" spans="2:13" x14ac:dyDescent="0.25">
      <c r="B220" s="42"/>
      <c r="C220" s="43" t="str">
        <f t="shared" si="9"/>
        <v/>
      </c>
      <c r="D220" s="44" t="str">
        <f t="shared" si="10"/>
        <v/>
      </c>
      <c r="E220" s="44" t="str">
        <f t="shared" si="11"/>
        <v/>
      </c>
      <c r="F220" s="44"/>
      <c r="G220" s="44"/>
      <c r="H220" s="44"/>
      <c r="I220" s="44"/>
      <c r="J220" s="45"/>
      <c r="K220" s="44"/>
      <c r="L220" s="44"/>
      <c r="M220" s="44"/>
    </row>
    <row r="221" spans="2:13" x14ac:dyDescent="0.25">
      <c r="B221" s="42"/>
      <c r="C221" s="43" t="str">
        <f t="shared" si="9"/>
        <v/>
      </c>
      <c r="D221" s="44" t="str">
        <f t="shared" si="10"/>
        <v/>
      </c>
      <c r="E221" s="44" t="str">
        <f t="shared" si="11"/>
        <v/>
      </c>
      <c r="F221" s="44"/>
      <c r="G221" s="44"/>
      <c r="H221" s="44"/>
      <c r="I221" s="44"/>
      <c r="J221" s="45"/>
      <c r="K221" s="44"/>
      <c r="L221" s="44"/>
      <c r="M221" s="44"/>
    </row>
    <row r="222" spans="2:13" x14ac:dyDescent="0.25">
      <c r="B222" s="42"/>
      <c r="C222" s="43" t="str">
        <f t="shared" si="9"/>
        <v/>
      </c>
      <c r="D222" s="44" t="str">
        <f t="shared" si="10"/>
        <v/>
      </c>
      <c r="E222" s="44" t="str">
        <f t="shared" si="11"/>
        <v/>
      </c>
      <c r="F222" s="44"/>
      <c r="G222" s="44"/>
      <c r="H222" s="44"/>
      <c r="I222" s="44"/>
      <c r="J222" s="45"/>
      <c r="K222" s="44"/>
      <c r="L222" s="44"/>
      <c r="M222" s="44"/>
    </row>
    <row r="223" spans="2:13" x14ac:dyDescent="0.25">
      <c r="B223" s="42"/>
      <c r="C223" s="43" t="str">
        <f t="shared" si="9"/>
        <v/>
      </c>
      <c r="D223" s="44" t="str">
        <f t="shared" si="10"/>
        <v/>
      </c>
      <c r="E223" s="44" t="str">
        <f t="shared" si="11"/>
        <v/>
      </c>
      <c r="F223" s="44"/>
      <c r="G223" s="44"/>
      <c r="H223" s="44"/>
      <c r="I223" s="44"/>
      <c r="J223" s="45"/>
      <c r="K223" s="44"/>
      <c r="L223" s="44"/>
      <c r="M223" s="44"/>
    </row>
    <row r="224" spans="2:13" x14ac:dyDescent="0.25">
      <c r="B224" s="42"/>
      <c r="C224" s="43" t="str">
        <f t="shared" si="9"/>
        <v/>
      </c>
      <c r="D224" s="44" t="str">
        <f t="shared" si="10"/>
        <v/>
      </c>
      <c r="E224" s="44" t="str">
        <f t="shared" si="11"/>
        <v/>
      </c>
      <c r="F224" s="44"/>
      <c r="G224" s="44"/>
      <c r="H224" s="44"/>
      <c r="I224" s="44"/>
      <c r="J224" s="45"/>
      <c r="K224" s="44"/>
      <c r="L224" s="44"/>
      <c r="M224" s="44"/>
    </row>
    <row r="225" spans="2:13" x14ac:dyDescent="0.25">
      <c r="B225" s="42"/>
      <c r="C225" s="43" t="str">
        <f t="shared" si="9"/>
        <v/>
      </c>
      <c r="D225" s="44" t="str">
        <f t="shared" si="10"/>
        <v/>
      </c>
      <c r="E225" s="44" t="str">
        <f t="shared" si="11"/>
        <v/>
      </c>
      <c r="F225" s="44"/>
      <c r="G225" s="44"/>
      <c r="H225" s="44"/>
      <c r="I225" s="44"/>
      <c r="J225" s="45"/>
      <c r="K225" s="44"/>
      <c r="L225" s="44"/>
      <c r="M225" s="44"/>
    </row>
    <row r="226" spans="2:13" x14ac:dyDescent="0.25">
      <c r="B226" s="42"/>
      <c r="C226" s="43" t="str">
        <f t="shared" si="9"/>
        <v/>
      </c>
      <c r="D226" s="44" t="str">
        <f t="shared" si="10"/>
        <v/>
      </c>
      <c r="E226" s="44" t="str">
        <f t="shared" si="11"/>
        <v/>
      </c>
      <c r="F226" s="44"/>
      <c r="G226" s="44"/>
      <c r="H226" s="44"/>
      <c r="I226" s="44"/>
      <c r="J226" s="45"/>
      <c r="K226" s="44"/>
      <c r="L226" s="44"/>
      <c r="M226" s="44"/>
    </row>
    <row r="227" spans="2:13" x14ac:dyDescent="0.25">
      <c r="B227" s="42"/>
      <c r="C227" s="43" t="str">
        <f t="shared" si="9"/>
        <v/>
      </c>
      <c r="D227" s="44" t="str">
        <f t="shared" si="10"/>
        <v/>
      </c>
      <c r="E227" s="44" t="str">
        <f t="shared" si="11"/>
        <v/>
      </c>
      <c r="F227" s="44"/>
      <c r="G227" s="44"/>
      <c r="H227" s="44"/>
      <c r="I227" s="44"/>
      <c r="J227" s="45"/>
      <c r="K227" s="44"/>
      <c r="L227" s="44"/>
      <c r="M227" s="44"/>
    </row>
    <row r="228" spans="2:13" x14ac:dyDescent="0.25">
      <c r="B228" s="42"/>
      <c r="C228" s="43" t="str">
        <f t="shared" si="9"/>
        <v/>
      </c>
      <c r="D228" s="44" t="str">
        <f t="shared" si="10"/>
        <v/>
      </c>
      <c r="E228" s="44" t="str">
        <f t="shared" si="11"/>
        <v/>
      </c>
      <c r="F228" s="44"/>
      <c r="G228" s="44"/>
      <c r="H228" s="44"/>
      <c r="I228" s="44"/>
      <c r="J228" s="45"/>
      <c r="K228" s="44"/>
      <c r="L228" s="44"/>
      <c r="M228" s="44"/>
    </row>
    <row r="229" spans="2:13" x14ac:dyDescent="0.25">
      <c r="B229" s="42"/>
      <c r="C229" s="43" t="str">
        <f t="shared" si="9"/>
        <v/>
      </c>
      <c r="D229" s="44" t="str">
        <f t="shared" si="10"/>
        <v/>
      </c>
      <c r="E229" s="44" t="str">
        <f t="shared" si="11"/>
        <v/>
      </c>
      <c r="F229" s="44"/>
      <c r="G229" s="44"/>
      <c r="H229" s="44"/>
      <c r="I229" s="44"/>
      <c r="J229" s="45"/>
      <c r="K229" s="44"/>
      <c r="L229" s="44"/>
      <c r="M229" s="44"/>
    </row>
    <row r="230" spans="2:13" x14ac:dyDescent="0.25">
      <c r="B230" s="42"/>
      <c r="C230" s="43" t="str">
        <f t="shared" si="9"/>
        <v/>
      </c>
      <c r="D230" s="44" t="str">
        <f t="shared" si="10"/>
        <v/>
      </c>
      <c r="E230" s="44" t="str">
        <f t="shared" si="11"/>
        <v/>
      </c>
      <c r="F230" s="44"/>
      <c r="G230" s="44"/>
      <c r="H230" s="44"/>
      <c r="I230" s="44"/>
      <c r="J230" s="45"/>
      <c r="K230" s="44"/>
      <c r="L230" s="44"/>
      <c r="M230" s="44"/>
    </row>
    <row r="231" spans="2:13" x14ac:dyDescent="0.25">
      <c r="B231" s="42"/>
      <c r="C231" s="43" t="str">
        <f t="shared" si="9"/>
        <v/>
      </c>
      <c r="D231" s="44" t="str">
        <f t="shared" si="10"/>
        <v/>
      </c>
      <c r="E231" s="44" t="str">
        <f t="shared" si="11"/>
        <v/>
      </c>
      <c r="F231" s="44"/>
      <c r="G231" s="44"/>
      <c r="H231" s="44"/>
      <c r="I231" s="44"/>
      <c r="J231" s="45"/>
      <c r="K231" s="44"/>
      <c r="L231" s="44"/>
      <c r="M231" s="44"/>
    </row>
    <row r="232" spans="2:13" x14ac:dyDescent="0.25">
      <c r="B232" s="42"/>
      <c r="C232" s="43" t="str">
        <f t="shared" si="9"/>
        <v/>
      </c>
      <c r="D232" s="44" t="str">
        <f t="shared" si="10"/>
        <v/>
      </c>
      <c r="E232" s="44" t="str">
        <f t="shared" si="11"/>
        <v/>
      </c>
      <c r="F232" s="44"/>
      <c r="G232" s="44"/>
      <c r="H232" s="44"/>
      <c r="I232" s="44"/>
      <c r="J232" s="45"/>
      <c r="K232" s="44"/>
      <c r="L232" s="44"/>
      <c r="M232" s="44"/>
    </row>
    <row r="233" spans="2:13" x14ac:dyDescent="0.25">
      <c r="B233" s="42"/>
      <c r="C233" s="43" t="str">
        <f t="shared" si="9"/>
        <v/>
      </c>
      <c r="D233" s="44" t="str">
        <f t="shared" si="10"/>
        <v/>
      </c>
      <c r="E233" s="44" t="str">
        <f t="shared" si="11"/>
        <v/>
      </c>
      <c r="F233" s="44"/>
      <c r="G233" s="44"/>
      <c r="H233" s="44"/>
      <c r="I233" s="44"/>
      <c r="J233" s="45"/>
      <c r="K233" s="44"/>
      <c r="L233" s="44"/>
      <c r="M233" s="44"/>
    </row>
    <row r="234" spans="2:13" x14ac:dyDescent="0.25">
      <c r="B234" s="42"/>
      <c r="C234" s="43" t="str">
        <f t="shared" si="9"/>
        <v/>
      </c>
      <c r="D234" s="44" t="str">
        <f t="shared" si="10"/>
        <v/>
      </c>
      <c r="E234" s="44" t="str">
        <f t="shared" si="11"/>
        <v/>
      </c>
      <c r="F234" s="44"/>
      <c r="G234" s="44"/>
      <c r="H234" s="44"/>
      <c r="I234" s="44"/>
      <c r="J234" s="45"/>
      <c r="K234" s="44"/>
      <c r="L234" s="44"/>
      <c r="M234" s="44"/>
    </row>
    <row r="235" spans="2:13" x14ac:dyDescent="0.25">
      <c r="B235" s="42"/>
      <c r="C235" s="43" t="str">
        <f t="shared" si="9"/>
        <v/>
      </c>
      <c r="D235" s="44" t="str">
        <f t="shared" si="10"/>
        <v/>
      </c>
      <c r="E235" s="44" t="str">
        <f t="shared" si="11"/>
        <v/>
      </c>
      <c r="F235" s="44"/>
      <c r="G235" s="44"/>
      <c r="H235" s="44"/>
      <c r="I235" s="44"/>
      <c r="J235" s="45"/>
      <c r="K235" s="44"/>
      <c r="L235" s="44"/>
      <c r="M235" s="44"/>
    </row>
    <row r="236" spans="2:13" x14ac:dyDescent="0.25">
      <c r="B236" s="42"/>
      <c r="C236" s="43" t="str">
        <f t="shared" si="9"/>
        <v/>
      </c>
      <c r="D236" s="44" t="str">
        <f t="shared" si="10"/>
        <v/>
      </c>
      <c r="E236" s="44" t="str">
        <f t="shared" si="11"/>
        <v/>
      </c>
      <c r="F236" s="44"/>
      <c r="G236" s="44"/>
      <c r="H236" s="44"/>
      <c r="I236" s="44"/>
      <c r="J236" s="45"/>
      <c r="K236" s="44"/>
      <c r="L236" s="44"/>
      <c r="M236" s="44"/>
    </row>
    <row r="237" spans="2:13" x14ac:dyDescent="0.25">
      <c r="B237" s="42"/>
      <c r="C237" s="43" t="str">
        <f t="shared" si="9"/>
        <v/>
      </c>
      <c r="D237" s="44" t="str">
        <f t="shared" si="10"/>
        <v/>
      </c>
      <c r="E237" s="44" t="str">
        <f t="shared" si="11"/>
        <v/>
      </c>
      <c r="F237" s="44"/>
      <c r="G237" s="44"/>
      <c r="H237" s="44"/>
      <c r="I237" s="44"/>
      <c r="J237" s="45"/>
      <c r="K237" s="44"/>
      <c r="L237" s="44"/>
      <c r="M237" s="44"/>
    </row>
    <row r="238" spans="2:13" x14ac:dyDescent="0.25">
      <c r="B238" s="42"/>
      <c r="C238" s="43" t="str">
        <f t="shared" si="9"/>
        <v/>
      </c>
      <c r="D238" s="44" t="str">
        <f t="shared" si="10"/>
        <v/>
      </c>
      <c r="E238" s="44" t="str">
        <f t="shared" si="11"/>
        <v/>
      </c>
      <c r="F238" s="44"/>
      <c r="G238" s="44"/>
      <c r="H238" s="44"/>
      <c r="I238" s="44"/>
      <c r="J238" s="45"/>
      <c r="K238" s="44"/>
      <c r="L238" s="44"/>
      <c r="M238" s="44"/>
    </row>
    <row r="239" spans="2:13" x14ac:dyDescent="0.25">
      <c r="B239" s="42"/>
      <c r="C239" s="43" t="str">
        <f t="shared" si="9"/>
        <v/>
      </c>
      <c r="D239" s="44" t="str">
        <f t="shared" si="10"/>
        <v/>
      </c>
      <c r="E239" s="44" t="str">
        <f t="shared" si="11"/>
        <v/>
      </c>
      <c r="F239" s="44"/>
      <c r="G239" s="44"/>
      <c r="H239" s="44"/>
      <c r="I239" s="44"/>
      <c r="J239" s="45"/>
      <c r="K239" s="44"/>
      <c r="L239" s="44"/>
      <c r="M239" s="44"/>
    </row>
    <row r="240" spans="2:13" x14ac:dyDescent="0.25">
      <c r="B240" s="42"/>
      <c r="C240" s="43" t="str">
        <f t="shared" si="9"/>
        <v/>
      </c>
      <c r="D240" s="44" t="str">
        <f t="shared" si="10"/>
        <v/>
      </c>
      <c r="E240" s="44" t="str">
        <f t="shared" si="11"/>
        <v/>
      </c>
      <c r="F240" s="44"/>
      <c r="G240" s="44"/>
      <c r="H240" s="44"/>
      <c r="I240" s="44"/>
      <c r="J240" s="45"/>
      <c r="K240" s="44"/>
      <c r="L240" s="44"/>
      <c r="M240" s="44"/>
    </row>
    <row r="241" spans="2:13" x14ac:dyDescent="0.25">
      <c r="B241" s="42"/>
      <c r="C241" s="43" t="str">
        <f t="shared" si="9"/>
        <v/>
      </c>
      <c r="D241" s="44" t="str">
        <f t="shared" si="10"/>
        <v/>
      </c>
      <c r="E241" s="44" t="str">
        <f t="shared" si="11"/>
        <v/>
      </c>
      <c r="F241" s="44"/>
      <c r="G241" s="44"/>
      <c r="H241" s="44"/>
      <c r="I241" s="44"/>
      <c r="J241" s="45"/>
      <c r="K241" s="44"/>
      <c r="L241" s="44"/>
      <c r="M241" s="44"/>
    </row>
    <row r="242" spans="2:13" x14ac:dyDescent="0.25">
      <c r="B242" s="42"/>
      <c r="C242" s="43" t="str">
        <f t="shared" si="9"/>
        <v/>
      </c>
      <c r="D242" s="44" t="str">
        <f t="shared" si="10"/>
        <v/>
      </c>
      <c r="E242" s="44" t="str">
        <f t="shared" si="11"/>
        <v/>
      </c>
      <c r="F242" s="44"/>
      <c r="G242" s="44"/>
      <c r="H242" s="44"/>
      <c r="I242" s="44"/>
      <c r="J242" s="45"/>
      <c r="K242" s="44"/>
      <c r="L242" s="44"/>
      <c r="M242" s="44"/>
    </row>
    <row r="243" spans="2:13" x14ac:dyDescent="0.25">
      <c r="B243" s="42"/>
      <c r="C243" s="43" t="str">
        <f t="shared" si="9"/>
        <v/>
      </c>
      <c r="D243" s="44" t="str">
        <f t="shared" si="10"/>
        <v/>
      </c>
      <c r="E243" s="44" t="str">
        <f t="shared" si="11"/>
        <v/>
      </c>
      <c r="F243" s="44"/>
      <c r="G243" s="44"/>
      <c r="H243" s="44"/>
      <c r="I243" s="44"/>
      <c r="J243" s="45"/>
      <c r="K243" s="44"/>
      <c r="L243" s="44"/>
      <c r="M243" s="44"/>
    </row>
    <row r="244" spans="2:13" x14ac:dyDescent="0.25">
      <c r="B244" s="42"/>
      <c r="C244" s="43" t="str">
        <f t="shared" si="9"/>
        <v/>
      </c>
      <c r="D244" s="44" t="str">
        <f t="shared" si="10"/>
        <v/>
      </c>
      <c r="E244" s="44" t="str">
        <f t="shared" si="11"/>
        <v/>
      </c>
      <c r="F244" s="44"/>
      <c r="G244" s="44"/>
      <c r="H244" s="44"/>
      <c r="I244" s="44"/>
      <c r="J244" s="45"/>
      <c r="K244" s="44"/>
      <c r="L244" s="44"/>
      <c r="M244" s="44"/>
    </row>
    <row r="245" spans="2:13" x14ac:dyDescent="0.25">
      <c r="B245" s="42"/>
      <c r="C245" s="43" t="str">
        <f t="shared" si="9"/>
        <v/>
      </c>
      <c r="D245" s="44" t="str">
        <f t="shared" si="10"/>
        <v/>
      </c>
      <c r="E245" s="44" t="str">
        <f t="shared" si="11"/>
        <v/>
      </c>
      <c r="F245" s="44"/>
      <c r="G245" s="44"/>
      <c r="H245" s="44"/>
      <c r="I245" s="44"/>
      <c r="J245" s="45"/>
      <c r="K245" s="44"/>
      <c r="L245" s="44"/>
      <c r="M245" s="44"/>
    </row>
    <row r="246" spans="2:13" x14ac:dyDescent="0.25">
      <c r="B246" s="42"/>
      <c r="C246" s="43" t="str">
        <f t="shared" si="9"/>
        <v/>
      </c>
      <c r="D246" s="44" t="str">
        <f t="shared" si="10"/>
        <v/>
      </c>
      <c r="E246" s="44" t="str">
        <f t="shared" si="11"/>
        <v/>
      </c>
      <c r="F246" s="44"/>
      <c r="G246" s="44"/>
      <c r="H246" s="44"/>
      <c r="I246" s="44"/>
      <c r="J246" s="45"/>
      <c r="K246" s="44"/>
      <c r="L246" s="44"/>
      <c r="M246" s="44"/>
    </row>
    <row r="247" spans="2:13" x14ac:dyDescent="0.25">
      <c r="B247" s="42"/>
      <c r="C247" s="43" t="str">
        <f t="shared" si="9"/>
        <v/>
      </c>
      <c r="D247" s="44" t="str">
        <f t="shared" si="10"/>
        <v/>
      </c>
      <c r="E247" s="44" t="str">
        <f t="shared" si="11"/>
        <v/>
      </c>
      <c r="F247" s="44"/>
      <c r="G247" s="44"/>
      <c r="H247" s="44"/>
      <c r="I247" s="44"/>
      <c r="J247" s="45"/>
      <c r="K247" s="44"/>
      <c r="L247" s="44"/>
      <c r="M247" s="44"/>
    </row>
    <row r="248" spans="2:13" x14ac:dyDescent="0.25">
      <c r="B248" s="42"/>
      <c r="C248" s="43" t="str">
        <f t="shared" si="9"/>
        <v/>
      </c>
      <c r="D248" s="44" t="str">
        <f t="shared" si="10"/>
        <v/>
      </c>
      <c r="E248" s="44" t="str">
        <f t="shared" si="11"/>
        <v/>
      </c>
      <c r="F248" s="44"/>
      <c r="G248" s="44"/>
      <c r="H248" s="44"/>
      <c r="I248" s="44"/>
      <c r="J248" s="45"/>
      <c r="K248" s="44"/>
      <c r="L248" s="44"/>
      <c r="M248" s="44"/>
    </row>
    <row r="249" spans="2:13" x14ac:dyDescent="0.25">
      <c r="B249" s="42"/>
      <c r="C249" s="43" t="str">
        <f t="shared" si="9"/>
        <v/>
      </c>
      <c r="D249" s="44" t="str">
        <f t="shared" si="10"/>
        <v/>
      </c>
      <c r="E249" s="44" t="str">
        <f t="shared" si="11"/>
        <v/>
      </c>
      <c r="F249" s="44"/>
      <c r="G249" s="44"/>
      <c r="H249" s="44"/>
      <c r="I249" s="44"/>
      <c r="J249" s="45"/>
      <c r="K249" s="44"/>
      <c r="L249" s="44"/>
      <c r="M249" s="44"/>
    </row>
    <row r="250" spans="2:13" x14ac:dyDescent="0.25">
      <c r="B250" s="42"/>
      <c r="C250" s="43" t="str">
        <f t="shared" si="9"/>
        <v/>
      </c>
      <c r="D250" s="44" t="str">
        <f t="shared" si="10"/>
        <v/>
      </c>
      <c r="E250" s="44" t="str">
        <f t="shared" si="11"/>
        <v/>
      </c>
      <c r="F250" s="44"/>
      <c r="G250" s="44"/>
      <c r="H250" s="44"/>
      <c r="I250" s="44"/>
      <c r="J250" s="45"/>
      <c r="K250" s="44"/>
      <c r="L250" s="44"/>
      <c r="M250" s="44"/>
    </row>
    <row r="251" spans="2:13" x14ac:dyDescent="0.25">
      <c r="B251" s="42"/>
      <c r="C251" s="43" t="str">
        <f t="shared" si="9"/>
        <v/>
      </c>
      <c r="D251" s="44" t="str">
        <f t="shared" si="10"/>
        <v/>
      </c>
      <c r="E251" s="44" t="str">
        <f t="shared" si="11"/>
        <v/>
      </c>
      <c r="F251" s="44"/>
      <c r="G251" s="44"/>
      <c r="H251" s="44"/>
      <c r="I251" s="44"/>
      <c r="J251" s="45"/>
      <c r="K251" s="44"/>
      <c r="L251" s="44"/>
      <c r="M251" s="44"/>
    </row>
    <row r="252" spans="2:13" x14ac:dyDescent="0.25">
      <c r="B252" s="42"/>
      <c r="C252" s="43" t="str">
        <f t="shared" si="9"/>
        <v/>
      </c>
      <c r="D252" s="44" t="str">
        <f t="shared" si="10"/>
        <v/>
      </c>
      <c r="E252" s="44" t="str">
        <f t="shared" si="11"/>
        <v/>
      </c>
      <c r="F252" s="44"/>
      <c r="G252" s="44"/>
      <c r="H252" s="44"/>
      <c r="I252" s="44"/>
      <c r="J252" s="45"/>
      <c r="K252" s="44"/>
      <c r="L252" s="44"/>
      <c r="M252" s="44"/>
    </row>
    <row r="253" spans="2:13" x14ac:dyDescent="0.25">
      <c r="B253" s="42"/>
      <c r="C253" s="43" t="str">
        <f t="shared" si="9"/>
        <v/>
      </c>
      <c r="D253" s="44" t="str">
        <f t="shared" si="10"/>
        <v/>
      </c>
      <c r="E253" s="44" t="str">
        <f t="shared" si="11"/>
        <v/>
      </c>
      <c r="F253" s="44"/>
      <c r="G253" s="44"/>
      <c r="H253" s="44"/>
      <c r="I253" s="44"/>
      <c r="J253" s="45"/>
      <c r="K253" s="44"/>
      <c r="L253" s="44"/>
      <c r="M253" s="44"/>
    </row>
    <row r="254" spans="2:13" x14ac:dyDescent="0.25">
      <c r="B254" s="42"/>
      <c r="C254" s="43" t="str">
        <f t="shared" si="9"/>
        <v/>
      </c>
      <c r="D254" s="44" t="str">
        <f t="shared" si="10"/>
        <v/>
      </c>
      <c r="E254" s="44" t="str">
        <f t="shared" si="11"/>
        <v/>
      </c>
      <c r="F254" s="44"/>
      <c r="G254" s="44"/>
      <c r="H254" s="44"/>
      <c r="I254" s="44"/>
      <c r="J254" s="45"/>
      <c r="K254" s="44"/>
      <c r="L254" s="44"/>
      <c r="M254" s="44"/>
    </row>
    <row r="255" spans="2:13" x14ac:dyDescent="0.25">
      <c r="B255" s="42"/>
      <c r="C255" s="43" t="str">
        <f t="shared" si="9"/>
        <v/>
      </c>
      <c r="D255" s="44" t="str">
        <f t="shared" si="10"/>
        <v/>
      </c>
      <c r="E255" s="44" t="str">
        <f t="shared" si="11"/>
        <v/>
      </c>
      <c r="F255" s="44"/>
      <c r="G255" s="44"/>
      <c r="H255" s="44"/>
      <c r="I255" s="44"/>
      <c r="J255" s="45"/>
      <c r="K255" s="44"/>
      <c r="L255" s="44"/>
      <c r="M255" s="44"/>
    </row>
    <row r="256" spans="2:13" x14ac:dyDescent="0.25">
      <c r="B256" s="42"/>
      <c r="C256" s="43" t="str">
        <f t="shared" si="9"/>
        <v/>
      </c>
      <c r="D256" s="44" t="str">
        <f t="shared" si="10"/>
        <v/>
      </c>
      <c r="E256" s="44" t="str">
        <f t="shared" si="11"/>
        <v/>
      </c>
      <c r="F256" s="44"/>
      <c r="G256" s="44"/>
      <c r="H256" s="44"/>
      <c r="I256" s="44"/>
      <c r="J256" s="45"/>
      <c r="K256" s="44"/>
      <c r="L256" s="44"/>
      <c r="M256" s="44"/>
    </row>
    <row r="257" spans="2:13" x14ac:dyDescent="0.25">
      <c r="B257" s="42"/>
      <c r="C257" s="43" t="str">
        <f t="shared" si="9"/>
        <v/>
      </c>
      <c r="D257" s="44" t="str">
        <f t="shared" si="10"/>
        <v/>
      </c>
      <c r="E257" s="44" t="str">
        <f t="shared" si="11"/>
        <v/>
      </c>
      <c r="F257" s="44"/>
      <c r="G257" s="44"/>
      <c r="H257" s="44"/>
      <c r="I257" s="44"/>
      <c r="J257" s="45"/>
      <c r="K257" s="44"/>
      <c r="L257" s="44"/>
      <c r="M257" s="44"/>
    </row>
    <row r="258" spans="2:13" x14ac:dyDescent="0.25">
      <c r="B258" s="42"/>
      <c r="C258" s="43" t="str">
        <f t="shared" ref="C258:C321" si="12">IF(B258="","",MONTH(B258))</f>
        <v/>
      </c>
      <c r="D258" s="44" t="str">
        <f t="shared" ref="D258:D321" si="13">IF(B258="","",CHOOSE(C258,"Enero","Febrero","Marzo","Abril","Mayo","Junio","Julio","Agosto","Septiembre","Octubre","Noviembre","Diciembre"))</f>
        <v/>
      </c>
      <c r="E258" s="44" t="str">
        <f t="shared" ref="E258:E321" si="14">IF(B258="","",YEAR(B258))</f>
        <v/>
      </c>
      <c r="F258" s="44"/>
      <c r="G258" s="44"/>
      <c r="H258" s="44"/>
      <c r="I258" s="44"/>
      <c r="J258" s="45"/>
      <c r="K258" s="44"/>
      <c r="L258" s="44"/>
      <c r="M258" s="44"/>
    </row>
    <row r="259" spans="2:13" x14ac:dyDescent="0.25">
      <c r="B259" s="42"/>
      <c r="C259" s="43" t="str">
        <f t="shared" si="12"/>
        <v/>
      </c>
      <c r="D259" s="44" t="str">
        <f t="shared" si="13"/>
        <v/>
      </c>
      <c r="E259" s="44" t="str">
        <f t="shared" si="14"/>
        <v/>
      </c>
      <c r="F259" s="44"/>
      <c r="G259" s="44"/>
      <c r="H259" s="44"/>
      <c r="I259" s="44"/>
      <c r="J259" s="45"/>
      <c r="K259" s="44"/>
      <c r="L259" s="44"/>
      <c r="M259" s="44"/>
    </row>
    <row r="260" spans="2:13" x14ac:dyDescent="0.25">
      <c r="B260" s="42"/>
      <c r="C260" s="43" t="str">
        <f t="shared" si="12"/>
        <v/>
      </c>
      <c r="D260" s="44" t="str">
        <f t="shared" si="13"/>
        <v/>
      </c>
      <c r="E260" s="44" t="str">
        <f t="shared" si="14"/>
        <v/>
      </c>
      <c r="F260" s="44"/>
      <c r="G260" s="44"/>
      <c r="H260" s="44"/>
      <c r="I260" s="44"/>
      <c r="J260" s="45"/>
      <c r="K260" s="44"/>
      <c r="L260" s="44"/>
      <c r="M260" s="44"/>
    </row>
    <row r="261" spans="2:13" x14ac:dyDescent="0.25">
      <c r="B261" s="42"/>
      <c r="C261" s="43" t="str">
        <f t="shared" si="12"/>
        <v/>
      </c>
      <c r="D261" s="44" t="str">
        <f t="shared" si="13"/>
        <v/>
      </c>
      <c r="E261" s="44" t="str">
        <f t="shared" si="14"/>
        <v/>
      </c>
      <c r="F261" s="44"/>
      <c r="G261" s="44"/>
      <c r="H261" s="44"/>
      <c r="I261" s="44"/>
      <c r="J261" s="45"/>
      <c r="K261" s="44"/>
      <c r="L261" s="44"/>
      <c r="M261" s="44"/>
    </row>
    <row r="262" spans="2:13" x14ac:dyDescent="0.25">
      <c r="B262" s="42"/>
      <c r="C262" s="43" t="str">
        <f t="shared" si="12"/>
        <v/>
      </c>
      <c r="D262" s="44" t="str">
        <f t="shared" si="13"/>
        <v/>
      </c>
      <c r="E262" s="44" t="str">
        <f t="shared" si="14"/>
        <v/>
      </c>
      <c r="F262" s="44"/>
      <c r="G262" s="44"/>
      <c r="H262" s="44"/>
      <c r="I262" s="44"/>
      <c r="J262" s="45"/>
      <c r="K262" s="44"/>
      <c r="L262" s="44"/>
      <c r="M262" s="44"/>
    </row>
    <row r="263" spans="2:13" x14ac:dyDescent="0.25">
      <c r="B263" s="42"/>
      <c r="C263" s="43" t="str">
        <f t="shared" si="12"/>
        <v/>
      </c>
      <c r="D263" s="44" t="str">
        <f t="shared" si="13"/>
        <v/>
      </c>
      <c r="E263" s="44" t="str">
        <f t="shared" si="14"/>
        <v/>
      </c>
      <c r="F263" s="44"/>
      <c r="G263" s="44"/>
      <c r="H263" s="44"/>
      <c r="I263" s="44"/>
      <c r="J263" s="45"/>
      <c r="K263" s="44"/>
      <c r="L263" s="44"/>
      <c r="M263" s="44"/>
    </row>
    <row r="264" spans="2:13" x14ac:dyDescent="0.25">
      <c r="B264" s="42"/>
      <c r="C264" s="43" t="str">
        <f t="shared" si="12"/>
        <v/>
      </c>
      <c r="D264" s="44" t="str">
        <f t="shared" si="13"/>
        <v/>
      </c>
      <c r="E264" s="44" t="str">
        <f t="shared" si="14"/>
        <v/>
      </c>
      <c r="F264" s="44"/>
      <c r="G264" s="44"/>
      <c r="H264" s="44"/>
      <c r="I264" s="44"/>
      <c r="J264" s="45"/>
      <c r="K264" s="44"/>
      <c r="L264" s="44"/>
      <c r="M264" s="44"/>
    </row>
    <row r="265" spans="2:13" x14ac:dyDescent="0.25">
      <c r="B265" s="42"/>
      <c r="C265" s="43" t="str">
        <f t="shared" si="12"/>
        <v/>
      </c>
      <c r="D265" s="44" t="str">
        <f t="shared" si="13"/>
        <v/>
      </c>
      <c r="E265" s="44" t="str">
        <f t="shared" si="14"/>
        <v/>
      </c>
      <c r="F265" s="44"/>
      <c r="G265" s="44"/>
      <c r="H265" s="44"/>
      <c r="I265" s="44"/>
      <c r="J265" s="45"/>
      <c r="K265" s="44"/>
      <c r="L265" s="44"/>
      <c r="M265" s="44"/>
    </row>
    <row r="266" spans="2:13" x14ac:dyDescent="0.25">
      <c r="B266" s="42"/>
      <c r="C266" s="43" t="str">
        <f t="shared" si="12"/>
        <v/>
      </c>
      <c r="D266" s="44" t="str">
        <f t="shared" si="13"/>
        <v/>
      </c>
      <c r="E266" s="44" t="str">
        <f t="shared" si="14"/>
        <v/>
      </c>
      <c r="F266" s="44"/>
      <c r="G266" s="44"/>
      <c r="H266" s="44"/>
      <c r="I266" s="44"/>
      <c r="J266" s="45"/>
      <c r="K266" s="44"/>
      <c r="L266" s="44"/>
      <c r="M266" s="44"/>
    </row>
    <row r="267" spans="2:13" x14ac:dyDescent="0.25">
      <c r="B267" s="42"/>
      <c r="C267" s="43" t="str">
        <f t="shared" si="12"/>
        <v/>
      </c>
      <c r="D267" s="44" t="str">
        <f t="shared" si="13"/>
        <v/>
      </c>
      <c r="E267" s="44" t="str">
        <f t="shared" si="14"/>
        <v/>
      </c>
      <c r="F267" s="44"/>
      <c r="G267" s="44"/>
      <c r="H267" s="44"/>
      <c r="I267" s="44"/>
      <c r="J267" s="45"/>
      <c r="K267" s="44"/>
      <c r="L267" s="44"/>
      <c r="M267" s="44"/>
    </row>
    <row r="268" spans="2:13" x14ac:dyDescent="0.25">
      <c r="B268" s="42"/>
      <c r="C268" s="43" t="str">
        <f t="shared" si="12"/>
        <v/>
      </c>
      <c r="D268" s="44" t="str">
        <f t="shared" si="13"/>
        <v/>
      </c>
      <c r="E268" s="44" t="str">
        <f t="shared" si="14"/>
        <v/>
      </c>
      <c r="F268" s="44"/>
      <c r="G268" s="44"/>
      <c r="H268" s="44"/>
      <c r="I268" s="44"/>
      <c r="J268" s="45"/>
      <c r="K268" s="44"/>
      <c r="L268" s="44"/>
      <c r="M268" s="44"/>
    </row>
    <row r="269" spans="2:13" x14ac:dyDescent="0.25">
      <c r="B269" s="42"/>
      <c r="C269" s="43" t="str">
        <f t="shared" si="12"/>
        <v/>
      </c>
      <c r="D269" s="44" t="str">
        <f t="shared" si="13"/>
        <v/>
      </c>
      <c r="E269" s="44" t="str">
        <f t="shared" si="14"/>
        <v/>
      </c>
      <c r="F269" s="44"/>
      <c r="G269" s="44"/>
      <c r="H269" s="44"/>
      <c r="I269" s="44"/>
      <c r="J269" s="45"/>
      <c r="K269" s="44"/>
      <c r="L269" s="44"/>
      <c r="M269" s="44"/>
    </row>
    <row r="270" spans="2:13" x14ac:dyDescent="0.25">
      <c r="B270" s="42"/>
      <c r="C270" s="43" t="str">
        <f t="shared" si="12"/>
        <v/>
      </c>
      <c r="D270" s="44" t="str">
        <f t="shared" si="13"/>
        <v/>
      </c>
      <c r="E270" s="44" t="str">
        <f t="shared" si="14"/>
        <v/>
      </c>
      <c r="F270" s="44"/>
      <c r="G270" s="44"/>
      <c r="H270" s="44"/>
      <c r="I270" s="44"/>
      <c r="J270" s="45"/>
      <c r="K270" s="44"/>
      <c r="L270" s="44"/>
      <c r="M270" s="44"/>
    </row>
    <row r="271" spans="2:13" x14ac:dyDescent="0.25">
      <c r="B271" s="42"/>
      <c r="C271" s="43" t="str">
        <f t="shared" si="12"/>
        <v/>
      </c>
      <c r="D271" s="44" t="str">
        <f t="shared" si="13"/>
        <v/>
      </c>
      <c r="E271" s="44" t="str">
        <f t="shared" si="14"/>
        <v/>
      </c>
      <c r="F271" s="44"/>
      <c r="G271" s="44"/>
      <c r="H271" s="44"/>
      <c r="I271" s="44"/>
      <c r="J271" s="45"/>
      <c r="K271" s="44"/>
      <c r="L271" s="44"/>
      <c r="M271" s="44"/>
    </row>
    <row r="272" spans="2:13" x14ac:dyDescent="0.25">
      <c r="B272" s="42"/>
      <c r="C272" s="43" t="str">
        <f t="shared" si="12"/>
        <v/>
      </c>
      <c r="D272" s="44" t="str">
        <f t="shared" si="13"/>
        <v/>
      </c>
      <c r="E272" s="44" t="str">
        <f t="shared" si="14"/>
        <v/>
      </c>
      <c r="F272" s="44"/>
      <c r="G272" s="44"/>
      <c r="H272" s="44"/>
      <c r="I272" s="44"/>
      <c r="J272" s="45"/>
      <c r="K272" s="44"/>
      <c r="L272" s="44"/>
      <c r="M272" s="44"/>
    </row>
    <row r="273" spans="2:13" x14ac:dyDescent="0.25">
      <c r="B273" s="42"/>
      <c r="C273" s="43" t="str">
        <f t="shared" si="12"/>
        <v/>
      </c>
      <c r="D273" s="44" t="str">
        <f t="shared" si="13"/>
        <v/>
      </c>
      <c r="E273" s="44" t="str">
        <f t="shared" si="14"/>
        <v/>
      </c>
      <c r="F273" s="44"/>
      <c r="G273" s="44"/>
      <c r="H273" s="44"/>
      <c r="I273" s="44"/>
      <c r="J273" s="45"/>
      <c r="K273" s="44"/>
      <c r="L273" s="44"/>
      <c r="M273" s="44"/>
    </row>
    <row r="274" spans="2:13" x14ac:dyDescent="0.25">
      <c r="B274" s="42"/>
      <c r="C274" s="43" t="str">
        <f t="shared" si="12"/>
        <v/>
      </c>
      <c r="D274" s="44" t="str">
        <f t="shared" si="13"/>
        <v/>
      </c>
      <c r="E274" s="44" t="str">
        <f t="shared" si="14"/>
        <v/>
      </c>
      <c r="F274" s="44"/>
      <c r="G274" s="44"/>
      <c r="H274" s="44"/>
      <c r="I274" s="44"/>
      <c r="J274" s="45"/>
      <c r="K274" s="44"/>
      <c r="L274" s="44"/>
      <c r="M274" s="44"/>
    </row>
    <row r="275" spans="2:13" x14ac:dyDescent="0.25">
      <c r="B275" s="42"/>
      <c r="C275" s="43" t="str">
        <f t="shared" si="12"/>
        <v/>
      </c>
      <c r="D275" s="44" t="str">
        <f t="shared" si="13"/>
        <v/>
      </c>
      <c r="E275" s="44" t="str">
        <f t="shared" si="14"/>
        <v/>
      </c>
      <c r="F275" s="44"/>
      <c r="G275" s="44"/>
      <c r="H275" s="44"/>
      <c r="I275" s="44"/>
      <c r="J275" s="45"/>
      <c r="K275" s="44"/>
      <c r="L275" s="44"/>
      <c r="M275" s="44"/>
    </row>
    <row r="276" spans="2:13" x14ac:dyDescent="0.25">
      <c r="B276" s="42"/>
      <c r="C276" s="43" t="str">
        <f t="shared" si="12"/>
        <v/>
      </c>
      <c r="D276" s="44" t="str">
        <f t="shared" si="13"/>
        <v/>
      </c>
      <c r="E276" s="44" t="str">
        <f t="shared" si="14"/>
        <v/>
      </c>
      <c r="F276" s="44"/>
      <c r="G276" s="44"/>
      <c r="H276" s="44"/>
      <c r="I276" s="44"/>
      <c r="J276" s="45"/>
      <c r="K276" s="44"/>
      <c r="L276" s="44"/>
      <c r="M276" s="44"/>
    </row>
    <row r="277" spans="2:13" x14ac:dyDescent="0.25">
      <c r="B277" s="42"/>
      <c r="C277" s="43" t="str">
        <f t="shared" si="12"/>
        <v/>
      </c>
      <c r="D277" s="44" t="str">
        <f t="shared" si="13"/>
        <v/>
      </c>
      <c r="E277" s="44" t="str">
        <f t="shared" si="14"/>
        <v/>
      </c>
      <c r="F277" s="44"/>
      <c r="G277" s="44"/>
      <c r="H277" s="44"/>
      <c r="I277" s="44"/>
      <c r="J277" s="45"/>
      <c r="K277" s="44"/>
      <c r="L277" s="44"/>
      <c r="M277" s="44"/>
    </row>
    <row r="278" spans="2:13" x14ac:dyDescent="0.25">
      <c r="B278" s="42"/>
      <c r="C278" s="43" t="str">
        <f t="shared" si="12"/>
        <v/>
      </c>
      <c r="D278" s="44" t="str">
        <f t="shared" si="13"/>
        <v/>
      </c>
      <c r="E278" s="44" t="str">
        <f t="shared" si="14"/>
        <v/>
      </c>
      <c r="F278" s="44"/>
      <c r="G278" s="44"/>
      <c r="H278" s="44"/>
      <c r="I278" s="44"/>
      <c r="J278" s="45"/>
      <c r="K278" s="44"/>
      <c r="L278" s="44"/>
      <c r="M278" s="44"/>
    </row>
    <row r="279" spans="2:13" x14ac:dyDescent="0.25">
      <c r="B279" s="42"/>
      <c r="C279" s="43" t="str">
        <f t="shared" si="12"/>
        <v/>
      </c>
      <c r="D279" s="44" t="str">
        <f t="shared" si="13"/>
        <v/>
      </c>
      <c r="E279" s="44" t="str">
        <f t="shared" si="14"/>
        <v/>
      </c>
      <c r="F279" s="44"/>
      <c r="G279" s="44"/>
      <c r="H279" s="44"/>
      <c r="I279" s="44"/>
      <c r="J279" s="45"/>
      <c r="K279" s="44"/>
      <c r="L279" s="44"/>
      <c r="M279" s="44"/>
    </row>
    <row r="280" spans="2:13" x14ac:dyDescent="0.25">
      <c r="B280" s="42"/>
      <c r="C280" s="43" t="str">
        <f t="shared" si="12"/>
        <v/>
      </c>
      <c r="D280" s="44" t="str">
        <f t="shared" si="13"/>
        <v/>
      </c>
      <c r="E280" s="44" t="str">
        <f t="shared" si="14"/>
        <v/>
      </c>
      <c r="F280" s="44"/>
      <c r="G280" s="44"/>
      <c r="H280" s="44"/>
      <c r="I280" s="44"/>
      <c r="J280" s="45"/>
      <c r="K280" s="44"/>
      <c r="L280" s="44"/>
      <c r="M280" s="44"/>
    </row>
    <row r="281" spans="2:13" x14ac:dyDescent="0.25">
      <c r="B281" s="42"/>
      <c r="C281" s="43" t="str">
        <f t="shared" si="12"/>
        <v/>
      </c>
      <c r="D281" s="44" t="str">
        <f t="shared" si="13"/>
        <v/>
      </c>
      <c r="E281" s="44" t="str">
        <f t="shared" si="14"/>
        <v/>
      </c>
      <c r="F281" s="44"/>
      <c r="G281" s="44"/>
      <c r="H281" s="44"/>
      <c r="I281" s="44"/>
      <c r="J281" s="45"/>
      <c r="K281" s="44"/>
      <c r="L281" s="44"/>
      <c r="M281" s="44"/>
    </row>
    <row r="282" spans="2:13" x14ac:dyDescent="0.25">
      <c r="B282" s="42"/>
      <c r="C282" s="43" t="str">
        <f t="shared" si="12"/>
        <v/>
      </c>
      <c r="D282" s="44" t="str">
        <f t="shared" si="13"/>
        <v/>
      </c>
      <c r="E282" s="44" t="str">
        <f t="shared" si="14"/>
        <v/>
      </c>
      <c r="F282" s="44"/>
      <c r="G282" s="44"/>
      <c r="H282" s="44"/>
      <c r="I282" s="44"/>
      <c r="J282" s="45"/>
      <c r="K282" s="44"/>
      <c r="L282" s="44"/>
      <c r="M282" s="44"/>
    </row>
    <row r="283" spans="2:13" x14ac:dyDescent="0.25">
      <c r="B283" s="42"/>
      <c r="C283" s="43" t="str">
        <f t="shared" si="12"/>
        <v/>
      </c>
      <c r="D283" s="44" t="str">
        <f t="shared" si="13"/>
        <v/>
      </c>
      <c r="E283" s="44" t="str">
        <f t="shared" si="14"/>
        <v/>
      </c>
      <c r="F283" s="44"/>
      <c r="G283" s="44"/>
      <c r="H283" s="44"/>
      <c r="I283" s="44"/>
      <c r="J283" s="45"/>
      <c r="K283" s="44"/>
      <c r="L283" s="44"/>
      <c r="M283" s="44"/>
    </row>
    <row r="284" spans="2:13" x14ac:dyDescent="0.25">
      <c r="B284" s="42"/>
      <c r="C284" s="43" t="str">
        <f t="shared" si="12"/>
        <v/>
      </c>
      <c r="D284" s="44" t="str">
        <f t="shared" si="13"/>
        <v/>
      </c>
      <c r="E284" s="44" t="str">
        <f t="shared" si="14"/>
        <v/>
      </c>
      <c r="F284" s="44"/>
      <c r="G284" s="44"/>
      <c r="H284" s="44"/>
      <c r="I284" s="44"/>
      <c r="J284" s="45"/>
      <c r="K284" s="44"/>
      <c r="L284" s="44"/>
      <c r="M284" s="44"/>
    </row>
    <row r="285" spans="2:13" x14ac:dyDescent="0.25">
      <c r="B285" s="42"/>
      <c r="C285" s="43" t="str">
        <f t="shared" si="12"/>
        <v/>
      </c>
      <c r="D285" s="44" t="str">
        <f t="shared" si="13"/>
        <v/>
      </c>
      <c r="E285" s="44" t="str">
        <f t="shared" si="14"/>
        <v/>
      </c>
      <c r="F285" s="44"/>
      <c r="G285" s="44"/>
      <c r="H285" s="44"/>
      <c r="I285" s="44"/>
      <c r="J285" s="45"/>
      <c r="K285" s="44"/>
      <c r="L285" s="44"/>
      <c r="M285" s="44"/>
    </row>
    <row r="286" spans="2:13" x14ac:dyDescent="0.25">
      <c r="B286" s="42"/>
      <c r="C286" s="43" t="str">
        <f t="shared" si="12"/>
        <v/>
      </c>
      <c r="D286" s="44" t="str">
        <f t="shared" si="13"/>
        <v/>
      </c>
      <c r="E286" s="44" t="str">
        <f t="shared" si="14"/>
        <v/>
      </c>
      <c r="F286" s="44"/>
      <c r="G286" s="44"/>
      <c r="H286" s="44"/>
      <c r="I286" s="44"/>
      <c r="J286" s="45"/>
      <c r="K286" s="44"/>
      <c r="L286" s="44"/>
      <c r="M286" s="44"/>
    </row>
    <row r="287" spans="2:13" x14ac:dyDescent="0.25">
      <c r="B287" s="42"/>
      <c r="C287" s="43" t="str">
        <f t="shared" si="12"/>
        <v/>
      </c>
      <c r="D287" s="44" t="str">
        <f t="shared" si="13"/>
        <v/>
      </c>
      <c r="E287" s="44" t="str">
        <f t="shared" si="14"/>
        <v/>
      </c>
      <c r="F287" s="44"/>
      <c r="G287" s="44"/>
      <c r="H287" s="44"/>
      <c r="I287" s="44"/>
      <c r="J287" s="45"/>
      <c r="K287" s="44"/>
      <c r="L287" s="44"/>
      <c r="M287" s="44"/>
    </row>
    <row r="288" spans="2:13" x14ac:dyDescent="0.25">
      <c r="B288" s="42"/>
      <c r="C288" s="43" t="str">
        <f t="shared" si="12"/>
        <v/>
      </c>
      <c r="D288" s="44" t="str">
        <f t="shared" si="13"/>
        <v/>
      </c>
      <c r="E288" s="44" t="str">
        <f t="shared" si="14"/>
        <v/>
      </c>
      <c r="F288" s="44"/>
      <c r="G288" s="44"/>
      <c r="H288" s="44"/>
      <c r="I288" s="44"/>
      <c r="J288" s="45"/>
      <c r="K288" s="44"/>
      <c r="L288" s="44"/>
      <c r="M288" s="44"/>
    </row>
    <row r="289" spans="2:13" x14ac:dyDescent="0.25">
      <c r="B289" s="42"/>
      <c r="C289" s="43" t="str">
        <f t="shared" si="12"/>
        <v/>
      </c>
      <c r="D289" s="44" t="str">
        <f t="shared" si="13"/>
        <v/>
      </c>
      <c r="E289" s="44" t="str">
        <f t="shared" si="14"/>
        <v/>
      </c>
      <c r="F289" s="44"/>
      <c r="G289" s="44"/>
      <c r="H289" s="44"/>
      <c r="I289" s="44"/>
      <c r="J289" s="45"/>
      <c r="K289" s="44"/>
      <c r="L289" s="44"/>
      <c r="M289" s="44"/>
    </row>
    <row r="290" spans="2:13" x14ac:dyDescent="0.25">
      <c r="B290" s="42"/>
      <c r="C290" s="43" t="str">
        <f t="shared" si="12"/>
        <v/>
      </c>
      <c r="D290" s="44" t="str">
        <f t="shared" si="13"/>
        <v/>
      </c>
      <c r="E290" s="44" t="str">
        <f t="shared" si="14"/>
        <v/>
      </c>
      <c r="F290" s="44"/>
      <c r="G290" s="44"/>
      <c r="H290" s="44"/>
      <c r="I290" s="44"/>
      <c r="J290" s="45"/>
      <c r="K290" s="44"/>
      <c r="L290" s="44"/>
      <c r="M290" s="44"/>
    </row>
    <row r="291" spans="2:13" x14ac:dyDescent="0.25">
      <c r="B291" s="42"/>
      <c r="C291" s="43" t="str">
        <f t="shared" si="12"/>
        <v/>
      </c>
      <c r="D291" s="44" t="str">
        <f t="shared" si="13"/>
        <v/>
      </c>
      <c r="E291" s="44" t="str">
        <f t="shared" si="14"/>
        <v/>
      </c>
      <c r="F291" s="44"/>
      <c r="G291" s="44"/>
      <c r="H291" s="44"/>
      <c r="I291" s="44"/>
      <c r="J291" s="45"/>
      <c r="K291" s="44"/>
      <c r="L291" s="44"/>
      <c r="M291" s="44"/>
    </row>
    <row r="292" spans="2:13" x14ac:dyDescent="0.25">
      <c r="B292" s="42"/>
      <c r="C292" s="43" t="str">
        <f t="shared" si="12"/>
        <v/>
      </c>
      <c r="D292" s="44" t="str">
        <f t="shared" si="13"/>
        <v/>
      </c>
      <c r="E292" s="44" t="str">
        <f t="shared" si="14"/>
        <v/>
      </c>
      <c r="F292" s="44"/>
      <c r="G292" s="44"/>
      <c r="H292" s="44"/>
      <c r="I292" s="44"/>
      <c r="J292" s="45"/>
      <c r="K292" s="44"/>
      <c r="L292" s="44"/>
      <c r="M292" s="44"/>
    </row>
    <row r="293" spans="2:13" x14ac:dyDescent="0.25">
      <c r="B293" s="42"/>
      <c r="C293" s="43" t="str">
        <f t="shared" si="12"/>
        <v/>
      </c>
      <c r="D293" s="44" t="str">
        <f t="shared" si="13"/>
        <v/>
      </c>
      <c r="E293" s="44" t="str">
        <f t="shared" si="14"/>
        <v/>
      </c>
      <c r="F293" s="44"/>
      <c r="G293" s="44"/>
      <c r="H293" s="44"/>
      <c r="I293" s="44"/>
      <c r="J293" s="45"/>
      <c r="K293" s="44"/>
      <c r="L293" s="44"/>
      <c r="M293" s="44"/>
    </row>
    <row r="294" spans="2:13" x14ac:dyDescent="0.25">
      <c r="B294" s="42"/>
      <c r="C294" s="43" t="str">
        <f t="shared" si="12"/>
        <v/>
      </c>
      <c r="D294" s="44" t="str">
        <f t="shared" si="13"/>
        <v/>
      </c>
      <c r="E294" s="44" t="str">
        <f t="shared" si="14"/>
        <v/>
      </c>
      <c r="F294" s="44"/>
      <c r="G294" s="44"/>
      <c r="H294" s="44"/>
      <c r="I294" s="44"/>
      <c r="J294" s="45"/>
      <c r="K294" s="44"/>
      <c r="L294" s="44"/>
      <c r="M294" s="44"/>
    </row>
    <row r="295" spans="2:13" x14ac:dyDescent="0.25">
      <c r="B295" s="42"/>
      <c r="C295" s="43" t="str">
        <f t="shared" si="12"/>
        <v/>
      </c>
      <c r="D295" s="44" t="str">
        <f t="shared" si="13"/>
        <v/>
      </c>
      <c r="E295" s="44" t="str">
        <f t="shared" si="14"/>
        <v/>
      </c>
      <c r="F295" s="44"/>
      <c r="G295" s="44"/>
      <c r="H295" s="44"/>
      <c r="I295" s="44"/>
      <c r="J295" s="45"/>
      <c r="K295" s="44"/>
      <c r="L295" s="44"/>
      <c r="M295" s="44"/>
    </row>
    <row r="296" spans="2:13" x14ac:dyDescent="0.25">
      <c r="B296" s="42"/>
      <c r="C296" s="43" t="str">
        <f t="shared" si="12"/>
        <v/>
      </c>
      <c r="D296" s="44" t="str">
        <f t="shared" si="13"/>
        <v/>
      </c>
      <c r="E296" s="44" t="str">
        <f t="shared" si="14"/>
        <v/>
      </c>
      <c r="F296" s="44"/>
      <c r="G296" s="44"/>
      <c r="H296" s="44"/>
      <c r="I296" s="44"/>
      <c r="J296" s="45"/>
      <c r="K296" s="44"/>
      <c r="L296" s="44"/>
      <c r="M296" s="44"/>
    </row>
    <row r="297" spans="2:13" x14ac:dyDescent="0.25">
      <c r="B297" s="42"/>
      <c r="C297" s="43" t="str">
        <f t="shared" si="12"/>
        <v/>
      </c>
      <c r="D297" s="44" t="str">
        <f t="shared" si="13"/>
        <v/>
      </c>
      <c r="E297" s="44" t="str">
        <f t="shared" si="14"/>
        <v/>
      </c>
      <c r="F297" s="44"/>
      <c r="G297" s="44"/>
      <c r="H297" s="44"/>
      <c r="I297" s="44"/>
      <c r="J297" s="45"/>
      <c r="K297" s="44"/>
      <c r="L297" s="44"/>
      <c r="M297" s="44"/>
    </row>
    <row r="298" spans="2:13" x14ac:dyDescent="0.25">
      <c r="B298" s="42"/>
      <c r="C298" s="43" t="str">
        <f t="shared" si="12"/>
        <v/>
      </c>
      <c r="D298" s="44" t="str">
        <f t="shared" si="13"/>
        <v/>
      </c>
      <c r="E298" s="44" t="str">
        <f t="shared" si="14"/>
        <v/>
      </c>
      <c r="F298" s="44"/>
      <c r="G298" s="44"/>
      <c r="H298" s="44"/>
      <c r="I298" s="44"/>
      <c r="J298" s="45"/>
      <c r="K298" s="44"/>
      <c r="L298" s="44"/>
      <c r="M298" s="44"/>
    </row>
    <row r="299" spans="2:13" x14ac:dyDescent="0.25">
      <c r="B299" s="42"/>
      <c r="C299" s="43" t="str">
        <f t="shared" si="12"/>
        <v/>
      </c>
      <c r="D299" s="44" t="str">
        <f t="shared" si="13"/>
        <v/>
      </c>
      <c r="E299" s="44" t="str">
        <f t="shared" si="14"/>
        <v/>
      </c>
      <c r="F299" s="44"/>
      <c r="G299" s="44"/>
      <c r="H299" s="44"/>
      <c r="I299" s="44"/>
      <c r="J299" s="45"/>
      <c r="K299" s="44"/>
      <c r="L299" s="44"/>
      <c r="M299" s="44"/>
    </row>
    <row r="300" spans="2:13" x14ac:dyDescent="0.25">
      <c r="B300" s="42"/>
      <c r="C300" s="43" t="str">
        <f t="shared" si="12"/>
        <v/>
      </c>
      <c r="D300" s="44" t="str">
        <f t="shared" si="13"/>
        <v/>
      </c>
      <c r="E300" s="44" t="str">
        <f t="shared" si="14"/>
        <v/>
      </c>
      <c r="F300" s="44"/>
      <c r="G300" s="44"/>
      <c r="H300" s="44"/>
      <c r="I300" s="44"/>
      <c r="J300" s="45"/>
      <c r="K300" s="44"/>
      <c r="L300" s="44"/>
      <c r="M300" s="44"/>
    </row>
    <row r="301" spans="2:13" x14ac:dyDescent="0.25">
      <c r="B301" s="42"/>
      <c r="C301" s="43" t="str">
        <f t="shared" si="12"/>
        <v/>
      </c>
      <c r="D301" s="44" t="str">
        <f t="shared" si="13"/>
        <v/>
      </c>
      <c r="E301" s="44" t="str">
        <f t="shared" si="14"/>
        <v/>
      </c>
      <c r="F301" s="44"/>
      <c r="G301" s="44"/>
      <c r="H301" s="44"/>
      <c r="I301" s="44"/>
      <c r="J301" s="45"/>
      <c r="K301" s="44"/>
      <c r="L301" s="44"/>
      <c r="M301" s="44"/>
    </row>
    <row r="302" spans="2:13" x14ac:dyDescent="0.25">
      <c r="B302" s="42"/>
      <c r="C302" s="43" t="str">
        <f t="shared" si="12"/>
        <v/>
      </c>
      <c r="D302" s="44" t="str">
        <f t="shared" si="13"/>
        <v/>
      </c>
      <c r="E302" s="44" t="str">
        <f t="shared" si="14"/>
        <v/>
      </c>
      <c r="F302" s="44"/>
      <c r="G302" s="44"/>
      <c r="H302" s="44"/>
      <c r="I302" s="44"/>
      <c r="J302" s="45"/>
      <c r="K302" s="44"/>
      <c r="L302" s="44"/>
      <c r="M302" s="44"/>
    </row>
    <row r="303" spans="2:13" x14ac:dyDescent="0.25">
      <c r="B303" s="42"/>
      <c r="C303" s="43" t="str">
        <f t="shared" si="12"/>
        <v/>
      </c>
      <c r="D303" s="44" t="str">
        <f t="shared" si="13"/>
        <v/>
      </c>
      <c r="E303" s="44" t="str">
        <f t="shared" si="14"/>
        <v/>
      </c>
      <c r="F303" s="44"/>
      <c r="G303" s="44"/>
      <c r="H303" s="44"/>
      <c r="I303" s="44"/>
      <c r="J303" s="45"/>
      <c r="K303" s="44"/>
      <c r="L303" s="44"/>
      <c r="M303" s="44"/>
    </row>
    <row r="304" spans="2:13" x14ac:dyDescent="0.25">
      <c r="B304" s="42"/>
      <c r="C304" s="43" t="str">
        <f t="shared" si="12"/>
        <v/>
      </c>
      <c r="D304" s="44" t="str">
        <f t="shared" si="13"/>
        <v/>
      </c>
      <c r="E304" s="44" t="str">
        <f t="shared" si="14"/>
        <v/>
      </c>
      <c r="F304" s="44"/>
      <c r="G304" s="44"/>
      <c r="H304" s="44"/>
      <c r="I304" s="44"/>
      <c r="J304" s="45"/>
      <c r="K304" s="44"/>
      <c r="L304" s="44"/>
      <c r="M304" s="44"/>
    </row>
    <row r="305" spans="2:13" x14ac:dyDescent="0.25">
      <c r="B305" s="42"/>
      <c r="C305" s="43" t="str">
        <f t="shared" si="12"/>
        <v/>
      </c>
      <c r="D305" s="44" t="str">
        <f t="shared" si="13"/>
        <v/>
      </c>
      <c r="E305" s="44" t="str">
        <f t="shared" si="14"/>
        <v/>
      </c>
      <c r="F305" s="44"/>
      <c r="G305" s="44"/>
      <c r="H305" s="44"/>
      <c r="I305" s="44"/>
      <c r="J305" s="45"/>
      <c r="K305" s="44"/>
      <c r="L305" s="44"/>
      <c r="M305" s="44"/>
    </row>
    <row r="306" spans="2:13" x14ac:dyDescent="0.25">
      <c r="B306" s="42"/>
      <c r="C306" s="43" t="str">
        <f t="shared" si="12"/>
        <v/>
      </c>
      <c r="D306" s="44" t="str">
        <f t="shared" si="13"/>
        <v/>
      </c>
      <c r="E306" s="44" t="str">
        <f t="shared" si="14"/>
        <v/>
      </c>
      <c r="F306" s="44"/>
      <c r="G306" s="44"/>
      <c r="H306" s="44"/>
      <c r="I306" s="44"/>
      <c r="J306" s="45"/>
      <c r="K306" s="44"/>
      <c r="L306" s="44"/>
      <c r="M306" s="44"/>
    </row>
    <row r="307" spans="2:13" x14ac:dyDescent="0.25">
      <c r="B307" s="42"/>
      <c r="C307" s="43" t="str">
        <f t="shared" si="12"/>
        <v/>
      </c>
      <c r="D307" s="44" t="str">
        <f t="shared" si="13"/>
        <v/>
      </c>
      <c r="E307" s="44" t="str">
        <f t="shared" si="14"/>
        <v/>
      </c>
      <c r="F307" s="44"/>
      <c r="G307" s="44"/>
      <c r="H307" s="44"/>
      <c r="I307" s="44"/>
      <c r="J307" s="45"/>
      <c r="K307" s="44"/>
      <c r="L307" s="44"/>
      <c r="M307" s="44"/>
    </row>
    <row r="308" spans="2:13" x14ac:dyDescent="0.25">
      <c r="B308" s="42"/>
      <c r="C308" s="43" t="str">
        <f t="shared" si="12"/>
        <v/>
      </c>
      <c r="D308" s="44" t="str">
        <f t="shared" si="13"/>
        <v/>
      </c>
      <c r="E308" s="44" t="str">
        <f t="shared" si="14"/>
        <v/>
      </c>
      <c r="F308" s="44"/>
      <c r="G308" s="44"/>
      <c r="H308" s="44"/>
      <c r="I308" s="44"/>
      <c r="J308" s="45"/>
      <c r="K308" s="44"/>
      <c r="L308" s="44"/>
      <c r="M308" s="44"/>
    </row>
    <row r="309" spans="2:13" x14ac:dyDescent="0.25">
      <c r="B309" s="42"/>
      <c r="C309" s="43" t="str">
        <f t="shared" si="12"/>
        <v/>
      </c>
      <c r="D309" s="44" t="str">
        <f t="shared" si="13"/>
        <v/>
      </c>
      <c r="E309" s="44" t="str">
        <f t="shared" si="14"/>
        <v/>
      </c>
      <c r="F309" s="44"/>
      <c r="G309" s="44"/>
      <c r="H309" s="44"/>
      <c r="I309" s="44"/>
      <c r="J309" s="45"/>
      <c r="K309" s="44"/>
      <c r="L309" s="44"/>
      <c r="M309" s="44"/>
    </row>
    <row r="310" spans="2:13" x14ac:dyDescent="0.25">
      <c r="B310" s="42"/>
      <c r="C310" s="43" t="str">
        <f t="shared" si="12"/>
        <v/>
      </c>
      <c r="D310" s="44" t="str">
        <f t="shared" si="13"/>
        <v/>
      </c>
      <c r="E310" s="44" t="str">
        <f t="shared" si="14"/>
        <v/>
      </c>
      <c r="F310" s="44"/>
      <c r="G310" s="44"/>
      <c r="H310" s="44"/>
      <c r="I310" s="44"/>
      <c r="J310" s="45"/>
      <c r="K310" s="44"/>
      <c r="L310" s="44"/>
      <c r="M310" s="44"/>
    </row>
    <row r="311" spans="2:13" x14ac:dyDescent="0.25">
      <c r="B311" s="42"/>
      <c r="C311" s="43" t="str">
        <f t="shared" si="12"/>
        <v/>
      </c>
      <c r="D311" s="44" t="str">
        <f t="shared" si="13"/>
        <v/>
      </c>
      <c r="E311" s="44" t="str">
        <f t="shared" si="14"/>
        <v/>
      </c>
      <c r="F311" s="44"/>
      <c r="G311" s="44"/>
      <c r="H311" s="44"/>
      <c r="I311" s="44"/>
      <c r="J311" s="45"/>
      <c r="K311" s="44"/>
      <c r="L311" s="44"/>
      <c r="M311" s="44"/>
    </row>
    <row r="312" spans="2:13" x14ac:dyDescent="0.25">
      <c r="B312" s="42"/>
      <c r="C312" s="43" t="str">
        <f t="shared" si="12"/>
        <v/>
      </c>
      <c r="D312" s="44" t="str">
        <f t="shared" si="13"/>
        <v/>
      </c>
      <c r="E312" s="44" t="str">
        <f t="shared" si="14"/>
        <v/>
      </c>
      <c r="F312" s="44"/>
      <c r="G312" s="44"/>
      <c r="H312" s="44"/>
      <c r="I312" s="44"/>
      <c r="J312" s="45"/>
      <c r="K312" s="44"/>
      <c r="L312" s="44"/>
      <c r="M312" s="44"/>
    </row>
    <row r="313" spans="2:13" x14ac:dyDescent="0.25">
      <c r="B313" s="42"/>
      <c r="C313" s="43" t="str">
        <f t="shared" si="12"/>
        <v/>
      </c>
      <c r="D313" s="44" t="str">
        <f t="shared" si="13"/>
        <v/>
      </c>
      <c r="E313" s="44" t="str">
        <f t="shared" si="14"/>
        <v/>
      </c>
      <c r="F313" s="44"/>
      <c r="G313" s="44"/>
      <c r="H313" s="44"/>
      <c r="I313" s="44"/>
      <c r="J313" s="45"/>
      <c r="K313" s="44"/>
      <c r="L313" s="44"/>
      <c r="M313" s="44"/>
    </row>
    <row r="314" spans="2:13" x14ac:dyDescent="0.25">
      <c r="B314" s="42"/>
      <c r="C314" s="43" t="str">
        <f t="shared" si="12"/>
        <v/>
      </c>
      <c r="D314" s="44" t="str">
        <f t="shared" si="13"/>
        <v/>
      </c>
      <c r="E314" s="44" t="str">
        <f t="shared" si="14"/>
        <v/>
      </c>
      <c r="F314" s="44"/>
      <c r="G314" s="44"/>
      <c r="H314" s="44"/>
      <c r="I314" s="44"/>
      <c r="J314" s="45"/>
      <c r="K314" s="44"/>
      <c r="L314" s="44"/>
      <c r="M314" s="44"/>
    </row>
    <row r="315" spans="2:13" x14ac:dyDescent="0.25">
      <c r="B315" s="42"/>
      <c r="C315" s="43" t="str">
        <f t="shared" si="12"/>
        <v/>
      </c>
      <c r="D315" s="44" t="str">
        <f t="shared" si="13"/>
        <v/>
      </c>
      <c r="E315" s="44" t="str">
        <f t="shared" si="14"/>
        <v/>
      </c>
      <c r="F315" s="44"/>
      <c r="G315" s="44"/>
      <c r="H315" s="44"/>
      <c r="I315" s="44"/>
      <c r="J315" s="45"/>
      <c r="K315" s="44"/>
      <c r="L315" s="44"/>
      <c r="M315" s="44"/>
    </row>
    <row r="316" spans="2:13" x14ac:dyDescent="0.25">
      <c r="B316" s="42"/>
      <c r="C316" s="43" t="str">
        <f t="shared" si="12"/>
        <v/>
      </c>
      <c r="D316" s="44" t="str">
        <f t="shared" si="13"/>
        <v/>
      </c>
      <c r="E316" s="44" t="str">
        <f t="shared" si="14"/>
        <v/>
      </c>
      <c r="F316" s="44"/>
      <c r="G316" s="44"/>
      <c r="H316" s="44"/>
      <c r="I316" s="44"/>
      <c r="J316" s="45"/>
      <c r="K316" s="44"/>
      <c r="L316" s="44"/>
      <c r="M316" s="44"/>
    </row>
    <row r="317" spans="2:13" x14ac:dyDescent="0.25">
      <c r="B317" s="42"/>
      <c r="C317" s="43" t="str">
        <f t="shared" si="12"/>
        <v/>
      </c>
      <c r="D317" s="44" t="str">
        <f t="shared" si="13"/>
        <v/>
      </c>
      <c r="E317" s="44" t="str">
        <f t="shared" si="14"/>
        <v/>
      </c>
      <c r="F317" s="44"/>
      <c r="G317" s="44"/>
      <c r="H317" s="44"/>
      <c r="I317" s="44"/>
      <c r="J317" s="45"/>
      <c r="K317" s="44"/>
      <c r="L317" s="44"/>
      <c r="M317" s="44"/>
    </row>
    <row r="318" spans="2:13" x14ac:dyDescent="0.25">
      <c r="B318" s="42"/>
      <c r="C318" s="43" t="str">
        <f t="shared" si="12"/>
        <v/>
      </c>
      <c r="D318" s="44" t="str">
        <f t="shared" si="13"/>
        <v/>
      </c>
      <c r="E318" s="44" t="str">
        <f t="shared" si="14"/>
        <v/>
      </c>
      <c r="F318" s="44"/>
      <c r="G318" s="44"/>
      <c r="H318" s="44"/>
      <c r="I318" s="44"/>
      <c r="J318" s="45"/>
      <c r="K318" s="44"/>
      <c r="L318" s="44"/>
      <c r="M318" s="44"/>
    </row>
    <row r="319" spans="2:13" x14ac:dyDescent="0.25">
      <c r="B319" s="42"/>
      <c r="C319" s="43" t="str">
        <f t="shared" si="12"/>
        <v/>
      </c>
      <c r="D319" s="44" t="str">
        <f t="shared" si="13"/>
        <v/>
      </c>
      <c r="E319" s="44" t="str">
        <f t="shared" si="14"/>
        <v/>
      </c>
      <c r="F319" s="44"/>
      <c r="G319" s="44"/>
      <c r="H319" s="44"/>
      <c r="I319" s="44"/>
      <c r="J319" s="45"/>
      <c r="K319" s="44"/>
      <c r="L319" s="44"/>
      <c r="M319" s="44"/>
    </row>
    <row r="320" spans="2:13" x14ac:dyDescent="0.25">
      <c r="B320" s="42"/>
      <c r="C320" s="43" t="str">
        <f t="shared" si="12"/>
        <v/>
      </c>
      <c r="D320" s="44" t="str">
        <f t="shared" si="13"/>
        <v/>
      </c>
      <c r="E320" s="44" t="str">
        <f t="shared" si="14"/>
        <v/>
      </c>
      <c r="F320" s="44"/>
      <c r="G320" s="44"/>
      <c r="H320" s="44"/>
      <c r="I320" s="44"/>
      <c r="J320" s="45"/>
      <c r="K320" s="44"/>
      <c r="L320" s="44"/>
      <c r="M320" s="44"/>
    </row>
    <row r="321" spans="2:13" x14ac:dyDescent="0.25">
      <c r="B321" s="42"/>
      <c r="C321" s="43" t="str">
        <f t="shared" si="12"/>
        <v/>
      </c>
      <c r="D321" s="44" t="str">
        <f t="shared" si="13"/>
        <v/>
      </c>
      <c r="E321" s="44" t="str">
        <f t="shared" si="14"/>
        <v/>
      </c>
      <c r="F321" s="44"/>
      <c r="G321" s="44"/>
      <c r="H321" s="44"/>
      <c r="I321" s="44"/>
      <c r="J321" s="45"/>
      <c r="K321" s="44"/>
      <c r="L321" s="44"/>
      <c r="M321" s="44"/>
    </row>
    <row r="322" spans="2:13" x14ac:dyDescent="0.25">
      <c r="B322" s="42"/>
      <c r="C322" s="43" t="str">
        <f t="shared" ref="C322:C385" si="15">IF(B322="","",MONTH(B322))</f>
        <v/>
      </c>
      <c r="D322" s="44" t="str">
        <f t="shared" ref="D322:D385" si="16">IF(B322="","",CHOOSE(C322,"Enero","Febrero","Marzo","Abril","Mayo","Junio","Julio","Agosto","Septiembre","Octubre","Noviembre","Diciembre"))</f>
        <v/>
      </c>
      <c r="E322" s="44" t="str">
        <f t="shared" ref="E322:E385" si="17">IF(B322="","",YEAR(B322))</f>
        <v/>
      </c>
      <c r="F322" s="44"/>
      <c r="G322" s="44"/>
      <c r="H322" s="44"/>
      <c r="I322" s="44"/>
      <c r="J322" s="45"/>
      <c r="K322" s="44"/>
      <c r="L322" s="44"/>
      <c r="M322" s="44"/>
    </row>
    <row r="323" spans="2:13" x14ac:dyDescent="0.25">
      <c r="B323" s="42"/>
      <c r="C323" s="43" t="str">
        <f t="shared" si="15"/>
        <v/>
      </c>
      <c r="D323" s="44" t="str">
        <f t="shared" si="16"/>
        <v/>
      </c>
      <c r="E323" s="44" t="str">
        <f t="shared" si="17"/>
        <v/>
      </c>
      <c r="F323" s="44"/>
      <c r="G323" s="44"/>
      <c r="H323" s="44"/>
      <c r="I323" s="44"/>
      <c r="J323" s="45"/>
      <c r="K323" s="44"/>
      <c r="L323" s="44"/>
      <c r="M323" s="44"/>
    </row>
    <row r="324" spans="2:13" x14ac:dyDescent="0.25">
      <c r="B324" s="42"/>
      <c r="C324" s="43" t="str">
        <f t="shared" si="15"/>
        <v/>
      </c>
      <c r="D324" s="44" t="str">
        <f t="shared" si="16"/>
        <v/>
      </c>
      <c r="E324" s="44" t="str">
        <f t="shared" si="17"/>
        <v/>
      </c>
      <c r="F324" s="44"/>
      <c r="G324" s="44"/>
      <c r="H324" s="44"/>
      <c r="I324" s="44"/>
      <c r="J324" s="45"/>
      <c r="K324" s="44"/>
      <c r="L324" s="44"/>
      <c r="M324" s="44"/>
    </row>
    <row r="325" spans="2:13" x14ac:dyDescent="0.25">
      <c r="B325" s="42"/>
      <c r="C325" s="43" t="str">
        <f t="shared" si="15"/>
        <v/>
      </c>
      <c r="D325" s="44" t="str">
        <f t="shared" si="16"/>
        <v/>
      </c>
      <c r="E325" s="44" t="str">
        <f t="shared" si="17"/>
        <v/>
      </c>
      <c r="F325" s="44"/>
      <c r="G325" s="44"/>
      <c r="H325" s="44"/>
      <c r="I325" s="44"/>
      <c r="J325" s="45"/>
      <c r="K325" s="44"/>
      <c r="L325" s="44"/>
      <c r="M325" s="44"/>
    </row>
    <row r="326" spans="2:13" x14ac:dyDescent="0.25">
      <c r="B326" s="42"/>
      <c r="C326" s="43" t="str">
        <f t="shared" si="15"/>
        <v/>
      </c>
      <c r="D326" s="44" t="str">
        <f t="shared" si="16"/>
        <v/>
      </c>
      <c r="E326" s="44" t="str">
        <f t="shared" si="17"/>
        <v/>
      </c>
      <c r="F326" s="44"/>
      <c r="G326" s="44"/>
      <c r="H326" s="44"/>
      <c r="I326" s="44"/>
      <c r="J326" s="45"/>
      <c r="K326" s="44"/>
      <c r="L326" s="44"/>
      <c r="M326" s="44"/>
    </row>
    <row r="327" spans="2:13" x14ac:dyDescent="0.25">
      <c r="B327" s="42"/>
      <c r="C327" s="43" t="str">
        <f t="shared" si="15"/>
        <v/>
      </c>
      <c r="D327" s="44" t="str">
        <f t="shared" si="16"/>
        <v/>
      </c>
      <c r="E327" s="44" t="str">
        <f t="shared" si="17"/>
        <v/>
      </c>
      <c r="F327" s="44"/>
      <c r="G327" s="44"/>
      <c r="H327" s="44"/>
      <c r="I327" s="44"/>
      <c r="J327" s="45"/>
      <c r="K327" s="44"/>
      <c r="L327" s="44"/>
      <c r="M327" s="44"/>
    </row>
    <row r="328" spans="2:13" x14ac:dyDescent="0.25">
      <c r="B328" s="42"/>
      <c r="C328" s="43" t="str">
        <f t="shared" si="15"/>
        <v/>
      </c>
      <c r="D328" s="44" t="str">
        <f t="shared" si="16"/>
        <v/>
      </c>
      <c r="E328" s="44" t="str">
        <f t="shared" si="17"/>
        <v/>
      </c>
      <c r="F328" s="44"/>
      <c r="G328" s="44"/>
      <c r="H328" s="44"/>
      <c r="I328" s="44"/>
      <c r="J328" s="45"/>
      <c r="K328" s="44"/>
      <c r="L328" s="44"/>
      <c r="M328" s="44"/>
    </row>
    <row r="329" spans="2:13" x14ac:dyDescent="0.25">
      <c r="B329" s="42"/>
      <c r="C329" s="43" t="str">
        <f t="shared" si="15"/>
        <v/>
      </c>
      <c r="D329" s="44" t="str">
        <f t="shared" si="16"/>
        <v/>
      </c>
      <c r="E329" s="44" t="str">
        <f t="shared" si="17"/>
        <v/>
      </c>
      <c r="F329" s="44"/>
      <c r="G329" s="44"/>
      <c r="H329" s="44"/>
      <c r="I329" s="44"/>
      <c r="J329" s="45"/>
      <c r="K329" s="44"/>
      <c r="L329" s="44"/>
      <c r="M329" s="44"/>
    </row>
    <row r="330" spans="2:13" x14ac:dyDescent="0.25">
      <c r="B330" s="42"/>
      <c r="C330" s="43" t="str">
        <f t="shared" si="15"/>
        <v/>
      </c>
      <c r="D330" s="44" t="str">
        <f t="shared" si="16"/>
        <v/>
      </c>
      <c r="E330" s="44" t="str">
        <f t="shared" si="17"/>
        <v/>
      </c>
      <c r="F330" s="44"/>
      <c r="G330" s="44"/>
      <c r="H330" s="44"/>
      <c r="I330" s="44"/>
      <c r="J330" s="45"/>
      <c r="K330" s="44"/>
      <c r="L330" s="44"/>
      <c r="M330" s="44"/>
    </row>
    <row r="331" spans="2:13" x14ac:dyDescent="0.25">
      <c r="B331" s="42"/>
      <c r="C331" s="43" t="str">
        <f t="shared" si="15"/>
        <v/>
      </c>
      <c r="D331" s="44" t="str">
        <f t="shared" si="16"/>
        <v/>
      </c>
      <c r="E331" s="44" t="str">
        <f t="shared" si="17"/>
        <v/>
      </c>
      <c r="F331" s="44"/>
      <c r="G331" s="44"/>
      <c r="H331" s="44"/>
      <c r="I331" s="44"/>
      <c r="J331" s="45"/>
      <c r="K331" s="44"/>
      <c r="L331" s="44"/>
      <c r="M331" s="44"/>
    </row>
    <row r="332" spans="2:13" x14ac:dyDescent="0.25">
      <c r="B332" s="42"/>
      <c r="C332" s="43" t="str">
        <f t="shared" si="15"/>
        <v/>
      </c>
      <c r="D332" s="44" t="str">
        <f t="shared" si="16"/>
        <v/>
      </c>
      <c r="E332" s="44" t="str">
        <f t="shared" si="17"/>
        <v/>
      </c>
      <c r="F332" s="44"/>
      <c r="G332" s="44"/>
      <c r="H332" s="44"/>
      <c r="I332" s="44"/>
      <c r="J332" s="45"/>
      <c r="K332" s="44"/>
      <c r="L332" s="44"/>
      <c r="M332" s="44"/>
    </row>
    <row r="333" spans="2:13" x14ac:dyDescent="0.25">
      <c r="B333" s="42"/>
      <c r="C333" s="43" t="str">
        <f t="shared" si="15"/>
        <v/>
      </c>
      <c r="D333" s="44" t="str">
        <f t="shared" si="16"/>
        <v/>
      </c>
      <c r="E333" s="44" t="str">
        <f t="shared" si="17"/>
        <v/>
      </c>
      <c r="F333" s="44"/>
      <c r="G333" s="44"/>
      <c r="H333" s="44"/>
      <c r="I333" s="44"/>
      <c r="J333" s="45"/>
      <c r="K333" s="44"/>
      <c r="L333" s="44"/>
      <c r="M333" s="44"/>
    </row>
    <row r="334" spans="2:13" x14ac:dyDescent="0.25">
      <c r="B334" s="42"/>
      <c r="C334" s="43" t="str">
        <f t="shared" si="15"/>
        <v/>
      </c>
      <c r="D334" s="44" t="str">
        <f t="shared" si="16"/>
        <v/>
      </c>
      <c r="E334" s="44" t="str">
        <f t="shared" si="17"/>
        <v/>
      </c>
      <c r="F334" s="44"/>
      <c r="G334" s="44"/>
      <c r="H334" s="44"/>
      <c r="I334" s="44"/>
      <c r="J334" s="45"/>
      <c r="K334" s="44"/>
      <c r="L334" s="44"/>
      <c r="M334" s="44"/>
    </row>
    <row r="335" spans="2:13" x14ac:dyDescent="0.25">
      <c r="B335" s="42"/>
      <c r="C335" s="43" t="str">
        <f t="shared" si="15"/>
        <v/>
      </c>
      <c r="D335" s="44" t="str">
        <f t="shared" si="16"/>
        <v/>
      </c>
      <c r="E335" s="44" t="str">
        <f t="shared" si="17"/>
        <v/>
      </c>
      <c r="F335" s="44"/>
      <c r="G335" s="44"/>
      <c r="H335" s="44"/>
      <c r="I335" s="44"/>
      <c r="J335" s="45"/>
      <c r="K335" s="44"/>
      <c r="L335" s="44"/>
      <c r="M335" s="44"/>
    </row>
    <row r="336" spans="2:13" x14ac:dyDescent="0.25">
      <c r="B336" s="42"/>
      <c r="C336" s="43" t="str">
        <f t="shared" si="15"/>
        <v/>
      </c>
      <c r="D336" s="44" t="str">
        <f t="shared" si="16"/>
        <v/>
      </c>
      <c r="E336" s="44" t="str">
        <f t="shared" si="17"/>
        <v/>
      </c>
      <c r="F336" s="44"/>
      <c r="G336" s="44"/>
      <c r="H336" s="44"/>
      <c r="I336" s="44"/>
      <c r="J336" s="45"/>
      <c r="K336" s="44"/>
      <c r="L336" s="44"/>
      <c r="M336" s="44"/>
    </row>
    <row r="337" spans="2:13" x14ac:dyDescent="0.25">
      <c r="B337" s="42"/>
      <c r="C337" s="43" t="str">
        <f t="shared" si="15"/>
        <v/>
      </c>
      <c r="D337" s="44" t="str">
        <f t="shared" si="16"/>
        <v/>
      </c>
      <c r="E337" s="44" t="str">
        <f t="shared" si="17"/>
        <v/>
      </c>
      <c r="F337" s="44"/>
      <c r="G337" s="44"/>
      <c r="H337" s="44"/>
      <c r="I337" s="44"/>
      <c r="J337" s="45"/>
      <c r="K337" s="44"/>
      <c r="L337" s="44"/>
      <c r="M337" s="44"/>
    </row>
    <row r="338" spans="2:13" x14ac:dyDescent="0.25">
      <c r="B338" s="42"/>
      <c r="C338" s="43" t="str">
        <f t="shared" si="15"/>
        <v/>
      </c>
      <c r="D338" s="44" t="str">
        <f t="shared" si="16"/>
        <v/>
      </c>
      <c r="E338" s="44" t="str">
        <f t="shared" si="17"/>
        <v/>
      </c>
      <c r="F338" s="44"/>
      <c r="G338" s="44"/>
      <c r="H338" s="44"/>
      <c r="I338" s="44"/>
      <c r="J338" s="45"/>
      <c r="K338" s="44"/>
      <c r="L338" s="44"/>
      <c r="M338" s="44"/>
    </row>
    <row r="339" spans="2:13" x14ac:dyDescent="0.25">
      <c r="B339" s="42"/>
      <c r="C339" s="43" t="str">
        <f t="shared" si="15"/>
        <v/>
      </c>
      <c r="D339" s="44" t="str">
        <f t="shared" si="16"/>
        <v/>
      </c>
      <c r="E339" s="44" t="str">
        <f t="shared" si="17"/>
        <v/>
      </c>
      <c r="F339" s="44"/>
      <c r="G339" s="44"/>
      <c r="H339" s="44"/>
      <c r="I339" s="44"/>
      <c r="J339" s="45"/>
      <c r="K339" s="44"/>
      <c r="L339" s="44"/>
      <c r="M339" s="44"/>
    </row>
    <row r="340" spans="2:13" x14ac:dyDescent="0.25">
      <c r="B340" s="42"/>
      <c r="C340" s="43" t="str">
        <f t="shared" si="15"/>
        <v/>
      </c>
      <c r="D340" s="44" t="str">
        <f t="shared" si="16"/>
        <v/>
      </c>
      <c r="E340" s="44" t="str">
        <f t="shared" si="17"/>
        <v/>
      </c>
      <c r="F340" s="44"/>
      <c r="G340" s="44"/>
      <c r="H340" s="44"/>
      <c r="I340" s="44"/>
      <c r="J340" s="45"/>
      <c r="K340" s="44"/>
      <c r="L340" s="44"/>
      <c r="M340" s="44"/>
    </row>
    <row r="341" spans="2:13" x14ac:dyDescent="0.25">
      <c r="B341" s="42"/>
      <c r="C341" s="43" t="str">
        <f t="shared" si="15"/>
        <v/>
      </c>
      <c r="D341" s="44" t="str">
        <f t="shared" si="16"/>
        <v/>
      </c>
      <c r="E341" s="44" t="str">
        <f t="shared" si="17"/>
        <v/>
      </c>
      <c r="F341" s="44"/>
      <c r="G341" s="44"/>
      <c r="H341" s="44"/>
      <c r="I341" s="44"/>
      <c r="J341" s="45"/>
      <c r="K341" s="44"/>
      <c r="L341" s="44"/>
      <c r="M341" s="44"/>
    </row>
    <row r="342" spans="2:13" x14ac:dyDescent="0.25">
      <c r="B342" s="42"/>
      <c r="C342" s="43" t="str">
        <f t="shared" si="15"/>
        <v/>
      </c>
      <c r="D342" s="44" t="str">
        <f t="shared" si="16"/>
        <v/>
      </c>
      <c r="E342" s="44" t="str">
        <f t="shared" si="17"/>
        <v/>
      </c>
      <c r="F342" s="44"/>
      <c r="G342" s="44"/>
      <c r="H342" s="44"/>
      <c r="I342" s="44"/>
      <c r="J342" s="45"/>
      <c r="K342" s="44"/>
      <c r="L342" s="44"/>
      <c r="M342" s="44"/>
    </row>
    <row r="343" spans="2:13" x14ac:dyDescent="0.25">
      <c r="B343" s="42"/>
      <c r="C343" s="43" t="str">
        <f t="shared" si="15"/>
        <v/>
      </c>
      <c r="D343" s="44" t="str">
        <f t="shared" si="16"/>
        <v/>
      </c>
      <c r="E343" s="44" t="str">
        <f t="shared" si="17"/>
        <v/>
      </c>
      <c r="F343" s="44"/>
      <c r="G343" s="44"/>
      <c r="H343" s="44"/>
      <c r="I343" s="44"/>
      <c r="J343" s="45"/>
      <c r="K343" s="44"/>
      <c r="L343" s="44"/>
      <c r="M343" s="44"/>
    </row>
    <row r="344" spans="2:13" x14ac:dyDescent="0.25">
      <c r="B344" s="42"/>
      <c r="C344" s="43" t="str">
        <f t="shared" si="15"/>
        <v/>
      </c>
      <c r="D344" s="44" t="str">
        <f t="shared" si="16"/>
        <v/>
      </c>
      <c r="E344" s="44" t="str">
        <f t="shared" si="17"/>
        <v/>
      </c>
      <c r="F344" s="44"/>
      <c r="G344" s="44"/>
      <c r="H344" s="44"/>
      <c r="I344" s="44"/>
      <c r="J344" s="45"/>
      <c r="K344" s="44"/>
      <c r="L344" s="44"/>
      <c r="M344" s="44"/>
    </row>
    <row r="345" spans="2:13" x14ac:dyDescent="0.25">
      <c r="B345" s="42"/>
      <c r="C345" s="43" t="str">
        <f t="shared" si="15"/>
        <v/>
      </c>
      <c r="D345" s="44" t="str">
        <f t="shared" si="16"/>
        <v/>
      </c>
      <c r="E345" s="44" t="str">
        <f t="shared" si="17"/>
        <v/>
      </c>
      <c r="F345" s="44"/>
      <c r="G345" s="44"/>
      <c r="H345" s="44"/>
      <c r="I345" s="44"/>
      <c r="J345" s="45"/>
      <c r="K345" s="44"/>
      <c r="L345" s="44"/>
      <c r="M345" s="44"/>
    </row>
    <row r="346" spans="2:13" x14ac:dyDescent="0.25">
      <c r="B346" s="42"/>
      <c r="C346" s="43" t="str">
        <f t="shared" si="15"/>
        <v/>
      </c>
      <c r="D346" s="44" t="str">
        <f t="shared" si="16"/>
        <v/>
      </c>
      <c r="E346" s="44" t="str">
        <f t="shared" si="17"/>
        <v/>
      </c>
      <c r="F346" s="44"/>
      <c r="G346" s="44"/>
      <c r="H346" s="44"/>
      <c r="I346" s="44"/>
      <c r="J346" s="45"/>
      <c r="K346" s="44"/>
      <c r="L346" s="44"/>
      <c r="M346" s="44"/>
    </row>
    <row r="347" spans="2:13" x14ac:dyDescent="0.25">
      <c r="B347" s="42"/>
      <c r="C347" s="43" t="str">
        <f t="shared" si="15"/>
        <v/>
      </c>
      <c r="D347" s="44" t="str">
        <f t="shared" si="16"/>
        <v/>
      </c>
      <c r="E347" s="44" t="str">
        <f t="shared" si="17"/>
        <v/>
      </c>
      <c r="F347" s="44"/>
      <c r="G347" s="44"/>
      <c r="H347" s="44"/>
      <c r="I347" s="44"/>
      <c r="J347" s="45"/>
      <c r="K347" s="44"/>
      <c r="L347" s="44"/>
      <c r="M347" s="44"/>
    </row>
    <row r="348" spans="2:13" x14ac:dyDescent="0.25">
      <c r="B348" s="42"/>
      <c r="C348" s="43" t="str">
        <f t="shared" si="15"/>
        <v/>
      </c>
      <c r="D348" s="44" t="str">
        <f t="shared" si="16"/>
        <v/>
      </c>
      <c r="E348" s="44" t="str">
        <f t="shared" si="17"/>
        <v/>
      </c>
      <c r="F348" s="44"/>
      <c r="G348" s="44"/>
      <c r="H348" s="44"/>
      <c r="I348" s="44"/>
      <c r="J348" s="45"/>
      <c r="K348" s="44"/>
      <c r="L348" s="44"/>
      <c r="M348" s="44"/>
    </row>
    <row r="349" spans="2:13" x14ac:dyDescent="0.25">
      <c r="B349" s="42"/>
      <c r="C349" s="43" t="str">
        <f t="shared" si="15"/>
        <v/>
      </c>
      <c r="D349" s="44" t="str">
        <f t="shared" si="16"/>
        <v/>
      </c>
      <c r="E349" s="44" t="str">
        <f t="shared" si="17"/>
        <v/>
      </c>
      <c r="F349" s="44"/>
      <c r="G349" s="44"/>
      <c r="H349" s="44"/>
      <c r="I349" s="44"/>
      <c r="J349" s="45"/>
      <c r="K349" s="44"/>
      <c r="L349" s="44"/>
      <c r="M349" s="44"/>
    </row>
    <row r="350" spans="2:13" x14ac:dyDescent="0.25">
      <c r="B350" s="42"/>
      <c r="C350" s="43" t="str">
        <f t="shared" si="15"/>
        <v/>
      </c>
      <c r="D350" s="44" t="str">
        <f t="shared" si="16"/>
        <v/>
      </c>
      <c r="E350" s="44" t="str">
        <f t="shared" si="17"/>
        <v/>
      </c>
      <c r="F350" s="44"/>
      <c r="G350" s="44"/>
      <c r="H350" s="44"/>
      <c r="I350" s="44"/>
      <c r="J350" s="45"/>
      <c r="K350" s="44"/>
      <c r="L350" s="44"/>
      <c r="M350" s="44"/>
    </row>
    <row r="351" spans="2:13" x14ac:dyDescent="0.25">
      <c r="B351" s="42"/>
      <c r="C351" s="43" t="str">
        <f t="shared" si="15"/>
        <v/>
      </c>
      <c r="D351" s="44" t="str">
        <f t="shared" si="16"/>
        <v/>
      </c>
      <c r="E351" s="44" t="str">
        <f t="shared" si="17"/>
        <v/>
      </c>
      <c r="F351" s="44"/>
      <c r="G351" s="44"/>
      <c r="H351" s="44"/>
      <c r="I351" s="44"/>
      <c r="J351" s="45"/>
      <c r="K351" s="44"/>
      <c r="L351" s="44"/>
      <c r="M351" s="44"/>
    </row>
    <row r="352" spans="2:13" x14ac:dyDescent="0.25">
      <c r="B352" s="42"/>
      <c r="C352" s="43" t="str">
        <f t="shared" si="15"/>
        <v/>
      </c>
      <c r="D352" s="44" t="str">
        <f t="shared" si="16"/>
        <v/>
      </c>
      <c r="E352" s="44" t="str">
        <f t="shared" si="17"/>
        <v/>
      </c>
      <c r="F352" s="44"/>
      <c r="G352" s="44"/>
      <c r="H352" s="44"/>
      <c r="I352" s="44"/>
      <c r="J352" s="45"/>
      <c r="K352" s="44"/>
      <c r="L352" s="44"/>
      <c r="M352" s="44"/>
    </row>
    <row r="353" spans="2:13" x14ac:dyDescent="0.25">
      <c r="B353" s="42"/>
      <c r="C353" s="43" t="str">
        <f t="shared" si="15"/>
        <v/>
      </c>
      <c r="D353" s="44" t="str">
        <f t="shared" si="16"/>
        <v/>
      </c>
      <c r="E353" s="44" t="str">
        <f t="shared" si="17"/>
        <v/>
      </c>
      <c r="F353" s="44"/>
      <c r="G353" s="44"/>
      <c r="H353" s="44"/>
      <c r="I353" s="44"/>
      <c r="J353" s="45"/>
      <c r="K353" s="44"/>
      <c r="L353" s="44"/>
      <c r="M353" s="44"/>
    </row>
    <row r="354" spans="2:13" x14ac:dyDescent="0.25">
      <c r="B354" s="42"/>
      <c r="C354" s="43" t="str">
        <f t="shared" si="15"/>
        <v/>
      </c>
      <c r="D354" s="44" t="str">
        <f t="shared" si="16"/>
        <v/>
      </c>
      <c r="E354" s="44" t="str">
        <f t="shared" si="17"/>
        <v/>
      </c>
      <c r="F354" s="44"/>
      <c r="G354" s="44"/>
      <c r="H354" s="44"/>
      <c r="I354" s="44"/>
      <c r="J354" s="45"/>
      <c r="K354" s="44"/>
      <c r="L354" s="44"/>
      <c r="M354" s="44"/>
    </row>
    <row r="355" spans="2:13" x14ac:dyDescent="0.25">
      <c r="B355" s="42"/>
      <c r="C355" s="43" t="str">
        <f t="shared" si="15"/>
        <v/>
      </c>
      <c r="D355" s="44" t="str">
        <f t="shared" si="16"/>
        <v/>
      </c>
      <c r="E355" s="44" t="str">
        <f t="shared" si="17"/>
        <v/>
      </c>
      <c r="F355" s="44"/>
      <c r="G355" s="44"/>
      <c r="H355" s="44"/>
      <c r="I355" s="44"/>
      <c r="J355" s="45"/>
      <c r="K355" s="44"/>
      <c r="L355" s="44"/>
      <c r="M355" s="44"/>
    </row>
    <row r="356" spans="2:13" x14ac:dyDescent="0.25">
      <c r="B356" s="42"/>
      <c r="C356" s="43" t="str">
        <f t="shared" si="15"/>
        <v/>
      </c>
      <c r="D356" s="44" t="str">
        <f t="shared" si="16"/>
        <v/>
      </c>
      <c r="E356" s="44" t="str">
        <f t="shared" si="17"/>
        <v/>
      </c>
      <c r="F356" s="44"/>
      <c r="G356" s="44"/>
      <c r="H356" s="44"/>
      <c r="I356" s="44"/>
      <c r="J356" s="45"/>
      <c r="K356" s="44"/>
      <c r="L356" s="44"/>
      <c r="M356" s="44"/>
    </row>
    <row r="357" spans="2:13" x14ac:dyDescent="0.25">
      <c r="B357" s="42"/>
      <c r="C357" s="43" t="str">
        <f t="shared" si="15"/>
        <v/>
      </c>
      <c r="D357" s="44" t="str">
        <f t="shared" si="16"/>
        <v/>
      </c>
      <c r="E357" s="44" t="str">
        <f t="shared" si="17"/>
        <v/>
      </c>
      <c r="F357" s="44"/>
      <c r="G357" s="44"/>
      <c r="H357" s="44"/>
      <c r="I357" s="44"/>
      <c r="J357" s="45"/>
      <c r="K357" s="44"/>
      <c r="L357" s="44"/>
      <c r="M357" s="44"/>
    </row>
    <row r="358" spans="2:13" x14ac:dyDescent="0.25">
      <c r="B358" s="42"/>
      <c r="C358" s="43" t="str">
        <f t="shared" si="15"/>
        <v/>
      </c>
      <c r="D358" s="44" t="str">
        <f t="shared" si="16"/>
        <v/>
      </c>
      <c r="E358" s="44" t="str">
        <f t="shared" si="17"/>
        <v/>
      </c>
      <c r="F358" s="44"/>
      <c r="G358" s="44"/>
      <c r="H358" s="44"/>
      <c r="I358" s="44"/>
      <c r="J358" s="45"/>
      <c r="K358" s="44"/>
      <c r="L358" s="44"/>
      <c r="M358" s="44"/>
    </row>
    <row r="359" spans="2:13" x14ac:dyDescent="0.25">
      <c r="B359" s="42"/>
      <c r="C359" s="43" t="str">
        <f t="shared" si="15"/>
        <v/>
      </c>
      <c r="D359" s="44" t="str">
        <f t="shared" si="16"/>
        <v/>
      </c>
      <c r="E359" s="44" t="str">
        <f t="shared" si="17"/>
        <v/>
      </c>
      <c r="F359" s="44"/>
      <c r="G359" s="44"/>
      <c r="H359" s="44"/>
      <c r="I359" s="44"/>
      <c r="J359" s="45"/>
      <c r="K359" s="44"/>
      <c r="L359" s="44"/>
      <c r="M359" s="44"/>
    </row>
    <row r="360" spans="2:13" x14ac:dyDescent="0.25">
      <c r="B360" s="42"/>
      <c r="C360" s="43" t="str">
        <f t="shared" si="15"/>
        <v/>
      </c>
      <c r="D360" s="44" t="str">
        <f t="shared" si="16"/>
        <v/>
      </c>
      <c r="E360" s="44" t="str">
        <f t="shared" si="17"/>
        <v/>
      </c>
      <c r="F360" s="44"/>
      <c r="G360" s="44"/>
      <c r="H360" s="44"/>
      <c r="I360" s="44"/>
      <c r="J360" s="45"/>
      <c r="K360" s="44"/>
      <c r="L360" s="44"/>
      <c r="M360" s="44"/>
    </row>
    <row r="361" spans="2:13" x14ac:dyDescent="0.25">
      <c r="B361" s="42"/>
      <c r="C361" s="43" t="str">
        <f t="shared" si="15"/>
        <v/>
      </c>
      <c r="D361" s="44" t="str">
        <f t="shared" si="16"/>
        <v/>
      </c>
      <c r="E361" s="44" t="str">
        <f t="shared" si="17"/>
        <v/>
      </c>
      <c r="F361" s="44"/>
      <c r="G361" s="44"/>
      <c r="H361" s="44"/>
      <c r="I361" s="44"/>
      <c r="J361" s="45"/>
      <c r="K361" s="44"/>
      <c r="L361" s="44"/>
      <c r="M361" s="44"/>
    </row>
    <row r="362" spans="2:13" x14ac:dyDescent="0.25">
      <c r="B362" s="42"/>
      <c r="C362" s="43" t="str">
        <f t="shared" si="15"/>
        <v/>
      </c>
      <c r="D362" s="44" t="str">
        <f t="shared" si="16"/>
        <v/>
      </c>
      <c r="E362" s="44" t="str">
        <f t="shared" si="17"/>
        <v/>
      </c>
      <c r="F362" s="44"/>
      <c r="G362" s="44"/>
      <c r="H362" s="44"/>
      <c r="I362" s="44"/>
      <c r="J362" s="45"/>
      <c r="K362" s="44"/>
      <c r="L362" s="44"/>
      <c r="M362" s="44"/>
    </row>
    <row r="363" spans="2:13" x14ac:dyDescent="0.25">
      <c r="B363" s="42"/>
      <c r="C363" s="43" t="str">
        <f t="shared" si="15"/>
        <v/>
      </c>
      <c r="D363" s="44" t="str">
        <f t="shared" si="16"/>
        <v/>
      </c>
      <c r="E363" s="44" t="str">
        <f t="shared" si="17"/>
        <v/>
      </c>
      <c r="F363" s="44"/>
      <c r="G363" s="44"/>
      <c r="H363" s="44"/>
      <c r="I363" s="44"/>
      <c r="J363" s="45"/>
      <c r="K363" s="44"/>
      <c r="L363" s="44"/>
      <c r="M363" s="44"/>
    </row>
    <row r="364" spans="2:13" x14ac:dyDescent="0.25">
      <c r="B364" s="42"/>
      <c r="C364" s="43" t="str">
        <f t="shared" si="15"/>
        <v/>
      </c>
      <c r="D364" s="44" t="str">
        <f t="shared" si="16"/>
        <v/>
      </c>
      <c r="E364" s="44" t="str">
        <f t="shared" si="17"/>
        <v/>
      </c>
      <c r="F364" s="44"/>
      <c r="G364" s="44"/>
      <c r="H364" s="44"/>
      <c r="I364" s="44"/>
      <c r="J364" s="45"/>
      <c r="K364" s="44"/>
      <c r="L364" s="44"/>
      <c r="M364" s="44"/>
    </row>
    <row r="365" spans="2:13" x14ac:dyDescent="0.25">
      <c r="B365" s="42"/>
      <c r="C365" s="43" t="str">
        <f t="shared" si="15"/>
        <v/>
      </c>
      <c r="D365" s="44" t="str">
        <f t="shared" si="16"/>
        <v/>
      </c>
      <c r="E365" s="44" t="str">
        <f t="shared" si="17"/>
        <v/>
      </c>
      <c r="F365" s="44"/>
      <c r="G365" s="44"/>
      <c r="H365" s="44"/>
      <c r="I365" s="44"/>
      <c r="J365" s="45"/>
      <c r="K365" s="44"/>
      <c r="L365" s="44"/>
      <c r="M365" s="44"/>
    </row>
    <row r="366" spans="2:13" x14ac:dyDescent="0.25">
      <c r="B366" s="42"/>
      <c r="C366" s="43" t="str">
        <f t="shared" si="15"/>
        <v/>
      </c>
      <c r="D366" s="44" t="str">
        <f t="shared" si="16"/>
        <v/>
      </c>
      <c r="E366" s="44" t="str">
        <f t="shared" si="17"/>
        <v/>
      </c>
      <c r="F366" s="44"/>
      <c r="G366" s="44"/>
      <c r="H366" s="44"/>
      <c r="I366" s="44"/>
      <c r="J366" s="45"/>
      <c r="K366" s="44"/>
      <c r="L366" s="44"/>
      <c r="M366" s="44"/>
    </row>
    <row r="367" spans="2:13" x14ac:dyDescent="0.25">
      <c r="B367" s="42"/>
      <c r="C367" s="43" t="str">
        <f t="shared" si="15"/>
        <v/>
      </c>
      <c r="D367" s="44" t="str">
        <f t="shared" si="16"/>
        <v/>
      </c>
      <c r="E367" s="44" t="str">
        <f t="shared" si="17"/>
        <v/>
      </c>
      <c r="F367" s="44"/>
      <c r="G367" s="44"/>
      <c r="H367" s="44"/>
      <c r="I367" s="44"/>
      <c r="J367" s="45"/>
      <c r="K367" s="44"/>
      <c r="L367" s="44"/>
      <c r="M367" s="44"/>
    </row>
    <row r="368" spans="2:13" x14ac:dyDescent="0.25">
      <c r="B368" s="42"/>
      <c r="C368" s="43" t="str">
        <f t="shared" si="15"/>
        <v/>
      </c>
      <c r="D368" s="44" t="str">
        <f t="shared" si="16"/>
        <v/>
      </c>
      <c r="E368" s="44" t="str">
        <f t="shared" si="17"/>
        <v/>
      </c>
      <c r="F368" s="44"/>
      <c r="G368" s="44"/>
      <c r="H368" s="44"/>
      <c r="I368" s="44"/>
      <c r="J368" s="45"/>
      <c r="K368" s="44"/>
      <c r="L368" s="44"/>
      <c r="M368" s="44"/>
    </row>
    <row r="369" spans="2:13" x14ac:dyDescent="0.25">
      <c r="B369" s="42"/>
      <c r="C369" s="43" t="str">
        <f t="shared" si="15"/>
        <v/>
      </c>
      <c r="D369" s="44" t="str">
        <f t="shared" si="16"/>
        <v/>
      </c>
      <c r="E369" s="44" t="str">
        <f t="shared" si="17"/>
        <v/>
      </c>
      <c r="F369" s="44"/>
      <c r="G369" s="44"/>
      <c r="H369" s="44"/>
      <c r="I369" s="44"/>
      <c r="J369" s="45"/>
      <c r="K369" s="44"/>
      <c r="L369" s="44"/>
      <c r="M369" s="44"/>
    </row>
    <row r="370" spans="2:13" x14ac:dyDescent="0.25">
      <c r="B370" s="42"/>
      <c r="C370" s="43" t="str">
        <f t="shared" si="15"/>
        <v/>
      </c>
      <c r="D370" s="44" t="str">
        <f t="shared" si="16"/>
        <v/>
      </c>
      <c r="E370" s="44" t="str">
        <f t="shared" si="17"/>
        <v/>
      </c>
      <c r="F370" s="44"/>
      <c r="G370" s="44"/>
      <c r="H370" s="44"/>
      <c r="I370" s="44"/>
      <c r="J370" s="45"/>
      <c r="K370" s="44"/>
      <c r="L370" s="44"/>
      <c r="M370" s="44"/>
    </row>
    <row r="371" spans="2:13" x14ac:dyDescent="0.25">
      <c r="B371" s="42"/>
      <c r="C371" s="43" t="str">
        <f t="shared" si="15"/>
        <v/>
      </c>
      <c r="D371" s="44" t="str">
        <f t="shared" si="16"/>
        <v/>
      </c>
      <c r="E371" s="44" t="str">
        <f t="shared" si="17"/>
        <v/>
      </c>
      <c r="F371" s="44"/>
      <c r="G371" s="44"/>
      <c r="H371" s="44"/>
      <c r="I371" s="44"/>
      <c r="J371" s="45"/>
      <c r="K371" s="44"/>
      <c r="L371" s="44"/>
      <c r="M371" s="44"/>
    </row>
    <row r="372" spans="2:13" x14ac:dyDescent="0.25">
      <c r="B372" s="42"/>
      <c r="C372" s="43" t="str">
        <f t="shared" si="15"/>
        <v/>
      </c>
      <c r="D372" s="44" t="str">
        <f t="shared" si="16"/>
        <v/>
      </c>
      <c r="E372" s="44" t="str">
        <f t="shared" si="17"/>
        <v/>
      </c>
      <c r="F372" s="44"/>
      <c r="G372" s="44"/>
      <c r="H372" s="44"/>
      <c r="I372" s="44"/>
      <c r="J372" s="45"/>
      <c r="K372" s="44"/>
      <c r="L372" s="44"/>
      <c r="M372" s="44"/>
    </row>
    <row r="373" spans="2:13" x14ac:dyDescent="0.25">
      <c r="B373" s="42"/>
      <c r="C373" s="43" t="str">
        <f t="shared" si="15"/>
        <v/>
      </c>
      <c r="D373" s="44" t="str">
        <f t="shared" si="16"/>
        <v/>
      </c>
      <c r="E373" s="44" t="str">
        <f t="shared" si="17"/>
        <v/>
      </c>
      <c r="F373" s="44"/>
      <c r="G373" s="44"/>
      <c r="H373" s="44"/>
      <c r="I373" s="44"/>
      <c r="J373" s="45"/>
      <c r="K373" s="44"/>
      <c r="L373" s="44"/>
      <c r="M373" s="44"/>
    </row>
    <row r="374" spans="2:13" x14ac:dyDescent="0.25">
      <c r="B374" s="42"/>
      <c r="C374" s="43" t="str">
        <f t="shared" si="15"/>
        <v/>
      </c>
      <c r="D374" s="44" t="str">
        <f t="shared" si="16"/>
        <v/>
      </c>
      <c r="E374" s="44" t="str">
        <f t="shared" si="17"/>
        <v/>
      </c>
      <c r="F374" s="44"/>
      <c r="G374" s="44"/>
      <c r="H374" s="44"/>
      <c r="I374" s="44"/>
      <c r="J374" s="45"/>
      <c r="K374" s="44"/>
      <c r="L374" s="44"/>
      <c r="M374" s="44"/>
    </row>
    <row r="375" spans="2:13" x14ac:dyDescent="0.25">
      <c r="B375" s="42"/>
      <c r="C375" s="43" t="str">
        <f t="shared" si="15"/>
        <v/>
      </c>
      <c r="D375" s="44" t="str">
        <f t="shared" si="16"/>
        <v/>
      </c>
      <c r="E375" s="44" t="str">
        <f t="shared" si="17"/>
        <v/>
      </c>
      <c r="F375" s="44"/>
      <c r="G375" s="44"/>
      <c r="H375" s="44"/>
      <c r="I375" s="44"/>
      <c r="J375" s="45"/>
      <c r="K375" s="44"/>
      <c r="L375" s="44"/>
      <c r="M375" s="44"/>
    </row>
    <row r="376" spans="2:13" x14ac:dyDescent="0.25">
      <c r="B376" s="42"/>
      <c r="C376" s="43" t="str">
        <f t="shared" si="15"/>
        <v/>
      </c>
      <c r="D376" s="44" t="str">
        <f t="shared" si="16"/>
        <v/>
      </c>
      <c r="E376" s="44" t="str">
        <f t="shared" si="17"/>
        <v/>
      </c>
      <c r="F376" s="44"/>
      <c r="G376" s="44"/>
      <c r="H376" s="44"/>
      <c r="I376" s="44"/>
      <c r="J376" s="45"/>
      <c r="K376" s="44"/>
      <c r="L376" s="44"/>
      <c r="M376" s="44"/>
    </row>
    <row r="377" spans="2:13" x14ac:dyDescent="0.25">
      <c r="B377" s="42"/>
      <c r="C377" s="43" t="str">
        <f t="shared" si="15"/>
        <v/>
      </c>
      <c r="D377" s="44" t="str">
        <f t="shared" si="16"/>
        <v/>
      </c>
      <c r="E377" s="44" t="str">
        <f t="shared" si="17"/>
        <v/>
      </c>
      <c r="F377" s="44"/>
      <c r="G377" s="44"/>
      <c r="H377" s="44"/>
      <c r="I377" s="44"/>
      <c r="J377" s="45"/>
      <c r="K377" s="44"/>
      <c r="L377" s="44"/>
      <c r="M377" s="44"/>
    </row>
    <row r="378" spans="2:13" x14ac:dyDescent="0.25">
      <c r="B378" s="42"/>
      <c r="C378" s="43" t="str">
        <f t="shared" si="15"/>
        <v/>
      </c>
      <c r="D378" s="44" t="str">
        <f t="shared" si="16"/>
        <v/>
      </c>
      <c r="E378" s="44" t="str">
        <f t="shared" si="17"/>
        <v/>
      </c>
      <c r="F378" s="44"/>
      <c r="G378" s="44"/>
      <c r="H378" s="44"/>
      <c r="I378" s="44"/>
      <c r="J378" s="45"/>
      <c r="K378" s="44"/>
      <c r="L378" s="44"/>
      <c r="M378" s="44"/>
    </row>
    <row r="379" spans="2:13" x14ac:dyDescent="0.25">
      <c r="B379" s="42"/>
      <c r="C379" s="43" t="str">
        <f t="shared" si="15"/>
        <v/>
      </c>
      <c r="D379" s="44" t="str">
        <f t="shared" si="16"/>
        <v/>
      </c>
      <c r="E379" s="44" t="str">
        <f t="shared" si="17"/>
        <v/>
      </c>
      <c r="F379" s="44"/>
      <c r="G379" s="44"/>
      <c r="H379" s="44"/>
      <c r="I379" s="44"/>
      <c r="J379" s="45"/>
      <c r="K379" s="44"/>
      <c r="L379" s="44"/>
      <c r="M379" s="44"/>
    </row>
    <row r="380" spans="2:13" x14ac:dyDescent="0.25">
      <c r="B380" s="42"/>
      <c r="C380" s="43" t="str">
        <f t="shared" si="15"/>
        <v/>
      </c>
      <c r="D380" s="44" t="str">
        <f t="shared" si="16"/>
        <v/>
      </c>
      <c r="E380" s="44" t="str">
        <f t="shared" si="17"/>
        <v/>
      </c>
      <c r="F380" s="44"/>
      <c r="G380" s="44"/>
      <c r="H380" s="44"/>
      <c r="I380" s="44"/>
      <c r="J380" s="45"/>
      <c r="K380" s="44"/>
      <c r="L380" s="44"/>
      <c r="M380" s="44"/>
    </row>
    <row r="381" spans="2:13" x14ac:dyDescent="0.25">
      <c r="B381" s="42"/>
      <c r="C381" s="43" t="str">
        <f t="shared" si="15"/>
        <v/>
      </c>
      <c r="D381" s="44" t="str">
        <f t="shared" si="16"/>
        <v/>
      </c>
      <c r="E381" s="44" t="str">
        <f t="shared" si="17"/>
        <v/>
      </c>
      <c r="F381" s="44"/>
      <c r="G381" s="44"/>
      <c r="H381" s="44"/>
      <c r="I381" s="44"/>
      <c r="J381" s="45"/>
      <c r="K381" s="44"/>
      <c r="L381" s="44"/>
      <c r="M381" s="44"/>
    </row>
    <row r="382" spans="2:13" x14ac:dyDescent="0.25">
      <c r="B382" s="42"/>
      <c r="C382" s="43" t="str">
        <f t="shared" si="15"/>
        <v/>
      </c>
      <c r="D382" s="44" t="str">
        <f t="shared" si="16"/>
        <v/>
      </c>
      <c r="E382" s="44" t="str">
        <f t="shared" si="17"/>
        <v/>
      </c>
      <c r="F382" s="44"/>
      <c r="G382" s="44"/>
      <c r="H382" s="44"/>
      <c r="I382" s="44"/>
      <c r="J382" s="45"/>
      <c r="K382" s="44"/>
      <c r="L382" s="44"/>
      <c r="M382" s="44"/>
    </row>
    <row r="383" spans="2:13" x14ac:dyDescent="0.25">
      <c r="B383" s="42"/>
      <c r="C383" s="43" t="str">
        <f t="shared" si="15"/>
        <v/>
      </c>
      <c r="D383" s="44" t="str">
        <f t="shared" si="16"/>
        <v/>
      </c>
      <c r="E383" s="44" t="str">
        <f t="shared" si="17"/>
        <v/>
      </c>
      <c r="F383" s="44"/>
      <c r="G383" s="44"/>
      <c r="H383" s="44"/>
      <c r="I383" s="44"/>
      <c r="J383" s="45"/>
      <c r="K383" s="44"/>
      <c r="L383" s="44"/>
      <c r="M383" s="44"/>
    </row>
    <row r="384" spans="2:13" x14ac:dyDescent="0.25">
      <c r="B384" s="42"/>
      <c r="C384" s="43" t="str">
        <f t="shared" si="15"/>
        <v/>
      </c>
      <c r="D384" s="44" t="str">
        <f t="shared" si="16"/>
        <v/>
      </c>
      <c r="E384" s="44" t="str">
        <f t="shared" si="17"/>
        <v/>
      </c>
      <c r="F384" s="44"/>
      <c r="G384" s="44"/>
      <c r="H384" s="44"/>
      <c r="I384" s="44"/>
      <c r="J384" s="45"/>
      <c r="K384" s="44"/>
      <c r="L384" s="44"/>
      <c r="M384" s="44"/>
    </row>
    <row r="385" spans="2:13" x14ac:dyDescent="0.25">
      <c r="B385" s="42"/>
      <c r="C385" s="43" t="str">
        <f t="shared" si="15"/>
        <v/>
      </c>
      <c r="D385" s="44" t="str">
        <f t="shared" si="16"/>
        <v/>
      </c>
      <c r="E385" s="44" t="str">
        <f t="shared" si="17"/>
        <v/>
      </c>
      <c r="F385" s="44"/>
      <c r="G385" s="44"/>
      <c r="H385" s="44"/>
      <c r="I385" s="44"/>
      <c r="J385" s="45"/>
      <c r="K385" s="44"/>
      <c r="L385" s="44"/>
      <c r="M385" s="44"/>
    </row>
    <row r="386" spans="2:13" x14ac:dyDescent="0.25">
      <c r="B386" s="42"/>
      <c r="C386" s="43" t="str">
        <f t="shared" ref="C386:C449" si="18">IF(B386="","",MONTH(B386))</f>
        <v/>
      </c>
      <c r="D386" s="44" t="str">
        <f t="shared" ref="D386:D449" si="19">IF(B386="","",CHOOSE(C386,"Enero","Febrero","Marzo","Abril","Mayo","Junio","Julio","Agosto","Septiembre","Octubre","Noviembre","Diciembre"))</f>
        <v/>
      </c>
      <c r="E386" s="44" t="str">
        <f t="shared" ref="E386:E449" si="20">IF(B386="","",YEAR(B386))</f>
        <v/>
      </c>
      <c r="F386" s="44"/>
      <c r="G386" s="44"/>
      <c r="H386" s="44"/>
      <c r="I386" s="44"/>
      <c r="J386" s="45"/>
      <c r="K386" s="44"/>
      <c r="L386" s="44"/>
      <c r="M386" s="44"/>
    </row>
    <row r="387" spans="2:13" x14ac:dyDescent="0.25">
      <c r="B387" s="42"/>
      <c r="C387" s="43" t="str">
        <f t="shared" si="18"/>
        <v/>
      </c>
      <c r="D387" s="44" t="str">
        <f t="shared" si="19"/>
        <v/>
      </c>
      <c r="E387" s="44" t="str">
        <f t="shared" si="20"/>
        <v/>
      </c>
      <c r="F387" s="44"/>
      <c r="G387" s="44"/>
      <c r="H387" s="44"/>
      <c r="I387" s="44"/>
      <c r="J387" s="45"/>
      <c r="K387" s="44"/>
      <c r="L387" s="44"/>
      <c r="M387" s="44"/>
    </row>
    <row r="388" spans="2:13" x14ac:dyDescent="0.25">
      <c r="B388" s="42"/>
      <c r="C388" s="43" t="str">
        <f t="shared" si="18"/>
        <v/>
      </c>
      <c r="D388" s="44" t="str">
        <f t="shared" si="19"/>
        <v/>
      </c>
      <c r="E388" s="44" t="str">
        <f t="shared" si="20"/>
        <v/>
      </c>
      <c r="F388" s="44"/>
      <c r="G388" s="44"/>
      <c r="H388" s="44"/>
      <c r="I388" s="44"/>
      <c r="J388" s="45"/>
      <c r="K388" s="44"/>
      <c r="L388" s="44"/>
      <c r="M388" s="44"/>
    </row>
    <row r="389" spans="2:13" x14ac:dyDescent="0.25">
      <c r="B389" s="42"/>
      <c r="C389" s="43" t="str">
        <f t="shared" si="18"/>
        <v/>
      </c>
      <c r="D389" s="44" t="str">
        <f t="shared" si="19"/>
        <v/>
      </c>
      <c r="E389" s="44" t="str">
        <f t="shared" si="20"/>
        <v/>
      </c>
      <c r="F389" s="44"/>
      <c r="G389" s="44"/>
      <c r="H389" s="44"/>
      <c r="I389" s="44"/>
      <c r="J389" s="45"/>
      <c r="K389" s="44"/>
      <c r="L389" s="44"/>
      <c r="M389" s="44"/>
    </row>
    <row r="390" spans="2:13" x14ac:dyDescent="0.25">
      <c r="B390" s="42"/>
      <c r="C390" s="43" t="str">
        <f t="shared" si="18"/>
        <v/>
      </c>
      <c r="D390" s="44" t="str">
        <f t="shared" si="19"/>
        <v/>
      </c>
      <c r="E390" s="44" t="str">
        <f t="shared" si="20"/>
        <v/>
      </c>
      <c r="F390" s="44"/>
      <c r="G390" s="44"/>
      <c r="H390" s="44"/>
      <c r="I390" s="44"/>
      <c r="J390" s="45"/>
      <c r="K390" s="44"/>
      <c r="L390" s="44"/>
      <c r="M390" s="44"/>
    </row>
    <row r="391" spans="2:13" x14ac:dyDescent="0.25">
      <c r="B391" s="42"/>
      <c r="C391" s="43" t="str">
        <f t="shared" si="18"/>
        <v/>
      </c>
      <c r="D391" s="44" t="str">
        <f t="shared" si="19"/>
        <v/>
      </c>
      <c r="E391" s="44" t="str">
        <f t="shared" si="20"/>
        <v/>
      </c>
      <c r="F391" s="44"/>
      <c r="G391" s="44"/>
      <c r="H391" s="44"/>
      <c r="I391" s="44"/>
      <c r="J391" s="45"/>
      <c r="K391" s="44"/>
      <c r="L391" s="44"/>
      <c r="M391" s="44"/>
    </row>
    <row r="392" spans="2:13" x14ac:dyDescent="0.25">
      <c r="B392" s="42"/>
      <c r="C392" s="43" t="str">
        <f t="shared" si="18"/>
        <v/>
      </c>
      <c r="D392" s="44" t="str">
        <f t="shared" si="19"/>
        <v/>
      </c>
      <c r="E392" s="44" t="str">
        <f t="shared" si="20"/>
        <v/>
      </c>
      <c r="F392" s="44"/>
      <c r="G392" s="44"/>
      <c r="H392" s="44"/>
      <c r="I392" s="44"/>
      <c r="J392" s="45"/>
      <c r="K392" s="44"/>
      <c r="L392" s="44"/>
      <c r="M392" s="44"/>
    </row>
    <row r="393" spans="2:13" x14ac:dyDescent="0.25">
      <c r="B393" s="42"/>
      <c r="C393" s="43" t="str">
        <f t="shared" si="18"/>
        <v/>
      </c>
      <c r="D393" s="44" t="str">
        <f t="shared" si="19"/>
        <v/>
      </c>
      <c r="E393" s="44" t="str">
        <f t="shared" si="20"/>
        <v/>
      </c>
      <c r="F393" s="44"/>
      <c r="G393" s="44"/>
      <c r="H393" s="44"/>
      <c r="I393" s="44"/>
      <c r="J393" s="45"/>
      <c r="K393" s="44"/>
      <c r="L393" s="44"/>
      <c r="M393" s="44"/>
    </row>
    <row r="394" spans="2:13" x14ac:dyDescent="0.25">
      <c r="B394" s="42"/>
      <c r="C394" s="43" t="str">
        <f t="shared" si="18"/>
        <v/>
      </c>
      <c r="D394" s="44" t="str">
        <f t="shared" si="19"/>
        <v/>
      </c>
      <c r="E394" s="44" t="str">
        <f t="shared" si="20"/>
        <v/>
      </c>
      <c r="F394" s="44"/>
      <c r="G394" s="44"/>
      <c r="H394" s="44"/>
      <c r="I394" s="44"/>
      <c r="J394" s="45"/>
      <c r="K394" s="44"/>
      <c r="L394" s="44"/>
      <c r="M394" s="44"/>
    </row>
    <row r="395" spans="2:13" x14ac:dyDescent="0.25">
      <c r="B395" s="42"/>
      <c r="C395" s="43" t="str">
        <f t="shared" si="18"/>
        <v/>
      </c>
      <c r="D395" s="44" t="str">
        <f t="shared" si="19"/>
        <v/>
      </c>
      <c r="E395" s="44" t="str">
        <f t="shared" si="20"/>
        <v/>
      </c>
      <c r="F395" s="44"/>
      <c r="G395" s="44"/>
      <c r="H395" s="44"/>
      <c r="I395" s="44"/>
      <c r="J395" s="45"/>
      <c r="K395" s="44"/>
      <c r="L395" s="44"/>
      <c r="M395" s="44"/>
    </row>
    <row r="396" spans="2:13" x14ac:dyDescent="0.25">
      <c r="B396" s="42"/>
      <c r="C396" s="43" t="str">
        <f t="shared" si="18"/>
        <v/>
      </c>
      <c r="D396" s="44" t="str">
        <f t="shared" si="19"/>
        <v/>
      </c>
      <c r="E396" s="44" t="str">
        <f t="shared" si="20"/>
        <v/>
      </c>
      <c r="F396" s="44"/>
      <c r="G396" s="44"/>
      <c r="H396" s="44"/>
      <c r="I396" s="44"/>
      <c r="J396" s="45"/>
      <c r="K396" s="44"/>
      <c r="L396" s="44"/>
      <c r="M396" s="44"/>
    </row>
    <row r="397" spans="2:13" x14ac:dyDescent="0.25">
      <c r="B397" s="42"/>
      <c r="C397" s="43" t="str">
        <f t="shared" si="18"/>
        <v/>
      </c>
      <c r="D397" s="44" t="str">
        <f t="shared" si="19"/>
        <v/>
      </c>
      <c r="E397" s="44" t="str">
        <f t="shared" si="20"/>
        <v/>
      </c>
      <c r="F397" s="44"/>
      <c r="G397" s="44"/>
      <c r="H397" s="44"/>
      <c r="I397" s="44"/>
      <c r="J397" s="45"/>
      <c r="K397" s="44"/>
      <c r="L397" s="44"/>
      <c r="M397" s="44"/>
    </row>
    <row r="398" spans="2:13" x14ac:dyDescent="0.25">
      <c r="B398" s="42"/>
      <c r="C398" s="43" t="str">
        <f t="shared" si="18"/>
        <v/>
      </c>
      <c r="D398" s="44" t="str">
        <f t="shared" si="19"/>
        <v/>
      </c>
      <c r="E398" s="44" t="str">
        <f t="shared" si="20"/>
        <v/>
      </c>
      <c r="F398" s="44"/>
      <c r="G398" s="44"/>
      <c r="H398" s="44"/>
      <c r="I398" s="44"/>
      <c r="J398" s="45"/>
      <c r="K398" s="44"/>
      <c r="L398" s="44"/>
      <c r="M398" s="44"/>
    </row>
    <row r="399" spans="2:13" x14ac:dyDescent="0.25">
      <c r="B399" s="42"/>
      <c r="C399" s="43" t="str">
        <f t="shared" si="18"/>
        <v/>
      </c>
      <c r="D399" s="44" t="str">
        <f t="shared" si="19"/>
        <v/>
      </c>
      <c r="E399" s="44" t="str">
        <f t="shared" si="20"/>
        <v/>
      </c>
      <c r="F399" s="44"/>
      <c r="G399" s="44"/>
      <c r="H399" s="44"/>
      <c r="I399" s="44"/>
      <c r="J399" s="45"/>
      <c r="K399" s="44"/>
      <c r="L399" s="44"/>
      <c r="M399" s="44"/>
    </row>
    <row r="400" spans="2:13" x14ac:dyDescent="0.25">
      <c r="B400" s="42"/>
      <c r="C400" s="43" t="str">
        <f t="shared" si="18"/>
        <v/>
      </c>
      <c r="D400" s="44" t="str">
        <f t="shared" si="19"/>
        <v/>
      </c>
      <c r="E400" s="44" t="str">
        <f t="shared" si="20"/>
        <v/>
      </c>
      <c r="F400" s="44"/>
      <c r="G400" s="44"/>
      <c r="H400" s="44"/>
      <c r="I400" s="44"/>
      <c r="J400" s="45"/>
      <c r="K400" s="44"/>
      <c r="L400" s="44"/>
      <c r="M400" s="44"/>
    </row>
    <row r="401" spans="2:13" x14ac:dyDescent="0.25">
      <c r="B401" s="42"/>
      <c r="C401" s="43" t="str">
        <f t="shared" si="18"/>
        <v/>
      </c>
      <c r="D401" s="44" t="str">
        <f t="shared" si="19"/>
        <v/>
      </c>
      <c r="E401" s="44" t="str">
        <f t="shared" si="20"/>
        <v/>
      </c>
      <c r="F401" s="44"/>
      <c r="G401" s="44"/>
      <c r="H401" s="44"/>
      <c r="I401" s="44"/>
      <c r="J401" s="45"/>
      <c r="K401" s="44"/>
      <c r="L401" s="44"/>
      <c r="M401" s="44"/>
    </row>
    <row r="402" spans="2:13" x14ac:dyDescent="0.25">
      <c r="B402" s="42"/>
      <c r="C402" s="43" t="str">
        <f t="shared" si="18"/>
        <v/>
      </c>
      <c r="D402" s="44" t="str">
        <f t="shared" si="19"/>
        <v/>
      </c>
      <c r="E402" s="44" t="str">
        <f t="shared" si="20"/>
        <v/>
      </c>
      <c r="F402" s="44"/>
      <c r="G402" s="44"/>
      <c r="H402" s="44"/>
      <c r="I402" s="44"/>
      <c r="J402" s="45"/>
      <c r="K402" s="44"/>
      <c r="L402" s="44"/>
      <c r="M402" s="44"/>
    </row>
    <row r="403" spans="2:13" x14ac:dyDescent="0.25">
      <c r="B403" s="42"/>
      <c r="C403" s="43" t="str">
        <f t="shared" si="18"/>
        <v/>
      </c>
      <c r="D403" s="44" t="str">
        <f t="shared" si="19"/>
        <v/>
      </c>
      <c r="E403" s="44" t="str">
        <f t="shared" si="20"/>
        <v/>
      </c>
      <c r="F403" s="44"/>
      <c r="G403" s="44"/>
      <c r="H403" s="44"/>
      <c r="I403" s="44"/>
      <c r="J403" s="45"/>
      <c r="K403" s="44"/>
      <c r="L403" s="44"/>
      <c r="M403" s="44"/>
    </row>
    <row r="404" spans="2:13" x14ac:dyDescent="0.25">
      <c r="B404" s="42"/>
      <c r="C404" s="43" t="str">
        <f t="shared" si="18"/>
        <v/>
      </c>
      <c r="D404" s="44" t="str">
        <f t="shared" si="19"/>
        <v/>
      </c>
      <c r="E404" s="44" t="str">
        <f t="shared" si="20"/>
        <v/>
      </c>
      <c r="F404" s="44"/>
      <c r="G404" s="44"/>
      <c r="H404" s="44"/>
      <c r="I404" s="44"/>
      <c r="J404" s="45"/>
      <c r="K404" s="44"/>
      <c r="L404" s="44"/>
      <c r="M404" s="44"/>
    </row>
    <row r="405" spans="2:13" x14ac:dyDescent="0.25">
      <c r="B405" s="42"/>
      <c r="C405" s="43" t="str">
        <f t="shared" si="18"/>
        <v/>
      </c>
      <c r="D405" s="44" t="str">
        <f t="shared" si="19"/>
        <v/>
      </c>
      <c r="E405" s="44" t="str">
        <f t="shared" si="20"/>
        <v/>
      </c>
      <c r="F405" s="44"/>
      <c r="G405" s="44"/>
      <c r="H405" s="44"/>
      <c r="I405" s="44"/>
      <c r="J405" s="45"/>
      <c r="K405" s="44"/>
      <c r="L405" s="44"/>
      <c r="M405" s="44"/>
    </row>
    <row r="406" spans="2:13" x14ac:dyDescent="0.25">
      <c r="B406" s="42"/>
      <c r="C406" s="43" t="str">
        <f t="shared" si="18"/>
        <v/>
      </c>
      <c r="D406" s="44" t="str">
        <f t="shared" si="19"/>
        <v/>
      </c>
      <c r="E406" s="44" t="str">
        <f t="shared" si="20"/>
        <v/>
      </c>
      <c r="F406" s="44"/>
      <c r="G406" s="44"/>
      <c r="H406" s="44"/>
      <c r="I406" s="44"/>
      <c r="J406" s="45"/>
      <c r="K406" s="44"/>
      <c r="L406" s="44"/>
      <c r="M406" s="44"/>
    </row>
    <row r="407" spans="2:13" x14ac:dyDescent="0.25">
      <c r="B407" s="42"/>
      <c r="C407" s="43" t="str">
        <f t="shared" si="18"/>
        <v/>
      </c>
      <c r="D407" s="44" t="str">
        <f t="shared" si="19"/>
        <v/>
      </c>
      <c r="E407" s="44" t="str">
        <f t="shared" si="20"/>
        <v/>
      </c>
      <c r="F407" s="44"/>
      <c r="G407" s="44"/>
      <c r="H407" s="44"/>
      <c r="I407" s="44"/>
      <c r="J407" s="45"/>
      <c r="K407" s="44"/>
      <c r="L407" s="44"/>
      <c r="M407" s="44"/>
    </row>
    <row r="408" spans="2:13" x14ac:dyDescent="0.25">
      <c r="B408" s="42"/>
      <c r="C408" s="43" t="str">
        <f t="shared" si="18"/>
        <v/>
      </c>
      <c r="D408" s="44" t="str">
        <f t="shared" si="19"/>
        <v/>
      </c>
      <c r="E408" s="44" t="str">
        <f t="shared" si="20"/>
        <v/>
      </c>
      <c r="F408" s="44"/>
      <c r="G408" s="44"/>
      <c r="H408" s="44"/>
      <c r="I408" s="44"/>
      <c r="J408" s="45"/>
      <c r="K408" s="44"/>
      <c r="L408" s="44"/>
      <c r="M408" s="44"/>
    </row>
    <row r="409" spans="2:13" x14ac:dyDescent="0.25">
      <c r="B409" s="42"/>
      <c r="C409" s="43" t="str">
        <f t="shared" si="18"/>
        <v/>
      </c>
      <c r="D409" s="44" t="str">
        <f t="shared" si="19"/>
        <v/>
      </c>
      <c r="E409" s="44" t="str">
        <f t="shared" si="20"/>
        <v/>
      </c>
      <c r="F409" s="44"/>
      <c r="G409" s="44"/>
      <c r="H409" s="44"/>
      <c r="I409" s="44"/>
      <c r="J409" s="45"/>
      <c r="K409" s="44"/>
      <c r="L409" s="44"/>
      <c r="M409" s="44"/>
    </row>
    <row r="410" spans="2:13" x14ac:dyDescent="0.25">
      <c r="B410" s="42"/>
      <c r="C410" s="43" t="str">
        <f t="shared" si="18"/>
        <v/>
      </c>
      <c r="D410" s="44" t="str">
        <f t="shared" si="19"/>
        <v/>
      </c>
      <c r="E410" s="44" t="str">
        <f t="shared" si="20"/>
        <v/>
      </c>
      <c r="F410" s="44"/>
      <c r="G410" s="44"/>
      <c r="H410" s="44"/>
      <c r="I410" s="44"/>
      <c r="J410" s="45"/>
      <c r="K410" s="44"/>
      <c r="L410" s="44"/>
      <c r="M410" s="44"/>
    </row>
    <row r="411" spans="2:13" x14ac:dyDescent="0.25">
      <c r="B411" s="42"/>
      <c r="C411" s="43" t="str">
        <f t="shared" si="18"/>
        <v/>
      </c>
      <c r="D411" s="44" t="str">
        <f t="shared" si="19"/>
        <v/>
      </c>
      <c r="E411" s="44" t="str">
        <f t="shared" si="20"/>
        <v/>
      </c>
      <c r="F411" s="44"/>
      <c r="G411" s="44"/>
      <c r="H411" s="44"/>
      <c r="I411" s="44"/>
      <c r="J411" s="45"/>
      <c r="K411" s="44"/>
      <c r="L411" s="44"/>
      <c r="M411" s="44"/>
    </row>
    <row r="412" spans="2:13" x14ac:dyDescent="0.25">
      <c r="B412" s="42"/>
      <c r="C412" s="43" t="str">
        <f t="shared" si="18"/>
        <v/>
      </c>
      <c r="D412" s="44" t="str">
        <f t="shared" si="19"/>
        <v/>
      </c>
      <c r="E412" s="44" t="str">
        <f t="shared" si="20"/>
        <v/>
      </c>
      <c r="F412" s="44"/>
      <c r="G412" s="44"/>
      <c r="H412" s="44"/>
      <c r="I412" s="44"/>
      <c r="J412" s="45"/>
      <c r="K412" s="44"/>
      <c r="L412" s="44"/>
      <c r="M412" s="44"/>
    </row>
    <row r="413" spans="2:13" x14ac:dyDescent="0.25">
      <c r="B413" s="42"/>
      <c r="C413" s="43" t="str">
        <f t="shared" si="18"/>
        <v/>
      </c>
      <c r="D413" s="44" t="str">
        <f t="shared" si="19"/>
        <v/>
      </c>
      <c r="E413" s="44" t="str">
        <f t="shared" si="20"/>
        <v/>
      </c>
      <c r="F413" s="44"/>
      <c r="G413" s="44"/>
      <c r="H413" s="44"/>
      <c r="I413" s="44"/>
      <c r="J413" s="45"/>
      <c r="K413" s="44"/>
      <c r="L413" s="44"/>
      <c r="M413" s="44"/>
    </row>
    <row r="414" spans="2:13" x14ac:dyDescent="0.25">
      <c r="B414" s="42"/>
      <c r="C414" s="43" t="str">
        <f t="shared" si="18"/>
        <v/>
      </c>
      <c r="D414" s="44" t="str">
        <f t="shared" si="19"/>
        <v/>
      </c>
      <c r="E414" s="44" t="str">
        <f t="shared" si="20"/>
        <v/>
      </c>
      <c r="F414" s="44"/>
      <c r="G414" s="44"/>
      <c r="H414" s="44"/>
      <c r="I414" s="44"/>
      <c r="J414" s="45"/>
      <c r="K414" s="44"/>
      <c r="L414" s="44"/>
      <c r="M414" s="44"/>
    </row>
    <row r="415" spans="2:13" x14ac:dyDescent="0.25">
      <c r="B415" s="42"/>
      <c r="C415" s="43" t="str">
        <f t="shared" si="18"/>
        <v/>
      </c>
      <c r="D415" s="44" t="str">
        <f t="shared" si="19"/>
        <v/>
      </c>
      <c r="E415" s="44" t="str">
        <f t="shared" si="20"/>
        <v/>
      </c>
      <c r="F415" s="44"/>
      <c r="G415" s="44"/>
      <c r="H415" s="44"/>
      <c r="I415" s="44"/>
      <c r="J415" s="45"/>
      <c r="K415" s="44"/>
      <c r="L415" s="44"/>
      <c r="M415" s="44"/>
    </row>
    <row r="416" spans="2:13" x14ac:dyDescent="0.25">
      <c r="B416" s="42"/>
      <c r="C416" s="43" t="str">
        <f t="shared" si="18"/>
        <v/>
      </c>
      <c r="D416" s="44" t="str">
        <f t="shared" si="19"/>
        <v/>
      </c>
      <c r="E416" s="44" t="str">
        <f t="shared" si="20"/>
        <v/>
      </c>
      <c r="F416" s="44"/>
      <c r="G416" s="44"/>
      <c r="H416" s="44"/>
      <c r="I416" s="44"/>
      <c r="J416" s="45"/>
      <c r="K416" s="44"/>
      <c r="L416" s="44"/>
      <c r="M416" s="44"/>
    </row>
    <row r="417" spans="2:13" x14ac:dyDescent="0.25">
      <c r="B417" s="42"/>
      <c r="C417" s="43" t="str">
        <f t="shared" si="18"/>
        <v/>
      </c>
      <c r="D417" s="44" t="str">
        <f t="shared" si="19"/>
        <v/>
      </c>
      <c r="E417" s="44" t="str">
        <f t="shared" si="20"/>
        <v/>
      </c>
      <c r="F417" s="44"/>
      <c r="G417" s="44"/>
      <c r="H417" s="44"/>
      <c r="I417" s="44"/>
      <c r="J417" s="45"/>
      <c r="K417" s="44"/>
      <c r="L417" s="44"/>
      <c r="M417" s="44"/>
    </row>
    <row r="418" spans="2:13" x14ac:dyDescent="0.25">
      <c r="B418" s="42"/>
      <c r="C418" s="43" t="str">
        <f t="shared" si="18"/>
        <v/>
      </c>
      <c r="D418" s="44" t="str">
        <f t="shared" si="19"/>
        <v/>
      </c>
      <c r="E418" s="44" t="str">
        <f t="shared" si="20"/>
        <v/>
      </c>
      <c r="F418" s="44"/>
      <c r="G418" s="44"/>
      <c r="H418" s="44"/>
      <c r="I418" s="44"/>
      <c r="J418" s="45"/>
      <c r="K418" s="44"/>
      <c r="L418" s="44"/>
      <c r="M418" s="44"/>
    </row>
    <row r="419" spans="2:13" x14ac:dyDescent="0.25">
      <c r="B419" s="42"/>
      <c r="C419" s="43" t="str">
        <f t="shared" si="18"/>
        <v/>
      </c>
      <c r="D419" s="44" t="str">
        <f t="shared" si="19"/>
        <v/>
      </c>
      <c r="E419" s="44" t="str">
        <f t="shared" si="20"/>
        <v/>
      </c>
      <c r="F419" s="44"/>
      <c r="G419" s="44"/>
      <c r="H419" s="44"/>
      <c r="I419" s="44"/>
      <c r="J419" s="45"/>
      <c r="K419" s="44"/>
      <c r="L419" s="44"/>
      <c r="M419" s="44"/>
    </row>
    <row r="420" spans="2:13" x14ac:dyDescent="0.25">
      <c r="B420" s="42"/>
      <c r="C420" s="43" t="str">
        <f t="shared" si="18"/>
        <v/>
      </c>
      <c r="D420" s="44" t="str">
        <f t="shared" si="19"/>
        <v/>
      </c>
      <c r="E420" s="44" t="str">
        <f t="shared" si="20"/>
        <v/>
      </c>
      <c r="F420" s="44"/>
      <c r="G420" s="44"/>
      <c r="H420" s="44"/>
      <c r="I420" s="44"/>
      <c r="J420" s="45"/>
      <c r="K420" s="44"/>
      <c r="L420" s="44"/>
      <c r="M420" s="44"/>
    </row>
    <row r="421" spans="2:13" x14ac:dyDescent="0.25">
      <c r="B421" s="42"/>
      <c r="C421" s="43" t="str">
        <f t="shared" si="18"/>
        <v/>
      </c>
      <c r="D421" s="44" t="str">
        <f t="shared" si="19"/>
        <v/>
      </c>
      <c r="E421" s="44" t="str">
        <f t="shared" si="20"/>
        <v/>
      </c>
      <c r="F421" s="44"/>
      <c r="G421" s="44"/>
      <c r="H421" s="44"/>
      <c r="I421" s="44"/>
      <c r="J421" s="45"/>
      <c r="K421" s="44"/>
      <c r="L421" s="44"/>
      <c r="M421" s="44"/>
    </row>
    <row r="422" spans="2:13" x14ac:dyDescent="0.25">
      <c r="B422" s="42"/>
      <c r="C422" s="43" t="str">
        <f t="shared" si="18"/>
        <v/>
      </c>
      <c r="D422" s="44" t="str">
        <f t="shared" si="19"/>
        <v/>
      </c>
      <c r="E422" s="44" t="str">
        <f t="shared" si="20"/>
        <v/>
      </c>
      <c r="F422" s="44"/>
      <c r="G422" s="44"/>
      <c r="H422" s="44"/>
      <c r="I422" s="44"/>
      <c r="J422" s="45"/>
      <c r="K422" s="44"/>
      <c r="L422" s="44"/>
      <c r="M422" s="44"/>
    </row>
    <row r="423" spans="2:13" x14ac:dyDescent="0.25">
      <c r="B423" s="42"/>
      <c r="C423" s="43" t="str">
        <f t="shared" si="18"/>
        <v/>
      </c>
      <c r="D423" s="44" t="str">
        <f t="shared" si="19"/>
        <v/>
      </c>
      <c r="E423" s="44" t="str">
        <f t="shared" si="20"/>
        <v/>
      </c>
      <c r="F423" s="44"/>
      <c r="G423" s="44"/>
      <c r="H423" s="44"/>
      <c r="I423" s="44"/>
      <c r="J423" s="45"/>
      <c r="K423" s="44"/>
      <c r="L423" s="44"/>
      <c r="M423" s="44"/>
    </row>
    <row r="424" spans="2:13" x14ac:dyDescent="0.25">
      <c r="B424" s="42"/>
      <c r="C424" s="43" t="str">
        <f t="shared" si="18"/>
        <v/>
      </c>
      <c r="D424" s="44" t="str">
        <f t="shared" si="19"/>
        <v/>
      </c>
      <c r="E424" s="44" t="str">
        <f t="shared" si="20"/>
        <v/>
      </c>
      <c r="F424" s="44"/>
      <c r="G424" s="44"/>
      <c r="H424" s="44"/>
      <c r="I424" s="44"/>
      <c r="J424" s="45"/>
      <c r="K424" s="44"/>
      <c r="L424" s="44"/>
      <c r="M424" s="44"/>
    </row>
    <row r="425" spans="2:13" x14ac:dyDescent="0.25">
      <c r="B425" s="42"/>
      <c r="C425" s="43" t="str">
        <f t="shared" si="18"/>
        <v/>
      </c>
      <c r="D425" s="44" t="str">
        <f t="shared" si="19"/>
        <v/>
      </c>
      <c r="E425" s="44" t="str">
        <f t="shared" si="20"/>
        <v/>
      </c>
      <c r="F425" s="44"/>
      <c r="G425" s="44"/>
      <c r="H425" s="44"/>
      <c r="I425" s="44"/>
      <c r="J425" s="45"/>
      <c r="K425" s="44"/>
      <c r="L425" s="44"/>
      <c r="M425" s="44"/>
    </row>
    <row r="426" spans="2:13" x14ac:dyDescent="0.25">
      <c r="B426" s="42"/>
      <c r="C426" s="43" t="str">
        <f t="shared" si="18"/>
        <v/>
      </c>
      <c r="D426" s="44" t="str">
        <f t="shared" si="19"/>
        <v/>
      </c>
      <c r="E426" s="44" t="str">
        <f t="shared" si="20"/>
        <v/>
      </c>
      <c r="F426" s="44"/>
      <c r="G426" s="44"/>
      <c r="H426" s="44"/>
      <c r="I426" s="44"/>
      <c r="J426" s="45"/>
      <c r="K426" s="44"/>
      <c r="L426" s="44"/>
      <c r="M426" s="44"/>
    </row>
    <row r="427" spans="2:13" x14ac:dyDescent="0.25">
      <c r="B427" s="42"/>
      <c r="C427" s="43" t="str">
        <f t="shared" si="18"/>
        <v/>
      </c>
      <c r="D427" s="44" t="str">
        <f t="shared" si="19"/>
        <v/>
      </c>
      <c r="E427" s="44" t="str">
        <f t="shared" si="20"/>
        <v/>
      </c>
      <c r="F427" s="44"/>
      <c r="G427" s="44"/>
      <c r="H427" s="44"/>
      <c r="I427" s="44"/>
      <c r="J427" s="45"/>
      <c r="K427" s="44"/>
      <c r="L427" s="44"/>
      <c r="M427" s="44"/>
    </row>
    <row r="428" spans="2:13" x14ac:dyDescent="0.25">
      <c r="B428" s="42"/>
      <c r="C428" s="43" t="str">
        <f t="shared" si="18"/>
        <v/>
      </c>
      <c r="D428" s="44" t="str">
        <f t="shared" si="19"/>
        <v/>
      </c>
      <c r="E428" s="44" t="str">
        <f t="shared" si="20"/>
        <v/>
      </c>
      <c r="F428" s="44"/>
      <c r="G428" s="44"/>
      <c r="H428" s="44"/>
      <c r="I428" s="44"/>
      <c r="J428" s="45"/>
      <c r="K428" s="44"/>
      <c r="L428" s="44"/>
      <c r="M428" s="44"/>
    </row>
    <row r="429" spans="2:13" x14ac:dyDescent="0.25">
      <c r="B429" s="42"/>
      <c r="C429" s="43" t="str">
        <f t="shared" si="18"/>
        <v/>
      </c>
      <c r="D429" s="44" t="str">
        <f t="shared" si="19"/>
        <v/>
      </c>
      <c r="E429" s="44" t="str">
        <f t="shared" si="20"/>
        <v/>
      </c>
      <c r="F429" s="44"/>
      <c r="G429" s="44"/>
      <c r="H429" s="44"/>
      <c r="I429" s="44"/>
      <c r="J429" s="45"/>
      <c r="K429" s="44"/>
      <c r="L429" s="44"/>
      <c r="M429" s="44"/>
    </row>
    <row r="430" spans="2:13" x14ac:dyDescent="0.25">
      <c r="B430" s="42"/>
      <c r="C430" s="43" t="str">
        <f t="shared" si="18"/>
        <v/>
      </c>
      <c r="D430" s="44" t="str">
        <f t="shared" si="19"/>
        <v/>
      </c>
      <c r="E430" s="44" t="str">
        <f t="shared" si="20"/>
        <v/>
      </c>
      <c r="F430" s="44"/>
      <c r="G430" s="44"/>
      <c r="H430" s="44"/>
      <c r="I430" s="44"/>
      <c r="J430" s="45"/>
      <c r="K430" s="44"/>
      <c r="L430" s="44"/>
      <c r="M430" s="44"/>
    </row>
    <row r="431" spans="2:13" x14ac:dyDescent="0.25">
      <c r="B431" s="42"/>
      <c r="C431" s="43" t="str">
        <f t="shared" si="18"/>
        <v/>
      </c>
      <c r="D431" s="44" t="str">
        <f t="shared" si="19"/>
        <v/>
      </c>
      <c r="E431" s="44" t="str">
        <f t="shared" si="20"/>
        <v/>
      </c>
      <c r="F431" s="44"/>
      <c r="G431" s="44"/>
      <c r="H431" s="44"/>
      <c r="I431" s="44"/>
      <c r="J431" s="45"/>
      <c r="K431" s="44"/>
      <c r="L431" s="44"/>
      <c r="M431" s="44"/>
    </row>
    <row r="432" spans="2:13" x14ac:dyDescent="0.25">
      <c r="B432" s="42"/>
      <c r="C432" s="43" t="str">
        <f t="shared" si="18"/>
        <v/>
      </c>
      <c r="D432" s="44" t="str">
        <f t="shared" si="19"/>
        <v/>
      </c>
      <c r="E432" s="44" t="str">
        <f t="shared" si="20"/>
        <v/>
      </c>
      <c r="F432" s="44"/>
      <c r="G432" s="44"/>
      <c r="H432" s="44"/>
      <c r="I432" s="44"/>
      <c r="J432" s="45"/>
      <c r="K432" s="44"/>
      <c r="L432" s="44"/>
      <c r="M432" s="44"/>
    </row>
    <row r="433" spans="2:13" x14ac:dyDescent="0.25">
      <c r="B433" s="42"/>
      <c r="C433" s="43" t="str">
        <f t="shared" si="18"/>
        <v/>
      </c>
      <c r="D433" s="44" t="str">
        <f t="shared" si="19"/>
        <v/>
      </c>
      <c r="E433" s="44" t="str">
        <f t="shared" si="20"/>
        <v/>
      </c>
      <c r="F433" s="44"/>
      <c r="G433" s="44"/>
      <c r="H433" s="44"/>
      <c r="I433" s="44"/>
      <c r="J433" s="45"/>
      <c r="K433" s="44"/>
      <c r="L433" s="44"/>
      <c r="M433" s="44"/>
    </row>
    <row r="434" spans="2:13" x14ac:dyDescent="0.25">
      <c r="B434" s="42"/>
      <c r="C434" s="43" t="str">
        <f t="shared" si="18"/>
        <v/>
      </c>
      <c r="D434" s="44" t="str">
        <f t="shared" si="19"/>
        <v/>
      </c>
      <c r="E434" s="44" t="str">
        <f t="shared" si="20"/>
        <v/>
      </c>
      <c r="F434" s="44"/>
      <c r="G434" s="44"/>
      <c r="H434" s="44"/>
      <c r="I434" s="44"/>
      <c r="J434" s="45"/>
      <c r="K434" s="44"/>
      <c r="L434" s="44"/>
      <c r="M434" s="44"/>
    </row>
    <row r="435" spans="2:13" x14ac:dyDescent="0.25">
      <c r="B435" s="42"/>
      <c r="C435" s="43" t="str">
        <f t="shared" si="18"/>
        <v/>
      </c>
      <c r="D435" s="44" t="str">
        <f t="shared" si="19"/>
        <v/>
      </c>
      <c r="E435" s="44" t="str">
        <f t="shared" si="20"/>
        <v/>
      </c>
      <c r="F435" s="44"/>
      <c r="G435" s="44"/>
      <c r="H435" s="44"/>
      <c r="I435" s="44"/>
      <c r="J435" s="45"/>
      <c r="K435" s="44"/>
      <c r="L435" s="44"/>
      <c r="M435" s="44"/>
    </row>
    <row r="436" spans="2:13" x14ac:dyDescent="0.25">
      <c r="B436" s="42"/>
      <c r="C436" s="43" t="str">
        <f t="shared" si="18"/>
        <v/>
      </c>
      <c r="D436" s="44" t="str">
        <f t="shared" si="19"/>
        <v/>
      </c>
      <c r="E436" s="44" t="str">
        <f t="shared" si="20"/>
        <v/>
      </c>
      <c r="F436" s="44"/>
      <c r="G436" s="44"/>
      <c r="H436" s="44"/>
      <c r="I436" s="44"/>
      <c r="J436" s="45"/>
      <c r="K436" s="44"/>
      <c r="L436" s="44"/>
      <c r="M436" s="44"/>
    </row>
    <row r="437" spans="2:13" x14ac:dyDescent="0.25">
      <c r="B437" s="42"/>
      <c r="C437" s="43" t="str">
        <f t="shared" si="18"/>
        <v/>
      </c>
      <c r="D437" s="44" t="str">
        <f t="shared" si="19"/>
        <v/>
      </c>
      <c r="E437" s="44" t="str">
        <f t="shared" si="20"/>
        <v/>
      </c>
      <c r="F437" s="44"/>
      <c r="G437" s="44"/>
      <c r="H437" s="44"/>
      <c r="I437" s="44"/>
      <c r="J437" s="45"/>
      <c r="K437" s="44"/>
      <c r="L437" s="44"/>
      <c r="M437" s="44"/>
    </row>
    <row r="438" spans="2:13" x14ac:dyDescent="0.25">
      <c r="B438" s="42"/>
      <c r="C438" s="43" t="str">
        <f t="shared" si="18"/>
        <v/>
      </c>
      <c r="D438" s="44" t="str">
        <f t="shared" si="19"/>
        <v/>
      </c>
      <c r="E438" s="44" t="str">
        <f t="shared" si="20"/>
        <v/>
      </c>
      <c r="F438" s="44"/>
      <c r="G438" s="44"/>
      <c r="H438" s="44"/>
      <c r="I438" s="44"/>
      <c r="J438" s="45"/>
      <c r="K438" s="44"/>
      <c r="L438" s="44"/>
      <c r="M438" s="44"/>
    </row>
    <row r="439" spans="2:13" x14ac:dyDescent="0.25">
      <c r="B439" s="42"/>
      <c r="C439" s="43" t="str">
        <f t="shared" si="18"/>
        <v/>
      </c>
      <c r="D439" s="44" t="str">
        <f t="shared" si="19"/>
        <v/>
      </c>
      <c r="E439" s="44" t="str">
        <f t="shared" si="20"/>
        <v/>
      </c>
      <c r="F439" s="44"/>
      <c r="G439" s="44"/>
      <c r="H439" s="44"/>
      <c r="I439" s="44"/>
      <c r="J439" s="45"/>
      <c r="K439" s="44"/>
      <c r="L439" s="44"/>
      <c r="M439" s="44"/>
    </row>
    <row r="440" spans="2:13" x14ac:dyDescent="0.25">
      <c r="B440" s="42"/>
      <c r="C440" s="43" t="str">
        <f t="shared" si="18"/>
        <v/>
      </c>
      <c r="D440" s="44" t="str">
        <f t="shared" si="19"/>
        <v/>
      </c>
      <c r="E440" s="44" t="str">
        <f t="shared" si="20"/>
        <v/>
      </c>
      <c r="F440" s="44"/>
      <c r="G440" s="44"/>
      <c r="H440" s="44"/>
      <c r="I440" s="44"/>
      <c r="J440" s="45"/>
      <c r="K440" s="44"/>
      <c r="L440" s="44"/>
      <c r="M440" s="44"/>
    </row>
    <row r="441" spans="2:13" x14ac:dyDescent="0.25">
      <c r="B441" s="42"/>
      <c r="C441" s="43" t="str">
        <f t="shared" si="18"/>
        <v/>
      </c>
      <c r="D441" s="44" t="str">
        <f t="shared" si="19"/>
        <v/>
      </c>
      <c r="E441" s="44" t="str">
        <f t="shared" si="20"/>
        <v/>
      </c>
      <c r="F441" s="44"/>
      <c r="G441" s="44"/>
      <c r="H441" s="44"/>
      <c r="I441" s="44"/>
      <c r="J441" s="45"/>
      <c r="K441" s="44"/>
      <c r="L441" s="44"/>
      <c r="M441" s="44"/>
    </row>
    <row r="442" spans="2:13" x14ac:dyDescent="0.25">
      <c r="B442" s="42"/>
      <c r="C442" s="43" t="str">
        <f t="shared" si="18"/>
        <v/>
      </c>
      <c r="D442" s="44" t="str">
        <f t="shared" si="19"/>
        <v/>
      </c>
      <c r="E442" s="44" t="str">
        <f t="shared" si="20"/>
        <v/>
      </c>
      <c r="F442" s="44"/>
      <c r="G442" s="44"/>
      <c r="H442" s="44"/>
      <c r="I442" s="44"/>
      <c r="J442" s="45"/>
      <c r="K442" s="44"/>
      <c r="L442" s="44"/>
      <c r="M442" s="44"/>
    </row>
    <row r="443" spans="2:13" x14ac:dyDescent="0.25">
      <c r="B443" s="42"/>
      <c r="C443" s="43" t="str">
        <f t="shared" si="18"/>
        <v/>
      </c>
      <c r="D443" s="44" t="str">
        <f t="shared" si="19"/>
        <v/>
      </c>
      <c r="E443" s="44" t="str">
        <f t="shared" si="20"/>
        <v/>
      </c>
      <c r="F443" s="44"/>
      <c r="G443" s="44"/>
      <c r="H443" s="44"/>
      <c r="I443" s="44"/>
      <c r="J443" s="45"/>
      <c r="K443" s="44"/>
      <c r="L443" s="44"/>
      <c r="M443" s="44"/>
    </row>
    <row r="444" spans="2:13" x14ac:dyDescent="0.25">
      <c r="B444" s="42"/>
      <c r="C444" s="43" t="str">
        <f t="shared" si="18"/>
        <v/>
      </c>
      <c r="D444" s="44" t="str">
        <f t="shared" si="19"/>
        <v/>
      </c>
      <c r="E444" s="44" t="str">
        <f t="shared" si="20"/>
        <v/>
      </c>
      <c r="F444" s="44"/>
      <c r="G444" s="44"/>
      <c r="H444" s="44"/>
      <c r="I444" s="44"/>
      <c r="J444" s="45"/>
      <c r="K444" s="44"/>
      <c r="L444" s="44"/>
      <c r="M444" s="44"/>
    </row>
    <row r="445" spans="2:13" x14ac:dyDescent="0.25">
      <c r="B445" s="42"/>
      <c r="C445" s="43" t="str">
        <f t="shared" si="18"/>
        <v/>
      </c>
      <c r="D445" s="44" t="str">
        <f t="shared" si="19"/>
        <v/>
      </c>
      <c r="E445" s="44" t="str">
        <f t="shared" si="20"/>
        <v/>
      </c>
      <c r="F445" s="44"/>
      <c r="G445" s="44"/>
      <c r="H445" s="44"/>
      <c r="I445" s="44"/>
      <c r="J445" s="45"/>
      <c r="K445" s="44"/>
      <c r="L445" s="44"/>
      <c r="M445" s="44"/>
    </row>
    <row r="446" spans="2:13" x14ac:dyDescent="0.25">
      <c r="B446" s="42"/>
      <c r="C446" s="43" t="str">
        <f t="shared" si="18"/>
        <v/>
      </c>
      <c r="D446" s="44" t="str">
        <f t="shared" si="19"/>
        <v/>
      </c>
      <c r="E446" s="44" t="str">
        <f t="shared" si="20"/>
        <v/>
      </c>
      <c r="F446" s="44"/>
      <c r="G446" s="44"/>
      <c r="H446" s="44"/>
      <c r="I446" s="44"/>
      <c r="J446" s="45"/>
      <c r="K446" s="44"/>
      <c r="L446" s="44"/>
      <c r="M446" s="44"/>
    </row>
    <row r="447" spans="2:13" x14ac:dyDescent="0.25">
      <c r="B447" s="42"/>
      <c r="C447" s="43" t="str">
        <f t="shared" si="18"/>
        <v/>
      </c>
      <c r="D447" s="44" t="str">
        <f t="shared" si="19"/>
        <v/>
      </c>
      <c r="E447" s="44" t="str">
        <f t="shared" si="20"/>
        <v/>
      </c>
      <c r="F447" s="44"/>
      <c r="G447" s="44"/>
      <c r="H447" s="44"/>
      <c r="I447" s="44"/>
      <c r="J447" s="45"/>
      <c r="K447" s="44"/>
      <c r="L447" s="44"/>
      <c r="M447" s="44"/>
    </row>
    <row r="448" spans="2:13" x14ac:dyDescent="0.25">
      <c r="B448" s="42"/>
      <c r="C448" s="43" t="str">
        <f t="shared" si="18"/>
        <v/>
      </c>
      <c r="D448" s="44" t="str">
        <f t="shared" si="19"/>
        <v/>
      </c>
      <c r="E448" s="44" t="str">
        <f t="shared" si="20"/>
        <v/>
      </c>
      <c r="F448" s="44"/>
      <c r="G448" s="44"/>
      <c r="H448" s="44"/>
      <c r="I448" s="44"/>
      <c r="J448" s="45"/>
      <c r="K448" s="44"/>
      <c r="L448" s="44"/>
      <c r="M448" s="44"/>
    </row>
    <row r="449" spans="2:13" x14ac:dyDescent="0.25">
      <c r="B449" s="42"/>
      <c r="C449" s="43" t="str">
        <f t="shared" si="18"/>
        <v/>
      </c>
      <c r="D449" s="44" t="str">
        <f t="shared" si="19"/>
        <v/>
      </c>
      <c r="E449" s="44" t="str">
        <f t="shared" si="20"/>
        <v/>
      </c>
      <c r="F449" s="44"/>
      <c r="G449" s="44"/>
      <c r="H449" s="44"/>
      <c r="I449" s="44"/>
      <c r="J449" s="45"/>
      <c r="K449" s="44"/>
      <c r="L449" s="44"/>
      <c r="M449" s="44"/>
    </row>
    <row r="450" spans="2:13" x14ac:dyDescent="0.25">
      <c r="B450" s="42"/>
      <c r="C450" s="43" t="str">
        <f t="shared" ref="C450:C513" si="21">IF(B450="","",MONTH(B450))</f>
        <v/>
      </c>
      <c r="D450" s="44" t="str">
        <f t="shared" ref="D450:D513" si="22">IF(B450="","",CHOOSE(C450,"Enero","Febrero","Marzo","Abril","Mayo","Junio","Julio","Agosto","Septiembre","Octubre","Noviembre","Diciembre"))</f>
        <v/>
      </c>
      <c r="E450" s="44" t="str">
        <f t="shared" ref="E450:E513" si="23">IF(B450="","",YEAR(B450))</f>
        <v/>
      </c>
      <c r="F450" s="44"/>
      <c r="G450" s="44"/>
      <c r="H450" s="44"/>
      <c r="I450" s="44"/>
      <c r="J450" s="45"/>
      <c r="K450" s="44"/>
      <c r="L450" s="44"/>
      <c r="M450" s="44"/>
    </row>
    <row r="451" spans="2:13" x14ac:dyDescent="0.25">
      <c r="B451" s="42"/>
      <c r="C451" s="43" t="str">
        <f t="shared" si="21"/>
        <v/>
      </c>
      <c r="D451" s="44" t="str">
        <f t="shared" si="22"/>
        <v/>
      </c>
      <c r="E451" s="44" t="str">
        <f t="shared" si="23"/>
        <v/>
      </c>
      <c r="F451" s="44"/>
      <c r="G451" s="44"/>
      <c r="H451" s="44"/>
      <c r="I451" s="44"/>
      <c r="J451" s="45"/>
      <c r="K451" s="44"/>
      <c r="L451" s="44"/>
      <c r="M451" s="44"/>
    </row>
    <row r="452" spans="2:13" x14ac:dyDescent="0.25">
      <c r="B452" s="42"/>
      <c r="C452" s="43" t="str">
        <f t="shared" si="21"/>
        <v/>
      </c>
      <c r="D452" s="44" t="str">
        <f t="shared" si="22"/>
        <v/>
      </c>
      <c r="E452" s="44" t="str">
        <f t="shared" si="23"/>
        <v/>
      </c>
      <c r="F452" s="44"/>
      <c r="G452" s="44"/>
      <c r="H452" s="44"/>
      <c r="I452" s="44"/>
      <c r="J452" s="45"/>
      <c r="K452" s="44"/>
      <c r="L452" s="44"/>
      <c r="M452" s="44"/>
    </row>
    <row r="453" spans="2:13" x14ac:dyDescent="0.25">
      <c r="B453" s="42"/>
      <c r="C453" s="43" t="str">
        <f t="shared" si="21"/>
        <v/>
      </c>
      <c r="D453" s="44" t="str">
        <f t="shared" si="22"/>
        <v/>
      </c>
      <c r="E453" s="44" t="str">
        <f t="shared" si="23"/>
        <v/>
      </c>
      <c r="F453" s="44"/>
      <c r="G453" s="44"/>
      <c r="H453" s="44"/>
      <c r="I453" s="44"/>
      <c r="J453" s="45"/>
      <c r="K453" s="44"/>
      <c r="L453" s="44"/>
      <c r="M453" s="44"/>
    </row>
    <row r="454" spans="2:13" x14ac:dyDescent="0.25">
      <c r="B454" s="42"/>
      <c r="C454" s="43" t="str">
        <f t="shared" si="21"/>
        <v/>
      </c>
      <c r="D454" s="44" t="str">
        <f t="shared" si="22"/>
        <v/>
      </c>
      <c r="E454" s="44" t="str">
        <f t="shared" si="23"/>
        <v/>
      </c>
      <c r="F454" s="44"/>
      <c r="G454" s="44"/>
      <c r="H454" s="44"/>
      <c r="I454" s="44"/>
      <c r="J454" s="45"/>
      <c r="K454" s="44"/>
      <c r="L454" s="44"/>
      <c r="M454" s="44"/>
    </row>
    <row r="455" spans="2:13" x14ac:dyDescent="0.25">
      <c r="B455" s="42"/>
      <c r="C455" s="43" t="str">
        <f t="shared" si="21"/>
        <v/>
      </c>
      <c r="D455" s="44" t="str">
        <f t="shared" si="22"/>
        <v/>
      </c>
      <c r="E455" s="44" t="str">
        <f t="shared" si="23"/>
        <v/>
      </c>
      <c r="F455" s="44"/>
      <c r="G455" s="44"/>
      <c r="H455" s="44"/>
      <c r="I455" s="44"/>
      <c r="J455" s="45"/>
      <c r="K455" s="44"/>
      <c r="L455" s="44"/>
      <c r="M455" s="44"/>
    </row>
    <row r="456" spans="2:13" x14ac:dyDescent="0.25">
      <c r="B456" s="42"/>
      <c r="C456" s="43" t="str">
        <f t="shared" si="21"/>
        <v/>
      </c>
      <c r="D456" s="44" t="str">
        <f t="shared" si="22"/>
        <v/>
      </c>
      <c r="E456" s="44" t="str">
        <f t="shared" si="23"/>
        <v/>
      </c>
      <c r="F456" s="44"/>
      <c r="G456" s="44"/>
      <c r="H456" s="44"/>
      <c r="I456" s="44"/>
      <c r="J456" s="45"/>
      <c r="K456" s="44"/>
      <c r="L456" s="44"/>
      <c r="M456" s="44"/>
    </row>
    <row r="457" spans="2:13" x14ac:dyDescent="0.25">
      <c r="B457" s="42"/>
      <c r="C457" s="43" t="str">
        <f t="shared" si="21"/>
        <v/>
      </c>
      <c r="D457" s="44" t="str">
        <f t="shared" si="22"/>
        <v/>
      </c>
      <c r="E457" s="44" t="str">
        <f t="shared" si="23"/>
        <v/>
      </c>
      <c r="F457" s="44"/>
      <c r="G457" s="44"/>
      <c r="H457" s="44"/>
      <c r="I457" s="44"/>
      <c r="J457" s="45"/>
      <c r="K457" s="44"/>
      <c r="L457" s="44"/>
      <c r="M457" s="44"/>
    </row>
    <row r="458" spans="2:13" x14ac:dyDescent="0.25">
      <c r="B458" s="42"/>
      <c r="C458" s="43" t="str">
        <f t="shared" si="21"/>
        <v/>
      </c>
      <c r="D458" s="44" t="str">
        <f t="shared" si="22"/>
        <v/>
      </c>
      <c r="E458" s="44" t="str">
        <f t="shared" si="23"/>
        <v/>
      </c>
      <c r="F458" s="44"/>
      <c r="G458" s="44"/>
      <c r="H458" s="44"/>
      <c r="I458" s="44"/>
      <c r="J458" s="45"/>
      <c r="K458" s="44"/>
      <c r="L458" s="44"/>
      <c r="M458" s="44"/>
    </row>
    <row r="459" spans="2:13" x14ac:dyDescent="0.25">
      <c r="B459" s="42"/>
      <c r="C459" s="43" t="str">
        <f t="shared" si="21"/>
        <v/>
      </c>
      <c r="D459" s="44" t="str">
        <f t="shared" si="22"/>
        <v/>
      </c>
      <c r="E459" s="44" t="str">
        <f t="shared" si="23"/>
        <v/>
      </c>
      <c r="F459" s="44"/>
      <c r="G459" s="44"/>
      <c r="H459" s="44"/>
      <c r="I459" s="44"/>
      <c r="J459" s="45"/>
      <c r="K459" s="44"/>
      <c r="L459" s="44"/>
      <c r="M459" s="44"/>
    </row>
    <row r="460" spans="2:13" x14ac:dyDescent="0.25">
      <c r="B460" s="42"/>
      <c r="C460" s="43" t="str">
        <f t="shared" si="21"/>
        <v/>
      </c>
      <c r="D460" s="44" t="str">
        <f t="shared" si="22"/>
        <v/>
      </c>
      <c r="E460" s="44" t="str">
        <f t="shared" si="23"/>
        <v/>
      </c>
      <c r="F460" s="44"/>
      <c r="G460" s="44"/>
      <c r="H460" s="44"/>
      <c r="I460" s="44"/>
      <c r="J460" s="45"/>
      <c r="K460" s="44"/>
      <c r="L460" s="44"/>
      <c r="M460" s="44"/>
    </row>
    <row r="461" spans="2:13" x14ac:dyDescent="0.25">
      <c r="B461" s="42"/>
      <c r="C461" s="43" t="str">
        <f t="shared" si="21"/>
        <v/>
      </c>
      <c r="D461" s="44" t="str">
        <f t="shared" si="22"/>
        <v/>
      </c>
      <c r="E461" s="44" t="str">
        <f t="shared" si="23"/>
        <v/>
      </c>
      <c r="F461" s="44"/>
      <c r="G461" s="44"/>
      <c r="H461" s="44"/>
      <c r="I461" s="44"/>
      <c r="J461" s="45"/>
      <c r="K461" s="44"/>
      <c r="L461" s="44"/>
      <c r="M461" s="44"/>
    </row>
    <row r="462" spans="2:13" x14ac:dyDescent="0.25">
      <c r="B462" s="42"/>
      <c r="C462" s="43" t="str">
        <f t="shared" si="21"/>
        <v/>
      </c>
      <c r="D462" s="44" t="str">
        <f t="shared" si="22"/>
        <v/>
      </c>
      <c r="E462" s="44" t="str">
        <f t="shared" si="23"/>
        <v/>
      </c>
      <c r="F462" s="44"/>
      <c r="G462" s="44"/>
      <c r="H462" s="44"/>
      <c r="I462" s="44"/>
      <c r="J462" s="45"/>
      <c r="K462" s="44"/>
      <c r="L462" s="44"/>
      <c r="M462" s="44"/>
    </row>
    <row r="463" spans="2:13" x14ac:dyDescent="0.25">
      <c r="B463" s="42"/>
      <c r="C463" s="43" t="str">
        <f t="shared" si="21"/>
        <v/>
      </c>
      <c r="D463" s="44" t="str">
        <f t="shared" si="22"/>
        <v/>
      </c>
      <c r="E463" s="44" t="str">
        <f t="shared" si="23"/>
        <v/>
      </c>
      <c r="F463" s="44"/>
      <c r="G463" s="44"/>
      <c r="H463" s="44"/>
      <c r="I463" s="44"/>
      <c r="J463" s="45"/>
      <c r="K463" s="44"/>
      <c r="L463" s="44"/>
      <c r="M463" s="44"/>
    </row>
    <row r="464" spans="2:13" x14ac:dyDescent="0.25">
      <c r="B464" s="42"/>
      <c r="C464" s="43" t="str">
        <f t="shared" si="21"/>
        <v/>
      </c>
      <c r="D464" s="44" t="str">
        <f t="shared" si="22"/>
        <v/>
      </c>
      <c r="E464" s="44" t="str">
        <f t="shared" si="23"/>
        <v/>
      </c>
      <c r="F464" s="44"/>
      <c r="G464" s="44"/>
      <c r="H464" s="44"/>
      <c r="I464" s="44"/>
      <c r="J464" s="45"/>
      <c r="K464" s="44"/>
      <c r="L464" s="44"/>
      <c r="M464" s="44"/>
    </row>
    <row r="465" spans="2:13" x14ac:dyDescent="0.25">
      <c r="B465" s="42"/>
      <c r="C465" s="43" t="str">
        <f t="shared" si="21"/>
        <v/>
      </c>
      <c r="D465" s="44" t="str">
        <f t="shared" si="22"/>
        <v/>
      </c>
      <c r="E465" s="44" t="str">
        <f t="shared" si="23"/>
        <v/>
      </c>
      <c r="F465" s="44"/>
      <c r="G465" s="44"/>
      <c r="H465" s="44"/>
      <c r="I465" s="44"/>
      <c r="J465" s="45"/>
      <c r="K465" s="44"/>
      <c r="L465" s="44"/>
      <c r="M465" s="44"/>
    </row>
    <row r="466" spans="2:13" x14ac:dyDescent="0.25">
      <c r="B466" s="42"/>
      <c r="C466" s="43" t="str">
        <f t="shared" si="21"/>
        <v/>
      </c>
      <c r="D466" s="44" t="str">
        <f t="shared" si="22"/>
        <v/>
      </c>
      <c r="E466" s="44" t="str">
        <f t="shared" si="23"/>
        <v/>
      </c>
      <c r="F466" s="44"/>
      <c r="G466" s="44"/>
      <c r="H466" s="44"/>
      <c r="I466" s="44"/>
      <c r="J466" s="45"/>
      <c r="K466" s="44"/>
      <c r="L466" s="44"/>
      <c r="M466" s="44"/>
    </row>
    <row r="467" spans="2:13" x14ac:dyDescent="0.25">
      <c r="B467" s="42"/>
      <c r="C467" s="43" t="str">
        <f t="shared" si="21"/>
        <v/>
      </c>
      <c r="D467" s="44" t="str">
        <f t="shared" si="22"/>
        <v/>
      </c>
      <c r="E467" s="44" t="str">
        <f t="shared" si="23"/>
        <v/>
      </c>
      <c r="F467" s="44"/>
      <c r="G467" s="44"/>
      <c r="H467" s="44"/>
      <c r="I467" s="44"/>
      <c r="J467" s="45"/>
      <c r="K467" s="44"/>
      <c r="L467" s="44"/>
      <c r="M467" s="44"/>
    </row>
    <row r="468" spans="2:13" x14ac:dyDescent="0.25">
      <c r="B468" s="42"/>
      <c r="C468" s="43" t="str">
        <f t="shared" si="21"/>
        <v/>
      </c>
      <c r="D468" s="44" t="str">
        <f t="shared" si="22"/>
        <v/>
      </c>
      <c r="E468" s="44" t="str">
        <f t="shared" si="23"/>
        <v/>
      </c>
      <c r="F468" s="44"/>
      <c r="G468" s="44"/>
      <c r="H468" s="44"/>
      <c r="I468" s="44"/>
      <c r="J468" s="45"/>
      <c r="K468" s="44"/>
      <c r="L468" s="44"/>
      <c r="M468" s="44"/>
    </row>
    <row r="469" spans="2:13" x14ac:dyDescent="0.25">
      <c r="B469" s="42"/>
      <c r="C469" s="43" t="str">
        <f t="shared" si="21"/>
        <v/>
      </c>
      <c r="D469" s="44" t="str">
        <f t="shared" si="22"/>
        <v/>
      </c>
      <c r="E469" s="44" t="str">
        <f t="shared" si="23"/>
        <v/>
      </c>
      <c r="F469" s="44"/>
      <c r="G469" s="44"/>
      <c r="H469" s="44"/>
      <c r="I469" s="44"/>
      <c r="J469" s="45"/>
      <c r="K469" s="44"/>
      <c r="L469" s="44"/>
      <c r="M469" s="44"/>
    </row>
    <row r="470" spans="2:13" x14ac:dyDescent="0.25">
      <c r="B470" s="42"/>
      <c r="C470" s="43" t="str">
        <f t="shared" si="21"/>
        <v/>
      </c>
      <c r="D470" s="44" t="str">
        <f t="shared" si="22"/>
        <v/>
      </c>
      <c r="E470" s="44" t="str">
        <f t="shared" si="23"/>
        <v/>
      </c>
      <c r="F470" s="44"/>
      <c r="G470" s="44"/>
      <c r="H470" s="44"/>
      <c r="I470" s="44"/>
      <c r="J470" s="45"/>
      <c r="K470" s="44"/>
      <c r="L470" s="44"/>
      <c r="M470" s="44"/>
    </row>
    <row r="471" spans="2:13" x14ac:dyDescent="0.25">
      <c r="B471" s="42"/>
      <c r="C471" s="43" t="str">
        <f t="shared" si="21"/>
        <v/>
      </c>
      <c r="D471" s="44" t="str">
        <f t="shared" si="22"/>
        <v/>
      </c>
      <c r="E471" s="44" t="str">
        <f t="shared" si="23"/>
        <v/>
      </c>
      <c r="F471" s="44"/>
      <c r="G471" s="44"/>
      <c r="H471" s="44"/>
      <c r="I471" s="44"/>
      <c r="J471" s="45"/>
      <c r="K471" s="44"/>
      <c r="L471" s="44"/>
      <c r="M471" s="44"/>
    </row>
    <row r="472" spans="2:13" x14ac:dyDescent="0.25">
      <c r="B472" s="42"/>
      <c r="C472" s="43" t="str">
        <f t="shared" si="21"/>
        <v/>
      </c>
      <c r="D472" s="44" t="str">
        <f t="shared" si="22"/>
        <v/>
      </c>
      <c r="E472" s="44" t="str">
        <f t="shared" si="23"/>
        <v/>
      </c>
      <c r="F472" s="44"/>
      <c r="G472" s="44"/>
      <c r="H472" s="44"/>
      <c r="I472" s="44"/>
      <c r="J472" s="45"/>
      <c r="K472" s="44"/>
      <c r="L472" s="44"/>
      <c r="M472" s="44"/>
    </row>
    <row r="473" spans="2:13" x14ac:dyDescent="0.25">
      <c r="B473" s="42"/>
      <c r="C473" s="43" t="str">
        <f t="shared" si="21"/>
        <v/>
      </c>
      <c r="D473" s="44" t="str">
        <f t="shared" si="22"/>
        <v/>
      </c>
      <c r="E473" s="44" t="str">
        <f t="shared" si="23"/>
        <v/>
      </c>
      <c r="F473" s="44"/>
      <c r="G473" s="44"/>
      <c r="H473" s="44"/>
      <c r="I473" s="44"/>
      <c r="J473" s="45"/>
      <c r="K473" s="44"/>
      <c r="L473" s="44"/>
      <c r="M473" s="44"/>
    </row>
    <row r="474" spans="2:13" x14ac:dyDescent="0.25">
      <c r="B474" s="42"/>
      <c r="C474" s="43" t="str">
        <f t="shared" si="21"/>
        <v/>
      </c>
      <c r="D474" s="44" t="str">
        <f t="shared" si="22"/>
        <v/>
      </c>
      <c r="E474" s="44" t="str">
        <f t="shared" si="23"/>
        <v/>
      </c>
      <c r="F474" s="44"/>
      <c r="G474" s="44"/>
      <c r="H474" s="44"/>
      <c r="I474" s="44"/>
      <c r="J474" s="45"/>
      <c r="K474" s="44"/>
      <c r="L474" s="44"/>
      <c r="M474" s="44"/>
    </row>
    <row r="475" spans="2:13" x14ac:dyDescent="0.25">
      <c r="B475" s="42"/>
      <c r="C475" s="43" t="str">
        <f t="shared" si="21"/>
        <v/>
      </c>
      <c r="D475" s="44" t="str">
        <f t="shared" si="22"/>
        <v/>
      </c>
      <c r="E475" s="44" t="str">
        <f t="shared" si="23"/>
        <v/>
      </c>
      <c r="F475" s="44"/>
      <c r="G475" s="44"/>
      <c r="H475" s="44"/>
      <c r="I475" s="44"/>
      <c r="J475" s="45"/>
      <c r="K475" s="44"/>
      <c r="L475" s="44"/>
      <c r="M475" s="44"/>
    </row>
    <row r="476" spans="2:13" x14ac:dyDescent="0.25">
      <c r="B476" s="42"/>
      <c r="C476" s="43" t="str">
        <f t="shared" si="21"/>
        <v/>
      </c>
      <c r="D476" s="44" t="str">
        <f t="shared" si="22"/>
        <v/>
      </c>
      <c r="E476" s="44" t="str">
        <f t="shared" si="23"/>
        <v/>
      </c>
      <c r="F476" s="44"/>
      <c r="G476" s="44"/>
      <c r="H476" s="44"/>
      <c r="I476" s="44"/>
      <c r="J476" s="45"/>
      <c r="K476" s="44"/>
      <c r="L476" s="44"/>
      <c r="M476" s="44"/>
    </row>
    <row r="477" spans="2:13" x14ac:dyDescent="0.25">
      <c r="B477" s="42"/>
      <c r="C477" s="43" t="str">
        <f t="shared" si="21"/>
        <v/>
      </c>
      <c r="D477" s="44" t="str">
        <f t="shared" si="22"/>
        <v/>
      </c>
      <c r="E477" s="44" t="str">
        <f t="shared" si="23"/>
        <v/>
      </c>
      <c r="F477" s="44"/>
      <c r="G477" s="44"/>
      <c r="H477" s="44"/>
      <c r="I477" s="44"/>
      <c r="J477" s="45"/>
      <c r="K477" s="44"/>
      <c r="L477" s="44"/>
      <c r="M477" s="44"/>
    </row>
    <row r="478" spans="2:13" x14ac:dyDescent="0.25">
      <c r="B478" s="42"/>
      <c r="C478" s="43" t="str">
        <f t="shared" si="21"/>
        <v/>
      </c>
      <c r="D478" s="44" t="str">
        <f t="shared" si="22"/>
        <v/>
      </c>
      <c r="E478" s="44" t="str">
        <f t="shared" si="23"/>
        <v/>
      </c>
      <c r="F478" s="44"/>
      <c r="G478" s="44"/>
      <c r="H478" s="44"/>
      <c r="I478" s="44"/>
      <c r="J478" s="45"/>
      <c r="K478" s="44"/>
      <c r="L478" s="44"/>
      <c r="M478" s="44"/>
    </row>
    <row r="479" spans="2:13" x14ac:dyDescent="0.25">
      <c r="B479" s="42"/>
      <c r="C479" s="43" t="str">
        <f t="shared" si="21"/>
        <v/>
      </c>
      <c r="D479" s="44" t="str">
        <f t="shared" si="22"/>
        <v/>
      </c>
      <c r="E479" s="44" t="str">
        <f t="shared" si="23"/>
        <v/>
      </c>
      <c r="F479" s="44"/>
      <c r="G479" s="44"/>
      <c r="H479" s="44"/>
      <c r="I479" s="44"/>
      <c r="J479" s="45"/>
      <c r="K479" s="44"/>
      <c r="L479" s="44"/>
      <c r="M479" s="44"/>
    </row>
    <row r="480" spans="2:13" x14ac:dyDescent="0.25">
      <c r="B480" s="42"/>
      <c r="C480" s="43" t="str">
        <f t="shared" si="21"/>
        <v/>
      </c>
      <c r="D480" s="44" t="str">
        <f t="shared" si="22"/>
        <v/>
      </c>
      <c r="E480" s="44" t="str">
        <f t="shared" si="23"/>
        <v/>
      </c>
      <c r="F480" s="44"/>
      <c r="G480" s="44"/>
      <c r="H480" s="44"/>
      <c r="I480" s="44"/>
      <c r="J480" s="45"/>
      <c r="K480" s="44"/>
      <c r="L480" s="44"/>
      <c r="M480" s="44"/>
    </row>
    <row r="481" spans="2:13" x14ac:dyDescent="0.25">
      <c r="B481" s="42"/>
      <c r="C481" s="43" t="str">
        <f t="shared" si="21"/>
        <v/>
      </c>
      <c r="D481" s="44" t="str">
        <f t="shared" si="22"/>
        <v/>
      </c>
      <c r="E481" s="44" t="str">
        <f t="shared" si="23"/>
        <v/>
      </c>
      <c r="F481" s="44"/>
      <c r="G481" s="44"/>
      <c r="H481" s="44"/>
      <c r="I481" s="44"/>
      <c r="J481" s="45"/>
      <c r="K481" s="44"/>
      <c r="L481" s="44"/>
      <c r="M481" s="44"/>
    </row>
    <row r="482" spans="2:13" x14ac:dyDescent="0.25">
      <c r="B482" s="42"/>
      <c r="C482" s="43" t="str">
        <f t="shared" si="21"/>
        <v/>
      </c>
      <c r="D482" s="44" t="str">
        <f t="shared" si="22"/>
        <v/>
      </c>
      <c r="E482" s="44" t="str">
        <f t="shared" si="23"/>
        <v/>
      </c>
      <c r="F482" s="44"/>
      <c r="G482" s="44"/>
      <c r="H482" s="44"/>
      <c r="I482" s="44"/>
      <c r="J482" s="45"/>
      <c r="K482" s="44"/>
      <c r="L482" s="44"/>
      <c r="M482" s="44"/>
    </row>
    <row r="483" spans="2:13" x14ac:dyDescent="0.25">
      <c r="B483" s="42"/>
      <c r="C483" s="43" t="str">
        <f t="shared" si="21"/>
        <v/>
      </c>
      <c r="D483" s="44" t="str">
        <f t="shared" si="22"/>
        <v/>
      </c>
      <c r="E483" s="44" t="str">
        <f t="shared" si="23"/>
        <v/>
      </c>
      <c r="F483" s="44"/>
      <c r="G483" s="44"/>
      <c r="H483" s="44"/>
      <c r="I483" s="44"/>
      <c r="J483" s="45"/>
      <c r="K483" s="44"/>
      <c r="L483" s="44"/>
      <c r="M483" s="44"/>
    </row>
    <row r="484" spans="2:13" x14ac:dyDescent="0.25">
      <c r="B484" s="42"/>
      <c r="C484" s="43" t="str">
        <f t="shared" si="21"/>
        <v/>
      </c>
      <c r="D484" s="44" t="str">
        <f t="shared" si="22"/>
        <v/>
      </c>
      <c r="E484" s="44" t="str">
        <f t="shared" si="23"/>
        <v/>
      </c>
      <c r="F484" s="44"/>
      <c r="G484" s="44"/>
      <c r="H484" s="44"/>
      <c r="I484" s="44"/>
      <c r="J484" s="45"/>
      <c r="K484" s="44"/>
      <c r="L484" s="44"/>
      <c r="M484" s="44"/>
    </row>
    <row r="485" spans="2:13" x14ac:dyDescent="0.25">
      <c r="B485" s="42"/>
      <c r="C485" s="43" t="str">
        <f t="shared" si="21"/>
        <v/>
      </c>
      <c r="D485" s="44" t="str">
        <f t="shared" si="22"/>
        <v/>
      </c>
      <c r="E485" s="44" t="str">
        <f t="shared" si="23"/>
        <v/>
      </c>
      <c r="F485" s="44"/>
      <c r="G485" s="44"/>
      <c r="H485" s="44"/>
      <c r="I485" s="44"/>
      <c r="J485" s="45"/>
      <c r="K485" s="44"/>
      <c r="L485" s="44"/>
      <c r="M485" s="44"/>
    </row>
    <row r="486" spans="2:13" x14ac:dyDescent="0.25">
      <c r="B486" s="42"/>
      <c r="C486" s="43" t="str">
        <f t="shared" si="21"/>
        <v/>
      </c>
      <c r="D486" s="44" t="str">
        <f t="shared" si="22"/>
        <v/>
      </c>
      <c r="E486" s="44" t="str">
        <f t="shared" si="23"/>
        <v/>
      </c>
      <c r="F486" s="44"/>
      <c r="G486" s="44"/>
      <c r="H486" s="44"/>
      <c r="I486" s="44"/>
      <c r="J486" s="45"/>
      <c r="K486" s="44"/>
      <c r="L486" s="44"/>
      <c r="M486" s="44"/>
    </row>
    <row r="487" spans="2:13" x14ac:dyDescent="0.25">
      <c r="B487" s="42"/>
      <c r="C487" s="43" t="str">
        <f t="shared" si="21"/>
        <v/>
      </c>
      <c r="D487" s="44" t="str">
        <f t="shared" si="22"/>
        <v/>
      </c>
      <c r="E487" s="44" t="str">
        <f t="shared" si="23"/>
        <v/>
      </c>
      <c r="F487" s="44"/>
      <c r="G487" s="44"/>
      <c r="H487" s="44"/>
      <c r="I487" s="44"/>
      <c r="J487" s="45"/>
      <c r="K487" s="44"/>
      <c r="L487" s="44"/>
      <c r="M487" s="44"/>
    </row>
    <row r="488" spans="2:13" x14ac:dyDescent="0.25">
      <c r="B488" s="42"/>
      <c r="C488" s="43" t="str">
        <f t="shared" si="21"/>
        <v/>
      </c>
      <c r="D488" s="44" t="str">
        <f t="shared" si="22"/>
        <v/>
      </c>
      <c r="E488" s="44" t="str">
        <f t="shared" si="23"/>
        <v/>
      </c>
      <c r="F488" s="44"/>
      <c r="G488" s="44"/>
      <c r="H488" s="44"/>
      <c r="I488" s="44"/>
      <c r="J488" s="45"/>
      <c r="K488" s="44"/>
      <c r="L488" s="44"/>
      <c r="M488" s="44"/>
    </row>
    <row r="489" spans="2:13" x14ac:dyDescent="0.25">
      <c r="B489" s="42"/>
      <c r="C489" s="43" t="str">
        <f t="shared" si="21"/>
        <v/>
      </c>
      <c r="D489" s="44" t="str">
        <f t="shared" si="22"/>
        <v/>
      </c>
      <c r="E489" s="44" t="str">
        <f t="shared" si="23"/>
        <v/>
      </c>
      <c r="F489" s="44"/>
      <c r="G489" s="44"/>
      <c r="H489" s="44"/>
      <c r="I489" s="44"/>
      <c r="J489" s="45"/>
      <c r="K489" s="44"/>
      <c r="L489" s="44"/>
      <c r="M489" s="44"/>
    </row>
    <row r="490" spans="2:13" x14ac:dyDescent="0.25">
      <c r="B490" s="42"/>
      <c r="C490" s="43" t="str">
        <f t="shared" si="21"/>
        <v/>
      </c>
      <c r="D490" s="44" t="str">
        <f t="shared" si="22"/>
        <v/>
      </c>
      <c r="E490" s="44" t="str">
        <f t="shared" si="23"/>
        <v/>
      </c>
      <c r="F490" s="44"/>
      <c r="G490" s="44"/>
      <c r="H490" s="44"/>
      <c r="I490" s="44"/>
      <c r="J490" s="45"/>
      <c r="K490" s="44"/>
      <c r="L490" s="44"/>
      <c r="M490" s="44"/>
    </row>
    <row r="491" spans="2:13" x14ac:dyDescent="0.25">
      <c r="B491" s="42"/>
      <c r="C491" s="43" t="str">
        <f t="shared" si="21"/>
        <v/>
      </c>
      <c r="D491" s="44" t="str">
        <f t="shared" si="22"/>
        <v/>
      </c>
      <c r="E491" s="44" t="str">
        <f t="shared" si="23"/>
        <v/>
      </c>
      <c r="F491" s="44"/>
      <c r="G491" s="44"/>
      <c r="H491" s="44"/>
      <c r="I491" s="44"/>
      <c r="J491" s="45"/>
      <c r="K491" s="44"/>
      <c r="L491" s="44"/>
      <c r="M491" s="44"/>
    </row>
    <row r="492" spans="2:13" x14ac:dyDescent="0.25">
      <c r="B492" s="42"/>
      <c r="C492" s="43" t="str">
        <f t="shared" si="21"/>
        <v/>
      </c>
      <c r="D492" s="44" t="str">
        <f t="shared" si="22"/>
        <v/>
      </c>
      <c r="E492" s="44" t="str">
        <f t="shared" si="23"/>
        <v/>
      </c>
      <c r="F492" s="44"/>
      <c r="G492" s="44"/>
      <c r="H492" s="44"/>
      <c r="I492" s="44"/>
      <c r="J492" s="45"/>
      <c r="K492" s="44"/>
      <c r="L492" s="44"/>
      <c r="M492" s="44"/>
    </row>
    <row r="493" spans="2:13" x14ac:dyDescent="0.25">
      <c r="B493" s="42"/>
      <c r="C493" s="43" t="str">
        <f t="shared" si="21"/>
        <v/>
      </c>
      <c r="D493" s="44" t="str">
        <f t="shared" si="22"/>
        <v/>
      </c>
      <c r="E493" s="44" t="str">
        <f t="shared" si="23"/>
        <v/>
      </c>
      <c r="F493" s="44"/>
      <c r="G493" s="44"/>
      <c r="H493" s="44"/>
      <c r="I493" s="44"/>
      <c r="J493" s="45"/>
      <c r="K493" s="44"/>
      <c r="L493" s="44"/>
      <c r="M493" s="44"/>
    </row>
    <row r="494" spans="2:13" x14ac:dyDescent="0.25">
      <c r="B494" s="42"/>
      <c r="C494" s="43" t="str">
        <f t="shared" si="21"/>
        <v/>
      </c>
      <c r="D494" s="44" t="str">
        <f t="shared" si="22"/>
        <v/>
      </c>
      <c r="E494" s="44" t="str">
        <f t="shared" si="23"/>
        <v/>
      </c>
      <c r="F494" s="44"/>
      <c r="G494" s="44"/>
      <c r="H494" s="44"/>
      <c r="I494" s="44"/>
      <c r="J494" s="45"/>
      <c r="K494" s="44"/>
      <c r="L494" s="44"/>
      <c r="M494" s="44"/>
    </row>
    <row r="495" spans="2:13" x14ac:dyDescent="0.25">
      <c r="B495" s="42"/>
      <c r="C495" s="43" t="str">
        <f t="shared" si="21"/>
        <v/>
      </c>
      <c r="D495" s="44" t="str">
        <f t="shared" si="22"/>
        <v/>
      </c>
      <c r="E495" s="44" t="str">
        <f t="shared" si="23"/>
        <v/>
      </c>
      <c r="F495" s="44"/>
      <c r="G495" s="44"/>
      <c r="H495" s="44"/>
      <c r="I495" s="44"/>
      <c r="J495" s="45"/>
      <c r="K495" s="44"/>
      <c r="L495" s="44"/>
      <c r="M495" s="44"/>
    </row>
    <row r="496" spans="2:13" x14ac:dyDescent="0.25">
      <c r="B496" s="42"/>
      <c r="C496" s="43" t="str">
        <f t="shared" si="21"/>
        <v/>
      </c>
      <c r="D496" s="44" t="str">
        <f t="shared" si="22"/>
        <v/>
      </c>
      <c r="E496" s="44" t="str">
        <f t="shared" si="23"/>
        <v/>
      </c>
      <c r="F496" s="44"/>
      <c r="G496" s="44"/>
      <c r="H496" s="44"/>
      <c r="I496" s="44"/>
      <c r="J496" s="45"/>
      <c r="K496" s="44"/>
      <c r="L496" s="44"/>
      <c r="M496" s="44"/>
    </row>
    <row r="497" spans="2:13" x14ac:dyDescent="0.25">
      <c r="B497" s="42"/>
      <c r="C497" s="43" t="str">
        <f t="shared" si="21"/>
        <v/>
      </c>
      <c r="D497" s="44" t="str">
        <f t="shared" si="22"/>
        <v/>
      </c>
      <c r="E497" s="44" t="str">
        <f t="shared" si="23"/>
        <v/>
      </c>
      <c r="F497" s="44"/>
      <c r="G497" s="44"/>
      <c r="H497" s="44"/>
      <c r="I497" s="44"/>
      <c r="J497" s="45"/>
      <c r="K497" s="44"/>
      <c r="L497" s="44"/>
      <c r="M497" s="44"/>
    </row>
    <row r="498" spans="2:13" x14ac:dyDescent="0.25">
      <c r="B498" s="42"/>
      <c r="C498" s="43" t="str">
        <f t="shared" si="21"/>
        <v/>
      </c>
      <c r="D498" s="44" t="str">
        <f t="shared" si="22"/>
        <v/>
      </c>
      <c r="E498" s="44" t="str">
        <f t="shared" si="23"/>
        <v/>
      </c>
      <c r="F498" s="44"/>
      <c r="G498" s="44"/>
      <c r="H498" s="44"/>
      <c r="I498" s="44"/>
      <c r="J498" s="45"/>
      <c r="K498" s="44"/>
      <c r="L498" s="44"/>
      <c r="M498" s="44"/>
    </row>
    <row r="499" spans="2:13" x14ac:dyDescent="0.25">
      <c r="B499" s="42"/>
      <c r="C499" s="43" t="str">
        <f t="shared" si="21"/>
        <v/>
      </c>
      <c r="D499" s="44" t="str">
        <f t="shared" si="22"/>
        <v/>
      </c>
      <c r="E499" s="44" t="str">
        <f t="shared" si="23"/>
        <v/>
      </c>
      <c r="F499" s="44"/>
      <c r="G499" s="44"/>
      <c r="H499" s="44"/>
      <c r="I499" s="44"/>
      <c r="J499" s="45"/>
      <c r="K499" s="44"/>
      <c r="L499" s="44"/>
      <c r="M499" s="44"/>
    </row>
    <row r="500" spans="2:13" x14ac:dyDescent="0.25">
      <c r="B500" s="42"/>
      <c r="C500" s="43" t="str">
        <f t="shared" si="21"/>
        <v/>
      </c>
      <c r="D500" s="44" t="str">
        <f t="shared" si="22"/>
        <v/>
      </c>
      <c r="E500" s="44" t="str">
        <f t="shared" si="23"/>
        <v/>
      </c>
      <c r="F500" s="44"/>
      <c r="G500" s="44"/>
      <c r="H500" s="44"/>
      <c r="I500" s="44"/>
      <c r="J500" s="45"/>
      <c r="K500" s="44"/>
      <c r="L500" s="44"/>
      <c r="M500" s="44"/>
    </row>
    <row r="501" spans="2:13" x14ac:dyDescent="0.25">
      <c r="B501" s="46"/>
      <c r="C501" s="40" t="str">
        <f t="shared" si="21"/>
        <v/>
      </c>
      <c r="D501" s="46" t="str">
        <f t="shared" si="22"/>
        <v/>
      </c>
      <c r="E501" s="46" t="str">
        <f t="shared" si="23"/>
        <v/>
      </c>
      <c r="F501" s="46"/>
      <c r="G501" s="46"/>
      <c r="H501" s="46"/>
      <c r="I501" s="46"/>
      <c r="J501" s="46"/>
      <c r="K501" s="46"/>
      <c r="L501" s="46"/>
      <c r="M501" s="46"/>
    </row>
    <row r="502" spans="2:13" x14ac:dyDescent="0.25">
      <c r="B502" s="46"/>
      <c r="C502" s="40" t="str">
        <f t="shared" si="21"/>
        <v/>
      </c>
      <c r="D502" s="46" t="str">
        <f t="shared" si="22"/>
        <v/>
      </c>
      <c r="E502" s="46" t="str">
        <f t="shared" si="23"/>
        <v/>
      </c>
      <c r="F502" s="46"/>
      <c r="G502" s="46"/>
      <c r="H502" s="46"/>
      <c r="I502" s="46"/>
      <c r="J502" s="46"/>
      <c r="K502" s="46"/>
      <c r="L502" s="46"/>
      <c r="M502" s="46"/>
    </row>
    <row r="503" spans="2:13" x14ac:dyDescent="0.25">
      <c r="B503" s="46"/>
      <c r="C503" s="40" t="str">
        <f t="shared" si="21"/>
        <v/>
      </c>
      <c r="D503" s="46" t="str">
        <f t="shared" si="22"/>
        <v/>
      </c>
      <c r="E503" s="46" t="str">
        <f t="shared" si="23"/>
        <v/>
      </c>
      <c r="F503" s="46"/>
      <c r="G503" s="46"/>
      <c r="H503" s="46"/>
      <c r="I503" s="46"/>
      <c r="J503" s="46"/>
      <c r="K503" s="46"/>
      <c r="L503" s="46"/>
      <c r="M503" s="46"/>
    </row>
    <row r="504" spans="2:13" x14ac:dyDescent="0.25">
      <c r="B504" s="46"/>
      <c r="C504" s="40" t="str">
        <f t="shared" si="21"/>
        <v/>
      </c>
      <c r="D504" s="46" t="str">
        <f t="shared" si="22"/>
        <v/>
      </c>
      <c r="E504" s="46" t="str">
        <f t="shared" si="23"/>
        <v/>
      </c>
      <c r="F504" s="46"/>
      <c r="G504" s="46"/>
      <c r="H504" s="46"/>
      <c r="I504" s="46"/>
      <c r="J504" s="46"/>
      <c r="K504" s="46"/>
      <c r="L504" s="46"/>
      <c r="M504" s="46"/>
    </row>
    <row r="505" spans="2:13" x14ac:dyDescent="0.25">
      <c r="B505" s="46"/>
      <c r="C505" s="40" t="str">
        <f t="shared" si="21"/>
        <v/>
      </c>
      <c r="D505" s="46" t="str">
        <f t="shared" si="22"/>
        <v/>
      </c>
      <c r="E505" s="46" t="str">
        <f t="shared" si="23"/>
        <v/>
      </c>
      <c r="F505" s="46"/>
      <c r="G505" s="46"/>
      <c r="H505" s="46"/>
      <c r="I505" s="46"/>
      <c r="J505" s="46"/>
      <c r="K505" s="46"/>
      <c r="L505" s="46"/>
      <c r="M505" s="46"/>
    </row>
    <row r="506" spans="2:13" x14ac:dyDescent="0.25">
      <c r="B506" s="46"/>
      <c r="C506" s="40" t="str">
        <f t="shared" si="21"/>
        <v/>
      </c>
      <c r="D506" s="46" t="str">
        <f t="shared" si="22"/>
        <v/>
      </c>
      <c r="E506" s="46" t="str">
        <f t="shared" si="23"/>
        <v/>
      </c>
      <c r="F506" s="46"/>
      <c r="G506" s="46"/>
      <c r="H506" s="46"/>
      <c r="I506" s="46"/>
      <c r="J506" s="46"/>
      <c r="K506" s="46"/>
      <c r="L506" s="46"/>
      <c r="M506" s="46"/>
    </row>
    <row r="507" spans="2:13" x14ac:dyDescent="0.25">
      <c r="B507" s="46"/>
      <c r="C507" s="40" t="str">
        <f t="shared" si="21"/>
        <v/>
      </c>
      <c r="D507" s="46" t="str">
        <f t="shared" si="22"/>
        <v/>
      </c>
      <c r="E507" s="46" t="str">
        <f t="shared" si="23"/>
        <v/>
      </c>
      <c r="F507" s="46"/>
      <c r="G507" s="46"/>
      <c r="H507" s="46"/>
      <c r="I507" s="46"/>
      <c r="J507" s="46"/>
      <c r="K507" s="46"/>
      <c r="L507" s="46"/>
      <c r="M507" s="46"/>
    </row>
    <row r="508" spans="2:13" x14ac:dyDescent="0.25">
      <c r="B508" s="46"/>
      <c r="C508" s="40" t="str">
        <f t="shared" si="21"/>
        <v/>
      </c>
      <c r="D508" s="46" t="str">
        <f t="shared" si="22"/>
        <v/>
      </c>
      <c r="E508" s="46" t="str">
        <f t="shared" si="23"/>
        <v/>
      </c>
      <c r="F508" s="46"/>
      <c r="G508" s="46"/>
      <c r="H508" s="46"/>
      <c r="I508" s="46"/>
      <c r="J508" s="46"/>
      <c r="K508" s="46"/>
      <c r="L508" s="46"/>
      <c r="M508" s="46"/>
    </row>
    <row r="509" spans="2:13" x14ac:dyDescent="0.25">
      <c r="B509" s="46"/>
      <c r="C509" s="40" t="str">
        <f t="shared" si="21"/>
        <v/>
      </c>
      <c r="D509" s="46" t="str">
        <f t="shared" si="22"/>
        <v/>
      </c>
      <c r="E509" s="46" t="str">
        <f t="shared" si="23"/>
        <v/>
      </c>
      <c r="F509" s="46"/>
      <c r="G509" s="46"/>
      <c r="H509" s="46"/>
      <c r="I509" s="46"/>
      <c r="J509" s="46"/>
      <c r="K509" s="46"/>
      <c r="L509" s="46"/>
      <c r="M509" s="46"/>
    </row>
    <row r="510" spans="2:13" x14ac:dyDescent="0.25">
      <c r="B510" s="46"/>
      <c r="C510" s="40" t="str">
        <f t="shared" si="21"/>
        <v/>
      </c>
      <c r="D510" s="46" t="str">
        <f t="shared" si="22"/>
        <v/>
      </c>
      <c r="E510" s="46" t="str">
        <f t="shared" si="23"/>
        <v/>
      </c>
      <c r="F510" s="46"/>
      <c r="G510" s="46"/>
      <c r="H510" s="46"/>
      <c r="I510" s="46"/>
      <c r="J510" s="46"/>
      <c r="K510" s="46"/>
      <c r="L510" s="46"/>
      <c r="M510" s="46"/>
    </row>
    <row r="511" spans="2:13" x14ac:dyDescent="0.25">
      <c r="B511" s="46"/>
      <c r="C511" s="40" t="str">
        <f t="shared" si="21"/>
        <v/>
      </c>
      <c r="D511" s="46" t="str">
        <f t="shared" si="22"/>
        <v/>
      </c>
      <c r="E511" s="46" t="str">
        <f t="shared" si="23"/>
        <v/>
      </c>
      <c r="F511" s="46"/>
      <c r="G511" s="46"/>
      <c r="H511" s="46"/>
      <c r="I511" s="46"/>
      <c r="J511" s="46"/>
      <c r="K511" s="46"/>
      <c r="L511" s="46"/>
      <c r="M511" s="46"/>
    </row>
    <row r="512" spans="2:13" x14ac:dyDescent="0.25">
      <c r="B512" s="46"/>
      <c r="C512" s="40" t="str">
        <f t="shared" si="21"/>
        <v/>
      </c>
      <c r="D512" s="46" t="str">
        <f t="shared" si="22"/>
        <v/>
      </c>
      <c r="E512" s="46" t="str">
        <f t="shared" si="23"/>
        <v/>
      </c>
      <c r="F512" s="46"/>
      <c r="G512" s="46"/>
      <c r="H512" s="46"/>
      <c r="I512" s="46"/>
      <c r="J512" s="46"/>
      <c r="K512" s="46"/>
      <c r="L512" s="46"/>
      <c r="M512" s="46"/>
    </row>
    <row r="513" spans="2:13" x14ac:dyDescent="0.25">
      <c r="B513" s="46"/>
      <c r="C513" s="40" t="str">
        <f t="shared" si="21"/>
        <v/>
      </c>
      <c r="D513" s="46" t="str">
        <f t="shared" si="22"/>
        <v/>
      </c>
      <c r="E513" s="46" t="str">
        <f t="shared" si="23"/>
        <v/>
      </c>
      <c r="F513" s="46"/>
      <c r="G513" s="46"/>
      <c r="H513" s="46"/>
      <c r="I513" s="46"/>
      <c r="J513" s="46"/>
      <c r="K513" s="46"/>
      <c r="L513" s="46"/>
      <c r="M513" s="46"/>
    </row>
    <row r="514" spans="2:13" x14ac:dyDescent="0.25">
      <c r="B514" s="46"/>
      <c r="C514" s="40" t="str">
        <f t="shared" ref="C514:C577" si="24">IF(B514="","",MONTH(B514))</f>
        <v/>
      </c>
      <c r="D514" s="46" t="str">
        <f t="shared" ref="D514:D577" si="25">IF(B514="","",CHOOSE(C514,"Enero","Febrero","Marzo","Abril","Mayo","Junio","Julio","Agosto","Septiembre","Octubre","Noviembre","Diciembre"))</f>
        <v/>
      </c>
      <c r="E514" s="46" t="str">
        <f t="shared" ref="E514:E577" si="26">IF(B514="","",YEAR(B514))</f>
        <v/>
      </c>
      <c r="F514" s="46"/>
      <c r="G514" s="46"/>
      <c r="H514" s="46"/>
      <c r="I514" s="46"/>
      <c r="J514" s="46"/>
      <c r="K514" s="46"/>
      <c r="L514" s="46"/>
      <c r="M514" s="46"/>
    </row>
    <row r="515" spans="2:13" x14ac:dyDescent="0.25">
      <c r="B515" s="46"/>
      <c r="C515" s="40" t="str">
        <f t="shared" si="24"/>
        <v/>
      </c>
      <c r="D515" s="46" t="str">
        <f t="shared" si="25"/>
        <v/>
      </c>
      <c r="E515" s="46" t="str">
        <f t="shared" si="26"/>
        <v/>
      </c>
      <c r="F515" s="46"/>
      <c r="G515" s="46"/>
      <c r="H515" s="46"/>
      <c r="I515" s="46"/>
      <c r="J515" s="46"/>
      <c r="K515" s="46"/>
      <c r="L515" s="46"/>
      <c r="M515" s="46"/>
    </row>
    <row r="516" spans="2:13" x14ac:dyDescent="0.25">
      <c r="B516" s="46"/>
      <c r="C516" s="40" t="str">
        <f t="shared" si="24"/>
        <v/>
      </c>
      <c r="D516" s="46" t="str">
        <f t="shared" si="25"/>
        <v/>
      </c>
      <c r="E516" s="46" t="str">
        <f t="shared" si="26"/>
        <v/>
      </c>
      <c r="F516" s="46"/>
      <c r="G516" s="46"/>
      <c r="H516" s="46"/>
      <c r="I516" s="46"/>
      <c r="J516" s="46"/>
      <c r="K516" s="46"/>
      <c r="L516" s="46"/>
      <c r="M516" s="46"/>
    </row>
    <row r="517" spans="2:13" x14ac:dyDescent="0.25">
      <c r="B517" s="46"/>
      <c r="C517" s="40" t="str">
        <f t="shared" si="24"/>
        <v/>
      </c>
      <c r="D517" s="46" t="str">
        <f t="shared" si="25"/>
        <v/>
      </c>
      <c r="E517" s="46" t="str">
        <f t="shared" si="26"/>
        <v/>
      </c>
      <c r="F517" s="46"/>
      <c r="G517" s="46"/>
      <c r="H517" s="46"/>
      <c r="I517" s="46"/>
      <c r="J517" s="46"/>
      <c r="K517" s="46"/>
      <c r="L517" s="46"/>
      <c r="M517" s="46"/>
    </row>
    <row r="518" spans="2:13" x14ac:dyDescent="0.25">
      <c r="B518" s="46"/>
      <c r="C518" s="40" t="str">
        <f t="shared" si="24"/>
        <v/>
      </c>
      <c r="D518" s="46" t="str">
        <f t="shared" si="25"/>
        <v/>
      </c>
      <c r="E518" s="46" t="str">
        <f t="shared" si="26"/>
        <v/>
      </c>
      <c r="F518" s="46"/>
      <c r="G518" s="46"/>
      <c r="H518" s="46"/>
      <c r="I518" s="46"/>
      <c r="J518" s="46"/>
      <c r="K518" s="46"/>
      <c r="L518" s="46"/>
      <c r="M518" s="46"/>
    </row>
    <row r="519" spans="2:13" x14ac:dyDescent="0.25">
      <c r="B519" s="46"/>
      <c r="C519" s="40" t="str">
        <f t="shared" si="24"/>
        <v/>
      </c>
      <c r="D519" s="46" t="str">
        <f t="shared" si="25"/>
        <v/>
      </c>
      <c r="E519" s="46" t="str">
        <f t="shared" si="26"/>
        <v/>
      </c>
      <c r="F519" s="46"/>
      <c r="G519" s="46"/>
      <c r="H519" s="46"/>
      <c r="I519" s="46"/>
      <c r="J519" s="46"/>
      <c r="K519" s="46"/>
      <c r="L519" s="46"/>
      <c r="M519" s="46"/>
    </row>
    <row r="520" spans="2:13" x14ac:dyDescent="0.25">
      <c r="B520" s="46"/>
      <c r="C520" s="40" t="str">
        <f t="shared" si="24"/>
        <v/>
      </c>
      <c r="D520" s="46" t="str">
        <f t="shared" si="25"/>
        <v/>
      </c>
      <c r="E520" s="46" t="str">
        <f t="shared" si="26"/>
        <v/>
      </c>
      <c r="F520" s="46"/>
      <c r="G520" s="46"/>
      <c r="H520" s="46"/>
      <c r="I520" s="46"/>
      <c r="J520" s="46"/>
      <c r="K520" s="46"/>
      <c r="L520" s="46"/>
      <c r="M520" s="46"/>
    </row>
    <row r="521" spans="2:13" x14ac:dyDescent="0.25">
      <c r="B521" s="46"/>
      <c r="C521" s="40" t="str">
        <f t="shared" si="24"/>
        <v/>
      </c>
      <c r="D521" s="46" t="str">
        <f t="shared" si="25"/>
        <v/>
      </c>
      <c r="E521" s="46" t="str">
        <f t="shared" si="26"/>
        <v/>
      </c>
      <c r="F521" s="46"/>
      <c r="G521" s="46"/>
      <c r="H521" s="46"/>
      <c r="I521" s="46"/>
      <c r="J521" s="46"/>
      <c r="K521" s="46"/>
      <c r="L521" s="46"/>
      <c r="M521" s="46"/>
    </row>
    <row r="522" spans="2:13" x14ac:dyDescent="0.25">
      <c r="B522" s="46"/>
      <c r="C522" s="40" t="str">
        <f t="shared" si="24"/>
        <v/>
      </c>
      <c r="D522" s="46" t="str">
        <f t="shared" si="25"/>
        <v/>
      </c>
      <c r="E522" s="46" t="str">
        <f t="shared" si="26"/>
        <v/>
      </c>
      <c r="F522" s="46"/>
      <c r="G522" s="46"/>
      <c r="H522" s="46"/>
      <c r="I522" s="46"/>
      <c r="J522" s="46"/>
      <c r="K522" s="46"/>
      <c r="L522" s="46"/>
      <c r="M522" s="46"/>
    </row>
    <row r="523" spans="2:13" x14ac:dyDescent="0.25">
      <c r="B523" s="46"/>
      <c r="C523" s="40" t="str">
        <f t="shared" si="24"/>
        <v/>
      </c>
      <c r="D523" s="46" t="str">
        <f t="shared" si="25"/>
        <v/>
      </c>
      <c r="E523" s="46" t="str">
        <f t="shared" si="26"/>
        <v/>
      </c>
      <c r="F523" s="46"/>
      <c r="G523" s="46"/>
      <c r="H523" s="46"/>
      <c r="I523" s="46"/>
      <c r="J523" s="46"/>
      <c r="K523" s="46"/>
      <c r="L523" s="46"/>
      <c r="M523" s="46"/>
    </row>
    <row r="524" spans="2:13" x14ac:dyDescent="0.25">
      <c r="B524" s="46"/>
      <c r="C524" s="40" t="str">
        <f t="shared" si="24"/>
        <v/>
      </c>
      <c r="D524" s="46" t="str">
        <f t="shared" si="25"/>
        <v/>
      </c>
      <c r="E524" s="46" t="str">
        <f t="shared" si="26"/>
        <v/>
      </c>
      <c r="F524" s="46"/>
      <c r="G524" s="46"/>
      <c r="H524" s="46"/>
      <c r="I524" s="46"/>
      <c r="J524" s="46"/>
      <c r="K524" s="46"/>
      <c r="L524" s="46"/>
      <c r="M524" s="46"/>
    </row>
    <row r="525" spans="2:13" x14ac:dyDescent="0.25">
      <c r="B525" s="46"/>
      <c r="C525" s="40" t="str">
        <f t="shared" si="24"/>
        <v/>
      </c>
      <c r="D525" s="46" t="str">
        <f t="shared" si="25"/>
        <v/>
      </c>
      <c r="E525" s="46" t="str">
        <f t="shared" si="26"/>
        <v/>
      </c>
      <c r="F525" s="46"/>
      <c r="G525" s="46"/>
      <c r="H525" s="46"/>
      <c r="I525" s="46"/>
      <c r="J525" s="46"/>
      <c r="K525" s="46"/>
      <c r="L525" s="46"/>
      <c r="M525" s="46"/>
    </row>
    <row r="526" spans="2:13" x14ac:dyDescent="0.25">
      <c r="B526" s="46"/>
      <c r="C526" s="40" t="str">
        <f t="shared" si="24"/>
        <v/>
      </c>
      <c r="D526" s="46" t="str">
        <f t="shared" si="25"/>
        <v/>
      </c>
      <c r="E526" s="46" t="str">
        <f t="shared" si="26"/>
        <v/>
      </c>
      <c r="F526" s="46"/>
      <c r="G526" s="46"/>
      <c r="H526" s="46"/>
      <c r="I526" s="46"/>
      <c r="J526" s="46"/>
      <c r="K526" s="46"/>
      <c r="L526" s="46"/>
      <c r="M526" s="46"/>
    </row>
    <row r="527" spans="2:13" x14ac:dyDescent="0.25">
      <c r="B527" s="46"/>
      <c r="C527" s="40" t="str">
        <f t="shared" si="24"/>
        <v/>
      </c>
      <c r="D527" s="46" t="str">
        <f t="shared" si="25"/>
        <v/>
      </c>
      <c r="E527" s="46" t="str">
        <f t="shared" si="26"/>
        <v/>
      </c>
      <c r="F527" s="46"/>
      <c r="G527" s="46"/>
      <c r="H527" s="46"/>
      <c r="I527" s="46"/>
      <c r="J527" s="46"/>
      <c r="K527" s="46"/>
      <c r="L527" s="46"/>
      <c r="M527" s="46"/>
    </row>
    <row r="528" spans="2:13" x14ac:dyDescent="0.25">
      <c r="B528" s="46"/>
      <c r="C528" s="40" t="str">
        <f t="shared" si="24"/>
        <v/>
      </c>
      <c r="D528" s="46" t="str">
        <f t="shared" si="25"/>
        <v/>
      </c>
      <c r="E528" s="46" t="str">
        <f t="shared" si="26"/>
        <v/>
      </c>
      <c r="F528" s="46"/>
      <c r="G528" s="46"/>
      <c r="H528" s="46"/>
      <c r="I528" s="46"/>
      <c r="J528" s="46"/>
      <c r="K528" s="46"/>
      <c r="L528" s="46"/>
      <c r="M528" s="46"/>
    </row>
    <row r="529" spans="2:13" x14ac:dyDescent="0.25">
      <c r="B529" s="46"/>
      <c r="C529" s="40" t="str">
        <f t="shared" si="24"/>
        <v/>
      </c>
      <c r="D529" s="46" t="str">
        <f t="shared" si="25"/>
        <v/>
      </c>
      <c r="E529" s="46" t="str">
        <f t="shared" si="26"/>
        <v/>
      </c>
      <c r="F529" s="46"/>
      <c r="G529" s="46"/>
      <c r="H529" s="46"/>
      <c r="I529" s="46"/>
      <c r="J529" s="46"/>
      <c r="K529" s="46"/>
      <c r="L529" s="46"/>
      <c r="M529" s="46"/>
    </row>
    <row r="530" spans="2:13" x14ac:dyDescent="0.25">
      <c r="B530" s="46"/>
      <c r="C530" s="40" t="str">
        <f t="shared" si="24"/>
        <v/>
      </c>
      <c r="D530" s="46" t="str">
        <f t="shared" si="25"/>
        <v/>
      </c>
      <c r="E530" s="46" t="str">
        <f t="shared" si="26"/>
        <v/>
      </c>
      <c r="F530" s="46"/>
      <c r="G530" s="46"/>
      <c r="H530" s="46"/>
      <c r="I530" s="46"/>
      <c r="J530" s="46"/>
      <c r="K530" s="46"/>
      <c r="L530" s="46"/>
      <c r="M530" s="46"/>
    </row>
    <row r="531" spans="2:13" x14ac:dyDescent="0.25">
      <c r="B531" s="46"/>
      <c r="C531" s="40" t="str">
        <f t="shared" si="24"/>
        <v/>
      </c>
      <c r="D531" s="46" t="str">
        <f t="shared" si="25"/>
        <v/>
      </c>
      <c r="E531" s="46" t="str">
        <f t="shared" si="26"/>
        <v/>
      </c>
      <c r="F531" s="46"/>
      <c r="G531" s="46"/>
      <c r="H531" s="46"/>
      <c r="I531" s="46"/>
      <c r="J531" s="46"/>
      <c r="K531" s="46"/>
      <c r="L531" s="46"/>
      <c r="M531" s="46"/>
    </row>
    <row r="532" spans="2:13" x14ac:dyDescent="0.25">
      <c r="B532" s="46"/>
      <c r="C532" s="40" t="str">
        <f t="shared" si="24"/>
        <v/>
      </c>
      <c r="D532" s="46" t="str">
        <f t="shared" si="25"/>
        <v/>
      </c>
      <c r="E532" s="46" t="str">
        <f t="shared" si="26"/>
        <v/>
      </c>
      <c r="F532" s="46"/>
      <c r="G532" s="46"/>
      <c r="H532" s="46"/>
      <c r="I532" s="46"/>
      <c r="J532" s="46"/>
      <c r="K532" s="46"/>
      <c r="L532" s="46"/>
      <c r="M532" s="46"/>
    </row>
    <row r="533" spans="2:13" x14ac:dyDescent="0.25">
      <c r="B533" s="46"/>
      <c r="C533" s="40" t="str">
        <f t="shared" si="24"/>
        <v/>
      </c>
      <c r="D533" s="46" t="str">
        <f t="shared" si="25"/>
        <v/>
      </c>
      <c r="E533" s="46" t="str">
        <f t="shared" si="26"/>
        <v/>
      </c>
      <c r="F533" s="46"/>
      <c r="G533" s="46"/>
      <c r="H533" s="46"/>
      <c r="I533" s="46"/>
      <c r="J533" s="46"/>
      <c r="K533" s="46"/>
      <c r="L533" s="46"/>
      <c r="M533" s="46"/>
    </row>
    <row r="534" spans="2:13" ht="30" customHeight="1" x14ac:dyDescent="0.25">
      <c r="B534" s="46"/>
      <c r="C534" s="40" t="str">
        <f t="shared" si="24"/>
        <v/>
      </c>
      <c r="D534" s="46" t="str">
        <f t="shared" si="25"/>
        <v/>
      </c>
      <c r="E534" s="46" t="str">
        <f t="shared" si="26"/>
        <v/>
      </c>
      <c r="F534" s="46"/>
      <c r="G534" s="46"/>
      <c r="H534" s="46"/>
      <c r="I534" s="46"/>
      <c r="J534" s="46"/>
      <c r="K534" s="46"/>
      <c r="L534" s="46"/>
      <c r="M534" s="46"/>
    </row>
    <row r="535" spans="2:13" x14ac:dyDescent="0.25">
      <c r="B535" s="46"/>
      <c r="C535" s="40" t="str">
        <f t="shared" si="24"/>
        <v/>
      </c>
      <c r="D535" s="46" t="str">
        <f t="shared" si="25"/>
        <v/>
      </c>
      <c r="E535" s="46" t="str">
        <f t="shared" si="26"/>
        <v/>
      </c>
      <c r="F535" s="46"/>
      <c r="G535" s="46"/>
      <c r="H535" s="46"/>
      <c r="I535" s="46"/>
      <c r="J535" s="46"/>
      <c r="K535" s="46"/>
      <c r="L535" s="46"/>
      <c r="M535" s="46"/>
    </row>
    <row r="536" spans="2:13" x14ac:dyDescent="0.25">
      <c r="B536" s="46"/>
      <c r="C536" s="40" t="str">
        <f t="shared" si="24"/>
        <v/>
      </c>
      <c r="D536" s="46" t="str">
        <f t="shared" si="25"/>
        <v/>
      </c>
      <c r="E536" s="46" t="str">
        <f t="shared" si="26"/>
        <v/>
      </c>
      <c r="F536" s="46"/>
      <c r="G536" s="46"/>
      <c r="H536" s="46"/>
      <c r="I536" s="46"/>
      <c r="J536" s="46"/>
      <c r="K536" s="46"/>
      <c r="L536" s="46"/>
      <c r="M536" s="46"/>
    </row>
    <row r="537" spans="2:13" x14ac:dyDescent="0.25">
      <c r="B537" s="46"/>
      <c r="C537" s="40" t="str">
        <f t="shared" si="24"/>
        <v/>
      </c>
      <c r="D537" s="46" t="str">
        <f t="shared" si="25"/>
        <v/>
      </c>
      <c r="E537" s="46" t="str">
        <f t="shared" si="26"/>
        <v/>
      </c>
      <c r="F537" s="46"/>
      <c r="G537" s="46"/>
      <c r="H537" s="46"/>
      <c r="I537" s="46"/>
      <c r="J537" s="46"/>
      <c r="K537" s="46"/>
      <c r="L537" s="46"/>
      <c r="M537" s="46"/>
    </row>
    <row r="538" spans="2:13" x14ac:dyDescent="0.25">
      <c r="B538" s="46"/>
      <c r="C538" s="40" t="str">
        <f t="shared" si="24"/>
        <v/>
      </c>
      <c r="D538" s="46" t="str">
        <f t="shared" si="25"/>
        <v/>
      </c>
      <c r="E538" s="46" t="str">
        <f t="shared" si="26"/>
        <v/>
      </c>
      <c r="F538" s="46"/>
      <c r="G538" s="46"/>
      <c r="H538" s="46"/>
      <c r="I538" s="46"/>
      <c r="J538" s="46"/>
      <c r="K538" s="46"/>
      <c r="L538" s="46"/>
      <c r="M538" s="46"/>
    </row>
    <row r="539" spans="2:13" x14ac:dyDescent="0.25">
      <c r="B539" s="46"/>
      <c r="C539" s="40" t="str">
        <f t="shared" si="24"/>
        <v/>
      </c>
      <c r="D539" s="46" t="str">
        <f t="shared" si="25"/>
        <v/>
      </c>
      <c r="E539" s="46" t="str">
        <f t="shared" si="26"/>
        <v/>
      </c>
      <c r="F539" s="46"/>
      <c r="G539" s="46"/>
      <c r="H539" s="46"/>
      <c r="I539" s="46"/>
      <c r="J539" s="46"/>
      <c r="K539" s="46"/>
      <c r="L539" s="46"/>
      <c r="M539" s="46"/>
    </row>
    <row r="540" spans="2:13" x14ac:dyDescent="0.25">
      <c r="B540" s="46"/>
      <c r="C540" s="40" t="str">
        <f t="shared" si="24"/>
        <v/>
      </c>
      <c r="D540" s="46" t="str">
        <f t="shared" si="25"/>
        <v/>
      </c>
      <c r="E540" s="46" t="str">
        <f t="shared" si="26"/>
        <v/>
      </c>
      <c r="F540" s="46"/>
      <c r="G540" s="46"/>
      <c r="H540" s="46"/>
      <c r="I540" s="46"/>
      <c r="J540" s="46"/>
      <c r="K540" s="46"/>
      <c r="L540" s="46"/>
      <c r="M540" s="46"/>
    </row>
    <row r="541" spans="2:13" x14ac:dyDescent="0.25">
      <c r="B541" s="46"/>
      <c r="C541" s="40" t="str">
        <f t="shared" si="24"/>
        <v/>
      </c>
      <c r="D541" s="46" t="str">
        <f t="shared" si="25"/>
        <v/>
      </c>
      <c r="E541" s="46" t="str">
        <f t="shared" si="26"/>
        <v/>
      </c>
      <c r="F541" s="46"/>
      <c r="G541" s="46"/>
      <c r="H541" s="46"/>
      <c r="I541" s="46"/>
      <c r="J541" s="46"/>
      <c r="K541" s="46"/>
      <c r="L541" s="46"/>
      <c r="M541" s="46"/>
    </row>
    <row r="542" spans="2:13" x14ac:dyDescent="0.25">
      <c r="B542" s="46"/>
      <c r="C542" s="40" t="str">
        <f t="shared" si="24"/>
        <v/>
      </c>
      <c r="D542" s="46" t="str">
        <f t="shared" si="25"/>
        <v/>
      </c>
      <c r="E542" s="46" t="str">
        <f t="shared" si="26"/>
        <v/>
      </c>
      <c r="F542" s="46"/>
      <c r="G542" s="46"/>
      <c r="H542" s="46"/>
      <c r="I542" s="46"/>
      <c r="J542" s="46"/>
      <c r="K542" s="46"/>
      <c r="L542" s="46"/>
      <c r="M542" s="46"/>
    </row>
    <row r="543" spans="2:13" x14ac:dyDescent="0.25">
      <c r="B543" s="46"/>
      <c r="C543" s="40" t="str">
        <f t="shared" si="24"/>
        <v/>
      </c>
      <c r="D543" s="46" t="str">
        <f t="shared" si="25"/>
        <v/>
      </c>
      <c r="E543" s="46" t="str">
        <f t="shared" si="26"/>
        <v/>
      </c>
      <c r="F543" s="46"/>
      <c r="G543" s="46"/>
      <c r="H543" s="46"/>
      <c r="I543" s="46"/>
      <c r="J543" s="46"/>
      <c r="K543" s="46"/>
      <c r="L543" s="46"/>
      <c r="M543" s="46"/>
    </row>
    <row r="544" spans="2:13" x14ac:dyDescent="0.25">
      <c r="B544" s="46"/>
      <c r="C544" s="40" t="str">
        <f t="shared" si="24"/>
        <v/>
      </c>
      <c r="D544" s="46" t="str">
        <f t="shared" si="25"/>
        <v/>
      </c>
      <c r="E544" s="46" t="str">
        <f t="shared" si="26"/>
        <v/>
      </c>
      <c r="F544" s="46"/>
      <c r="G544" s="46"/>
      <c r="H544" s="46"/>
      <c r="I544" s="46"/>
      <c r="J544" s="46"/>
      <c r="K544" s="46"/>
      <c r="L544" s="46"/>
      <c r="M544" s="46"/>
    </row>
    <row r="545" spans="2:13" x14ac:dyDescent="0.25">
      <c r="B545" s="46"/>
      <c r="C545" s="40" t="str">
        <f t="shared" si="24"/>
        <v/>
      </c>
      <c r="D545" s="46" t="str">
        <f t="shared" si="25"/>
        <v/>
      </c>
      <c r="E545" s="46" t="str">
        <f t="shared" si="26"/>
        <v/>
      </c>
      <c r="F545" s="46"/>
      <c r="G545" s="46"/>
      <c r="H545" s="46"/>
      <c r="I545" s="46"/>
      <c r="J545" s="46"/>
      <c r="K545" s="46"/>
      <c r="L545" s="46"/>
      <c r="M545" s="46"/>
    </row>
    <row r="546" spans="2:13" x14ac:dyDescent="0.25">
      <c r="B546" s="46"/>
      <c r="C546" s="40" t="str">
        <f t="shared" si="24"/>
        <v/>
      </c>
      <c r="D546" s="46" t="str">
        <f t="shared" si="25"/>
        <v/>
      </c>
      <c r="E546" s="46" t="str">
        <f t="shared" si="26"/>
        <v/>
      </c>
      <c r="F546" s="46"/>
      <c r="G546" s="46"/>
      <c r="H546" s="46"/>
      <c r="I546" s="46"/>
      <c r="J546" s="46"/>
      <c r="K546" s="46"/>
      <c r="L546" s="46"/>
      <c r="M546" s="46"/>
    </row>
    <row r="547" spans="2:13" x14ac:dyDescent="0.25">
      <c r="B547" s="46"/>
      <c r="C547" s="40" t="str">
        <f t="shared" si="24"/>
        <v/>
      </c>
      <c r="D547" s="46" t="str">
        <f t="shared" si="25"/>
        <v/>
      </c>
      <c r="E547" s="46" t="str">
        <f t="shared" si="26"/>
        <v/>
      </c>
      <c r="F547" s="46"/>
      <c r="G547" s="46"/>
      <c r="H547" s="46"/>
      <c r="I547" s="46"/>
      <c r="J547" s="46"/>
      <c r="K547" s="46"/>
      <c r="L547" s="46"/>
      <c r="M547" s="46"/>
    </row>
    <row r="548" spans="2:13" x14ac:dyDescent="0.25">
      <c r="B548" s="46"/>
      <c r="C548" s="40" t="str">
        <f t="shared" si="24"/>
        <v/>
      </c>
      <c r="D548" s="46" t="str">
        <f t="shared" si="25"/>
        <v/>
      </c>
      <c r="E548" s="46" t="str">
        <f t="shared" si="26"/>
        <v/>
      </c>
      <c r="F548" s="46"/>
      <c r="G548" s="46"/>
      <c r="H548" s="46"/>
      <c r="I548" s="46"/>
      <c r="J548" s="46"/>
      <c r="K548" s="46"/>
      <c r="L548" s="46"/>
      <c r="M548" s="46"/>
    </row>
    <row r="549" spans="2:13" x14ac:dyDescent="0.25">
      <c r="B549" s="46"/>
      <c r="C549" s="40" t="str">
        <f t="shared" si="24"/>
        <v/>
      </c>
      <c r="D549" s="46" t="str">
        <f t="shared" si="25"/>
        <v/>
      </c>
      <c r="E549" s="46" t="str">
        <f t="shared" si="26"/>
        <v/>
      </c>
      <c r="F549" s="46"/>
      <c r="G549" s="46"/>
      <c r="H549" s="46"/>
      <c r="I549" s="46"/>
      <c r="J549" s="46"/>
      <c r="K549" s="46"/>
      <c r="L549" s="46"/>
      <c r="M549" s="46"/>
    </row>
    <row r="550" spans="2:13" x14ac:dyDescent="0.25">
      <c r="B550" s="46"/>
      <c r="C550" s="40" t="str">
        <f t="shared" si="24"/>
        <v/>
      </c>
      <c r="D550" s="46" t="str">
        <f t="shared" si="25"/>
        <v/>
      </c>
      <c r="E550" s="46" t="str">
        <f t="shared" si="26"/>
        <v/>
      </c>
      <c r="F550" s="46"/>
      <c r="G550" s="46"/>
      <c r="H550" s="46"/>
      <c r="I550" s="46"/>
      <c r="J550" s="46"/>
      <c r="K550" s="46"/>
      <c r="L550" s="46"/>
      <c r="M550" s="46"/>
    </row>
    <row r="551" spans="2:13" x14ac:dyDescent="0.25">
      <c r="B551" s="46"/>
      <c r="C551" s="40" t="str">
        <f t="shared" si="24"/>
        <v/>
      </c>
      <c r="D551" s="46" t="str">
        <f t="shared" si="25"/>
        <v/>
      </c>
      <c r="E551" s="46" t="str">
        <f t="shared" si="26"/>
        <v/>
      </c>
      <c r="F551" s="46"/>
      <c r="G551" s="46"/>
      <c r="H551" s="46"/>
      <c r="I551" s="46"/>
      <c r="J551" s="46"/>
      <c r="K551" s="46"/>
      <c r="L551" s="46"/>
      <c r="M551" s="46"/>
    </row>
    <row r="552" spans="2:13" x14ac:dyDescent="0.25">
      <c r="B552" s="46"/>
      <c r="C552" s="40" t="str">
        <f t="shared" si="24"/>
        <v/>
      </c>
      <c r="D552" s="46" t="str">
        <f t="shared" si="25"/>
        <v/>
      </c>
      <c r="E552" s="46" t="str">
        <f t="shared" si="26"/>
        <v/>
      </c>
      <c r="F552" s="46"/>
      <c r="G552" s="46"/>
      <c r="H552" s="46"/>
      <c r="I552" s="46"/>
      <c r="J552" s="46"/>
      <c r="K552" s="46"/>
      <c r="L552" s="46"/>
      <c r="M552" s="46"/>
    </row>
    <row r="553" spans="2:13" x14ac:dyDescent="0.25">
      <c r="B553" s="46"/>
      <c r="C553" s="40" t="str">
        <f t="shared" si="24"/>
        <v/>
      </c>
      <c r="D553" s="46" t="str">
        <f t="shared" si="25"/>
        <v/>
      </c>
      <c r="E553" s="46" t="str">
        <f t="shared" si="26"/>
        <v/>
      </c>
      <c r="F553" s="46"/>
      <c r="G553" s="46"/>
      <c r="H553" s="46"/>
      <c r="I553" s="46"/>
      <c r="J553" s="46"/>
      <c r="K553" s="46"/>
      <c r="L553" s="46"/>
      <c r="M553" s="46"/>
    </row>
    <row r="554" spans="2:13" x14ac:dyDescent="0.25">
      <c r="B554" s="46"/>
      <c r="C554" s="40" t="str">
        <f t="shared" si="24"/>
        <v/>
      </c>
      <c r="D554" s="46" t="str">
        <f t="shared" si="25"/>
        <v/>
      </c>
      <c r="E554" s="46" t="str">
        <f t="shared" si="26"/>
        <v/>
      </c>
      <c r="F554" s="46"/>
      <c r="G554" s="46"/>
      <c r="H554" s="46"/>
      <c r="I554" s="46"/>
      <c r="J554" s="46"/>
      <c r="K554" s="46"/>
      <c r="L554" s="46"/>
      <c r="M554" s="46"/>
    </row>
    <row r="555" spans="2:13" x14ac:dyDescent="0.25">
      <c r="B555" s="46"/>
      <c r="C555" s="40" t="str">
        <f t="shared" si="24"/>
        <v/>
      </c>
      <c r="D555" s="46" t="str">
        <f t="shared" si="25"/>
        <v/>
      </c>
      <c r="E555" s="46" t="str">
        <f t="shared" si="26"/>
        <v/>
      </c>
      <c r="F555" s="46"/>
      <c r="G555" s="46"/>
      <c r="H555" s="46"/>
      <c r="I555" s="46"/>
      <c r="J555" s="46"/>
      <c r="K555" s="46"/>
      <c r="L555" s="46"/>
      <c r="M555" s="46"/>
    </row>
    <row r="556" spans="2:13" x14ac:dyDescent="0.25">
      <c r="B556" s="46"/>
      <c r="C556" s="40" t="str">
        <f t="shared" si="24"/>
        <v/>
      </c>
      <c r="D556" s="46" t="str">
        <f t="shared" si="25"/>
        <v/>
      </c>
      <c r="E556" s="46" t="str">
        <f t="shared" si="26"/>
        <v/>
      </c>
      <c r="F556" s="46"/>
      <c r="G556" s="46"/>
      <c r="H556" s="46"/>
      <c r="I556" s="46"/>
      <c r="J556" s="46"/>
      <c r="K556" s="46"/>
      <c r="L556" s="46"/>
      <c r="M556" s="46"/>
    </row>
    <row r="557" spans="2:13" x14ac:dyDescent="0.25">
      <c r="B557" s="46"/>
      <c r="C557" s="40" t="str">
        <f t="shared" si="24"/>
        <v/>
      </c>
      <c r="D557" s="46" t="str">
        <f t="shared" si="25"/>
        <v/>
      </c>
      <c r="E557" s="46" t="str">
        <f t="shared" si="26"/>
        <v/>
      </c>
      <c r="F557" s="46"/>
      <c r="G557" s="46"/>
      <c r="H557" s="46"/>
      <c r="I557" s="46"/>
      <c r="J557" s="46"/>
      <c r="K557" s="46"/>
      <c r="L557" s="46"/>
      <c r="M557" s="46"/>
    </row>
    <row r="558" spans="2:13" x14ac:dyDescent="0.25">
      <c r="B558" s="46"/>
      <c r="C558" s="40" t="str">
        <f t="shared" si="24"/>
        <v/>
      </c>
      <c r="D558" s="46" t="str">
        <f t="shared" si="25"/>
        <v/>
      </c>
      <c r="E558" s="46" t="str">
        <f t="shared" si="26"/>
        <v/>
      </c>
      <c r="F558" s="46"/>
      <c r="G558" s="46"/>
      <c r="H558" s="46"/>
      <c r="I558" s="46"/>
      <c r="J558" s="46"/>
      <c r="K558" s="46"/>
      <c r="L558" s="46"/>
      <c r="M558" s="46"/>
    </row>
    <row r="559" spans="2:13" x14ac:dyDescent="0.25">
      <c r="B559" s="46"/>
      <c r="C559" s="40" t="str">
        <f t="shared" si="24"/>
        <v/>
      </c>
      <c r="D559" s="46" t="str">
        <f t="shared" si="25"/>
        <v/>
      </c>
      <c r="E559" s="46" t="str">
        <f t="shared" si="26"/>
        <v/>
      </c>
      <c r="F559" s="46"/>
      <c r="G559" s="46"/>
      <c r="H559" s="46"/>
      <c r="I559" s="46"/>
      <c r="J559" s="46"/>
      <c r="K559" s="46"/>
      <c r="L559" s="46"/>
      <c r="M559" s="46"/>
    </row>
    <row r="560" spans="2:13" x14ac:dyDescent="0.25">
      <c r="B560" s="46"/>
      <c r="C560" s="40" t="str">
        <f t="shared" si="24"/>
        <v/>
      </c>
      <c r="D560" s="46" t="str">
        <f t="shared" si="25"/>
        <v/>
      </c>
      <c r="E560" s="46" t="str">
        <f t="shared" si="26"/>
        <v/>
      </c>
      <c r="F560" s="46"/>
      <c r="G560" s="46"/>
      <c r="H560" s="46"/>
      <c r="I560" s="46"/>
      <c r="J560" s="46"/>
      <c r="K560" s="46"/>
      <c r="L560" s="46"/>
      <c r="M560" s="46"/>
    </row>
    <row r="561" spans="2:13" x14ac:dyDescent="0.25">
      <c r="B561" s="46"/>
      <c r="C561" s="40" t="str">
        <f t="shared" si="24"/>
        <v/>
      </c>
      <c r="D561" s="46" t="str">
        <f t="shared" si="25"/>
        <v/>
      </c>
      <c r="E561" s="46" t="str">
        <f t="shared" si="26"/>
        <v/>
      </c>
      <c r="F561" s="46"/>
      <c r="G561" s="46"/>
      <c r="H561" s="46"/>
      <c r="I561" s="46"/>
      <c r="J561" s="46"/>
      <c r="K561" s="46"/>
      <c r="L561" s="46"/>
      <c r="M561" s="46"/>
    </row>
    <row r="562" spans="2:13" x14ac:dyDescent="0.25">
      <c r="B562" s="46"/>
      <c r="C562" s="40" t="str">
        <f t="shared" si="24"/>
        <v/>
      </c>
      <c r="D562" s="46" t="str">
        <f t="shared" si="25"/>
        <v/>
      </c>
      <c r="E562" s="46" t="str">
        <f t="shared" si="26"/>
        <v/>
      </c>
      <c r="F562" s="46"/>
      <c r="G562" s="46"/>
      <c r="H562" s="46"/>
      <c r="I562" s="46"/>
      <c r="J562" s="46"/>
      <c r="K562" s="46"/>
      <c r="L562" s="46"/>
      <c r="M562" s="46"/>
    </row>
    <row r="563" spans="2:13" x14ac:dyDescent="0.25">
      <c r="B563" s="46"/>
      <c r="C563" s="40" t="str">
        <f t="shared" si="24"/>
        <v/>
      </c>
      <c r="D563" s="46" t="str">
        <f t="shared" si="25"/>
        <v/>
      </c>
      <c r="E563" s="46" t="str">
        <f t="shared" si="26"/>
        <v/>
      </c>
      <c r="F563" s="46"/>
      <c r="G563" s="46"/>
      <c r="H563" s="46"/>
      <c r="I563" s="46"/>
      <c r="J563" s="46"/>
      <c r="K563" s="46"/>
      <c r="L563" s="46"/>
      <c r="M563" s="46"/>
    </row>
    <row r="564" spans="2:13" x14ac:dyDescent="0.25">
      <c r="B564" s="46"/>
      <c r="C564" s="40" t="str">
        <f t="shared" si="24"/>
        <v/>
      </c>
      <c r="D564" s="46" t="str">
        <f t="shared" si="25"/>
        <v/>
      </c>
      <c r="E564" s="46" t="str">
        <f t="shared" si="26"/>
        <v/>
      </c>
      <c r="F564" s="46"/>
      <c r="G564" s="46"/>
      <c r="H564" s="46"/>
      <c r="I564" s="46"/>
      <c r="J564" s="46"/>
      <c r="K564" s="46"/>
      <c r="L564" s="46"/>
      <c r="M564" s="46"/>
    </row>
    <row r="565" spans="2:13" x14ac:dyDescent="0.25">
      <c r="B565" s="46"/>
      <c r="C565" s="40" t="str">
        <f t="shared" si="24"/>
        <v/>
      </c>
      <c r="D565" s="46" t="str">
        <f t="shared" si="25"/>
        <v/>
      </c>
      <c r="E565" s="46" t="str">
        <f t="shared" si="26"/>
        <v/>
      </c>
      <c r="F565" s="46"/>
      <c r="G565" s="46"/>
      <c r="H565" s="46"/>
      <c r="I565" s="46"/>
      <c r="J565" s="46"/>
      <c r="K565" s="46"/>
      <c r="L565" s="46"/>
      <c r="M565" s="46"/>
    </row>
    <row r="566" spans="2:13" x14ac:dyDescent="0.25">
      <c r="B566" s="46"/>
      <c r="C566" s="40" t="str">
        <f t="shared" si="24"/>
        <v/>
      </c>
      <c r="D566" s="46" t="str">
        <f t="shared" si="25"/>
        <v/>
      </c>
      <c r="E566" s="46" t="str">
        <f t="shared" si="26"/>
        <v/>
      </c>
      <c r="F566" s="46"/>
      <c r="G566" s="46"/>
      <c r="H566" s="46"/>
      <c r="I566" s="46"/>
      <c r="J566" s="46"/>
      <c r="K566" s="46"/>
      <c r="L566" s="46"/>
      <c r="M566" s="46"/>
    </row>
    <row r="567" spans="2:13" x14ac:dyDescent="0.25">
      <c r="B567" s="46"/>
      <c r="C567" s="40" t="str">
        <f t="shared" si="24"/>
        <v/>
      </c>
      <c r="D567" s="46" t="str">
        <f t="shared" si="25"/>
        <v/>
      </c>
      <c r="E567" s="46" t="str">
        <f t="shared" si="26"/>
        <v/>
      </c>
      <c r="F567" s="46"/>
      <c r="G567" s="46"/>
      <c r="H567" s="46"/>
      <c r="I567" s="46"/>
      <c r="J567" s="46"/>
      <c r="K567" s="46"/>
      <c r="L567" s="46"/>
      <c r="M567" s="46"/>
    </row>
    <row r="568" spans="2:13" x14ac:dyDescent="0.25">
      <c r="B568" s="46"/>
      <c r="C568" s="40" t="str">
        <f t="shared" si="24"/>
        <v/>
      </c>
      <c r="D568" s="46" t="str">
        <f t="shared" si="25"/>
        <v/>
      </c>
      <c r="E568" s="46" t="str">
        <f t="shared" si="26"/>
        <v/>
      </c>
      <c r="F568" s="46"/>
      <c r="G568" s="46"/>
      <c r="H568" s="46"/>
      <c r="I568" s="46"/>
      <c r="J568" s="46"/>
      <c r="K568" s="46"/>
      <c r="L568" s="46"/>
      <c r="M568" s="46"/>
    </row>
    <row r="569" spans="2:13" x14ac:dyDescent="0.25">
      <c r="B569" s="46"/>
      <c r="C569" s="40" t="str">
        <f t="shared" si="24"/>
        <v/>
      </c>
      <c r="D569" s="46" t="str">
        <f t="shared" si="25"/>
        <v/>
      </c>
      <c r="E569" s="46" t="str">
        <f t="shared" si="26"/>
        <v/>
      </c>
      <c r="F569" s="46"/>
      <c r="G569" s="46"/>
      <c r="H569" s="46"/>
      <c r="I569" s="46"/>
      <c r="J569" s="46"/>
      <c r="K569" s="46"/>
      <c r="L569" s="46"/>
      <c r="M569" s="46"/>
    </row>
    <row r="570" spans="2:13" x14ac:dyDescent="0.25">
      <c r="B570" s="46"/>
      <c r="C570" s="40" t="str">
        <f t="shared" si="24"/>
        <v/>
      </c>
      <c r="D570" s="46" t="str">
        <f t="shared" si="25"/>
        <v/>
      </c>
      <c r="E570" s="46" t="str">
        <f t="shared" si="26"/>
        <v/>
      </c>
      <c r="F570" s="46"/>
      <c r="G570" s="46"/>
      <c r="H570" s="46"/>
      <c r="I570" s="46"/>
      <c r="J570" s="46"/>
      <c r="K570" s="46"/>
      <c r="L570" s="46"/>
      <c r="M570" s="46"/>
    </row>
    <row r="571" spans="2:13" x14ac:dyDescent="0.25">
      <c r="B571" s="46"/>
      <c r="C571" s="40" t="str">
        <f t="shared" si="24"/>
        <v/>
      </c>
      <c r="D571" s="46" t="str">
        <f t="shared" si="25"/>
        <v/>
      </c>
      <c r="E571" s="46" t="str">
        <f t="shared" si="26"/>
        <v/>
      </c>
      <c r="F571" s="46"/>
      <c r="G571" s="46"/>
      <c r="H571" s="46"/>
      <c r="I571" s="46"/>
      <c r="J571" s="46"/>
      <c r="K571" s="46"/>
      <c r="L571" s="46"/>
      <c r="M571" s="46"/>
    </row>
    <row r="572" spans="2:13" x14ac:dyDescent="0.25">
      <c r="B572" s="46"/>
      <c r="C572" s="40" t="str">
        <f t="shared" si="24"/>
        <v/>
      </c>
      <c r="D572" s="46" t="str">
        <f t="shared" si="25"/>
        <v/>
      </c>
      <c r="E572" s="46" t="str">
        <f t="shared" si="26"/>
        <v/>
      </c>
      <c r="F572" s="46"/>
      <c r="G572" s="46"/>
      <c r="H572" s="46"/>
      <c r="I572" s="46"/>
      <c r="J572" s="46"/>
      <c r="K572" s="46"/>
      <c r="L572" s="46"/>
      <c r="M572" s="46"/>
    </row>
    <row r="573" spans="2:13" x14ac:dyDescent="0.25">
      <c r="B573" s="46"/>
      <c r="C573" s="40" t="str">
        <f t="shared" si="24"/>
        <v/>
      </c>
      <c r="D573" s="46" t="str">
        <f t="shared" si="25"/>
        <v/>
      </c>
      <c r="E573" s="46" t="str">
        <f t="shared" si="26"/>
        <v/>
      </c>
      <c r="F573" s="46"/>
      <c r="G573" s="46"/>
      <c r="H573" s="46"/>
      <c r="I573" s="46"/>
      <c r="J573" s="46"/>
      <c r="K573" s="46"/>
      <c r="L573" s="46"/>
      <c r="M573" s="46"/>
    </row>
    <row r="574" spans="2:13" x14ac:dyDescent="0.25">
      <c r="B574" s="46"/>
      <c r="C574" s="40" t="str">
        <f t="shared" si="24"/>
        <v/>
      </c>
      <c r="D574" s="46" t="str">
        <f t="shared" si="25"/>
        <v/>
      </c>
      <c r="E574" s="46" t="str">
        <f t="shared" si="26"/>
        <v/>
      </c>
      <c r="F574" s="46"/>
      <c r="G574" s="46"/>
      <c r="H574" s="46"/>
      <c r="I574" s="46"/>
      <c r="J574" s="46"/>
      <c r="K574" s="46"/>
      <c r="L574" s="46"/>
      <c r="M574" s="46"/>
    </row>
    <row r="575" spans="2:13" x14ac:dyDescent="0.25">
      <c r="B575" s="46"/>
      <c r="C575" s="40" t="str">
        <f t="shared" si="24"/>
        <v/>
      </c>
      <c r="D575" s="46" t="str">
        <f t="shared" si="25"/>
        <v/>
      </c>
      <c r="E575" s="46" t="str">
        <f t="shared" si="26"/>
        <v/>
      </c>
      <c r="F575" s="46"/>
      <c r="G575" s="46"/>
      <c r="H575" s="46"/>
      <c r="I575" s="46"/>
      <c r="J575" s="46"/>
      <c r="K575" s="46"/>
      <c r="L575" s="46"/>
      <c r="M575" s="46"/>
    </row>
    <row r="576" spans="2:13" x14ac:dyDescent="0.25">
      <c r="B576" s="46"/>
      <c r="C576" s="40" t="str">
        <f t="shared" si="24"/>
        <v/>
      </c>
      <c r="D576" s="46" t="str">
        <f t="shared" si="25"/>
        <v/>
      </c>
      <c r="E576" s="46" t="str">
        <f t="shared" si="26"/>
        <v/>
      </c>
      <c r="F576" s="46"/>
      <c r="G576" s="46"/>
      <c r="H576" s="46"/>
      <c r="I576" s="46"/>
      <c r="J576" s="46"/>
      <c r="K576" s="46"/>
      <c r="L576" s="46"/>
      <c r="M576" s="46"/>
    </row>
    <row r="577" spans="2:13" x14ac:dyDescent="0.25">
      <c r="B577" s="46"/>
      <c r="C577" s="40" t="str">
        <f t="shared" si="24"/>
        <v/>
      </c>
      <c r="D577" s="46" t="str">
        <f t="shared" si="25"/>
        <v/>
      </c>
      <c r="E577" s="46" t="str">
        <f t="shared" si="26"/>
        <v/>
      </c>
      <c r="F577" s="46"/>
      <c r="G577" s="46"/>
      <c r="H577" s="46"/>
      <c r="I577" s="46"/>
      <c r="J577" s="46"/>
      <c r="K577" s="46"/>
      <c r="L577" s="46"/>
      <c r="M577" s="46"/>
    </row>
    <row r="578" spans="2:13" x14ac:dyDescent="0.25">
      <c r="B578" s="46"/>
      <c r="C578" s="40" t="str">
        <f t="shared" ref="C578:C641" si="27">IF(B578="","",MONTH(B578))</f>
        <v/>
      </c>
      <c r="D578" s="46" t="str">
        <f t="shared" ref="D578:D641" si="28">IF(B578="","",CHOOSE(C578,"Enero","Febrero","Marzo","Abril","Mayo","Junio","Julio","Agosto","Septiembre","Octubre","Noviembre","Diciembre"))</f>
        <v/>
      </c>
      <c r="E578" s="46" t="str">
        <f t="shared" ref="E578:E641" si="29">IF(B578="","",YEAR(B578))</f>
        <v/>
      </c>
      <c r="F578" s="46"/>
      <c r="G578" s="46"/>
      <c r="H578" s="46"/>
      <c r="I578" s="46"/>
      <c r="J578" s="46"/>
      <c r="K578" s="46"/>
      <c r="L578" s="46"/>
      <c r="M578" s="46"/>
    </row>
    <row r="579" spans="2:13" x14ac:dyDescent="0.25">
      <c r="B579" s="46"/>
      <c r="C579" s="40" t="str">
        <f t="shared" si="27"/>
        <v/>
      </c>
      <c r="D579" s="46" t="str">
        <f t="shared" si="28"/>
        <v/>
      </c>
      <c r="E579" s="46" t="str">
        <f t="shared" si="29"/>
        <v/>
      </c>
      <c r="F579" s="46"/>
      <c r="G579" s="46"/>
      <c r="H579" s="46"/>
      <c r="I579" s="46"/>
      <c r="J579" s="46"/>
      <c r="K579" s="46"/>
      <c r="L579" s="46"/>
      <c r="M579" s="46"/>
    </row>
    <row r="580" spans="2:13" x14ac:dyDescent="0.25">
      <c r="B580" s="46"/>
      <c r="C580" s="40" t="str">
        <f t="shared" si="27"/>
        <v/>
      </c>
      <c r="D580" s="46" t="str">
        <f t="shared" si="28"/>
        <v/>
      </c>
      <c r="E580" s="46" t="str">
        <f t="shared" si="29"/>
        <v/>
      </c>
      <c r="F580" s="46"/>
      <c r="G580" s="46"/>
      <c r="H580" s="46"/>
      <c r="I580" s="46"/>
      <c r="J580" s="46"/>
      <c r="K580" s="46"/>
      <c r="L580" s="46"/>
      <c r="M580" s="46"/>
    </row>
    <row r="581" spans="2:13" x14ac:dyDescent="0.25">
      <c r="B581" s="46"/>
      <c r="C581" s="40" t="str">
        <f t="shared" si="27"/>
        <v/>
      </c>
      <c r="D581" s="46" t="str">
        <f t="shared" si="28"/>
        <v/>
      </c>
      <c r="E581" s="46" t="str">
        <f t="shared" si="29"/>
        <v/>
      </c>
      <c r="F581" s="46"/>
      <c r="G581" s="46"/>
      <c r="H581" s="46"/>
      <c r="I581" s="46"/>
      <c r="J581" s="46"/>
      <c r="K581" s="46"/>
      <c r="L581" s="46"/>
      <c r="M581" s="46"/>
    </row>
    <row r="582" spans="2:13" x14ac:dyDescent="0.25">
      <c r="B582" s="46"/>
      <c r="C582" s="40" t="str">
        <f t="shared" si="27"/>
        <v/>
      </c>
      <c r="D582" s="46" t="str">
        <f t="shared" si="28"/>
        <v/>
      </c>
      <c r="E582" s="46" t="str">
        <f t="shared" si="29"/>
        <v/>
      </c>
      <c r="F582" s="46"/>
      <c r="G582" s="46"/>
      <c r="H582" s="46"/>
      <c r="I582" s="46"/>
      <c r="J582" s="46"/>
      <c r="K582" s="46"/>
      <c r="L582" s="46"/>
      <c r="M582" s="46"/>
    </row>
    <row r="583" spans="2:13" x14ac:dyDescent="0.25">
      <c r="B583" s="46"/>
      <c r="C583" s="40" t="str">
        <f t="shared" si="27"/>
        <v/>
      </c>
      <c r="D583" s="46" t="str">
        <f t="shared" si="28"/>
        <v/>
      </c>
      <c r="E583" s="46" t="str">
        <f t="shared" si="29"/>
        <v/>
      </c>
      <c r="F583" s="46"/>
      <c r="G583" s="46"/>
      <c r="H583" s="46"/>
      <c r="I583" s="46"/>
      <c r="J583" s="46"/>
      <c r="K583" s="46"/>
      <c r="L583" s="46"/>
      <c r="M583" s="46"/>
    </row>
    <row r="584" spans="2:13" x14ac:dyDescent="0.25">
      <c r="B584" s="46"/>
      <c r="C584" s="40" t="str">
        <f t="shared" si="27"/>
        <v/>
      </c>
      <c r="D584" s="46" t="str">
        <f t="shared" si="28"/>
        <v/>
      </c>
      <c r="E584" s="46" t="str">
        <f t="shared" si="29"/>
        <v/>
      </c>
      <c r="F584" s="46"/>
      <c r="G584" s="46"/>
      <c r="H584" s="46"/>
      <c r="I584" s="46"/>
      <c r="J584" s="46"/>
      <c r="K584" s="46"/>
      <c r="L584" s="46"/>
      <c r="M584" s="46"/>
    </row>
    <row r="585" spans="2:13" x14ac:dyDescent="0.25">
      <c r="B585" s="46"/>
      <c r="C585" s="40" t="str">
        <f t="shared" si="27"/>
        <v/>
      </c>
      <c r="D585" s="46" t="str">
        <f t="shared" si="28"/>
        <v/>
      </c>
      <c r="E585" s="46" t="str">
        <f t="shared" si="29"/>
        <v/>
      </c>
      <c r="F585" s="46"/>
      <c r="G585" s="46"/>
      <c r="H585" s="46"/>
      <c r="I585" s="46"/>
      <c r="J585" s="46"/>
      <c r="K585" s="46"/>
      <c r="L585" s="46"/>
      <c r="M585" s="46"/>
    </row>
    <row r="586" spans="2:13" x14ac:dyDescent="0.25">
      <c r="B586" s="46"/>
      <c r="C586" s="40" t="str">
        <f t="shared" si="27"/>
        <v/>
      </c>
      <c r="D586" s="46" t="str">
        <f t="shared" si="28"/>
        <v/>
      </c>
      <c r="E586" s="46" t="str">
        <f t="shared" si="29"/>
        <v/>
      </c>
      <c r="F586" s="46"/>
      <c r="G586" s="46"/>
      <c r="H586" s="46"/>
      <c r="I586" s="46"/>
      <c r="J586" s="46"/>
      <c r="K586" s="46"/>
      <c r="L586" s="46"/>
      <c r="M586" s="46"/>
    </row>
    <row r="587" spans="2:13" x14ac:dyDescent="0.25">
      <c r="B587" s="46"/>
      <c r="C587" s="40" t="str">
        <f t="shared" si="27"/>
        <v/>
      </c>
      <c r="D587" s="46" t="str">
        <f t="shared" si="28"/>
        <v/>
      </c>
      <c r="E587" s="46" t="str">
        <f t="shared" si="29"/>
        <v/>
      </c>
      <c r="F587" s="46"/>
      <c r="G587" s="46"/>
      <c r="H587" s="46"/>
      <c r="I587" s="46"/>
      <c r="J587" s="46"/>
      <c r="K587" s="46"/>
      <c r="L587" s="46"/>
      <c r="M587" s="46"/>
    </row>
    <row r="588" spans="2:13" x14ac:dyDescent="0.25">
      <c r="B588" s="46"/>
      <c r="C588" s="40" t="str">
        <f t="shared" si="27"/>
        <v/>
      </c>
      <c r="D588" s="46" t="str">
        <f t="shared" si="28"/>
        <v/>
      </c>
      <c r="E588" s="46" t="str">
        <f t="shared" si="29"/>
        <v/>
      </c>
      <c r="F588" s="46"/>
      <c r="G588" s="46"/>
      <c r="H588" s="46"/>
      <c r="I588" s="46"/>
      <c r="J588" s="46"/>
      <c r="K588" s="46"/>
      <c r="L588" s="46"/>
      <c r="M588" s="46"/>
    </row>
    <row r="589" spans="2:13" x14ac:dyDescent="0.25">
      <c r="B589" s="46"/>
      <c r="C589" s="40" t="str">
        <f t="shared" si="27"/>
        <v/>
      </c>
      <c r="D589" s="46" t="str">
        <f t="shared" si="28"/>
        <v/>
      </c>
      <c r="E589" s="46" t="str">
        <f t="shared" si="29"/>
        <v/>
      </c>
      <c r="F589" s="46"/>
      <c r="G589" s="46"/>
      <c r="H589" s="46"/>
      <c r="I589" s="46"/>
      <c r="J589" s="46"/>
      <c r="K589" s="46"/>
      <c r="L589" s="46"/>
      <c r="M589" s="46"/>
    </row>
    <row r="590" spans="2:13" x14ac:dyDescent="0.25">
      <c r="B590" s="46"/>
      <c r="C590" s="40" t="str">
        <f t="shared" si="27"/>
        <v/>
      </c>
      <c r="D590" s="46" t="str">
        <f t="shared" si="28"/>
        <v/>
      </c>
      <c r="E590" s="46" t="str">
        <f t="shared" si="29"/>
        <v/>
      </c>
      <c r="F590" s="46"/>
      <c r="G590" s="46"/>
      <c r="H590" s="46"/>
      <c r="I590" s="46"/>
      <c r="J590" s="46"/>
      <c r="K590" s="46"/>
      <c r="L590" s="46"/>
      <c r="M590" s="46"/>
    </row>
    <row r="591" spans="2:13" x14ac:dyDescent="0.25">
      <c r="B591" s="46"/>
      <c r="C591" s="40" t="str">
        <f t="shared" si="27"/>
        <v/>
      </c>
      <c r="D591" s="46" t="str">
        <f t="shared" si="28"/>
        <v/>
      </c>
      <c r="E591" s="46" t="str">
        <f t="shared" si="29"/>
        <v/>
      </c>
      <c r="F591" s="46"/>
      <c r="G591" s="46"/>
      <c r="H591" s="46"/>
      <c r="I591" s="46"/>
      <c r="J591" s="46"/>
      <c r="K591" s="46"/>
      <c r="L591" s="46"/>
      <c r="M591" s="46"/>
    </row>
    <row r="592" spans="2:13" x14ac:dyDescent="0.25">
      <c r="B592" s="46"/>
      <c r="C592" s="40" t="str">
        <f t="shared" si="27"/>
        <v/>
      </c>
      <c r="D592" s="46" t="str">
        <f t="shared" si="28"/>
        <v/>
      </c>
      <c r="E592" s="46" t="str">
        <f t="shared" si="29"/>
        <v/>
      </c>
      <c r="F592" s="46"/>
      <c r="G592" s="46"/>
      <c r="H592" s="46"/>
      <c r="I592" s="46"/>
      <c r="J592" s="46"/>
      <c r="K592" s="46"/>
      <c r="L592" s="46"/>
      <c r="M592" s="46"/>
    </row>
    <row r="593" spans="2:13" x14ac:dyDescent="0.25">
      <c r="B593" s="46"/>
      <c r="C593" s="40" t="str">
        <f t="shared" si="27"/>
        <v/>
      </c>
      <c r="D593" s="46" t="str">
        <f t="shared" si="28"/>
        <v/>
      </c>
      <c r="E593" s="46" t="str">
        <f t="shared" si="29"/>
        <v/>
      </c>
      <c r="F593" s="46"/>
      <c r="G593" s="46"/>
      <c r="H593" s="46"/>
      <c r="I593" s="46"/>
      <c r="J593" s="46"/>
      <c r="K593" s="46"/>
      <c r="L593" s="46"/>
      <c r="M593" s="46"/>
    </row>
    <row r="594" spans="2:13" x14ac:dyDescent="0.25">
      <c r="B594" s="46"/>
      <c r="C594" s="40" t="str">
        <f t="shared" si="27"/>
        <v/>
      </c>
      <c r="D594" s="46" t="str">
        <f t="shared" si="28"/>
        <v/>
      </c>
      <c r="E594" s="46" t="str">
        <f t="shared" si="29"/>
        <v/>
      </c>
      <c r="F594" s="46"/>
      <c r="G594" s="46"/>
      <c r="H594" s="46"/>
      <c r="I594" s="46"/>
      <c r="J594" s="46"/>
      <c r="K594" s="46"/>
      <c r="L594" s="46"/>
      <c r="M594" s="46"/>
    </row>
    <row r="595" spans="2:13" x14ac:dyDescent="0.25">
      <c r="B595" s="46"/>
      <c r="C595" s="40" t="str">
        <f t="shared" si="27"/>
        <v/>
      </c>
      <c r="D595" s="46" t="str">
        <f t="shared" si="28"/>
        <v/>
      </c>
      <c r="E595" s="46" t="str">
        <f t="shared" si="29"/>
        <v/>
      </c>
      <c r="F595" s="46"/>
      <c r="G595" s="46"/>
      <c r="H595" s="46"/>
      <c r="I595" s="46"/>
      <c r="J595" s="46"/>
      <c r="K595" s="46"/>
      <c r="L595" s="46"/>
      <c r="M595" s="46"/>
    </row>
    <row r="596" spans="2:13" x14ac:dyDescent="0.25">
      <c r="B596" s="46"/>
      <c r="C596" s="40" t="str">
        <f t="shared" si="27"/>
        <v/>
      </c>
      <c r="D596" s="46" t="str">
        <f t="shared" si="28"/>
        <v/>
      </c>
      <c r="E596" s="46" t="str">
        <f t="shared" si="29"/>
        <v/>
      </c>
      <c r="F596" s="46"/>
      <c r="G596" s="46"/>
      <c r="H596" s="46"/>
      <c r="I596" s="46"/>
      <c r="J596" s="46"/>
      <c r="K596" s="46"/>
      <c r="L596" s="46"/>
      <c r="M596" s="46"/>
    </row>
    <row r="597" spans="2:13" x14ac:dyDescent="0.25">
      <c r="B597" s="46"/>
      <c r="C597" s="40" t="str">
        <f t="shared" si="27"/>
        <v/>
      </c>
      <c r="D597" s="46" t="str">
        <f t="shared" si="28"/>
        <v/>
      </c>
      <c r="E597" s="46" t="str">
        <f t="shared" si="29"/>
        <v/>
      </c>
      <c r="F597" s="46"/>
      <c r="G597" s="46"/>
      <c r="H597" s="46"/>
      <c r="I597" s="46"/>
      <c r="J597" s="46"/>
      <c r="K597" s="46"/>
      <c r="L597" s="46"/>
      <c r="M597" s="46"/>
    </row>
    <row r="598" spans="2:13" x14ac:dyDescent="0.25">
      <c r="B598" s="46"/>
      <c r="C598" s="40" t="str">
        <f t="shared" si="27"/>
        <v/>
      </c>
      <c r="D598" s="46" t="str">
        <f t="shared" si="28"/>
        <v/>
      </c>
      <c r="E598" s="46" t="str">
        <f t="shared" si="29"/>
        <v/>
      </c>
      <c r="F598" s="46"/>
      <c r="G598" s="46"/>
      <c r="H598" s="46"/>
      <c r="I598" s="46"/>
      <c r="J598" s="46"/>
      <c r="K598" s="46"/>
      <c r="L598" s="46"/>
      <c r="M598" s="46"/>
    </row>
    <row r="599" spans="2:13" x14ac:dyDescent="0.25">
      <c r="B599" s="46"/>
      <c r="C599" s="40" t="str">
        <f t="shared" si="27"/>
        <v/>
      </c>
      <c r="D599" s="46" t="str">
        <f t="shared" si="28"/>
        <v/>
      </c>
      <c r="E599" s="46" t="str">
        <f t="shared" si="29"/>
        <v/>
      </c>
      <c r="F599" s="46"/>
      <c r="G599" s="46"/>
      <c r="H599" s="46"/>
      <c r="I599" s="46"/>
      <c r="J599" s="46"/>
      <c r="K599" s="46"/>
      <c r="L599" s="46"/>
      <c r="M599" s="46"/>
    </row>
    <row r="600" spans="2:13" x14ac:dyDescent="0.25">
      <c r="B600" s="46"/>
      <c r="C600" s="40" t="str">
        <f t="shared" si="27"/>
        <v/>
      </c>
      <c r="D600" s="46" t="str">
        <f t="shared" si="28"/>
        <v/>
      </c>
      <c r="E600" s="46" t="str">
        <f t="shared" si="29"/>
        <v/>
      </c>
      <c r="F600" s="46"/>
      <c r="G600" s="46"/>
      <c r="H600" s="46"/>
      <c r="I600" s="46"/>
      <c r="J600" s="46"/>
      <c r="K600" s="46"/>
      <c r="L600" s="46"/>
      <c r="M600" s="46"/>
    </row>
    <row r="601" spans="2:13" x14ac:dyDescent="0.25">
      <c r="B601" s="46"/>
      <c r="C601" s="40" t="str">
        <f t="shared" si="27"/>
        <v/>
      </c>
      <c r="D601" s="46" t="str">
        <f t="shared" si="28"/>
        <v/>
      </c>
      <c r="E601" s="46" t="str">
        <f t="shared" si="29"/>
        <v/>
      </c>
      <c r="F601" s="46"/>
      <c r="G601" s="46"/>
      <c r="H601" s="46"/>
      <c r="I601" s="46"/>
      <c r="J601" s="46"/>
      <c r="K601" s="46"/>
      <c r="L601" s="46"/>
      <c r="M601" s="46"/>
    </row>
    <row r="602" spans="2:13" x14ac:dyDescent="0.25">
      <c r="B602" s="46"/>
      <c r="C602" s="40" t="str">
        <f t="shared" si="27"/>
        <v/>
      </c>
      <c r="D602" s="46" t="str">
        <f t="shared" si="28"/>
        <v/>
      </c>
      <c r="E602" s="46" t="str">
        <f t="shared" si="29"/>
        <v/>
      </c>
      <c r="F602" s="46"/>
      <c r="G602" s="46"/>
      <c r="H602" s="46"/>
      <c r="I602" s="46"/>
      <c r="J602" s="46"/>
      <c r="K602" s="46"/>
      <c r="L602" s="46"/>
      <c r="M602" s="46"/>
    </row>
    <row r="603" spans="2:13" x14ac:dyDescent="0.25">
      <c r="B603" s="46"/>
      <c r="C603" s="40" t="str">
        <f t="shared" si="27"/>
        <v/>
      </c>
      <c r="D603" s="46" t="str">
        <f t="shared" si="28"/>
        <v/>
      </c>
      <c r="E603" s="46" t="str">
        <f t="shared" si="29"/>
        <v/>
      </c>
      <c r="F603" s="46"/>
      <c r="G603" s="46"/>
      <c r="H603" s="46"/>
      <c r="I603" s="46"/>
      <c r="J603" s="46"/>
      <c r="K603" s="46"/>
      <c r="L603" s="46"/>
      <c r="M603" s="46"/>
    </row>
    <row r="604" spans="2:13" x14ac:dyDescent="0.25">
      <c r="B604" s="46"/>
      <c r="C604" s="40" t="str">
        <f t="shared" si="27"/>
        <v/>
      </c>
      <c r="D604" s="46" t="str">
        <f t="shared" si="28"/>
        <v/>
      </c>
      <c r="E604" s="46" t="str">
        <f t="shared" si="29"/>
        <v/>
      </c>
      <c r="F604" s="46"/>
      <c r="G604" s="46"/>
      <c r="H604" s="46"/>
      <c r="I604" s="46"/>
      <c r="J604" s="46"/>
      <c r="K604" s="46"/>
      <c r="L604" s="46"/>
      <c r="M604" s="46"/>
    </row>
    <row r="605" spans="2:13" x14ac:dyDescent="0.25">
      <c r="B605" s="46"/>
      <c r="C605" s="40" t="str">
        <f t="shared" si="27"/>
        <v/>
      </c>
      <c r="D605" s="46" t="str">
        <f t="shared" si="28"/>
        <v/>
      </c>
      <c r="E605" s="46" t="str">
        <f t="shared" si="29"/>
        <v/>
      </c>
      <c r="F605" s="46"/>
      <c r="G605" s="46"/>
      <c r="H605" s="46"/>
      <c r="I605" s="46"/>
      <c r="J605" s="46"/>
      <c r="K605" s="46"/>
      <c r="L605" s="46"/>
      <c r="M605" s="46"/>
    </row>
    <row r="606" spans="2:13" x14ac:dyDescent="0.25">
      <c r="B606" s="46"/>
      <c r="C606" s="40" t="str">
        <f t="shared" si="27"/>
        <v/>
      </c>
      <c r="D606" s="46" t="str">
        <f t="shared" si="28"/>
        <v/>
      </c>
      <c r="E606" s="46" t="str">
        <f t="shared" si="29"/>
        <v/>
      </c>
      <c r="F606" s="46"/>
      <c r="G606" s="46"/>
      <c r="H606" s="46"/>
      <c r="I606" s="46"/>
      <c r="J606" s="46"/>
      <c r="K606" s="46"/>
      <c r="L606" s="46"/>
      <c r="M606" s="46"/>
    </row>
    <row r="607" spans="2:13" x14ac:dyDescent="0.25">
      <c r="B607" s="46"/>
      <c r="C607" s="40" t="str">
        <f t="shared" si="27"/>
        <v/>
      </c>
      <c r="D607" s="46" t="str">
        <f t="shared" si="28"/>
        <v/>
      </c>
      <c r="E607" s="46" t="str">
        <f t="shared" si="29"/>
        <v/>
      </c>
      <c r="F607" s="46"/>
      <c r="G607" s="46"/>
      <c r="H607" s="46"/>
      <c r="I607" s="46"/>
      <c r="J607" s="46"/>
      <c r="K607" s="46"/>
      <c r="L607" s="46"/>
      <c r="M607" s="46"/>
    </row>
    <row r="608" spans="2:13" x14ac:dyDescent="0.25">
      <c r="B608" s="46"/>
      <c r="C608" s="40" t="str">
        <f t="shared" si="27"/>
        <v/>
      </c>
      <c r="D608" s="46" t="str">
        <f t="shared" si="28"/>
        <v/>
      </c>
      <c r="E608" s="46" t="str">
        <f t="shared" si="29"/>
        <v/>
      </c>
      <c r="F608" s="46"/>
      <c r="G608" s="46"/>
      <c r="H608" s="46"/>
      <c r="I608" s="46"/>
      <c r="J608" s="46"/>
      <c r="K608" s="46"/>
      <c r="L608" s="46"/>
      <c r="M608" s="46"/>
    </row>
    <row r="609" spans="2:13" x14ac:dyDescent="0.25">
      <c r="B609" s="46"/>
      <c r="C609" s="40" t="str">
        <f t="shared" si="27"/>
        <v/>
      </c>
      <c r="D609" s="46" t="str">
        <f t="shared" si="28"/>
        <v/>
      </c>
      <c r="E609" s="46" t="str">
        <f t="shared" si="29"/>
        <v/>
      </c>
      <c r="F609" s="46"/>
      <c r="G609" s="46"/>
      <c r="H609" s="46"/>
      <c r="I609" s="46"/>
      <c r="J609" s="46"/>
      <c r="K609" s="46"/>
      <c r="L609" s="46"/>
      <c r="M609" s="46"/>
    </row>
    <row r="610" spans="2:13" x14ac:dyDescent="0.25">
      <c r="B610" s="46"/>
      <c r="C610" s="40" t="str">
        <f t="shared" si="27"/>
        <v/>
      </c>
      <c r="D610" s="46" t="str">
        <f t="shared" si="28"/>
        <v/>
      </c>
      <c r="E610" s="46" t="str">
        <f t="shared" si="29"/>
        <v/>
      </c>
      <c r="F610" s="46"/>
      <c r="G610" s="46"/>
      <c r="H610" s="46"/>
      <c r="I610" s="46"/>
      <c r="J610" s="46"/>
      <c r="K610" s="46"/>
      <c r="L610" s="46"/>
      <c r="M610" s="46"/>
    </row>
    <row r="611" spans="2:13" x14ac:dyDescent="0.25">
      <c r="B611" s="46"/>
      <c r="C611" s="40" t="str">
        <f t="shared" si="27"/>
        <v/>
      </c>
      <c r="D611" s="46" t="str">
        <f t="shared" si="28"/>
        <v/>
      </c>
      <c r="E611" s="46" t="str">
        <f t="shared" si="29"/>
        <v/>
      </c>
      <c r="F611" s="46"/>
      <c r="G611" s="46"/>
      <c r="H611" s="46"/>
      <c r="I611" s="46"/>
      <c r="J611" s="46"/>
      <c r="K611" s="46"/>
      <c r="L611" s="46"/>
      <c r="M611" s="46"/>
    </row>
    <row r="612" spans="2:13" x14ac:dyDescent="0.25">
      <c r="B612" s="46"/>
      <c r="C612" s="40" t="str">
        <f t="shared" si="27"/>
        <v/>
      </c>
      <c r="D612" s="46" t="str">
        <f t="shared" si="28"/>
        <v/>
      </c>
      <c r="E612" s="46" t="str">
        <f t="shared" si="29"/>
        <v/>
      </c>
      <c r="F612" s="46"/>
      <c r="G612" s="46"/>
      <c r="H612" s="46"/>
      <c r="I612" s="46"/>
      <c r="J612" s="46"/>
      <c r="K612" s="46"/>
      <c r="L612" s="46"/>
      <c r="M612" s="46"/>
    </row>
    <row r="613" spans="2:13" x14ac:dyDescent="0.25">
      <c r="B613" s="46"/>
      <c r="C613" s="40" t="str">
        <f t="shared" si="27"/>
        <v/>
      </c>
      <c r="D613" s="46" t="str">
        <f t="shared" si="28"/>
        <v/>
      </c>
      <c r="E613" s="46" t="str">
        <f t="shared" si="29"/>
        <v/>
      </c>
      <c r="F613" s="46"/>
      <c r="G613" s="46"/>
      <c r="H613" s="46"/>
      <c r="I613" s="46"/>
      <c r="J613" s="46"/>
      <c r="K613" s="46"/>
      <c r="L613" s="46"/>
      <c r="M613" s="46"/>
    </row>
    <row r="614" spans="2:13" x14ac:dyDescent="0.25">
      <c r="B614" s="46"/>
      <c r="C614" s="40" t="str">
        <f t="shared" si="27"/>
        <v/>
      </c>
      <c r="D614" s="46" t="str">
        <f t="shared" si="28"/>
        <v/>
      </c>
      <c r="E614" s="46" t="str">
        <f t="shared" si="29"/>
        <v/>
      </c>
      <c r="F614" s="46"/>
      <c r="G614" s="46"/>
      <c r="H614" s="46"/>
      <c r="I614" s="46"/>
      <c r="J614" s="46"/>
      <c r="K614" s="46"/>
      <c r="L614" s="46"/>
      <c r="M614" s="46"/>
    </row>
    <row r="615" spans="2:13" x14ac:dyDescent="0.25">
      <c r="B615" s="46"/>
      <c r="C615" s="40" t="str">
        <f t="shared" si="27"/>
        <v/>
      </c>
      <c r="D615" s="46" t="str">
        <f t="shared" si="28"/>
        <v/>
      </c>
      <c r="E615" s="46" t="str">
        <f t="shared" si="29"/>
        <v/>
      </c>
      <c r="F615" s="46"/>
      <c r="G615" s="46"/>
      <c r="H615" s="46"/>
      <c r="I615" s="46"/>
      <c r="J615" s="46"/>
      <c r="K615" s="46"/>
      <c r="L615" s="46"/>
      <c r="M615" s="46"/>
    </row>
    <row r="616" spans="2:13" x14ac:dyDescent="0.25">
      <c r="B616" s="46"/>
      <c r="C616" s="40" t="str">
        <f t="shared" si="27"/>
        <v/>
      </c>
      <c r="D616" s="46" t="str">
        <f t="shared" si="28"/>
        <v/>
      </c>
      <c r="E616" s="46" t="str">
        <f t="shared" si="29"/>
        <v/>
      </c>
      <c r="F616" s="46"/>
      <c r="G616" s="46"/>
      <c r="H616" s="46"/>
      <c r="I616" s="46"/>
      <c r="J616" s="46"/>
      <c r="K616" s="46"/>
      <c r="L616" s="46"/>
      <c r="M616" s="46"/>
    </row>
    <row r="617" spans="2:13" x14ac:dyDescent="0.25">
      <c r="B617" s="46"/>
      <c r="C617" s="40" t="str">
        <f t="shared" si="27"/>
        <v/>
      </c>
      <c r="D617" s="46" t="str">
        <f t="shared" si="28"/>
        <v/>
      </c>
      <c r="E617" s="46" t="str">
        <f t="shared" si="29"/>
        <v/>
      </c>
      <c r="F617" s="46"/>
      <c r="G617" s="46"/>
      <c r="H617" s="46"/>
      <c r="I617" s="46"/>
      <c r="J617" s="46"/>
      <c r="K617" s="46"/>
      <c r="L617" s="46"/>
      <c r="M617" s="46"/>
    </row>
    <row r="618" spans="2:13" x14ac:dyDescent="0.25">
      <c r="B618" s="46"/>
      <c r="C618" s="40" t="str">
        <f t="shared" si="27"/>
        <v/>
      </c>
      <c r="D618" s="46" t="str">
        <f t="shared" si="28"/>
        <v/>
      </c>
      <c r="E618" s="46" t="str">
        <f t="shared" si="29"/>
        <v/>
      </c>
      <c r="F618" s="46"/>
      <c r="G618" s="46"/>
      <c r="H618" s="46"/>
      <c r="I618" s="46"/>
      <c r="J618" s="46"/>
      <c r="K618" s="46"/>
      <c r="L618" s="46"/>
      <c r="M618" s="46"/>
    </row>
    <row r="619" spans="2:13" x14ac:dyDescent="0.25">
      <c r="B619" s="46"/>
      <c r="C619" s="40" t="str">
        <f t="shared" si="27"/>
        <v/>
      </c>
      <c r="D619" s="46" t="str">
        <f t="shared" si="28"/>
        <v/>
      </c>
      <c r="E619" s="46" t="str">
        <f t="shared" si="29"/>
        <v/>
      </c>
      <c r="F619" s="46"/>
      <c r="G619" s="46"/>
      <c r="H619" s="46"/>
      <c r="I619" s="46"/>
      <c r="J619" s="46"/>
      <c r="K619" s="46"/>
      <c r="L619" s="46"/>
      <c r="M619" s="46"/>
    </row>
    <row r="620" spans="2:13" x14ac:dyDescent="0.25">
      <c r="B620" s="46"/>
      <c r="C620" s="40" t="str">
        <f t="shared" si="27"/>
        <v/>
      </c>
      <c r="D620" s="46" t="str">
        <f t="shared" si="28"/>
        <v/>
      </c>
      <c r="E620" s="46" t="str">
        <f t="shared" si="29"/>
        <v/>
      </c>
      <c r="F620" s="46"/>
      <c r="G620" s="46"/>
      <c r="H620" s="46"/>
      <c r="I620" s="46"/>
      <c r="J620" s="46"/>
      <c r="K620" s="46"/>
      <c r="L620" s="46"/>
      <c r="M620" s="46"/>
    </row>
    <row r="621" spans="2:13" x14ac:dyDescent="0.25">
      <c r="B621" s="46"/>
      <c r="C621" s="40" t="str">
        <f t="shared" si="27"/>
        <v/>
      </c>
      <c r="D621" s="46" t="str">
        <f t="shared" si="28"/>
        <v/>
      </c>
      <c r="E621" s="46" t="str">
        <f t="shared" si="29"/>
        <v/>
      </c>
      <c r="F621" s="46"/>
      <c r="G621" s="46"/>
      <c r="H621" s="46"/>
      <c r="I621" s="46"/>
      <c r="J621" s="46"/>
      <c r="K621" s="46"/>
      <c r="L621" s="46"/>
      <c r="M621" s="46"/>
    </row>
    <row r="622" spans="2:13" x14ac:dyDescent="0.25">
      <c r="B622" s="46"/>
      <c r="C622" s="40" t="str">
        <f t="shared" si="27"/>
        <v/>
      </c>
      <c r="D622" s="46" t="str">
        <f t="shared" si="28"/>
        <v/>
      </c>
      <c r="E622" s="46" t="str">
        <f t="shared" si="29"/>
        <v/>
      </c>
      <c r="F622" s="46"/>
      <c r="G622" s="46"/>
      <c r="H622" s="46"/>
      <c r="I622" s="46"/>
      <c r="J622" s="46"/>
      <c r="K622" s="46"/>
      <c r="L622" s="46"/>
      <c r="M622" s="46"/>
    </row>
    <row r="623" spans="2:13" x14ac:dyDescent="0.25">
      <c r="B623" s="46"/>
      <c r="C623" s="40" t="str">
        <f t="shared" si="27"/>
        <v/>
      </c>
      <c r="D623" s="46" t="str">
        <f t="shared" si="28"/>
        <v/>
      </c>
      <c r="E623" s="46" t="str">
        <f t="shared" si="29"/>
        <v/>
      </c>
      <c r="F623" s="46"/>
      <c r="G623" s="46"/>
      <c r="H623" s="46"/>
      <c r="I623" s="46"/>
      <c r="J623" s="46"/>
      <c r="K623" s="46"/>
      <c r="L623" s="46"/>
      <c r="M623" s="46"/>
    </row>
    <row r="624" spans="2:13" x14ac:dyDescent="0.25">
      <c r="B624" s="46"/>
      <c r="C624" s="40" t="str">
        <f t="shared" si="27"/>
        <v/>
      </c>
      <c r="D624" s="46" t="str">
        <f t="shared" si="28"/>
        <v/>
      </c>
      <c r="E624" s="46" t="str">
        <f t="shared" si="29"/>
        <v/>
      </c>
      <c r="F624" s="46"/>
      <c r="G624" s="46"/>
      <c r="H624" s="46"/>
      <c r="I624" s="46"/>
      <c r="J624" s="46"/>
      <c r="K624" s="46"/>
      <c r="L624" s="46"/>
      <c r="M624" s="46"/>
    </row>
    <row r="625" spans="2:13" x14ac:dyDescent="0.25">
      <c r="B625" s="46"/>
      <c r="C625" s="40" t="str">
        <f t="shared" si="27"/>
        <v/>
      </c>
      <c r="D625" s="46" t="str">
        <f t="shared" si="28"/>
        <v/>
      </c>
      <c r="E625" s="46" t="str">
        <f t="shared" si="29"/>
        <v/>
      </c>
      <c r="F625" s="46"/>
      <c r="G625" s="46"/>
      <c r="H625" s="46"/>
      <c r="I625" s="46"/>
      <c r="J625" s="46"/>
      <c r="K625" s="46"/>
      <c r="L625" s="46"/>
      <c r="M625" s="46"/>
    </row>
    <row r="626" spans="2:13" x14ac:dyDescent="0.25">
      <c r="B626" s="46"/>
      <c r="C626" s="40" t="str">
        <f t="shared" si="27"/>
        <v/>
      </c>
      <c r="D626" s="46" t="str">
        <f t="shared" si="28"/>
        <v/>
      </c>
      <c r="E626" s="46" t="str">
        <f t="shared" si="29"/>
        <v/>
      </c>
      <c r="F626" s="46"/>
      <c r="G626" s="46"/>
      <c r="H626" s="46"/>
      <c r="I626" s="46"/>
      <c r="J626" s="46"/>
      <c r="K626" s="46"/>
      <c r="L626" s="46"/>
      <c r="M626" s="46"/>
    </row>
    <row r="627" spans="2:13" x14ac:dyDescent="0.25">
      <c r="B627" s="46"/>
      <c r="C627" s="40" t="str">
        <f t="shared" si="27"/>
        <v/>
      </c>
      <c r="D627" s="46" t="str">
        <f t="shared" si="28"/>
        <v/>
      </c>
      <c r="E627" s="46" t="str">
        <f t="shared" si="29"/>
        <v/>
      </c>
      <c r="F627" s="46"/>
      <c r="G627" s="46"/>
      <c r="H627" s="46"/>
      <c r="I627" s="46"/>
      <c r="J627" s="46"/>
      <c r="K627" s="46"/>
      <c r="L627" s="46"/>
      <c r="M627" s="46"/>
    </row>
    <row r="628" spans="2:13" x14ac:dyDescent="0.25">
      <c r="B628" s="46"/>
      <c r="C628" s="40" t="str">
        <f t="shared" si="27"/>
        <v/>
      </c>
      <c r="D628" s="46" t="str">
        <f t="shared" si="28"/>
        <v/>
      </c>
      <c r="E628" s="46" t="str">
        <f t="shared" si="29"/>
        <v/>
      </c>
      <c r="F628" s="46"/>
      <c r="G628" s="46"/>
      <c r="H628" s="46"/>
      <c r="I628" s="46"/>
      <c r="J628" s="46"/>
      <c r="K628" s="46"/>
      <c r="L628" s="46"/>
      <c r="M628" s="46"/>
    </row>
    <row r="629" spans="2:13" x14ac:dyDescent="0.25">
      <c r="B629" s="46"/>
      <c r="C629" s="40" t="str">
        <f t="shared" si="27"/>
        <v/>
      </c>
      <c r="D629" s="46" t="str">
        <f t="shared" si="28"/>
        <v/>
      </c>
      <c r="E629" s="46" t="str">
        <f t="shared" si="29"/>
        <v/>
      </c>
      <c r="F629" s="46"/>
      <c r="G629" s="46"/>
      <c r="H629" s="46"/>
      <c r="I629" s="46"/>
      <c r="J629" s="46"/>
      <c r="K629" s="46"/>
      <c r="L629" s="46"/>
      <c r="M629" s="46"/>
    </row>
    <row r="630" spans="2:13" x14ac:dyDescent="0.25">
      <c r="B630" s="46"/>
      <c r="C630" s="40" t="str">
        <f t="shared" si="27"/>
        <v/>
      </c>
      <c r="D630" s="46" t="str">
        <f t="shared" si="28"/>
        <v/>
      </c>
      <c r="E630" s="46" t="str">
        <f t="shared" si="29"/>
        <v/>
      </c>
      <c r="F630" s="46"/>
      <c r="G630" s="46"/>
      <c r="H630" s="46"/>
      <c r="I630" s="46"/>
      <c r="J630" s="46"/>
      <c r="K630" s="46"/>
      <c r="L630" s="46"/>
      <c r="M630" s="46"/>
    </row>
    <row r="631" spans="2:13" x14ac:dyDescent="0.25">
      <c r="B631" s="46"/>
      <c r="C631" s="40" t="str">
        <f t="shared" si="27"/>
        <v/>
      </c>
      <c r="D631" s="46" t="str">
        <f t="shared" si="28"/>
        <v/>
      </c>
      <c r="E631" s="46" t="str">
        <f t="shared" si="29"/>
        <v/>
      </c>
      <c r="F631" s="46"/>
      <c r="G631" s="46"/>
      <c r="H631" s="46"/>
      <c r="I631" s="46"/>
      <c r="J631" s="46"/>
      <c r="K631" s="46"/>
      <c r="L631" s="46"/>
      <c r="M631" s="46"/>
    </row>
    <row r="632" spans="2:13" x14ac:dyDescent="0.25">
      <c r="B632" s="46"/>
      <c r="C632" s="40" t="str">
        <f t="shared" si="27"/>
        <v/>
      </c>
      <c r="D632" s="46" t="str">
        <f t="shared" si="28"/>
        <v/>
      </c>
      <c r="E632" s="46" t="str">
        <f t="shared" si="29"/>
        <v/>
      </c>
      <c r="F632" s="46"/>
      <c r="G632" s="46"/>
      <c r="H632" s="46"/>
      <c r="I632" s="46"/>
      <c r="J632" s="46"/>
      <c r="K632" s="46"/>
      <c r="L632" s="46"/>
      <c r="M632" s="46"/>
    </row>
    <row r="633" spans="2:13" x14ac:dyDescent="0.25">
      <c r="B633" s="46"/>
      <c r="C633" s="40" t="str">
        <f t="shared" si="27"/>
        <v/>
      </c>
      <c r="D633" s="46" t="str">
        <f t="shared" si="28"/>
        <v/>
      </c>
      <c r="E633" s="46" t="str">
        <f t="shared" si="29"/>
        <v/>
      </c>
      <c r="F633" s="46"/>
      <c r="G633" s="46"/>
      <c r="H633" s="46"/>
      <c r="I633" s="46"/>
      <c r="J633" s="46"/>
      <c r="K633" s="46"/>
      <c r="L633" s="46"/>
      <c r="M633" s="46"/>
    </row>
    <row r="634" spans="2:13" x14ac:dyDescent="0.25">
      <c r="B634" s="46"/>
      <c r="C634" s="40" t="str">
        <f t="shared" si="27"/>
        <v/>
      </c>
      <c r="D634" s="46" t="str">
        <f t="shared" si="28"/>
        <v/>
      </c>
      <c r="E634" s="46" t="str">
        <f t="shared" si="29"/>
        <v/>
      </c>
      <c r="F634" s="46"/>
      <c r="G634" s="46"/>
      <c r="H634" s="46"/>
      <c r="I634" s="46"/>
      <c r="J634" s="46"/>
      <c r="K634" s="46"/>
      <c r="L634" s="46"/>
      <c r="M634" s="46"/>
    </row>
    <row r="635" spans="2:13" x14ac:dyDescent="0.25">
      <c r="B635" s="46"/>
      <c r="C635" s="40" t="str">
        <f t="shared" si="27"/>
        <v/>
      </c>
      <c r="D635" s="46" t="str">
        <f t="shared" si="28"/>
        <v/>
      </c>
      <c r="E635" s="46" t="str">
        <f t="shared" si="29"/>
        <v/>
      </c>
      <c r="F635" s="46"/>
      <c r="G635" s="46"/>
      <c r="H635" s="46"/>
      <c r="I635" s="46"/>
      <c r="J635" s="46"/>
      <c r="K635" s="46"/>
      <c r="L635" s="46"/>
      <c r="M635" s="46"/>
    </row>
    <row r="636" spans="2:13" x14ac:dyDescent="0.25">
      <c r="B636" s="46"/>
      <c r="C636" s="40" t="str">
        <f t="shared" si="27"/>
        <v/>
      </c>
      <c r="D636" s="46" t="str">
        <f t="shared" si="28"/>
        <v/>
      </c>
      <c r="E636" s="46" t="str">
        <f t="shared" si="29"/>
        <v/>
      </c>
      <c r="F636" s="46"/>
      <c r="G636" s="46"/>
      <c r="H636" s="46"/>
      <c r="I636" s="46"/>
      <c r="J636" s="46"/>
      <c r="K636" s="46"/>
      <c r="L636" s="46"/>
      <c r="M636" s="46"/>
    </row>
    <row r="637" spans="2:13" x14ac:dyDescent="0.25">
      <c r="B637" s="46"/>
      <c r="C637" s="40" t="str">
        <f t="shared" si="27"/>
        <v/>
      </c>
      <c r="D637" s="46" t="str">
        <f t="shared" si="28"/>
        <v/>
      </c>
      <c r="E637" s="46" t="str">
        <f t="shared" si="29"/>
        <v/>
      </c>
      <c r="F637" s="46"/>
      <c r="G637" s="46"/>
      <c r="H637" s="46"/>
      <c r="I637" s="46"/>
      <c r="J637" s="46"/>
      <c r="K637" s="46"/>
      <c r="L637" s="46"/>
      <c r="M637" s="46"/>
    </row>
    <row r="638" spans="2:13" x14ac:dyDescent="0.25">
      <c r="B638" s="46"/>
      <c r="C638" s="40" t="str">
        <f t="shared" si="27"/>
        <v/>
      </c>
      <c r="D638" s="46" t="str">
        <f t="shared" si="28"/>
        <v/>
      </c>
      <c r="E638" s="46" t="str">
        <f t="shared" si="29"/>
        <v/>
      </c>
      <c r="F638" s="46"/>
      <c r="G638" s="46"/>
      <c r="H638" s="46"/>
      <c r="I638" s="46"/>
      <c r="J638" s="46"/>
      <c r="K638" s="46"/>
      <c r="L638" s="46"/>
      <c r="M638" s="46"/>
    </row>
    <row r="639" spans="2:13" x14ac:dyDescent="0.25">
      <c r="B639" s="46"/>
      <c r="C639" s="40" t="str">
        <f t="shared" si="27"/>
        <v/>
      </c>
      <c r="D639" s="46" t="str">
        <f t="shared" si="28"/>
        <v/>
      </c>
      <c r="E639" s="46" t="str">
        <f t="shared" si="29"/>
        <v/>
      </c>
      <c r="F639" s="46"/>
      <c r="G639" s="46"/>
      <c r="H639" s="46"/>
      <c r="I639" s="46"/>
      <c r="J639" s="46"/>
      <c r="K639" s="46"/>
      <c r="L639" s="46"/>
      <c r="M639" s="46"/>
    </row>
    <row r="640" spans="2:13" x14ac:dyDescent="0.25">
      <c r="B640" s="46"/>
      <c r="C640" s="40" t="str">
        <f t="shared" si="27"/>
        <v/>
      </c>
      <c r="D640" s="46" t="str">
        <f t="shared" si="28"/>
        <v/>
      </c>
      <c r="E640" s="46" t="str">
        <f t="shared" si="29"/>
        <v/>
      </c>
      <c r="F640" s="46"/>
      <c r="G640" s="46"/>
      <c r="H640" s="46"/>
      <c r="I640" s="46"/>
      <c r="J640" s="46"/>
      <c r="K640" s="46"/>
      <c r="L640" s="46"/>
      <c r="M640" s="46"/>
    </row>
    <row r="641" spans="2:13" x14ac:dyDescent="0.25">
      <c r="B641" s="46"/>
      <c r="C641" s="40" t="str">
        <f t="shared" si="27"/>
        <v/>
      </c>
      <c r="D641" s="46" t="str">
        <f t="shared" si="28"/>
        <v/>
      </c>
      <c r="E641" s="46" t="str">
        <f t="shared" si="29"/>
        <v/>
      </c>
      <c r="F641" s="46"/>
      <c r="G641" s="46"/>
      <c r="H641" s="46"/>
      <c r="I641" s="46"/>
      <c r="J641" s="46"/>
      <c r="K641" s="46"/>
      <c r="L641" s="46"/>
      <c r="M641" s="46"/>
    </row>
    <row r="642" spans="2:13" x14ac:dyDescent="0.25">
      <c r="B642" s="46"/>
      <c r="C642" s="40" t="str">
        <f t="shared" ref="C642:C705" si="30">IF(B642="","",MONTH(B642))</f>
        <v/>
      </c>
      <c r="D642" s="46" t="str">
        <f t="shared" ref="D642:D705" si="31">IF(B642="","",CHOOSE(C642,"Enero","Febrero","Marzo","Abril","Mayo","Junio","Julio","Agosto","Septiembre","Octubre","Noviembre","Diciembre"))</f>
        <v/>
      </c>
      <c r="E642" s="46" t="str">
        <f t="shared" ref="E642:E705" si="32">IF(B642="","",YEAR(B642))</f>
        <v/>
      </c>
      <c r="F642" s="46"/>
      <c r="G642" s="46"/>
      <c r="H642" s="46"/>
      <c r="I642" s="46"/>
      <c r="J642" s="46"/>
      <c r="K642" s="46"/>
      <c r="L642" s="46"/>
      <c r="M642" s="46"/>
    </row>
    <row r="643" spans="2:13" x14ac:dyDescent="0.25">
      <c r="B643" s="46"/>
      <c r="C643" s="40" t="str">
        <f t="shared" si="30"/>
        <v/>
      </c>
      <c r="D643" s="46" t="str">
        <f t="shared" si="31"/>
        <v/>
      </c>
      <c r="E643" s="46" t="str">
        <f t="shared" si="32"/>
        <v/>
      </c>
      <c r="F643" s="46"/>
      <c r="G643" s="46"/>
      <c r="H643" s="46"/>
      <c r="I643" s="46"/>
      <c r="J643" s="46"/>
      <c r="K643" s="46"/>
      <c r="L643" s="46"/>
      <c r="M643" s="46"/>
    </row>
    <row r="644" spans="2:13" x14ac:dyDescent="0.25">
      <c r="B644" s="46"/>
      <c r="C644" s="40" t="str">
        <f t="shared" si="30"/>
        <v/>
      </c>
      <c r="D644" s="46" t="str">
        <f t="shared" si="31"/>
        <v/>
      </c>
      <c r="E644" s="46" t="str">
        <f t="shared" si="32"/>
        <v/>
      </c>
      <c r="F644" s="46"/>
      <c r="G644" s="46"/>
      <c r="H644" s="46"/>
      <c r="I644" s="46"/>
      <c r="J644" s="46"/>
      <c r="K644" s="46"/>
      <c r="L644" s="46"/>
      <c r="M644" s="46"/>
    </row>
    <row r="645" spans="2:13" x14ac:dyDescent="0.25">
      <c r="B645" s="46"/>
      <c r="C645" s="40" t="str">
        <f t="shared" si="30"/>
        <v/>
      </c>
      <c r="D645" s="46" t="str">
        <f t="shared" si="31"/>
        <v/>
      </c>
      <c r="E645" s="46" t="str">
        <f t="shared" si="32"/>
        <v/>
      </c>
      <c r="F645" s="46"/>
      <c r="G645" s="46"/>
      <c r="H645" s="46"/>
      <c r="I645" s="46"/>
      <c r="J645" s="46"/>
      <c r="K645" s="46"/>
      <c r="L645" s="46"/>
      <c r="M645" s="46"/>
    </row>
    <row r="646" spans="2:13" x14ac:dyDescent="0.25">
      <c r="B646" s="46"/>
      <c r="C646" s="40" t="str">
        <f t="shared" si="30"/>
        <v/>
      </c>
      <c r="D646" s="46" t="str">
        <f t="shared" si="31"/>
        <v/>
      </c>
      <c r="E646" s="46" t="str">
        <f t="shared" si="32"/>
        <v/>
      </c>
      <c r="F646" s="46"/>
      <c r="G646" s="46"/>
      <c r="H646" s="46"/>
      <c r="I646" s="46"/>
      <c r="J646" s="46"/>
      <c r="K646" s="46"/>
      <c r="L646" s="46"/>
      <c r="M646" s="46"/>
    </row>
    <row r="647" spans="2:13" x14ac:dyDescent="0.25">
      <c r="B647" s="46"/>
      <c r="C647" s="40" t="str">
        <f t="shared" si="30"/>
        <v/>
      </c>
      <c r="D647" s="46" t="str">
        <f t="shared" si="31"/>
        <v/>
      </c>
      <c r="E647" s="46" t="str">
        <f t="shared" si="32"/>
        <v/>
      </c>
      <c r="F647" s="46"/>
      <c r="G647" s="46"/>
      <c r="H647" s="46"/>
      <c r="I647" s="46"/>
      <c r="J647" s="46"/>
      <c r="K647" s="46"/>
      <c r="L647" s="46"/>
      <c r="M647" s="46"/>
    </row>
    <row r="648" spans="2:13" x14ac:dyDescent="0.25">
      <c r="B648" s="46"/>
      <c r="C648" s="40" t="str">
        <f t="shared" si="30"/>
        <v/>
      </c>
      <c r="D648" s="46" t="str">
        <f t="shared" si="31"/>
        <v/>
      </c>
      <c r="E648" s="46" t="str">
        <f t="shared" si="32"/>
        <v/>
      </c>
      <c r="F648" s="46"/>
      <c r="G648" s="46"/>
      <c r="H648" s="46"/>
      <c r="I648" s="46"/>
      <c r="J648" s="46"/>
      <c r="K648" s="46"/>
      <c r="L648" s="46"/>
      <c r="M648" s="46"/>
    </row>
    <row r="649" spans="2:13" x14ac:dyDescent="0.25">
      <c r="B649" s="46"/>
      <c r="C649" s="40" t="str">
        <f t="shared" si="30"/>
        <v/>
      </c>
      <c r="D649" s="46" t="str">
        <f t="shared" si="31"/>
        <v/>
      </c>
      <c r="E649" s="46" t="str">
        <f t="shared" si="32"/>
        <v/>
      </c>
      <c r="F649" s="46"/>
      <c r="G649" s="46"/>
      <c r="H649" s="46"/>
      <c r="I649" s="46"/>
      <c r="J649" s="46"/>
      <c r="K649" s="46"/>
      <c r="L649" s="46"/>
      <c r="M649" s="46"/>
    </row>
    <row r="650" spans="2:13" x14ac:dyDescent="0.25">
      <c r="B650" s="46"/>
      <c r="C650" s="40" t="str">
        <f t="shared" si="30"/>
        <v/>
      </c>
      <c r="D650" s="46" t="str">
        <f t="shared" si="31"/>
        <v/>
      </c>
      <c r="E650" s="46" t="str">
        <f t="shared" si="32"/>
        <v/>
      </c>
      <c r="F650" s="46"/>
      <c r="G650" s="46"/>
      <c r="H650" s="46"/>
      <c r="I650" s="46"/>
      <c r="J650" s="46"/>
      <c r="K650" s="46"/>
      <c r="L650" s="46"/>
      <c r="M650" s="46"/>
    </row>
    <row r="651" spans="2:13" x14ac:dyDescent="0.25">
      <c r="B651" s="46"/>
      <c r="C651" s="40" t="str">
        <f t="shared" si="30"/>
        <v/>
      </c>
      <c r="D651" s="46" t="str">
        <f t="shared" si="31"/>
        <v/>
      </c>
      <c r="E651" s="46" t="str">
        <f t="shared" si="32"/>
        <v/>
      </c>
      <c r="F651" s="46"/>
      <c r="G651" s="46"/>
      <c r="H651" s="46"/>
      <c r="I651" s="46"/>
      <c r="J651" s="46"/>
      <c r="K651" s="46"/>
      <c r="L651" s="46"/>
      <c r="M651" s="46"/>
    </row>
    <row r="652" spans="2:13" x14ac:dyDescent="0.25">
      <c r="B652" s="46"/>
      <c r="C652" s="40" t="str">
        <f t="shared" si="30"/>
        <v/>
      </c>
      <c r="D652" s="46" t="str">
        <f t="shared" si="31"/>
        <v/>
      </c>
      <c r="E652" s="46" t="str">
        <f t="shared" si="32"/>
        <v/>
      </c>
      <c r="F652" s="46"/>
      <c r="G652" s="46"/>
      <c r="H652" s="46"/>
      <c r="I652" s="46"/>
      <c r="J652" s="46"/>
      <c r="K652" s="46"/>
      <c r="L652" s="46"/>
      <c r="M652" s="46"/>
    </row>
    <row r="653" spans="2:13" x14ac:dyDescent="0.25">
      <c r="B653" s="46"/>
      <c r="C653" s="40" t="str">
        <f t="shared" si="30"/>
        <v/>
      </c>
      <c r="D653" s="46" t="str">
        <f t="shared" si="31"/>
        <v/>
      </c>
      <c r="E653" s="46" t="str">
        <f t="shared" si="32"/>
        <v/>
      </c>
      <c r="F653" s="46"/>
      <c r="G653" s="46"/>
      <c r="H653" s="46"/>
      <c r="I653" s="46"/>
      <c r="J653" s="46"/>
      <c r="K653" s="46"/>
      <c r="L653" s="46"/>
      <c r="M653" s="46"/>
    </row>
    <row r="654" spans="2:13" x14ac:dyDescent="0.25">
      <c r="B654" s="46"/>
      <c r="C654" s="40" t="str">
        <f t="shared" si="30"/>
        <v/>
      </c>
      <c r="D654" s="46" t="str">
        <f t="shared" si="31"/>
        <v/>
      </c>
      <c r="E654" s="46" t="str">
        <f t="shared" si="32"/>
        <v/>
      </c>
      <c r="F654" s="46"/>
      <c r="G654" s="46"/>
      <c r="H654" s="46"/>
      <c r="I654" s="46"/>
      <c r="J654" s="46"/>
      <c r="K654" s="46"/>
      <c r="L654" s="46"/>
      <c r="M654" s="46"/>
    </row>
    <row r="655" spans="2:13" x14ac:dyDescent="0.25">
      <c r="B655" s="46"/>
      <c r="C655" s="40" t="str">
        <f t="shared" si="30"/>
        <v/>
      </c>
      <c r="D655" s="46" t="str">
        <f t="shared" si="31"/>
        <v/>
      </c>
      <c r="E655" s="46" t="str">
        <f t="shared" si="32"/>
        <v/>
      </c>
      <c r="F655" s="46"/>
      <c r="G655" s="46"/>
      <c r="H655" s="46"/>
      <c r="I655" s="46"/>
      <c r="J655" s="46"/>
      <c r="K655" s="46"/>
      <c r="L655" s="46"/>
      <c r="M655" s="46"/>
    </row>
    <row r="656" spans="2:13" x14ac:dyDescent="0.25">
      <c r="B656" s="46"/>
      <c r="C656" s="40" t="str">
        <f t="shared" si="30"/>
        <v/>
      </c>
      <c r="D656" s="46" t="str">
        <f t="shared" si="31"/>
        <v/>
      </c>
      <c r="E656" s="46" t="str">
        <f t="shared" si="32"/>
        <v/>
      </c>
      <c r="F656" s="46"/>
      <c r="G656" s="46"/>
      <c r="H656" s="46"/>
      <c r="I656" s="46"/>
      <c r="J656" s="46"/>
      <c r="K656" s="46"/>
      <c r="L656" s="46"/>
      <c r="M656" s="46"/>
    </row>
    <row r="657" spans="2:13" x14ac:dyDescent="0.25">
      <c r="B657" s="46"/>
      <c r="C657" s="40" t="str">
        <f t="shared" si="30"/>
        <v/>
      </c>
      <c r="D657" s="46" t="str">
        <f t="shared" si="31"/>
        <v/>
      </c>
      <c r="E657" s="46" t="str">
        <f t="shared" si="32"/>
        <v/>
      </c>
      <c r="F657" s="46"/>
      <c r="G657" s="46"/>
      <c r="H657" s="46"/>
      <c r="I657" s="46"/>
      <c r="J657" s="46"/>
      <c r="K657" s="46"/>
      <c r="L657" s="46"/>
      <c r="M657" s="46"/>
    </row>
    <row r="658" spans="2:13" x14ac:dyDescent="0.25">
      <c r="B658" s="46"/>
      <c r="C658" s="40" t="str">
        <f t="shared" si="30"/>
        <v/>
      </c>
      <c r="D658" s="46" t="str">
        <f t="shared" si="31"/>
        <v/>
      </c>
      <c r="E658" s="46" t="str">
        <f t="shared" si="32"/>
        <v/>
      </c>
      <c r="F658" s="46"/>
      <c r="G658" s="46"/>
      <c r="H658" s="46"/>
      <c r="I658" s="46"/>
      <c r="J658" s="46"/>
      <c r="K658" s="46"/>
      <c r="L658" s="46"/>
      <c r="M658" s="46"/>
    </row>
    <row r="659" spans="2:13" x14ac:dyDescent="0.25">
      <c r="B659" s="46"/>
      <c r="C659" s="40" t="str">
        <f t="shared" si="30"/>
        <v/>
      </c>
      <c r="D659" s="46" t="str">
        <f t="shared" si="31"/>
        <v/>
      </c>
      <c r="E659" s="46" t="str">
        <f t="shared" si="32"/>
        <v/>
      </c>
      <c r="F659" s="46"/>
      <c r="G659" s="46"/>
      <c r="H659" s="46"/>
      <c r="I659" s="46"/>
      <c r="J659" s="46"/>
      <c r="K659" s="46"/>
      <c r="L659" s="46"/>
      <c r="M659" s="46"/>
    </row>
    <row r="660" spans="2:13" x14ac:dyDescent="0.25">
      <c r="B660" s="46"/>
      <c r="C660" s="40" t="str">
        <f t="shared" si="30"/>
        <v/>
      </c>
      <c r="D660" s="46" t="str">
        <f t="shared" si="31"/>
        <v/>
      </c>
      <c r="E660" s="46" t="str">
        <f t="shared" si="32"/>
        <v/>
      </c>
      <c r="F660" s="46"/>
      <c r="G660" s="46"/>
      <c r="H660" s="46"/>
      <c r="I660" s="46"/>
      <c r="J660" s="46"/>
      <c r="K660" s="46"/>
      <c r="L660" s="46"/>
      <c r="M660" s="46"/>
    </row>
    <row r="661" spans="2:13" x14ac:dyDescent="0.25">
      <c r="B661" s="46"/>
      <c r="C661" s="40" t="str">
        <f t="shared" si="30"/>
        <v/>
      </c>
      <c r="D661" s="46" t="str">
        <f t="shared" si="31"/>
        <v/>
      </c>
      <c r="E661" s="46" t="str">
        <f t="shared" si="32"/>
        <v/>
      </c>
      <c r="F661" s="46"/>
      <c r="G661" s="46"/>
      <c r="H661" s="46"/>
      <c r="I661" s="46"/>
      <c r="J661" s="46"/>
      <c r="K661" s="46"/>
      <c r="L661" s="46"/>
      <c r="M661" s="46"/>
    </row>
    <row r="662" spans="2:13" x14ac:dyDescent="0.25">
      <c r="B662" s="46"/>
      <c r="C662" s="40" t="str">
        <f t="shared" si="30"/>
        <v/>
      </c>
      <c r="D662" s="46" t="str">
        <f t="shared" si="31"/>
        <v/>
      </c>
      <c r="E662" s="46" t="str">
        <f t="shared" si="32"/>
        <v/>
      </c>
      <c r="F662" s="46"/>
      <c r="G662" s="46"/>
      <c r="H662" s="46"/>
      <c r="I662" s="46"/>
      <c r="J662" s="46"/>
      <c r="K662" s="46"/>
      <c r="L662" s="46"/>
      <c r="M662" s="46"/>
    </row>
    <row r="663" spans="2:13" x14ac:dyDescent="0.25">
      <c r="B663" s="46"/>
      <c r="C663" s="40" t="str">
        <f t="shared" si="30"/>
        <v/>
      </c>
      <c r="D663" s="46" t="str">
        <f t="shared" si="31"/>
        <v/>
      </c>
      <c r="E663" s="46" t="str">
        <f t="shared" si="32"/>
        <v/>
      </c>
      <c r="F663" s="46"/>
      <c r="G663" s="46"/>
      <c r="H663" s="46"/>
      <c r="I663" s="46"/>
      <c r="J663" s="46"/>
      <c r="K663" s="46"/>
      <c r="L663" s="46"/>
      <c r="M663" s="46"/>
    </row>
    <row r="664" spans="2:13" x14ac:dyDescent="0.25">
      <c r="B664" s="46"/>
      <c r="C664" s="40" t="str">
        <f t="shared" si="30"/>
        <v/>
      </c>
      <c r="D664" s="46" t="str">
        <f t="shared" si="31"/>
        <v/>
      </c>
      <c r="E664" s="46" t="str">
        <f t="shared" si="32"/>
        <v/>
      </c>
      <c r="F664" s="46"/>
      <c r="G664" s="46"/>
      <c r="H664" s="46"/>
      <c r="I664" s="46"/>
      <c r="J664" s="46"/>
      <c r="K664" s="46"/>
      <c r="L664" s="46"/>
      <c r="M664" s="46"/>
    </row>
    <row r="665" spans="2:13" x14ac:dyDescent="0.25">
      <c r="B665" s="46"/>
      <c r="C665" s="40" t="str">
        <f t="shared" si="30"/>
        <v/>
      </c>
      <c r="D665" s="46" t="str">
        <f t="shared" si="31"/>
        <v/>
      </c>
      <c r="E665" s="46" t="str">
        <f t="shared" si="32"/>
        <v/>
      </c>
      <c r="F665" s="46"/>
      <c r="G665" s="46"/>
      <c r="H665" s="46"/>
      <c r="I665" s="46"/>
      <c r="J665" s="46"/>
      <c r="K665" s="46"/>
      <c r="L665" s="46"/>
      <c r="M665" s="46"/>
    </row>
    <row r="666" spans="2:13" x14ac:dyDescent="0.25">
      <c r="B666" s="46"/>
      <c r="C666" s="40" t="str">
        <f t="shared" si="30"/>
        <v/>
      </c>
      <c r="D666" s="46" t="str">
        <f t="shared" si="31"/>
        <v/>
      </c>
      <c r="E666" s="46" t="str">
        <f t="shared" si="32"/>
        <v/>
      </c>
      <c r="F666" s="46"/>
      <c r="G666" s="46"/>
      <c r="H666" s="46"/>
      <c r="I666" s="46"/>
      <c r="J666" s="46"/>
      <c r="K666" s="46"/>
      <c r="L666" s="46"/>
      <c r="M666" s="46"/>
    </row>
    <row r="667" spans="2:13" x14ac:dyDescent="0.25">
      <c r="B667" s="46"/>
      <c r="C667" s="40" t="str">
        <f t="shared" si="30"/>
        <v/>
      </c>
      <c r="D667" s="46" t="str">
        <f t="shared" si="31"/>
        <v/>
      </c>
      <c r="E667" s="46" t="str">
        <f t="shared" si="32"/>
        <v/>
      </c>
      <c r="F667" s="46"/>
      <c r="G667" s="46"/>
      <c r="H667" s="46"/>
      <c r="I667" s="46"/>
      <c r="J667" s="46"/>
      <c r="K667" s="46"/>
      <c r="L667" s="46"/>
      <c r="M667" s="46"/>
    </row>
    <row r="668" spans="2:13" x14ac:dyDescent="0.25">
      <c r="B668" s="46"/>
      <c r="C668" s="40" t="str">
        <f t="shared" si="30"/>
        <v/>
      </c>
      <c r="D668" s="46" t="str">
        <f t="shared" si="31"/>
        <v/>
      </c>
      <c r="E668" s="46" t="str">
        <f t="shared" si="32"/>
        <v/>
      </c>
      <c r="F668" s="46"/>
      <c r="G668" s="46"/>
      <c r="H668" s="46"/>
      <c r="I668" s="46"/>
      <c r="J668" s="46"/>
      <c r="K668" s="46"/>
      <c r="L668" s="46"/>
      <c r="M668" s="46"/>
    </row>
    <row r="669" spans="2:13" x14ac:dyDescent="0.25">
      <c r="B669" s="46"/>
      <c r="C669" s="40" t="str">
        <f t="shared" si="30"/>
        <v/>
      </c>
      <c r="D669" s="46" t="str">
        <f t="shared" si="31"/>
        <v/>
      </c>
      <c r="E669" s="46" t="str">
        <f t="shared" si="32"/>
        <v/>
      </c>
      <c r="F669" s="46"/>
      <c r="G669" s="46"/>
      <c r="H669" s="46"/>
      <c r="I669" s="46"/>
      <c r="J669" s="46"/>
      <c r="K669" s="46"/>
      <c r="L669" s="46"/>
      <c r="M669" s="46"/>
    </row>
    <row r="670" spans="2:13" x14ac:dyDescent="0.25">
      <c r="B670" s="46"/>
      <c r="C670" s="40" t="str">
        <f t="shared" si="30"/>
        <v/>
      </c>
      <c r="D670" s="46" t="str">
        <f t="shared" si="31"/>
        <v/>
      </c>
      <c r="E670" s="46" t="str">
        <f t="shared" si="32"/>
        <v/>
      </c>
      <c r="F670" s="46"/>
      <c r="G670" s="46"/>
      <c r="H670" s="46"/>
      <c r="I670" s="46"/>
      <c r="J670" s="46"/>
      <c r="K670" s="46"/>
      <c r="L670" s="46"/>
      <c r="M670" s="46"/>
    </row>
    <row r="671" spans="2:13" x14ac:dyDescent="0.25">
      <c r="B671" s="46"/>
      <c r="C671" s="40" t="str">
        <f t="shared" si="30"/>
        <v/>
      </c>
      <c r="D671" s="46" t="str">
        <f t="shared" si="31"/>
        <v/>
      </c>
      <c r="E671" s="46" t="str">
        <f t="shared" si="32"/>
        <v/>
      </c>
      <c r="F671" s="46"/>
      <c r="G671" s="46"/>
      <c r="H671" s="46"/>
      <c r="I671" s="46"/>
      <c r="J671" s="46"/>
      <c r="K671" s="46"/>
      <c r="L671" s="46"/>
      <c r="M671" s="46"/>
    </row>
    <row r="672" spans="2:13" x14ac:dyDescent="0.25">
      <c r="B672" s="46"/>
      <c r="C672" s="40" t="str">
        <f t="shared" si="30"/>
        <v/>
      </c>
      <c r="D672" s="46" t="str">
        <f t="shared" si="31"/>
        <v/>
      </c>
      <c r="E672" s="46" t="str">
        <f t="shared" si="32"/>
        <v/>
      </c>
      <c r="F672" s="46"/>
      <c r="G672" s="46"/>
      <c r="H672" s="46"/>
      <c r="I672" s="46"/>
      <c r="J672" s="46"/>
      <c r="K672" s="46"/>
      <c r="L672" s="46"/>
      <c r="M672" s="46"/>
    </row>
    <row r="673" spans="2:13" x14ac:dyDescent="0.25">
      <c r="B673" s="46"/>
      <c r="C673" s="40" t="str">
        <f t="shared" si="30"/>
        <v/>
      </c>
      <c r="D673" s="46" t="str">
        <f t="shared" si="31"/>
        <v/>
      </c>
      <c r="E673" s="46" t="str">
        <f t="shared" si="32"/>
        <v/>
      </c>
      <c r="F673" s="46"/>
      <c r="G673" s="46"/>
      <c r="H673" s="46"/>
      <c r="I673" s="46"/>
      <c r="J673" s="46"/>
      <c r="K673" s="46"/>
      <c r="L673" s="46"/>
      <c r="M673" s="46"/>
    </row>
    <row r="674" spans="2:13" x14ac:dyDescent="0.25">
      <c r="B674" s="46"/>
      <c r="C674" s="40" t="str">
        <f t="shared" si="30"/>
        <v/>
      </c>
      <c r="D674" s="46" t="str">
        <f t="shared" si="31"/>
        <v/>
      </c>
      <c r="E674" s="46" t="str">
        <f t="shared" si="32"/>
        <v/>
      </c>
      <c r="F674" s="46"/>
      <c r="G674" s="46"/>
      <c r="H674" s="46"/>
      <c r="I674" s="46"/>
      <c r="J674" s="46"/>
      <c r="K674" s="46"/>
      <c r="L674" s="46"/>
      <c r="M674" s="46"/>
    </row>
    <row r="675" spans="2:13" x14ac:dyDescent="0.25">
      <c r="B675" s="46"/>
      <c r="C675" s="40" t="str">
        <f t="shared" si="30"/>
        <v/>
      </c>
      <c r="D675" s="46" t="str">
        <f t="shared" si="31"/>
        <v/>
      </c>
      <c r="E675" s="46" t="str">
        <f t="shared" si="32"/>
        <v/>
      </c>
      <c r="F675" s="46"/>
      <c r="G675" s="46"/>
      <c r="H675" s="46"/>
      <c r="I675" s="46"/>
      <c r="J675" s="46"/>
      <c r="K675" s="46"/>
      <c r="L675" s="46"/>
      <c r="M675" s="46"/>
    </row>
    <row r="676" spans="2:13" x14ac:dyDescent="0.25">
      <c r="B676" s="46"/>
      <c r="C676" s="40" t="str">
        <f t="shared" si="30"/>
        <v/>
      </c>
      <c r="D676" s="46" t="str">
        <f t="shared" si="31"/>
        <v/>
      </c>
      <c r="E676" s="46" t="str">
        <f t="shared" si="32"/>
        <v/>
      </c>
      <c r="F676" s="46"/>
      <c r="G676" s="46"/>
      <c r="H676" s="46"/>
      <c r="I676" s="46"/>
      <c r="J676" s="46"/>
      <c r="K676" s="46"/>
      <c r="L676" s="46"/>
      <c r="M676" s="46"/>
    </row>
    <row r="677" spans="2:13" x14ac:dyDescent="0.25">
      <c r="B677" s="46"/>
      <c r="C677" s="40" t="str">
        <f t="shared" si="30"/>
        <v/>
      </c>
      <c r="D677" s="46" t="str">
        <f t="shared" si="31"/>
        <v/>
      </c>
      <c r="E677" s="46" t="str">
        <f t="shared" si="32"/>
        <v/>
      </c>
      <c r="F677" s="46"/>
      <c r="G677" s="46"/>
      <c r="H677" s="46"/>
      <c r="I677" s="46"/>
      <c r="J677" s="46"/>
      <c r="K677" s="46"/>
      <c r="L677" s="46"/>
      <c r="M677" s="46"/>
    </row>
    <row r="678" spans="2:13" x14ac:dyDescent="0.25">
      <c r="B678" s="46"/>
      <c r="C678" s="40" t="str">
        <f t="shared" si="30"/>
        <v/>
      </c>
      <c r="D678" s="46" t="str">
        <f t="shared" si="31"/>
        <v/>
      </c>
      <c r="E678" s="46" t="str">
        <f t="shared" si="32"/>
        <v/>
      </c>
      <c r="F678" s="46"/>
      <c r="G678" s="46"/>
      <c r="H678" s="46"/>
      <c r="I678" s="46"/>
      <c r="J678" s="46"/>
      <c r="K678" s="46"/>
      <c r="L678" s="46"/>
      <c r="M678" s="46"/>
    </row>
    <row r="679" spans="2:13" x14ac:dyDescent="0.25">
      <c r="B679" s="46"/>
      <c r="C679" s="40" t="str">
        <f t="shared" si="30"/>
        <v/>
      </c>
      <c r="D679" s="46" t="str">
        <f t="shared" si="31"/>
        <v/>
      </c>
      <c r="E679" s="46" t="str">
        <f t="shared" si="32"/>
        <v/>
      </c>
      <c r="F679" s="46"/>
      <c r="G679" s="46"/>
      <c r="H679" s="46"/>
      <c r="I679" s="46"/>
      <c r="J679" s="46"/>
      <c r="K679" s="46"/>
      <c r="L679" s="46"/>
      <c r="M679" s="46"/>
    </row>
    <row r="680" spans="2:13" x14ac:dyDescent="0.25">
      <c r="B680" s="46"/>
      <c r="C680" s="40" t="str">
        <f t="shared" si="30"/>
        <v/>
      </c>
      <c r="D680" s="46" t="str">
        <f t="shared" si="31"/>
        <v/>
      </c>
      <c r="E680" s="46" t="str">
        <f t="shared" si="32"/>
        <v/>
      </c>
      <c r="F680" s="46"/>
      <c r="G680" s="46"/>
      <c r="H680" s="46"/>
      <c r="I680" s="46"/>
      <c r="J680" s="46"/>
      <c r="K680" s="46"/>
      <c r="L680" s="46"/>
      <c r="M680" s="46"/>
    </row>
    <row r="681" spans="2:13" x14ac:dyDescent="0.25">
      <c r="B681" s="46"/>
      <c r="C681" s="40" t="str">
        <f t="shared" si="30"/>
        <v/>
      </c>
      <c r="D681" s="46" t="str">
        <f t="shared" si="31"/>
        <v/>
      </c>
      <c r="E681" s="46" t="str">
        <f t="shared" si="32"/>
        <v/>
      </c>
      <c r="F681" s="46"/>
      <c r="G681" s="46"/>
      <c r="H681" s="46"/>
      <c r="I681" s="46"/>
      <c r="J681" s="46"/>
      <c r="K681" s="46"/>
      <c r="L681" s="46"/>
      <c r="M681" s="46"/>
    </row>
    <row r="682" spans="2:13" x14ac:dyDescent="0.25">
      <c r="B682" s="46"/>
      <c r="C682" s="40" t="str">
        <f t="shared" si="30"/>
        <v/>
      </c>
      <c r="D682" s="46" t="str">
        <f t="shared" si="31"/>
        <v/>
      </c>
      <c r="E682" s="46" t="str">
        <f t="shared" si="32"/>
        <v/>
      </c>
      <c r="F682" s="46"/>
      <c r="G682" s="46"/>
      <c r="H682" s="46"/>
      <c r="I682" s="46"/>
      <c r="J682" s="46"/>
      <c r="K682" s="46"/>
      <c r="L682" s="46"/>
      <c r="M682" s="46"/>
    </row>
    <row r="683" spans="2:13" x14ac:dyDescent="0.25">
      <c r="B683" s="46"/>
      <c r="C683" s="40" t="str">
        <f t="shared" si="30"/>
        <v/>
      </c>
      <c r="D683" s="46" t="str">
        <f t="shared" si="31"/>
        <v/>
      </c>
      <c r="E683" s="46" t="str">
        <f t="shared" si="32"/>
        <v/>
      </c>
      <c r="F683" s="46"/>
      <c r="G683" s="46"/>
      <c r="H683" s="46"/>
      <c r="I683" s="46"/>
      <c r="J683" s="46"/>
      <c r="K683" s="46"/>
      <c r="L683" s="46"/>
      <c r="M683" s="46"/>
    </row>
    <row r="684" spans="2:13" x14ac:dyDescent="0.25">
      <c r="B684" s="46"/>
      <c r="C684" s="40" t="str">
        <f t="shared" si="30"/>
        <v/>
      </c>
      <c r="D684" s="46" t="str">
        <f t="shared" si="31"/>
        <v/>
      </c>
      <c r="E684" s="46" t="str">
        <f t="shared" si="32"/>
        <v/>
      </c>
      <c r="F684" s="46"/>
      <c r="G684" s="46"/>
      <c r="H684" s="46"/>
      <c r="I684" s="46"/>
      <c r="J684" s="46"/>
      <c r="K684" s="46"/>
      <c r="L684" s="46"/>
      <c r="M684" s="46"/>
    </row>
    <row r="685" spans="2:13" x14ac:dyDescent="0.25">
      <c r="B685" s="46"/>
      <c r="C685" s="40" t="str">
        <f t="shared" si="30"/>
        <v/>
      </c>
      <c r="D685" s="46" t="str">
        <f t="shared" si="31"/>
        <v/>
      </c>
      <c r="E685" s="46" t="str">
        <f t="shared" si="32"/>
        <v/>
      </c>
      <c r="F685" s="46"/>
      <c r="G685" s="46"/>
      <c r="H685" s="46"/>
      <c r="I685" s="46"/>
      <c r="J685" s="46"/>
      <c r="K685" s="46"/>
      <c r="L685" s="46"/>
      <c r="M685" s="46"/>
    </row>
    <row r="686" spans="2:13" x14ac:dyDescent="0.25">
      <c r="B686" s="46"/>
      <c r="C686" s="40" t="str">
        <f t="shared" si="30"/>
        <v/>
      </c>
      <c r="D686" s="46" t="str">
        <f t="shared" si="31"/>
        <v/>
      </c>
      <c r="E686" s="46" t="str">
        <f t="shared" si="32"/>
        <v/>
      </c>
      <c r="F686" s="46"/>
      <c r="G686" s="46"/>
      <c r="H686" s="46"/>
      <c r="I686" s="46"/>
      <c r="J686" s="46"/>
      <c r="K686" s="46"/>
      <c r="L686" s="46"/>
      <c r="M686" s="46"/>
    </row>
    <row r="687" spans="2:13" x14ac:dyDescent="0.25">
      <c r="B687" s="46"/>
      <c r="C687" s="40" t="str">
        <f t="shared" si="30"/>
        <v/>
      </c>
      <c r="D687" s="46" t="str">
        <f t="shared" si="31"/>
        <v/>
      </c>
      <c r="E687" s="46" t="str">
        <f t="shared" si="32"/>
        <v/>
      </c>
      <c r="F687" s="46"/>
      <c r="G687" s="46"/>
      <c r="H687" s="46"/>
      <c r="I687" s="46"/>
      <c r="J687" s="46"/>
      <c r="K687" s="46"/>
      <c r="L687" s="46"/>
      <c r="M687" s="46"/>
    </row>
    <row r="688" spans="2:13" ht="30" customHeight="1" x14ac:dyDescent="0.25">
      <c r="B688" s="46"/>
      <c r="C688" s="40" t="str">
        <f t="shared" si="30"/>
        <v/>
      </c>
      <c r="D688" s="46" t="str">
        <f t="shared" si="31"/>
        <v/>
      </c>
      <c r="E688" s="46" t="str">
        <f t="shared" si="32"/>
        <v/>
      </c>
      <c r="F688" s="46"/>
      <c r="G688" s="46"/>
      <c r="H688" s="46"/>
      <c r="I688" s="46"/>
      <c r="J688" s="46"/>
      <c r="K688" s="46"/>
      <c r="L688" s="46"/>
      <c r="M688" s="46"/>
    </row>
    <row r="689" spans="2:13" x14ac:dyDescent="0.25">
      <c r="B689" s="46"/>
      <c r="C689" s="40" t="str">
        <f t="shared" si="30"/>
        <v/>
      </c>
      <c r="D689" s="46" t="str">
        <f t="shared" si="31"/>
        <v/>
      </c>
      <c r="E689" s="46" t="str">
        <f t="shared" si="32"/>
        <v/>
      </c>
      <c r="F689" s="46"/>
      <c r="G689" s="46"/>
      <c r="H689" s="46"/>
      <c r="I689" s="46"/>
      <c r="J689" s="46"/>
      <c r="K689" s="46"/>
      <c r="L689" s="46"/>
      <c r="M689" s="46"/>
    </row>
    <row r="690" spans="2:13" x14ac:dyDescent="0.25">
      <c r="B690" s="46"/>
      <c r="C690" s="40" t="str">
        <f t="shared" si="30"/>
        <v/>
      </c>
      <c r="D690" s="46" t="str">
        <f t="shared" si="31"/>
        <v/>
      </c>
      <c r="E690" s="46" t="str">
        <f t="shared" si="32"/>
        <v/>
      </c>
      <c r="F690" s="46"/>
      <c r="G690" s="46"/>
      <c r="H690" s="46"/>
      <c r="I690" s="46"/>
      <c r="J690" s="46"/>
      <c r="K690" s="46"/>
      <c r="L690" s="46"/>
      <c r="M690" s="46"/>
    </row>
    <row r="691" spans="2:13" x14ac:dyDescent="0.25">
      <c r="B691" s="46"/>
      <c r="C691" s="40" t="str">
        <f t="shared" si="30"/>
        <v/>
      </c>
      <c r="D691" s="46" t="str">
        <f t="shared" si="31"/>
        <v/>
      </c>
      <c r="E691" s="46" t="str">
        <f t="shared" si="32"/>
        <v/>
      </c>
      <c r="F691" s="46"/>
      <c r="G691" s="46"/>
      <c r="H691" s="46"/>
      <c r="I691" s="46"/>
      <c r="J691" s="46"/>
      <c r="K691" s="46"/>
      <c r="L691" s="46"/>
      <c r="M691" s="46"/>
    </row>
    <row r="692" spans="2:13" x14ac:dyDescent="0.25">
      <c r="B692" s="46"/>
      <c r="C692" s="40" t="str">
        <f t="shared" si="30"/>
        <v/>
      </c>
      <c r="D692" s="46" t="str">
        <f t="shared" si="31"/>
        <v/>
      </c>
      <c r="E692" s="46" t="str">
        <f t="shared" si="32"/>
        <v/>
      </c>
      <c r="F692" s="46"/>
      <c r="G692" s="46"/>
      <c r="H692" s="46"/>
      <c r="I692" s="46"/>
      <c r="J692" s="46"/>
      <c r="K692" s="46"/>
      <c r="L692" s="46"/>
      <c r="M692" s="46"/>
    </row>
    <row r="693" spans="2:13" x14ac:dyDescent="0.25">
      <c r="B693" s="46"/>
      <c r="C693" s="40" t="str">
        <f t="shared" si="30"/>
        <v/>
      </c>
      <c r="D693" s="46" t="str">
        <f t="shared" si="31"/>
        <v/>
      </c>
      <c r="E693" s="46" t="str">
        <f t="shared" si="32"/>
        <v/>
      </c>
      <c r="F693" s="46"/>
      <c r="G693" s="46"/>
      <c r="H693" s="46"/>
      <c r="I693" s="46"/>
      <c r="J693" s="46"/>
      <c r="K693" s="46"/>
      <c r="L693" s="46"/>
      <c r="M693" s="46"/>
    </row>
    <row r="694" spans="2:13" x14ac:dyDescent="0.25">
      <c r="B694" s="46"/>
      <c r="C694" s="40" t="str">
        <f t="shared" si="30"/>
        <v/>
      </c>
      <c r="D694" s="46" t="str">
        <f t="shared" si="31"/>
        <v/>
      </c>
      <c r="E694" s="46" t="str">
        <f t="shared" si="32"/>
        <v/>
      </c>
      <c r="F694" s="46"/>
      <c r="G694" s="46"/>
      <c r="H694" s="46"/>
      <c r="I694" s="46"/>
      <c r="J694" s="46"/>
      <c r="K694" s="46"/>
      <c r="L694" s="46"/>
      <c r="M694" s="46"/>
    </row>
    <row r="695" spans="2:13" x14ac:dyDescent="0.25">
      <c r="B695" s="46"/>
      <c r="C695" s="40" t="str">
        <f t="shared" si="30"/>
        <v/>
      </c>
      <c r="D695" s="46" t="str">
        <f t="shared" si="31"/>
        <v/>
      </c>
      <c r="E695" s="46" t="str">
        <f t="shared" si="32"/>
        <v/>
      </c>
      <c r="F695" s="46"/>
      <c r="G695" s="46"/>
      <c r="H695" s="46"/>
      <c r="I695" s="46"/>
      <c r="J695" s="46"/>
      <c r="K695" s="46"/>
      <c r="L695" s="46"/>
      <c r="M695" s="46"/>
    </row>
    <row r="696" spans="2:13" x14ac:dyDescent="0.25">
      <c r="B696" s="46"/>
      <c r="C696" s="40" t="str">
        <f t="shared" si="30"/>
        <v/>
      </c>
      <c r="D696" s="46" t="str">
        <f t="shared" si="31"/>
        <v/>
      </c>
      <c r="E696" s="46" t="str">
        <f t="shared" si="32"/>
        <v/>
      </c>
      <c r="F696" s="46"/>
      <c r="G696" s="46"/>
      <c r="H696" s="46"/>
      <c r="I696" s="46"/>
      <c r="J696" s="46"/>
      <c r="K696" s="46"/>
      <c r="L696" s="46"/>
      <c r="M696" s="46"/>
    </row>
    <row r="697" spans="2:13" x14ac:dyDescent="0.25">
      <c r="B697" s="46"/>
      <c r="C697" s="40" t="str">
        <f t="shared" si="30"/>
        <v/>
      </c>
      <c r="D697" s="46" t="str">
        <f t="shared" si="31"/>
        <v/>
      </c>
      <c r="E697" s="46" t="str">
        <f t="shared" si="32"/>
        <v/>
      </c>
      <c r="F697" s="46"/>
      <c r="G697" s="46"/>
      <c r="H697" s="46"/>
      <c r="I697" s="46"/>
      <c r="J697" s="46"/>
      <c r="K697" s="46"/>
      <c r="L697" s="46"/>
      <c r="M697" s="46"/>
    </row>
    <row r="698" spans="2:13" x14ac:dyDescent="0.25">
      <c r="B698" s="46"/>
      <c r="C698" s="40" t="str">
        <f t="shared" si="30"/>
        <v/>
      </c>
      <c r="D698" s="46" t="str">
        <f t="shared" si="31"/>
        <v/>
      </c>
      <c r="E698" s="46" t="str">
        <f t="shared" si="32"/>
        <v/>
      </c>
      <c r="F698" s="46"/>
      <c r="G698" s="46"/>
      <c r="H698" s="46"/>
      <c r="I698" s="46"/>
      <c r="J698" s="46"/>
      <c r="K698" s="46"/>
      <c r="L698" s="46"/>
      <c r="M698" s="46"/>
    </row>
    <row r="699" spans="2:13" x14ac:dyDescent="0.25">
      <c r="B699" s="46"/>
      <c r="C699" s="40" t="str">
        <f t="shared" si="30"/>
        <v/>
      </c>
      <c r="D699" s="46" t="str">
        <f t="shared" si="31"/>
        <v/>
      </c>
      <c r="E699" s="46" t="str">
        <f t="shared" si="32"/>
        <v/>
      </c>
      <c r="F699" s="46"/>
      <c r="G699" s="46"/>
      <c r="H699" s="46"/>
      <c r="I699" s="46"/>
      <c r="J699" s="46"/>
      <c r="K699" s="46"/>
      <c r="L699" s="46"/>
      <c r="M699" s="46"/>
    </row>
    <row r="700" spans="2:13" x14ac:dyDescent="0.25">
      <c r="B700" s="46"/>
      <c r="C700" s="40" t="str">
        <f t="shared" si="30"/>
        <v/>
      </c>
      <c r="D700" s="46" t="str">
        <f t="shared" si="31"/>
        <v/>
      </c>
      <c r="E700" s="46" t="str">
        <f t="shared" si="32"/>
        <v/>
      </c>
      <c r="F700" s="46"/>
      <c r="G700" s="46"/>
      <c r="H700" s="46"/>
      <c r="I700" s="46"/>
      <c r="J700" s="46"/>
      <c r="K700" s="46"/>
      <c r="L700" s="46"/>
      <c r="M700" s="46"/>
    </row>
    <row r="701" spans="2:13" x14ac:dyDescent="0.25">
      <c r="B701" s="46"/>
      <c r="C701" s="40" t="str">
        <f t="shared" si="30"/>
        <v/>
      </c>
      <c r="D701" s="46" t="str">
        <f t="shared" si="31"/>
        <v/>
      </c>
      <c r="E701" s="46" t="str">
        <f t="shared" si="32"/>
        <v/>
      </c>
      <c r="F701" s="46"/>
      <c r="G701" s="46"/>
      <c r="H701" s="46"/>
      <c r="I701" s="46"/>
      <c r="J701" s="46"/>
      <c r="K701" s="46"/>
      <c r="L701" s="46"/>
      <c r="M701" s="46"/>
    </row>
    <row r="702" spans="2:13" x14ac:dyDescent="0.25">
      <c r="B702" s="46"/>
      <c r="C702" s="40" t="str">
        <f t="shared" si="30"/>
        <v/>
      </c>
      <c r="D702" s="46" t="str">
        <f t="shared" si="31"/>
        <v/>
      </c>
      <c r="E702" s="46" t="str">
        <f t="shared" si="32"/>
        <v/>
      </c>
      <c r="F702" s="46"/>
      <c r="G702" s="46"/>
      <c r="H702" s="46"/>
      <c r="I702" s="46"/>
      <c r="J702" s="46"/>
      <c r="K702" s="46"/>
      <c r="L702" s="46"/>
      <c r="M702" s="46"/>
    </row>
    <row r="703" spans="2:13" x14ac:dyDescent="0.25">
      <c r="B703" s="46"/>
      <c r="C703" s="40" t="str">
        <f t="shared" si="30"/>
        <v/>
      </c>
      <c r="D703" s="46" t="str">
        <f t="shared" si="31"/>
        <v/>
      </c>
      <c r="E703" s="46" t="str">
        <f t="shared" si="32"/>
        <v/>
      </c>
      <c r="F703" s="46"/>
      <c r="G703" s="46"/>
      <c r="H703" s="46"/>
      <c r="I703" s="46"/>
      <c r="J703" s="46"/>
      <c r="K703" s="46"/>
      <c r="L703" s="46"/>
      <c r="M703" s="46"/>
    </row>
    <row r="704" spans="2:13" x14ac:dyDescent="0.25">
      <c r="B704" s="46"/>
      <c r="C704" s="40" t="str">
        <f t="shared" si="30"/>
        <v/>
      </c>
      <c r="D704" s="46" t="str">
        <f t="shared" si="31"/>
        <v/>
      </c>
      <c r="E704" s="46" t="str">
        <f t="shared" si="32"/>
        <v/>
      </c>
      <c r="F704" s="46"/>
      <c r="G704" s="46"/>
      <c r="H704" s="46"/>
      <c r="I704" s="46"/>
      <c r="J704" s="46"/>
      <c r="K704" s="46"/>
      <c r="L704" s="46"/>
      <c r="M704" s="46"/>
    </row>
    <row r="705" spans="2:13" x14ac:dyDescent="0.25">
      <c r="B705" s="46"/>
      <c r="C705" s="40" t="str">
        <f t="shared" si="30"/>
        <v/>
      </c>
      <c r="D705" s="46" t="str">
        <f t="shared" si="31"/>
        <v/>
      </c>
      <c r="E705" s="46" t="str">
        <f t="shared" si="32"/>
        <v/>
      </c>
      <c r="F705" s="46"/>
      <c r="G705" s="46"/>
      <c r="H705" s="46"/>
      <c r="I705" s="46"/>
      <c r="J705" s="46"/>
      <c r="K705" s="46"/>
      <c r="L705" s="46"/>
      <c r="M705" s="46"/>
    </row>
    <row r="706" spans="2:13" x14ac:dyDescent="0.25">
      <c r="B706" s="46"/>
      <c r="C706" s="40" t="str">
        <f t="shared" ref="C706:C769" si="33">IF(B706="","",MONTH(B706))</f>
        <v/>
      </c>
      <c r="D706" s="46" t="str">
        <f t="shared" ref="D706:D769" si="34">IF(B706="","",CHOOSE(C706,"Enero","Febrero","Marzo","Abril","Mayo","Junio","Julio","Agosto","Septiembre","Octubre","Noviembre","Diciembre"))</f>
        <v/>
      </c>
      <c r="E706" s="46" t="str">
        <f t="shared" ref="E706:E769" si="35">IF(B706="","",YEAR(B706))</f>
        <v/>
      </c>
      <c r="F706" s="46"/>
      <c r="G706" s="46"/>
      <c r="H706" s="46"/>
      <c r="I706" s="46"/>
      <c r="J706" s="46"/>
      <c r="K706" s="46"/>
      <c r="L706" s="46"/>
      <c r="M706" s="46"/>
    </row>
    <row r="707" spans="2:13" x14ac:dyDescent="0.25">
      <c r="B707" s="46"/>
      <c r="C707" s="40" t="str">
        <f t="shared" si="33"/>
        <v/>
      </c>
      <c r="D707" s="46" t="str">
        <f t="shared" si="34"/>
        <v/>
      </c>
      <c r="E707" s="46" t="str">
        <f t="shared" si="35"/>
        <v/>
      </c>
      <c r="F707" s="46"/>
      <c r="G707" s="46"/>
      <c r="H707" s="46"/>
      <c r="I707" s="46"/>
      <c r="J707" s="46"/>
      <c r="K707" s="46"/>
      <c r="L707" s="46"/>
      <c r="M707" s="46"/>
    </row>
    <row r="708" spans="2:13" x14ac:dyDescent="0.25">
      <c r="B708" s="46"/>
      <c r="C708" s="40" t="str">
        <f t="shared" si="33"/>
        <v/>
      </c>
      <c r="D708" s="46" t="str">
        <f t="shared" si="34"/>
        <v/>
      </c>
      <c r="E708" s="46" t="str">
        <f t="shared" si="35"/>
        <v/>
      </c>
      <c r="F708" s="46"/>
      <c r="G708" s="46"/>
      <c r="H708" s="46"/>
      <c r="I708" s="46"/>
      <c r="J708" s="46"/>
      <c r="K708" s="46"/>
      <c r="L708" s="46"/>
      <c r="M708" s="46"/>
    </row>
    <row r="709" spans="2:13" x14ac:dyDescent="0.25">
      <c r="B709" s="46"/>
      <c r="C709" s="40" t="str">
        <f t="shared" si="33"/>
        <v/>
      </c>
      <c r="D709" s="46" t="str">
        <f t="shared" si="34"/>
        <v/>
      </c>
      <c r="E709" s="46" t="str">
        <f t="shared" si="35"/>
        <v/>
      </c>
      <c r="F709" s="46"/>
      <c r="G709" s="46"/>
      <c r="H709" s="46"/>
      <c r="I709" s="46"/>
      <c r="J709" s="46"/>
      <c r="K709" s="46"/>
      <c r="L709" s="46"/>
      <c r="M709" s="46"/>
    </row>
    <row r="710" spans="2:13" x14ac:dyDescent="0.25">
      <c r="B710" s="46"/>
      <c r="C710" s="40" t="str">
        <f t="shared" si="33"/>
        <v/>
      </c>
      <c r="D710" s="46" t="str">
        <f t="shared" si="34"/>
        <v/>
      </c>
      <c r="E710" s="46" t="str">
        <f t="shared" si="35"/>
        <v/>
      </c>
      <c r="F710" s="46"/>
      <c r="G710" s="46"/>
      <c r="H710" s="46"/>
      <c r="I710" s="46"/>
      <c r="J710" s="46"/>
      <c r="K710" s="46"/>
      <c r="L710" s="46"/>
      <c r="M710" s="46"/>
    </row>
    <row r="711" spans="2:13" x14ac:dyDescent="0.25">
      <c r="B711" s="46"/>
      <c r="C711" s="40" t="str">
        <f t="shared" si="33"/>
        <v/>
      </c>
      <c r="D711" s="46" t="str">
        <f t="shared" si="34"/>
        <v/>
      </c>
      <c r="E711" s="46" t="str">
        <f t="shared" si="35"/>
        <v/>
      </c>
      <c r="F711" s="46"/>
      <c r="G711" s="46"/>
      <c r="H711" s="46"/>
      <c r="I711" s="46"/>
      <c r="J711" s="46"/>
      <c r="K711" s="46"/>
      <c r="L711" s="46"/>
      <c r="M711" s="46"/>
    </row>
    <row r="712" spans="2:13" x14ac:dyDescent="0.25">
      <c r="B712" s="46"/>
      <c r="C712" s="40" t="str">
        <f t="shared" si="33"/>
        <v/>
      </c>
      <c r="D712" s="46" t="str">
        <f t="shared" si="34"/>
        <v/>
      </c>
      <c r="E712" s="46" t="str">
        <f t="shared" si="35"/>
        <v/>
      </c>
      <c r="F712" s="46"/>
      <c r="G712" s="46"/>
      <c r="H712" s="46"/>
      <c r="I712" s="46"/>
      <c r="J712" s="46"/>
      <c r="K712" s="46"/>
      <c r="L712" s="46"/>
      <c r="M712" s="46"/>
    </row>
    <row r="713" spans="2:13" x14ac:dyDescent="0.25">
      <c r="B713" s="46"/>
      <c r="C713" s="40" t="str">
        <f t="shared" si="33"/>
        <v/>
      </c>
      <c r="D713" s="46" t="str">
        <f t="shared" si="34"/>
        <v/>
      </c>
      <c r="E713" s="46" t="str">
        <f t="shared" si="35"/>
        <v/>
      </c>
      <c r="F713" s="46"/>
      <c r="G713" s="46"/>
      <c r="H713" s="46"/>
      <c r="I713" s="46"/>
      <c r="J713" s="46"/>
      <c r="K713" s="46"/>
      <c r="L713" s="46"/>
      <c r="M713" s="46"/>
    </row>
    <row r="714" spans="2:13" x14ac:dyDescent="0.25">
      <c r="B714" s="46"/>
      <c r="C714" s="40" t="str">
        <f t="shared" si="33"/>
        <v/>
      </c>
      <c r="D714" s="46" t="str">
        <f t="shared" si="34"/>
        <v/>
      </c>
      <c r="E714" s="46" t="str">
        <f t="shared" si="35"/>
        <v/>
      </c>
      <c r="F714" s="46"/>
      <c r="G714" s="46"/>
      <c r="H714" s="46"/>
      <c r="I714" s="46"/>
      <c r="J714" s="46"/>
      <c r="K714" s="46"/>
      <c r="L714" s="46"/>
      <c r="M714" s="46"/>
    </row>
    <row r="715" spans="2:13" x14ac:dyDescent="0.25">
      <c r="B715" s="46"/>
      <c r="C715" s="40" t="str">
        <f t="shared" si="33"/>
        <v/>
      </c>
      <c r="D715" s="46" t="str">
        <f t="shared" si="34"/>
        <v/>
      </c>
      <c r="E715" s="46" t="str">
        <f t="shared" si="35"/>
        <v/>
      </c>
      <c r="F715" s="46"/>
      <c r="G715" s="46"/>
      <c r="H715" s="46"/>
      <c r="I715" s="46"/>
      <c r="J715" s="46"/>
      <c r="K715" s="46"/>
      <c r="L715" s="46"/>
      <c r="M715" s="46"/>
    </row>
    <row r="716" spans="2:13" x14ac:dyDescent="0.25">
      <c r="B716" s="46"/>
      <c r="C716" s="40" t="str">
        <f t="shared" si="33"/>
        <v/>
      </c>
      <c r="D716" s="46" t="str">
        <f t="shared" si="34"/>
        <v/>
      </c>
      <c r="E716" s="46" t="str">
        <f t="shared" si="35"/>
        <v/>
      </c>
      <c r="F716" s="46"/>
      <c r="G716" s="46"/>
      <c r="H716" s="46"/>
      <c r="I716" s="46"/>
      <c r="J716" s="46"/>
      <c r="K716" s="46"/>
      <c r="L716" s="46"/>
      <c r="M716" s="46"/>
    </row>
    <row r="717" spans="2:13" x14ac:dyDescent="0.25">
      <c r="B717" s="46"/>
      <c r="C717" s="40" t="str">
        <f t="shared" si="33"/>
        <v/>
      </c>
      <c r="D717" s="46" t="str">
        <f t="shared" si="34"/>
        <v/>
      </c>
      <c r="E717" s="46" t="str">
        <f t="shared" si="35"/>
        <v/>
      </c>
      <c r="F717" s="46"/>
      <c r="G717" s="46"/>
      <c r="H717" s="46"/>
      <c r="I717" s="46"/>
      <c r="J717" s="46"/>
      <c r="K717" s="46"/>
      <c r="L717" s="46"/>
      <c r="M717" s="46"/>
    </row>
    <row r="718" spans="2:13" x14ac:dyDescent="0.25">
      <c r="B718" s="46"/>
      <c r="C718" s="40" t="str">
        <f t="shared" si="33"/>
        <v/>
      </c>
      <c r="D718" s="46" t="str">
        <f t="shared" si="34"/>
        <v/>
      </c>
      <c r="E718" s="46" t="str">
        <f t="shared" si="35"/>
        <v/>
      </c>
      <c r="F718" s="46"/>
      <c r="G718" s="46"/>
      <c r="H718" s="46"/>
      <c r="I718" s="46"/>
      <c r="J718" s="46"/>
      <c r="K718" s="46"/>
      <c r="L718" s="46"/>
      <c r="M718" s="46"/>
    </row>
    <row r="719" spans="2:13" x14ac:dyDescent="0.25">
      <c r="B719" s="46"/>
      <c r="C719" s="40" t="str">
        <f t="shared" si="33"/>
        <v/>
      </c>
      <c r="D719" s="46" t="str">
        <f t="shared" si="34"/>
        <v/>
      </c>
      <c r="E719" s="46" t="str">
        <f t="shared" si="35"/>
        <v/>
      </c>
      <c r="F719" s="46"/>
      <c r="G719" s="46"/>
      <c r="H719" s="46"/>
      <c r="I719" s="46"/>
      <c r="J719" s="46"/>
      <c r="K719" s="46"/>
      <c r="L719" s="46"/>
      <c r="M719" s="46"/>
    </row>
    <row r="720" spans="2:13" x14ac:dyDescent="0.25">
      <c r="B720" s="46"/>
      <c r="C720" s="40" t="str">
        <f t="shared" si="33"/>
        <v/>
      </c>
      <c r="D720" s="46" t="str">
        <f t="shared" si="34"/>
        <v/>
      </c>
      <c r="E720" s="46" t="str">
        <f t="shared" si="35"/>
        <v/>
      </c>
      <c r="F720" s="46"/>
      <c r="G720" s="46"/>
      <c r="H720" s="46"/>
      <c r="I720" s="46"/>
      <c r="J720" s="46"/>
      <c r="K720" s="46"/>
      <c r="L720" s="46"/>
      <c r="M720" s="46"/>
    </row>
    <row r="721" spans="2:13" x14ac:dyDescent="0.25">
      <c r="B721" s="46"/>
      <c r="C721" s="40" t="str">
        <f t="shared" si="33"/>
        <v/>
      </c>
      <c r="D721" s="46" t="str">
        <f t="shared" si="34"/>
        <v/>
      </c>
      <c r="E721" s="46" t="str">
        <f t="shared" si="35"/>
        <v/>
      </c>
      <c r="F721" s="46"/>
      <c r="G721" s="46"/>
      <c r="H721" s="46"/>
      <c r="I721" s="46"/>
      <c r="J721" s="46"/>
      <c r="K721" s="46"/>
      <c r="L721" s="46"/>
      <c r="M721" s="46"/>
    </row>
    <row r="722" spans="2:13" x14ac:dyDescent="0.25">
      <c r="B722" s="46"/>
      <c r="C722" s="40" t="str">
        <f t="shared" si="33"/>
        <v/>
      </c>
      <c r="D722" s="46" t="str">
        <f t="shared" si="34"/>
        <v/>
      </c>
      <c r="E722" s="46" t="str">
        <f t="shared" si="35"/>
        <v/>
      </c>
      <c r="F722" s="46"/>
      <c r="G722" s="46"/>
      <c r="H722" s="46"/>
      <c r="I722" s="46"/>
      <c r="J722" s="46"/>
      <c r="K722" s="46"/>
      <c r="L722" s="46"/>
      <c r="M722" s="46"/>
    </row>
    <row r="723" spans="2:13" x14ac:dyDescent="0.25">
      <c r="B723" s="46"/>
      <c r="C723" s="40" t="str">
        <f t="shared" si="33"/>
        <v/>
      </c>
      <c r="D723" s="46" t="str">
        <f t="shared" si="34"/>
        <v/>
      </c>
      <c r="E723" s="46" t="str">
        <f t="shared" si="35"/>
        <v/>
      </c>
      <c r="F723" s="46"/>
      <c r="G723" s="46"/>
      <c r="H723" s="46"/>
      <c r="I723" s="46"/>
      <c r="J723" s="46"/>
      <c r="K723" s="46"/>
      <c r="L723" s="46"/>
      <c r="M723" s="46"/>
    </row>
    <row r="724" spans="2:13" x14ac:dyDescent="0.25">
      <c r="B724" s="46"/>
      <c r="C724" s="40" t="str">
        <f t="shared" si="33"/>
        <v/>
      </c>
      <c r="D724" s="46" t="str">
        <f t="shared" si="34"/>
        <v/>
      </c>
      <c r="E724" s="46" t="str">
        <f t="shared" si="35"/>
        <v/>
      </c>
      <c r="F724" s="46"/>
      <c r="G724" s="46"/>
      <c r="H724" s="46"/>
      <c r="I724" s="46"/>
      <c r="J724" s="46"/>
      <c r="K724" s="46"/>
      <c r="L724" s="46"/>
      <c r="M724" s="46"/>
    </row>
    <row r="725" spans="2:13" x14ac:dyDescent="0.25">
      <c r="B725" s="46"/>
      <c r="C725" s="40" t="str">
        <f t="shared" si="33"/>
        <v/>
      </c>
      <c r="D725" s="46" t="str">
        <f t="shared" si="34"/>
        <v/>
      </c>
      <c r="E725" s="46" t="str">
        <f t="shared" si="35"/>
        <v/>
      </c>
      <c r="F725" s="46"/>
      <c r="G725" s="46"/>
      <c r="H725" s="46"/>
      <c r="I725" s="46"/>
      <c r="J725" s="46"/>
      <c r="K725" s="46"/>
      <c r="L725" s="46"/>
      <c r="M725" s="46"/>
    </row>
    <row r="726" spans="2:13" x14ac:dyDescent="0.25">
      <c r="B726" s="46"/>
      <c r="C726" s="40" t="str">
        <f t="shared" si="33"/>
        <v/>
      </c>
      <c r="D726" s="46" t="str">
        <f t="shared" si="34"/>
        <v/>
      </c>
      <c r="E726" s="46" t="str">
        <f t="shared" si="35"/>
        <v/>
      </c>
      <c r="F726" s="46"/>
      <c r="G726" s="46"/>
      <c r="H726" s="46"/>
      <c r="I726" s="46"/>
      <c r="J726" s="46"/>
      <c r="K726" s="46"/>
      <c r="L726" s="46"/>
      <c r="M726" s="46"/>
    </row>
    <row r="727" spans="2:13" x14ac:dyDescent="0.25">
      <c r="B727" s="46"/>
      <c r="C727" s="40" t="str">
        <f t="shared" si="33"/>
        <v/>
      </c>
      <c r="D727" s="46" t="str">
        <f t="shared" si="34"/>
        <v/>
      </c>
      <c r="E727" s="46" t="str">
        <f t="shared" si="35"/>
        <v/>
      </c>
      <c r="F727" s="46"/>
      <c r="G727" s="46"/>
      <c r="H727" s="46"/>
      <c r="I727" s="46"/>
      <c r="J727" s="46"/>
      <c r="K727" s="46"/>
      <c r="L727" s="46"/>
      <c r="M727" s="46"/>
    </row>
    <row r="728" spans="2:13" x14ac:dyDescent="0.25">
      <c r="B728" s="46"/>
      <c r="C728" s="40" t="str">
        <f t="shared" si="33"/>
        <v/>
      </c>
      <c r="D728" s="46" t="str">
        <f t="shared" si="34"/>
        <v/>
      </c>
      <c r="E728" s="46" t="str">
        <f t="shared" si="35"/>
        <v/>
      </c>
      <c r="F728" s="46"/>
      <c r="G728" s="46"/>
      <c r="H728" s="46"/>
      <c r="I728" s="46"/>
      <c r="J728" s="46"/>
      <c r="K728" s="46"/>
      <c r="L728" s="46"/>
      <c r="M728" s="46"/>
    </row>
    <row r="729" spans="2:13" x14ac:dyDescent="0.25">
      <c r="B729" s="46"/>
      <c r="C729" s="40" t="str">
        <f t="shared" si="33"/>
        <v/>
      </c>
      <c r="D729" s="46" t="str">
        <f t="shared" si="34"/>
        <v/>
      </c>
      <c r="E729" s="46" t="str">
        <f t="shared" si="35"/>
        <v/>
      </c>
      <c r="F729" s="46"/>
      <c r="G729" s="46"/>
      <c r="H729" s="46"/>
      <c r="I729" s="46"/>
      <c r="J729" s="46"/>
      <c r="K729" s="46"/>
      <c r="L729" s="46"/>
      <c r="M729" s="46"/>
    </row>
    <row r="730" spans="2:13" x14ac:dyDescent="0.25">
      <c r="B730" s="46"/>
      <c r="C730" s="40" t="str">
        <f t="shared" si="33"/>
        <v/>
      </c>
      <c r="D730" s="46" t="str">
        <f t="shared" si="34"/>
        <v/>
      </c>
      <c r="E730" s="46" t="str">
        <f t="shared" si="35"/>
        <v/>
      </c>
      <c r="F730" s="46"/>
      <c r="G730" s="46"/>
      <c r="H730" s="46"/>
      <c r="I730" s="46"/>
      <c r="J730" s="46"/>
      <c r="K730" s="46"/>
      <c r="L730" s="46"/>
      <c r="M730" s="46"/>
    </row>
    <row r="731" spans="2:13" x14ac:dyDescent="0.25">
      <c r="B731" s="46"/>
      <c r="C731" s="40" t="str">
        <f t="shared" si="33"/>
        <v/>
      </c>
      <c r="D731" s="46" t="str">
        <f t="shared" si="34"/>
        <v/>
      </c>
      <c r="E731" s="46" t="str">
        <f t="shared" si="35"/>
        <v/>
      </c>
      <c r="F731" s="46"/>
      <c r="G731" s="46"/>
      <c r="H731" s="46"/>
      <c r="I731" s="46"/>
      <c r="J731" s="46"/>
      <c r="K731" s="46"/>
      <c r="L731" s="46"/>
      <c r="M731" s="46"/>
    </row>
    <row r="732" spans="2:13" x14ac:dyDescent="0.25">
      <c r="B732" s="46"/>
      <c r="C732" s="40" t="str">
        <f t="shared" si="33"/>
        <v/>
      </c>
      <c r="D732" s="46" t="str">
        <f t="shared" si="34"/>
        <v/>
      </c>
      <c r="E732" s="46" t="str">
        <f t="shared" si="35"/>
        <v/>
      </c>
      <c r="F732" s="46"/>
      <c r="G732" s="46"/>
      <c r="H732" s="46"/>
      <c r="I732" s="46"/>
      <c r="J732" s="46"/>
      <c r="K732" s="46"/>
      <c r="L732" s="46"/>
      <c r="M732" s="46"/>
    </row>
    <row r="733" spans="2:13" x14ac:dyDescent="0.25">
      <c r="B733" s="46"/>
      <c r="C733" s="40" t="str">
        <f t="shared" si="33"/>
        <v/>
      </c>
      <c r="D733" s="46" t="str">
        <f t="shared" si="34"/>
        <v/>
      </c>
      <c r="E733" s="46" t="str">
        <f t="shared" si="35"/>
        <v/>
      </c>
      <c r="F733" s="46"/>
      <c r="G733" s="46"/>
      <c r="H733" s="46"/>
      <c r="I733" s="46"/>
      <c r="J733" s="46"/>
      <c r="K733" s="46"/>
      <c r="L733" s="46"/>
      <c r="M733" s="46"/>
    </row>
    <row r="734" spans="2:13" x14ac:dyDescent="0.25">
      <c r="B734" s="46"/>
      <c r="C734" s="40" t="str">
        <f t="shared" si="33"/>
        <v/>
      </c>
      <c r="D734" s="46" t="str">
        <f t="shared" si="34"/>
        <v/>
      </c>
      <c r="E734" s="46" t="str">
        <f t="shared" si="35"/>
        <v/>
      </c>
      <c r="F734" s="46"/>
      <c r="G734" s="46"/>
      <c r="H734" s="46"/>
      <c r="I734" s="46"/>
      <c r="J734" s="46"/>
      <c r="K734" s="46"/>
      <c r="L734" s="46"/>
      <c r="M734" s="46"/>
    </row>
    <row r="735" spans="2:13" x14ac:dyDescent="0.25">
      <c r="B735" s="46"/>
      <c r="C735" s="40" t="str">
        <f t="shared" si="33"/>
        <v/>
      </c>
      <c r="D735" s="46" t="str">
        <f t="shared" si="34"/>
        <v/>
      </c>
      <c r="E735" s="46" t="str">
        <f t="shared" si="35"/>
        <v/>
      </c>
      <c r="F735" s="46"/>
      <c r="G735" s="46"/>
      <c r="H735" s="46"/>
      <c r="I735" s="46"/>
      <c r="J735" s="46"/>
      <c r="K735" s="46"/>
      <c r="L735" s="46"/>
      <c r="M735" s="46"/>
    </row>
    <row r="736" spans="2:13" x14ac:dyDescent="0.25">
      <c r="B736" s="46"/>
      <c r="C736" s="40" t="str">
        <f t="shared" si="33"/>
        <v/>
      </c>
      <c r="D736" s="46" t="str">
        <f t="shared" si="34"/>
        <v/>
      </c>
      <c r="E736" s="46" t="str">
        <f t="shared" si="35"/>
        <v/>
      </c>
      <c r="F736" s="46"/>
      <c r="G736" s="46"/>
      <c r="H736" s="46"/>
      <c r="I736" s="46"/>
      <c r="J736" s="46"/>
      <c r="K736" s="46"/>
      <c r="L736" s="46"/>
      <c r="M736" s="46"/>
    </row>
    <row r="737" spans="2:13" x14ac:dyDescent="0.25">
      <c r="B737" s="46"/>
      <c r="C737" s="40" t="str">
        <f t="shared" si="33"/>
        <v/>
      </c>
      <c r="D737" s="46" t="str">
        <f t="shared" si="34"/>
        <v/>
      </c>
      <c r="E737" s="46" t="str">
        <f t="shared" si="35"/>
        <v/>
      </c>
      <c r="F737" s="46"/>
      <c r="G737" s="46"/>
      <c r="H737" s="46"/>
      <c r="I737" s="46"/>
      <c r="J737" s="46"/>
      <c r="K737" s="46"/>
      <c r="L737" s="46"/>
      <c r="M737" s="46"/>
    </row>
    <row r="738" spans="2:13" x14ac:dyDescent="0.25">
      <c r="B738" s="46"/>
      <c r="C738" s="40" t="str">
        <f t="shared" si="33"/>
        <v/>
      </c>
      <c r="D738" s="46" t="str">
        <f t="shared" si="34"/>
        <v/>
      </c>
      <c r="E738" s="46" t="str">
        <f t="shared" si="35"/>
        <v/>
      </c>
      <c r="F738" s="46"/>
      <c r="G738" s="46"/>
      <c r="H738" s="46"/>
      <c r="I738" s="46"/>
      <c r="J738" s="46"/>
      <c r="K738" s="46"/>
      <c r="L738" s="46"/>
      <c r="M738" s="46"/>
    </row>
    <row r="739" spans="2:13" x14ac:dyDescent="0.25">
      <c r="B739" s="46"/>
      <c r="C739" s="40" t="str">
        <f t="shared" si="33"/>
        <v/>
      </c>
      <c r="D739" s="46" t="str">
        <f t="shared" si="34"/>
        <v/>
      </c>
      <c r="E739" s="46" t="str">
        <f t="shared" si="35"/>
        <v/>
      </c>
      <c r="F739" s="46"/>
      <c r="G739" s="46"/>
      <c r="H739" s="46"/>
      <c r="I739" s="46"/>
      <c r="J739" s="46"/>
      <c r="K739" s="46"/>
      <c r="L739" s="46"/>
      <c r="M739" s="46"/>
    </row>
    <row r="740" spans="2:13" x14ac:dyDescent="0.25">
      <c r="B740" s="46"/>
      <c r="C740" s="40" t="str">
        <f t="shared" si="33"/>
        <v/>
      </c>
      <c r="D740" s="46" t="str">
        <f t="shared" si="34"/>
        <v/>
      </c>
      <c r="E740" s="46" t="str">
        <f t="shared" si="35"/>
        <v/>
      </c>
      <c r="F740" s="46"/>
      <c r="G740" s="46"/>
      <c r="H740" s="46"/>
      <c r="I740" s="46"/>
      <c r="J740" s="46"/>
      <c r="K740" s="46"/>
      <c r="L740" s="46"/>
      <c r="M740" s="46"/>
    </row>
    <row r="741" spans="2:13" x14ac:dyDescent="0.25">
      <c r="B741" s="46"/>
      <c r="C741" s="40" t="str">
        <f t="shared" si="33"/>
        <v/>
      </c>
      <c r="D741" s="46" t="str">
        <f t="shared" si="34"/>
        <v/>
      </c>
      <c r="E741" s="46" t="str">
        <f t="shared" si="35"/>
        <v/>
      </c>
      <c r="F741" s="46"/>
      <c r="G741" s="46"/>
      <c r="H741" s="46"/>
      <c r="I741" s="46"/>
      <c r="J741" s="46"/>
      <c r="K741" s="46"/>
      <c r="L741" s="46"/>
      <c r="M741" s="46"/>
    </row>
    <row r="742" spans="2:13" x14ac:dyDescent="0.25">
      <c r="B742" s="46"/>
      <c r="C742" s="40" t="str">
        <f t="shared" si="33"/>
        <v/>
      </c>
      <c r="D742" s="46" t="str">
        <f t="shared" si="34"/>
        <v/>
      </c>
      <c r="E742" s="46" t="str">
        <f t="shared" si="35"/>
        <v/>
      </c>
      <c r="F742" s="46"/>
      <c r="G742" s="46"/>
      <c r="H742" s="46"/>
      <c r="I742" s="46"/>
      <c r="J742" s="46"/>
      <c r="K742" s="46"/>
      <c r="L742" s="46"/>
      <c r="M742" s="46"/>
    </row>
    <row r="743" spans="2:13" x14ac:dyDescent="0.25">
      <c r="B743" s="46"/>
      <c r="C743" s="40" t="str">
        <f t="shared" si="33"/>
        <v/>
      </c>
      <c r="D743" s="46" t="str">
        <f t="shared" si="34"/>
        <v/>
      </c>
      <c r="E743" s="46" t="str">
        <f t="shared" si="35"/>
        <v/>
      </c>
      <c r="F743" s="46"/>
      <c r="G743" s="46"/>
      <c r="H743" s="46"/>
      <c r="I743" s="46"/>
      <c r="J743" s="46"/>
      <c r="K743" s="46"/>
      <c r="L743" s="46"/>
      <c r="M743" s="46"/>
    </row>
    <row r="744" spans="2:13" x14ac:dyDescent="0.25">
      <c r="B744" s="46"/>
      <c r="C744" s="40" t="str">
        <f t="shared" si="33"/>
        <v/>
      </c>
      <c r="D744" s="46" t="str">
        <f t="shared" si="34"/>
        <v/>
      </c>
      <c r="E744" s="46" t="str">
        <f t="shared" si="35"/>
        <v/>
      </c>
      <c r="F744" s="46"/>
      <c r="G744" s="46"/>
      <c r="H744" s="46"/>
      <c r="I744" s="46"/>
      <c r="J744" s="46"/>
      <c r="K744" s="46"/>
      <c r="L744" s="46"/>
      <c r="M744" s="46"/>
    </row>
    <row r="745" spans="2:13" x14ac:dyDescent="0.25">
      <c r="B745" s="46"/>
      <c r="C745" s="40" t="str">
        <f t="shared" si="33"/>
        <v/>
      </c>
      <c r="D745" s="46" t="str">
        <f t="shared" si="34"/>
        <v/>
      </c>
      <c r="E745" s="46" t="str">
        <f t="shared" si="35"/>
        <v/>
      </c>
      <c r="F745" s="46"/>
      <c r="G745" s="46"/>
      <c r="H745" s="46"/>
      <c r="I745" s="46"/>
      <c r="J745" s="46"/>
      <c r="K745" s="46"/>
      <c r="L745" s="46"/>
      <c r="M745" s="46"/>
    </row>
    <row r="746" spans="2:13" x14ac:dyDescent="0.25">
      <c r="B746" s="46"/>
      <c r="C746" s="40" t="str">
        <f t="shared" si="33"/>
        <v/>
      </c>
      <c r="D746" s="46" t="str">
        <f t="shared" si="34"/>
        <v/>
      </c>
      <c r="E746" s="46" t="str">
        <f t="shared" si="35"/>
        <v/>
      </c>
      <c r="F746" s="46"/>
      <c r="G746" s="46"/>
      <c r="H746" s="46"/>
      <c r="I746" s="46"/>
      <c r="J746" s="46"/>
      <c r="K746" s="46"/>
      <c r="L746" s="46"/>
      <c r="M746" s="46"/>
    </row>
    <row r="747" spans="2:13" x14ac:dyDescent="0.25">
      <c r="B747" s="46"/>
      <c r="C747" s="40" t="str">
        <f t="shared" si="33"/>
        <v/>
      </c>
      <c r="D747" s="46" t="str">
        <f t="shared" si="34"/>
        <v/>
      </c>
      <c r="E747" s="46" t="str">
        <f t="shared" si="35"/>
        <v/>
      </c>
      <c r="F747" s="46"/>
      <c r="G747" s="46"/>
      <c r="H747" s="46"/>
      <c r="I747" s="46"/>
      <c r="J747" s="46"/>
      <c r="K747" s="46"/>
      <c r="L747" s="46"/>
      <c r="M747" s="46"/>
    </row>
    <row r="748" spans="2:13" x14ac:dyDescent="0.25">
      <c r="B748" s="46"/>
      <c r="C748" s="40" t="str">
        <f t="shared" si="33"/>
        <v/>
      </c>
      <c r="D748" s="46" t="str">
        <f t="shared" si="34"/>
        <v/>
      </c>
      <c r="E748" s="46" t="str">
        <f t="shared" si="35"/>
        <v/>
      </c>
      <c r="F748" s="46"/>
      <c r="G748" s="46"/>
      <c r="H748" s="46"/>
      <c r="I748" s="46"/>
      <c r="J748" s="46"/>
      <c r="K748" s="46"/>
      <c r="L748" s="46"/>
      <c r="M748" s="46"/>
    </row>
    <row r="749" spans="2:13" x14ac:dyDescent="0.25">
      <c r="B749" s="46"/>
      <c r="C749" s="40" t="str">
        <f t="shared" si="33"/>
        <v/>
      </c>
      <c r="D749" s="46" t="str">
        <f t="shared" si="34"/>
        <v/>
      </c>
      <c r="E749" s="46" t="str">
        <f t="shared" si="35"/>
        <v/>
      </c>
      <c r="F749" s="46"/>
      <c r="G749" s="46"/>
      <c r="H749" s="46"/>
      <c r="I749" s="46"/>
      <c r="J749" s="46"/>
      <c r="K749" s="46"/>
      <c r="L749" s="46"/>
      <c r="M749" s="46"/>
    </row>
    <row r="750" spans="2:13" x14ac:dyDescent="0.25">
      <c r="B750" s="46"/>
      <c r="C750" s="40" t="str">
        <f t="shared" si="33"/>
        <v/>
      </c>
      <c r="D750" s="46" t="str">
        <f t="shared" si="34"/>
        <v/>
      </c>
      <c r="E750" s="46" t="str">
        <f t="shared" si="35"/>
        <v/>
      </c>
      <c r="F750" s="46"/>
      <c r="G750" s="46"/>
      <c r="H750" s="46"/>
      <c r="I750" s="46"/>
      <c r="J750" s="46"/>
      <c r="K750" s="46"/>
      <c r="L750" s="46"/>
      <c r="M750" s="46"/>
    </row>
    <row r="751" spans="2:13" x14ac:dyDescent="0.25">
      <c r="B751" s="46"/>
      <c r="C751" s="40" t="str">
        <f t="shared" si="33"/>
        <v/>
      </c>
      <c r="D751" s="46" t="str">
        <f t="shared" si="34"/>
        <v/>
      </c>
      <c r="E751" s="46" t="str">
        <f t="shared" si="35"/>
        <v/>
      </c>
      <c r="F751" s="46"/>
      <c r="G751" s="46"/>
      <c r="H751" s="46"/>
      <c r="I751" s="46"/>
      <c r="J751" s="46"/>
      <c r="K751" s="46"/>
      <c r="L751" s="46"/>
      <c r="M751" s="46"/>
    </row>
    <row r="752" spans="2:13" x14ac:dyDescent="0.25">
      <c r="B752" s="46"/>
      <c r="C752" s="40" t="str">
        <f t="shared" si="33"/>
        <v/>
      </c>
      <c r="D752" s="46" t="str">
        <f t="shared" si="34"/>
        <v/>
      </c>
      <c r="E752" s="46" t="str">
        <f t="shared" si="35"/>
        <v/>
      </c>
      <c r="F752" s="46"/>
      <c r="G752" s="46"/>
      <c r="H752" s="46"/>
      <c r="I752" s="46"/>
      <c r="J752" s="46"/>
      <c r="K752" s="46"/>
      <c r="L752" s="46"/>
      <c r="M752" s="46"/>
    </row>
    <row r="753" spans="2:13" x14ac:dyDescent="0.25">
      <c r="B753" s="46"/>
      <c r="C753" s="40" t="str">
        <f t="shared" si="33"/>
        <v/>
      </c>
      <c r="D753" s="46" t="str">
        <f t="shared" si="34"/>
        <v/>
      </c>
      <c r="E753" s="46" t="str">
        <f t="shared" si="35"/>
        <v/>
      </c>
      <c r="F753" s="46"/>
      <c r="G753" s="46"/>
      <c r="H753" s="46"/>
      <c r="I753" s="46"/>
      <c r="J753" s="46"/>
      <c r="K753" s="46"/>
      <c r="L753" s="46"/>
      <c r="M753" s="46"/>
    </row>
    <row r="754" spans="2:13" x14ac:dyDescent="0.25">
      <c r="B754" s="46"/>
      <c r="C754" s="40" t="str">
        <f t="shared" si="33"/>
        <v/>
      </c>
      <c r="D754" s="46" t="str">
        <f t="shared" si="34"/>
        <v/>
      </c>
      <c r="E754" s="46" t="str">
        <f t="shared" si="35"/>
        <v/>
      </c>
      <c r="F754" s="46"/>
      <c r="G754" s="46"/>
      <c r="H754" s="46"/>
      <c r="I754" s="46"/>
      <c r="J754" s="46"/>
      <c r="K754" s="46"/>
      <c r="L754" s="46"/>
      <c r="M754" s="46"/>
    </row>
    <row r="755" spans="2:13" x14ac:dyDescent="0.25">
      <c r="B755" s="46"/>
      <c r="C755" s="40" t="str">
        <f t="shared" si="33"/>
        <v/>
      </c>
      <c r="D755" s="46" t="str">
        <f t="shared" si="34"/>
        <v/>
      </c>
      <c r="E755" s="46" t="str">
        <f t="shared" si="35"/>
        <v/>
      </c>
      <c r="F755" s="46"/>
      <c r="G755" s="46"/>
      <c r="H755" s="46"/>
      <c r="I755" s="46"/>
      <c r="J755" s="46"/>
      <c r="K755" s="46"/>
      <c r="L755" s="46"/>
      <c r="M755" s="46"/>
    </row>
    <row r="756" spans="2:13" x14ac:dyDescent="0.25">
      <c r="B756" s="46"/>
      <c r="C756" s="40" t="str">
        <f t="shared" si="33"/>
        <v/>
      </c>
      <c r="D756" s="46" t="str">
        <f t="shared" si="34"/>
        <v/>
      </c>
      <c r="E756" s="46" t="str">
        <f t="shared" si="35"/>
        <v/>
      </c>
      <c r="F756" s="46"/>
      <c r="G756" s="46"/>
      <c r="H756" s="46"/>
      <c r="I756" s="46"/>
      <c r="J756" s="46"/>
      <c r="K756" s="46"/>
      <c r="L756" s="46"/>
      <c r="M756" s="46"/>
    </row>
    <row r="757" spans="2:13" x14ac:dyDescent="0.25">
      <c r="B757" s="46"/>
      <c r="C757" s="40" t="str">
        <f t="shared" si="33"/>
        <v/>
      </c>
      <c r="D757" s="46" t="str">
        <f t="shared" si="34"/>
        <v/>
      </c>
      <c r="E757" s="46" t="str">
        <f t="shared" si="35"/>
        <v/>
      </c>
      <c r="F757" s="46"/>
      <c r="G757" s="46"/>
      <c r="H757" s="46"/>
      <c r="I757" s="46"/>
      <c r="J757" s="46"/>
      <c r="K757" s="46"/>
      <c r="L757" s="46"/>
      <c r="M757" s="46"/>
    </row>
    <row r="758" spans="2:13" x14ac:dyDescent="0.25">
      <c r="B758" s="46"/>
      <c r="C758" s="40" t="str">
        <f t="shared" si="33"/>
        <v/>
      </c>
      <c r="D758" s="46" t="str">
        <f t="shared" si="34"/>
        <v/>
      </c>
      <c r="E758" s="46" t="str">
        <f t="shared" si="35"/>
        <v/>
      </c>
      <c r="F758" s="46"/>
      <c r="G758" s="46"/>
      <c r="H758" s="46"/>
      <c r="I758" s="46"/>
      <c r="J758" s="46"/>
      <c r="K758" s="46"/>
      <c r="L758" s="46"/>
      <c r="M758" s="46"/>
    </row>
    <row r="759" spans="2:13" x14ac:dyDescent="0.25">
      <c r="B759" s="46"/>
      <c r="C759" s="40" t="str">
        <f t="shared" si="33"/>
        <v/>
      </c>
      <c r="D759" s="46" t="str">
        <f t="shared" si="34"/>
        <v/>
      </c>
      <c r="E759" s="46" t="str">
        <f t="shared" si="35"/>
        <v/>
      </c>
      <c r="F759" s="46"/>
      <c r="G759" s="46"/>
      <c r="H759" s="46"/>
      <c r="I759" s="46"/>
      <c r="J759" s="46"/>
      <c r="K759" s="46"/>
      <c r="L759" s="46"/>
      <c r="M759" s="46"/>
    </row>
    <row r="760" spans="2:13" x14ac:dyDescent="0.25">
      <c r="B760" s="46"/>
      <c r="C760" s="40" t="str">
        <f t="shared" si="33"/>
        <v/>
      </c>
      <c r="D760" s="46" t="str">
        <f t="shared" si="34"/>
        <v/>
      </c>
      <c r="E760" s="46" t="str">
        <f t="shared" si="35"/>
        <v/>
      </c>
      <c r="F760" s="46"/>
      <c r="G760" s="46"/>
      <c r="H760" s="46"/>
      <c r="I760" s="46"/>
      <c r="J760" s="46"/>
      <c r="K760" s="46"/>
      <c r="L760" s="46"/>
      <c r="M760" s="46"/>
    </row>
    <row r="761" spans="2:13" x14ac:dyDescent="0.25">
      <c r="B761" s="46"/>
      <c r="C761" s="40" t="str">
        <f t="shared" si="33"/>
        <v/>
      </c>
      <c r="D761" s="46" t="str">
        <f t="shared" si="34"/>
        <v/>
      </c>
      <c r="E761" s="46" t="str">
        <f t="shared" si="35"/>
        <v/>
      </c>
      <c r="F761" s="46"/>
      <c r="G761" s="46"/>
      <c r="H761" s="46"/>
      <c r="I761" s="46"/>
      <c r="J761" s="46"/>
      <c r="K761" s="46"/>
      <c r="L761" s="46"/>
      <c r="M761" s="46"/>
    </row>
    <row r="762" spans="2:13" x14ac:dyDescent="0.25">
      <c r="B762" s="46"/>
      <c r="C762" s="40" t="str">
        <f t="shared" si="33"/>
        <v/>
      </c>
      <c r="D762" s="46" t="str">
        <f t="shared" si="34"/>
        <v/>
      </c>
      <c r="E762" s="46" t="str">
        <f t="shared" si="35"/>
        <v/>
      </c>
      <c r="F762" s="46"/>
      <c r="G762" s="46"/>
      <c r="H762" s="46"/>
      <c r="I762" s="46"/>
      <c r="J762" s="46"/>
      <c r="K762" s="46"/>
      <c r="L762" s="46"/>
      <c r="M762" s="46"/>
    </row>
    <row r="763" spans="2:13" x14ac:dyDescent="0.25">
      <c r="B763" s="46"/>
      <c r="C763" s="40" t="str">
        <f t="shared" si="33"/>
        <v/>
      </c>
      <c r="D763" s="46" t="str">
        <f t="shared" si="34"/>
        <v/>
      </c>
      <c r="E763" s="46" t="str">
        <f t="shared" si="35"/>
        <v/>
      </c>
      <c r="F763" s="46"/>
      <c r="G763" s="46"/>
      <c r="H763" s="46"/>
      <c r="I763" s="46"/>
      <c r="J763" s="46"/>
      <c r="K763" s="46"/>
      <c r="L763" s="46"/>
      <c r="M763" s="46"/>
    </row>
    <row r="764" spans="2:13" x14ac:dyDescent="0.25">
      <c r="B764" s="46"/>
      <c r="C764" s="40" t="str">
        <f t="shared" si="33"/>
        <v/>
      </c>
      <c r="D764" s="46" t="str">
        <f t="shared" si="34"/>
        <v/>
      </c>
      <c r="E764" s="46" t="str">
        <f t="shared" si="35"/>
        <v/>
      </c>
      <c r="F764" s="46"/>
      <c r="G764" s="46"/>
      <c r="H764" s="46"/>
      <c r="I764" s="46"/>
      <c r="J764" s="46"/>
      <c r="K764" s="46"/>
      <c r="L764" s="46"/>
      <c r="M764" s="46"/>
    </row>
    <row r="765" spans="2:13" x14ac:dyDescent="0.25">
      <c r="B765" s="46"/>
      <c r="C765" s="40" t="str">
        <f t="shared" si="33"/>
        <v/>
      </c>
      <c r="D765" s="46" t="str">
        <f t="shared" si="34"/>
        <v/>
      </c>
      <c r="E765" s="46" t="str">
        <f t="shared" si="35"/>
        <v/>
      </c>
      <c r="F765" s="46"/>
      <c r="G765" s="46"/>
      <c r="H765" s="46"/>
      <c r="I765" s="46"/>
      <c r="J765" s="46"/>
      <c r="K765" s="46"/>
      <c r="L765" s="46"/>
      <c r="M765" s="46"/>
    </row>
    <row r="766" spans="2:13" x14ac:dyDescent="0.25">
      <c r="B766" s="46"/>
      <c r="C766" s="40" t="str">
        <f t="shared" si="33"/>
        <v/>
      </c>
      <c r="D766" s="46" t="str">
        <f t="shared" si="34"/>
        <v/>
      </c>
      <c r="E766" s="46" t="str">
        <f t="shared" si="35"/>
        <v/>
      </c>
      <c r="F766" s="46"/>
      <c r="G766" s="46"/>
      <c r="H766" s="46"/>
      <c r="I766" s="46"/>
      <c r="J766" s="46"/>
      <c r="K766" s="46"/>
      <c r="L766" s="46"/>
      <c r="M766" s="46"/>
    </row>
    <row r="767" spans="2:13" x14ac:dyDescent="0.25">
      <c r="B767" s="46"/>
      <c r="C767" s="40" t="str">
        <f t="shared" si="33"/>
        <v/>
      </c>
      <c r="D767" s="46" t="str">
        <f t="shared" si="34"/>
        <v/>
      </c>
      <c r="E767" s="46" t="str">
        <f t="shared" si="35"/>
        <v/>
      </c>
      <c r="F767" s="46"/>
      <c r="G767" s="46"/>
      <c r="H767" s="46"/>
      <c r="I767" s="46"/>
      <c r="J767" s="46"/>
      <c r="K767" s="46"/>
      <c r="L767" s="46"/>
      <c r="M767" s="46"/>
    </row>
    <row r="768" spans="2:13" x14ac:dyDescent="0.25">
      <c r="B768" s="46"/>
      <c r="C768" s="40" t="str">
        <f t="shared" si="33"/>
        <v/>
      </c>
      <c r="D768" s="46" t="str">
        <f t="shared" si="34"/>
        <v/>
      </c>
      <c r="E768" s="46" t="str">
        <f t="shared" si="35"/>
        <v/>
      </c>
      <c r="F768" s="46"/>
      <c r="G768" s="46"/>
      <c r="H768" s="46"/>
      <c r="I768" s="46"/>
      <c r="J768" s="46"/>
      <c r="K768" s="46"/>
      <c r="L768" s="46"/>
      <c r="M768" s="46"/>
    </row>
    <row r="769" spans="2:13" x14ac:dyDescent="0.25">
      <c r="B769" s="46"/>
      <c r="C769" s="40" t="str">
        <f t="shared" si="33"/>
        <v/>
      </c>
      <c r="D769" s="46" t="str">
        <f t="shared" si="34"/>
        <v/>
      </c>
      <c r="E769" s="46" t="str">
        <f t="shared" si="35"/>
        <v/>
      </c>
      <c r="F769" s="46"/>
      <c r="G769" s="46"/>
      <c r="H769" s="46"/>
      <c r="I769" s="46"/>
      <c r="J769" s="46"/>
      <c r="K769" s="46"/>
      <c r="L769" s="46"/>
      <c r="M769" s="46"/>
    </row>
    <row r="770" spans="2:13" x14ac:dyDescent="0.25">
      <c r="B770" s="46"/>
      <c r="C770" s="40" t="str">
        <f t="shared" ref="C770:C833" si="36">IF(B770="","",MONTH(B770))</f>
        <v/>
      </c>
      <c r="D770" s="46" t="str">
        <f t="shared" ref="D770:D833" si="37">IF(B770="","",CHOOSE(C770,"Enero","Febrero","Marzo","Abril","Mayo","Junio","Julio","Agosto","Septiembre","Octubre","Noviembre","Diciembre"))</f>
        <v/>
      </c>
      <c r="E770" s="46" t="str">
        <f t="shared" ref="E770:E833" si="38">IF(B770="","",YEAR(B770))</f>
        <v/>
      </c>
      <c r="F770" s="46"/>
      <c r="G770" s="46"/>
      <c r="H770" s="46"/>
      <c r="I770" s="46"/>
      <c r="J770" s="46"/>
      <c r="K770" s="46"/>
      <c r="L770" s="46"/>
      <c r="M770" s="46"/>
    </row>
    <row r="771" spans="2:13" x14ac:dyDescent="0.25">
      <c r="B771" s="46"/>
      <c r="C771" s="40" t="str">
        <f t="shared" si="36"/>
        <v/>
      </c>
      <c r="D771" s="46" t="str">
        <f t="shared" si="37"/>
        <v/>
      </c>
      <c r="E771" s="46" t="str">
        <f t="shared" si="38"/>
        <v/>
      </c>
      <c r="F771" s="46"/>
      <c r="G771" s="46"/>
      <c r="H771" s="46"/>
      <c r="I771" s="46"/>
      <c r="J771" s="46"/>
      <c r="K771" s="46"/>
      <c r="L771" s="46"/>
      <c r="M771" s="46"/>
    </row>
    <row r="772" spans="2:13" x14ac:dyDescent="0.25">
      <c r="B772" s="46"/>
      <c r="C772" s="40" t="str">
        <f t="shared" si="36"/>
        <v/>
      </c>
      <c r="D772" s="46" t="str">
        <f t="shared" si="37"/>
        <v/>
      </c>
      <c r="E772" s="46" t="str">
        <f t="shared" si="38"/>
        <v/>
      </c>
      <c r="F772" s="46"/>
      <c r="G772" s="46"/>
      <c r="H772" s="46"/>
      <c r="I772" s="46"/>
      <c r="J772" s="46"/>
      <c r="K772" s="46"/>
      <c r="L772" s="46"/>
      <c r="M772" s="46"/>
    </row>
    <row r="773" spans="2:13" x14ac:dyDescent="0.25">
      <c r="B773" s="46"/>
      <c r="C773" s="40" t="str">
        <f t="shared" si="36"/>
        <v/>
      </c>
      <c r="D773" s="46" t="str">
        <f t="shared" si="37"/>
        <v/>
      </c>
      <c r="E773" s="46" t="str">
        <f t="shared" si="38"/>
        <v/>
      </c>
      <c r="F773" s="46"/>
      <c r="G773" s="46"/>
      <c r="H773" s="46"/>
      <c r="I773" s="46"/>
      <c r="J773" s="46"/>
      <c r="K773" s="46"/>
      <c r="L773" s="46"/>
      <c r="M773" s="46"/>
    </row>
    <row r="774" spans="2:13" x14ac:dyDescent="0.25">
      <c r="B774" s="46"/>
      <c r="C774" s="40" t="str">
        <f t="shared" si="36"/>
        <v/>
      </c>
      <c r="D774" s="46" t="str">
        <f t="shared" si="37"/>
        <v/>
      </c>
      <c r="E774" s="46" t="str">
        <f t="shared" si="38"/>
        <v/>
      </c>
      <c r="F774" s="46"/>
      <c r="G774" s="46"/>
      <c r="H774" s="46"/>
      <c r="I774" s="46"/>
      <c r="J774" s="46"/>
      <c r="K774" s="46"/>
      <c r="L774" s="46"/>
      <c r="M774" s="46"/>
    </row>
    <row r="775" spans="2:13" x14ac:dyDescent="0.25">
      <c r="B775" s="46"/>
      <c r="C775" s="40" t="str">
        <f t="shared" si="36"/>
        <v/>
      </c>
      <c r="D775" s="46" t="str">
        <f t="shared" si="37"/>
        <v/>
      </c>
      <c r="E775" s="46" t="str">
        <f t="shared" si="38"/>
        <v/>
      </c>
      <c r="F775" s="46"/>
      <c r="G775" s="46"/>
      <c r="H775" s="46"/>
      <c r="I775" s="46"/>
      <c r="J775" s="46"/>
      <c r="K775" s="46"/>
      <c r="L775" s="46"/>
      <c r="M775" s="46"/>
    </row>
    <row r="776" spans="2:13" x14ac:dyDescent="0.25">
      <c r="B776" s="46"/>
      <c r="C776" s="40" t="str">
        <f t="shared" si="36"/>
        <v/>
      </c>
      <c r="D776" s="46" t="str">
        <f t="shared" si="37"/>
        <v/>
      </c>
      <c r="E776" s="46" t="str">
        <f t="shared" si="38"/>
        <v/>
      </c>
      <c r="F776" s="46"/>
      <c r="G776" s="46"/>
      <c r="H776" s="46"/>
      <c r="I776" s="46"/>
      <c r="J776" s="46"/>
      <c r="K776" s="46"/>
      <c r="L776" s="46"/>
      <c r="M776" s="46"/>
    </row>
    <row r="777" spans="2:13" x14ac:dyDescent="0.25">
      <c r="B777" s="46"/>
      <c r="C777" s="40" t="str">
        <f t="shared" si="36"/>
        <v/>
      </c>
      <c r="D777" s="46" t="str">
        <f t="shared" si="37"/>
        <v/>
      </c>
      <c r="E777" s="46" t="str">
        <f t="shared" si="38"/>
        <v/>
      </c>
      <c r="F777" s="46"/>
      <c r="G777" s="46"/>
      <c r="H777" s="46"/>
      <c r="I777" s="46"/>
      <c r="J777" s="46"/>
      <c r="K777" s="46"/>
      <c r="L777" s="46"/>
      <c r="M777" s="46"/>
    </row>
    <row r="778" spans="2:13" x14ac:dyDescent="0.25">
      <c r="B778" s="46"/>
      <c r="C778" s="40" t="str">
        <f t="shared" si="36"/>
        <v/>
      </c>
      <c r="D778" s="46" t="str">
        <f t="shared" si="37"/>
        <v/>
      </c>
      <c r="E778" s="46" t="str">
        <f t="shared" si="38"/>
        <v/>
      </c>
      <c r="F778" s="46"/>
      <c r="G778" s="46"/>
      <c r="H778" s="46"/>
      <c r="I778" s="46"/>
      <c r="J778" s="46"/>
      <c r="K778" s="46"/>
      <c r="L778" s="46"/>
      <c r="M778" s="46"/>
    </row>
    <row r="779" spans="2:13" x14ac:dyDescent="0.25">
      <c r="B779" s="46"/>
      <c r="C779" s="40" t="str">
        <f t="shared" si="36"/>
        <v/>
      </c>
      <c r="D779" s="46" t="str">
        <f t="shared" si="37"/>
        <v/>
      </c>
      <c r="E779" s="46" t="str">
        <f t="shared" si="38"/>
        <v/>
      </c>
      <c r="F779" s="46"/>
      <c r="G779" s="46"/>
      <c r="H779" s="46"/>
      <c r="I779" s="46"/>
      <c r="J779" s="46"/>
      <c r="K779" s="46"/>
      <c r="L779" s="46"/>
      <c r="M779" s="46"/>
    </row>
    <row r="780" spans="2:13" x14ac:dyDescent="0.25">
      <c r="B780" s="46"/>
      <c r="C780" s="40" t="str">
        <f t="shared" si="36"/>
        <v/>
      </c>
      <c r="D780" s="46" t="str">
        <f t="shared" si="37"/>
        <v/>
      </c>
      <c r="E780" s="46" t="str">
        <f t="shared" si="38"/>
        <v/>
      </c>
      <c r="F780" s="46"/>
      <c r="G780" s="46"/>
      <c r="H780" s="46"/>
      <c r="I780" s="46"/>
      <c r="J780" s="46"/>
      <c r="K780" s="46"/>
      <c r="L780" s="46"/>
      <c r="M780" s="46"/>
    </row>
    <row r="781" spans="2:13" x14ac:dyDescent="0.25">
      <c r="B781" s="46"/>
      <c r="C781" s="40" t="str">
        <f t="shared" si="36"/>
        <v/>
      </c>
      <c r="D781" s="46" t="str">
        <f t="shared" si="37"/>
        <v/>
      </c>
      <c r="E781" s="46" t="str">
        <f t="shared" si="38"/>
        <v/>
      </c>
      <c r="F781" s="46"/>
      <c r="G781" s="46"/>
      <c r="H781" s="46"/>
      <c r="I781" s="46"/>
      <c r="J781" s="46"/>
      <c r="K781" s="46"/>
      <c r="L781" s="46"/>
      <c r="M781" s="46"/>
    </row>
    <row r="782" spans="2:13" x14ac:dyDescent="0.25">
      <c r="B782" s="46"/>
      <c r="C782" s="40" t="str">
        <f t="shared" si="36"/>
        <v/>
      </c>
      <c r="D782" s="46" t="str">
        <f t="shared" si="37"/>
        <v/>
      </c>
      <c r="E782" s="46" t="str">
        <f t="shared" si="38"/>
        <v/>
      </c>
      <c r="F782" s="46"/>
      <c r="G782" s="46"/>
      <c r="H782" s="46"/>
      <c r="I782" s="46"/>
      <c r="J782" s="46"/>
      <c r="K782" s="46"/>
      <c r="L782" s="46"/>
      <c r="M782" s="46"/>
    </row>
    <row r="783" spans="2:13" x14ac:dyDescent="0.25">
      <c r="B783" s="46"/>
      <c r="C783" s="40" t="str">
        <f t="shared" si="36"/>
        <v/>
      </c>
      <c r="D783" s="46" t="str">
        <f t="shared" si="37"/>
        <v/>
      </c>
      <c r="E783" s="46" t="str">
        <f t="shared" si="38"/>
        <v/>
      </c>
      <c r="F783" s="46"/>
      <c r="G783" s="46"/>
      <c r="H783" s="46"/>
      <c r="I783" s="46"/>
      <c r="J783" s="46"/>
      <c r="K783" s="46"/>
      <c r="L783" s="46"/>
      <c r="M783" s="46"/>
    </row>
    <row r="784" spans="2:13" x14ac:dyDescent="0.25">
      <c r="B784" s="46"/>
      <c r="C784" s="40" t="str">
        <f t="shared" si="36"/>
        <v/>
      </c>
      <c r="D784" s="46" t="str">
        <f t="shared" si="37"/>
        <v/>
      </c>
      <c r="E784" s="46" t="str">
        <f t="shared" si="38"/>
        <v/>
      </c>
      <c r="F784" s="46"/>
      <c r="G784" s="46"/>
      <c r="H784" s="46"/>
      <c r="I784" s="46"/>
      <c r="J784" s="46"/>
      <c r="K784" s="46"/>
      <c r="L784" s="46"/>
      <c r="M784" s="46"/>
    </row>
    <row r="785" spans="2:13" x14ac:dyDescent="0.25">
      <c r="B785" s="46"/>
      <c r="C785" s="40" t="str">
        <f t="shared" si="36"/>
        <v/>
      </c>
      <c r="D785" s="46" t="str">
        <f t="shared" si="37"/>
        <v/>
      </c>
      <c r="E785" s="46" t="str">
        <f t="shared" si="38"/>
        <v/>
      </c>
      <c r="F785" s="46"/>
      <c r="G785" s="46"/>
      <c r="H785" s="46"/>
      <c r="I785" s="46"/>
      <c r="J785" s="46"/>
      <c r="K785" s="46"/>
      <c r="L785" s="46"/>
      <c r="M785" s="46"/>
    </row>
    <row r="786" spans="2:13" x14ac:dyDescent="0.25">
      <c r="B786" s="46"/>
      <c r="C786" s="40" t="str">
        <f t="shared" si="36"/>
        <v/>
      </c>
      <c r="D786" s="46" t="str">
        <f t="shared" si="37"/>
        <v/>
      </c>
      <c r="E786" s="46" t="str">
        <f t="shared" si="38"/>
        <v/>
      </c>
      <c r="F786" s="46"/>
      <c r="G786" s="46"/>
      <c r="H786" s="46"/>
      <c r="I786" s="46"/>
      <c r="J786" s="46"/>
      <c r="K786" s="46"/>
      <c r="L786" s="46"/>
      <c r="M786" s="46"/>
    </row>
    <row r="787" spans="2:13" x14ac:dyDescent="0.25">
      <c r="B787" s="46"/>
      <c r="C787" s="40" t="str">
        <f t="shared" si="36"/>
        <v/>
      </c>
      <c r="D787" s="46" t="str">
        <f t="shared" si="37"/>
        <v/>
      </c>
      <c r="E787" s="46" t="str">
        <f t="shared" si="38"/>
        <v/>
      </c>
      <c r="F787" s="46"/>
      <c r="G787" s="46"/>
      <c r="H787" s="46"/>
      <c r="I787" s="46"/>
      <c r="J787" s="46"/>
      <c r="K787" s="46"/>
      <c r="L787" s="46"/>
      <c r="M787" s="46"/>
    </row>
    <row r="788" spans="2:13" x14ac:dyDescent="0.25">
      <c r="B788" s="46"/>
      <c r="C788" s="40" t="str">
        <f t="shared" si="36"/>
        <v/>
      </c>
      <c r="D788" s="46" t="str">
        <f t="shared" si="37"/>
        <v/>
      </c>
      <c r="E788" s="46" t="str">
        <f t="shared" si="38"/>
        <v/>
      </c>
      <c r="F788" s="46"/>
      <c r="G788" s="46"/>
      <c r="H788" s="46"/>
      <c r="I788" s="46"/>
      <c r="J788" s="46"/>
      <c r="K788" s="46"/>
      <c r="L788" s="46"/>
      <c r="M788" s="46"/>
    </row>
    <row r="789" spans="2:13" x14ac:dyDescent="0.25">
      <c r="B789" s="46"/>
      <c r="C789" s="40" t="str">
        <f t="shared" si="36"/>
        <v/>
      </c>
      <c r="D789" s="46" t="str">
        <f t="shared" si="37"/>
        <v/>
      </c>
      <c r="E789" s="46" t="str">
        <f t="shared" si="38"/>
        <v/>
      </c>
      <c r="F789" s="46"/>
      <c r="G789" s="46"/>
      <c r="H789" s="46"/>
      <c r="I789" s="46"/>
      <c r="J789" s="46"/>
      <c r="K789" s="46"/>
      <c r="L789" s="46"/>
      <c r="M789" s="46"/>
    </row>
    <row r="790" spans="2:13" x14ac:dyDescent="0.25">
      <c r="B790" s="46"/>
      <c r="C790" s="40" t="str">
        <f t="shared" si="36"/>
        <v/>
      </c>
      <c r="D790" s="46" t="str">
        <f t="shared" si="37"/>
        <v/>
      </c>
      <c r="E790" s="46" t="str">
        <f t="shared" si="38"/>
        <v/>
      </c>
      <c r="F790" s="46"/>
      <c r="G790" s="46"/>
      <c r="H790" s="46"/>
      <c r="I790" s="46"/>
      <c r="J790" s="46"/>
      <c r="K790" s="46"/>
      <c r="L790" s="46"/>
      <c r="M790" s="46"/>
    </row>
    <row r="791" spans="2:13" x14ac:dyDescent="0.25">
      <c r="B791" s="46"/>
      <c r="C791" s="40" t="str">
        <f t="shared" si="36"/>
        <v/>
      </c>
      <c r="D791" s="46" t="str">
        <f t="shared" si="37"/>
        <v/>
      </c>
      <c r="E791" s="46" t="str">
        <f t="shared" si="38"/>
        <v/>
      </c>
      <c r="F791" s="46"/>
      <c r="G791" s="46"/>
      <c r="H791" s="46"/>
      <c r="I791" s="46"/>
      <c r="J791" s="46"/>
      <c r="K791" s="46"/>
      <c r="L791" s="46"/>
      <c r="M791" s="46"/>
    </row>
    <row r="792" spans="2:13" x14ac:dyDescent="0.25">
      <c r="B792" s="46"/>
      <c r="C792" s="40" t="str">
        <f t="shared" si="36"/>
        <v/>
      </c>
      <c r="D792" s="46" t="str">
        <f t="shared" si="37"/>
        <v/>
      </c>
      <c r="E792" s="46" t="str">
        <f t="shared" si="38"/>
        <v/>
      </c>
      <c r="F792" s="46"/>
      <c r="G792" s="46"/>
      <c r="H792" s="46"/>
      <c r="I792" s="46"/>
      <c r="J792" s="46"/>
      <c r="K792" s="46"/>
      <c r="L792" s="46"/>
      <c r="M792" s="46"/>
    </row>
    <row r="793" spans="2:13" x14ac:dyDescent="0.25">
      <c r="B793" s="46"/>
      <c r="C793" s="40" t="str">
        <f t="shared" si="36"/>
        <v/>
      </c>
      <c r="D793" s="46" t="str">
        <f t="shared" si="37"/>
        <v/>
      </c>
      <c r="E793" s="46" t="str">
        <f t="shared" si="38"/>
        <v/>
      </c>
      <c r="F793" s="46"/>
      <c r="G793" s="46"/>
      <c r="H793" s="46"/>
      <c r="I793" s="46"/>
      <c r="J793" s="46"/>
      <c r="K793" s="46"/>
      <c r="L793" s="46"/>
      <c r="M793" s="46"/>
    </row>
    <row r="794" spans="2:13" x14ac:dyDescent="0.25">
      <c r="B794" s="46"/>
      <c r="C794" s="40" t="str">
        <f t="shared" si="36"/>
        <v/>
      </c>
      <c r="D794" s="46" t="str">
        <f t="shared" si="37"/>
        <v/>
      </c>
      <c r="E794" s="46" t="str">
        <f t="shared" si="38"/>
        <v/>
      </c>
      <c r="F794" s="46"/>
      <c r="G794" s="46"/>
      <c r="H794" s="46"/>
      <c r="I794" s="46"/>
      <c r="J794" s="46"/>
      <c r="K794" s="46"/>
      <c r="L794" s="46"/>
      <c r="M794" s="46"/>
    </row>
    <row r="795" spans="2:13" x14ac:dyDescent="0.25">
      <c r="B795" s="46"/>
      <c r="C795" s="40" t="str">
        <f t="shared" si="36"/>
        <v/>
      </c>
      <c r="D795" s="46" t="str">
        <f t="shared" si="37"/>
        <v/>
      </c>
      <c r="E795" s="46" t="str">
        <f t="shared" si="38"/>
        <v/>
      </c>
      <c r="F795" s="46"/>
      <c r="G795" s="46"/>
      <c r="H795" s="46"/>
      <c r="I795" s="46"/>
      <c r="J795" s="46"/>
      <c r="K795" s="46"/>
      <c r="L795" s="46"/>
      <c r="M795" s="46"/>
    </row>
    <row r="796" spans="2:13" x14ac:dyDescent="0.25">
      <c r="B796" s="46"/>
      <c r="C796" s="40" t="str">
        <f t="shared" si="36"/>
        <v/>
      </c>
      <c r="D796" s="46" t="str">
        <f t="shared" si="37"/>
        <v/>
      </c>
      <c r="E796" s="46" t="str">
        <f t="shared" si="38"/>
        <v/>
      </c>
      <c r="F796" s="46"/>
      <c r="G796" s="46"/>
      <c r="H796" s="46"/>
      <c r="I796" s="46"/>
      <c r="J796" s="46"/>
      <c r="K796" s="46"/>
      <c r="L796" s="46"/>
      <c r="M796" s="46"/>
    </row>
    <row r="797" spans="2:13" x14ac:dyDescent="0.25">
      <c r="B797" s="46"/>
      <c r="C797" s="40" t="str">
        <f t="shared" si="36"/>
        <v/>
      </c>
      <c r="D797" s="46" t="str">
        <f t="shared" si="37"/>
        <v/>
      </c>
      <c r="E797" s="46" t="str">
        <f t="shared" si="38"/>
        <v/>
      </c>
      <c r="F797" s="46"/>
      <c r="G797" s="46"/>
      <c r="H797" s="46"/>
      <c r="I797" s="46"/>
      <c r="J797" s="46"/>
      <c r="K797" s="46"/>
      <c r="L797" s="46"/>
      <c r="M797" s="46"/>
    </row>
    <row r="798" spans="2:13" x14ac:dyDescent="0.25">
      <c r="B798" s="46"/>
      <c r="C798" s="40" t="str">
        <f t="shared" si="36"/>
        <v/>
      </c>
      <c r="D798" s="46" t="str">
        <f t="shared" si="37"/>
        <v/>
      </c>
      <c r="E798" s="46" t="str">
        <f t="shared" si="38"/>
        <v/>
      </c>
      <c r="F798" s="46"/>
      <c r="G798" s="46"/>
      <c r="H798" s="46"/>
      <c r="I798" s="46"/>
      <c r="J798" s="46"/>
      <c r="K798" s="46"/>
      <c r="L798" s="46"/>
      <c r="M798" s="46"/>
    </row>
    <row r="799" spans="2:13" x14ac:dyDescent="0.25">
      <c r="B799" s="46"/>
      <c r="C799" s="40" t="str">
        <f t="shared" si="36"/>
        <v/>
      </c>
      <c r="D799" s="46" t="str">
        <f t="shared" si="37"/>
        <v/>
      </c>
      <c r="E799" s="46" t="str">
        <f t="shared" si="38"/>
        <v/>
      </c>
      <c r="F799" s="46"/>
      <c r="G799" s="46"/>
      <c r="H799" s="46"/>
      <c r="I799" s="46"/>
      <c r="J799" s="46"/>
      <c r="K799" s="46"/>
      <c r="L799" s="46"/>
      <c r="M799" s="46"/>
    </row>
    <row r="800" spans="2:13" x14ac:dyDescent="0.25">
      <c r="B800" s="46"/>
      <c r="C800" s="40" t="str">
        <f t="shared" si="36"/>
        <v/>
      </c>
      <c r="D800" s="46" t="str">
        <f t="shared" si="37"/>
        <v/>
      </c>
      <c r="E800" s="46" t="str">
        <f t="shared" si="38"/>
        <v/>
      </c>
      <c r="F800" s="46"/>
      <c r="G800" s="46"/>
      <c r="H800" s="46"/>
      <c r="I800" s="46"/>
      <c r="J800" s="46"/>
      <c r="K800" s="46"/>
      <c r="L800" s="46"/>
      <c r="M800" s="46"/>
    </row>
    <row r="801" spans="2:13" x14ac:dyDescent="0.25">
      <c r="B801" s="46"/>
      <c r="C801" s="40" t="str">
        <f t="shared" si="36"/>
        <v/>
      </c>
      <c r="D801" s="46" t="str">
        <f t="shared" si="37"/>
        <v/>
      </c>
      <c r="E801" s="46" t="str">
        <f t="shared" si="38"/>
        <v/>
      </c>
      <c r="F801" s="46"/>
      <c r="G801" s="46"/>
      <c r="H801" s="46"/>
      <c r="I801" s="46"/>
      <c r="J801" s="46"/>
      <c r="K801" s="46"/>
      <c r="L801" s="46"/>
      <c r="M801" s="46"/>
    </row>
    <row r="802" spans="2:13" x14ac:dyDescent="0.25">
      <c r="B802" s="46"/>
      <c r="C802" s="40" t="str">
        <f t="shared" si="36"/>
        <v/>
      </c>
      <c r="D802" s="46" t="str">
        <f t="shared" si="37"/>
        <v/>
      </c>
      <c r="E802" s="46" t="str">
        <f t="shared" si="38"/>
        <v/>
      </c>
      <c r="F802" s="46"/>
      <c r="G802" s="46"/>
      <c r="H802" s="46"/>
      <c r="I802" s="46"/>
      <c r="J802" s="46"/>
      <c r="K802" s="46"/>
      <c r="L802" s="46"/>
      <c r="M802" s="46"/>
    </row>
    <row r="803" spans="2:13" x14ac:dyDescent="0.25">
      <c r="B803" s="46"/>
      <c r="C803" s="40" t="str">
        <f t="shared" si="36"/>
        <v/>
      </c>
      <c r="D803" s="46" t="str">
        <f t="shared" si="37"/>
        <v/>
      </c>
      <c r="E803" s="46" t="str">
        <f t="shared" si="38"/>
        <v/>
      </c>
      <c r="F803" s="46"/>
      <c r="G803" s="46"/>
      <c r="H803" s="46"/>
      <c r="I803" s="46"/>
      <c r="J803" s="46"/>
      <c r="K803" s="46"/>
      <c r="L803" s="46"/>
      <c r="M803" s="46"/>
    </row>
    <row r="804" spans="2:13" x14ac:dyDescent="0.25">
      <c r="B804" s="46"/>
      <c r="C804" s="40" t="str">
        <f t="shared" si="36"/>
        <v/>
      </c>
      <c r="D804" s="46" t="str">
        <f t="shared" si="37"/>
        <v/>
      </c>
      <c r="E804" s="46" t="str">
        <f t="shared" si="38"/>
        <v/>
      </c>
      <c r="F804" s="46"/>
      <c r="G804" s="46"/>
      <c r="H804" s="46"/>
      <c r="I804" s="46"/>
      <c r="J804" s="46"/>
      <c r="K804" s="46"/>
      <c r="L804" s="46"/>
      <c r="M804" s="46"/>
    </row>
    <row r="805" spans="2:13" ht="30" customHeight="1" x14ac:dyDescent="0.25">
      <c r="B805" s="46"/>
      <c r="C805" s="40" t="str">
        <f t="shared" si="36"/>
        <v/>
      </c>
      <c r="D805" s="46" t="str">
        <f t="shared" si="37"/>
        <v/>
      </c>
      <c r="E805" s="46" t="str">
        <f t="shared" si="38"/>
        <v/>
      </c>
      <c r="F805" s="46"/>
      <c r="G805" s="46"/>
      <c r="H805" s="46"/>
      <c r="I805" s="46"/>
      <c r="J805" s="46"/>
      <c r="K805" s="46"/>
      <c r="L805" s="46"/>
      <c r="M805" s="46"/>
    </row>
    <row r="806" spans="2:13" x14ac:dyDescent="0.25">
      <c r="B806" s="46"/>
      <c r="C806" s="40" t="str">
        <f t="shared" si="36"/>
        <v/>
      </c>
      <c r="D806" s="46" t="str">
        <f t="shared" si="37"/>
        <v/>
      </c>
      <c r="E806" s="46" t="str">
        <f t="shared" si="38"/>
        <v/>
      </c>
      <c r="F806" s="46"/>
      <c r="G806" s="46"/>
      <c r="H806" s="46"/>
      <c r="I806" s="46"/>
      <c r="J806" s="46"/>
      <c r="K806" s="46"/>
      <c r="L806" s="46"/>
      <c r="M806" s="46"/>
    </row>
    <row r="807" spans="2:13" x14ac:dyDescent="0.25">
      <c r="B807" s="46"/>
      <c r="C807" s="40" t="str">
        <f t="shared" si="36"/>
        <v/>
      </c>
      <c r="D807" s="46" t="str">
        <f t="shared" si="37"/>
        <v/>
      </c>
      <c r="E807" s="46" t="str">
        <f t="shared" si="38"/>
        <v/>
      </c>
      <c r="F807" s="46"/>
      <c r="G807" s="46"/>
      <c r="H807" s="46"/>
      <c r="I807" s="46"/>
      <c r="J807" s="46"/>
      <c r="K807" s="46"/>
      <c r="L807" s="46"/>
      <c r="M807" s="46"/>
    </row>
    <row r="808" spans="2:13" x14ac:dyDescent="0.25">
      <c r="B808" s="46"/>
      <c r="C808" s="40" t="str">
        <f t="shared" si="36"/>
        <v/>
      </c>
      <c r="D808" s="46" t="str">
        <f t="shared" si="37"/>
        <v/>
      </c>
      <c r="E808" s="46" t="str">
        <f t="shared" si="38"/>
        <v/>
      </c>
      <c r="F808" s="46"/>
      <c r="G808" s="46"/>
      <c r="H808" s="46"/>
      <c r="I808" s="46"/>
      <c r="J808" s="46"/>
      <c r="K808" s="46"/>
      <c r="L808" s="46"/>
      <c r="M808" s="46"/>
    </row>
    <row r="809" spans="2:13" x14ac:dyDescent="0.25">
      <c r="B809" s="46"/>
      <c r="C809" s="40" t="str">
        <f t="shared" si="36"/>
        <v/>
      </c>
      <c r="D809" s="46" t="str">
        <f t="shared" si="37"/>
        <v/>
      </c>
      <c r="E809" s="46" t="str">
        <f t="shared" si="38"/>
        <v/>
      </c>
      <c r="F809" s="46"/>
      <c r="G809" s="46"/>
      <c r="H809" s="46"/>
      <c r="I809" s="46"/>
      <c r="J809" s="46"/>
      <c r="K809" s="46"/>
      <c r="L809" s="46"/>
      <c r="M809" s="46"/>
    </row>
    <row r="810" spans="2:13" x14ac:dyDescent="0.25">
      <c r="B810" s="46"/>
      <c r="C810" s="40" t="str">
        <f t="shared" si="36"/>
        <v/>
      </c>
      <c r="D810" s="46" t="str">
        <f t="shared" si="37"/>
        <v/>
      </c>
      <c r="E810" s="46" t="str">
        <f t="shared" si="38"/>
        <v/>
      </c>
      <c r="F810" s="46"/>
      <c r="G810" s="46"/>
      <c r="H810" s="46"/>
      <c r="I810" s="46"/>
      <c r="J810" s="46"/>
      <c r="K810" s="46"/>
      <c r="L810" s="46"/>
      <c r="M810" s="46"/>
    </row>
    <row r="811" spans="2:13" x14ac:dyDescent="0.25">
      <c r="B811" s="46"/>
      <c r="C811" s="40" t="str">
        <f t="shared" si="36"/>
        <v/>
      </c>
      <c r="D811" s="46" t="str">
        <f t="shared" si="37"/>
        <v/>
      </c>
      <c r="E811" s="46" t="str">
        <f t="shared" si="38"/>
        <v/>
      </c>
      <c r="F811" s="46"/>
      <c r="G811" s="46"/>
      <c r="H811" s="46"/>
      <c r="I811" s="46"/>
      <c r="J811" s="46"/>
      <c r="K811" s="46"/>
      <c r="L811" s="46"/>
      <c r="M811" s="46"/>
    </row>
    <row r="812" spans="2:13" x14ac:dyDescent="0.25">
      <c r="B812" s="46"/>
      <c r="C812" s="40" t="str">
        <f t="shared" si="36"/>
        <v/>
      </c>
      <c r="D812" s="46" t="str">
        <f t="shared" si="37"/>
        <v/>
      </c>
      <c r="E812" s="46" t="str">
        <f t="shared" si="38"/>
        <v/>
      </c>
      <c r="F812" s="46"/>
      <c r="G812" s="46"/>
      <c r="H812" s="46"/>
      <c r="I812" s="46"/>
      <c r="J812" s="46"/>
      <c r="K812" s="46"/>
      <c r="L812" s="46"/>
      <c r="M812" s="46"/>
    </row>
    <row r="813" spans="2:13" x14ac:dyDescent="0.25">
      <c r="B813" s="46"/>
      <c r="C813" s="40" t="str">
        <f t="shared" si="36"/>
        <v/>
      </c>
      <c r="D813" s="46" t="str">
        <f t="shared" si="37"/>
        <v/>
      </c>
      <c r="E813" s="46" t="str">
        <f t="shared" si="38"/>
        <v/>
      </c>
      <c r="F813" s="46"/>
      <c r="G813" s="46"/>
      <c r="H813" s="46"/>
      <c r="I813" s="46"/>
      <c r="J813" s="46"/>
      <c r="K813" s="46"/>
      <c r="L813" s="46"/>
      <c r="M813" s="46"/>
    </row>
    <row r="814" spans="2:13" x14ac:dyDescent="0.25">
      <c r="B814" s="46"/>
      <c r="C814" s="40" t="str">
        <f t="shared" si="36"/>
        <v/>
      </c>
      <c r="D814" s="46" t="str">
        <f t="shared" si="37"/>
        <v/>
      </c>
      <c r="E814" s="46" t="str">
        <f t="shared" si="38"/>
        <v/>
      </c>
      <c r="F814" s="46"/>
      <c r="G814" s="46"/>
      <c r="H814" s="46"/>
      <c r="I814" s="46"/>
      <c r="J814" s="46"/>
      <c r="K814" s="46"/>
      <c r="L814" s="46"/>
      <c r="M814" s="46"/>
    </row>
    <row r="815" spans="2:13" x14ac:dyDescent="0.25">
      <c r="B815" s="46"/>
      <c r="C815" s="40" t="str">
        <f t="shared" si="36"/>
        <v/>
      </c>
      <c r="D815" s="46" t="str">
        <f t="shared" si="37"/>
        <v/>
      </c>
      <c r="E815" s="46" t="str">
        <f t="shared" si="38"/>
        <v/>
      </c>
      <c r="F815" s="46"/>
      <c r="G815" s="46"/>
      <c r="H815" s="46"/>
      <c r="I815" s="46"/>
      <c r="J815" s="46"/>
      <c r="K815" s="46"/>
      <c r="L815" s="46"/>
      <c r="M815" s="46"/>
    </row>
    <row r="816" spans="2:13" x14ac:dyDescent="0.25">
      <c r="B816" s="46"/>
      <c r="C816" s="40" t="str">
        <f t="shared" si="36"/>
        <v/>
      </c>
      <c r="D816" s="46" t="str">
        <f t="shared" si="37"/>
        <v/>
      </c>
      <c r="E816" s="46" t="str">
        <f t="shared" si="38"/>
        <v/>
      </c>
      <c r="F816" s="46"/>
      <c r="G816" s="46"/>
      <c r="H816" s="46"/>
      <c r="I816" s="46"/>
      <c r="J816" s="46"/>
      <c r="K816" s="46"/>
      <c r="L816" s="46"/>
      <c r="M816" s="46"/>
    </row>
    <row r="817" spans="2:13" x14ac:dyDescent="0.25">
      <c r="B817" s="46"/>
      <c r="C817" s="40" t="str">
        <f t="shared" si="36"/>
        <v/>
      </c>
      <c r="D817" s="46" t="str">
        <f t="shared" si="37"/>
        <v/>
      </c>
      <c r="E817" s="46" t="str">
        <f t="shared" si="38"/>
        <v/>
      </c>
      <c r="F817" s="46"/>
      <c r="G817" s="46"/>
      <c r="H817" s="46"/>
      <c r="I817" s="46"/>
      <c r="J817" s="46"/>
      <c r="K817" s="46"/>
      <c r="L817" s="46"/>
      <c r="M817" s="46"/>
    </row>
    <row r="818" spans="2:13" x14ac:dyDescent="0.25">
      <c r="B818" s="46"/>
      <c r="C818" s="40" t="str">
        <f t="shared" si="36"/>
        <v/>
      </c>
      <c r="D818" s="46" t="str">
        <f t="shared" si="37"/>
        <v/>
      </c>
      <c r="E818" s="46" t="str">
        <f t="shared" si="38"/>
        <v/>
      </c>
      <c r="F818" s="46"/>
      <c r="G818" s="46"/>
      <c r="H818" s="46"/>
      <c r="I818" s="46"/>
      <c r="J818" s="46"/>
      <c r="K818" s="46"/>
      <c r="L818" s="46"/>
      <c r="M818" s="46"/>
    </row>
    <row r="819" spans="2:13" x14ac:dyDescent="0.25">
      <c r="B819" s="46"/>
      <c r="C819" s="40" t="str">
        <f t="shared" si="36"/>
        <v/>
      </c>
      <c r="D819" s="46" t="str">
        <f t="shared" si="37"/>
        <v/>
      </c>
      <c r="E819" s="46" t="str">
        <f t="shared" si="38"/>
        <v/>
      </c>
      <c r="F819" s="46"/>
      <c r="G819" s="46"/>
      <c r="H819" s="46"/>
      <c r="I819" s="46"/>
      <c r="J819" s="46"/>
      <c r="K819" s="46"/>
      <c r="L819" s="46"/>
      <c r="M819" s="46"/>
    </row>
    <row r="820" spans="2:13" x14ac:dyDescent="0.25">
      <c r="B820" s="46"/>
      <c r="C820" s="40" t="str">
        <f t="shared" si="36"/>
        <v/>
      </c>
      <c r="D820" s="46" t="str">
        <f t="shared" si="37"/>
        <v/>
      </c>
      <c r="E820" s="46" t="str">
        <f t="shared" si="38"/>
        <v/>
      </c>
      <c r="F820" s="46"/>
      <c r="G820" s="46"/>
      <c r="H820" s="46"/>
      <c r="I820" s="46"/>
      <c r="J820" s="46"/>
      <c r="K820" s="46"/>
      <c r="L820" s="46"/>
      <c r="M820" s="46"/>
    </row>
    <row r="821" spans="2:13" x14ac:dyDescent="0.25">
      <c r="B821" s="46"/>
      <c r="C821" s="40" t="str">
        <f t="shared" si="36"/>
        <v/>
      </c>
      <c r="D821" s="46" t="str">
        <f t="shared" si="37"/>
        <v/>
      </c>
      <c r="E821" s="46" t="str">
        <f t="shared" si="38"/>
        <v/>
      </c>
      <c r="F821" s="46"/>
      <c r="G821" s="46"/>
      <c r="H821" s="46"/>
      <c r="I821" s="46"/>
      <c r="J821" s="46"/>
      <c r="K821" s="46"/>
      <c r="L821" s="46"/>
      <c r="M821" s="46"/>
    </row>
    <row r="822" spans="2:13" x14ac:dyDescent="0.25">
      <c r="B822" s="46"/>
      <c r="C822" s="40" t="str">
        <f t="shared" si="36"/>
        <v/>
      </c>
      <c r="D822" s="46" t="str">
        <f t="shared" si="37"/>
        <v/>
      </c>
      <c r="E822" s="46" t="str">
        <f t="shared" si="38"/>
        <v/>
      </c>
      <c r="F822" s="46"/>
      <c r="G822" s="46"/>
      <c r="H822" s="46"/>
      <c r="I822" s="46"/>
      <c r="J822" s="46"/>
      <c r="K822" s="46"/>
      <c r="L822" s="46"/>
      <c r="M822" s="46"/>
    </row>
    <row r="823" spans="2:13" x14ac:dyDescent="0.25">
      <c r="B823" s="46"/>
      <c r="C823" s="40" t="str">
        <f t="shared" si="36"/>
        <v/>
      </c>
      <c r="D823" s="46" t="str">
        <f t="shared" si="37"/>
        <v/>
      </c>
      <c r="E823" s="46" t="str">
        <f t="shared" si="38"/>
        <v/>
      </c>
      <c r="F823" s="46"/>
      <c r="G823" s="46"/>
      <c r="H823" s="46"/>
      <c r="I823" s="46"/>
      <c r="J823" s="46"/>
      <c r="K823" s="46"/>
      <c r="L823" s="46"/>
      <c r="M823" s="46"/>
    </row>
    <row r="824" spans="2:13" x14ac:dyDescent="0.25">
      <c r="B824" s="46"/>
      <c r="C824" s="40" t="str">
        <f t="shared" si="36"/>
        <v/>
      </c>
      <c r="D824" s="46" t="str">
        <f t="shared" si="37"/>
        <v/>
      </c>
      <c r="E824" s="46" t="str">
        <f t="shared" si="38"/>
        <v/>
      </c>
      <c r="F824" s="46"/>
      <c r="G824" s="46"/>
      <c r="H824" s="46"/>
      <c r="I824" s="46"/>
      <c r="J824" s="46"/>
      <c r="K824" s="46"/>
      <c r="L824" s="46"/>
      <c r="M824" s="46"/>
    </row>
    <row r="825" spans="2:13" x14ac:dyDescent="0.25">
      <c r="B825" s="46"/>
      <c r="C825" s="40" t="str">
        <f t="shared" si="36"/>
        <v/>
      </c>
      <c r="D825" s="46" t="str">
        <f t="shared" si="37"/>
        <v/>
      </c>
      <c r="E825" s="46" t="str">
        <f t="shared" si="38"/>
        <v/>
      </c>
      <c r="F825" s="46"/>
      <c r="G825" s="46"/>
      <c r="H825" s="46"/>
      <c r="I825" s="46"/>
      <c r="J825" s="46"/>
      <c r="K825" s="46"/>
      <c r="L825" s="46"/>
      <c r="M825" s="46"/>
    </row>
    <row r="826" spans="2:13" x14ac:dyDescent="0.25">
      <c r="B826" s="46"/>
      <c r="C826" s="40" t="str">
        <f t="shared" si="36"/>
        <v/>
      </c>
      <c r="D826" s="46" t="str">
        <f t="shared" si="37"/>
        <v/>
      </c>
      <c r="E826" s="46" t="str">
        <f t="shared" si="38"/>
        <v/>
      </c>
      <c r="F826" s="46"/>
      <c r="G826" s="46"/>
      <c r="H826" s="46"/>
      <c r="I826" s="46"/>
      <c r="J826" s="46"/>
      <c r="K826" s="46"/>
      <c r="L826" s="46"/>
      <c r="M826" s="46"/>
    </row>
    <row r="827" spans="2:13" x14ac:dyDescent="0.25">
      <c r="B827" s="46"/>
      <c r="C827" s="40" t="str">
        <f t="shared" si="36"/>
        <v/>
      </c>
      <c r="D827" s="46" t="str">
        <f t="shared" si="37"/>
        <v/>
      </c>
      <c r="E827" s="46" t="str">
        <f t="shared" si="38"/>
        <v/>
      </c>
      <c r="F827" s="46"/>
      <c r="G827" s="46"/>
      <c r="H827" s="46"/>
      <c r="I827" s="46"/>
      <c r="J827" s="46"/>
      <c r="K827" s="46"/>
      <c r="L827" s="46"/>
      <c r="M827" s="46"/>
    </row>
    <row r="828" spans="2:13" x14ac:dyDescent="0.25">
      <c r="B828" s="46"/>
      <c r="C828" s="40" t="str">
        <f t="shared" si="36"/>
        <v/>
      </c>
      <c r="D828" s="46" t="str">
        <f t="shared" si="37"/>
        <v/>
      </c>
      <c r="E828" s="46" t="str">
        <f t="shared" si="38"/>
        <v/>
      </c>
      <c r="F828" s="46"/>
      <c r="G828" s="46"/>
      <c r="H828" s="46"/>
      <c r="I828" s="46"/>
      <c r="J828" s="46"/>
      <c r="K828" s="46"/>
      <c r="L828" s="46"/>
      <c r="M828" s="46"/>
    </row>
    <row r="829" spans="2:13" x14ac:dyDescent="0.25">
      <c r="B829" s="46"/>
      <c r="C829" s="40" t="str">
        <f t="shared" si="36"/>
        <v/>
      </c>
      <c r="D829" s="46" t="str">
        <f t="shared" si="37"/>
        <v/>
      </c>
      <c r="E829" s="46" t="str">
        <f t="shared" si="38"/>
        <v/>
      </c>
      <c r="F829" s="46"/>
      <c r="G829" s="46"/>
      <c r="H829" s="46"/>
      <c r="I829" s="46"/>
      <c r="J829" s="46"/>
      <c r="K829" s="46"/>
      <c r="L829" s="46"/>
      <c r="M829" s="46"/>
    </row>
    <row r="830" spans="2:13" x14ac:dyDescent="0.25">
      <c r="B830" s="46"/>
      <c r="C830" s="40" t="str">
        <f t="shared" si="36"/>
        <v/>
      </c>
      <c r="D830" s="46" t="str">
        <f t="shared" si="37"/>
        <v/>
      </c>
      <c r="E830" s="46" t="str">
        <f t="shared" si="38"/>
        <v/>
      </c>
      <c r="F830" s="46"/>
      <c r="G830" s="46"/>
      <c r="H830" s="46"/>
      <c r="I830" s="46"/>
      <c r="J830" s="46"/>
      <c r="K830" s="46"/>
      <c r="L830" s="46"/>
      <c r="M830" s="46"/>
    </row>
    <row r="831" spans="2:13" x14ac:dyDescent="0.25">
      <c r="B831" s="46"/>
      <c r="C831" s="40" t="str">
        <f t="shared" si="36"/>
        <v/>
      </c>
      <c r="D831" s="46" t="str">
        <f t="shared" si="37"/>
        <v/>
      </c>
      <c r="E831" s="46" t="str">
        <f t="shared" si="38"/>
        <v/>
      </c>
      <c r="F831" s="46"/>
      <c r="G831" s="46"/>
      <c r="H831" s="46"/>
      <c r="I831" s="46"/>
      <c r="J831" s="46"/>
      <c r="K831" s="46"/>
      <c r="L831" s="46"/>
      <c r="M831" s="46"/>
    </row>
    <row r="832" spans="2:13" x14ac:dyDescent="0.25">
      <c r="B832" s="46"/>
      <c r="C832" s="40" t="str">
        <f t="shared" si="36"/>
        <v/>
      </c>
      <c r="D832" s="46" t="str">
        <f t="shared" si="37"/>
        <v/>
      </c>
      <c r="E832" s="46" t="str">
        <f t="shared" si="38"/>
        <v/>
      </c>
      <c r="F832" s="46"/>
      <c r="G832" s="46"/>
      <c r="H832" s="46"/>
      <c r="I832" s="46"/>
      <c r="J832" s="46"/>
      <c r="K832" s="46"/>
      <c r="L832" s="46"/>
      <c r="M832" s="46"/>
    </row>
    <row r="833" spans="2:13" x14ac:dyDescent="0.25">
      <c r="B833" s="46"/>
      <c r="C833" s="40" t="str">
        <f t="shared" si="36"/>
        <v/>
      </c>
      <c r="D833" s="46" t="str">
        <f t="shared" si="37"/>
        <v/>
      </c>
      <c r="E833" s="46" t="str">
        <f t="shared" si="38"/>
        <v/>
      </c>
      <c r="F833" s="46"/>
      <c r="G833" s="46"/>
      <c r="H833" s="46"/>
      <c r="I833" s="46"/>
      <c r="J833" s="46"/>
      <c r="K833" s="46"/>
      <c r="L833" s="46"/>
      <c r="M833" s="46"/>
    </row>
    <row r="834" spans="2:13" x14ac:dyDescent="0.25">
      <c r="B834" s="46"/>
      <c r="C834" s="40" t="str">
        <f t="shared" ref="C834:C897" si="39">IF(B834="","",MONTH(B834))</f>
        <v/>
      </c>
      <c r="D834" s="46" t="str">
        <f t="shared" ref="D834:D897" si="40">IF(B834="","",CHOOSE(C834,"Enero","Febrero","Marzo","Abril","Mayo","Junio","Julio","Agosto","Septiembre","Octubre","Noviembre","Diciembre"))</f>
        <v/>
      </c>
      <c r="E834" s="46" t="str">
        <f t="shared" ref="E834:E897" si="41">IF(B834="","",YEAR(B834))</f>
        <v/>
      </c>
      <c r="F834" s="46"/>
      <c r="G834" s="46"/>
      <c r="H834" s="46"/>
      <c r="I834" s="46"/>
      <c r="J834" s="46"/>
      <c r="K834" s="46"/>
      <c r="L834" s="46"/>
      <c r="M834" s="46"/>
    </row>
    <row r="835" spans="2:13" x14ac:dyDescent="0.25">
      <c r="B835" s="46"/>
      <c r="C835" s="40" t="str">
        <f t="shared" si="39"/>
        <v/>
      </c>
      <c r="D835" s="46" t="str">
        <f t="shared" si="40"/>
        <v/>
      </c>
      <c r="E835" s="46" t="str">
        <f t="shared" si="41"/>
        <v/>
      </c>
      <c r="F835" s="46"/>
      <c r="G835" s="46"/>
      <c r="H835" s="46"/>
      <c r="I835" s="46"/>
      <c r="J835" s="46"/>
      <c r="K835" s="46"/>
      <c r="L835" s="46"/>
      <c r="M835" s="46"/>
    </row>
    <row r="836" spans="2:13" x14ac:dyDescent="0.25">
      <c r="B836" s="46"/>
      <c r="C836" s="40" t="str">
        <f t="shared" si="39"/>
        <v/>
      </c>
      <c r="D836" s="46" t="str">
        <f t="shared" si="40"/>
        <v/>
      </c>
      <c r="E836" s="46" t="str">
        <f t="shared" si="41"/>
        <v/>
      </c>
      <c r="F836" s="46"/>
      <c r="G836" s="46"/>
      <c r="H836" s="46"/>
      <c r="I836" s="46"/>
      <c r="J836" s="46"/>
      <c r="K836" s="46"/>
      <c r="L836" s="46"/>
      <c r="M836" s="46"/>
    </row>
    <row r="837" spans="2:13" x14ac:dyDescent="0.25">
      <c r="B837" s="46"/>
      <c r="C837" s="40" t="str">
        <f t="shared" si="39"/>
        <v/>
      </c>
      <c r="D837" s="46" t="str">
        <f t="shared" si="40"/>
        <v/>
      </c>
      <c r="E837" s="46" t="str">
        <f t="shared" si="41"/>
        <v/>
      </c>
      <c r="F837" s="46"/>
      <c r="G837" s="46"/>
      <c r="H837" s="46"/>
      <c r="I837" s="46"/>
      <c r="J837" s="46"/>
      <c r="K837" s="46"/>
      <c r="L837" s="46"/>
      <c r="M837" s="46"/>
    </row>
    <row r="838" spans="2:13" x14ac:dyDescent="0.25">
      <c r="B838" s="46"/>
      <c r="C838" s="40" t="str">
        <f t="shared" si="39"/>
        <v/>
      </c>
      <c r="D838" s="46" t="str">
        <f t="shared" si="40"/>
        <v/>
      </c>
      <c r="E838" s="46" t="str">
        <f t="shared" si="41"/>
        <v/>
      </c>
      <c r="F838" s="46"/>
      <c r="G838" s="46"/>
      <c r="H838" s="46"/>
      <c r="I838" s="46"/>
      <c r="J838" s="46"/>
      <c r="K838" s="46"/>
      <c r="L838" s="46"/>
      <c r="M838" s="46"/>
    </row>
    <row r="839" spans="2:13" x14ac:dyDescent="0.25">
      <c r="B839" s="46"/>
      <c r="C839" s="40" t="str">
        <f t="shared" si="39"/>
        <v/>
      </c>
      <c r="D839" s="46" t="str">
        <f t="shared" si="40"/>
        <v/>
      </c>
      <c r="E839" s="46" t="str">
        <f t="shared" si="41"/>
        <v/>
      </c>
      <c r="F839" s="46"/>
      <c r="G839" s="46"/>
      <c r="H839" s="46"/>
      <c r="I839" s="46"/>
      <c r="J839" s="46"/>
      <c r="K839" s="46"/>
      <c r="L839" s="46"/>
      <c r="M839" s="46"/>
    </row>
    <row r="840" spans="2:13" x14ac:dyDescent="0.25">
      <c r="B840" s="46"/>
      <c r="C840" s="40" t="str">
        <f t="shared" si="39"/>
        <v/>
      </c>
      <c r="D840" s="46" t="str">
        <f t="shared" si="40"/>
        <v/>
      </c>
      <c r="E840" s="46" t="str">
        <f t="shared" si="41"/>
        <v/>
      </c>
      <c r="F840" s="46"/>
      <c r="G840" s="46"/>
      <c r="H840" s="46"/>
      <c r="I840" s="46"/>
      <c r="J840" s="46"/>
      <c r="K840" s="46"/>
      <c r="L840" s="46"/>
      <c r="M840" s="46"/>
    </row>
    <row r="841" spans="2:13" x14ac:dyDescent="0.25">
      <c r="B841" s="46"/>
      <c r="C841" s="40" t="str">
        <f t="shared" si="39"/>
        <v/>
      </c>
      <c r="D841" s="46" t="str">
        <f t="shared" si="40"/>
        <v/>
      </c>
      <c r="E841" s="46" t="str">
        <f t="shared" si="41"/>
        <v/>
      </c>
      <c r="F841" s="46"/>
      <c r="G841" s="46"/>
      <c r="H841" s="46"/>
      <c r="I841" s="46"/>
      <c r="J841" s="46"/>
      <c r="K841" s="46"/>
      <c r="L841" s="46"/>
      <c r="M841" s="46"/>
    </row>
    <row r="842" spans="2:13" x14ac:dyDescent="0.25">
      <c r="B842" s="46"/>
      <c r="C842" s="40" t="str">
        <f t="shared" si="39"/>
        <v/>
      </c>
      <c r="D842" s="46" t="str">
        <f t="shared" si="40"/>
        <v/>
      </c>
      <c r="E842" s="46" t="str">
        <f t="shared" si="41"/>
        <v/>
      </c>
      <c r="F842" s="46"/>
      <c r="G842" s="46"/>
      <c r="H842" s="46"/>
      <c r="I842" s="46"/>
      <c r="J842" s="46"/>
      <c r="K842" s="46"/>
      <c r="L842" s="46"/>
      <c r="M842" s="46"/>
    </row>
    <row r="843" spans="2:13" x14ac:dyDescent="0.25">
      <c r="B843" s="46"/>
      <c r="C843" s="40" t="str">
        <f t="shared" si="39"/>
        <v/>
      </c>
      <c r="D843" s="46" t="str">
        <f t="shared" si="40"/>
        <v/>
      </c>
      <c r="E843" s="46" t="str">
        <f t="shared" si="41"/>
        <v/>
      </c>
      <c r="F843" s="46"/>
      <c r="G843" s="46"/>
      <c r="H843" s="46"/>
      <c r="I843" s="46"/>
      <c r="J843" s="46"/>
      <c r="K843" s="46"/>
      <c r="L843" s="46"/>
      <c r="M843" s="46"/>
    </row>
    <row r="844" spans="2:13" x14ac:dyDescent="0.25">
      <c r="B844" s="46"/>
      <c r="C844" s="40" t="str">
        <f t="shared" si="39"/>
        <v/>
      </c>
      <c r="D844" s="46" t="str">
        <f t="shared" si="40"/>
        <v/>
      </c>
      <c r="E844" s="46" t="str">
        <f t="shared" si="41"/>
        <v/>
      </c>
      <c r="F844" s="46"/>
      <c r="G844" s="46"/>
      <c r="H844" s="46"/>
      <c r="I844" s="46"/>
      <c r="J844" s="46"/>
      <c r="K844" s="46"/>
      <c r="L844" s="46"/>
      <c r="M844" s="46"/>
    </row>
    <row r="845" spans="2:13" x14ac:dyDescent="0.25">
      <c r="B845" s="46"/>
      <c r="C845" s="40" t="str">
        <f t="shared" si="39"/>
        <v/>
      </c>
      <c r="D845" s="46" t="str">
        <f t="shared" si="40"/>
        <v/>
      </c>
      <c r="E845" s="46" t="str">
        <f t="shared" si="41"/>
        <v/>
      </c>
      <c r="F845" s="46"/>
      <c r="G845" s="46"/>
      <c r="H845" s="46"/>
      <c r="I845" s="46"/>
      <c r="J845" s="46"/>
      <c r="K845" s="46"/>
      <c r="L845" s="46"/>
      <c r="M845" s="46"/>
    </row>
    <row r="846" spans="2:13" x14ac:dyDescent="0.25">
      <c r="B846" s="46"/>
      <c r="C846" s="40" t="str">
        <f t="shared" si="39"/>
        <v/>
      </c>
      <c r="D846" s="46" t="str">
        <f t="shared" si="40"/>
        <v/>
      </c>
      <c r="E846" s="46" t="str">
        <f t="shared" si="41"/>
        <v/>
      </c>
      <c r="F846" s="46"/>
      <c r="G846" s="46"/>
      <c r="H846" s="46"/>
      <c r="I846" s="46"/>
      <c r="J846" s="46"/>
      <c r="K846" s="46"/>
      <c r="L846" s="46"/>
      <c r="M846" s="46"/>
    </row>
    <row r="847" spans="2:13" x14ac:dyDescent="0.25">
      <c r="B847" s="46"/>
      <c r="C847" s="40" t="str">
        <f t="shared" si="39"/>
        <v/>
      </c>
      <c r="D847" s="46" t="str">
        <f t="shared" si="40"/>
        <v/>
      </c>
      <c r="E847" s="46" t="str">
        <f t="shared" si="41"/>
        <v/>
      </c>
      <c r="F847" s="46"/>
      <c r="G847" s="46"/>
      <c r="H847" s="46"/>
      <c r="I847" s="46"/>
      <c r="J847" s="46"/>
      <c r="K847" s="46"/>
      <c r="L847" s="46"/>
      <c r="M847" s="46"/>
    </row>
    <row r="848" spans="2:13" x14ac:dyDescent="0.25">
      <c r="B848" s="46"/>
      <c r="C848" s="40" t="str">
        <f t="shared" si="39"/>
        <v/>
      </c>
      <c r="D848" s="46" t="str">
        <f t="shared" si="40"/>
        <v/>
      </c>
      <c r="E848" s="46" t="str">
        <f t="shared" si="41"/>
        <v/>
      </c>
      <c r="F848" s="46"/>
      <c r="G848" s="46"/>
      <c r="H848" s="46"/>
      <c r="I848" s="46"/>
      <c r="J848" s="46"/>
      <c r="K848" s="46"/>
      <c r="L848" s="46"/>
      <c r="M848" s="46"/>
    </row>
    <row r="849" spans="2:13" x14ac:dyDescent="0.25">
      <c r="B849" s="46"/>
      <c r="C849" s="40" t="str">
        <f t="shared" si="39"/>
        <v/>
      </c>
      <c r="D849" s="46" t="str">
        <f t="shared" si="40"/>
        <v/>
      </c>
      <c r="E849" s="46" t="str">
        <f t="shared" si="41"/>
        <v/>
      </c>
      <c r="F849" s="46"/>
      <c r="G849" s="46"/>
      <c r="H849" s="46"/>
      <c r="I849" s="46"/>
      <c r="J849" s="46"/>
      <c r="K849" s="46"/>
      <c r="L849" s="46"/>
      <c r="M849" s="46"/>
    </row>
    <row r="850" spans="2:13" x14ac:dyDescent="0.25">
      <c r="B850" s="46"/>
      <c r="C850" s="40" t="str">
        <f t="shared" si="39"/>
        <v/>
      </c>
      <c r="D850" s="46" t="str">
        <f t="shared" si="40"/>
        <v/>
      </c>
      <c r="E850" s="46" t="str">
        <f t="shared" si="41"/>
        <v/>
      </c>
      <c r="F850" s="46"/>
      <c r="G850" s="46"/>
      <c r="H850" s="46"/>
      <c r="I850" s="46"/>
      <c r="J850" s="46"/>
      <c r="K850" s="46"/>
      <c r="L850" s="46"/>
      <c r="M850" s="46"/>
    </row>
    <row r="851" spans="2:13" x14ac:dyDescent="0.25">
      <c r="B851" s="46"/>
      <c r="C851" s="40" t="str">
        <f t="shared" si="39"/>
        <v/>
      </c>
      <c r="D851" s="46" t="str">
        <f t="shared" si="40"/>
        <v/>
      </c>
      <c r="E851" s="46" t="str">
        <f t="shared" si="41"/>
        <v/>
      </c>
      <c r="F851" s="46"/>
      <c r="G851" s="46"/>
      <c r="H851" s="46"/>
      <c r="I851" s="46"/>
      <c r="J851" s="46"/>
      <c r="K851" s="46"/>
      <c r="L851" s="46"/>
      <c r="M851" s="46"/>
    </row>
    <row r="852" spans="2:13" x14ac:dyDescent="0.25">
      <c r="B852" s="46"/>
      <c r="C852" s="40" t="str">
        <f t="shared" si="39"/>
        <v/>
      </c>
      <c r="D852" s="46" t="str">
        <f t="shared" si="40"/>
        <v/>
      </c>
      <c r="E852" s="46" t="str">
        <f t="shared" si="41"/>
        <v/>
      </c>
      <c r="F852" s="46"/>
      <c r="G852" s="46"/>
      <c r="H852" s="46"/>
      <c r="I852" s="46"/>
      <c r="J852" s="46"/>
      <c r="K852" s="46"/>
      <c r="L852" s="46"/>
      <c r="M852" s="46"/>
    </row>
    <row r="853" spans="2:13" x14ac:dyDescent="0.25">
      <c r="B853" s="46"/>
      <c r="C853" s="40" t="str">
        <f t="shared" si="39"/>
        <v/>
      </c>
      <c r="D853" s="46" t="str">
        <f t="shared" si="40"/>
        <v/>
      </c>
      <c r="E853" s="46" t="str">
        <f t="shared" si="41"/>
        <v/>
      </c>
      <c r="F853" s="46"/>
      <c r="G853" s="46"/>
      <c r="H853" s="46"/>
      <c r="I853" s="46"/>
      <c r="J853" s="46"/>
      <c r="K853" s="46"/>
      <c r="L853" s="46"/>
      <c r="M853" s="46"/>
    </row>
    <row r="854" spans="2:13" x14ac:dyDescent="0.25">
      <c r="B854" s="46"/>
      <c r="C854" s="40" t="str">
        <f t="shared" si="39"/>
        <v/>
      </c>
      <c r="D854" s="46" t="str">
        <f t="shared" si="40"/>
        <v/>
      </c>
      <c r="E854" s="46" t="str">
        <f t="shared" si="41"/>
        <v/>
      </c>
      <c r="F854" s="46"/>
      <c r="G854" s="46"/>
      <c r="H854" s="46"/>
      <c r="I854" s="46"/>
      <c r="J854" s="46"/>
      <c r="K854" s="46"/>
      <c r="L854" s="46"/>
      <c r="M854" s="46"/>
    </row>
    <row r="855" spans="2:13" x14ac:dyDescent="0.25">
      <c r="B855" s="46"/>
      <c r="C855" s="40" t="str">
        <f t="shared" si="39"/>
        <v/>
      </c>
      <c r="D855" s="46" t="str">
        <f t="shared" si="40"/>
        <v/>
      </c>
      <c r="E855" s="46" t="str">
        <f t="shared" si="41"/>
        <v/>
      </c>
      <c r="F855" s="46"/>
      <c r="G855" s="46"/>
      <c r="H855" s="46"/>
      <c r="I855" s="46"/>
      <c r="J855" s="46"/>
      <c r="K855" s="46"/>
      <c r="L855" s="46"/>
      <c r="M855" s="46"/>
    </row>
    <row r="856" spans="2:13" x14ac:dyDescent="0.25">
      <c r="B856" s="46"/>
      <c r="C856" s="40" t="str">
        <f t="shared" si="39"/>
        <v/>
      </c>
      <c r="D856" s="46" t="str">
        <f t="shared" si="40"/>
        <v/>
      </c>
      <c r="E856" s="46" t="str">
        <f t="shared" si="41"/>
        <v/>
      </c>
      <c r="F856" s="46"/>
      <c r="G856" s="46"/>
      <c r="H856" s="46"/>
      <c r="I856" s="46"/>
      <c r="J856" s="46"/>
      <c r="K856" s="46"/>
      <c r="L856" s="46"/>
      <c r="M856" s="46"/>
    </row>
    <row r="857" spans="2:13" x14ac:dyDescent="0.25">
      <c r="B857" s="46"/>
      <c r="C857" s="40" t="str">
        <f t="shared" si="39"/>
        <v/>
      </c>
      <c r="D857" s="46" t="str">
        <f t="shared" si="40"/>
        <v/>
      </c>
      <c r="E857" s="46" t="str">
        <f t="shared" si="41"/>
        <v/>
      </c>
      <c r="F857" s="46"/>
      <c r="G857" s="46"/>
      <c r="H857" s="46"/>
      <c r="I857" s="46"/>
      <c r="J857" s="46"/>
      <c r="K857" s="46"/>
      <c r="L857" s="46"/>
      <c r="M857" s="46"/>
    </row>
    <row r="858" spans="2:13" x14ac:dyDescent="0.25">
      <c r="B858" s="46"/>
      <c r="C858" s="40" t="str">
        <f t="shared" si="39"/>
        <v/>
      </c>
      <c r="D858" s="46" t="str">
        <f t="shared" si="40"/>
        <v/>
      </c>
      <c r="E858" s="46" t="str">
        <f t="shared" si="41"/>
        <v/>
      </c>
      <c r="F858" s="46"/>
      <c r="G858" s="46"/>
      <c r="H858" s="46"/>
      <c r="I858" s="46"/>
      <c r="J858" s="46"/>
      <c r="K858" s="46"/>
      <c r="L858" s="46"/>
      <c r="M858" s="46"/>
    </row>
    <row r="859" spans="2:13" x14ac:dyDescent="0.25">
      <c r="B859" s="46"/>
      <c r="C859" s="40" t="str">
        <f t="shared" si="39"/>
        <v/>
      </c>
      <c r="D859" s="46" t="str">
        <f t="shared" si="40"/>
        <v/>
      </c>
      <c r="E859" s="46" t="str">
        <f t="shared" si="41"/>
        <v/>
      </c>
      <c r="F859" s="46"/>
      <c r="G859" s="46"/>
      <c r="H859" s="46"/>
      <c r="I859" s="46"/>
      <c r="J859" s="46"/>
      <c r="K859" s="46"/>
      <c r="L859" s="46"/>
      <c r="M859" s="46"/>
    </row>
    <row r="860" spans="2:13" x14ac:dyDescent="0.25">
      <c r="B860" s="46"/>
      <c r="C860" s="40" t="str">
        <f t="shared" si="39"/>
        <v/>
      </c>
      <c r="D860" s="46" t="str">
        <f t="shared" si="40"/>
        <v/>
      </c>
      <c r="E860" s="46" t="str">
        <f t="shared" si="41"/>
        <v/>
      </c>
      <c r="F860" s="46"/>
      <c r="G860" s="46"/>
      <c r="H860" s="46"/>
      <c r="I860" s="46"/>
      <c r="J860" s="46"/>
      <c r="K860" s="46"/>
      <c r="L860" s="46"/>
      <c r="M860" s="46"/>
    </row>
    <row r="861" spans="2:13" x14ac:dyDescent="0.25">
      <c r="B861" s="46"/>
      <c r="C861" s="40" t="str">
        <f t="shared" si="39"/>
        <v/>
      </c>
      <c r="D861" s="46" t="str">
        <f t="shared" si="40"/>
        <v/>
      </c>
      <c r="E861" s="46" t="str">
        <f t="shared" si="41"/>
        <v/>
      </c>
      <c r="F861" s="46"/>
      <c r="G861" s="46"/>
      <c r="H861" s="46"/>
      <c r="I861" s="46"/>
      <c r="J861" s="46"/>
      <c r="K861" s="46"/>
      <c r="L861" s="46"/>
      <c r="M861" s="46"/>
    </row>
    <row r="862" spans="2:13" x14ac:dyDescent="0.25">
      <c r="B862" s="46"/>
      <c r="C862" s="40" t="str">
        <f t="shared" si="39"/>
        <v/>
      </c>
      <c r="D862" s="46" t="str">
        <f t="shared" si="40"/>
        <v/>
      </c>
      <c r="E862" s="46" t="str">
        <f t="shared" si="41"/>
        <v/>
      </c>
      <c r="F862" s="46"/>
      <c r="G862" s="46"/>
      <c r="H862" s="46"/>
      <c r="I862" s="46"/>
      <c r="J862" s="46"/>
      <c r="K862" s="46"/>
      <c r="L862" s="46"/>
      <c r="M862" s="46"/>
    </row>
    <row r="863" spans="2:13" x14ac:dyDescent="0.25">
      <c r="B863" s="46"/>
      <c r="C863" s="40" t="str">
        <f t="shared" si="39"/>
        <v/>
      </c>
      <c r="D863" s="46" t="str">
        <f t="shared" si="40"/>
        <v/>
      </c>
      <c r="E863" s="46" t="str">
        <f t="shared" si="41"/>
        <v/>
      </c>
      <c r="F863" s="46"/>
      <c r="G863" s="46"/>
      <c r="H863" s="46"/>
      <c r="I863" s="46"/>
      <c r="J863" s="46"/>
      <c r="K863" s="46"/>
      <c r="L863" s="46"/>
      <c r="M863" s="46"/>
    </row>
    <row r="864" spans="2:13" x14ac:dyDescent="0.25">
      <c r="B864" s="46"/>
      <c r="C864" s="40" t="str">
        <f t="shared" si="39"/>
        <v/>
      </c>
      <c r="D864" s="46" t="str">
        <f t="shared" si="40"/>
        <v/>
      </c>
      <c r="E864" s="46" t="str">
        <f t="shared" si="41"/>
        <v/>
      </c>
      <c r="F864" s="46"/>
      <c r="G864" s="46"/>
      <c r="H864" s="46"/>
      <c r="I864" s="46"/>
      <c r="J864" s="46"/>
      <c r="K864" s="46"/>
      <c r="L864" s="46"/>
      <c r="M864" s="46"/>
    </row>
    <row r="865" spans="2:13" x14ac:dyDescent="0.25">
      <c r="B865" s="46"/>
      <c r="C865" s="40" t="str">
        <f t="shared" si="39"/>
        <v/>
      </c>
      <c r="D865" s="46" t="str">
        <f t="shared" si="40"/>
        <v/>
      </c>
      <c r="E865" s="46" t="str">
        <f t="shared" si="41"/>
        <v/>
      </c>
      <c r="F865" s="46"/>
      <c r="G865" s="46"/>
      <c r="H865" s="46"/>
      <c r="I865" s="46"/>
      <c r="J865" s="46"/>
      <c r="K865" s="46"/>
      <c r="L865" s="46"/>
      <c r="M865" s="46"/>
    </row>
    <row r="866" spans="2:13" x14ac:dyDescent="0.25">
      <c r="B866" s="46"/>
      <c r="C866" s="40" t="str">
        <f t="shared" si="39"/>
        <v/>
      </c>
      <c r="D866" s="46" t="str">
        <f t="shared" si="40"/>
        <v/>
      </c>
      <c r="E866" s="46" t="str">
        <f t="shared" si="41"/>
        <v/>
      </c>
      <c r="F866" s="46"/>
      <c r="G866" s="46"/>
      <c r="H866" s="46"/>
      <c r="I866" s="46"/>
      <c r="J866" s="46"/>
      <c r="K866" s="46"/>
      <c r="L866" s="46"/>
      <c r="M866" s="46"/>
    </row>
    <row r="867" spans="2:13" x14ac:dyDescent="0.25">
      <c r="B867" s="46"/>
      <c r="C867" s="40" t="str">
        <f t="shared" si="39"/>
        <v/>
      </c>
      <c r="D867" s="46" t="str">
        <f t="shared" si="40"/>
        <v/>
      </c>
      <c r="E867" s="46" t="str">
        <f t="shared" si="41"/>
        <v/>
      </c>
      <c r="F867" s="46"/>
      <c r="G867" s="46"/>
      <c r="H867" s="46"/>
      <c r="I867" s="46"/>
      <c r="J867" s="46"/>
      <c r="K867" s="46"/>
      <c r="L867" s="46"/>
      <c r="M867" s="46"/>
    </row>
    <row r="868" spans="2:13" x14ac:dyDescent="0.25">
      <c r="B868" s="46"/>
      <c r="C868" s="40" t="str">
        <f t="shared" si="39"/>
        <v/>
      </c>
      <c r="D868" s="46" t="str">
        <f t="shared" si="40"/>
        <v/>
      </c>
      <c r="E868" s="46" t="str">
        <f t="shared" si="41"/>
        <v/>
      </c>
      <c r="F868" s="46"/>
      <c r="G868" s="46"/>
      <c r="H868" s="46"/>
      <c r="I868" s="46"/>
      <c r="J868" s="46"/>
      <c r="K868" s="46"/>
      <c r="L868" s="46"/>
      <c r="M868" s="46"/>
    </row>
    <row r="869" spans="2:13" x14ac:dyDescent="0.25">
      <c r="B869" s="46"/>
      <c r="C869" s="40" t="str">
        <f t="shared" si="39"/>
        <v/>
      </c>
      <c r="D869" s="46" t="str">
        <f t="shared" si="40"/>
        <v/>
      </c>
      <c r="E869" s="46" t="str">
        <f t="shared" si="41"/>
        <v/>
      </c>
      <c r="F869" s="46"/>
      <c r="G869" s="46"/>
      <c r="H869" s="46"/>
      <c r="I869" s="46"/>
      <c r="J869" s="46"/>
      <c r="K869" s="46"/>
      <c r="L869" s="46"/>
      <c r="M869" s="46"/>
    </row>
    <row r="870" spans="2:13" x14ac:dyDescent="0.25">
      <c r="B870" s="46"/>
      <c r="C870" s="40" t="str">
        <f t="shared" si="39"/>
        <v/>
      </c>
      <c r="D870" s="46" t="str">
        <f t="shared" si="40"/>
        <v/>
      </c>
      <c r="E870" s="46" t="str">
        <f t="shared" si="41"/>
        <v/>
      </c>
      <c r="F870" s="46"/>
      <c r="G870" s="46"/>
      <c r="H870" s="46"/>
      <c r="I870" s="46"/>
      <c r="J870" s="46"/>
      <c r="K870" s="46"/>
      <c r="L870" s="46"/>
      <c r="M870" s="46"/>
    </row>
    <row r="871" spans="2:13" x14ac:dyDescent="0.25">
      <c r="B871" s="46"/>
      <c r="C871" s="40" t="str">
        <f t="shared" si="39"/>
        <v/>
      </c>
      <c r="D871" s="46" t="str">
        <f t="shared" si="40"/>
        <v/>
      </c>
      <c r="E871" s="46" t="str">
        <f t="shared" si="41"/>
        <v/>
      </c>
      <c r="F871" s="46"/>
      <c r="G871" s="46"/>
      <c r="H871" s="46"/>
      <c r="I871" s="46"/>
      <c r="J871" s="46"/>
      <c r="K871" s="46"/>
      <c r="L871" s="46"/>
      <c r="M871" s="46"/>
    </row>
    <row r="872" spans="2:13" x14ac:dyDescent="0.25">
      <c r="B872" s="46"/>
      <c r="C872" s="40" t="str">
        <f t="shared" si="39"/>
        <v/>
      </c>
      <c r="D872" s="46" t="str">
        <f t="shared" si="40"/>
        <v/>
      </c>
      <c r="E872" s="46" t="str">
        <f t="shared" si="41"/>
        <v/>
      </c>
      <c r="F872" s="46"/>
      <c r="G872" s="46"/>
      <c r="H872" s="46"/>
      <c r="I872" s="46"/>
      <c r="J872" s="46"/>
      <c r="K872" s="46"/>
      <c r="L872" s="46"/>
      <c r="M872" s="46"/>
    </row>
    <row r="873" spans="2:13" x14ac:dyDescent="0.25">
      <c r="B873" s="46"/>
      <c r="C873" s="40" t="str">
        <f t="shared" si="39"/>
        <v/>
      </c>
      <c r="D873" s="46" t="str">
        <f t="shared" si="40"/>
        <v/>
      </c>
      <c r="E873" s="46" t="str">
        <f t="shared" si="41"/>
        <v/>
      </c>
      <c r="F873" s="46"/>
      <c r="G873" s="46"/>
      <c r="H873" s="46"/>
      <c r="I873" s="46"/>
      <c r="J873" s="46"/>
      <c r="K873" s="46"/>
      <c r="L873" s="46"/>
      <c r="M873" s="46"/>
    </row>
    <row r="874" spans="2:13" x14ac:dyDescent="0.25">
      <c r="B874" s="46"/>
      <c r="C874" s="40" t="str">
        <f t="shared" si="39"/>
        <v/>
      </c>
      <c r="D874" s="46" t="str">
        <f t="shared" si="40"/>
        <v/>
      </c>
      <c r="E874" s="46" t="str">
        <f t="shared" si="41"/>
        <v/>
      </c>
      <c r="F874" s="46"/>
      <c r="G874" s="46"/>
      <c r="H874" s="46"/>
      <c r="I874" s="46"/>
      <c r="J874" s="46"/>
      <c r="K874" s="46"/>
      <c r="L874" s="46"/>
      <c r="M874" s="46"/>
    </row>
    <row r="875" spans="2:13" x14ac:dyDescent="0.25">
      <c r="B875" s="46"/>
      <c r="C875" s="40" t="str">
        <f t="shared" si="39"/>
        <v/>
      </c>
      <c r="D875" s="46" t="str">
        <f t="shared" si="40"/>
        <v/>
      </c>
      <c r="E875" s="46" t="str">
        <f t="shared" si="41"/>
        <v/>
      </c>
      <c r="F875" s="46"/>
      <c r="G875" s="46"/>
      <c r="H875" s="46"/>
      <c r="I875" s="46"/>
      <c r="J875" s="46"/>
      <c r="K875" s="46"/>
      <c r="L875" s="46"/>
      <c r="M875" s="46"/>
    </row>
    <row r="876" spans="2:13" x14ac:dyDescent="0.25">
      <c r="B876" s="46"/>
      <c r="C876" s="40" t="str">
        <f t="shared" si="39"/>
        <v/>
      </c>
      <c r="D876" s="46" t="str">
        <f t="shared" si="40"/>
        <v/>
      </c>
      <c r="E876" s="46" t="str">
        <f t="shared" si="41"/>
        <v/>
      </c>
      <c r="F876" s="46"/>
      <c r="G876" s="46"/>
      <c r="H876" s="46"/>
      <c r="I876" s="46"/>
      <c r="J876" s="46"/>
      <c r="K876" s="46"/>
      <c r="L876" s="46"/>
      <c r="M876" s="46"/>
    </row>
    <row r="877" spans="2:13" x14ac:dyDescent="0.25">
      <c r="B877" s="46"/>
      <c r="C877" s="40" t="str">
        <f t="shared" si="39"/>
        <v/>
      </c>
      <c r="D877" s="46" t="str">
        <f t="shared" si="40"/>
        <v/>
      </c>
      <c r="E877" s="46" t="str">
        <f t="shared" si="41"/>
        <v/>
      </c>
      <c r="F877" s="46"/>
      <c r="G877" s="46"/>
      <c r="H877" s="46"/>
      <c r="I877" s="46"/>
      <c r="J877" s="46"/>
      <c r="K877" s="46"/>
      <c r="L877" s="46"/>
      <c r="M877" s="46"/>
    </row>
    <row r="878" spans="2:13" x14ac:dyDescent="0.25">
      <c r="B878" s="46"/>
      <c r="C878" s="40" t="str">
        <f t="shared" si="39"/>
        <v/>
      </c>
      <c r="D878" s="46" t="str">
        <f t="shared" si="40"/>
        <v/>
      </c>
      <c r="E878" s="46" t="str">
        <f t="shared" si="41"/>
        <v/>
      </c>
      <c r="F878" s="46"/>
      <c r="G878" s="46"/>
      <c r="H878" s="46"/>
      <c r="I878" s="46"/>
      <c r="J878" s="46"/>
      <c r="K878" s="46"/>
      <c r="L878" s="46"/>
      <c r="M878" s="46"/>
    </row>
    <row r="879" spans="2:13" x14ac:dyDescent="0.25">
      <c r="B879" s="46"/>
      <c r="C879" s="40" t="str">
        <f t="shared" si="39"/>
        <v/>
      </c>
      <c r="D879" s="46" t="str">
        <f t="shared" si="40"/>
        <v/>
      </c>
      <c r="E879" s="46" t="str">
        <f t="shared" si="41"/>
        <v/>
      </c>
      <c r="F879" s="46"/>
      <c r="G879" s="46"/>
      <c r="H879" s="46"/>
      <c r="I879" s="46"/>
      <c r="J879" s="46"/>
      <c r="K879" s="46"/>
      <c r="L879" s="46"/>
      <c r="M879" s="46"/>
    </row>
    <row r="880" spans="2:13" x14ac:dyDescent="0.25">
      <c r="B880" s="46"/>
      <c r="C880" s="40" t="str">
        <f t="shared" si="39"/>
        <v/>
      </c>
      <c r="D880" s="46" t="str">
        <f t="shared" si="40"/>
        <v/>
      </c>
      <c r="E880" s="46" t="str">
        <f t="shared" si="41"/>
        <v/>
      </c>
      <c r="F880" s="46"/>
      <c r="G880" s="46"/>
      <c r="H880" s="46"/>
      <c r="I880" s="46"/>
      <c r="J880" s="46"/>
      <c r="K880" s="46"/>
      <c r="L880" s="46"/>
      <c r="M880" s="46"/>
    </row>
    <row r="881" spans="2:13" x14ac:dyDescent="0.25">
      <c r="B881" s="46"/>
      <c r="C881" s="40" t="str">
        <f t="shared" si="39"/>
        <v/>
      </c>
      <c r="D881" s="46" t="str">
        <f t="shared" si="40"/>
        <v/>
      </c>
      <c r="E881" s="46" t="str">
        <f t="shared" si="41"/>
        <v/>
      </c>
      <c r="F881" s="46"/>
      <c r="G881" s="46"/>
      <c r="H881" s="46"/>
      <c r="I881" s="46"/>
      <c r="J881" s="46"/>
      <c r="K881" s="46"/>
      <c r="L881" s="46"/>
      <c r="M881" s="46"/>
    </row>
    <row r="882" spans="2:13" x14ac:dyDescent="0.25">
      <c r="B882" s="46"/>
      <c r="C882" s="40" t="str">
        <f t="shared" si="39"/>
        <v/>
      </c>
      <c r="D882" s="46" t="str">
        <f t="shared" si="40"/>
        <v/>
      </c>
      <c r="E882" s="46" t="str">
        <f t="shared" si="41"/>
        <v/>
      </c>
      <c r="F882" s="46"/>
      <c r="G882" s="46"/>
      <c r="H882" s="46"/>
      <c r="I882" s="46"/>
      <c r="J882" s="46"/>
      <c r="K882" s="46"/>
      <c r="L882" s="46"/>
      <c r="M882" s="46"/>
    </row>
    <row r="883" spans="2:13" x14ac:dyDescent="0.25">
      <c r="B883" s="46"/>
      <c r="C883" s="40" t="str">
        <f t="shared" si="39"/>
        <v/>
      </c>
      <c r="D883" s="46" t="str">
        <f t="shared" si="40"/>
        <v/>
      </c>
      <c r="E883" s="46" t="str">
        <f t="shared" si="41"/>
        <v/>
      </c>
      <c r="F883" s="46"/>
      <c r="G883" s="46"/>
      <c r="H883" s="46"/>
      <c r="I883" s="46"/>
      <c r="J883" s="46"/>
      <c r="K883" s="46"/>
      <c r="L883" s="46"/>
      <c r="M883" s="46"/>
    </row>
    <row r="884" spans="2:13" x14ac:dyDescent="0.25">
      <c r="B884" s="46"/>
      <c r="C884" s="40" t="str">
        <f t="shared" si="39"/>
        <v/>
      </c>
      <c r="D884" s="46" t="str">
        <f t="shared" si="40"/>
        <v/>
      </c>
      <c r="E884" s="46" t="str">
        <f t="shared" si="41"/>
        <v/>
      </c>
      <c r="F884" s="46"/>
      <c r="G884" s="46"/>
      <c r="H884" s="46"/>
      <c r="I884" s="46"/>
      <c r="J884" s="46"/>
      <c r="K884" s="46"/>
      <c r="L884" s="46"/>
      <c r="M884" s="46"/>
    </row>
    <row r="885" spans="2:13" ht="30" customHeight="1" x14ac:dyDescent="0.25">
      <c r="B885" s="46"/>
      <c r="C885" s="40" t="str">
        <f t="shared" si="39"/>
        <v/>
      </c>
      <c r="D885" s="46" t="str">
        <f t="shared" si="40"/>
        <v/>
      </c>
      <c r="E885" s="46" t="str">
        <f t="shared" si="41"/>
        <v/>
      </c>
      <c r="F885" s="46"/>
      <c r="G885" s="46"/>
      <c r="H885" s="46"/>
      <c r="I885" s="46"/>
      <c r="J885" s="46"/>
      <c r="K885" s="46"/>
      <c r="L885" s="46"/>
      <c r="M885" s="46"/>
    </row>
    <row r="886" spans="2:13" x14ac:dyDescent="0.25">
      <c r="B886" s="46"/>
      <c r="C886" s="40" t="str">
        <f t="shared" si="39"/>
        <v/>
      </c>
      <c r="D886" s="46" t="str">
        <f t="shared" si="40"/>
        <v/>
      </c>
      <c r="E886" s="46" t="str">
        <f t="shared" si="41"/>
        <v/>
      </c>
      <c r="F886" s="46"/>
      <c r="G886" s="46"/>
      <c r="H886" s="46"/>
      <c r="I886" s="46"/>
      <c r="J886" s="46"/>
      <c r="K886" s="46"/>
      <c r="L886" s="46"/>
      <c r="M886" s="46"/>
    </row>
    <row r="887" spans="2:13" x14ac:dyDescent="0.25">
      <c r="B887" s="46"/>
      <c r="C887" s="40" t="str">
        <f t="shared" si="39"/>
        <v/>
      </c>
      <c r="D887" s="46" t="str">
        <f t="shared" si="40"/>
        <v/>
      </c>
      <c r="E887" s="46" t="str">
        <f t="shared" si="41"/>
        <v/>
      </c>
      <c r="F887" s="46"/>
      <c r="G887" s="46"/>
      <c r="H887" s="46"/>
      <c r="I887" s="46"/>
      <c r="J887" s="46"/>
      <c r="K887" s="46"/>
      <c r="L887" s="46"/>
      <c r="M887" s="46"/>
    </row>
    <row r="888" spans="2:13" x14ac:dyDescent="0.25">
      <c r="B888" s="46"/>
      <c r="C888" s="40" t="str">
        <f t="shared" si="39"/>
        <v/>
      </c>
      <c r="D888" s="46" t="str">
        <f t="shared" si="40"/>
        <v/>
      </c>
      <c r="E888" s="46" t="str">
        <f t="shared" si="41"/>
        <v/>
      </c>
      <c r="F888" s="46"/>
      <c r="G888" s="46"/>
      <c r="H888" s="46"/>
      <c r="I888" s="46"/>
      <c r="J888" s="46"/>
      <c r="K888" s="46"/>
      <c r="L888" s="46"/>
      <c r="M888" s="46"/>
    </row>
    <row r="889" spans="2:13" x14ac:dyDescent="0.25">
      <c r="B889" s="46"/>
      <c r="C889" s="40" t="str">
        <f t="shared" si="39"/>
        <v/>
      </c>
      <c r="D889" s="46" t="str">
        <f t="shared" si="40"/>
        <v/>
      </c>
      <c r="E889" s="46" t="str">
        <f t="shared" si="41"/>
        <v/>
      </c>
      <c r="F889" s="46"/>
      <c r="G889" s="46"/>
      <c r="H889" s="46"/>
      <c r="I889" s="46"/>
      <c r="J889" s="46"/>
      <c r="K889" s="46"/>
      <c r="L889" s="46"/>
      <c r="M889" s="46"/>
    </row>
    <row r="890" spans="2:13" x14ac:dyDescent="0.25">
      <c r="B890" s="46"/>
      <c r="C890" s="40" t="str">
        <f t="shared" si="39"/>
        <v/>
      </c>
      <c r="D890" s="46" t="str">
        <f t="shared" si="40"/>
        <v/>
      </c>
      <c r="E890" s="46" t="str">
        <f t="shared" si="41"/>
        <v/>
      </c>
      <c r="F890" s="46"/>
      <c r="G890" s="46"/>
      <c r="H890" s="46"/>
      <c r="I890" s="46"/>
      <c r="J890" s="46"/>
      <c r="K890" s="46"/>
      <c r="L890" s="46"/>
      <c r="M890" s="46"/>
    </row>
    <row r="891" spans="2:13" x14ac:dyDescent="0.25">
      <c r="B891" s="46"/>
      <c r="C891" s="40" t="str">
        <f t="shared" si="39"/>
        <v/>
      </c>
      <c r="D891" s="46" t="str">
        <f t="shared" si="40"/>
        <v/>
      </c>
      <c r="E891" s="46" t="str">
        <f t="shared" si="41"/>
        <v/>
      </c>
      <c r="F891" s="46"/>
      <c r="G891" s="46"/>
      <c r="H891" s="46"/>
      <c r="I891" s="46"/>
      <c r="J891" s="46"/>
      <c r="K891" s="46"/>
      <c r="L891" s="46"/>
      <c r="M891" s="46"/>
    </row>
    <row r="892" spans="2:13" x14ac:dyDescent="0.25">
      <c r="B892" s="46"/>
      <c r="C892" s="40" t="str">
        <f t="shared" si="39"/>
        <v/>
      </c>
      <c r="D892" s="46" t="str">
        <f t="shared" si="40"/>
        <v/>
      </c>
      <c r="E892" s="46" t="str">
        <f t="shared" si="41"/>
        <v/>
      </c>
      <c r="F892" s="46"/>
      <c r="G892" s="46"/>
      <c r="H892" s="46"/>
      <c r="I892" s="46"/>
      <c r="J892" s="46"/>
      <c r="K892" s="46"/>
      <c r="L892" s="46"/>
      <c r="M892" s="46"/>
    </row>
    <row r="893" spans="2:13" x14ac:dyDescent="0.25">
      <c r="B893" s="46"/>
      <c r="C893" s="40" t="str">
        <f t="shared" si="39"/>
        <v/>
      </c>
      <c r="D893" s="46" t="str">
        <f t="shared" si="40"/>
        <v/>
      </c>
      <c r="E893" s="46" t="str">
        <f t="shared" si="41"/>
        <v/>
      </c>
      <c r="F893" s="46"/>
      <c r="G893" s="46"/>
      <c r="H893" s="46"/>
      <c r="I893" s="46"/>
      <c r="J893" s="46"/>
      <c r="K893" s="46"/>
      <c r="L893" s="46"/>
      <c r="M893" s="46"/>
    </row>
    <row r="894" spans="2:13" x14ac:dyDescent="0.25">
      <c r="B894" s="46"/>
      <c r="C894" s="40" t="str">
        <f t="shared" si="39"/>
        <v/>
      </c>
      <c r="D894" s="46" t="str">
        <f t="shared" si="40"/>
        <v/>
      </c>
      <c r="E894" s="46" t="str">
        <f t="shared" si="41"/>
        <v/>
      </c>
      <c r="F894" s="46"/>
      <c r="G894" s="46"/>
      <c r="H894" s="46"/>
      <c r="I894" s="46"/>
      <c r="J894" s="46"/>
      <c r="K894" s="46"/>
      <c r="L894" s="46"/>
      <c r="M894" s="46"/>
    </row>
    <row r="895" spans="2:13" x14ac:dyDescent="0.25">
      <c r="B895" s="46"/>
      <c r="C895" s="40" t="str">
        <f t="shared" si="39"/>
        <v/>
      </c>
      <c r="D895" s="46" t="str">
        <f t="shared" si="40"/>
        <v/>
      </c>
      <c r="E895" s="46" t="str">
        <f t="shared" si="41"/>
        <v/>
      </c>
      <c r="F895" s="46"/>
      <c r="G895" s="46"/>
      <c r="H895" s="46"/>
      <c r="I895" s="46"/>
      <c r="J895" s="46"/>
      <c r="K895" s="46"/>
      <c r="L895" s="46"/>
      <c r="M895" s="46"/>
    </row>
    <row r="896" spans="2:13" x14ac:dyDescent="0.25">
      <c r="B896" s="46"/>
      <c r="C896" s="40" t="str">
        <f t="shared" si="39"/>
        <v/>
      </c>
      <c r="D896" s="46" t="str">
        <f t="shared" si="40"/>
        <v/>
      </c>
      <c r="E896" s="46" t="str">
        <f t="shared" si="41"/>
        <v/>
      </c>
      <c r="F896" s="46"/>
      <c r="G896" s="46"/>
      <c r="H896" s="46"/>
      <c r="I896" s="46"/>
      <c r="J896" s="46"/>
      <c r="K896" s="46"/>
      <c r="L896" s="46"/>
      <c r="M896" s="46"/>
    </row>
    <row r="897" spans="2:13" x14ac:dyDescent="0.25">
      <c r="B897" s="46"/>
      <c r="C897" s="40" t="str">
        <f t="shared" si="39"/>
        <v/>
      </c>
      <c r="D897" s="46" t="str">
        <f t="shared" si="40"/>
        <v/>
      </c>
      <c r="E897" s="46" t="str">
        <f t="shared" si="41"/>
        <v/>
      </c>
      <c r="F897" s="46"/>
      <c r="G897" s="46"/>
      <c r="H897" s="46"/>
      <c r="I897" s="46"/>
      <c r="J897" s="46"/>
      <c r="K897" s="46"/>
      <c r="L897" s="46"/>
      <c r="M897" s="46"/>
    </row>
    <row r="898" spans="2:13" x14ac:dyDescent="0.25">
      <c r="B898" s="46"/>
      <c r="C898" s="40" t="str">
        <f t="shared" ref="C898:C961" si="42">IF(B898="","",MONTH(B898))</f>
        <v/>
      </c>
      <c r="D898" s="46" t="str">
        <f t="shared" ref="D898:D961" si="43">IF(B898="","",CHOOSE(C898,"Enero","Febrero","Marzo","Abril","Mayo","Junio","Julio","Agosto","Septiembre","Octubre","Noviembre","Diciembre"))</f>
        <v/>
      </c>
      <c r="E898" s="46" t="str">
        <f t="shared" ref="E898:E961" si="44">IF(B898="","",YEAR(B898))</f>
        <v/>
      </c>
      <c r="F898" s="46"/>
      <c r="G898" s="46"/>
      <c r="H898" s="46"/>
      <c r="I898" s="46"/>
      <c r="J898" s="46"/>
      <c r="K898" s="46"/>
      <c r="L898" s="46"/>
      <c r="M898" s="46"/>
    </row>
    <row r="899" spans="2:13" x14ac:dyDescent="0.25">
      <c r="B899" s="46"/>
      <c r="C899" s="40" t="str">
        <f t="shared" si="42"/>
        <v/>
      </c>
      <c r="D899" s="46" t="str">
        <f t="shared" si="43"/>
        <v/>
      </c>
      <c r="E899" s="46" t="str">
        <f t="shared" si="44"/>
        <v/>
      </c>
      <c r="F899" s="46"/>
      <c r="G899" s="46"/>
      <c r="H899" s="46"/>
      <c r="I899" s="46"/>
      <c r="J899" s="46"/>
      <c r="K899" s="46"/>
      <c r="L899" s="46"/>
      <c r="M899" s="46"/>
    </row>
    <row r="900" spans="2:13" x14ac:dyDescent="0.25">
      <c r="B900" s="46"/>
      <c r="C900" s="40" t="str">
        <f t="shared" si="42"/>
        <v/>
      </c>
      <c r="D900" s="46" t="str">
        <f t="shared" si="43"/>
        <v/>
      </c>
      <c r="E900" s="46" t="str">
        <f t="shared" si="44"/>
        <v/>
      </c>
      <c r="F900" s="46"/>
      <c r="G900" s="46"/>
      <c r="H900" s="46"/>
      <c r="I900" s="46"/>
      <c r="J900" s="46"/>
      <c r="K900" s="46"/>
      <c r="L900" s="46"/>
      <c r="M900" s="46"/>
    </row>
    <row r="901" spans="2:13" x14ac:dyDescent="0.25">
      <c r="B901" s="46"/>
      <c r="C901" s="40" t="str">
        <f t="shared" si="42"/>
        <v/>
      </c>
      <c r="D901" s="46" t="str">
        <f t="shared" si="43"/>
        <v/>
      </c>
      <c r="E901" s="46" t="str">
        <f t="shared" si="44"/>
        <v/>
      </c>
      <c r="F901" s="46"/>
      <c r="G901" s="46"/>
      <c r="H901" s="46"/>
      <c r="I901" s="46"/>
      <c r="J901" s="46"/>
      <c r="K901" s="46"/>
      <c r="L901" s="46"/>
      <c r="M901" s="46"/>
    </row>
    <row r="902" spans="2:13" x14ac:dyDescent="0.25">
      <c r="B902" s="46"/>
      <c r="C902" s="40" t="str">
        <f t="shared" si="42"/>
        <v/>
      </c>
      <c r="D902" s="46" t="str">
        <f t="shared" si="43"/>
        <v/>
      </c>
      <c r="E902" s="46" t="str">
        <f t="shared" si="44"/>
        <v/>
      </c>
      <c r="F902" s="46"/>
      <c r="G902" s="46"/>
      <c r="H902" s="46"/>
      <c r="I902" s="46"/>
      <c r="J902" s="46"/>
      <c r="K902" s="46"/>
      <c r="L902" s="46"/>
      <c r="M902" s="46"/>
    </row>
    <row r="903" spans="2:13" x14ac:dyDescent="0.25">
      <c r="B903" s="46"/>
      <c r="C903" s="40" t="str">
        <f t="shared" si="42"/>
        <v/>
      </c>
      <c r="D903" s="46" t="str">
        <f t="shared" si="43"/>
        <v/>
      </c>
      <c r="E903" s="46" t="str">
        <f t="shared" si="44"/>
        <v/>
      </c>
      <c r="F903" s="46"/>
      <c r="G903" s="46"/>
      <c r="H903" s="46"/>
      <c r="I903" s="46"/>
      <c r="J903" s="46"/>
      <c r="K903" s="46"/>
      <c r="L903" s="46"/>
      <c r="M903" s="46"/>
    </row>
    <row r="904" spans="2:13" x14ac:dyDescent="0.25">
      <c r="B904" s="46"/>
      <c r="C904" s="40" t="str">
        <f t="shared" si="42"/>
        <v/>
      </c>
      <c r="D904" s="46" t="str">
        <f t="shared" si="43"/>
        <v/>
      </c>
      <c r="E904" s="46" t="str">
        <f t="shared" si="44"/>
        <v/>
      </c>
      <c r="F904" s="46"/>
      <c r="G904" s="46"/>
      <c r="H904" s="46"/>
      <c r="I904" s="46"/>
      <c r="J904" s="46"/>
      <c r="K904" s="46"/>
      <c r="L904" s="46"/>
      <c r="M904" s="46"/>
    </row>
    <row r="905" spans="2:13" x14ac:dyDescent="0.25">
      <c r="B905" s="46"/>
      <c r="C905" s="40" t="str">
        <f t="shared" si="42"/>
        <v/>
      </c>
      <c r="D905" s="46" t="str">
        <f t="shared" si="43"/>
        <v/>
      </c>
      <c r="E905" s="46" t="str">
        <f t="shared" si="44"/>
        <v/>
      </c>
      <c r="F905" s="46"/>
      <c r="G905" s="46"/>
      <c r="H905" s="46"/>
      <c r="I905" s="46"/>
      <c r="J905" s="46"/>
      <c r="K905" s="46"/>
      <c r="L905" s="46"/>
      <c r="M905" s="46"/>
    </row>
    <row r="906" spans="2:13" x14ac:dyDescent="0.25">
      <c r="B906" s="46"/>
      <c r="C906" s="40" t="str">
        <f t="shared" si="42"/>
        <v/>
      </c>
      <c r="D906" s="46" t="str">
        <f t="shared" si="43"/>
        <v/>
      </c>
      <c r="E906" s="46" t="str">
        <f t="shared" si="44"/>
        <v/>
      </c>
      <c r="F906" s="46"/>
      <c r="G906" s="46"/>
      <c r="H906" s="46"/>
      <c r="I906" s="46"/>
      <c r="J906" s="46"/>
      <c r="K906" s="46"/>
      <c r="L906" s="46"/>
      <c r="M906" s="46"/>
    </row>
    <row r="907" spans="2:13" x14ac:dyDescent="0.25">
      <c r="B907" s="46"/>
      <c r="C907" s="40" t="str">
        <f t="shared" si="42"/>
        <v/>
      </c>
      <c r="D907" s="46" t="str">
        <f t="shared" si="43"/>
        <v/>
      </c>
      <c r="E907" s="46" t="str">
        <f t="shared" si="44"/>
        <v/>
      </c>
      <c r="F907" s="46"/>
      <c r="G907" s="46"/>
      <c r="H907" s="46"/>
      <c r="I907" s="46"/>
      <c r="J907" s="46"/>
      <c r="K907" s="46"/>
      <c r="L907" s="46"/>
      <c r="M907" s="46"/>
    </row>
    <row r="908" spans="2:13" x14ac:dyDescent="0.25">
      <c r="B908" s="46"/>
      <c r="C908" s="40" t="str">
        <f t="shared" si="42"/>
        <v/>
      </c>
      <c r="D908" s="46" t="str">
        <f t="shared" si="43"/>
        <v/>
      </c>
      <c r="E908" s="46" t="str">
        <f t="shared" si="44"/>
        <v/>
      </c>
      <c r="F908" s="46"/>
      <c r="G908" s="46"/>
      <c r="H908" s="46"/>
      <c r="I908" s="46"/>
      <c r="J908" s="46"/>
      <c r="K908" s="46"/>
      <c r="L908" s="46"/>
      <c r="M908" s="46"/>
    </row>
    <row r="909" spans="2:13" x14ac:dyDescent="0.25">
      <c r="B909" s="46"/>
      <c r="C909" s="40" t="str">
        <f t="shared" si="42"/>
        <v/>
      </c>
      <c r="D909" s="46" t="str">
        <f t="shared" si="43"/>
        <v/>
      </c>
      <c r="E909" s="46" t="str">
        <f t="shared" si="44"/>
        <v/>
      </c>
      <c r="F909" s="46"/>
      <c r="G909" s="46"/>
      <c r="H909" s="46"/>
      <c r="I909" s="46"/>
      <c r="J909" s="46"/>
      <c r="K909" s="46"/>
      <c r="L909" s="46"/>
      <c r="M909" s="46"/>
    </row>
    <row r="910" spans="2:13" x14ac:dyDescent="0.25">
      <c r="B910" s="46"/>
      <c r="C910" s="40" t="str">
        <f t="shared" si="42"/>
        <v/>
      </c>
      <c r="D910" s="46" t="str">
        <f t="shared" si="43"/>
        <v/>
      </c>
      <c r="E910" s="46" t="str">
        <f t="shared" si="44"/>
        <v/>
      </c>
      <c r="F910" s="46"/>
      <c r="G910" s="46"/>
      <c r="H910" s="46"/>
      <c r="I910" s="46"/>
      <c r="J910" s="46"/>
      <c r="K910" s="46"/>
      <c r="L910" s="46"/>
      <c r="M910" s="46"/>
    </row>
    <row r="911" spans="2:13" x14ac:dyDescent="0.25">
      <c r="B911" s="46"/>
      <c r="C911" s="40" t="str">
        <f t="shared" si="42"/>
        <v/>
      </c>
      <c r="D911" s="46" t="str">
        <f t="shared" si="43"/>
        <v/>
      </c>
      <c r="E911" s="46" t="str">
        <f t="shared" si="44"/>
        <v/>
      </c>
      <c r="F911" s="46"/>
      <c r="G911" s="46"/>
      <c r="H911" s="46"/>
      <c r="I911" s="46"/>
      <c r="J911" s="46"/>
      <c r="K911" s="46"/>
      <c r="L911" s="46"/>
      <c r="M911" s="46"/>
    </row>
    <row r="912" spans="2:13" x14ac:dyDescent="0.25">
      <c r="B912" s="46"/>
      <c r="C912" s="40" t="str">
        <f t="shared" si="42"/>
        <v/>
      </c>
      <c r="D912" s="46" t="str">
        <f t="shared" si="43"/>
        <v/>
      </c>
      <c r="E912" s="46" t="str">
        <f t="shared" si="44"/>
        <v/>
      </c>
      <c r="F912" s="46"/>
      <c r="G912" s="46"/>
      <c r="H912" s="46"/>
      <c r="I912" s="46"/>
      <c r="J912" s="46"/>
      <c r="K912" s="46"/>
      <c r="L912" s="46"/>
      <c r="M912" s="46"/>
    </row>
    <row r="913" spans="2:13" x14ac:dyDescent="0.25">
      <c r="B913" s="46"/>
      <c r="C913" s="40" t="str">
        <f t="shared" si="42"/>
        <v/>
      </c>
      <c r="D913" s="46" t="str">
        <f t="shared" si="43"/>
        <v/>
      </c>
      <c r="E913" s="46" t="str">
        <f t="shared" si="44"/>
        <v/>
      </c>
      <c r="F913" s="46"/>
      <c r="G913" s="46"/>
      <c r="H913" s="46"/>
      <c r="I913" s="46"/>
      <c r="J913" s="46"/>
      <c r="K913" s="46"/>
      <c r="L913" s="46"/>
      <c r="M913" s="46"/>
    </row>
    <row r="914" spans="2:13" x14ac:dyDescent="0.25">
      <c r="B914" s="46"/>
      <c r="C914" s="40" t="str">
        <f t="shared" si="42"/>
        <v/>
      </c>
      <c r="D914" s="46" t="str">
        <f t="shared" si="43"/>
        <v/>
      </c>
      <c r="E914" s="46" t="str">
        <f t="shared" si="44"/>
        <v/>
      </c>
      <c r="F914" s="46"/>
      <c r="G914" s="46"/>
      <c r="H914" s="46"/>
      <c r="I914" s="46"/>
      <c r="J914" s="46"/>
      <c r="K914" s="46"/>
      <c r="L914" s="46"/>
      <c r="M914" s="46"/>
    </row>
    <row r="915" spans="2:13" x14ac:dyDescent="0.25">
      <c r="B915" s="46"/>
      <c r="C915" s="40" t="str">
        <f t="shared" si="42"/>
        <v/>
      </c>
      <c r="D915" s="46" t="str">
        <f t="shared" si="43"/>
        <v/>
      </c>
      <c r="E915" s="46" t="str">
        <f t="shared" si="44"/>
        <v/>
      </c>
      <c r="F915" s="46"/>
      <c r="G915" s="46"/>
      <c r="H915" s="46"/>
      <c r="I915" s="46"/>
      <c r="J915" s="46"/>
      <c r="K915" s="46"/>
      <c r="L915" s="46"/>
      <c r="M915" s="46"/>
    </row>
    <row r="916" spans="2:13" x14ac:dyDescent="0.25">
      <c r="B916" s="46"/>
      <c r="C916" s="40" t="str">
        <f t="shared" si="42"/>
        <v/>
      </c>
      <c r="D916" s="46" t="str">
        <f t="shared" si="43"/>
        <v/>
      </c>
      <c r="E916" s="46" t="str">
        <f t="shared" si="44"/>
        <v/>
      </c>
      <c r="F916" s="46"/>
      <c r="G916" s="46"/>
      <c r="H916" s="46"/>
      <c r="I916" s="46"/>
      <c r="J916" s="46"/>
      <c r="K916" s="46"/>
      <c r="L916" s="46"/>
      <c r="M916" s="46"/>
    </row>
    <row r="917" spans="2:13" x14ac:dyDescent="0.25">
      <c r="B917" s="46"/>
      <c r="C917" s="40" t="str">
        <f t="shared" si="42"/>
        <v/>
      </c>
      <c r="D917" s="46" t="str">
        <f t="shared" si="43"/>
        <v/>
      </c>
      <c r="E917" s="46" t="str">
        <f t="shared" si="44"/>
        <v/>
      </c>
      <c r="F917" s="46"/>
      <c r="G917" s="46"/>
      <c r="H917" s="46"/>
      <c r="I917" s="46"/>
      <c r="J917" s="46"/>
      <c r="K917" s="46"/>
      <c r="L917" s="46"/>
      <c r="M917" s="46"/>
    </row>
    <row r="918" spans="2:13" x14ac:dyDescent="0.25">
      <c r="B918" s="46"/>
      <c r="C918" s="40" t="str">
        <f t="shared" si="42"/>
        <v/>
      </c>
      <c r="D918" s="46" t="str">
        <f t="shared" si="43"/>
        <v/>
      </c>
      <c r="E918" s="46" t="str">
        <f t="shared" si="44"/>
        <v/>
      </c>
      <c r="F918" s="46"/>
      <c r="G918" s="46"/>
      <c r="H918" s="46"/>
      <c r="I918" s="46"/>
      <c r="J918" s="46"/>
      <c r="K918" s="46"/>
      <c r="L918" s="46"/>
      <c r="M918" s="46"/>
    </row>
    <row r="919" spans="2:13" x14ac:dyDescent="0.25">
      <c r="B919" s="46"/>
      <c r="C919" s="40" t="str">
        <f t="shared" si="42"/>
        <v/>
      </c>
      <c r="D919" s="46" t="str">
        <f t="shared" si="43"/>
        <v/>
      </c>
      <c r="E919" s="46" t="str">
        <f t="shared" si="44"/>
        <v/>
      </c>
      <c r="F919" s="46"/>
      <c r="G919" s="46"/>
      <c r="H919" s="46"/>
      <c r="I919" s="46"/>
      <c r="J919" s="46"/>
      <c r="K919" s="46"/>
      <c r="L919" s="46"/>
      <c r="M919" s="46"/>
    </row>
    <row r="920" spans="2:13" x14ac:dyDescent="0.25">
      <c r="B920" s="46"/>
      <c r="C920" s="40" t="str">
        <f t="shared" si="42"/>
        <v/>
      </c>
      <c r="D920" s="46" t="str">
        <f t="shared" si="43"/>
        <v/>
      </c>
      <c r="E920" s="46" t="str">
        <f t="shared" si="44"/>
        <v/>
      </c>
      <c r="F920" s="46"/>
      <c r="G920" s="46"/>
      <c r="H920" s="46"/>
      <c r="I920" s="46"/>
      <c r="J920" s="46"/>
      <c r="K920" s="46"/>
      <c r="L920" s="46"/>
      <c r="M920" s="46"/>
    </row>
    <row r="921" spans="2:13" x14ac:dyDescent="0.25">
      <c r="B921" s="46"/>
      <c r="C921" s="40" t="str">
        <f t="shared" si="42"/>
        <v/>
      </c>
      <c r="D921" s="46" t="str">
        <f t="shared" si="43"/>
        <v/>
      </c>
      <c r="E921" s="46" t="str">
        <f t="shared" si="44"/>
        <v/>
      </c>
      <c r="F921" s="46"/>
      <c r="G921" s="46"/>
      <c r="H921" s="46"/>
      <c r="I921" s="46"/>
      <c r="J921" s="46"/>
      <c r="K921" s="46"/>
      <c r="L921" s="46"/>
      <c r="M921" s="46"/>
    </row>
    <row r="922" spans="2:13" x14ac:dyDescent="0.25">
      <c r="B922" s="46"/>
      <c r="C922" s="40" t="str">
        <f t="shared" si="42"/>
        <v/>
      </c>
      <c r="D922" s="46" t="str">
        <f t="shared" si="43"/>
        <v/>
      </c>
      <c r="E922" s="46" t="str">
        <f t="shared" si="44"/>
        <v/>
      </c>
      <c r="F922" s="46"/>
      <c r="G922" s="46"/>
      <c r="H922" s="46"/>
      <c r="I922" s="46"/>
      <c r="J922" s="46"/>
      <c r="K922" s="46"/>
      <c r="L922" s="46"/>
      <c r="M922" s="46"/>
    </row>
    <row r="923" spans="2:13" x14ac:dyDescent="0.25">
      <c r="B923" s="46"/>
      <c r="C923" s="40" t="str">
        <f t="shared" si="42"/>
        <v/>
      </c>
      <c r="D923" s="46" t="str">
        <f t="shared" si="43"/>
        <v/>
      </c>
      <c r="E923" s="46" t="str">
        <f t="shared" si="44"/>
        <v/>
      </c>
      <c r="F923" s="46"/>
      <c r="G923" s="46"/>
      <c r="H923" s="46"/>
      <c r="I923" s="46"/>
      <c r="J923" s="46"/>
      <c r="K923" s="46"/>
      <c r="L923" s="46"/>
      <c r="M923" s="46"/>
    </row>
    <row r="924" spans="2:13" x14ac:dyDescent="0.25">
      <c r="B924" s="46"/>
      <c r="C924" s="40" t="str">
        <f t="shared" si="42"/>
        <v/>
      </c>
      <c r="D924" s="46" t="str">
        <f t="shared" si="43"/>
        <v/>
      </c>
      <c r="E924" s="46" t="str">
        <f t="shared" si="44"/>
        <v/>
      </c>
      <c r="F924" s="46"/>
      <c r="G924" s="46"/>
      <c r="H924" s="46"/>
      <c r="I924" s="46"/>
      <c r="J924" s="46"/>
      <c r="K924" s="46"/>
      <c r="L924" s="46"/>
      <c r="M924" s="46"/>
    </row>
    <row r="925" spans="2:13" x14ac:dyDescent="0.25">
      <c r="B925" s="46"/>
      <c r="C925" s="40" t="str">
        <f t="shared" si="42"/>
        <v/>
      </c>
      <c r="D925" s="46" t="str">
        <f t="shared" si="43"/>
        <v/>
      </c>
      <c r="E925" s="46" t="str">
        <f t="shared" si="44"/>
        <v/>
      </c>
      <c r="F925" s="46"/>
      <c r="G925" s="46"/>
      <c r="H925" s="46"/>
      <c r="I925" s="46"/>
      <c r="J925" s="46"/>
      <c r="K925" s="46"/>
      <c r="L925" s="46"/>
      <c r="M925" s="46"/>
    </row>
    <row r="926" spans="2:13" x14ac:dyDescent="0.25">
      <c r="B926" s="46"/>
      <c r="C926" s="40" t="str">
        <f t="shared" si="42"/>
        <v/>
      </c>
      <c r="D926" s="46" t="str">
        <f t="shared" si="43"/>
        <v/>
      </c>
      <c r="E926" s="46" t="str">
        <f t="shared" si="44"/>
        <v/>
      </c>
      <c r="F926" s="46"/>
      <c r="G926" s="46"/>
      <c r="H926" s="46"/>
      <c r="I926" s="46"/>
      <c r="J926" s="46"/>
      <c r="K926" s="46"/>
      <c r="L926" s="46"/>
      <c r="M926" s="46"/>
    </row>
    <row r="927" spans="2:13" x14ac:dyDescent="0.25">
      <c r="B927" s="46"/>
      <c r="C927" s="40" t="str">
        <f t="shared" si="42"/>
        <v/>
      </c>
      <c r="D927" s="46" t="str">
        <f t="shared" si="43"/>
        <v/>
      </c>
      <c r="E927" s="46" t="str">
        <f t="shared" si="44"/>
        <v/>
      </c>
      <c r="F927" s="46"/>
      <c r="G927" s="46"/>
      <c r="H927" s="46"/>
      <c r="I927" s="46"/>
      <c r="J927" s="46"/>
      <c r="K927" s="46"/>
      <c r="L927" s="46"/>
      <c r="M927" s="46"/>
    </row>
    <row r="928" spans="2:13" x14ac:dyDescent="0.25">
      <c r="B928" s="46"/>
      <c r="C928" s="40" t="str">
        <f t="shared" si="42"/>
        <v/>
      </c>
      <c r="D928" s="46" t="str">
        <f t="shared" si="43"/>
        <v/>
      </c>
      <c r="E928" s="46" t="str">
        <f t="shared" si="44"/>
        <v/>
      </c>
      <c r="F928" s="46"/>
      <c r="G928" s="46"/>
      <c r="H928" s="46"/>
      <c r="I928" s="46"/>
      <c r="J928" s="46"/>
      <c r="K928" s="46"/>
      <c r="L928" s="46"/>
      <c r="M928" s="46"/>
    </row>
    <row r="929" spans="2:13" x14ac:dyDescent="0.25">
      <c r="B929" s="46"/>
      <c r="C929" s="40" t="str">
        <f t="shared" si="42"/>
        <v/>
      </c>
      <c r="D929" s="46" t="str">
        <f t="shared" si="43"/>
        <v/>
      </c>
      <c r="E929" s="46" t="str">
        <f t="shared" si="44"/>
        <v/>
      </c>
      <c r="F929" s="46"/>
      <c r="G929" s="46"/>
      <c r="H929" s="46"/>
      <c r="I929" s="46"/>
      <c r="J929" s="46"/>
      <c r="K929" s="46"/>
      <c r="L929" s="46"/>
      <c r="M929" s="46"/>
    </row>
    <row r="930" spans="2:13" x14ac:dyDescent="0.25">
      <c r="B930" s="46"/>
      <c r="C930" s="40" t="str">
        <f t="shared" si="42"/>
        <v/>
      </c>
      <c r="D930" s="46" t="str">
        <f t="shared" si="43"/>
        <v/>
      </c>
      <c r="E930" s="46" t="str">
        <f t="shared" si="44"/>
        <v/>
      </c>
      <c r="F930" s="46"/>
      <c r="G930" s="46"/>
      <c r="H930" s="46"/>
      <c r="I930" s="46"/>
      <c r="J930" s="46"/>
      <c r="K930" s="46"/>
      <c r="L930" s="46"/>
      <c r="M930" s="46"/>
    </row>
    <row r="931" spans="2:13" x14ac:dyDescent="0.25">
      <c r="B931" s="46"/>
      <c r="C931" s="40" t="str">
        <f t="shared" si="42"/>
        <v/>
      </c>
      <c r="D931" s="46" t="str">
        <f t="shared" si="43"/>
        <v/>
      </c>
      <c r="E931" s="46" t="str">
        <f t="shared" si="44"/>
        <v/>
      </c>
      <c r="F931" s="46"/>
      <c r="G931" s="46"/>
      <c r="H931" s="46"/>
      <c r="I931" s="46"/>
      <c r="J931" s="46"/>
      <c r="K931" s="46"/>
      <c r="L931" s="46"/>
      <c r="M931" s="46"/>
    </row>
    <row r="932" spans="2:13" x14ac:dyDescent="0.25">
      <c r="B932" s="46"/>
      <c r="C932" s="40" t="str">
        <f t="shared" si="42"/>
        <v/>
      </c>
      <c r="D932" s="46" t="str">
        <f t="shared" si="43"/>
        <v/>
      </c>
      <c r="E932" s="46" t="str">
        <f t="shared" si="44"/>
        <v/>
      </c>
      <c r="F932" s="46"/>
      <c r="G932" s="46"/>
      <c r="H932" s="46"/>
      <c r="I932" s="46"/>
      <c r="J932" s="46"/>
      <c r="K932" s="46"/>
      <c r="L932" s="46"/>
      <c r="M932" s="46"/>
    </row>
    <row r="933" spans="2:13" x14ac:dyDescent="0.25">
      <c r="B933" s="46"/>
      <c r="C933" s="40" t="str">
        <f t="shared" si="42"/>
        <v/>
      </c>
      <c r="D933" s="46" t="str">
        <f t="shared" si="43"/>
        <v/>
      </c>
      <c r="E933" s="46" t="str">
        <f t="shared" si="44"/>
        <v/>
      </c>
      <c r="F933" s="46"/>
      <c r="G933" s="46"/>
      <c r="H933" s="46"/>
      <c r="I933" s="46"/>
      <c r="J933" s="46"/>
      <c r="K933" s="46"/>
      <c r="L933" s="46"/>
      <c r="M933" s="46"/>
    </row>
    <row r="934" spans="2:13" x14ac:dyDescent="0.25">
      <c r="B934" s="46"/>
      <c r="C934" s="40" t="str">
        <f t="shared" si="42"/>
        <v/>
      </c>
      <c r="D934" s="46" t="str">
        <f t="shared" si="43"/>
        <v/>
      </c>
      <c r="E934" s="46" t="str">
        <f t="shared" si="44"/>
        <v/>
      </c>
      <c r="F934" s="46"/>
      <c r="G934" s="46"/>
      <c r="H934" s="46"/>
      <c r="I934" s="46"/>
      <c r="J934" s="46"/>
      <c r="K934" s="46"/>
      <c r="L934" s="46"/>
      <c r="M934" s="46"/>
    </row>
    <row r="935" spans="2:13" x14ac:dyDescent="0.25">
      <c r="B935" s="46"/>
      <c r="C935" s="40" t="str">
        <f t="shared" si="42"/>
        <v/>
      </c>
      <c r="D935" s="46" t="str">
        <f t="shared" si="43"/>
        <v/>
      </c>
      <c r="E935" s="46" t="str">
        <f t="shared" si="44"/>
        <v/>
      </c>
      <c r="F935" s="46"/>
      <c r="G935" s="46"/>
      <c r="H935" s="46"/>
      <c r="I935" s="46"/>
      <c r="J935" s="46"/>
      <c r="K935" s="46"/>
      <c r="L935" s="46"/>
      <c r="M935" s="46"/>
    </row>
    <row r="936" spans="2:13" x14ac:dyDescent="0.25">
      <c r="B936" s="46"/>
      <c r="C936" s="40" t="str">
        <f t="shared" si="42"/>
        <v/>
      </c>
      <c r="D936" s="46" t="str">
        <f t="shared" si="43"/>
        <v/>
      </c>
      <c r="E936" s="46" t="str">
        <f t="shared" si="44"/>
        <v/>
      </c>
      <c r="F936" s="46"/>
      <c r="G936" s="46"/>
      <c r="H936" s="46"/>
      <c r="I936" s="46"/>
      <c r="J936" s="46"/>
      <c r="K936" s="46"/>
      <c r="L936" s="46"/>
      <c r="M936" s="46"/>
    </row>
    <row r="937" spans="2:13" x14ac:dyDescent="0.25">
      <c r="B937" s="46"/>
      <c r="C937" s="40" t="str">
        <f t="shared" si="42"/>
        <v/>
      </c>
      <c r="D937" s="46" t="str">
        <f t="shared" si="43"/>
        <v/>
      </c>
      <c r="E937" s="46" t="str">
        <f t="shared" si="44"/>
        <v/>
      </c>
      <c r="F937" s="46"/>
      <c r="G937" s="46"/>
      <c r="H937" s="46"/>
      <c r="I937" s="46"/>
      <c r="J937" s="46"/>
      <c r="K937" s="46"/>
      <c r="L937" s="46"/>
      <c r="M937" s="46"/>
    </row>
    <row r="938" spans="2:13" x14ac:dyDescent="0.25">
      <c r="B938" s="46"/>
      <c r="C938" s="40" t="str">
        <f t="shared" si="42"/>
        <v/>
      </c>
      <c r="D938" s="46" t="str">
        <f t="shared" si="43"/>
        <v/>
      </c>
      <c r="E938" s="46" t="str">
        <f t="shared" si="44"/>
        <v/>
      </c>
      <c r="F938" s="46"/>
      <c r="G938" s="46"/>
      <c r="H938" s="46"/>
      <c r="I938" s="46"/>
      <c r="J938" s="46"/>
      <c r="K938" s="46"/>
      <c r="L938" s="46"/>
      <c r="M938" s="46"/>
    </row>
    <row r="939" spans="2:13" x14ac:dyDescent="0.25">
      <c r="B939" s="46"/>
      <c r="C939" s="40" t="str">
        <f t="shared" si="42"/>
        <v/>
      </c>
      <c r="D939" s="46" t="str">
        <f t="shared" si="43"/>
        <v/>
      </c>
      <c r="E939" s="46" t="str">
        <f t="shared" si="44"/>
        <v/>
      </c>
      <c r="F939" s="46"/>
      <c r="G939" s="46"/>
      <c r="H939" s="46"/>
      <c r="I939" s="46"/>
      <c r="J939" s="46"/>
      <c r="K939" s="46"/>
      <c r="L939" s="46"/>
      <c r="M939" s="46"/>
    </row>
    <row r="940" spans="2:13" x14ac:dyDescent="0.25">
      <c r="B940" s="46"/>
      <c r="C940" s="40" t="str">
        <f t="shared" si="42"/>
        <v/>
      </c>
      <c r="D940" s="46" t="str">
        <f t="shared" si="43"/>
        <v/>
      </c>
      <c r="E940" s="46" t="str">
        <f t="shared" si="44"/>
        <v/>
      </c>
      <c r="F940" s="46"/>
      <c r="G940" s="46"/>
      <c r="H940" s="46"/>
      <c r="I940" s="46"/>
      <c r="J940" s="46"/>
      <c r="K940" s="46"/>
      <c r="L940" s="46"/>
      <c r="M940" s="46"/>
    </row>
    <row r="941" spans="2:13" x14ac:dyDescent="0.25">
      <c r="B941" s="46"/>
      <c r="C941" s="40" t="str">
        <f t="shared" si="42"/>
        <v/>
      </c>
      <c r="D941" s="46" t="str">
        <f t="shared" si="43"/>
        <v/>
      </c>
      <c r="E941" s="46" t="str">
        <f t="shared" si="44"/>
        <v/>
      </c>
      <c r="F941" s="46"/>
      <c r="G941" s="46"/>
      <c r="H941" s="46"/>
      <c r="I941" s="46"/>
      <c r="J941" s="46"/>
      <c r="K941" s="46"/>
      <c r="L941" s="46"/>
      <c r="M941" s="46"/>
    </row>
    <row r="942" spans="2:13" x14ac:dyDescent="0.25">
      <c r="B942" s="46"/>
      <c r="C942" s="40" t="str">
        <f t="shared" si="42"/>
        <v/>
      </c>
      <c r="D942" s="46" t="str">
        <f t="shared" si="43"/>
        <v/>
      </c>
      <c r="E942" s="46" t="str">
        <f t="shared" si="44"/>
        <v/>
      </c>
      <c r="F942" s="46"/>
      <c r="G942" s="46"/>
      <c r="H942" s="46"/>
      <c r="I942" s="46"/>
      <c r="J942" s="46"/>
      <c r="K942" s="46"/>
      <c r="L942" s="46"/>
      <c r="M942" s="46"/>
    </row>
    <row r="943" spans="2:13" x14ac:dyDescent="0.25">
      <c r="B943" s="46"/>
      <c r="C943" s="40" t="str">
        <f t="shared" si="42"/>
        <v/>
      </c>
      <c r="D943" s="46" t="str">
        <f t="shared" si="43"/>
        <v/>
      </c>
      <c r="E943" s="46" t="str">
        <f t="shared" si="44"/>
        <v/>
      </c>
      <c r="F943" s="46"/>
      <c r="G943" s="46"/>
      <c r="H943" s="46"/>
      <c r="I943" s="46"/>
      <c r="J943" s="46"/>
      <c r="K943" s="46"/>
      <c r="L943" s="46"/>
      <c r="M943" s="46"/>
    </row>
    <row r="944" spans="2:13" x14ac:dyDescent="0.25">
      <c r="B944" s="46"/>
      <c r="C944" s="40" t="str">
        <f t="shared" si="42"/>
        <v/>
      </c>
      <c r="D944" s="46" t="str">
        <f t="shared" si="43"/>
        <v/>
      </c>
      <c r="E944" s="46" t="str">
        <f t="shared" si="44"/>
        <v/>
      </c>
      <c r="F944" s="46"/>
      <c r="G944" s="46"/>
      <c r="H944" s="46"/>
      <c r="I944" s="46"/>
      <c r="J944" s="46"/>
      <c r="K944" s="46"/>
      <c r="L944" s="46"/>
      <c r="M944" s="46"/>
    </row>
    <row r="945" spans="2:13" x14ac:dyDescent="0.25">
      <c r="B945" s="46"/>
      <c r="C945" s="40" t="str">
        <f t="shared" si="42"/>
        <v/>
      </c>
      <c r="D945" s="46" t="str">
        <f t="shared" si="43"/>
        <v/>
      </c>
      <c r="E945" s="46" t="str">
        <f t="shared" si="44"/>
        <v/>
      </c>
      <c r="F945" s="46"/>
      <c r="G945" s="46"/>
      <c r="H945" s="46"/>
      <c r="I945" s="46"/>
      <c r="J945" s="46"/>
      <c r="K945" s="46"/>
      <c r="L945" s="46"/>
      <c r="M945" s="46"/>
    </row>
    <row r="946" spans="2:13" x14ac:dyDescent="0.25">
      <c r="B946" s="46"/>
      <c r="C946" s="40" t="str">
        <f t="shared" si="42"/>
        <v/>
      </c>
      <c r="D946" s="46" t="str">
        <f t="shared" si="43"/>
        <v/>
      </c>
      <c r="E946" s="46" t="str">
        <f t="shared" si="44"/>
        <v/>
      </c>
      <c r="F946" s="46"/>
      <c r="G946" s="46"/>
      <c r="H946" s="46"/>
      <c r="I946" s="46"/>
      <c r="J946" s="46"/>
      <c r="K946" s="46"/>
      <c r="L946" s="46"/>
      <c r="M946" s="46"/>
    </row>
    <row r="947" spans="2:13" x14ac:dyDescent="0.25">
      <c r="B947" s="46"/>
      <c r="C947" s="40" t="str">
        <f t="shared" si="42"/>
        <v/>
      </c>
      <c r="D947" s="46" t="str">
        <f t="shared" si="43"/>
        <v/>
      </c>
      <c r="E947" s="46" t="str">
        <f t="shared" si="44"/>
        <v/>
      </c>
      <c r="F947" s="46"/>
      <c r="G947" s="46"/>
      <c r="H947" s="46"/>
      <c r="I947" s="46"/>
      <c r="J947" s="46"/>
      <c r="K947" s="46"/>
      <c r="L947" s="46"/>
      <c r="M947" s="46"/>
    </row>
    <row r="948" spans="2:13" x14ac:dyDescent="0.25">
      <c r="B948" s="46"/>
      <c r="C948" s="40" t="str">
        <f t="shared" si="42"/>
        <v/>
      </c>
      <c r="D948" s="46" t="str">
        <f t="shared" si="43"/>
        <v/>
      </c>
      <c r="E948" s="46" t="str">
        <f t="shared" si="44"/>
        <v/>
      </c>
      <c r="F948" s="46"/>
      <c r="G948" s="46"/>
      <c r="H948" s="46"/>
      <c r="I948" s="46"/>
      <c r="J948" s="46"/>
      <c r="K948" s="46"/>
      <c r="L948" s="46"/>
      <c r="M948" s="46"/>
    </row>
    <row r="949" spans="2:13" x14ac:dyDescent="0.25">
      <c r="B949" s="46"/>
      <c r="C949" s="40" t="str">
        <f t="shared" si="42"/>
        <v/>
      </c>
      <c r="D949" s="46" t="str">
        <f t="shared" si="43"/>
        <v/>
      </c>
      <c r="E949" s="46" t="str">
        <f t="shared" si="44"/>
        <v/>
      </c>
      <c r="F949" s="46"/>
      <c r="G949" s="46"/>
      <c r="H949" s="46"/>
      <c r="I949" s="46"/>
      <c r="J949" s="46"/>
      <c r="K949" s="46"/>
      <c r="L949" s="46"/>
      <c r="M949" s="46"/>
    </row>
    <row r="950" spans="2:13" x14ac:dyDescent="0.25">
      <c r="B950" s="46"/>
      <c r="C950" s="40" t="str">
        <f t="shared" si="42"/>
        <v/>
      </c>
      <c r="D950" s="46" t="str">
        <f t="shared" si="43"/>
        <v/>
      </c>
      <c r="E950" s="46" t="str">
        <f t="shared" si="44"/>
        <v/>
      </c>
      <c r="F950" s="46"/>
      <c r="G950" s="46"/>
      <c r="H950" s="46"/>
      <c r="I950" s="46"/>
      <c r="J950" s="46"/>
      <c r="K950" s="46"/>
      <c r="L950" s="46"/>
      <c r="M950" s="46"/>
    </row>
    <row r="951" spans="2:13" x14ac:dyDescent="0.25">
      <c r="B951" s="46"/>
      <c r="C951" s="40" t="str">
        <f t="shared" si="42"/>
        <v/>
      </c>
      <c r="D951" s="46" t="str">
        <f t="shared" si="43"/>
        <v/>
      </c>
      <c r="E951" s="46" t="str">
        <f t="shared" si="44"/>
        <v/>
      </c>
      <c r="F951" s="46"/>
      <c r="G951" s="46"/>
      <c r="H951" s="46"/>
      <c r="I951" s="46"/>
      <c r="J951" s="46"/>
      <c r="K951" s="46"/>
      <c r="L951" s="46"/>
      <c r="M951" s="46"/>
    </row>
    <row r="952" spans="2:13" x14ac:dyDescent="0.25">
      <c r="B952" s="46"/>
      <c r="C952" s="40" t="str">
        <f t="shared" si="42"/>
        <v/>
      </c>
      <c r="D952" s="46" t="str">
        <f t="shared" si="43"/>
        <v/>
      </c>
      <c r="E952" s="46" t="str">
        <f t="shared" si="44"/>
        <v/>
      </c>
      <c r="F952" s="46"/>
      <c r="G952" s="46"/>
      <c r="H952" s="46"/>
      <c r="I952" s="46"/>
      <c r="J952" s="46"/>
      <c r="K952" s="46"/>
      <c r="L952" s="46"/>
      <c r="M952" s="46"/>
    </row>
    <row r="953" spans="2:13" x14ac:dyDescent="0.25">
      <c r="B953" s="46"/>
      <c r="C953" s="40" t="str">
        <f t="shared" si="42"/>
        <v/>
      </c>
      <c r="D953" s="46" t="str">
        <f t="shared" si="43"/>
        <v/>
      </c>
      <c r="E953" s="46" t="str">
        <f t="shared" si="44"/>
        <v/>
      </c>
      <c r="F953" s="46"/>
      <c r="G953" s="46"/>
      <c r="H953" s="46"/>
      <c r="I953" s="46"/>
      <c r="J953" s="46"/>
      <c r="K953" s="46"/>
      <c r="L953" s="46"/>
      <c r="M953" s="46"/>
    </row>
    <row r="954" spans="2:13" x14ac:dyDescent="0.25">
      <c r="B954" s="46"/>
      <c r="C954" s="40" t="str">
        <f t="shared" si="42"/>
        <v/>
      </c>
      <c r="D954" s="46" t="str">
        <f t="shared" si="43"/>
        <v/>
      </c>
      <c r="E954" s="46" t="str">
        <f t="shared" si="44"/>
        <v/>
      </c>
      <c r="F954" s="46"/>
      <c r="G954" s="46"/>
      <c r="H954" s="46"/>
      <c r="I954" s="46"/>
      <c r="J954" s="46"/>
      <c r="K954" s="46"/>
      <c r="L954" s="46"/>
      <c r="M954" s="46"/>
    </row>
    <row r="955" spans="2:13" x14ac:dyDescent="0.25">
      <c r="B955" s="46"/>
      <c r="C955" s="40" t="str">
        <f t="shared" si="42"/>
        <v/>
      </c>
      <c r="D955" s="46" t="str">
        <f t="shared" si="43"/>
        <v/>
      </c>
      <c r="E955" s="46" t="str">
        <f t="shared" si="44"/>
        <v/>
      </c>
      <c r="F955" s="46"/>
      <c r="G955" s="46"/>
      <c r="H955" s="46"/>
      <c r="I955" s="46"/>
      <c r="J955" s="46"/>
      <c r="K955" s="46"/>
      <c r="L955" s="46"/>
      <c r="M955" s="46"/>
    </row>
    <row r="956" spans="2:13" x14ac:dyDescent="0.25">
      <c r="B956" s="46"/>
      <c r="C956" s="40" t="str">
        <f t="shared" si="42"/>
        <v/>
      </c>
      <c r="D956" s="46" t="str">
        <f t="shared" si="43"/>
        <v/>
      </c>
      <c r="E956" s="46" t="str">
        <f t="shared" si="44"/>
        <v/>
      </c>
      <c r="F956" s="46"/>
      <c r="G956" s="46"/>
      <c r="H956" s="46"/>
      <c r="I956" s="46"/>
      <c r="J956" s="46"/>
      <c r="K956" s="46"/>
      <c r="L956" s="46"/>
      <c r="M956" s="46"/>
    </row>
    <row r="957" spans="2:13" x14ac:dyDescent="0.25">
      <c r="B957" s="46"/>
      <c r="C957" s="40" t="str">
        <f t="shared" si="42"/>
        <v/>
      </c>
      <c r="D957" s="46" t="str">
        <f t="shared" si="43"/>
        <v/>
      </c>
      <c r="E957" s="46" t="str">
        <f t="shared" si="44"/>
        <v/>
      </c>
      <c r="F957" s="46"/>
      <c r="G957" s="46"/>
      <c r="H957" s="46"/>
      <c r="I957" s="46"/>
      <c r="J957" s="46"/>
      <c r="K957" s="46"/>
      <c r="L957" s="46"/>
      <c r="M957" s="46"/>
    </row>
    <row r="958" spans="2:13" x14ac:dyDescent="0.25">
      <c r="B958" s="46"/>
      <c r="C958" s="40" t="str">
        <f t="shared" si="42"/>
        <v/>
      </c>
      <c r="D958" s="46" t="str">
        <f t="shared" si="43"/>
        <v/>
      </c>
      <c r="E958" s="46" t="str">
        <f t="shared" si="44"/>
        <v/>
      </c>
      <c r="F958" s="46"/>
      <c r="G958" s="46"/>
      <c r="H958" s="46"/>
      <c r="I958" s="46"/>
      <c r="J958" s="46"/>
      <c r="K958" s="46"/>
      <c r="L958" s="46"/>
      <c r="M958" s="46"/>
    </row>
    <row r="959" spans="2:13" x14ac:dyDescent="0.25">
      <c r="B959" s="46"/>
      <c r="C959" s="40" t="str">
        <f t="shared" si="42"/>
        <v/>
      </c>
      <c r="D959" s="46" t="str">
        <f t="shared" si="43"/>
        <v/>
      </c>
      <c r="E959" s="46" t="str">
        <f t="shared" si="44"/>
        <v/>
      </c>
      <c r="F959" s="46"/>
      <c r="G959" s="46"/>
      <c r="H959" s="46"/>
      <c r="I959" s="46"/>
      <c r="J959" s="46"/>
      <c r="K959" s="46"/>
      <c r="L959" s="46"/>
      <c r="M959" s="46"/>
    </row>
    <row r="960" spans="2:13" x14ac:dyDescent="0.25">
      <c r="B960" s="46"/>
      <c r="C960" s="40" t="str">
        <f t="shared" si="42"/>
        <v/>
      </c>
      <c r="D960" s="46" t="str">
        <f t="shared" si="43"/>
        <v/>
      </c>
      <c r="E960" s="46" t="str">
        <f t="shared" si="44"/>
        <v/>
      </c>
      <c r="F960" s="46"/>
      <c r="G960" s="46"/>
      <c r="H960" s="46"/>
      <c r="I960" s="46"/>
      <c r="J960" s="46"/>
      <c r="K960" s="46"/>
      <c r="L960" s="46"/>
      <c r="M960" s="46"/>
    </row>
    <row r="961" spans="2:13" x14ac:dyDescent="0.25">
      <c r="B961" s="46"/>
      <c r="C961" s="40" t="str">
        <f t="shared" si="42"/>
        <v/>
      </c>
      <c r="D961" s="46" t="str">
        <f t="shared" si="43"/>
        <v/>
      </c>
      <c r="E961" s="46" t="str">
        <f t="shared" si="44"/>
        <v/>
      </c>
      <c r="F961" s="46"/>
      <c r="G961" s="46"/>
      <c r="H961" s="46"/>
      <c r="I961" s="46"/>
      <c r="J961" s="46"/>
      <c r="K961" s="46"/>
      <c r="L961" s="46"/>
      <c r="M961" s="46"/>
    </row>
    <row r="962" spans="2:13" x14ac:dyDescent="0.25">
      <c r="B962" s="46"/>
      <c r="C962" s="40" t="str">
        <f t="shared" ref="C962:C1025" si="45">IF(B962="","",MONTH(B962))</f>
        <v/>
      </c>
      <c r="D962" s="46" t="str">
        <f t="shared" ref="D962:D1025" si="46">IF(B962="","",CHOOSE(C962,"Enero","Febrero","Marzo","Abril","Mayo","Junio","Julio","Agosto","Septiembre","Octubre","Noviembre","Diciembre"))</f>
        <v/>
      </c>
      <c r="E962" s="46" t="str">
        <f t="shared" ref="E962:E1025" si="47">IF(B962="","",YEAR(B962))</f>
        <v/>
      </c>
      <c r="F962" s="46"/>
      <c r="G962" s="46"/>
      <c r="H962" s="46"/>
      <c r="I962" s="46"/>
      <c r="J962" s="46"/>
      <c r="K962" s="46"/>
      <c r="L962" s="46"/>
      <c r="M962" s="46"/>
    </row>
    <row r="963" spans="2:13" x14ac:dyDescent="0.25">
      <c r="B963" s="46"/>
      <c r="C963" s="40" t="str">
        <f t="shared" si="45"/>
        <v/>
      </c>
      <c r="D963" s="46" t="str">
        <f t="shared" si="46"/>
        <v/>
      </c>
      <c r="E963" s="46" t="str">
        <f t="shared" si="47"/>
        <v/>
      </c>
      <c r="F963" s="46"/>
      <c r="G963" s="46"/>
      <c r="H963" s="46"/>
      <c r="I963" s="46"/>
      <c r="J963" s="46"/>
      <c r="K963" s="46"/>
      <c r="L963" s="46"/>
      <c r="M963" s="46"/>
    </row>
    <row r="964" spans="2:13" x14ac:dyDescent="0.25">
      <c r="B964" s="46"/>
      <c r="C964" s="40" t="str">
        <f t="shared" si="45"/>
        <v/>
      </c>
      <c r="D964" s="46" t="str">
        <f t="shared" si="46"/>
        <v/>
      </c>
      <c r="E964" s="46" t="str">
        <f t="shared" si="47"/>
        <v/>
      </c>
      <c r="F964" s="46"/>
      <c r="G964" s="46"/>
      <c r="H964" s="46"/>
      <c r="I964" s="46"/>
      <c r="J964" s="46"/>
      <c r="K964" s="46"/>
      <c r="L964" s="46"/>
      <c r="M964" s="46"/>
    </row>
    <row r="965" spans="2:13" x14ac:dyDescent="0.25">
      <c r="B965" s="46"/>
      <c r="C965" s="40" t="str">
        <f t="shared" si="45"/>
        <v/>
      </c>
      <c r="D965" s="46" t="str">
        <f t="shared" si="46"/>
        <v/>
      </c>
      <c r="E965" s="46" t="str">
        <f t="shared" si="47"/>
        <v/>
      </c>
      <c r="F965" s="46"/>
      <c r="G965" s="46"/>
      <c r="H965" s="46"/>
      <c r="I965" s="46"/>
      <c r="J965" s="46"/>
      <c r="K965" s="46"/>
      <c r="L965" s="46"/>
      <c r="M965" s="46"/>
    </row>
    <row r="966" spans="2:13" x14ac:dyDescent="0.25">
      <c r="B966" s="46"/>
      <c r="C966" s="40" t="str">
        <f t="shared" si="45"/>
        <v/>
      </c>
      <c r="D966" s="46" t="str">
        <f t="shared" si="46"/>
        <v/>
      </c>
      <c r="E966" s="46" t="str">
        <f t="shared" si="47"/>
        <v/>
      </c>
      <c r="F966" s="46"/>
      <c r="G966" s="46"/>
      <c r="H966" s="46"/>
      <c r="I966" s="46"/>
      <c r="J966" s="46"/>
      <c r="K966" s="46"/>
      <c r="L966" s="46"/>
      <c r="M966" s="46"/>
    </row>
    <row r="967" spans="2:13" x14ac:dyDescent="0.25">
      <c r="B967" s="46"/>
      <c r="C967" s="40" t="str">
        <f t="shared" si="45"/>
        <v/>
      </c>
      <c r="D967" s="46" t="str">
        <f t="shared" si="46"/>
        <v/>
      </c>
      <c r="E967" s="46" t="str">
        <f t="shared" si="47"/>
        <v/>
      </c>
      <c r="F967" s="46"/>
      <c r="G967" s="46"/>
      <c r="H967" s="46"/>
      <c r="I967" s="46"/>
      <c r="J967" s="46"/>
      <c r="K967" s="46"/>
      <c r="L967" s="46"/>
      <c r="M967" s="46"/>
    </row>
    <row r="968" spans="2:13" x14ac:dyDescent="0.25">
      <c r="B968" s="46"/>
      <c r="C968" s="40" t="str">
        <f t="shared" si="45"/>
        <v/>
      </c>
      <c r="D968" s="46" t="str">
        <f t="shared" si="46"/>
        <v/>
      </c>
      <c r="E968" s="46" t="str">
        <f t="shared" si="47"/>
        <v/>
      </c>
      <c r="F968" s="46"/>
      <c r="G968" s="46"/>
      <c r="H968" s="46"/>
      <c r="I968" s="46"/>
      <c r="J968" s="46"/>
      <c r="K968" s="46"/>
      <c r="L968" s="46"/>
      <c r="M968" s="46"/>
    </row>
    <row r="969" spans="2:13" x14ac:dyDescent="0.25">
      <c r="B969" s="46"/>
      <c r="C969" s="40" t="str">
        <f t="shared" si="45"/>
        <v/>
      </c>
      <c r="D969" s="46" t="str">
        <f t="shared" si="46"/>
        <v/>
      </c>
      <c r="E969" s="46" t="str">
        <f t="shared" si="47"/>
        <v/>
      </c>
      <c r="F969" s="46"/>
      <c r="G969" s="46"/>
      <c r="H969" s="46"/>
      <c r="I969" s="46"/>
      <c r="J969" s="46"/>
      <c r="K969" s="46"/>
      <c r="L969" s="46"/>
      <c r="M969" s="46"/>
    </row>
    <row r="970" spans="2:13" x14ac:dyDescent="0.25">
      <c r="B970" s="46"/>
      <c r="C970" s="40" t="str">
        <f t="shared" si="45"/>
        <v/>
      </c>
      <c r="D970" s="46" t="str">
        <f t="shared" si="46"/>
        <v/>
      </c>
      <c r="E970" s="46" t="str">
        <f t="shared" si="47"/>
        <v/>
      </c>
      <c r="F970" s="46"/>
      <c r="G970" s="46"/>
      <c r="H970" s="46"/>
      <c r="I970" s="46"/>
      <c r="J970" s="46"/>
      <c r="K970" s="46"/>
      <c r="L970" s="46"/>
      <c r="M970" s="46"/>
    </row>
    <row r="971" spans="2:13" x14ac:dyDescent="0.25">
      <c r="B971" s="46"/>
      <c r="C971" s="40" t="str">
        <f t="shared" si="45"/>
        <v/>
      </c>
      <c r="D971" s="46" t="str">
        <f t="shared" si="46"/>
        <v/>
      </c>
      <c r="E971" s="46" t="str">
        <f t="shared" si="47"/>
        <v/>
      </c>
      <c r="F971" s="46"/>
      <c r="G971" s="46"/>
      <c r="H971" s="46"/>
      <c r="I971" s="46"/>
      <c r="J971" s="46"/>
      <c r="K971" s="46"/>
      <c r="L971" s="46"/>
      <c r="M971" s="46"/>
    </row>
    <row r="972" spans="2:13" x14ac:dyDescent="0.25">
      <c r="B972" s="46"/>
      <c r="C972" s="40" t="str">
        <f t="shared" si="45"/>
        <v/>
      </c>
      <c r="D972" s="46" t="str">
        <f t="shared" si="46"/>
        <v/>
      </c>
      <c r="E972" s="46" t="str">
        <f t="shared" si="47"/>
        <v/>
      </c>
      <c r="F972" s="46"/>
      <c r="G972" s="46"/>
      <c r="H972" s="46"/>
      <c r="I972" s="46"/>
      <c r="J972" s="46"/>
      <c r="K972" s="46"/>
      <c r="L972" s="46"/>
      <c r="M972" s="46"/>
    </row>
    <row r="973" spans="2:13" x14ac:dyDescent="0.25">
      <c r="B973" s="46"/>
      <c r="C973" s="40" t="str">
        <f t="shared" si="45"/>
        <v/>
      </c>
      <c r="D973" s="46" t="str">
        <f t="shared" si="46"/>
        <v/>
      </c>
      <c r="E973" s="46" t="str">
        <f t="shared" si="47"/>
        <v/>
      </c>
      <c r="F973" s="46"/>
      <c r="G973" s="46"/>
      <c r="H973" s="46"/>
      <c r="I973" s="46"/>
      <c r="J973" s="46"/>
      <c r="K973" s="46"/>
      <c r="L973" s="46"/>
      <c r="M973" s="46"/>
    </row>
    <row r="974" spans="2:13" x14ac:dyDescent="0.25">
      <c r="B974" s="46"/>
      <c r="C974" s="40" t="str">
        <f t="shared" si="45"/>
        <v/>
      </c>
      <c r="D974" s="46" t="str">
        <f t="shared" si="46"/>
        <v/>
      </c>
      <c r="E974" s="46" t="str">
        <f t="shared" si="47"/>
        <v/>
      </c>
      <c r="F974" s="46"/>
      <c r="G974" s="46"/>
      <c r="H974" s="46"/>
      <c r="I974" s="46"/>
      <c r="J974" s="46"/>
      <c r="K974" s="46"/>
      <c r="L974" s="46"/>
      <c r="M974" s="46"/>
    </row>
    <row r="975" spans="2:13" x14ac:dyDescent="0.25">
      <c r="B975" s="46"/>
      <c r="C975" s="40" t="str">
        <f t="shared" si="45"/>
        <v/>
      </c>
      <c r="D975" s="46" t="str">
        <f t="shared" si="46"/>
        <v/>
      </c>
      <c r="E975" s="46" t="str">
        <f t="shared" si="47"/>
        <v/>
      </c>
      <c r="F975" s="46"/>
      <c r="G975" s="46"/>
      <c r="H975" s="46"/>
      <c r="I975" s="46"/>
      <c r="J975" s="46"/>
      <c r="K975" s="46"/>
      <c r="L975" s="46"/>
      <c r="M975" s="46"/>
    </row>
    <row r="976" spans="2:13" x14ac:dyDescent="0.25">
      <c r="B976" s="46"/>
      <c r="C976" s="40" t="str">
        <f t="shared" si="45"/>
        <v/>
      </c>
      <c r="D976" s="46" t="str">
        <f t="shared" si="46"/>
        <v/>
      </c>
      <c r="E976" s="46" t="str">
        <f t="shared" si="47"/>
        <v/>
      </c>
      <c r="F976" s="46"/>
      <c r="G976" s="46"/>
      <c r="H976" s="46"/>
      <c r="I976" s="46"/>
      <c r="J976" s="46"/>
      <c r="K976" s="46"/>
      <c r="L976" s="46"/>
      <c r="M976" s="46"/>
    </row>
    <row r="977" spans="2:13" x14ac:dyDescent="0.25">
      <c r="B977" s="46"/>
      <c r="C977" s="40" t="str">
        <f t="shared" si="45"/>
        <v/>
      </c>
      <c r="D977" s="46" t="str">
        <f t="shared" si="46"/>
        <v/>
      </c>
      <c r="E977" s="46" t="str">
        <f t="shared" si="47"/>
        <v/>
      </c>
      <c r="F977" s="46"/>
      <c r="G977" s="46"/>
      <c r="H977" s="46"/>
      <c r="I977" s="46"/>
      <c r="J977" s="46"/>
      <c r="K977" s="46"/>
      <c r="L977" s="46"/>
      <c r="M977" s="46"/>
    </row>
    <row r="978" spans="2:13" x14ac:dyDescent="0.25">
      <c r="B978" s="46"/>
      <c r="C978" s="40" t="str">
        <f t="shared" si="45"/>
        <v/>
      </c>
      <c r="D978" s="46" t="str">
        <f t="shared" si="46"/>
        <v/>
      </c>
      <c r="E978" s="46" t="str">
        <f t="shared" si="47"/>
        <v/>
      </c>
      <c r="F978" s="46"/>
      <c r="G978" s="46"/>
      <c r="H978" s="46"/>
      <c r="I978" s="46"/>
      <c r="J978" s="46"/>
      <c r="K978" s="46"/>
      <c r="L978" s="46"/>
      <c r="M978" s="46"/>
    </row>
    <row r="979" spans="2:13" x14ac:dyDescent="0.25">
      <c r="B979" s="46"/>
      <c r="C979" s="40" t="str">
        <f t="shared" si="45"/>
        <v/>
      </c>
      <c r="D979" s="46" t="str">
        <f t="shared" si="46"/>
        <v/>
      </c>
      <c r="E979" s="46" t="str">
        <f t="shared" si="47"/>
        <v/>
      </c>
      <c r="F979" s="46"/>
      <c r="G979" s="46"/>
      <c r="H979" s="46"/>
      <c r="I979" s="46"/>
      <c r="J979" s="46"/>
      <c r="K979" s="46"/>
      <c r="L979" s="46"/>
      <c r="M979" s="46"/>
    </row>
    <row r="980" spans="2:13" x14ac:dyDescent="0.25">
      <c r="B980" s="46"/>
      <c r="C980" s="40" t="str">
        <f t="shared" si="45"/>
        <v/>
      </c>
      <c r="D980" s="46" t="str">
        <f t="shared" si="46"/>
        <v/>
      </c>
      <c r="E980" s="46" t="str">
        <f t="shared" si="47"/>
        <v/>
      </c>
      <c r="F980" s="46"/>
      <c r="G980" s="46"/>
      <c r="H980" s="46"/>
      <c r="I980" s="46"/>
      <c r="J980" s="46"/>
      <c r="K980" s="46"/>
      <c r="L980" s="46"/>
      <c r="M980" s="46"/>
    </row>
    <row r="981" spans="2:13" x14ac:dyDescent="0.25">
      <c r="B981" s="46"/>
      <c r="C981" s="40" t="str">
        <f t="shared" si="45"/>
        <v/>
      </c>
      <c r="D981" s="46" t="str">
        <f t="shared" si="46"/>
        <v/>
      </c>
      <c r="E981" s="46" t="str">
        <f t="shared" si="47"/>
        <v/>
      </c>
      <c r="F981" s="46"/>
      <c r="G981" s="46"/>
      <c r="H981" s="46"/>
      <c r="I981" s="46"/>
      <c r="J981" s="46"/>
      <c r="K981" s="46"/>
      <c r="L981" s="46"/>
      <c r="M981" s="46"/>
    </row>
    <row r="982" spans="2:13" x14ac:dyDescent="0.25">
      <c r="B982" s="46"/>
      <c r="C982" s="40" t="str">
        <f t="shared" si="45"/>
        <v/>
      </c>
      <c r="D982" s="46" t="str">
        <f t="shared" si="46"/>
        <v/>
      </c>
      <c r="E982" s="46" t="str">
        <f t="shared" si="47"/>
        <v/>
      </c>
      <c r="F982" s="46"/>
      <c r="G982" s="46"/>
      <c r="H982" s="46"/>
      <c r="I982" s="46"/>
      <c r="J982" s="46"/>
      <c r="K982" s="46"/>
      <c r="L982" s="46"/>
      <c r="M982" s="46"/>
    </row>
    <row r="983" spans="2:13" x14ac:dyDescent="0.25">
      <c r="B983" s="46"/>
      <c r="C983" s="40" t="str">
        <f t="shared" si="45"/>
        <v/>
      </c>
      <c r="D983" s="46" t="str">
        <f t="shared" si="46"/>
        <v/>
      </c>
      <c r="E983" s="46" t="str">
        <f t="shared" si="47"/>
        <v/>
      </c>
      <c r="F983" s="46"/>
      <c r="G983" s="46"/>
      <c r="H983" s="46"/>
      <c r="I983" s="46"/>
      <c r="J983" s="46"/>
      <c r="K983" s="46"/>
      <c r="L983" s="46"/>
      <c r="M983" s="46"/>
    </row>
    <row r="984" spans="2:13" x14ac:dyDescent="0.25">
      <c r="B984" s="46"/>
      <c r="C984" s="40" t="str">
        <f t="shared" si="45"/>
        <v/>
      </c>
      <c r="D984" s="46" t="str">
        <f t="shared" si="46"/>
        <v/>
      </c>
      <c r="E984" s="46" t="str">
        <f t="shared" si="47"/>
        <v/>
      </c>
      <c r="F984" s="46"/>
      <c r="G984" s="46"/>
      <c r="H984" s="46"/>
      <c r="I984" s="46"/>
      <c r="J984" s="46"/>
      <c r="K984" s="46"/>
      <c r="L984" s="46"/>
      <c r="M984" s="46"/>
    </row>
    <row r="985" spans="2:13" x14ac:dyDescent="0.25">
      <c r="B985" s="46"/>
      <c r="C985" s="40" t="str">
        <f t="shared" si="45"/>
        <v/>
      </c>
      <c r="D985" s="46" t="str">
        <f t="shared" si="46"/>
        <v/>
      </c>
      <c r="E985" s="46" t="str">
        <f t="shared" si="47"/>
        <v/>
      </c>
      <c r="F985" s="46"/>
      <c r="G985" s="46"/>
      <c r="H985" s="46"/>
      <c r="I985" s="46"/>
      <c r="J985" s="46"/>
      <c r="K985" s="46"/>
      <c r="L985" s="46"/>
      <c r="M985" s="46"/>
    </row>
    <row r="986" spans="2:13" x14ac:dyDescent="0.25">
      <c r="B986" s="46"/>
      <c r="C986" s="40" t="str">
        <f t="shared" si="45"/>
        <v/>
      </c>
      <c r="D986" s="46" t="str">
        <f t="shared" si="46"/>
        <v/>
      </c>
      <c r="E986" s="46" t="str">
        <f t="shared" si="47"/>
        <v/>
      </c>
      <c r="F986" s="46"/>
      <c r="G986" s="46"/>
      <c r="H986" s="46"/>
      <c r="I986" s="46"/>
      <c r="J986" s="46"/>
      <c r="K986" s="46"/>
      <c r="L986" s="46"/>
      <c r="M986" s="46"/>
    </row>
    <row r="987" spans="2:13" x14ac:dyDescent="0.25">
      <c r="B987" s="46"/>
      <c r="C987" s="40" t="str">
        <f t="shared" si="45"/>
        <v/>
      </c>
      <c r="D987" s="46" t="str">
        <f t="shared" si="46"/>
        <v/>
      </c>
      <c r="E987" s="46" t="str">
        <f t="shared" si="47"/>
        <v/>
      </c>
      <c r="F987" s="46"/>
      <c r="G987" s="46"/>
      <c r="H987" s="46"/>
      <c r="I987" s="46"/>
      <c r="J987" s="46"/>
      <c r="K987" s="46"/>
      <c r="L987" s="46"/>
      <c r="M987" s="46"/>
    </row>
    <row r="988" spans="2:13" x14ac:dyDescent="0.25">
      <c r="B988" s="46"/>
      <c r="C988" s="40" t="str">
        <f t="shared" si="45"/>
        <v/>
      </c>
      <c r="D988" s="46" t="str">
        <f t="shared" si="46"/>
        <v/>
      </c>
      <c r="E988" s="46" t="str">
        <f t="shared" si="47"/>
        <v/>
      </c>
      <c r="F988" s="46"/>
      <c r="G988" s="46"/>
      <c r="H988" s="46"/>
      <c r="I988" s="46"/>
      <c r="J988" s="46"/>
      <c r="K988" s="46"/>
      <c r="L988" s="46"/>
      <c r="M988" s="46"/>
    </row>
    <row r="989" spans="2:13" x14ac:dyDescent="0.25">
      <c r="B989" s="46"/>
      <c r="C989" s="40" t="str">
        <f t="shared" si="45"/>
        <v/>
      </c>
      <c r="D989" s="46" t="str">
        <f t="shared" si="46"/>
        <v/>
      </c>
      <c r="E989" s="46" t="str">
        <f t="shared" si="47"/>
        <v/>
      </c>
      <c r="F989" s="46"/>
      <c r="G989" s="46"/>
      <c r="H989" s="46"/>
      <c r="I989" s="46"/>
      <c r="J989" s="46"/>
      <c r="K989" s="46"/>
      <c r="L989" s="46"/>
      <c r="M989" s="46"/>
    </row>
    <row r="990" spans="2:13" x14ac:dyDescent="0.25">
      <c r="B990" s="46"/>
      <c r="C990" s="40" t="str">
        <f t="shared" si="45"/>
        <v/>
      </c>
      <c r="D990" s="46" t="str">
        <f t="shared" si="46"/>
        <v/>
      </c>
      <c r="E990" s="46" t="str">
        <f t="shared" si="47"/>
        <v/>
      </c>
      <c r="F990" s="46"/>
      <c r="G990" s="46"/>
      <c r="H990" s="46"/>
      <c r="I990" s="46"/>
      <c r="J990" s="46"/>
      <c r="K990" s="46"/>
      <c r="L990" s="46"/>
      <c r="M990" s="46"/>
    </row>
    <row r="991" spans="2:13" x14ac:dyDescent="0.25">
      <c r="B991" s="46"/>
      <c r="C991" s="40" t="str">
        <f t="shared" si="45"/>
        <v/>
      </c>
      <c r="D991" s="46" t="str">
        <f t="shared" si="46"/>
        <v/>
      </c>
      <c r="E991" s="46" t="str">
        <f t="shared" si="47"/>
        <v/>
      </c>
      <c r="F991" s="46"/>
      <c r="G991" s="46"/>
      <c r="H991" s="46"/>
      <c r="I991" s="46"/>
      <c r="J991" s="46"/>
      <c r="K991" s="46"/>
      <c r="L991" s="46"/>
      <c r="M991" s="46"/>
    </row>
    <row r="992" spans="2:13" x14ac:dyDescent="0.25">
      <c r="B992" s="46"/>
      <c r="C992" s="40" t="str">
        <f t="shared" si="45"/>
        <v/>
      </c>
      <c r="D992" s="46" t="str">
        <f t="shared" si="46"/>
        <v/>
      </c>
      <c r="E992" s="46" t="str">
        <f t="shared" si="47"/>
        <v/>
      </c>
      <c r="F992" s="46"/>
      <c r="G992" s="46"/>
      <c r="H992" s="46"/>
      <c r="I992" s="46"/>
      <c r="J992" s="46"/>
      <c r="K992" s="46"/>
      <c r="L992" s="46"/>
      <c r="M992" s="46"/>
    </row>
    <row r="993" spans="2:13" x14ac:dyDescent="0.25">
      <c r="B993" s="46"/>
      <c r="C993" s="40" t="str">
        <f t="shared" si="45"/>
        <v/>
      </c>
      <c r="D993" s="46" t="str">
        <f t="shared" si="46"/>
        <v/>
      </c>
      <c r="E993" s="46" t="str">
        <f t="shared" si="47"/>
        <v/>
      </c>
      <c r="F993" s="46"/>
      <c r="G993" s="46"/>
      <c r="H993" s="46"/>
      <c r="I993" s="46"/>
      <c r="J993" s="46"/>
      <c r="K993" s="46"/>
      <c r="L993" s="46"/>
      <c r="M993" s="46"/>
    </row>
    <row r="994" spans="2:13" x14ac:dyDescent="0.25">
      <c r="B994" s="46"/>
      <c r="C994" s="40" t="str">
        <f t="shared" si="45"/>
        <v/>
      </c>
      <c r="D994" s="46" t="str">
        <f t="shared" si="46"/>
        <v/>
      </c>
      <c r="E994" s="46" t="str">
        <f t="shared" si="47"/>
        <v/>
      </c>
      <c r="F994" s="46"/>
      <c r="G994" s="46"/>
      <c r="H994" s="46"/>
      <c r="I994" s="46"/>
      <c r="J994" s="46"/>
      <c r="K994" s="46"/>
      <c r="L994" s="46"/>
      <c r="M994" s="46"/>
    </row>
    <row r="995" spans="2:13" x14ac:dyDescent="0.25">
      <c r="B995" s="46"/>
      <c r="C995" s="40" t="str">
        <f t="shared" si="45"/>
        <v/>
      </c>
      <c r="D995" s="46" t="str">
        <f t="shared" si="46"/>
        <v/>
      </c>
      <c r="E995" s="46" t="str">
        <f t="shared" si="47"/>
        <v/>
      </c>
      <c r="F995" s="46"/>
      <c r="G995" s="46"/>
      <c r="H995" s="46"/>
      <c r="I995" s="46"/>
      <c r="J995" s="46"/>
      <c r="K995" s="46"/>
      <c r="L995" s="46"/>
      <c r="M995" s="46"/>
    </row>
    <row r="996" spans="2:13" x14ac:dyDescent="0.25">
      <c r="B996" s="46"/>
      <c r="C996" s="40" t="str">
        <f t="shared" si="45"/>
        <v/>
      </c>
      <c r="D996" s="46" t="str">
        <f t="shared" si="46"/>
        <v/>
      </c>
      <c r="E996" s="46" t="str">
        <f t="shared" si="47"/>
        <v/>
      </c>
      <c r="F996" s="46"/>
      <c r="G996" s="46"/>
      <c r="H996" s="46"/>
      <c r="I996" s="46"/>
      <c r="J996" s="46"/>
      <c r="K996" s="46"/>
      <c r="L996" s="46"/>
      <c r="M996" s="46"/>
    </row>
    <row r="997" spans="2:13" x14ac:dyDescent="0.25">
      <c r="B997" s="46"/>
      <c r="C997" s="40" t="str">
        <f t="shared" si="45"/>
        <v/>
      </c>
      <c r="D997" s="46" t="str">
        <f t="shared" si="46"/>
        <v/>
      </c>
      <c r="E997" s="46" t="str">
        <f t="shared" si="47"/>
        <v/>
      </c>
      <c r="F997" s="46"/>
      <c r="G997" s="46"/>
      <c r="H997" s="46"/>
      <c r="I997" s="46"/>
      <c r="J997" s="46"/>
      <c r="K997" s="46"/>
      <c r="L997" s="46"/>
      <c r="M997" s="46"/>
    </row>
    <row r="998" spans="2:13" x14ac:dyDescent="0.25">
      <c r="B998" s="46"/>
      <c r="C998" s="40" t="str">
        <f t="shared" si="45"/>
        <v/>
      </c>
      <c r="D998" s="46" t="str">
        <f t="shared" si="46"/>
        <v/>
      </c>
      <c r="E998" s="46" t="str">
        <f t="shared" si="47"/>
        <v/>
      </c>
      <c r="F998" s="46"/>
      <c r="G998" s="46"/>
      <c r="H998" s="46"/>
      <c r="I998" s="46"/>
      <c r="J998" s="46"/>
      <c r="K998" s="46"/>
      <c r="L998" s="46"/>
      <c r="M998" s="46"/>
    </row>
    <row r="999" spans="2:13" x14ac:dyDescent="0.25">
      <c r="B999" s="46"/>
      <c r="C999" s="40" t="str">
        <f t="shared" si="45"/>
        <v/>
      </c>
      <c r="D999" s="46" t="str">
        <f t="shared" si="46"/>
        <v/>
      </c>
      <c r="E999" s="46" t="str">
        <f t="shared" si="47"/>
        <v/>
      </c>
      <c r="F999" s="46"/>
      <c r="G999" s="46"/>
      <c r="H999" s="46"/>
      <c r="I999" s="46"/>
      <c r="J999" s="46"/>
      <c r="K999" s="46"/>
      <c r="L999" s="46"/>
      <c r="M999" s="46"/>
    </row>
    <row r="1000" spans="2:13" x14ac:dyDescent="0.25">
      <c r="B1000" s="46"/>
      <c r="C1000" s="40" t="str">
        <f t="shared" si="45"/>
        <v/>
      </c>
      <c r="D1000" s="46" t="str">
        <f t="shared" si="46"/>
        <v/>
      </c>
      <c r="E1000" s="46" t="str">
        <f t="shared" si="47"/>
        <v/>
      </c>
      <c r="F1000" s="46"/>
      <c r="G1000" s="46"/>
      <c r="H1000" s="46"/>
      <c r="I1000" s="46"/>
      <c r="J1000" s="46"/>
      <c r="K1000" s="46"/>
      <c r="L1000" s="46"/>
      <c r="M1000" s="46"/>
    </row>
    <row r="1001" spans="2:13" x14ac:dyDescent="0.25">
      <c r="B1001" s="46"/>
      <c r="C1001" s="40" t="str">
        <f t="shared" si="45"/>
        <v/>
      </c>
      <c r="D1001" s="46" t="str">
        <f t="shared" si="46"/>
        <v/>
      </c>
      <c r="E1001" s="46" t="str">
        <f t="shared" si="47"/>
        <v/>
      </c>
      <c r="F1001" s="46"/>
      <c r="G1001" s="46"/>
      <c r="H1001" s="46"/>
      <c r="I1001" s="46"/>
      <c r="J1001" s="46"/>
      <c r="K1001" s="46"/>
      <c r="L1001" s="46"/>
      <c r="M1001" s="46"/>
    </row>
    <row r="1002" spans="2:13" x14ac:dyDescent="0.25">
      <c r="B1002" s="46"/>
      <c r="C1002" s="40" t="str">
        <f t="shared" si="45"/>
        <v/>
      </c>
      <c r="D1002" s="46" t="str">
        <f t="shared" si="46"/>
        <v/>
      </c>
      <c r="E1002" s="46" t="str">
        <f t="shared" si="47"/>
        <v/>
      </c>
      <c r="F1002" s="46"/>
      <c r="G1002" s="46"/>
      <c r="H1002" s="46"/>
      <c r="I1002" s="46"/>
      <c r="J1002" s="46"/>
      <c r="K1002" s="46"/>
      <c r="L1002" s="46"/>
      <c r="M1002" s="46"/>
    </row>
    <row r="1003" spans="2:13" x14ac:dyDescent="0.25">
      <c r="B1003" s="46"/>
      <c r="C1003" s="40" t="str">
        <f t="shared" si="45"/>
        <v/>
      </c>
      <c r="D1003" s="46" t="str">
        <f t="shared" si="46"/>
        <v/>
      </c>
      <c r="E1003" s="46" t="str">
        <f t="shared" si="47"/>
        <v/>
      </c>
      <c r="F1003" s="46"/>
      <c r="G1003" s="46"/>
      <c r="H1003" s="46"/>
      <c r="I1003" s="46"/>
      <c r="J1003" s="46"/>
      <c r="K1003" s="46"/>
      <c r="L1003" s="46"/>
      <c r="M1003" s="46"/>
    </row>
    <row r="1004" spans="2:13" x14ac:dyDescent="0.25">
      <c r="B1004" s="46"/>
      <c r="C1004" s="40" t="str">
        <f t="shared" si="45"/>
        <v/>
      </c>
      <c r="D1004" s="46" t="str">
        <f t="shared" si="46"/>
        <v/>
      </c>
      <c r="E1004" s="46" t="str">
        <f t="shared" si="47"/>
        <v/>
      </c>
      <c r="F1004" s="46"/>
      <c r="G1004" s="46"/>
      <c r="H1004" s="46"/>
      <c r="I1004" s="46"/>
      <c r="J1004" s="46"/>
      <c r="K1004" s="46"/>
      <c r="L1004" s="46"/>
      <c r="M1004" s="46"/>
    </row>
    <row r="1005" spans="2:13" x14ac:dyDescent="0.25">
      <c r="B1005" s="46"/>
      <c r="C1005" s="40" t="str">
        <f t="shared" si="45"/>
        <v/>
      </c>
      <c r="D1005" s="46" t="str">
        <f t="shared" si="46"/>
        <v/>
      </c>
      <c r="E1005" s="46" t="str">
        <f t="shared" si="47"/>
        <v/>
      </c>
      <c r="F1005" s="46"/>
      <c r="G1005" s="46"/>
      <c r="H1005" s="46"/>
      <c r="I1005" s="46"/>
      <c r="J1005" s="46"/>
      <c r="K1005" s="46"/>
      <c r="L1005" s="46"/>
      <c r="M1005" s="46"/>
    </row>
    <row r="1006" spans="2:13" x14ac:dyDescent="0.25">
      <c r="B1006" s="46"/>
      <c r="C1006" s="40" t="str">
        <f t="shared" si="45"/>
        <v/>
      </c>
      <c r="D1006" s="46" t="str">
        <f t="shared" si="46"/>
        <v/>
      </c>
      <c r="E1006" s="46" t="str">
        <f t="shared" si="47"/>
        <v/>
      </c>
      <c r="F1006" s="46"/>
      <c r="G1006" s="46"/>
      <c r="H1006" s="46"/>
      <c r="I1006" s="46"/>
      <c r="J1006" s="46"/>
      <c r="K1006" s="46"/>
      <c r="L1006" s="46"/>
      <c r="M1006" s="46"/>
    </row>
    <row r="1007" spans="2:13" x14ac:dyDescent="0.25">
      <c r="B1007" s="46"/>
      <c r="C1007" s="40" t="str">
        <f t="shared" si="45"/>
        <v/>
      </c>
      <c r="D1007" s="46" t="str">
        <f t="shared" si="46"/>
        <v/>
      </c>
      <c r="E1007" s="46" t="str">
        <f t="shared" si="47"/>
        <v/>
      </c>
      <c r="F1007" s="46"/>
      <c r="G1007" s="46"/>
      <c r="H1007" s="46"/>
      <c r="I1007" s="46"/>
      <c r="J1007" s="46"/>
      <c r="K1007" s="46"/>
      <c r="L1007" s="46"/>
      <c r="M1007" s="46"/>
    </row>
    <row r="1008" spans="2:13" x14ac:dyDescent="0.25">
      <c r="B1008" s="46"/>
      <c r="C1008" s="40" t="str">
        <f t="shared" si="45"/>
        <v/>
      </c>
      <c r="D1008" s="46" t="str">
        <f t="shared" si="46"/>
        <v/>
      </c>
      <c r="E1008" s="46" t="str">
        <f t="shared" si="47"/>
        <v/>
      </c>
      <c r="F1008" s="46"/>
      <c r="G1008" s="46"/>
      <c r="H1008" s="46"/>
      <c r="I1008" s="46"/>
      <c r="J1008" s="46"/>
      <c r="K1008" s="46"/>
      <c r="L1008" s="46"/>
      <c r="M1008" s="46"/>
    </row>
    <row r="1009" spans="2:13" x14ac:dyDescent="0.25">
      <c r="B1009" s="46"/>
      <c r="C1009" s="40" t="str">
        <f t="shared" si="45"/>
        <v/>
      </c>
      <c r="D1009" s="46" t="str">
        <f t="shared" si="46"/>
        <v/>
      </c>
      <c r="E1009" s="46" t="str">
        <f t="shared" si="47"/>
        <v/>
      </c>
      <c r="F1009" s="46"/>
      <c r="G1009" s="46"/>
      <c r="H1009" s="46"/>
      <c r="I1009" s="46"/>
      <c r="J1009" s="46"/>
      <c r="K1009" s="46"/>
      <c r="L1009" s="46"/>
      <c r="M1009" s="46"/>
    </row>
    <row r="1010" spans="2:13" x14ac:dyDescent="0.25">
      <c r="B1010" s="46"/>
      <c r="C1010" s="40" t="str">
        <f t="shared" si="45"/>
        <v/>
      </c>
      <c r="D1010" s="46" t="str">
        <f t="shared" si="46"/>
        <v/>
      </c>
      <c r="E1010" s="46" t="str">
        <f t="shared" si="47"/>
        <v/>
      </c>
      <c r="F1010" s="46"/>
      <c r="G1010" s="46"/>
      <c r="H1010" s="46"/>
      <c r="I1010" s="46"/>
      <c r="J1010" s="46"/>
      <c r="K1010" s="46"/>
      <c r="L1010" s="46"/>
      <c r="M1010" s="46"/>
    </row>
    <row r="1011" spans="2:13" x14ac:dyDescent="0.25">
      <c r="B1011" s="46"/>
      <c r="C1011" s="40" t="str">
        <f t="shared" si="45"/>
        <v/>
      </c>
      <c r="D1011" s="46" t="str">
        <f t="shared" si="46"/>
        <v/>
      </c>
      <c r="E1011" s="46" t="str">
        <f t="shared" si="47"/>
        <v/>
      </c>
      <c r="F1011" s="46"/>
      <c r="G1011" s="46"/>
      <c r="H1011" s="46"/>
      <c r="I1011" s="46"/>
      <c r="J1011" s="46"/>
      <c r="K1011" s="46"/>
      <c r="L1011" s="46"/>
      <c r="M1011" s="46"/>
    </row>
    <row r="1012" spans="2:13" x14ac:dyDescent="0.25">
      <c r="B1012" s="46"/>
      <c r="C1012" s="40" t="str">
        <f t="shared" si="45"/>
        <v/>
      </c>
      <c r="D1012" s="46" t="str">
        <f t="shared" si="46"/>
        <v/>
      </c>
      <c r="E1012" s="46" t="str">
        <f t="shared" si="47"/>
        <v/>
      </c>
      <c r="F1012" s="46"/>
      <c r="G1012" s="46"/>
      <c r="H1012" s="46"/>
      <c r="I1012" s="46"/>
      <c r="J1012" s="46"/>
      <c r="K1012" s="46"/>
      <c r="L1012" s="46"/>
      <c r="M1012" s="46"/>
    </row>
    <row r="1013" spans="2:13" x14ac:dyDescent="0.25">
      <c r="B1013" s="46"/>
      <c r="C1013" s="40" t="str">
        <f t="shared" si="45"/>
        <v/>
      </c>
      <c r="D1013" s="46" t="str">
        <f t="shared" si="46"/>
        <v/>
      </c>
      <c r="E1013" s="46" t="str">
        <f t="shared" si="47"/>
        <v/>
      </c>
      <c r="F1013" s="46"/>
      <c r="G1013" s="46"/>
      <c r="H1013" s="46"/>
      <c r="I1013" s="46"/>
      <c r="J1013" s="46"/>
      <c r="K1013" s="46"/>
      <c r="L1013" s="46"/>
      <c r="M1013" s="46"/>
    </row>
    <row r="1014" spans="2:13" x14ac:dyDescent="0.25">
      <c r="B1014" s="46"/>
      <c r="C1014" s="40" t="str">
        <f t="shared" si="45"/>
        <v/>
      </c>
      <c r="D1014" s="46" t="str">
        <f t="shared" si="46"/>
        <v/>
      </c>
      <c r="E1014" s="46" t="str">
        <f t="shared" si="47"/>
        <v/>
      </c>
      <c r="F1014" s="46"/>
      <c r="G1014" s="46"/>
      <c r="H1014" s="46"/>
      <c r="I1014" s="46"/>
      <c r="J1014" s="46"/>
      <c r="K1014" s="46"/>
      <c r="L1014" s="46"/>
      <c r="M1014" s="46"/>
    </row>
    <row r="1015" spans="2:13" x14ac:dyDescent="0.25">
      <c r="B1015" s="46"/>
      <c r="C1015" s="40" t="str">
        <f t="shared" si="45"/>
        <v/>
      </c>
      <c r="D1015" s="46" t="str">
        <f t="shared" si="46"/>
        <v/>
      </c>
      <c r="E1015" s="46" t="str">
        <f t="shared" si="47"/>
        <v/>
      </c>
      <c r="F1015" s="46"/>
      <c r="G1015" s="46"/>
      <c r="H1015" s="46"/>
      <c r="I1015" s="46"/>
      <c r="J1015" s="46"/>
      <c r="K1015" s="46"/>
      <c r="L1015" s="46"/>
      <c r="M1015" s="46"/>
    </row>
    <row r="1016" spans="2:13" x14ac:dyDescent="0.25">
      <c r="B1016" s="46"/>
      <c r="C1016" s="40" t="str">
        <f t="shared" si="45"/>
        <v/>
      </c>
      <c r="D1016" s="46" t="str">
        <f t="shared" si="46"/>
        <v/>
      </c>
      <c r="E1016" s="46" t="str">
        <f t="shared" si="47"/>
        <v/>
      </c>
      <c r="F1016" s="46"/>
      <c r="G1016" s="46"/>
      <c r="H1016" s="46"/>
      <c r="I1016" s="46"/>
      <c r="J1016" s="46"/>
      <c r="K1016" s="46"/>
      <c r="L1016" s="46"/>
      <c r="M1016" s="46"/>
    </row>
    <row r="1017" spans="2:13" x14ac:dyDescent="0.25">
      <c r="B1017" s="46"/>
      <c r="C1017" s="40" t="str">
        <f t="shared" si="45"/>
        <v/>
      </c>
      <c r="D1017" s="46" t="str">
        <f t="shared" si="46"/>
        <v/>
      </c>
      <c r="E1017" s="46" t="str">
        <f t="shared" si="47"/>
        <v/>
      </c>
      <c r="F1017" s="46"/>
      <c r="G1017" s="46"/>
      <c r="H1017" s="46"/>
      <c r="I1017" s="46"/>
      <c r="J1017" s="46"/>
      <c r="K1017" s="46"/>
      <c r="L1017" s="46"/>
      <c r="M1017" s="46"/>
    </row>
    <row r="1018" spans="2:13" x14ac:dyDescent="0.25">
      <c r="B1018" s="46"/>
      <c r="C1018" s="40" t="str">
        <f t="shared" si="45"/>
        <v/>
      </c>
      <c r="D1018" s="46" t="str">
        <f t="shared" si="46"/>
        <v/>
      </c>
      <c r="E1018" s="46" t="str">
        <f t="shared" si="47"/>
        <v/>
      </c>
      <c r="F1018" s="46"/>
      <c r="G1018" s="46"/>
      <c r="H1018" s="46"/>
      <c r="I1018" s="46"/>
      <c r="J1018" s="46"/>
      <c r="K1018" s="46"/>
      <c r="L1018" s="46"/>
      <c r="M1018" s="46"/>
    </row>
    <row r="1019" spans="2:13" x14ac:dyDescent="0.25">
      <c r="B1019" s="46"/>
      <c r="C1019" s="40" t="str">
        <f t="shared" si="45"/>
        <v/>
      </c>
      <c r="D1019" s="46" t="str">
        <f t="shared" si="46"/>
        <v/>
      </c>
      <c r="E1019" s="46" t="str">
        <f t="shared" si="47"/>
        <v/>
      </c>
      <c r="F1019" s="46"/>
      <c r="G1019" s="46"/>
      <c r="H1019" s="46"/>
      <c r="I1019" s="46"/>
      <c r="J1019" s="46"/>
      <c r="K1019" s="46"/>
      <c r="L1019" s="46"/>
      <c r="M1019" s="46"/>
    </row>
    <row r="1020" spans="2:13" x14ac:dyDescent="0.25">
      <c r="B1020" s="46"/>
      <c r="C1020" s="40" t="str">
        <f t="shared" si="45"/>
        <v/>
      </c>
      <c r="D1020" s="46" t="str">
        <f t="shared" si="46"/>
        <v/>
      </c>
      <c r="E1020" s="46" t="str">
        <f t="shared" si="47"/>
        <v/>
      </c>
      <c r="F1020" s="46"/>
      <c r="G1020" s="46"/>
      <c r="H1020" s="46"/>
      <c r="I1020" s="46"/>
      <c r="J1020" s="46"/>
      <c r="K1020" s="46"/>
      <c r="L1020" s="46"/>
      <c r="M1020" s="46"/>
    </row>
    <row r="1021" spans="2:13" x14ac:dyDescent="0.25">
      <c r="B1021" s="46"/>
      <c r="C1021" s="40" t="str">
        <f t="shared" si="45"/>
        <v/>
      </c>
      <c r="D1021" s="46" t="str">
        <f t="shared" si="46"/>
        <v/>
      </c>
      <c r="E1021" s="46" t="str">
        <f t="shared" si="47"/>
        <v/>
      </c>
      <c r="F1021" s="46"/>
      <c r="G1021" s="46"/>
      <c r="H1021" s="46"/>
      <c r="I1021" s="46"/>
      <c r="J1021" s="46"/>
      <c r="K1021" s="46"/>
      <c r="L1021" s="46"/>
      <c r="M1021" s="46"/>
    </row>
    <row r="1022" spans="2:13" x14ac:dyDescent="0.25">
      <c r="B1022" s="46"/>
      <c r="C1022" s="40" t="str">
        <f t="shared" si="45"/>
        <v/>
      </c>
      <c r="D1022" s="46" t="str">
        <f t="shared" si="46"/>
        <v/>
      </c>
      <c r="E1022" s="46" t="str">
        <f t="shared" si="47"/>
        <v/>
      </c>
      <c r="F1022" s="46"/>
      <c r="G1022" s="46"/>
      <c r="H1022" s="46"/>
      <c r="I1022" s="46"/>
      <c r="J1022" s="46"/>
      <c r="K1022" s="46"/>
      <c r="L1022" s="46"/>
      <c r="M1022" s="46"/>
    </row>
    <row r="1023" spans="2:13" x14ac:dyDescent="0.25">
      <c r="B1023" s="46"/>
      <c r="C1023" s="40" t="str">
        <f t="shared" si="45"/>
        <v/>
      </c>
      <c r="D1023" s="46" t="str">
        <f t="shared" si="46"/>
        <v/>
      </c>
      <c r="E1023" s="46" t="str">
        <f t="shared" si="47"/>
        <v/>
      </c>
      <c r="F1023" s="46"/>
      <c r="G1023" s="46"/>
      <c r="H1023" s="46"/>
      <c r="I1023" s="46"/>
      <c r="J1023" s="46"/>
      <c r="K1023" s="46"/>
      <c r="L1023" s="46"/>
      <c r="M1023" s="46"/>
    </row>
    <row r="1024" spans="2:13" x14ac:dyDescent="0.25">
      <c r="B1024" s="46"/>
      <c r="C1024" s="40" t="str">
        <f t="shared" si="45"/>
        <v/>
      </c>
      <c r="D1024" s="46" t="str">
        <f t="shared" si="46"/>
        <v/>
      </c>
      <c r="E1024" s="46" t="str">
        <f t="shared" si="47"/>
        <v/>
      </c>
      <c r="F1024" s="46"/>
      <c r="G1024" s="46"/>
      <c r="H1024" s="46"/>
      <c r="I1024" s="46"/>
      <c r="J1024" s="46"/>
      <c r="K1024" s="46"/>
      <c r="L1024" s="46"/>
      <c r="M1024" s="46"/>
    </row>
    <row r="1025" spans="2:13" x14ac:dyDescent="0.25">
      <c r="B1025" s="46"/>
      <c r="C1025" s="40" t="str">
        <f t="shared" si="45"/>
        <v/>
      </c>
      <c r="D1025" s="46" t="str">
        <f t="shared" si="46"/>
        <v/>
      </c>
      <c r="E1025" s="46" t="str">
        <f t="shared" si="47"/>
        <v/>
      </c>
      <c r="F1025" s="46"/>
      <c r="G1025" s="46"/>
      <c r="H1025" s="46"/>
      <c r="I1025" s="46"/>
      <c r="J1025" s="46"/>
      <c r="K1025" s="46"/>
      <c r="L1025" s="46"/>
      <c r="M1025" s="46"/>
    </row>
    <row r="1026" spans="2:13" x14ac:dyDescent="0.25">
      <c r="B1026" s="46"/>
      <c r="C1026" s="40" t="str">
        <f t="shared" ref="C1026:C1089" si="48">IF(B1026="","",MONTH(B1026))</f>
        <v/>
      </c>
      <c r="D1026" s="46" t="str">
        <f t="shared" ref="D1026:D1089" si="49">IF(B1026="","",CHOOSE(C1026,"Enero","Febrero","Marzo","Abril","Mayo","Junio","Julio","Agosto","Septiembre","Octubre","Noviembre","Diciembre"))</f>
        <v/>
      </c>
      <c r="E1026" s="46" t="str">
        <f t="shared" ref="E1026:E1089" si="50">IF(B1026="","",YEAR(B1026))</f>
        <v/>
      </c>
      <c r="F1026" s="46"/>
      <c r="G1026" s="46"/>
      <c r="H1026" s="46"/>
      <c r="I1026" s="46"/>
      <c r="J1026" s="46"/>
      <c r="K1026" s="46"/>
      <c r="L1026" s="46"/>
      <c r="M1026" s="46"/>
    </row>
    <row r="1027" spans="2:13" x14ac:dyDescent="0.25">
      <c r="B1027" s="46"/>
      <c r="C1027" s="40" t="str">
        <f t="shared" si="48"/>
        <v/>
      </c>
      <c r="D1027" s="46" t="str">
        <f t="shared" si="49"/>
        <v/>
      </c>
      <c r="E1027" s="46" t="str">
        <f t="shared" si="50"/>
        <v/>
      </c>
      <c r="F1027" s="46"/>
      <c r="G1027" s="46"/>
      <c r="H1027" s="46"/>
      <c r="I1027" s="46"/>
      <c r="J1027" s="46"/>
      <c r="K1027" s="46"/>
      <c r="L1027" s="46"/>
      <c r="M1027" s="46"/>
    </row>
    <row r="1028" spans="2:13" x14ac:dyDescent="0.25">
      <c r="B1028" s="46"/>
      <c r="C1028" s="40" t="str">
        <f t="shared" si="48"/>
        <v/>
      </c>
      <c r="D1028" s="46" t="str">
        <f t="shared" si="49"/>
        <v/>
      </c>
      <c r="E1028" s="46" t="str">
        <f t="shared" si="50"/>
        <v/>
      </c>
      <c r="F1028" s="46"/>
      <c r="G1028" s="46"/>
      <c r="H1028" s="46"/>
      <c r="I1028" s="46"/>
      <c r="J1028" s="46"/>
      <c r="K1028" s="46"/>
      <c r="L1028" s="46"/>
      <c r="M1028" s="46"/>
    </row>
    <row r="1029" spans="2:13" x14ac:dyDescent="0.25">
      <c r="B1029" s="46"/>
      <c r="C1029" s="40" t="str">
        <f t="shared" si="48"/>
        <v/>
      </c>
      <c r="D1029" s="46" t="str">
        <f t="shared" si="49"/>
        <v/>
      </c>
      <c r="E1029" s="46" t="str">
        <f t="shared" si="50"/>
        <v/>
      </c>
      <c r="F1029" s="46"/>
      <c r="G1029" s="46"/>
      <c r="H1029" s="46"/>
      <c r="I1029" s="46"/>
      <c r="J1029" s="46"/>
      <c r="K1029" s="46"/>
      <c r="L1029" s="46"/>
      <c r="M1029" s="46"/>
    </row>
    <row r="1030" spans="2:13" x14ac:dyDescent="0.25">
      <c r="B1030" s="46"/>
      <c r="C1030" s="40" t="str">
        <f t="shared" si="48"/>
        <v/>
      </c>
      <c r="D1030" s="46" t="str">
        <f t="shared" si="49"/>
        <v/>
      </c>
      <c r="E1030" s="46" t="str">
        <f t="shared" si="50"/>
        <v/>
      </c>
      <c r="F1030" s="46"/>
      <c r="G1030" s="46"/>
      <c r="H1030" s="46"/>
      <c r="I1030" s="46"/>
      <c r="J1030" s="46"/>
      <c r="K1030" s="46"/>
      <c r="L1030" s="46"/>
      <c r="M1030" s="46"/>
    </row>
    <row r="1031" spans="2:13" x14ac:dyDescent="0.25">
      <c r="B1031" s="46"/>
      <c r="C1031" s="40" t="str">
        <f t="shared" si="48"/>
        <v/>
      </c>
      <c r="D1031" s="46" t="str">
        <f t="shared" si="49"/>
        <v/>
      </c>
      <c r="E1031" s="46" t="str">
        <f t="shared" si="50"/>
        <v/>
      </c>
      <c r="F1031" s="46"/>
      <c r="G1031" s="46"/>
      <c r="H1031" s="46"/>
      <c r="I1031" s="46"/>
      <c r="J1031" s="46"/>
      <c r="K1031" s="46"/>
      <c r="L1031" s="46"/>
      <c r="M1031" s="46"/>
    </row>
    <row r="1032" spans="2:13" x14ac:dyDescent="0.25">
      <c r="B1032" s="46"/>
      <c r="C1032" s="40" t="str">
        <f t="shared" si="48"/>
        <v/>
      </c>
      <c r="D1032" s="46" t="str">
        <f t="shared" si="49"/>
        <v/>
      </c>
      <c r="E1032" s="46" t="str">
        <f t="shared" si="50"/>
        <v/>
      </c>
      <c r="F1032" s="46"/>
      <c r="G1032" s="46"/>
      <c r="H1032" s="46"/>
      <c r="I1032" s="46"/>
      <c r="J1032" s="46"/>
      <c r="K1032" s="46"/>
      <c r="L1032" s="46"/>
      <c r="M1032" s="46"/>
    </row>
    <row r="1033" spans="2:13" x14ac:dyDescent="0.25">
      <c r="B1033" s="46"/>
      <c r="C1033" s="40" t="str">
        <f t="shared" si="48"/>
        <v/>
      </c>
      <c r="D1033" s="46" t="str">
        <f t="shared" si="49"/>
        <v/>
      </c>
      <c r="E1033" s="46" t="str">
        <f t="shared" si="50"/>
        <v/>
      </c>
      <c r="F1033" s="46"/>
      <c r="G1033" s="46"/>
      <c r="H1033" s="46"/>
      <c r="I1033" s="46"/>
      <c r="J1033" s="46"/>
      <c r="K1033" s="46"/>
      <c r="L1033" s="46"/>
      <c r="M1033" s="46"/>
    </row>
    <row r="1034" spans="2:13" x14ac:dyDescent="0.25">
      <c r="B1034" s="46"/>
      <c r="C1034" s="40" t="str">
        <f t="shared" si="48"/>
        <v/>
      </c>
      <c r="D1034" s="46" t="str">
        <f t="shared" si="49"/>
        <v/>
      </c>
      <c r="E1034" s="46" t="str">
        <f t="shared" si="50"/>
        <v/>
      </c>
      <c r="F1034" s="46"/>
      <c r="G1034" s="46"/>
      <c r="H1034" s="46"/>
      <c r="I1034" s="46"/>
      <c r="J1034" s="46"/>
      <c r="K1034" s="46"/>
      <c r="L1034" s="46"/>
      <c r="M1034" s="46"/>
    </row>
    <row r="1035" spans="2:13" x14ac:dyDescent="0.25">
      <c r="B1035" s="46"/>
      <c r="C1035" s="40" t="str">
        <f t="shared" si="48"/>
        <v/>
      </c>
      <c r="D1035" s="46" t="str">
        <f t="shared" si="49"/>
        <v/>
      </c>
      <c r="E1035" s="46" t="str">
        <f t="shared" si="50"/>
        <v/>
      </c>
      <c r="F1035" s="46"/>
      <c r="G1035" s="46"/>
      <c r="H1035" s="46"/>
      <c r="I1035" s="46"/>
      <c r="J1035" s="46"/>
      <c r="K1035" s="46"/>
      <c r="L1035" s="46"/>
      <c r="M1035" s="46"/>
    </row>
    <row r="1036" spans="2:13" x14ac:dyDescent="0.25">
      <c r="B1036" s="46"/>
      <c r="C1036" s="40" t="str">
        <f t="shared" si="48"/>
        <v/>
      </c>
      <c r="D1036" s="46" t="str">
        <f t="shared" si="49"/>
        <v/>
      </c>
      <c r="E1036" s="46" t="str">
        <f t="shared" si="50"/>
        <v/>
      </c>
      <c r="F1036" s="46"/>
      <c r="G1036" s="46"/>
      <c r="H1036" s="46"/>
      <c r="I1036" s="46"/>
      <c r="J1036" s="46"/>
      <c r="K1036" s="46"/>
      <c r="L1036" s="46"/>
      <c r="M1036" s="46"/>
    </row>
    <row r="1037" spans="2:13" x14ac:dyDescent="0.25">
      <c r="B1037" s="46"/>
      <c r="C1037" s="40" t="str">
        <f t="shared" si="48"/>
        <v/>
      </c>
      <c r="D1037" s="46" t="str">
        <f t="shared" si="49"/>
        <v/>
      </c>
      <c r="E1037" s="46" t="str">
        <f t="shared" si="50"/>
        <v/>
      </c>
      <c r="F1037" s="46"/>
      <c r="G1037" s="46"/>
      <c r="H1037" s="46"/>
      <c r="I1037" s="46"/>
      <c r="J1037" s="46"/>
      <c r="K1037" s="46"/>
      <c r="L1037" s="46"/>
      <c r="M1037" s="46"/>
    </row>
    <row r="1038" spans="2:13" x14ac:dyDescent="0.25">
      <c r="B1038" s="46"/>
      <c r="C1038" s="40" t="str">
        <f t="shared" si="48"/>
        <v/>
      </c>
      <c r="D1038" s="46" t="str">
        <f t="shared" si="49"/>
        <v/>
      </c>
      <c r="E1038" s="46" t="str">
        <f t="shared" si="50"/>
        <v/>
      </c>
      <c r="F1038" s="46"/>
      <c r="G1038" s="46"/>
      <c r="H1038" s="46"/>
      <c r="I1038" s="46"/>
      <c r="J1038" s="46"/>
      <c r="K1038" s="46"/>
      <c r="L1038" s="46"/>
      <c r="M1038" s="46"/>
    </row>
    <row r="1039" spans="2:13" x14ac:dyDescent="0.25">
      <c r="B1039" s="46"/>
      <c r="C1039" s="40" t="str">
        <f t="shared" si="48"/>
        <v/>
      </c>
      <c r="D1039" s="46" t="str">
        <f t="shared" si="49"/>
        <v/>
      </c>
      <c r="E1039" s="46" t="str">
        <f t="shared" si="50"/>
        <v/>
      </c>
      <c r="F1039" s="46"/>
      <c r="G1039" s="46"/>
      <c r="H1039" s="46"/>
      <c r="I1039" s="46"/>
      <c r="J1039" s="46"/>
      <c r="K1039" s="46"/>
      <c r="L1039" s="46"/>
      <c r="M1039" s="46"/>
    </row>
    <row r="1040" spans="2:13" x14ac:dyDescent="0.25">
      <c r="B1040" s="46"/>
      <c r="C1040" s="40" t="str">
        <f t="shared" si="48"/>
        <v/>
      </c>
      <c r="D1040" s="46" t="str">
        <f t="shared" si="49"/>
        <v/>
      </c>
      <c r="E1040" s="46" t="str">
        <f t="shared" si="50"/>
        <v/>
      </c>
      <c r="F1040" s="46"/>
      <c r="G1040" s="46"/>
      <c r="H1040" s="46"/>
      <c r="I1040" s="46"/>
      <c r="J1040" s="46"/>
      <c r="K1040" s="46"/>
      <c r="L1040" s="46"/>
      <c r="M1040" s="46"/>
    </row>
    <row r="1041" spans="2:13" x14ac:dyDescent="0.25">
      <c r="B1041" s="46"/>
      <c r="C1041" s="40" t="str">
        <f t="shared" si="48"/>
        <v/>
      </c>
      <c r="D1041" s="46" t="str">
        <f t="shared" si="49"/>
        <v/>
      </c>
      <c r="E1041" s="46" t="str">
        <f t="shared" si="50"/>
        <v/>
      </c>
      <c r="F1041" s="46"/>
      <c r="G1041" s="46"/>
      <c r="H1041" s="46"/>
      <c r="I1041" s="46"/>
      <c r="J1041" s="46"/>
      <c r="K1041" s="46"/>
      <c r="L1041" s="46"/>
      <c r="M1041" s="46"/>
    </row>
    <row r="1042" spans="2:13" x14ac:dyDescent="0.25">
      <c r="B1042" s="46"/>
      <c r="C1042" s="40" t="str">
        <f t="shared" si="48"/>
        <v/>
      </c>
      <c r="D1042" s="46" t="str">
        <f t="shared" si="49"/>
        <v/>
      </c>
      <c r="E1042" s="46" t="str">
        <f t="shared" si="50"/>
        <v/>
      </c>
      <c r="F1042" s="46"/>
      <c r="G1042" s="46"/>
      <c r="H1042" s="46"/>
      <c r="I1042" s="46"/>
      <c r="J1042" s="46"/>
      <c r="K1042" s="46"/>
      <c r="L1042" s="46"/>
      <c r="M1042" s="46"/>
    </row>
    <row r="1043" spans="2:13" x14ac:dyDescent="0.25">
      <c r="B1043" s="46"/>
      <c r="C1043" s="40" t="str">
        <f t="shared" si="48"/>
        <v/>
      </c>
      <c r="D1043" s="46" t="str">
        <f t="shared" si="49"/>
        <v/>
      </c>
      <c r="E1043" s="46" t="str">
        <f t="shared" si="50"/>
        <v/>
      </c>
      <c r="F1043" s="46"/>
      <c r="G1043" s="46"/>
      <c r="H1043" s="46"/>
      <c r="I1043" s="46"/>
      <c r="J1043" s="46"/>
      <c r="K1043" s="46"/>
      <c r="L1043" s="46"/>
      <c r="M1043" s="46"/>
    </row>
    <row r="1044" spans="2:13" x14ac:dyDescent="0.25">
      <c r="B1044" s="46"/>
      <c r="C1044" s="40" t="str">
        <f t="shared" si="48"/>
        <v/>
      </c>
      <c r="D1044" s="46" t="str">
        <f t="shared" si="49"/>
        <v/>
      </c>
      <c r="E1044" s="46" t="str">
        <f t="shared" si="50"/>
        <v/>
      </c>
      <c r="F1044" s="46"/>
      <c r="G1044" s="46"/>
      <c r="H1044" s="46"/>
      <c r="I1044" s="46"/>
      <c r="J1044" s="46"/>
      <c r="K1044" s="46"/>
      <c r="L1044" s="46"/>
      <c r="M1044" s="46"/>
    </row>
    <row r="1045" spans="2:13" x14ac:dyDescent="0.25">
      <c r="B1045" s="46"/>
      <c r="C1045" s="40" t="str">
        <f t="shared" si="48"/>
        <v/>
      </c>
      <c r="D1045" s="46" t="str">
        <f t="shared" si="49"/>
        <v/>
      </c>
      <c r="E1045" s="46" t="str">
        <f t="shared" si="50"/>
        <v/>
      </c>
      <c r="F1045" s="46"/>
      <c r="G1045" s="46"/>
      <c r="H1045" s="46"/>
      <c r="I1045" s="46"/>
      <c r="J1045" s="46"/>
      <c r="K1045" s="46"/>
      <c r="L1045" s="46"/>
      <c r="M1045" s="46"/>
    </row>
    <row r="1046" spans="2:13" x14ac:dyDescent="0.25">
      <c r="B1046" s="46"/>
      <c r="C1046" s="40" t="str">
        <f t="shared" si="48"/>
        <v/>
      </c>
      <c r="D1046" s="46" t="str">
        <f t="shared" si="49"/>
        <v/>
      </c>
      <c r="E1046" s="46" t="str">
        <f t="shared" si="50"/>
        <v/>
      </c>
      <c r="F1046" s="46"/>
      <c r="G1046" s="46"/>
      <c r="H1046" s="46"/>
      <c r="I1046" s="46"/>
      <c r="J1046" s="46"/>
      <c r="K1046" s="46"/>
      <c r="L1046" s="46"/>
      <c r="M1046" s="46"/>
    </row>
    <row r="1047" spans="2:13" x14ac:dyDescent="0.25">
      <c r="B1047" s="46"/>
      <c r="C1047" s="40" t="str">
        <f t="shared" si="48"/>
        <v/>
      </c>
      <c r="D1047" s="46" t="str">
        <f t="shared" si="49"/>
        <v/>
      </c>
      <c r="E1047" s="46" t="str">
        <f t="shared" si="50"/>
        <v/>
      </c>
      <c r="F1047" s="46"/>
      <c r="G1047" s="46"/>
      <c r="H1047" s="46"/>
      <c r="I1047" s="46"/>
      <c r="J1047" s="46"/>
      <c r="K1047" s="46"/>
      <c r="L1047" s="46"/>
      <c r="M1047" s="46"/>
    </row>
    <row r="1048" spans="2:13" x14ac:dyDescent="0.25">
      <c r="B1048" s="46"/>
      <c r="C1048" s="40" t="str">
        <f t="shared" si="48"/>
        <v/>
      </c>
      <c r="D1048" s="46" t="str">
        <f t="shared" si="49"/>
        <v/>
      </c>
      <c r="E1048" s="46" t="str">
        <f t="shared" si="50"/>
        <v/>
      </c>
      <c r="F1048" s="46"/>
      <c r="G1048" s="46"/>
      <c r="H1048" s="46"/>
      <c r="I1048" s="46"/>
      <c r="J1048" s="46"/>
      <c r="K1048" s="46"/>
      <c r="L1048" s="46"/>
      <c r="M1048" s="46"/>
    </row>
    <row r="1049" spans="2:13" x14ac:dyDescent="0.25">
      <c r="B1049" s="46"/>
      <c r="C1049" s="40" t="str">
        <f t="shared" si="48"/>
        <v/>
      </c>
      <c r="D1049" s="46" t="str">
        <f t="shared" si="49"/>
        <v/>
      </c>
      <c r="E1049" s="46" t="str">
        <f t="shared" si="50"/>
        <v/>
      </c>
      <c r="F1049" s="46"/>
      <c r="G1049" s="46"/>
      <c r="H1049" s="46"/>
      <c r="I1049" s="46"/>
      <c r="J1049" s="46"/>
      <c r="K1049" s="46"/>
      <c r="L1049" s="46"/>
      <c r="M1049" s="46"/>
    </row>
    <row r="1050" spans="2:13" x14ac:dyDescent="0.25">
      <c r="B1050" s="46"/>
      <c r="C1050" s="40" t="str">
        <f t="shared" si="48"/>
        <v/>
      </c>
      <c r="D1050" s="46" t="str">
        <f t="shared" si="49"/>
        <v/>
      </c>
      <c r="E1050" s="46" t="str">
        <f t="shared" si="50"/>
        <v/>
      </c>
      <c r="F1050" s="46"/>
      <c r="G1050" s="46"/>
      <c r="H1050" s="46"/>
      <c r="I1050" s="46"/>
      <c r="J1050" s="46"/>
      <c r="K1050" s="46"/>
      <c r="L1050" s="46"/>
      <c r="M1050" s="46"/>
    </row>
    <row r="1051" spans="2:13" x14ac:dyDescent="0.25">
      <c r="B1051" s="46"/>
      <c r="C1051" s="40" t="str">
        <f t="shared" si="48"/>
        <v/>
      </c>
      <c r="D1051" s="46" t="str">
        <f t="shared" si="49"/>
        <v/>
      </c>
      <c r="E1051" s="46" t="str">
        <f t="shared" si="50"/>
        <v/>
      </c>
      <c r="F1051" s="46"/>
      <c r="G1051" s="46"/>
      <c r="H1051" s="46"/>
      <c r="I1051" s="46"/>
      <c r="J1051" s="46"/>
      <c r="K1051" s="46"/>
      <c r="L1051" s="46"/>
      <c r="M1051" s="46"/>
    </row>
    <row r="1052" spans="2:13" x14ac:dyDescent="0.25">
      <c r="B1052" s="46"/>
      <c r="C1052" s="40" t="str">
        <f t="shared" si="48"/>
        <v/>
      </c>
      <c r="D1052" s="46" t="str">
        <f t="shared" si="49"/>
        <v/>
      </c>
      <c r="E1052" s="46" t="str">
        <f t="shared" si="50"/>
        <v/>
      </c>
      <c r="F1052" s="46"/>
      <c r="G1052" s="46"/>
      <c r="H1052" s="46"/>
      <c r="I1052" s="46"/>
      <c r="J1052" s="46"/>
      <c r="K1052" s="46"/>
      <c r="L1052" s="46"/>
      <c r="M1052" s="46"/>
    </row>
    <row r="1053" spans="2:13" x14ac:dyDescent="0.25">
      <c r="B1053" s="46"/>
      <c r="C1053" s="40" t="str">
        <f t="shared" si="48"/>
        <v/>
      </c>
      <c r="D1053" s="46" t="str">
        <f t="shared" si="49"/>
        <v/>
      </c>
      <c r="E1053" s="46" t="str">
        <f t="shared" si="50"/>
        <v/>
      </c>
      <c r="F1053" s="46"/>
      <c r="G1053" s="46"/>
      <c r="H1053" s="46"/>
      <c r="I1053" s="46"/>
      <c r="J1053" s="46"/>
      <c r="K1053" s="46"/>
      <c r="L1053" s="46"/>
      <c r="M1053" s="46"/>
    </row>
    <row r="1054" spans="2:13" x14ac:dyDescent="0.25">
      <c r="B1054" s="46"/>
      <c r="C1054" s="40" t="str">
        <f t="shared" si="48"/>
        <v/>
      </c>
      <c r="D1054" s="46" t="str">
        <f t="shared" si="49"/>
        <v/>
      </c>
      <c r="E1054" s="46" t="str">
        <f t="shared" si="50"/>
        <v/>
      </c>
      <c r="F1054" s="46"/>
      <c r="G1054" s="46"/>
      <c r="H1054" s="46"/>
      <c r="I1054" s="46"/>
      <c r="J1054" s="46"/>
      <c r="K1054" s="46"/>
      <c r="L1054" s="46"/>
      <c r="M1054" s="46"/>
    </row>
    <row r="1055" spans="2:13" x14ac:dyDescent="0.25">
      <c r="B1055" s="46"/>
      <c r="C1055" s="40" t="str">
        <f t="shared" si="48"/>
        <v/>
      </c>
      <c r="D1055" s="46" t="str">
        <f t="shared" si="49"/>
        <v/>
      </c>
      <c r="E1055" s="46" t="str">
        <f t="shared" si="50"/>
        <v/>
      </c>
      <c r="F1055" s="46"/>
      <c r="G1055" s="46"/>
      <c r="H1055" s="46"/>
      <c r="I1055" s="46"/>
      <c r="J1055" s="46"/>
      <c r="K1055" s="46"/>
      <c r="L1055" s="46"/>
      <c r="M1055" s="46"/>
    </row>
    <row r="1056" spans="2:13" x14ac:dyDescent="0.25">
      <c r="B1056" s="46"/>
      <c r="C1056" s="40" t="str">
        <f t="shared" si="48"/>
        <v/>
      </c>
      <c r="D1056" s="46" t="str">
        <f t="shared" si="49"/>
        <v/>
      </c>
      <c r="E1056" s="46" t="str">
        <f t="shared" si="50"/>
        <v/>
      </c>
      <c r="F1056" s="46"/>
      <c r="G1056" s="46"/>
      <c r="H1056" s="46"/>
      <c r="I1056" s="46"/>
      <c r="J1056" s="46"/>
      <c r="K1056" s="46"/>
      <c r="L1056" s="46"/>
      <c r="M1056" s="46"/>
    </row>
    <row r="1057" spans="2:13" x14ac:dyDescent="0.25">
      <c r="B1057" s="46"/>
      <c r="C1057" s="40" t="str">
        <f t="shared" si="48"/>
        <v/>
      </c>
      <c r="D1057" s="46" t="str">
        <f t="shared" si="49"/>
        <v/>
      </c>
      <c r="E1057" s="46" t="str">
        <f t="shared" si="50"/>
        <v/>
      </c>
      <c r="F1057" s="46"/>
      <c r="G1057" s="46"/>
      <c r="H1057" s="46"/>
      <c r="I1057" s="46"/>
      <c r="J1057" s="46"/>
      <c r="K1057" s="46"/>
      <c r="L1057" s="46"/>
      <c r="M1057" s="46"/>
    </row>
    <row r="1058" spans="2:13" x14ac:dyDescent="0.25">
      <c r="B1058" s="46"/>
      <c r="C1058" s="40" t="str">
        <f t="shared" si="48"/>
        <v/>
      </c>
      <c r="D1058" s="46" t="str">
        <f t="shared" si="49"/>
        <v/>
      </c>
      <c r="E1058" s="46" t="str">
        <f t="shared" si="50"/>
        <v/>
      </c>
      <c r="F1058" s="46"/>
      <c r="G1058" s="46"/>
      <c r="H1058" s="46"/>
      <c r="I1058" s="46"/>
      <c r="J1058" s="46"/>
      <c r="K1058" s="46"/>
      <c r="L1058" s="46"/>
      <c r="M1058" s="46"/>
    </row>
    <row r="1059" spans="2:13" x14ac:dyDescent="0.25">
      <c r="B1059" s="46"/>
      <c r="C1059" s="40" t="str">
        <f t="shared" si="48"/>
        <v/>
      </c>
      <c r="D1059" s="46" t="str">
        <f t="shared" si="49"/>
        <v/>
      </c>
      <c r="E1059" s="46" t="str">
        <f t="shared" si="50"/>
        <v/>
      </c>
      <c r="F1059" s="46"/>
      <c r="G1059" s="46"/>
      <c r="H1059" s="46"/>
      <c r="I1059" s="46"/>
      <c r="J1059" s="46"/>
      <c r="K1059" s="46"/>
      <c r="L1059" s="46"/>
      <c r="M1059" s="46"/>
    </row>
    <row r="1060" spans="2:13" x14ac:dyDescent="0.25">
      <c r="B1060" s="46"/>
      <c r="C1060" s="40" t="str">
        <f t="shared" si="48"/>
        <v/>
      </c>
      <c r="D1060" s="46" t="str">
        <f t="shared" si="49"/>
        <v/>
      </c>
      <c r="E1060" s="46" t="str">
        <f t="shared" si="50"/>
        <v/>
      </c>
      <c r="F1060" s="46"/>
      <c r="G1060" s="46"/>
      <c r="H1060" s="46"/>
      <c r="I1060" s="46"/>
      <c r="J1060" s="46"/>
      <c r="K1060" s="46"/>
      <c r="L1060" s="46"/>
      <c r="M1060" s="46"/>
    </row>
    <row r="1061" spans="2:13" x14ac:dyDescent="0.25">
      <c r="B1061" s="46"/>
      <c r="C1061" s="40" t="str">
        <f t="shared" si="48"/>
        <v/>
      </c>
      <c r="D1061" s="46" t="str">
        <f t="shared" si="49"/>
        <v/>
      </c>
      <c r="E1061" s="46" t="str">
        <f t="shared" si="50"/>
        <v/>
      </c>
      <c r="F1061" s="46"/>
      <c r="G1061" s="46"/>
      <c r="H1061" s="46"/>
      <c r="I1061" s="46"/>
      <c r="J1061" s="46"/>
      <c r="K1061" s="46"/>
      <c r="L1061" s="46"/>
      <c r="M1061" s="46"/>
    </row>
    <row r="1062" spans="2:13" x14ac:dyDescent="0.25">
      <c r="B1062" s="46"/>
      <c r="C1062" s="40" t="str">
        <f t="shared" si="48"/>
        <v/>
      </c>
      <c r="D1062" s="46" t="str">
        <f t="shared" si="49"/>
        <v/>
      </c>
      <c r="E1062" s="46" t="str">
        <f t="shared" si="50"/>
        <v/>
      </c>
      <c r="F1062" s="46"/>
      <c r="G1062" s="46"/>
      <c r="H1062" s="46"/>
      <c r="I1062" s="46"/>
      <c r="J1062" s="46"/>
      <c r="K1062" s="46"/>
      <c r="L1062" s="46"/>
      <c r="M1062" s="46"/>
    </row>
    <row r="1063" spans="2:13" x14ac:dyDescent="0.25">
      <c r="B1063" s="46"/>
      <c r="C1063" s="40" t="str">
        <f t="shared" si="48"/>
        <v/>
      </c>
      <c r="D1063" s="46" t="str">
        <f t="shared" si="49"/>
        <v/>
      </c>
      <c r="E1063" s="46" t="str">
        <f t="shared" si="50"/>
        <v/>
      </c>
      <c r="F1063" s="46"/>
      <c r="G1063" s="46"/>
      <c r="H1063" s="46"/>
      <c r="I1063" s="46"/>
      <c r="J1063" s="46"/>
      <c r="K1063" s="46"/>
      <c r="L1063" s="46"/>
      <c r="M1063" s="46"/>
    </row>
    <row r="1064" spans="2:13" x14ac:dyDescent="0.25">
      <c r="B1064" s="46"/>
      <c r="C1064" s="40" t="str">
        <f t="shared" si="48"/>
        <v/>
      </c>
      <c r="D1064" s="46" t="str">
        <f t="shared" si="49"/>
        <v/>
      </c>
      <c r="E1064" s="46" t="str">
        <f t="shared" si="50"/>
        <v/>
      </c>
      <c r="F1064" s="46"/>
      <c r="G1064" s="46"/>
      <c r="H1064" s="46"/>
      <c r="I1064" s="46"/>
      <c r="J1064" s="46"/>
      <c r="K1064" s="46"/>
      <c r="L1064" s="46"/>
      <c r="M1064" s="46"/>
    </row>
    <row r="1065" spans="2:13" x14ac:dyDescent="0.25">
      <c r="B1065" s="46"/>
      <c r="C1065" s="40" t="str">
        <f t="shared" si="48"/>
        <v/>
      </c>
      <c r="D1065" s="46" t="str">
        <f t="shared" si="49"/>
        <v/>
      </c>
      <c r="E1065" s="46" t="str">
        <f t="shared" si="50"/>
        <v/>
      </c>
      <c r="F1065" s="46"/>
      <c r="G1065" s="46"/>
      <c r="H1065" s="46"/>
      <c r="I1065" s="46"/>
      <c r="J1065" s="46"/>
      <c r="K1065" s="46"/>
      <c r="L1065" s="46"/>
      <c r="M1065" s="46"/>
    </row>
    <row r="1066" spans="2:13" x14ac:dyDescent="0.25">
      <c r="B1066" s="46"/>
      <c r="C1066" s="40" t="str">
        <f t="shared" si="48"/>
        <v/>
      </c>
      <c r="D1066" s="46" t="str">
        <f t="shared" si="49"/>
        <v/>
      </c>
      <c r="E1066" s="46" t="str">
        <f t="shared" si="50"/>
        <v/>
      </c>
      <c r="F1066" s="46"/>
      <c r="G1066" s="46"/>
      <c r="H1066" s="46"/>
      <c r="I1066" s="46"/>
      <c r="J1066" s="46"/>
      <c r="K1066" s="46"/>
      <c r="L1066" s="46"/>
      <c r="M1066" s="46"/>
    </row>
    <row r="1067" spans="2:13" x14ac:dyDescent="0.25">
      <c r="B1067" s="46"/>
      <c r="C1067" s="40" t="str">
        <f t="shared" si="48"/>
        <v/>
      </c>
      <c r="D1067" s="46" t="str">
        <f t="shared" si="49"/>
        <v/>
      </c>
      <c r="E1067" s="46" t="str">
        <f t="shared" si="50"/>
        <v/>
      </c>
      <c r="F1067" s="46"/>
      <c r="G1067" s="46"/>
      <c r="H1067" s="46"/>
      <c r="I1067" s="46"/>
      <c r="J1067" s="46"/>
      <c r="K1067" s="46"/>
      <c r="L1067" s="46"/>
      <c r="M1067" s="46"/>
    </row>
    <row r="1068" spans="2:13" x14ac:dyDescent="0.25">
      <c r="B1068" s="46"/>
      <c r="C1068" s="40" t="str">
        <f t="shared" si="48"/>
        <v/>
      </c>
      <c r="D1068" s="46" t="str">
        <f t="shared" si="49"/>
        <v/>
      </c>
      <c r="E1068" s="46" t="str">
        <f t="shared" si="50"/>
        <v/>
      </c>
      <c r="F1068" s="46"/>
      <c r="G1068" s="46"/>
      <c r="H1068" s="46"/>
      <c r="I1068" s="46"/>
      <c r="J1068" s="46"/>
      <c r="K1068" s="46"/>
      <c r="L1068" s="46"/>
      <c r="M1068" s="46"/>
    </row>
    <row r="1069" spans="2:13" x14ac:dyDescent="0.25">
      <c r="B1069" s="46"/>
      <c r="C1069" s="40" t="str">
        <f t="shared" si="48"/>
        <v/>
      </c>
      <c r="D1069" s="46" t="str">
        <f t="shared" si="49"/>
        <v/>
      </c>
      <c r="E1069" s="46" t="str">
        <f t="shared" si="50"/>
        <v/>
      </c>
      <c r="F1069" s="46"/>
      <c r="G1069" s="46"/>
      <c r="H1069" s="46"/>
      <c r="I1069" s="46"/>
      <c r="J1069" s="46"/>
      <c r="K1069" s="46"/>
      <c r="L1069" s="46"/>
      <c r="M1069" s="46"/>
    </row>
    <row r="1070" spans="2:13" x14ac:dyDescent="0.25">
      <c r="B1070" s="46"/>
      <c r="C1070" s="40" t="str">
        <f t="shared" si="48"/>
        <v/>
      </c>
      <c r="D1070" s="46" t="str">
        <f t="shared" si="49"/>
        <v/>
      </c>
      <c r="E1070" s="46" t="str">
        <f t="shared" si="50"/>
        <v/>
      </c>
      <c r="F1070" s="46"/>
      <c r="G1070" s="46"/>
      <c r="H1070" s="46"/>
      <c r="I1070" s="46"/>
      <c r="J1070" s="46"/>
      <c r="K1070" s="46"/>
      <c r="L1070" s="46"/>
      <c r="M1070" s="46"/>
    </row>
    <row r="1071" spans="2:13" x14ac:dyDescent="0.25">
      <c r="B1071" s="46"/>
      <c r="C1071" s="40" t="str">
        <f t="shared" si="48"/>
        <v/>
      </c>
      <c r="D1071" s="46" t="str">
        <f t="shared" si="49"/>
        <v/>
      </c>
      <c r="E1071" s="46" t="str">
        <f t="shared" si="50"/>
        <v/>
      </c>
      <c r="F1071" s="46"/>
      <c r="G1071" s="46"/>
      <c r="H1071" s="46"/>
      <c r="I1071" s="46"/>
      <c r="J1071" s="46"/>
      <c r="K1071" s="46"/>
      <c r="L1071" s="46"/>
      <c r="M1071" s="46"/>
    </row>
    <row r="1072" spans="2:13" x14ac:dyDescent="0.25">
      <c r="B1072" s="46"/>
      <c r="C1072" s="40" t="str">
        <f t="shared" si="48"/>
        <v/>
      </c>
      <c r="D1072" s="46" t="str">
        <f t="shared" si="49"/>
        <v/>
      </c>
      <c r="E1072" s="46" t="str">
        <f t="shared" si="50"/>
        <v/>
      </c>
      <c r="F1072" s="46"/>
      <c r="G1072" s="46"/>
      <c r="H1072" s="46"/>
      <c r="I1072" s="46"/>
      <c r="J1072" s="46"/>
      <c r="K1072" s="46"/>
      <c r="L1072" s="46"/>
      <c r="M1072" s="46"/>
    </row>
    <row r="1073" spans="2:13" x14ac:dyDescent="0.25">
      <c r="B1073" s="46"/>
      <c r="C1073" s="40" t="str">
        <f t="shared" si="48"/>
        <v/>
      </c>
      <c r="D1073" s="46" t="str">
        <f t="shared" si="49"/>
        <v/>
      </c>
      <c r="E1073" s="46" t="str">
        <f t="shared" si="50"/>
        <v/>
      </c>
      <c r="F1073" s="46"/>
      <c r="G1073" s="46"/>
      <c r="H1073" s="46"/>
      <c r="I1073" s="46"/>
      <c r="J1073" s="46"/>
      <c r="K1073" s="46"/>
      <c r="L1073" s="46"/>
      <c r="M1073" s="46"/>
    </row>
    <row r="1074" spans="2:13" x14ac:dyDescent="0.25">
      <c r="B1074" s="46"/>
      <c r="C1074" s="40" t="str">
        <f t="shared" si="48"/>
        <v/>
      </c>
      <c r="D1074" s="46" t="str">
        <f t="shared" si="49"/>
        <v/>
      </c>
      <c r="E1074" s="46" t="str">
        <f t="shared" si="50"/>
        <v/>
      </c>
      <c r="F1074" s="46"/>
      <c r="G1074" s="46"/>
      <c r="H1074" s="46"/>
      <c r="I1074" s="46"/>
      <c r="J1074" s="46"/>
      <c r="K1074" s="46"/>
      <c r="L1074" s="46"/>
      <c r="M1074" s="46"/>
    </row>
    <row r="1075" spans="2:13" x14ac:dyDescent="0.25">
      <c r="B1075" s="46"/>
      <c r="C1075" s="40" t="str">
        <f t="shared" si="48"/>
        <v/>
      </c>
      <c r="D1075" s="46" t="str">
        <f t="shared" si="49"/>
        <v/>
      </c>
      <c r="E1075" s="46" t="str">
        <f t="shared" si="50"/>
        <v/>
      </c>
      <c r="F1075" s="46"/>
      <c r="G1075" s="46"/>
      <c r="H1075" s="46"/>
      <c r="I1075" s="46"/>
      <c r="J1075" s="46"/>
      <c r="K1075" s="46"/>
      <c r="L1075" s="46"/>
      <c r="M1075" s="46"/>
    </row>
    <row r="1076" spans="2:13" x14ac:dyDescent="0.25">
      <c r="B1076" s="46"/>
      <c r="C1076" s="40" t="str">
        <f t="shared" si="48"/>
        <v/>
      </c>
      <c r="D1076" s="46" t="str">
        <f t="shared" si="49"/>
        <v/>
      </c>
      <c r="E1076" s="46" t="str">
        <f t="shared" si="50"/>
        <v/>
      </c>
      <c r="F1076" s="46"/>
      <c r="G1076" s="46"/>
      <c r="H1076" s="46"/>
      <c r="I1076" s="46"/>
      <c r="J1076" s="46"/>
      <c r="K1076" s="46"/>
      <c r="L1076" s="46"/>
      <c r="M1076" s="46"/>
    </row>
    <row r="1077" spans="2:13" x14ac:dyDescent="0.25">
      <c r="B1077" s="46"/>
      <c r="C1077" s="40" t="str">
        <f t="shared" si="48"/>
        <v/>
      </c>
      <c r="D1077" s="46" t="str">
        <f t="shared" si="49"/>
        <v/>
      </c>
      <c r="E1077" s="46" t="str">
        <f t="shared" si="50"/>
        <v/>
      </c>
      <c r="F1077" s="46"/>
      <c r="G1077" s="46"/>
      <c r="H1077" s="46"/>
      <c r="I1077" s="46"/>
      <c r="J1077" s="46"/>
      <c r="K1077" s="46"/>
      <c r="L1077" s="46"/>
      <c r="M1077" s="46"/>
    </row>
    <row r="1078" spans="2:13" x14ac:dyDescent="0.25">
      <c r="B1078" s="46"/>
      <c r="C1078" s="40" t="str">
        <f t="shared" si="48"/>
        <v/>
      </c>
      <c r="D1078" s="46" t="str">
        <f t="shared" si="49"/>
        <v/>
      </c>
      <c r="E1078" s="46" t="str">
        <f t="shared" si="50"/>
        <v/>
      </c>
      <c r="F1078" s="46"/>
      <c r="G1078" s="46"/>
      <c r="H1078" s="46"/>
      <c r="I1078" s="46"/>
      <c r="J1078" s="46"/>
      <c r="K1078" s="46"/>
      <c r="L1078" s="46"/>
      <c r="M1078" s="46"/>
    </row>
    <row r="1079" spans="2:13" x14ac:dyDescent="0.25">
      <c r="B1079" s="46"/>
      <c r="C1079" s="40" t="str">
        <f t="shared" si="48"/>
        <v/>
      </c>
      <c r="D1079" s="46" t="str">
        <f t="shared" si="49"/>
        <v/>
      </c>
      <c r="E1079" s="46" t="str">
        <f t="shared" si="50"/>
        <v/>
      </c>
      <c r="F1079" s="46"/>
      <c r="G1079" s="46"/>
      <c r="H1079" s="46"/>
      <c r="I1079" s="46"/>
      <c r="J1079" s="46"/>
      <c r="K1079" s="46"/>
      <c r="L1079" s="46"/>
      <c r="M1079" s="46"/>
    </row>
    <row r="1080" spans="2:13" x14ac:dyDescent="0.25">
      <c r="B1080" s="46"/>
      <c r="C1080" s="40" t="str">
        <f t="shared" si="48"/>
        <v/>
      </c>
      <c r="D1080" s="46" t="str">
        <f t="shared" si="49"/>
        <v/>
      </c>
      <c r="E1080" s="46" t="str">
        <f t="shared" si="50"/>
        <v/>
      </c>
      <c r="F1080" s="46"/>
      <c r="G1080" s="46"/>
      <c r="H1080" s="46"/>
      <c r="I1080" s="46"/>
      <c r="J1080" s="46"/>
      <c r="K1080" s="46"/>
      <c r="L1080" s="46"/>
      <c r="M1080" s="46"/>
    </row>
    <row r="1081" spans="2:13" x14ac:dyDescent="0.25">
      <c r="B1081" s="46"/>
      <c r="C1081" s="40" t="str">
        <f t="shared" si="48"/>
        <v/>
      </c>
      <c r="D1081" s="46" t="str">
        <f t="shared" si="49"/>
        <v/>
      </c>
      <c r="E1081" s="46" t="str">
        <f t="shared" si="50"/>
        <v/>
      </c>
      <c r="F1081" s="46"/>
      <c r="G1081" s="46"/>
      <c r="H1081" s="46"/>
      <c r="I1081" s="46"/>
      <c r="J1081" s="46"/>
      <c r="K1081" s="46"/>
      <c r="L1081" s="46"/>
      <c r="M1081" s="46"/>
    </row>
    <row r="1082" spans="2:13" x14ac:dyDescent="0.25">
      <c r="B1082" s="46"/>
      <c r="C1082" s="40" t="str">
        <f t="shared" si="48"/>
        <v/>
      </c>
      <c r="D1082" s="46" t="str">
        <f t="shared" si="49"/>
        <v/>
      </c>
      <c r="E1082" s="46" t="str">
        <f t="shared" si="50"/>
        <v/>
      </c>
      <c r="F1082" s="46"/>
      <c r="G1082" s="46"/>
      <c r="H1082" s="46"/>
      <c r="I1082" s="46"/>
      <c r="J1082" s="46"/>
      <c r="K1082" s="46"/>
      <c r="L1082" s="46"/>
      <c r="M1082" s="46"/>
    </row>
    <row r="1083" spans="2:13" x14ac:dyDescent="0.25">
      <c r="B1083" s="46"/>
      <c r="C1083" s="40" t="str">
        <f t="shared" si="48"/>
        <v/>
      </c>
      <c r="D1083" s="46" t="str">
        <f t="shared" si="49"/>
        <v/>
      </c>
      <c r="E1083" s="46" t="str">
        <f t="shared" si="50"/>
        <v/>
      </c>
      <c r="F1083" s="46"/>
      <c r="G1083" s="46"/>
      <c r="H1083" s="46"/>
      <c r="I1083" s="46"/>
      <c r="J1083" s="46"/>
      <c r="K1083" s="46"/>
      <c r="L1083" s="46"/>
      <c r="M1083" s="46"/>
    </row>
    <row r="1084" spans="2:13" x14ac:dyDescent="0.25">
      <c r="B1084" s="46"/>
      <c r="C1084" s="40" t="str">
        <f t="shared" si="48"/>
        <v/>
      </c>
      <c r="D1084" s="46" t="str">
        <f t="shared" si="49"/>
        <v/>
      </c>
      <c r="E1084" s="46" t="str">
        <f t="shared" si="50"/>
        <v/>
      </c>
      <c r="F1084" s="46"/>
      <c r="G1084" s="46"/>
      <c r="H1084" s="46"/>
      <c r="I1084" s="46"/>
      <c r="J1084" s="46"/>
      <c r="K1084" s="46"/>
      <c r="L1084" s="46"/>
      <c r="M1084" s="46"/>
    </row>
    <row r="1085" spans="2:13" x14ac:dyDescent="0.25">
      <c r="B1085" s="46"/>
      <c r="C1085" s="40" t="str">
        <f t="shared" si="48"/>
        <v/>
      </c>
      <c r="D1085" s="46" t="str">
        <f t="shared" si="49"/>
        <v/>
      </c>
      <c r="E1085" s="46" t="str">
        <f t="shared" si="50"/>
        <v/>
      </c>
      <c r="F1085" s="46"/>
      <c r="G1085" s="46"/>
      <c r="H1085" s="46"/>
      <c r="I1085" s="46"/>
      <c r="J1085" s="46"/>
      <c r="K1085" s="46"/>
      <c r="L1085" s="46"/>
      <c r="M1085" s="46"/>
    </row>
    <row r="1086" spans="2:13" x14ac:dyDescent="0.25">
      <c r="B1086" s="46"/>
      <c r="C1086" s="40" t="str">
        <f t="shared" si="48"/>
        <v/>
      </c>
      <c r="D1086" s="46" t="str">
        <f t="shared" si="49"/>
        <v/>
      </c>
      <c r="E1086" s="46" t="str">
        <f t="shared" si="50"/>
        <v/>
      </c>
      <c r="F1086" s="46"/>
      <c r="G1086" s="46"/>
      <c r="H1086" s="46"/>
      <c r="I1086" s="46"/>
      <c r="J1086" s="46"/>
      <c r="K1086" s="46"/>
      <c r="L1086" s="46"/>
      <c r="M1086" s="46"/>
    </row>
    <row r="1087" spans="2:13" x14ac:dyDescent="0.25">
      <c r="B1087" s="46"/>
      <c r="C1087" s="40" t="str">
        <f t="shared" si="48"/>
        <v/>
      </c>
      <c r="D1087" s="46" t="str">
        <f t="shared" si="49"/>
        <v/>
      </c>
      <c r="E1087" s="46" t="str">
        <f t="shared" si="50"/>
        <v/>
      </c>
      <c r="F1087" s="46"/>
      <c r="G1087" s="46"/>
      <c r="H1087" s="46"/>
      <c r="I1087" s="46"/>
      <c r="J1087" s="46"/>
      <c r="K1087" s="46"/>
      <c r="L1087" s="46"/>
      <c r="M1087" s="46"/>
    </row>
    <row r="1088" spans="2:13" x14ac:dyDescent="0.25">
      <c r="B1088" s="46"/>
      <c r="C1088" s="40" t="str">
        <f t="shared" si="48"/>
        <v/>
      </c>
      <c r="D1088" s="46" t="str">
        <f t="shared" si="49"/>
        <v/>
      </c>
      <c r="E1088" s="46" t="str">
        <f t="shared" si="50"/>
        <v/>
      </c>
      <c r="F1088" s="46"/>
      <c r="G1088" s="46"/>
      <c r="H1088" s="46"/>
      <c r="I1088" s="46"/>
      <c r="J1088" s="46"/>
      <c r="K1088" s="46"/>
      <c r="L1088" s="46"/>
      <c r="M1088" s="46"/>
    </row>
    <row r="1089" spans="2:13" x14ac:dyDescent="0.25">
      <c r="B1089" s="46"/>
      <c r="C1089" s="40" t="str">
        <f t="shared" si="48"/>
        <v/>
      </c>
      <c r="D1089" s="46" t="str">
        <f t="shared" si="49"/>
        <v/>
      </c>
      <c r="E1089" s="46" t="str">
        <f t="shared" si="50"/>
        <v/>
      </c>
      <c r="F1089" s="46"/>
      <c r="G1089" s="46"/>
      <c r="H1089" s="46"/>
      <c r="I1089" s="46"/>
      <c r="J1089" s="46"/>
      <c r="K1089" s="46"/>
      <c r="L1089" s="46"/>
      <c r="M1089" s="46"/>
    </row>
    <row r="1090" spans="2:13" x14ac:dyDescent="0.25">
      <c r="B1090" s="46"/>
      <c r="C1090" s="40" t="str">
        <f t="shared" ref="C1090:C1153" si="51">IF(B1090="","",MONTH(B1090))</f>
        <v/>
      </c>
      <c r="D1090" s="46" t="str">
        <f t="shared" ref="D1090:D1153" si="52">IF(B1090="","",CHOOSE(C1090,"Enero","Febrero","Marzo","Abril","Mayo","Junio","Julio","Agosto","Septiembre","Octubre","Noviembre","Diciembre"))</f>
        <v/>
      </c>
      <c r="E1090" s="46" t="str">
        <f t="shared" ref="E1090:E1153" si="53">IF(B1090="","",YEAR(B1090))</f>
        <v/>
      </c>
      <c r="F1090" s="46"/>
      <c r="G1090" s="46"/>
      <c r="H1090" s="46"/>
      <c r="I1090" s="46"/>
      <c r="J1090" s="46"/>
      <c r="K1090" s="46"/>
      <c r="L1090" s="46"/>
      <c r="M1090" s="46"/>
    </row>
    <row r="1091" spans="2:13" x14ac:dyDescent="0.25">
      <c r="B1091" s="46"/>
      <c r="C1091" s="40" t="str">
        <f t="shared" si="51"/>
        <v/>
      </c>
      <c r="D1091" s="46" t="str">
        <f t="shared" si="52"/>
        <v/>
      </c>
      <c r="E1091" s="46" t="str">
        <f t="shared" si="53"/>
        <v/>
      </c>
      <c r="F1091" s="46"/>
      <c r="G1091" s="46"/>
      <c r="H1091" s="46"/>
      <c r="I1091" s="46"/>
      <c r="J1091" s="46"/>
      <c r="K1091" s="46"/>
      <c r="L1091" s="46"/>
      <c r="M1091" s="46"/>
    </row>
    <row r="1092" spans="2:13" x14ac:dyDescent="0.25">
      <c r="B1092" s="46"/>
      <c r="C1092" s="40" t="str">
        <f t="shared" si="51"/>
        <v/>
      </c>
      <c r="D1092" s="46" t="str">
        <f t="shared" si="52"/>
        <v/>
      </c>
      <c r="E1092" s="46" t="str">
        <f t="shared" si="53"/>
        <v/>
      </c>
      <c r="F1092" s="46"/>
      <c r="G1092" s="46"/>
      <c r="H1092" s="46"/>
      <c r="I1092" s="46"/>
      <c r="J1092" s="46"/>
      <c r="K1092" s="46"/>
      <c r="L1092" s="46"/>
      <c r="M1092" s="46"/>
    </row>
    <row r="1093" spans="2:13" x14ac:dyDescent="0.25">
      <c r="B1093" s="46"/>
      <c r="C1093" s="40" t="str">
        <f t="shared" si="51"/>
        <v/>
      </c>
      <c r="D1093" s="46" t="str">
        <f t="shared" si="52"/>
        <v/>
      </c>
      <c r="E1093" s="46" t="str">
        <f t="shared" si="53"/>
        <v/>
      </c>
      <c r="F1093" s="46"/>
      <c r="G1093" s="46"/>
      <c r="H1093" s="46"/>
      <c r="I1093" s="46"/>
      <c r="J1093" s="46"/>
      <c r="K1093" s="46"/>
      <c r="L1093" s="46"/>
      <c r="M1093" s="46"/>
    </row>
    <row r="1094" spans="2:13" x14ac:dyDescent="0.25">
      <c r="B1094" s="46"/>
      <c r="C1094" s="40" t="str">
        <f t="shared" si="51"/>
        <v/>
      </c>
      <c r="D1094" s="46" t="str">
        <f t="shared" si="52"/>
        <v/>
      </c>
      <c r="E1094" s="46" t="str">
        <f t="shared" si="53"/>
        <v/>
      </c>
      <c r="F1094" s="46"/>
      <c r="G1094" s="46"/>
      <c r="H1094" s="46"/>
      <c r="I1094" s="46"/>
      <c r="J1094" s="46"/>
      <c r="K1094" s="46"/>
      <c r="L1094" s="46"/>
      <c r="M1094" s="46"/>
    </row>
    <row r="1095" spans="2:13" x14ac:dyDescent="0.25">
      <c r="B1095" s="46"/>
      <c r="C1095" s="40" t="str">
        <f t="shared" si="51"/>
        <v/>
      </c>
      <c r="D1095" s="46" t="str">
        <f t="shared" si="52"/>
        <v/>
      </c>
      <c r="E1095" s="46" t="str">
        <f t="shared" si="53"/>
        <v/>
      </c>
      <c r="F1095" s="46"/>
      <c r="G1095" s="46"/>
      <c r="H1095" s="46"/>
      <c r="I1095" s="46"/>
      <c r="J1095" s="46"/>
      <c r="K1095" s="46"/>
      <c r="L1095" s="46"/>
      <c r="M1095" s="46"/>
    </row>
    <row r="1096" spans="2:13" x14ac:dyDescent="0.25">
      <c r="B1096" s="46"/>
      <c r="C1096" s="40" t="str">
        <f t="shared" si="51"/>
        <v/>
      </c>
      <c r="D1096" s="46" t="str">
        <f t="shared" si="52"/>
        <v/>
      </c>
      <c r="E1096" s="46" t="str">
        <f t="shared" si="53"/>
        <v/>
      </c>
      <c r="F1096" s="46"/>
      <c r="G1096" s="46"/>
      <c r="H1096" s="46"/>
      <c r="I1096" s="46"/>
      <c r="J1096" s="46"/>
      <c r="K1096" s="46"/>
      <c r="L1096" s="46"/>
      <c r="M1096" s="46"/>
    </row>
    <row r="1097" spans="2:13" x14ac:dyDescent="0.25">
      <c r="B1097" s="46"/>
      <c r="C1097" s="40" t="str">
        <f t="shared" si="51"/>
        <v/>
      </c>
      <c r="D1097" s="46" t="str">
        <f t="shared" si="52"/>
        <v/>
      </c>
      <c r="E1097" s="46" t="str">
        <f t="shared" si="53"/>
        <v/>
      </c>
      <c r="F1097" s="46"/>
      <c r="G1097" s="46"/>
      <c r="H1097" s="46"/>
      <c r="I1097" s="46"/>
      <c r="J1097" s="46"/>
      <c r="K1097" s="46"/>
      <c r="L1097" s="46"/>
      <c r="M1097" s="46"/>
    </row>
    <row r="1098" spans="2:13" x14ac:dyDescent="0.25">
      <c r="B1098" s="46"/>
      <c r="C1098" s="40" t="str">
        <f t="shared" si="51"/>
        <v/>
      </c>
      <c r="D1098" s="46" t="str">
        <f t="shared" si="52"/>
        <v/>
      </c>
      <c r="E1098" s="46" t="str">
        <f t="shared" si="53"/>
        <v/>
      </c>
      <c r="F1098" s="46"/>
      <c r="G1098" s="46"/>
      <c r="H1098" s="46"/>
      <c r="I1098" s="46"/>
      <c r="J1098" s="46"/>
      <c r="K1098" s="46"/>
      <c r="L1098" s="46"/>
      <c r="M1098" s="46"/>
    </row>
    <row r="1099" spans="2:13" x14ac:dyDescent="0.25">
      <c r="B1099" s="46"/>
      <c r="C1099" s="40" t="str">
        <f t="shared" si="51"/>
        <v/>
      </c>
      <c r="D1099" s="46" t="str">
        <f t="shared" si="52"/>
        <v/>
      </c>
      <c r="E1099" s="46" t="str">
        <f t="shared" si="53"/>
        <v/>
      </c>
      <c r="F1099" s="46"/>
      <c r="G1099" s="46"/>
      <c r="H1099" s="46"/>
      <c r="I1099" s="46"/>
      <c r="J1099" s="46"/>
      <c r="K1099" s="46"/>
      <c r="L1099" s="46"/>
      <c r="M1099" s="46"/>
    </row>
    <row r="1100" spans="2:13" x14ac:dyDescent="0.25">
      <c r="B1100" s="46"/>
      <c r="C1100" s="40" t="str">
        <f t="shared" si="51"/>
        <v/>
      </c>
      <c r="D1100" s="46" t="str">
        <f t="shared" si="52"/>
        <v/>
      </c>
      <c r="E1100" s="46" t="str">
        <f t="shared" si="53"/>
        <v/>
      </c>
      <c r="F1100" s="46"/>
      <c r="G1100" s="46"/>
      <c r="H1100" s="46"/>
      <c r="I1100" s="46"/>
      <c r="J1100" s="46"/>
      <c r="K1100" s="46"/>
      <c r="L1100" s="46"/>
      <c r="M1100" s="46"/>
    </row>
    <row r="1101" spans="2:13" x14ac:dyDescent="0.25">
      <c r="B1101" s="46"/>
      <c r="C1101" s="40" t="str">
        <f t="shared" si="51"/>
        <v/>
      </c>
      <c r="D1101" s="46" t="str">
        <f t="shared" si="52"/>
        <v/>
      </c>
      <c r="E1101" s="46" t="str">
        <f t="shared" si="53"/>
        <v/>
      </c>
      <c r="F1101" s="46"/>
      <c r="G1101" s="46"/>
      <c r="H1101" s="46"/>
      <c r="I1101" s="46"/>
      <c r="J1101" s="46"/>
      <c r="K1101" s="46"/>
      <c r="L1101" s="46"/>
      <c r="M1101" s="46"/>
    </row>
    <row r="1102" spans="2:13" x14ac:dyDescent="0.25">
      <c r="B1102" s="46"/>
      <c r="C1102" s="40" t="str">
        <f t="shared" si="51"/>
        <v/>
      </c>
      <c r="D1102" s="46" t="str">
        <f t="shared" si="52"/>
        <v/>
      </c>
      <c r="E1102" s="46" t="str">
        <f t="shared" si="53"/>
        <v/>
      </c>
      <c r="F1102" s="46"/>
      <c r="G1102" s="46"/>
      <c r="H1102" s="46"/>
      <c r="I1102" s="46"/>
      <c r="J1102" s="46"/>
      <c r="K1102" s="46"/>
      <c r="L1102" s="46"/>
      <c r="M1102" s="46"/>
    </row>
    <row r="1103" spans="2:13" x14ac:dyDescent="0.25">
      <c r="B1103" s="46"/>
      <c r="C1103" s="40" t="str">
        <f t="shared" si="51"/>
        <v/>
      </c>
      <c r="D1103" s="46" t="str">
        <f t="shared" si="52"/>
        <v/>
      </c>
      <c r="E1103" s="46" t="str">
        <f t="shared" si="53"/>
        <v/>
      </c>
      <c r="F1103" s="46"/>
      <c r="G1103" s="46"/>
      <c r="H1103" s="46"/>
      <c r="I1103" s="46"/>
      <c r="J1103" s="46"/>
      <c r="K1103" s="46"/>
      <c r="L1103" s="46"/>
      <c r="M1103" s="46"/>
    </row>
    <row r="1104" spans="2:13" x14ac:dyDescent="0.25">
      <c r="B1104" s="46"/>
      <c r="C1104" s="40" t="str">
        <f t="shared" si="51"/>
        <v/>
      </c>
      <c r="D1104" s="46" t="str">
        <f t="shared" si="52"/>
        <v/>
      </c>
      <c r="E1104" s="46" t="str">
        <f t="shared" si="53"/>
        <v/>
      </c>
      <c r="F1104" s="46"/>
      <c r="G1104" s="46"/>
      <c r="H1104" s="46"/>
      <c r="I1104" s="46"/>
      <c r="J1104" s="46"/>
      <c r="K1104" s="46"/>
      <c r="L1104" s="46"/>
      <c r="M1104" s="46"/>
    </row>
    <row r="1105" spans="2:13" x14ac:dyDescent="0.25">
      <c r="B1105" s="46"/>
      <c r="C1105" s="40" t="str">
        <f t="shared" si="51"/>
        <v/>
      </c>
      <c r="D1105" s="46" t="str">
        <f t="shared" si="52"/>
        <v/>
      </c>
      <c r="E1105" s="46" t="str">
        <f t="shared" si="53"/>
        <v/>
      </c>
      <c r="F1105" s="46"/>
      <c r="G1105" s="46"/>
      <c r="H1105" s="46"/>
      <c r="I1105" s="46"/>
      <c r="J1105" s="46"/>
      <c r="K1105" s="46"/>
      <c r="L1105" s="46"/>
      <c r="M1105" s="46"/>
    </row>
    <row r="1106" spans="2:13" x14ac:dyDescent="0.25">
      <c r="B1106" s="46"/>
      <c r="C1106" s="40" t="str">
        <f t="shared" si="51"/>
        <v/>
      </c>
      <c r="D1106" s="46" t="str">
        <f t="shared" si="52"/>
        <v/>
      </c>
      <c r="E1106" s="46" t="str">
        <f t="shared" si="53"/>
        <v/>
      </c>
      <c r="F1106" s="46"/>
      <c r="G1106" s="46"/>
      <c r="H1106" s="46"/>
      <c r="I1106" s="46"/>
      <c r="J1106" s="46"/>
      <c r="K1106" s="46"/>
      <c r="L1106" s="46"/>
      <c r="M1106" s="46"/>
    </row>
    <row r="1107" spans="2:13" x14ac:dyDescent="0.25">
      <c r="B1107" s="46"/>
      <c r="C1107" s="40" t="str">
        <f t="shared" si="51"/>
        <v/>
      </c>
      <c r="D1107" s="46" t="str">
        <f t="shared" si="52"/>
        <v/>
      </c>
      <c r="E1107" s="46" t="str">
        <f t="shared" si="53"/>
        <v/>
      </c>
      <c r="F1107" s="46"/>
      <c r="G1107" s="46"/>
      <c r="H1107" s="46"/>
      <c r="I1107" s="46"/>
      <c r="J1107" s="46"/>
      <c r="K1107" s="46"/>
      <c r="L1107" s="46"/>
      <c r="M1107" s="46"/>
    </row>
    <row r="1108" spans="2:13" x14ac:dyDescent="0.25">
      <c r="B1108" s="46"/>
      <c r="C1108" s="40" t="str">
        <f t="shared" si="51"/>
        <v/>
      </c>
      <c r="D1108" s="46" t="str">
        <f t="shared" si="52"/>
        <v/>
      </c>
      <c r="E1108" s="46" t="str">
        <f t="shared" si="53"/>
        <v/>
      </c>
      <c r="F1108" s="46"/>
      <c r="G1108" s="46"/>
      <c r="H1108" s="46"/>
      <c r="I1108" s="46"/>
      <c r="J1108" s="46"/>
      <c r="K1108" s="46"/>
      <c r="L1108" s="46"/>
      <c r="M1108" s="46"/>
    </row>
    <row r="1109" spans="2:13" x14ac:dyDescent="0.25">
      <c r="B1109" s="46"/>
      <c r="C1109" s="40" t="str">
        <f t="shared" si="51"/>
        <v/>
      </c>
      <c r="D1109" s="46" t="str">
        <f t="shared" si="52"/>
        <v/>
      </c>
      <c r="E1109" s="46" t="str">
        <f t="shared" si="53"/>
        <v/>
      </c>
      <c r="F1109" s="46"/>
      <c r="G1109" s="46"/>
      <c r="H1109" s="46"/>
      <c r="I1109" s="46"/>
      <c r="J1109" s="46"/>
      <c r="K1109" s="46"/>
      <c r="L1109" s="46"/>
      <c r="M1109" s="46"/>
    </row>
    <row r="1110" spans="2:13" x14ac:dyDescent="0.25">
      <c r="B1110" s="46"/>
      <c r="C1110" s="40" t="str">
        <f t="shared" si="51"/>
        <v/>
      </c>
      <c r="D1110" s="46" t="str">
        <f t="shared" si="52"/>
        <v/>
      </c>
      <c r="E1110" s="46" t="str">
        <f t="shared" si="53"/>
        <v/>
      </c>
      <c r="F1110" s="46"/>
      <c r="G1110" s="46"/>
      <c r="H1110" s="46"/>
      <c r="I1110" s="46"/>
      <c r="J1110" s="46"/>
      <c r="K1110" s="46"/>
      <c r="L1110" s="46"/>
      <c r="M1110" s="46"/>
    </row>
    <row r="1111" spans="2:13" x14ac:dyDescent="0.25">
      <c r="B1111" s="46"/>
      <c r="C1111" s="40" t="str">
        <f t="shared" si="51"/>
        <v/>
      </c>
      <c r="D1111" s="46" t="str">
        <f t="shared" si="52"/>
        <v/>
      </c>
      <c r="E1111" s="46" t="str">
        <f t="shared" si="53"/>
        <v/>
      </c>
      <c r="F1111" s="46"/>
      <c r="G1111" s="46"/>
      <c r="H1111" s="46"/>
      <c r="I1111" s="46"/>
      <c r="J1111" s="46"/>
      <c r="K1111" s="46"/>
      <c r="L1111" s="46"/>
      <c r="M1111" s="46"/>
    </row>
    <row r="1112" spans="2:13" x14ac:dyDescent="0.25">
      <c r="B1112" s="46"/>
      <c r="C1112" s="40" t="str">
        <f t="shared" si="51"/>
        <v/>
      </c>
      <c r="D1112" s="46" t="str">
        <f t="shared" si="52"/>
        <v/>
      </c>
      <c r="E1112" s="46" t="str">
        <f t="shared" si="53"/>
        <v/>
      </c>
      <c r="F1112" s="46"/>
      <c r="G1112" s="46"/>
      <c r="H1112" s="46"/>
      <c r="I1112" s="46"/>
      <c r="J1112" s="46"/>
      <c r="K1112" s="46"/>
      <c r="L1112" s="46"/>
      <c r="M1112" s="46"/>
    </row>
    <row r="1113" spans="2:13" x14ac:dyDescent="0.25">
      <c r="B1113" s="46"/>
      <c r="C1113" s="40" t="str">
        <f t="shared" si="51"/>
        <v/>
      </c>
      <c r="D1113" s="46" t="str">
        <f t="shared" si="52"/>
        <v/>
      </c>
      <c r="E1113" s="46" t="str">
        <f t="shared" si="53"/>
        <v/>
      </c>
      <c r="F1113" s="46"/>
      <c r="G1113" s="46"/>
      <c r="H1113" s="46"/>
      <c r="I1113" s="46"/>
      <c r="J1113" s="46"/>
      <c r="K1113" s="46"/>
      <c r="L1113" s="46"/>
      <c r="M1113" s="46"/>
    </row>
    <row r="1114" spans="2:13" x14ac:dyDescent="0.25">
      <c r="B1114" s="46"/>
      <c r="C1114" s="40" t="str">
        <f t="shared" si="51"/>
        <v/>
      </c>
      <c r="D1114" s="46" t="str">
        <f t="shared" si="52"/>
        <v/>
      </c>
      <c r="E1114" s="46" t="str">
        <f t="shared" si="53"/>
        <v/>
      </c>
      <c r="F1114" s="46"/>
      <c r="G1114" s="46"/>
      <c r="H1114" s="46"/>
      <c r="I1114" s="46"/>
      <c r="J1114" s="46"/>
      <c r="K1114" s="46"/>
      <c r="L1114" s="46"/>
      <c r="M1114" s="46"/>
    </row>
    <row r="1115" spans="2:13" x14ac:dyDescent="0.25">
      <c r="B1115" s="46"/>
      <c r="C1115" s="40" t="str">
        <f t="shared" si="51"/>
        <v/>
      </c>
      <c r="D1115" s="46" t="str">
        <f t="shared" si="52"/>
        <v/>
      </c>
      <c r="E1115" s="46" t="str">
        <f t="shared" si="53"/>
        <v/>
      </c>
      <c r="F1115" s="46"/>
      <c r="G1115" s="46"/>
      <c r="H1115" s="46"/>
      <c r="I1115" s="46"/>
      <c r="J1115" s="46"/>
      <c r="K1115" s="46"/>
      <c r="L1115" s="46"/>
      <c r="M1115" s="46"/>
    </row>
    <row r="1116" spans="2:13" x14ac:dyDescent="0.25">
      <c r="B1116" s="46"/>
      <c r="C1116" s="40" t="str">
        <f t="shared" si="51"/>
        <v/>
      </c>
      <c r="D1116" s="46" t="str">
        <f t="shared" si="52"/>
        <v/>
      </c>
      <c r="E1116" s="46" t="str">
        <f t="shared" si="53"/>
        <v/>
      </c>
      <c r="F1116" s="46"/>
      <c r="G1116" s="46"/>
      <c r="H1116" s="46"/>
      <c r="I1116" s="46"/>
      <c r="J1116" s="46"/>
      <c r="K1116" s="46"/>
      <c r="L1116" s="46"/>
      <c r="M1116" s="46"/>
    </row>
    <row r="1117" spans="2:13" x14ac:dyDescent="0.25">
      <c r="B1117" s="46"/>
      <c r="C1117" s="40" t="str">
        <f t="shared" si="51"/>
        <v/>
      </c>
      <c r="D1117" s="46" t="str">
        <f t="shared" si="52"/>
        <v/>
      </c>
      <c r="E1117" s="46" t="str">
        <f t="shared" si="53"/>
        <v/>
      </c>
      <c r="F1117" s="46"/>
      <c r="G1117" s="46"/>
      <c r="H1117" s="46"/>
      <c r="I1117" s="46"/>
      <c r="J1117" s="46"/>
      <c r="K1117" s="46"/>
      <c r="L1117" s="46"/>
      <c r="M1117" s="46"/>
    </row>
    <row r="1118" spans="2:13" x14ac:dyDescent="0.25">
      <c r="B1118" s="46"/>
      <c r="C1118" s="40" t="str">
        <f t="shared" si="51"/>
        <v/>
      </c>
      <c r="D1118" s="46" t="str">
        <f t="shared" si="52"/>
        <v/>
      </c>
      <c r="E1118" s="46" t="str">
        <f t="shared" si="53"/>
        <v/>
      </c>
      <c r="F1118" s="46"/>
      <c r="G1118" s="46"/>
      <c r="H1118" s="46"/>
      <c r="I1118" s="46"/>
      <c r="J1118" s="46"/>
      <c r="K1118" s="46"/>
      <c r="L1118" s="46"/>
      <c r="M1118" s="46"/>
    </row>
    <row r="1119" spans="2:13" x14ac:dyDescent="0.25">
      <c r="B1119" s="46"/>
      <c r="C1119" s="40" t="str">
        <f t="shared" si="51"/>
        <v/>
      </c>
      <c r="D1119" s="46" t="str">
        <f t="shared" si="52"/>
        <v/>
      </c>
      <c r="E1119" s="46" t="str">
        <f t="shared" si="53"/>
        <v/>
      </c>
      <c r="F1119" s="46"/>
      <c r="G1119" s="46"/>
      <c r="H1119" s="46"/>
      <c r="I1119" s="46"/>
      <c r="J1119" s="46"/>
      <c r="K1119" s="46"/>
      <c r="L1119" s="46"/>
      <c r="M1119" s="46"/>
    </row>
    <row r="1120" spans="2:13" x14ac:dyDescent="0.25">
      <c r="B1120" s="46"/>
      <c r="C1120" s="40" t="str">
        <f t="shared" si="51"/>
        <v/>
      </c>
      <c r="D1120" s="46" t="str">
        <f t="shared" si="52"/>
        <v/>
      </c>
      <c r="E1120" s="46" t="str">
        <f t="shared" si="53"/>
        <v/>
      </c>
      <c r="F1120" s="46"/>
      <c r="G1120" s="46"/>
      <c r="H1120" s="46"/>
      <c r="I1120" s="46"/>
      <c r="J1120" s="46"/>
      <c r="K1120" s="46"/>
      <c r="L1120" s="46"/>
      <c r="M1120" s="46"/>
    </row>
    <row r="1121" spans="2:13" x14ac:dyDescent="0.25">
      <c r="B1121" s="46"/>
      <c r="C1121" s="40" t="str">
        <f t="shared" si="51"/>
        <v/>
      </c>
      <c r="D1121" s="46" t="str">
        <f t="shared" si="52"/>
        <v/>
      </c>
      <c r="E1121" s="46" t="str">
        <f t="shared" si="53"/>
        <v/>
      </c>
      <c r="F1121" s="46"/>
      <c r="G1121" s="46"/>
      <c r="H1121" s="46"/>
      <c r="I1121" s="46"/>
      <c r="J1121" s="46"/>
      <c r="K1121" s="46"/>
      <c r="L1121" s="46"/>
      <c r="M1121" s="46"/>
    </row>
    <row r="1122" spans="2:13" x14ac:dyDescent="0.25">
      <c r="B1122" s="46"/>
      <c r="C1122" s="40" t="str">
        <f t="shared" si="51"/>
        <v/>
      </c>
      <c r="D1122" s="46" t="str">
        <f t="shared" si="52"/>
        <v/>
      </c>
      <c r="E1122" s="46" t="str">
        <f t="shared" si="53"/>
        <v/>
      </c>
      <c r="F1122" s="46"/>
      <c r="G1122" s="46"/>
      <c r="H1122" s="46"/>
      <c r="I1122" s="46"/>
      <c r="J1122" s="46"/>
      <c r="K1122" s="46"/>
      <c r="L1122" s="46"/>
      <c r="M1122" s="46"/>
    </row>
    <row r="1123" spans="2:13" x14ac:dyDescent="0.25">
      <c r="B1123" s="46"/>
      <c r="C1123" s="40" t="str">
        <f t="shared" si="51"/>
        <v/>
      </c>
      <c r="D1123" s="46" t="str">
        <f t="shared" si="52"/>
        <v/>
      </c>
      <c r="E1123" s="46" t="str">
        <f t="shared" si="53"/>
        <v/>
      </c>
      <c r="F1123" s="46"/>
      <c r="G1123" s="46"/>
      <c r="H1123" s="46"/>
      <c r="I1123" s="46"/>
      <c r="J1123" s="46"/>
      <c r="K1123" s="46"/>
      <c r="L1123" s="46"/>
      <c r="M1123" s="46"/>
    </row>
    <row r="1124" spans="2:13" x14ac:dyDescent="0.25">
      <c r="B1124" s="46"/>
      <c r="C1124" s="40" t="str">
        <f t="shared" si="51"/>
        <v/>
      </c>
      <c r="D1124" s="46" t="str">
        <f t="shared" si="52"/>
        <v/>
      </c>
      <c r="E1124" s="46" t="str">
        <f t="shared" si="53"/>
        <v/>
      </c>
      <c r="F1124" s="46"/>
      <c r="G1124" s="46"/>
      <c r="H1124" s="46"/>
      <c r="I1124" s="46"/>
      <c r="J1124" s="46"/>
      <c r="K1124" s="46"/>
      <c r="L1124" s="46"/>
      <c r="M1124" s="46"/>
    </row>
    <row r="1125" spans="2:13" x14ac:dyDescent="0.25">
      <c r="B1125" s="46"/>
      <c r="C1125" s="40" t="str">
        <f t="shared" si="51"/>
        <v/>
      </c>
      <c r="D1125" s="46" t="str">
        <f t="shared" si="52"/>
        <v/>
      </c>
      <c r="E1125" s="46" t="str">
        <f t="shared" si="53"/>
        <v/>
      </c>
      <c r="F1125" s="46"/>
      <c r="G1125" s="46"/>
      <c r="H1125" s="46"/>
      <c r="I1125" s="46"/>
      <c r="J1125" s="46"/>
      <c r="K1125" s="46"/>
      <c r="L1125" s="46"/>
      <c r="M1125" s="46"/>
    </row>
    <row r="1126" spans="2:13" x14ac:dyDescent="0.25">
      <c r="B1126" s="46"/>
      <c r="C1126" s="40" t="str">
        <f t="shared" si="51"/>
        <v/>
      </c>
      <c r="D1126" s="46" t="str">
        <f t="shared" si="52"/>
        <v/>
      </c>
      <c r="E1126" s="46" t="str">
        <f t="shared" si="53"/>
        <v/>
      </c>
      <c r="F1126" s="46"/>
      <c r="G1126" s="46"/>
      <c r="H1126" s="46"/>
      <c r="I1126" s="46"/>
      <c r="J1126" s="46"/>
      <c r="K1126" s="46"/>
      <c r="L1126" s="46"/>
      <c r="M1126" s="46"/>
    </row>
    <row r="1127" spans="2:13" x14ac:dyDescent="0.25">
      <c r="B1127" s="46"/>
      <c r="C1127" s="40" t="str">
        <f t="shared" si="51"/>
        <v/>
      </c>
      <c r="D1127" s="46" t="str">
        <f t="shared" si="52"/>
        <v/>
      </c>
      <c r="E1127" s="46" t="str">
        <f t="shared" si="53"/>
        <v/>
      </c>
      <c r="F1127" s="46"/>
      <c r="G1127" s="46"/>
      <c r="H1127" s="46"/>
      <c r="I1127" s="46"/>
      <c r="J1127" s="46"/>
      <c r="K1127" s="46"/>
      <c r="L1127" s="46"/>
      <c r="M1127" s="46"/>
    </row>
    <row r="1128" spans="2:13" x14ac:dyDescent="0.25">
      <c r="B1128" s="46"/>
      <c r="C1128" s="40" t="str">
        <f t="shared" si="51"/>
        <v/>
      </c>
      <c r="D1128" s="46" t="str">
        <f t="shared" si="52"/>
        <v/>
      </c>
      <c r="E1128" s="46" t="str">
        <f t="shared" si="53"/>
        <v/>
      </c>
      <c r="F1128" s="46"/>
      <c r="G1128" s="46"/>
      <c r="H1128" s="46"/>
      <c r="I1128" s="46"/>
      <c r="J1128" s="46"/>
      <c r="K1128" s="46"/>
      <c r="L1128" s="46"/>
      <c r="M1128" s="46"/>
    </row>
    <row r="1129" spans="2:13" x14ac:dyDescent="0.25">
      <c r="B1129" s="46"/>
      <c r="C1129" s="40" t="str">
        <f t="shared" si="51"/>
        <v/>
      </c>
      <c r="D1129" s="46" t="str">
        <f t="shared" si="52"/>
        <v/>
      </c>
      <c r="E1129" s="46" t="str">
        <f t="shared" si="53"/>
        <v/>
      </c>
      <c r="F1129" s="46"/>
      <c r="G1129" s="46"/>
      <c r="H1129" s="46"/>
      <c r="I1129" s="46"/>
      <c r="J1129" s="46"/>
      <c r="K1129" s="46"/>
      <c r="L1129" s="46"/>
      <c r="M1129" s="46"/>
    </row>
    <row r="1130" spans="2:13" x14ac:dyDescent="0.25">
      <c r="B1130" s="46"/>
      <c r="C1130" s="40" t="str">
        <f t="shared" si="51"/>
        <v/>
      </c>
      <c r="D1130" s="46" t="str">
        <f t="shared" si="52"/>
        <v/>
      </c>
      <c r="E1130" s="46" t="str">
        <f t="shared" si="53"/>
        <v/>
      </c>
      <c r="F1130" s="46"/>
      <c r="G1130" s="46"/>
      <c r="H1130" s="46"/>
      <c r="I1130" s="46"/>
      <c r="J1130" s="46"/>
      <c r="K1130" s="46"/>
      <c r="L1130" s="46"/>
      <c r="M1130" s="46"/>
    </row>
    <row r="1131" spans="2:13" x14ac:dyDescent="0.25">
      <c r="B1131" s="46"/>
      <c r="C1131" s="40" t="str">
        <f t="shared" si="51"/>
        <v/>
      </c>
      <c r="D1131" s="46" t="str">
        <f t="shared" si="52"/>
        <v/>
      </c>
      <c r="E1131" s="46" t="str">
        <f t="shared" si="53"/>
        <v/>
      </c>
      <c r="F1131" s="46"/>
      <c r="G1131" s="46"/>
      <c r="H1131" s="46"/>
      <c r="I1131" s="46"/>
      <c r="J1131" s="46"/>
      <c r="K1131" s="46"/>
      <c r="L1131" s="46"/>
      <c r="M1131" s="46"/>
    </row>
    <row r="1132" spans="2:13" x14ac:dyDescent="0.25">
      <c r="B1132" s="46"/>
      <c r="C1132" s="40" t="str">
        <f t="shared" si="51"/>
        <v/>
      </c>
      <c r="D1132" s="46" t="str">
        <f t="shared" si="52"/>
        <v/>
      </c>
      <c r="E1132" s="46" t="str">
        <f t="shared" si="53"/>
        <v/>
      </c>
      <c r="F1132" s="46"/>
      <c r="G1132" s="46"/>
      <c r="H1132" s="46"/>
      <c r="I1132" s="46"/>
      <c r="J1132" s="46"/>
      <c r="K1132" s="46"/>
      <c r="L1132" s="46"/>
      <c r="M1132" s="46"/>
    </row>
    <row r="1133" spans="2:13" x14ac:dyDescent="0.25">
      <c r="B1133" s="46"/>
      <c r="C1133" s="40" t="str">
        <f t="shared" si="51"/>
        <v/>
      </c>
      <c r="D1133" s="46" t="str">
        <f t="shared" si="52"/>
        <v/>
      </c>
      <c r="E1133" s="46" t="str">
        <f t="shared" si="53"/>
        <v/>
      </c>
      <c r="F1133" s="46"/>
      <c r="G1133" s="46"/>
      <c r="H1133" s="46"/>
      <c r="I1133" s="46"/>
      <c r="J1133" s="46"/>
      <c r="K1133" s="46"/>
      <c r="L1133" s="46"/>
      <c r="M1133" s="46"/>
    </row>
    <row r="1134" spans="2:13" x14ac:dyDescent="0.25">
      <c r="B1134" s="46"/>
      <c r="C1134" s="40" t="str">
        <f t="shared" si="51"/>
        <v/>
      </c>
      <c r="D1134" s="46" t="str">
        <f t="shared" si="52"/>
        <v/>
      </c>
      <c r="E1134" s="46" t="str">
        <f t="shared" si="53"/>
        <v/>
      </c>
      <c r="F1134" s="46"/>
      <c r="G1134" s="46"/>
      <c r="H1134" s="46"/>
      <c r="I1134" s="46"/>
      <c r="J1134" s="46"/>
      <c r="K1134" s="46"/>
      <c r="L1134" s="46"/>
      <c r="M1134" s="46"/>
    </row>
    <row r="1135" spans="2:13" x14ac:dyDescent="0.25">
      <c r="B1135" s="46"/>
      <c r="C1135" s="40" t="str">
        <f t="shared" si="51"/>
        <v/>
      </c>
      <c r="D1135" s="46" t="str">
        <f t="shared" si="52"/>
        <v/>
      </c>
      <c r="E1135" s="46" t="str">
        <f t="shared" si="53"/>
        <v/>
      </c>
      <c r="F1135" s="46"/>
      <c r="G1135" s="46"/>
      <c r="H1135" s="46"/>
      <c r="I1135" s="46"/>
      <c r="J1135" s="46"/>
      <c r="K1135" s="46"/>
      <c r="L1135" s="46"/>
      <c r="M1135" s="46"/>
    </row>
    <row r="1136" spans="2:13" x14ac:dyDescent="0.25">
      <c r="B1136" s="46"/>
      <c r="C1136" s="40" t="str">
        <f t="shared" si="51"/>
        <v/>
      </c>
      <c r="D1136" s="46" t="str">
        <f t="shared" si="52"/>
        <v/>
      </c>
      <c r="E1136" s="46" t="str">
        <f t="shared" si="53"/>
        <v/>
      </c>
      <c r="F1136" s="46"/>
      <c r="G1136" s="46"/>
      <c r="H1136" s="46"/>
      <c r="I1136" s="46"/>
      <c r="J1136" s="46"/>
      <c r="K1136" s="46"/>
      <c r="L1136" s="46"/>
      <c r="M1136" s="46"/>
    </row>
    <row r="1137" spans="2:13" x14ac:dyDescent="0.25">
      <c r="B1137" s="46"/>
      <c r="C1137" s="40" t="str">
        <f t="shared" si="51"/>
        <v/>
      </c>
      <c r="D1137" s="46" t="str">
        <f t="shared" si="52"/>
        <v/>
      </c>
      <c r="E1137" s="46" t="str">
        <f t="shared" si="53"/>
        <v/>
      </c>
      <c r="F1137" s="46"/>
      <c r="G1137" s="46"/>
      <c r="H1137" s="46"/>
      <c r="I1137" s="46"/>
      <c r="J1137" s="46"/>
      <c r="K1137" s="46"/>
      <c r="L1137" s="46"/>
      <c r="M1137" s="46"/>
    </row>
    <row r="1138" spans="2:13" x14ac:dyDescent="0.25">
      <c r="B1138" s="46"/>
      <c r="C1138" s="40" t="str">
        <f t="shared" si="51"/>
        <v/>
      </c>
      <c r="D1138" s="46" t="str">
        <f t="shared" si="52"/>
        <v/>
      </c>
      <c r="E1138" s="46" t="str">
        <f t="shared" si="53"/>
        <v/>
      </c>
      <c r="F1138" s="46"/>
      <c r="G1138" s="46"/>
      <c r="H1138" s="46"/>
      <c r="I1138" s="46"/>
      <c r="J1138" s="46"/>
      <c r="K1138" s="46"/>
      <c r="L1138" s="46"/>
      <c r="M1138" s="46"/>
    </row>
    <row r="1139" spans="2:13" x14ac:dyDescent="0.25">
      <c r="B1139" s="46"/>
      <c r="C1139" s="40" t="str">
        <f t="shared" si="51"/>
        <v/>
      </c>
      <c r="D1139" s="46" t="str">
        <f t="shared" si="52"/>
        <v/>
      </c>
      <c r="E1139" s="46" t="str">
        <f t="shared" si="53"/>
        <v/>
      </c>
      <c r="F1139" s="46"/>
      <c r="G1139" s="46"/>
      <c r="H1139" s="46"/>
      <c r="I1139" s="46"/>
      <c r="J1139" s="46"/>
      <c r="K1139" s="46"/>
      <c r="L1139" s="46"/>
      <c r="M1139" s="46"/>
    </row>
    <row r="1140" spans="2:13" x14ac:dyDescent="0.25">
      <c r="B1140" s="46"/>
      <c r="C1140" s="40" t="str">
        <f t="shared" si="51"/>
        <v/>
      </c>
      <c r="D1140" s="46" t="str">
        <f t="shared" si="52"/>
        <v/>
      </c>
      <c r="E1140" s="46" t="str">
        <f t="shared" si="53"/>
        <v/>
      </c>
      <c r="F1140" s="46"/>
      <c r="G1140" s="46"/>
      <c r="H1140" s="46"/>
      <c r="I1140" s="46"/>
      <c r="J1140" s="46"/>
      <c r="K1140" s="46"/>
      <c r="L1140" s="46"/>
      <c r="M1140" s="46"/>
    </row>
    <row r="1141" spans="2:13" x14ac:dyDescent="0.25">
      <c r="B1141" s="46"/>
      <c r="C1141" s="40" t="str">
        <f t="shared" si="51"/>
        <v/>
      </c>
      <c r="D1141" s="46" t="str">
        <f t="shared" si="52"/>
        <v/>
      </c>
      <c r="E1141" s="46" t="str">
        <f t="shared" si="53"/>
        <v/>
      </c>
      <c r="F1141" s="46"/>
      <c r="G1141" s="46"/>
      <c r="H1141" s="46"/>
      <c r="I1141" s="46"/>
      <c r="J1141" s="46"/>
      <c r="K1141" s="46"/>
      <c r="L1141" s="46"/>
      <c r="M1141" s="46"/>
    </row>
    <row r="1142" spans="2:13" x14ac:dyDescent="0.25">
      <c r="B1142" s="46"/>
      <c r="C1142" s="40" t="str">
        <f t="shared" si="51"/>
        <v/>
      </c>
      <c r="D1142" s="46" t="str">
        <f t="shared" si="52"/>
        <v/>
      </c>
      <c r="E1142" s="46" t="str">
        <f t="shared" si="53"/>
        <v/>
      </c>
      <c r="F1142" s="46"/>
      <c r="G1142" s="46"/>
      <c r="H1142" s="46"/>
      <c r="I1142" s="46"/>
      <c r="J1142" s="46"/>
      <c r="K1142" s="46"/>
      <c r="L1142" s="46"/>
      <c r="M1142" s="46"/>
    </row>
    <row r="1143" spans="2:13" x14ac:dyDescent="0.25">
      <c r="B1143" s="46"/>
      <c r="C1143" s="40" t="str">
        <f t="shared" si="51"/>
        <v/>
      </c>
      <c r="D1143" s="46" t="str">
        <f t="shared" si="52"/>
        <v/>
      </c>
      <c r="E1143" s="46" t="str">
        <f t="shared" si="53"/>
        <v/>
      </c>
      <c r="F1143" s="46"/>
      <c r="G1143" s="46"/>
      <c r="H1143" s="46"/>
      <c r="I1143" s="46"/>
      <c r="J1143" s="46"/>
      <c r="K1143" s="46"/>
      <c r="L1143" s="46"/>
      <c r="M1143" s="46"/>
    </row>
    <row r="1144" spans="2:13" x14ac:dyDescent="0.25">
      <c r="B1144" s="46"/>
      <c r="C1144" s="40" t="str">
        <f t="shared" si="51"/>
        <v/>
      </c>
      <c r="D1144" s="46" t="str">
        <f t="shared" si="52"/>
        <v/>
      </c>
      <c r="E1144" s="46" t="str">
        <f t="shared" si="53"/>
        <v/>
      </c>
      <c r="F1144" s="46"/>
      <c r="G1144" s="46"/>
      <c r="H1144" s="46"/>
      <c r="I1144" s="46"/>
      <c r="J1144" s="46"/>
      <c r="K1144" s="46"/>
      <c r="L1144" s="46"/>
      <c r="M1144" s="46"/>
    </row>
    <row r="1145" spans="2:13" x14ac:dyDescent="0.25">
      <c r="B1145" s="46"/>
      <c r="C1145" s="40" t="str">
        <f t="shared" si="51"/>
        <v/>
      </c>
      <c r="D1145" s="46" t="str">
        <f t="shared" si="52"/>
        <v/>
      </c>
      <c r="E1145" s="46" t="str">
        <f t="shared" si="53"/>
        <v/>
      </c>
      <c r="F1145" s="46"/>
      <c r="G1145" s="46"/>
      <c r="H1145" s="46"/>
      <c r="I1145" s="46"/>
      <c r="J1145" s="46"/>
      <c r="K1145" s="46"/>
      <c r="L1145" s="46"/>
      <c r="M1145" s="46"/>
    </row>
    <row r="1146" spans="2:13" x14ac:dyDescent="0.25">
      <c r="B1146" s="46"/>
      <c r="C1146" s="40" t="str">
        <f t="shared" si="51"/>
        <v/>
      </c>
      <c r="D1146" s="46" t="str">
        <f t="shared" si="52"/>
        <v/>
      </c>
      <c r="E1146" s="46" t="str">
        <f t="shared" si="53"/>
        <v/>
      </c>
      <c r="F1146" s="46"/>
      <c r="G1146" s="46"/>
      <c r="H1146" s="46"/>
      <c r="I1146" s="46"/>
      <c r="J1146" s="46"/>
      <c r="K1146" s="46"/>
      <c r="L1146" s="46"/>
      <c r="M1146" s="46"/>
    </row>
    <row r="1147" spans="2:13" x14ac:dyDescent="0.25">
      <c r="B1147" s="46"/>
      <c r="C1147" s="40" t="str">
        <f t="shared" si="51"/>
        <v/>
      </c>
      <c r="D1147" s="46" t="str">
        <f t="shared" si="52"/>
        <v/>
      </c>
      <c r="E1147" s="46" t="str">
        <f t="shared" si="53"/>
        <v/>
      </c>
      <c r="F1147" s="46"/>
      <c r="G1147" s="46"/>
      <c r="H1147" s="46"/>
      <c r="I1147" s="46"/>
      <c r="J1147" s="46"/>
      <c r="K1147" s="46"/>
      <c r="L1147" s="46"/>
      <c r="M1147" s="46"/>
    </row>
    <row r="1148" spans="2:13" x14ac:dyDescent="0.25">
      <c r="B1148" s="46"/>
      <c r="C1148" s="40" t="str">
        <f t="shared" si="51"/>
        <v/>
      </c>
      <c r="D1148" s="46" t="str">
        <f t="shared" si="52"/>
        <v/>
      </c>
      <c r="E1148" s="46" t="str">
        <f t="shared" si="53"/>
        <v/>
      </c>
      <c r="F1148" s="46"/>
      <c r="G1148" s="46"/>
      <c r="H1148" s="46"/>
      <c r="I1148" s="46"/>
      <c r="J1148" s="46"/>
      <c r="K1148" s="46"/>
      <c r="L1148" s="46"/>
      <c r="M1148" s="46"/>
    </row>
    <row r="1149" spans="2:13" x14ac:dyDescent="0.25">
      <c r="B1149" s="46"/>
      <c r="C1149" s="40" t="str">
        <f t="shared" si="51"/>
        <v/>
      </c>
      <c r="D1149" s="46" t="str">
        <f t="shared" si="52"/>
        <v/>
      </c>
      <c r="E1149" s="46" t="str">
        <f t="shared" si="53"/>
        <v/>
      </c>
      <c r="F1149" s="46"/>
      <c r="G1149" s="46"/>
      <c r="H1149" s="46"/>
      <c r="I1149" s="46"/>
      <c r="J1149" s="46"/>
      <c r="K1149" s="46"/>
      <c r="L1149" s="46"/>
      <c r="M1149" s="46"/>
    </row>
    <row r="1150" spans="2:13" x14ac:dyDescent="0.25">
      <c r="B1150" s="46"/>
      <c r="C1150" s="40" t="str">
        <f t="shared" si="51"/>
        <v/>
      </c>
      <c r="D1150" s="46" t="str">
        <f t="shared" si="52"/>
        <v/>
      </c>
      <c r="E1150" s="46" t="str">
        <f t="shared" si="53"/>
        <v/>
      </c>
      <c r="F1150" s="46"/>
      <c r="G1150" s="46"/>
      <c r="H1150" s="46"/>
      <c r="I1150" s="46"/>
      <c r="J1150" s="46"/>
      <c r="K1150" s="46"/>
      <c r="L1150" s="46"/>
      <c r="M1150" s="46"/>
    </row>
    <row r="1151" spans="2:13" x14ac:dyDescent="0.25">
      <c r="B1151" s="46"/>
      <c r="C1151" s="40" t="str">
        <f t="shared" si="51"/>
        <v/>
      </c>
      <c r="D1151" s="46" t="str">
        <f t="shared" si="52"/>
        <v/>
      </c>
      <c r="E1151" s="46" t="str">
        <f t="shared" si="53"/>
        <v/>
      </c>
      <c r="F1151" s="46"/>
      <c r="G1151" s="46"/>
      <c r="H1151" s="46"/>
      <c r="I1151" s="46"/>
      <c r="J1151" s="46"/>
      <c r="K1151" s="46"/>
      <c r="L1151" s="46"/>
      <c r="M1151" s="46"/>
    </row>
    <row r="1152" spans="2:13" x14ac:dyDescent="0.25">
      <c r="B1152" s="46"/>
      <c r="C1152" s="40" t="str">
        <f t="shared" si="51"/>
        <v/>
      </c>
      <c r="D1152" s="46" t="str">
        <f t="shared" si="52"/>
        <v/>
      </c>
      <c r="E1152" s="46" t="str">
        <f t="shared" si="53"/>
        <v/>
      </c>
      <c r="F1152" s="46"/>
      <c r="G1152" s="46"/>
      <c r="H1152" s="46"/>
      <c r="I1152" s="46"/>
      <c r="J1152" s="46"/>
      <c r="K1152" s="46"/>
      <c r="L1152" s="46"/>
      <c r="M1152" s="46"/>
    </row>
    <row r="1153" spans="2:13" x14ac:dyDescent="0.25">
      <c r="B1153" s="46"/>
      <c r="C1153" s="40" t="str">
        <f t="shared" si="51"/>
        <v/>
      </c>
      <c r="D1153" s="46" t="str">
        <f t="shared" si="52"/>
        <v/>
      </c>
      <c r="E1153" s="46" t="str">
        <f t="shared" si="53"/>
        <v/>
      </c>
      <c r="F1153" s="46"/>
      <c r="G1153" s="46"/>
      <c r="H1153" s="46"/>
      <c r="I1153" s="46"/>
      <c r="J1153" s="46"/>
      <c r="K1153" s="46"/>
      <c r="L1153" s="46"/>
      <c r="M1153" s="46"/>
    </row>
    <row r="1154" spans="2:13" x14ac:dyDescent="0.25">
      <c r="B1154" s="46"/>
      <c r="C1154" s="40" t="str">
        <f t="shared" ref="C1154:C1217" si="54">IF(B1154="","",MONTH(B1154))</f>
        <v/>
      </c>
      <c r="D1154" s="46" t="str">
        <f t="shared" ref="D1154:D1217" si="55">IF(B1154="","",CHOOSE(C1154,"Enero","Febrero","Marzo","Abril","Mayo","Junio","Julio","Agosto","Septiembre","Octubre","Noviembre","Diciembre"))</f>
        <v/>
      </c>
      <c r="E1154" s="46" t="str">
        <f t="shared" ref="E1154:E1217" si="56">IF(B1154="","",YEAR(B1154))</f>
        <v/>
      </c>
      <c r="F1154" s="46"/>
      <c r="G1154" s="46"/>
      <c r="H1154" s="46"/>
      <c r="I1154" s="46"/>
      <c r="J1154" s="46"/>
      <c r="K1154" s="46"/>
      <c r="L1154" s="46"/>
      <c r="M1154" s="46"/>
    </row>
    <row r="1155" spans="2:13" x14ac:dyDescent="0.25">
      <c r="B1155" s="46"/>
      <c r="C1155" s="40" t="str">
        <f t="shared" si="54"/>
        <v/>
      </c>
      <c r="D1155" s="46" t="str">
        <f t="shared" si="55"/>
        <v/>
      </c>
      <c r="E1155" s="46" t="str">
        <f t="shared" si="56"/>
        <v/>
      </c>
      <c r="F1155" s="46"/>
      <c r="G1155" s="46"/>
      <c r="H1155" s="46"/>
      <c r="I1155" s="46"/>
      <c r="J1155" s="46"/>
      <c r="K1155" s="46"/>
      <c r="L1155" s="46"/>
      <c r="M1155" s="46"/>
    </row>
    <row r="1156" spans="2:13" x14ac:dyDescent="0.25">
      <c r="B1156" s="46"/>
      <c r="C1156" s="40" t="str">
        <f t="shared" si="54"/>
        <v/>
      </c>
      <c r="D1156" s="46" t="str">
        <f t="shared" si="55"/>
        <v/>
      </c>
      <c r="E1156" s="46" t="str">
        <f t="shared" si="56"/>
        <v/>
      </c>
      <c r="F1156" s="46"/>
      <c r="G1156" s="46"/>
      <c r="H1156" s="46"/>
      <c r="I1156" s="46"/>
      <c r="J1156" s="46"/>
      <c r="K1156" s="46"/>
      <c r="L1156" s="46"/>
      <c r="M1156" s="46"/>
    </row>
    <row r="1157" spans="2:13" x14ac:dyDescent="0.25">
      <c r="B1157" s="46"/>
      <c r="C1157" s="40" t="str">
        <f t="shared" si="54"/>
        <v/>
      </c>
      <c r="D1157" s="46" t="str">
        <f t="shared" si="55"/>
        <v/>
      </c>
      <c r="E1157" s="46" t="str">
        <f t="shared" si="56"/>
        <v/>
      </c>
      <c r="F1157" s="46"/>
      <c r="G1157" s="46"/>
      <c r="H1157" s="46"/>
      <c r="I1157" s="46"/>
      <c r="J1157" s="46"/>
      <c r="K1157" s="46"/>
      <c r="L1157" s="46"/>
      <c r="M1157" s="46"/>
    </row>
    <row r="1158" spans="2:13" x14ac:dyDescent="0.25">
      <c r="B1158" s="46"/>
      <c r="C1158" s="40" t="str">
        <f t="shared" si="54"/>
        <v/>
      </c>
      <c r="D1158" s="46" t="str">
        <f t="shared" si="55"/>
        <v/>
      </c>
      <c r="E1158" s="46" t="str">
        <f t="shared" si="56"/>
        <v/>
      </c>
      <c r="F1158" s="46"/>
      <c r="G1158" s="46"/>
      <c r="H1158" s="46"/>
      <c r="I1158" s="46"/>
      <c r="J1158" s="46"/>
      <c r="K1158" s="46"/>
      <c r="L1158" s="46"/>
      <c r="M1158" s="46"/>
    </row>
    <row r="1159" spans="2:13" x14ac:dyDescent="0.25">
      <c r="B1159" s="46"/>
      <c r="C1159" s="40" t="str">
        <f t="shared" si="54"/>
        <v/>
      </c>
      <c r="D1159" s="46" t="str">
        <f t="shared" si="55"/>
        <v/>
      </c>
      <c r="E1159" s="46" t="str">
        <f t="shared" si="56"/>
        <v/>
      </c>
      <c r="F1159" s="46"/>
      <c r="G1159" s="46"/>
      <c r="H1159" s="46"/>
      <c r="I1159" s="46"/>
      <c r="J1159" s="46"/>
      <c r="K1159" s="46"/>
      <c r="L1159" s="46"/>
      <c r="M1159" s="46"/>
    </row>
    <row r="1160" spans="2:13" x14ac:dyDescent="0.25">
      <c r="B1160" s="46"/>
      <c r="C1160" s="40" t="str">
        <f t="shared" si="54"/>
        <v/>
      </c>
      <c r="D1160" s="46" t="str">
        <f t="shared" si="55"/>
        <v/>
      </c>
      <c r="E1160" s="46" t="str">
        <f t="shared" si="56"/>
        <v/>
      </c>
      <c r="F1160" s="46"/>
      <c r="G1160" s="46"/>
      <c r="H1160" s="46"/>
      <c r="I1160" s="46"/>
      <c r="J1160" s="46"/>
      <c r="K1160" s="46"/>
      <c r="L1160" s="46"/>
      <c r="M1160" s="46"/>
    </row>
    <row r="1161" spans="2:13" x14ac:dyDescent="0.25">
      <c r="B1161" s="46"/>
      <c r="C1161" s="40" t="str">
        <f t="shared" si="54"/>
        <v/>
      </c>
      <c r="D1161" s="46" t="str">
        <f t="shared" si="55"/>
        <v/>
      </c>
      <c r="E1161" s="46" t="str">
        <f t="shared" si="56"/>
        <v/>
      </c>
      <c r="F1161" s="46"/>
      <c r="G1161" s="46"/>
      <c r="H1161" s="46"/>
      <c r="I1161" s="46"/>
      <c r="J1161" s="46"/>
      <c r="K1161" s="46"/>
      <c r="L1161" s="46"/>
      <c r="M1161" s="46"/>
    </row>
    <row r="1162" spans="2:13" x14ac:dyDescent="0.25">
      <c r="B1162" s="46"/>
      <c r="C1162" s="40" t="str">
        <f t="shared" si="54"/>
        <v/>
      </c>
      <c r="D1162" s="46" t="str">
        <f t="shared" si="55"/>
        <v/>
      </c>
      <c r="E1162" s="46" t="str">
        <f t="shared" si="56"/>
        <v/>
      </c>
      <c r="F1162" s="46"/>
      <c r="G1162" s="46"/>
      <c r="H1162" s="46"/>
      <c r="I1162" s="46"/>
      <c r="J1162" s="46"/>
      <c r="K1162" s="46"/>
      <c r="L1162" s="46"/>
      <c r="M1162" s="46"/>
    </row>
    <row r="1163" spans="2:13" x14ac:dyDescent="0.25">
      <c r="B1163" s="46"/>
      <c r="C1163" s="40" t="str">
        <f t="shared" si="54"/>
        <v/>
      </c>
      <c r="D1163" s="46" t="str">
        <f t="shared" si="55"/>
        <v/>
      </c>
      <c r="E1163" s="46" t="str">
        <f t="shared" si="56"/>
        <v/>
      </c>
      <c r="F1163" s="46"/>
      <c r="G1163" s="46"/>
      <c r="H1163" s="46"/>
      <c r="I1163" s="46"/>
      <c r="J1163" s="46"/>
      <c r="K1163" s="46"/>
      <c r="L1163" s="46"/>
      <c r="M1163" s="46"/>
    </row>
    <row r="1164" spans="2:13" x14ac:dyDescent="0.25">
      <c r="B1164" s="46"/>
      <c r="C1164" s="40" t="str">
        <f t="shared" si="54"/>
        <v/>
      </c>
      <c r="D1164" s="46" t="str">
        <f t="shared" si="55"/>
        <v/>
      </c>
      <c r="E1164" s="46" t="str">
        <f t="shared" si="56"/>
        <v/>
      </c>
      <c r="F1164" s="46"/>
      <c r="G1164" s="46"/>
      <c r="H1164" s="46"/>
      <c r="I1164" s="46"/>
      <c r="J1164" s="46"/>
      <c r="K1164" s="46"/>
      <c r="L1164" s="46"/>
      <c r="M1164" s="46"/>
    </row>
    <row r="1165" spans="2:13" x14ac:dyDescent="0.25">
      <c r="B1165" s="46"/>
      <c r="C1165" s="40" t="str">
        <f t="shared" si="54"/>
        <v/>
      </c>
      <c r="D1165" s="46" t="str">
        <f t="shared" si="55"/>
        <v/>
      </c>
      <c r="E1165" s="46" t="str">
        <f t="shared" si="56"/>
        <v/>
      </c>
      <c r="F1165" s="46"/>
      <c r="G1165" s="46"/>
      <c r="H1165" s="46"/>
      <c r="I1165" s="46"/>
      <c r="J1165" s="46"/>
      <c r="K1165" s="46"/>
      <c r="L1165" s="46"/>
      <c r="M1165" s="46"/>
    </row>
    <row r="1166" spans="2:13" x14ac:dyDescent="0.25">
      <c r="B1166" s="46"/>
      <c r="C1166" s="40" t="str">
        <f t="shared" si="54"/>
        <v/>
      </c>
      <c r="D1166" s="46" t="str">
        <f t="shared" si="55"/>
        <v/>
      </c>
      <c r="E1166" s="46" t="str">
        <f t="shared" si="56"/>
        <v/>
      </c>
      <c r="F1166" s="46"/>
      <c r="G1166" s="46"/>
      <c r="H1166" s="46"/>
      <c r="I1166" s="46"/>
      <c r="J1166" s="46"/>
      <c r="K1166" s="46"/>
      <c r="L1166" s="46"/>
      <c r="M1166" s="46"/>
    </row>
    <row r="1167" spans="2:13" x14ac:dyDescent="0.25">
      <c r="B1167" s="46"/>
      <c r="C1167" s="40" t="str">
        <f t="shared" si="54"/>
        <v/>
      </c>
      <c r="D1167" s="46" t="str">
        <f t="shared" si="55"/>
        <v/>
      </c>
      <c r="E1167" s="46" t="str">
        <f t="shared" si="56"/>
        <v/>
      </c>
      <c r="F1167" s="46"/>
      <c r="G1167" s="46"/>
      <c r="H1167" s="46"/>
      <c r="I1167" s="46"/>
      <c r="J1167" s="46"/>
      <c r="K1167" s="46"/>
      <c r="L1167" s="46"/>
      <c r="M1167" s="46"/>
    </row>
    <row r="1168" spans="2:13" x14ac:dyDescent="0.25">
      <c r="B1168" s="46"/>
      <c r="C1168" s="40" t="str">
        <f t="shared" si="54"/>
        <v/>
      </c>
      <c r="D1168" s="46" t="str">
        <f t="shared" si="55"/>
        <v/>
      </c>
      <c r="E1168" s="46" t="str">
        <f t="shared" si="56"/>
        <v/>
      </c>
      <c r="F1168" s="46"/>
      <c r="G1168" s="46"/>
      <c r="H1168" s="46"/>
      <c r="I1168" s="46"/>
      <c r="J1168" s="46"/>
      <c r="K1168" s="46"/>
      <c r="L1168" s="46"/>
      <c r="M1168" s="46"/>
    </row>
    <row r="1169" spans="2:13" x14ac:dyDescent="0.25">
      <c r="B1169" s="46"/>
      <c r="C1169" s="40" t="str">
        <f t="shared" si="54"/>
        <v/>
      </c>
      <c r="D1169" s="46" t="str">
        <f t="shared" si="55"/>
        <v/>
      </c>
      <c r="E1169" s="46" t="str">
        <f t="shared" si="56"/>
        <v/>
      </c>
      <c r="F1169" s="46"/>
      <c r="G1169" s="46"/>
      <c r="H1169" s="46"/>
      <c r="I1169" s="46"/>
      <c r="J1169" s="46"/>
      <c r="K1169" s="46"/>
      <c r="L1169" s="46"/>
      <c r="M1169" s="46"/>
    </row>
    <row r="1170" spans="2:13" x14ac:dyDescent="0.25">
      <c r="B1170" s="46"/>
      <c r="C1170" s="40" t="str">
        <f t="shared" si="54"/>
        <v/>
      </c>
      <c r="D1170" s="46" t="str">
        <f t="shared" si="55"/>
        <v/>
      </c>
      <c r="E1170" s="46" t="str">
        <f t="shared" si="56"/>
        <v/>
      </c>
      <c r="F1170" s="46"/>
      <c r="G1170" s="46"/>
      <c r="H1170" s="46"/>
      <c r="I1170" s="46"/>
      <c r="J1170" s="46"/>
      <c r="K1170" s="46"/>
      <c r="L1170" s="46"/>
      <c r="M1170" s="46"/>
    </row>
    <row r="1171" spans="2:13" x14ac:dyDescent="0.25">
      <c r="B1171" s="46"/>
      <c r="C1171" s="40" t="str">
        <f t="shared" si="54"/>
        <v/>
      </c>
      <c r="D1171" s="46" t="str">
        <f t="shared" si="55"/>
        <v/>
      </c>
      <c r="E1171" s="46" t="str">
        <f t="shared" si="56"/>
        <v/>
      </c>
      <c r="F1171" s="46"/>
      <c r="G1171" s="46"/>
      <c r="H1171" s="46"/>
      <c r="I1171" s="46"/>
      <c r="J1171" s="46"/>
      <c r="K1171" s="46"/>
      <c r="L1171" s="46"/>
      <c r="M1171" s="46"/>
    </row>
    <row r="1172" spans="2:13" x14ac:dyDescent="0.25">
      <c r="B1172" s="46"/>
      <c r="C1172" s="40" t="str">
        <f t="shared" si="54"/>
        <v/>
      </c>
      <c r="D1172" s="46" t="str">
        <f t="shared" si="55"/>
        <v/>
      </c>
      <c r="E1172" s="46" t="str">
        <f t="shared" si="56"/>
        <v/>
      </c>
      <c r="F1172" s="46"/>
      <c r="G1172" s="46"/>
      <c r="H1172" s="46"/>
      <c r="I1172" s="46"/>
      <c r="J1172" s="46"/>
      <c r="K1172" s="46"/>
      <c r="L1172" s="46"/>
      <c r="M1172" s="46"/>
    </row>
    <row r="1173" spans="2:13" x14ac:dyDescent="0.25">
      <c r="B1173" s="46"/>
      <c r="C1173" s="40" t="str">
        <f t="shared" si="54"/>
        <v/>
      </c>
      <c r="D1173" s="46" t="str">
        <f t="shared" si="55"/>
        <v/>
      </c>
      <c r="E1173" s="46" t="str">
        <f t="shared" si="56"/>
        <v/>
      </c>
      <c r="F1173" s="46"/>
      <c r="G1173" s="46"/>
      <c r="H1173" s="46"/>
      <c r="I1173" s="46"/>
      <c r="J1173" s="46"/>
      <c r="K1173" s="46"/>
      <c r="L1173" s="46"/>
      <c r="M1173" s="46"/>
    </row>
    <row r="1174" spans="2:13" x14ac:dyDescent="0.25">
      <c r="B1174" s="46"/>
      <c r="C1174" s="40" t="str">
        <f t="shared" si="54"/>
        <v/>
      </c>
      <c r="D1174" s="46" t="str">
        <f t="shared" si="55"/>
        <v/>
      </c>
      <c r="E1174" s="46" t="str">
        <f t="shared" si="56"/>
        <v/>
      </c>
      <c r="F1174" s="46"/>
      <c r="G1174" s="46"/>
      <c r="H1174" s="46"/>
      <c r="I1174" s="46"/>
      <c r="J1174" s="46"/>
      <c r="K1174" s="46"/>
      <c r="L1174" s="46"/>
      <c r="M1174" s="46"/>
    </row>
    <row r="1175" spans="2:13" x14ac:dyDescent="0.25">
      <c r="B1175" s="46"/>
      <c r="C1175" s="40" t="str">
        <f t="shared" si="54"/>
        <v/>
      </c>
      <c r="D1175" s="46" t="str">
        <f t="shared" si="55"/>
        <v/>
      </c>
      <c r="E1175" s="46" t="str">
        <f t="shared" si="56"/>
        <v/>
      </c>
      <c r="F1175" s="46"/>
      <c r="G1175" s="46"/>
      <c r="H1175" s="46"/>
      <c r="I1175" s="46"/>
      <c r="J1175" s="46"/>
      <c r="K1175" s="46"/>
      <c r="L1175" s="46"/>
      <c r="M1175" s="46"/>
    </row>
    <row r="1176" spans="2:13" x14ac:dyDescent="0.25">
      <c r="B1176" s="46"/>
      <c r="C1176" s="40" t="str">
        <f t="shared" si="54"/>
        <v/>
      </c>
      <c r="D1176" s="46" t="str">
        <f t="shared" si="55"/>
        <v/>
      </c>
      <c r="E1176" s="46" t="str">
        <f t="shared" si="56"/>
        <v/>
      </c>
      <c r="F1176" s="46"/>
      <c r="G1176" s="46"/>
      <c r="H1176" s="46"/>
      <c r="I1176" s="46"/>
      <c r="J1176" s="46"/>
      <c r="K1176" s="46"/>
      <c r="L1176" s="46"/>
      <c r="M1176" s="46"/>
    </row>
    <row r="1177" spans="2:13" x14ac:dyDescent="0.25">
      <c r="B1177" s="46"/>
      <c r="C1177" s="40" t="str">
        <f t="shared" si="54"/>
        <v/>
      </c>
      <c r="D1177" s="46" t="str">
        <f t="shared" si="55"/>
        <v/>
      </c>
      <c r="E1177" s="46" t="str">
        <f t="shared" si="56"/>
        <v/>
      </c>
      <c r="F1177" s="46"/>
      <c r="G1177" s="46"/>
      <c r="H1177" s="46"/>
      <c r="I1177" s="46"/>
      <c r="J1177" s="46"/>
      <c r="K1177" s="46"/>
      <c r="L1177" s="46"/>
      <c r="M1177" s="46"/>
    </row>
    <row r="1178" spans="2:13" x14ac:dyDescent="0.25">
      <c r="B1178" s="47"/>
      <c r="C1178" s="48" t="str">
        <f t="shared" si="54"/>
        <v/>
      </c>
      <c r="D1178" s="47" t="str">
        <f t="shared" si="55"/>
        <v/>
      </c>
      <c r="E1178" s="47" t="str">
        <f t="shared" si="56"/>
        <v/>
      </c>
      <c r="F1178" s="47"/>
      <c r="G1178" s="47"/>
      <c r="H1178" s="47"/>
      <c r="I1178" s="47"/>
      <c r="J1178" s="47"/>
      <c r="K1178" s="47"/>
      <c r="L1178" s="47"/>
      <c r="M1178" s="47"/>
    </row>
    <row r="1179" spans="2:13" x14ac:dyDescent="0.25">
      <c r="B1179" s="47"/>
      <c r="C1179" s="48" t="str">
        <f t="shared" si="54"/>
        <v/>
      </c>
      <c r="D1179" s="47" t="str">
        <f t="shared" si="55"/>
        <v/>
      </c>
      <c r="E1179" s="47" t="str">
        <f t="shared" si="56"/>
        <v/>
      </c>
      <c r="F1179" s="47"/>
      <c r="G1179" s="47"/>
      <c r="H1179" s="47"/>
      <c r="I1179" s="47"/>
      <c r="J1179" s="47"/>
      <c r="K1179" s="47"/>
      <c r="L1179" s="47"/>
      <c r="M1179" s="47"/>
    </row>
    <row r="1180" spans="2:13" x14ac:dyDescent="0.25">
      <c r="B1180" s="47"/>
      <c r="C1180" s="48" t="str">
        <f t="shared" si="54"/>
        <v/>
      </c>
      <c r="D1180" s="47" t="str">
        <f t="shared" si="55"/>
        <v/>
      </c>
      <c r="E1180" s="47" t="str">
        <f t="shared" si="56"/>
        <v/>
      </c>
      <c r="F1180" s="47"/>
      <c r="G1180" s="47"/>
      <c r="H1180" s="47"/>
      <c r="I1180" s="47"/>
      <c r="J1180" s="47"/>
      <c r="K1180" s="47"/>
      <c r="L1180" s="47"/>
      <c r="M1180" s="47"/>
    </row>
    <row r="1181" spans="2:13" x14ac:dyDescent="0.25">
      <c r="B1181" s="47"/>
      <c r="C1181" s="48" t="str">
        <f t="shared" si="54"/>
        <v/>
      </c>
      <c r="D1181" s="47" t="str">
        <f t="shared" si="55"/>
        <v/>
      </c>
      <c r="E1181" s="47" t="str">
        <f t="shared" si="56"/>
        <v/>
      </c>
      <c r="F1181" s="47"/>
      <c r="G1181" s="47"/>
      <c r="H1181" s="47"/>
      <c r="I1181" s="47"/>
      <c r="J1181" s="47"/>
      <c r="K1181" s="47"/>
      <c r="L1181" s="47"/>
      <c r="M1181" s="47"/>
    </row>
    <row r="1182" spans="2:13" x14ac:dyDescent="0.25">
      <c r="B1182" s="47"/>
      <c r="C1182" s="48" t="str">
        <f t="shared" si="54"/>
        <v/>
      </c>
      <c r="D1182" s="47" t="str">
        <f t="shared" si="55"/>
        <v/>
      </c>
      <c r="E1182" s="47" t="str">
        <f t="shared" si="56"/>
        <v/>
      </c>
      <c r="F1182" s="47"/>
      <c r="G1182" s="47"/>
      <c r="H1182" s="47"/>
      <c r="I1182" s="47"/>
      <c r="J1182" s="47"/>
      <c r="K1182" s="47"/>
      <c r="L1182" s="47"/>
      <c r="M1182" s="47"/>
    </row>
    <row r="1183" spans="2:13" x14ac:dyDescent="0.25">
      <c r="B1183" s="47"/>
      <c r="C1183" s="48" t="str">
        <f t="shared" si="54"/>
        <v/>
      </c>
      <c r="D1183" s="47" t="str">
        <f t="shared" si="55"/>
        <v/>
      </c>
      <c r="E1183" s="47" t="str">
        <f t="shared" si="56"/>
        <v/>
      </c>
      <c r="F1183" s="47"/>
      <c r="G1183" s="47"/>
      <c r="H1183" s="47"/>
      <c r="I1183" s="47"/>
      <c r="J1183" s="47"/>
      <c r="K1183" s="47"/>
      <c r="L1183" s="47"/>
      <c r="M1183" s="47"/>
    </row>
    <row r="1184" spans="2:13" x14ac:dyDescent="0.25">
      <c r="B1184" s="47"/>
      <c r="C1184" s="48" t="str">
        <f t="shared" si="54"/>
        <v/>
      </c>
      <c r="D1184" s="47" t="str">
        <f t="shared" si="55"/>
        <v/>
      </c>
      <c r="E1184" s="47" t="str">
        <f t="shared" si="56"/>
        <v/>
      </c>
      <c r="F1184" s="47"/>
      <c r="G1184" s="47"/>
      <c r="H1184" s="47"/>
      <c r="I1184" s="47"/>
      <c r="J1184" s="47"/>
      <c r="K1184" s="47"/>
      <c r="L1184" s="47"/>
      <c r="M1184" s="47"/>
    </row>
    <row r="1185" spans="2:13" x14ac:dyDescent="0.25">
      <c r="B1185" s="47"/>
      <c r="C1185" s="48" t="str">
        <f t="shared" si="54"/>
        <v/>
      </c>
      <c r="D1185" s="47" t="str">
        <f t="shared" si="55"/>
        <v/>
      </c>
      <c r="E1185" s="47" t="str">
        <f t="shared" si="56"/>
        <v/>
      </c>
      <c r="F1185" s="47"/>
      <c r="G1185" s="47"/>
      <c r="H1185" s="47"/>
      <c r="I1185" s="47"/>
      <c r="J1185" s="47"/>
      <c r="K1185" s="47"/>
      <c r="L1185" s="47"/>
      <c r="M1185" s="47"/>
    </row>
    <row r="1186" spans="2:13" x14ac:dyDescent="0.25">
      <c r="B1186" s="47"/>
      <c r="C1186" s="48" t="str">
        <f t="shared" si="54"/>
        <v/>
      </c>
      <c r="D1186" s="47" t="str">
        <f t="shared" si="55"/>
        <v/>
      </c>
      <c r="E1186" s="47" t="str">
        <f t="shared" si="56"/>
        <v/>
      </c>
      <c r="F1186" s="47"/>
      <c r="G1186" s="47"/>
      <c r="H1186" s="47"/>
      <c r="I1186" s="47"/>
      <c r="J1186" s="47"/>
      <c r="K1186" s="47"/>
      <c r="L1186" s="47"/>
      <c r="M1186" s="47"/>
    </row>
    <row r="1187" spans="2:13" x14ac:dyDescent="0.25">
      <c r="B1187" s="47"/>
      <c r="C1187" s="48" t="str">
        <f t="shared" si="54"/>
        <v/>
      </c>
      <c r="D1187" s="47" t="str">
        <f t="shared" si="55"/>
        <v/>
      </c>
      <c r="E1187" s="47" t="str">
        <f t="shared" si="56"/>
        <v/>
      </c>
      <c r="F1187" s="47"/>
      <c r="G1187" s="47"/>
      <c r="H1187" s="47"/>
      <c r="I1187" s="47"/>
      <c r="J1187" s="47"/>
      <c r="K1187" s="47"/>
      <c r="L1187" s="47"/>
      <c r="M1187" s="47"/>
    </row>
    <row r="1188" spans="2:13" x14ac:dyDescent="0.25">
      <c r="B1188" s="47"/>
      <c r="C1188" s="48" t="str">
        <f t="shared" si="54"/>
        <v/>
      </c>
      <c r="D1188" s="47" t="str">
        <f t="shared" si="55"/>
        <v/>
      </c>
      <c r="E1188" s="47" t="str">
        <f t="shared" si="56"/>
        <v/>
      </c>
      <c r="F1188" s="47"/>
      <c r="G1188" s="47"/>
      <c r="H1188" s="47"/>
      <c r="I1188" s="47"/>
      <c r="J1188" s="47"/>
      <c r="K1188" s="47"/>
      <c r="L1188" s="47"/>
      <c r="M1188" s="47"/>
    </row>
    <row r="1189" spans="2:13" x14ac:dyDescent="0.25">
      <c r="B1189" s="47"/>
      <c r="C1189" s="48" t="str">
        <f t="shared" si="54"/>
        <v/>
      </c>
      <c r="D1189" s="47" t="str">
        <f t="shared" si="55"/>
        <v/>
      </c>
      <c r="E1189" s="47" t="str">
        <f t="shared" si="56"/>
        <v/>
      </c>
      <c r="F1189" s="47"/>
      <c r="G1189" s="47"/>
      <c r="H1189" s="47"/>
      <c r="I1189" s="47"/>
      <c r="J1189" s="47"/>
      <c r="K1189" s="47"/>
      <c r="L1189" s="47"/>
      <c r="M1189" s="47"/>
    </row>
    <row r="1190" spans="2:13" x14ac:dyDescent="0.25">
      <c r="B1190" s="47"/>
      <c r="C1190" s="48" t="str">
        <f t="shared" si="54"/>
        <v/>
      </c>
      <c r="D1190" s="47" t="str">
        <f t="shared" si="55"/>
        <v/>
      </c>
      <c r="E1190" s="47" t="str">
        <f t="shared" si="56"/>
        <v/>
      </c>
      <c r="F1190" s="47"/>
      <c r="G1190" s="47"/>
      <c r="H1190" s="47"/>
      <c r="I1190" s="47"/>
      <c r="J1190" s="47"/>
      <c r="K1190" s="47"/>
      <c r="L1190" s="47"/>
      <c r="M1190" s="47"/>
    </row>
    <row r="1191" spans="2:13" x14ac:dyDescent="0.25">
      <c r="B1191" s="47"/>
      <c r="C1191" s="48" t="str">
        <f t="shared" si="54"/>
        <v/>
      </c>
      <c r="D1191" s="47" t="str">
        <f t="shared" si="55"/>
        <v/>
      </c>
      <c r="E1191" s="47" t="str">
        <f t="shared" si="56"/>
        <v/>
      </c>
      <c r="F1191" s="47"/>
      <c r="G1191" s="47"/>
      <c r="H1191" s="47"/>
      <c r="I1191" s="47"/>
      <c r="J1191" s="47"/>
      <c r="K1191" s="47"/>
      <c r="L1191" s="47"/>
      <c r="M1191" s="47"/>
    </row>
    <row r="1192" spans="2:13" x14ac:dyDescent="0.25">
      <c r="B1192" s="47"/>
      <c r="C1192" s="48" t="str">
        <f t="shared" si="54"/>
        <v/>
      </c>
      <c r="D1192" s="47" t="str">
        <f t="shared" si="55"/>
        <v/>
      </c>
      <c r="E1192" s="47" t="str">
        <f t="shared" si="56"/>
        <v/>
      </c>
      <c r="F1192" s="47"/>
      <c r="G1192" s="47"/>
      <c r="H1192" s="47"/>
      <c r="I1192" s="47"/>
      <c r="J1192" s="47"/>
      <c r="K1192" s="47"/>
      <c r="L1192" s="47"/>
      <c r="M1192" s="47"/>
    </row>
    <row r="1193" spans="2:13" x14ac:dyDescent="0.25">
      <c r="B1193" s="47"/>
      <c r="C1193" s="48" t="str">
        <f t="shared" si="54"/>
        <v/>
      </c>
      <c r="D1193" s="47" t="str">
        <f t="shared" si="55"/>
        <v/>
      </c>
      <c r="E1193" s="47" t="str">
        <f t="shared" si="56"/>
        <v/>
      </c>
      <c r="F1193" s="47"/>
      <c r="G1193" s="47"/>
      <c r="H1193" s="47"/>
      <c r="I1193" s="47"/>
      <c r="J1193" s="47"/>
      <c r="K1193" s="47"/>
      <c r="L1193" s="47"/>
      <c r="M1193" s="47"/>
    </row>
    <row r="1194" spans="2:13" x14ac:dyDescent="0.25">
      <c r="B1194" s="47"/>
      <c r="C1194" s="48" t="str">
        <f t="shared" si="54"/>
        <v/>
      </c>
      <c r="D1194" s="47" t="str">
        <f t="shared" si="55"/>
        <v/>
      </c>
      <c r="E1194" s="47" t="str">
        <f t="shared" si="56"/>
        <v/>
      </c>
      <c r="F1194" s="47"/>
      <c r="G1194" s="47"/>
      <c r="H1194" s="47"/>
      <c r="I1194" s="47"/>
      <c r="J1194" s="47"/>
      <c r="K1194" s="47"/>
      <c r="L1194" s="47"/>
      <c r="M1194" s="47"/>
    </row>
    <row r="1195" spans="2:13" x14ac:dyDescent="0.25">
      <c r="B1195" s="47"/>
      <c r="C1195" s="48" t="str">
        <f t="shared" si="54"/>
        <v/>
      </c>
      <c r="D1195" s="47" t="str">
        <f t="shared" si="55"/>
        <v/>
      </c>
      <c r="E1195" s="47" t="str">
        <f t="shared" si="56"/>
        <v/>
      </c>
      <c r="F1195" s="47"/>
      <c r="G1195" s="47"/>
      <c r="H1195" s="47"/>
      <c r="I1195" s="47"/>
      <c r="J1195" s="47"/>
      <c r="K1195" s="47"/>
      <c r="L1195" s="47"/>
      <c r="M1195" s="47"/>
    </row>
    <row r="1196" spans="2:13" x14ac:dyDescent="0.25">
      <c r="B1196" s="47"/>
      <c r="C1196" s="48" t="str">
        <f t="shared" si="54"/>
        <v/>
      </c>
      <c r="D1196" s="47" t="str">
        <f t="shared" si="55"/>
        <v/>
      </c>
      <c r="E1196" s="47" t="str">
        <f t="shared" si="56"/>
        <v/>
      </c>
      <c r="F1196" s="47"/>
      <c r="G1196" s="47"/>
      <c r="H1196" s="47"/>
      <c r="I1196" s="47"/>
      <c r="J1196" s="47"/>
      <c r="K1196" s="47"/>
      <c r="L1196" s="47"/>
      <c r="M1196" s="47"/>
    </row>
    <row r="1197" spans="2:13" x14ac:dyDescent="0.25">
      <c r="B1197" s="47"/>
      <c r="C1197" s="48" t="str">
        <f t="shared" si="54"/>
        <v/>
      </c>
      <c r="D1197" s="47" t="str">
        <f t="shared" si="55"/>
        <v/>
      </c>
      <c r="E1197" s="47" t="str">
        <f t="shared" si="56"/>
        <v/>
      </c>
      <c r="F1197" s="47"/>
      <c r="G1197" s="47"/>
      <c r="H1197" s="47"/>
      <c r="I1197" s="47"/>
      <c r="J1197" s="47"/>
      <c r="K1197" s="47"/>
      <c r="L1197" s="47"/>
      <c r="M1197" s="47"/>
    </row>
    <row r="1198" spans="2:13" x14ac:dyDescent="0.25">
      <c r="B1198" s="47"/>
      <c r="C1198" s="48" t="str">
        <f t="shared" si="54"/>
        <v/>
      </c>
      <c r="D1198" s="47" t="str">
        <f t="shared" si="55"/>
        <v/>
      </c>
      <c r="E1198" s="47" t="str">
        <f t="shared" si="56"/>
        <v/>
      </c>
      <c r="F1198" s="47"/>
      <c r="G1198" s="47"/>
      <c r="H1198" s="47"/>
      <c r="I1198" s="47"/>
      <c r="J1198" s="47"/>
      <c r="K1198" s="47"/>
      <c r="L1198" s="47"/>
      <c r="M1198" s="47"/>
    </row>
    <row r="1199" spans="2:13" x14ac:dyDescent="0.25">
      <c r="B1199" s="47"/>
      <c r="C1199" s="48" t="str">
        <f t="shared" si="54"/>
        <v/>
      </c>
      <c r="D1199" s="47" t="str">
        <f t="shared" si="55"/>
        <v/>
      </c>
      <c r="E1199" s="47" t="str">
        <f t="shared" si="56"/>
        <v/>
      </c>
      <c r="F1199" s="47"/>
      <c r="G1199" s="47"/>
      <c r="H1199" s="47"/>
      <c r="I1199" s="47"/>
      <c r="J1199" s="47"/>
      <c r="K1199" s="47"/>
      <c r="L1199" s="47"/>
      <c r="M1199" s="47"/>
    </row>
    <row r="1200" spans="2:13" x14ac:dyDescent="0.25">
      <c r="B1200" s="47"/>
      <c r="C1200" s="48" t="str">
        <f t="shared" si="54"/>
        <v/>
      </c>
      <c r="D1200" s="47" t="str">
        <f t="shared" si="55"/>
        <v/>
      </c>
      <c r="E1200" s="47" t="str">
        <f t="shared" si="56"/>
        <v/>
      </c>
      <c r="F1200" s="47"/>
      <c r="G1200" s="47"/>
      <c r="H1200" s="47"/>
      <c r="I1200" s="47"/>
      <c r="J1200" s="47"/>
      <c r="K1200" s="47"/>
      <c r="L1200" s="47"/>
      <c r="M1200" s="47"/>
    </row>
    <row r="1201" spans="2:13" x14ac:dyDescent="0.25">
      <c r="B1201" s="47"/>
      <c r="C1201" s="48" t="str">
        <f t="shared" si="54"/>
        <v/>
      </c>
      <c r="D1201" s="47" t="str">
        <f t="shared" si="55"/>
        <v/>
      </c>
      <c r="E1201" s="47" t="str">
        <f t="shared" si="56"/>
        <v/>
      </c>
      <c r="F1201" s="47"/>
      <c r="G1201" s="47"/>
      <c r="H1201" s="47"/>
      <c r="I1201" s="47"/>
      <c r="J1201" s="47"/>
      <c r="K1201" s="47"/>
      <c r="L1201" s="47"/>
      <c r="M1201" s="47"/>
    </row>
    <row r="1202" spans="2:13" x14ac:dyDescent="0.25">
      <c r="B1202" s="47"/>
      <c r="C1202" s="48" t="str">
        <f t="shared" si="54"/>
        <v/>
      </c>
      <c r="D1202" s="47" t="str">
        <f t="shared" si="55"/>
        <v/>
      </c>
      <c r="E1202" s="47" t="str">
        <f t="shared" si="56"/>
        <v/>
      </c>
      <c r="F1202" s="47"/>
      <c r="G1202" s="47"/>
      <c r="H1202" s="47"/>
      <c r="I1202" s="47"/>
      <c r="J1202" s="47"/>
      <c r="K1202" s="47"/>
      <c r="L1202" s="47"/>
      <c r="M1202" s="47"/>
    </row>
    <row r="1203" spans="2:13" x14ac:dyDescent="0.25">
      <c r="B1203" s="47"/>
      <c r="C1203" s="48" t="str">
        <f t="shared" si="54"/>
        <v/>
      </c>
      <c r="D1203" s="47" t="str">
        <f t="shared" si="55"/>
        <v/>
      </c>
      <c r="E1203" s="47" t="str">
        <f t="shared" si="56"/>
        <v/>
      </c>
      <c r="F1203" s="47"/>
      <c r="G1203" s="47"/>
      <c r="H1203" s="47"/>
      <c r="I1203" s="47"/>
      <c r="J1203" s="47"/>
      <c r="K1203" s="47"/>
      <c r="L1203" s="47"/>
      <c r="M1203" s="47"/>
    </row>
    <row r="1204" spans="2:13" x14ac:dyDescent="0.25">
      <c r="B1204" s="47"/>
      <c r="C1204" s="48" t="str">
        <f t="shared" si="54"/>
        <v/>
      </c>
      <c r="D1204" s="47" t="str">
        <f t="shared" si="55"/>
        <v/>
      </c>
      <c r="E1204" s="47" t="str">
        <f t="shared" si="56"/>
        <v/>
      </c>
      <c r="F1204" s="47"/>
      <c r="G1204" s="47"/>
      <c r="H1204" s="47"/>
      <c r="I1204" s="47"/>
      <c r="J1204" s="47"/>
      <c r="K1204" s="47"/>
      <c r="L1204" s="47"/>
      <c r="M1204" s="47"/>
    </row>
    <row r="1205" spans="2:13" x14ac:dyDescent="0.25">
      <c r="B1205" s="47"/>
      <c r="C1205" s="48" t="str">
        <f t="shared" si="54"/>
        <v/>
      </c>
      <c r="D1205" s="47" t="str">
        <f t="shared" si="55"/>
        <v/>
      </c>
      <c r="E1205" s="47" t="str">
        <f t="shared" si="56"/>
        <v/>
      </c>
      <c r="F1205" s="47"/>
      <c r="G1205" s="47"/>
      <c r="H1205" s="47"/>
      <c r="I1205" s="47"/>
      <c r="J1205" s="47"/>
      <c r="K1205" s="47"/>
      <c r="L1205" s="47"/>
      <c r="M1205" s="47"/>
    </row>
    <row r="1206" spans="2:13" x14ac:dyDescent="0.25">
      <c r="B1206" s="47"/>
      <c r="C1206" s="48" t="str">
        <f t="shared" si="54"/>
        <v/>
      </c>
      <c r="D1206" s="47" t="str">
        <f t="shared" si="55"/>
        <v/>
      </c>
      <c r="E1206" s="47" t="str">
        <f t="shared" si="56"/>
        <v/>
      </c>
      <c r="F1206" s="47"/>
      <c r="G1206" s="47"/>
      <c r="H1206" s="47"/>
      <c r="I1206" s="47"/>
      <c r="J1206" s="47"/>
      <c r="K1206" s="47"/>
      <c r="L1206" s="47"/>
      <c r="M1206" s="47"/>
    </row>
    <row r="1207" spans="2:13" x14ac:dyDescent="0.25">
      <c r="B1207" s="47"/>
      <c r="C1207" s="48" t="str">
        <f t="shared" si="54"/>
        <v/>
      </c>
      <c r="D1207" s="47" t="str">
        <f t="shared" si="55"/>
        <v/>
      </c>
      <c r="E1207" s="47" t="str">
        <f t="shared" si="56"/>
        <v/>
      </c>
      <c r="F1207" s="47"/>
      <c r="G1207" s="47"/>
      <c r="H1207" s="47"/>
      <c r="I1207" s="47"/>
      <c r="J1207" s="47"/>
      <c r="K1207" s="47"/>
      <c r="L1207" s="47"/>
      <c r="M1207" s="47"/>
    </row>
    <row r="1208" spans="2:13" x14ac:dyDescent="0.25">
      <c r="B1208" s="47"/>
      <c r="C1208" s="48" t="str">
        <f t="shared" si="54"/>
        <v/>
      </c>
      <c r="D1208" s="47" t="str">
        <f t="shared" si="55"/>
        <v/>
      </c>
      <c r="E1208" s="47" t="str">
        <f t="shared" si="56"/>
        <v/>
      </c>
      <c r="F1208" s="47"/>
      <c r="G1208" s="47"/>
      <c r="H1208" s="47"/>
      <c r="I1208" s="47"/>
      <c r="J1208" s="47"/>
      <c r="K1208" s="47"/>
      <c r="L1208" s="47"/>
      <c r="M1208" s="47"/>
    </row>
    <row r="1209" spans="2:13" x14ac:dyDescent="0.25">
      <c r="B1209" s="47"/>
      <c r="C1209" s="48" t="str">
        <f t="shared" si="54"/>
        <v/>
      </c>
      <c r="D1209" s="47" t="str">
        <f t="shared" si="55"/>
        <v/>
      </c>
      <c r="E1209" s="47" t="str">
        <f t="shared" si="56"/>
        <v/>
      </c>
      <c r="F1209" s="47"/>
      <c r="G1209" s="47"/>
      <c r="H1209" s="47"/>
      <c r="I1209" s="47"/>
      <c r="J1209" s="47"/>
      <c r="K1209" s="47"/>
      <c r="L1209" s="47"/>
      <c r="M1209" s="47"/>
    </row>
    <row r="1210" spans="2:13" x14ac:dyDescent="0.25">
      <c r="B1210" s="47"/>
      <c r="C1210" s="48" t="str">
        <f t="shared" si="54"/>
        <v/>
      </c>
      <c r="D1210" s="47" t="str">
        <f t="shared" si="55"/>
        <v/>
      </c>
      <c r="E1210" s="47" t="str">
        <f t="shared" si="56"/>
        <v/>
      </c>
      <c r="F1210" s="47"/>
      <c r="G1210" s="47"/>
      <c r="H1210" s="47"/>
      <c r="I1210" s="47"/>
      <c r="J1210" s="47"/>
      <c r="K1210" s="47"/>
      <c r="L1210" s="47"/>
      <c r="M1210" s="47"/>
    </row>
    <row r="1211" spans="2:13" x14ac:dyDescent="0.25">
      <c r="B1211" s="47"/>
      <c r="C1211" s="48" t="str">
        <f t="shared" si="54"/>
        <v/>
      </c>
      <c r="D1211" s="47" t="str">
        <f t="shared" si="55"/>
        <v/>
      </c>
      <c r="E1211" s="47" t="str">
        <f t="shared" si="56"/>
        <v/>
      </c>
      <c r="F1211" s="47"/>
      <c r="G1211" s="47"/>
      <c r="H1211" s="47"/>
      <c r="I1211" s="47"/>
      <c r="J1211" s="47"/>
      <c r="K1211" s="47"/>
      <c r="L1211" s="47"/>
      <c r="M1211" s="47"/>
    </row>
    <row r="1212" spans="2:13" x14ac:dyDescent="0.25">
      <c r="B1212" s="47"/>
      <c r="C1212" s="48" t="str">
        <f t="shared" si="54"/>
        <v/>
      </c>
      <c r="D1212" s="47" t="str">
        <f t="shared" si="55"/>
        <v/>
      </c>
      <c r="E1212" s="47" t="str">
        <f t="shared" si="56"/>
        <v/>
      </c>
      <c r="F1212" s="47"/>
      <c r="G1212" s="47"/>
      <c r="H1212" s="47"/>
      <c r="I1212" s="47"/>
      <c r="J1212" s="47"/>
      <c r="K1212" s="47"/>
      <c r="L1212" s="47"/>
      <c r="M1212" s="47"/>
    </row>
    <row r="1213" spans="2:13" x14ac:dyDescent="0.25">
      <c r="B1213" s="47"/>
      <c r="C1213" s="48" t="str">
        <f t="shared" si="54"/>
        <v/>
      </c>
      <c r="D1213" s="47" t="str">
        <f t="shared" si="55"/>
        <v/>
      </c>
      <c r="E1213" s="47" t="str">
        <f t="shared" si="56"/>
        <v/>
      </c>
      <c r="F1213" s="47"/>
      <c r="G1213" s="47"/>
      <c r="H1213" s="47"/>
      <c r="I1213" s="47"/>
      <c r="J1213" s="47"/>
      <c r="K1213" s="47"/>
      <c r="L1213" s="47"/>
      <c r="M1213" s="47"/>
    </row>
    <row r="1214" spans="2:13" x14ac:dyDescent="0.25">
      <c r="B1214" s="47"/>
      <c r="C1214" s="48" t="str">
        <f t="shared" si="54"/>
        <v/>
      </c>
      <c r="D1214" s="47" t="str">
        <f t="shared" si="55"/>
        <v/>
      </c>
      <c r="E1214" s="47" t="str">
        <f t="shared" si="56"/>
        <v/>
      </c>
      <c r="F1214" s="47"/>
      <c r="G1214" s="47"/>
      <c r="H1214" s="47"/>
      <c r="I1214" s="47"/>
      <c r="J1214" s="47"/>
      <c r="K1214" s="47"/>
      <c r="L1214" s="47"/>
      <c r="M1214" s="47"/>
    </row>
    <row r="1215" spans="2:13" x14ac:dyDescent="0.25">
      <c r="B1215" s="47"/>
      <c r="C1215" s="48" t="str">
        <f t="shared" si="54"/>
        <v/>
      </c>
      <c r="D1215" s="47" t="str">
        <f t="shared" si="55"/>
        <v/>
      </c>
      <c r="E1215" s="47" t="str">
        <f t="shared" si="56"/>
        <v/>
      </c>
      <c r="F1215" s="47"/>
      <c r="G1215" s="47"/>
      <c r="H1215" s="47"/>
      <c r="I1215" s="47"/>
      <c r="J1215" s="47"/>
      <c r="K1215" s="47"/>
      <c r="L1215" s="47"/>
      <c r="M1215" s="47"/>
    </row>
    <row r="1216" spans="2:13" x14ac:dyDescent="0.25">
      <c r="B1216" s="47"/>
      <c r="C1216" s="48" t="str">
        <f t="shared" si="54"/>
        <v/>
      </c>
      <c r="D1216" s="47" t="str">
        <f t="shared" si="55"/>
        <v/>
      </c>
      <c r="E1216" s="47" t="str">
        <f t="shared" si="56"/>
        <v/>
      </c>
      <c r="F1216" s="47"/>
      <c r="G1216" s="47"/>
      <c r="H1216" s="47"/>
      <c r="I1216" s="47"/>
      <c r="J1216" s="47"/>
      <c r="K1216" s="47"/>
      <c r="L1216" s="47"/>
      <c r="M1216" s="47"/>
    </row>
    <row r="1217" spans="2:13" x14ac:dyDescent="0.25">
      <c r="B1217" s="47"/>
      <c r="C1217" s="48" t="str">
        <f t="shared" si="54"/>
        <v/>
      </c>
      <c r="D1217" s="47" t="str">
        <f t="shared" si="55"/>
        <v/>
      </c>
      <c r="E1217" s="47" t="str">
        <f t="shared" si="56"/>
        <v/>
      </c>
      <c r="F1217" s="47"/>
      <c r="G1217" s="47"/>
      <c r="H1217" s="47"/>
      <c r="I1217" s="47"/>
      <c r="J1217" s="47"/>
      <c r="K1217" s="47"/>
      <c r="L1217" s="47"/>
      <c r="M1217" s="47"/>
    </row>
    <row r="1218" spans="2:13" x14ac:dyDescent="0.25">
      <c r="B1218" s="47"/>
      <c r="C1218" s="48" t="str">
        <f t="shared" ref="C1218:C1281" si="57">IF(B1218="","",MONTH(B1218))</f>
        <v/>
      </c>
      <c r="D1218" s="47" t="str">
        <f t="shared" ref="D1218:D1281" si="58">IF(B1218="","",CHOOSE(C1218,"Enero","Febrero","Marzo","Abril","Mayo","Junio","Julio","Agosto","Septiembre","Octubre","Noviembre","Diciembre"))</f>
        <v/>
      </c>
      <c r="E1218" s="47" t="str">
        <f t="shared" ref="E1218:E1281" si="59">IF(B1218="","",YEAR(B1218))</f>
        <v/>
      </c>
      <c r="F1218" s="47"/>
      <c r="G1218" s="47"/>
      <c r="H1218" s="47"/>
      <c r="I1218" s="47"/>
      <c r="J1218" s="47"/>
      <c r="K1218" s="47"/>
      <c r="L1218" s="47"/>
      <c r="M1218" s="47"/>
    </row>
    <row r="1219" spans="2:13" x14ac:dyDescent="0.25">
      <c r="B1219" s="47"/>
      <c r="C1219" s="48" t="str">
        <f t="shared" si="57"/>
        <v/>
      </c>
      <c r="D1219" s="47" t="str">
        <f t="shared" si="58"/>
        <v/>
      </c>
      <c r="E1219" s="47" t="str">
        <f t="shared" si="59"/>
        <v/>
      </c>
      <c r="F1219" s="47"/>
      <c r="G1219" s="47"/>
      <c r="H1219" s="47"/>
      <c r="I1219" s="47"/>
      <c r="J1219" s="47"/>
      <c r="K1219" s="47"/>
      <c r="L1219" s="47"/>
      <c r="M1219" s="47"/>
    </row>
    <row r="1220" spans="2:13" x14ac:dyDescent="0.25">
      <c r="B1220" s="47"/>
      <c r="C1220" s="48" t="str">
        <f t="shared" si="57"/>
        <v/>
      </c>
      <c r="D1220" s="47" t="str">
        <f t="shared" si="58"/>
        <v/>
      </c>
      <c r="E1220" s="47" t="str">
        <f t="shared" si="59"/>
        <v/>
      </c>
      <c r="F1220" s="47"/>
      <c r="G1220" s="47"/>
      <c r="H1220" s="47"/>
      <c r="I1220" s="47"/>
      <c r="J1220" s="47"/>
      <c r="K1220" s="47"/>
      <c r="L1220" s="47"/>
      <c r="M1220" s="47"/>
    </row>
    <row r="1221" spans="2:13" x14ac:dyDescent="0.25">
      <c r="B1221" s="47"/>
      <c r="C1221" s="48" t="str">
        <f t="shared" si="57"/>
        <v/>
      </c>
      <c r="D1221" s="47" t="str">
        <f t="shared" si="58"/>
        <v/>
      </c>
      <c r="E1221" s="47" t="str">
        <f t="shared" si="59"/>
        <v/>
      </c>
      <c r="F1221" s="47"/>
      <c r="G1221" s="47"/>
      <c r="H1221" s="47"/>
      <c r="I1221" s="47"/>
      <c r="J1221" s="47"/>
      <c r="K1221" s="47"/>
      <c r="L1221" s="47"/>
      <c r="M1221" s="47"/>
    </row>
    <row r="1222" spans="2:13" x14ac:dyDescent="0.25">
      <c r="B1222" s="47"/>
      <c r="C1222" s="48" t="str">
        <f t="shared" si="57"/>
        <v/>
      </c>
      <c r="D1222" s="47" t="str">
        <f t="shared" si="58"/>
        <v/>
      </c>
      <c r="E1222" s="47" t="str">
        <f t="shared" si="59"/>
        <v/>
      </c>
      <c r="F1222" s="47"/>
      <c r="G1222" s="47"/>
      <c r="H1222" s="47"/>
      <c r="I1222" s="47"/>
      <c r="J1222" s="47"/>
      <c r="K1222" s="47"/>
      <c r="L1222" s="47"/>
      <c r="M1222" s="47"/>
    </row>
    <row r="1223" spans="2:13" x14ac:dyDescent="0.25">
      <c r="B1223" s="47"/>
      <c r="C1223" s="48" t="str">
        <f t="shared" si="57"/>
        <v/>
      </c>
      <c r="D1223" s="47" t="str">
        <f t="shared" si="58"/>
        <v/>
      </c>
      <c r="E1223" s="47" t="str">
        <f t="shared" si="59"/>
        <v/>
      </c>
      <c r="F1223" s="47"/>
      <c r="G1223" s="47"/>
      <c r="H1223" s="47"/>
      <c r="I1223" s="47"/>
      <c r="J1223" s="47"/>
      <c r="K1223" s="47"/>
      <c r="L1223" s="47"/>
      <c r="M1223" s="47"/>
    </row>
    <row r="1224" spans="2:13" x14ac:dyDescent="0.25">
      <c r="B1224" s="47"/>
      <c r="C1224" s="48" t="str">
        <f t="shared" si="57"/>
        <v/>
      </c>
      <c r="D1224" s="47" t="str">
        <f t="shared" si="58"/>
        <v/>
      </c>
      <c r="E1224" s="47" t="str">
        <f t="shared" si="59"/>
        <v/>
      </c>
      <c r="F1224" s="47"/>
      <c r="G1224" s="47"/>
      <c r="H1224" s="47"/>
      <c r="I1224" s="47"/>
      <c r="J1224" s="47"/>
      <c r="K1224" s="47"/>
      <c r="L1224" s="47"/>
      <c r="M1224" s="47"/>
    </row>
    <row r="1225" spans="2:13" x14ac:dyDescent="0.25">
      <c r="B1225" s="47"/>
      <c r="C1225" s="48" t="str">
        <f t="shared" si="57"/>
        <v/>
      </c>
      <c r="D1225" s="47" t="str">
        <f t="shared" si="58"/>
        <v/>
      </c>
      <c r="E1225" s="47" t="str">
        <f t="shared" si="59"/>
        <v/>
      </c>
      <c r="F1225" s="47"/>
      <c r="G1225" s="47"/>
      <c r="H1225" s="47"/>
      <c r="I1225" s="47"/>
      <c r="J1225" s="47"/>
      <c r="K1225" s="47"/>
      <c r="L1225" s="47"/>
      <c r="M1225" s="47"/>
    </row>
    <row r="1226" spans="2:13" x14ac:dyDescent="0.25">
      <c r="B1226" s="47"/>
      <c r="C1226" s="48" t="str">
        <f t="shared" si="57"/>
        <v/>
      </c>
      <c r="D1226" s="47" t="str">
        <f t="shared" si="58"/>
        <v/>
      </c>
      <c r="E1226" s="47" t="str">
        <f t="shared" si="59"/>
        <v/>
      </c>
      <c r="F1226" s="47"/>
      <c r="G1226" s="47"/>
      <c r="H1226" s="47"/>
      <c r="I1226" s="47"/>
      <c r="J1226" s="47"/>
      <c r="K1226" s="47"/>
      <c r="L1226" s="47"/>
      <c r="M1226" s="47"/>
    </row>
    <row r="1227" spans="2:13" x14ac:dyDescent="0.25">
      <c r="B1227" s="47"/>
      <c r="C1227" s="48" t="str">
        <f t="shared" si="57"/>
        <v/>
      </c>
      <c r="D1227" s="47" t="str">
        <f t="shared" si="58"/>
        <v/>
      </c>
      <c r="E1227" s="47" t="str">
        <f t="shared" si="59"/>
        <v/>
      </c>
      <c r="F1227" s="47"/>
      <c r="G1227" s="47"/>
      <c r="H1227" s="47"/>
      <c r="I1227" s="47"/>
      <c r="J1227" s="47"/>
      <c r="K1227" s="47"/>
      <c r="L1227" s="47"/>
      <c r="M1227" s="47"/>
    </row>
    <row r="1228" spans="2:13" x14ac:dyDescent="0.25">
      <c r="B1228" s="47"/>
      <c r="C1228" s="48" t="str">
        <f t="shared" si="57"/>
        <v/>
      </c>
      <c r="D1228" s="47" t="str">
        <f t="shared" si="58"/>
        <v/>
      </c>
      <c r="E1228" s="47" t="str">
        <f t="shared" si="59"/>
        <v/>
      </c>
      <c r="F1228" s="47"/>
      <c r="G1228" s="47"/>
      <c r="H1228" s="47"/>
      <c r="I1228" s="47"/>
      <c r="J1228" s="47"/>
      <c r="K1228" s="47"/>
      <c r="L1228" s="47"/>
      <c r="M1228" s="47"/>
    </row>
    <row r="1229" spans="2:13" x14ac:dyDescent="0.25">
      <c r="B1229" s="47"/>
      <c r="C1229" s="48" t="str">
        <f t="shared" si="57"/>
        <v/>
      </c>
      <c r="D1229" s="47" t="str">
        <f t="shared" si="58"/>
        <v/>
      </c>
      <c r="E1229" s="47" t="str">
        <f t="shared" si="59"/>
        <v/>
      </c>
      <c r="F1229" s="47"/>
      <c r="G1229" s="47"/>
      <c r="H1229" s="47"/>
      <c r="I1229" s="47"/>
      <c r="J1229" s="47"/>
      <c r="K1229" s="47"/>
      <c r="L1229" s="47"/>
      <c r="M1229" s="47"/>
    </row>
    <row r="1230" spans="2:13" x14ac:dyDescent="0.25">
      <c r="B1230" s="47"/>
      <c r="C1230" s="48" t="str">
        <f t="shared" si="57"/>
        <v/>
      </c>
      <c r="D1230" s="47" t="str">
        <f t="shared" si="58"/>
        <v/>
      </c>
      <c r="E1230" s="47" t="str">
        <f t="shared" si="59"/>
        <v/>
      </c>
      <c r="F1230" s="47"/>
      <c r="G1230" s="47"/>
      <c r="H1230" s="47"/>
      <c r="I1230" s="47"/>
      <c r="J1230" s="47"/>
      <c r="K1230" s="47"/>
      <c r="L1230" s="47"/>
      <c r="M1230" s="47"/>
    </row>
    <row r="1231" spans="2:13" x14ac:dyDescent="0.25">
      <c r="B1231" s="47"/>
      <c r="C1231" s="48" t="str">
        <f t="shared" si="57"/>
        <v/>
      </c>
      <c r="D1231" s="47" t="str">
        <f t="shared" si="58"/>
        <v/>
      </c>
      <c r="E1231" s="47" t="str">
        <f t="shared" si="59"/>
        <v/>
      </c>
      <c r="F1231" s="47"/>
      <c r="G1231" s="47"/>
      <c r="H1231" s="47"/>
      <c r="I1231" s="47"/>
      <c r="J1231" s="47"/>
      <c r="K1231" s="47"/>
      <c r="L1231" s="47"/>
      <c r="M1231" s="47"/>
    </row>
    <row r="1232" spans="2:13" x14ac:dyDescent="0.25">
      <c r="B1232" s="47"/>
      <c r="C1232" s="48" t="str">
        <f t="shared" si="57"/>
        <v/>
      </c>
      <c r="D1232" s="47" t="str">
        <f t="shared" si="58"/>
        <v/>
      </c>
      <c r="E1232" s="47" t="str">
        <f t="shared" si="59"/>
        <v/>
      </c>
      <c r="F1232" s="47"/>
      <c r="G1232" s="47"/>
      <c r="H1232" s="47"/>
      <c r="I1232" s="47"/>
      <c r="J1232" s="47"/>
      <c r="K1232" s="47"/>
      <c r="L1232" s="47"/>
      <c r="M1232" s="47"/>
    </row>
    <row r="1233" spans="2:13" x14ac:dyDescent="0.25">
      <c r="B1233" s="47"/>
      <c r="C1233" s="48" t="str">
        <f t="shared" si="57"/>
        <v/>
      </c>
      <c r="D1233" s="47" t="str">
        <f t="shared" si="58"/>
        <v/>
      </c>
      <c r="E1233" s="47" t="str">
        <f t="shared" si="59"/>
        <v/>
      </c>
      <c r="F1233" s="47"/>
      <c r="G1233" s="47"/>
      <c r="H1233" s="47"/>
      <c r="I1233" s="47"/>
      <c r="J1233" s="47"/>
      <c r="K1233" s="47"/>
      <c r="L1233" s="47"/>
      <c r="M1233" s="47"/>
    </row>
    <row r="1234" spans="2:13" x14ac:dyDescent="0.25">
      <c r="B1234" s="47"/>
      <c r="C1234" s="48" t="str">
        <f t="shared" si="57"/>
        <v/>
      </c>
      <c r="D1234" s="47" t="str">
        <f t="shared" si="58"/>
        <v/>
      </c>
      <c r="E1234" s="47" t="str">
        <f t="shared" si="59"/>
        <v/>
      </c>
      <c r="F1234" s="47"/>
      <c r="G1234" s="47"/>
      <c r="H1234" s="47"/>
      <c r="I1234" s="47"/>
      <c r="J1234" s="47"/>
      <c r="K1234" s="47"/>
      <c r="L1234" s="47"/>
      <c r="M1234" s="47"/>
    </row>
    <row r="1235" spans="2:13" x14ac:dyDescent="0.25">
      <c r="B1235" s="47"/>
      <c r="C1235" s="48" t="str">
        <f t="shared" si="57"/>
        <v/>
      </c>
      <c r="D1235" s="47" t="str">
        <f t="shared" si="58"/>
        <v/>
      </c>
      <c r="E1235" s="47" t="str">
        <f t="shared" si="59"/>
        <v/>
      </c>
      <c r="F1235" s="47"/>
      <c r="G1235" s="47"/>
      <c r="H1235" s="47"/>
      <c r="I1235" s="47"/>
      <c r="J1235" s="47"/>
      <c r="K1235" s="47"/>
      <c r="L1235" s="47"/>
      <c r="M1235" s="47"/>
    </row>
    <row r="1236" spans="2:13" x14ac:dyDescent="0.25">
      <c r="B1236" s="47"/>
      <c r="C1236" s="48" t="str">
        <f t="shared" si="57"/>
        <v/>
      </c>
      <c r="D1236" s="47" t="str">
        <f t="shared" si="58"/>
        <v/>
      </c>
      <c r="E1236" s="47" t="str">
        <f t="shared" si="59"/>
        <v/>
      </c>
      <c r="F1236" s="47"/>
      <c r="G1236" s="47"/>
      <c r="H1236" s="47"/>
      <c r="I1236" s="47"/>
      <c r="J1236" s="47"/>
      <c r="K1236" s="47"/>
      <c r="L1236" s="47"/>
      <c r="M1236" s="47"/>
    </row>
    <row r="1237" spans="2:13" x14ac:dyDescent="0.25">
      <c r="B1237" s="47"/>
      <c r="C1237" s="48" t="str">
        <f t="shared" si="57"/>
        <v/>
      </c>
      <c r="D1237" s="47" t="str">
        <f t="shared" si="58"/>
        <v/>
      </c>
      <c r="E1237" s="47" t="str">
        <f t="shared" si="59"/>
        <v/>
      </c>
      <c r="F1237" s="47"/>
      <c r="G1237" s="47"/>
      <c r="H1237" s="47"/>
      <c r="I1237" s="47"/>
      <c r="J1237" s="47"/>
      <c r="K1237" s="47"/>
      <c r="L1237" s="47"/>
      <c r="M1237" s="47"/>
    </row>
    <row r="1238" spans="2:13" x14ac:dyDescent="0.25">
      <c r="B1238" s="47"/>
      <c r="C1238" s="48" t="str">
        <f t="shared" si="57"/>
        <v/>
      </c>
      <c r="D1238" s="47" t="str">
        <f t="shared" si="58"/>
        <v/>
      </c>
      <c r="E1238" s="47" t="str">
        <f t="shared" si="59"/>
        <v/>
      </c>
      <c r="F1238" s="47"/>
      <c r="G1238" s="47"/>
      <c r="H1238" s="47"/>
      <c r="I1238" s="47"/>
      <c r="J1238" s="47"/>
      <c r="K1238" s="47"/>
      <c r="L1238" s="47"/>
      <c r="M1238" s="47"/>
    </row>
    <row r="1239" spans="2:13" x14ac:dyDescent="0.25">
      <c r="B1239" s="47"/>
      <c r="C1239" s="48" t="str">
        <f t="shared" si="57"/>
        <v/>
      </c>
      <c r="D1239" s="47" t="str">
        <f t="shared" si="58"/>
        <v/>
      </c>
      <c r="E1239" s="47" t="str">
        <f t="shared" si="59"/>
        <v/>
      </c>
      <c r="F1239" s="47"/>
      <c r="G1239" s="47"/>
      <c r="H1239" s="47"/>
      <c r="I1239" s="47"/>
      <c r="J1239" s="47"/>
      <c r="K1239" s="47"/>
      <c r="L1239" s="47"/>
      <c r="M1239" s="47"/>
    </row>
    <row r="1240" spans="2:13" x14ac:dyDescent="0.25">
      <c r="B1240" s="47"/>
      <c r="C1240" s="48" t="str">
        <f t="shared" si="57"/>
        <v/>
      </c>
      <c r="D1240" s="47" t="str">
        <f t="shared" si="58"/>
        <v/>
      </c>
      <c r="E1240" s="47" t="str">
        <f t="shared" si="59"/>
        <v/>
      </c>
      <c r="F1240" s="47"/>
      <c r="G1240" s="47"/>
      <c r="H1240" s="47"/>
      <c r="I1240" s="47"/>
      <c r="J1240" s="47"/>
      <c r="K1240" s="47"/>
      <c r="L1240" s="47"/>
      <c r="M1240" s="47"/>
    </row>
    <row r="1241" spans="2:13" x14ac:dyDescent="0.25">
      <c r="B1241" s="47"/>
      <c r="C1241" s="48" t="str">
        <f t="shared" si="57"/>
        <v/>
      </c>
      <c r="D1241" s="47" t="str">
        <f t="shared" si="58"/>
        <v/>
      </c>
      <c r="E1241" s="47" t="str">
        <f t="shared" si="59"/>
        <v/>
      </c>
      <c r="F1241" s="47"/>
      <c r="G1241" s="47"/>
      <c r="H1241" s="47"/>
      <c r="I1241" s="47"/>
      <c r="J1241" s="47"/>
      <c r="K1241" s="47"/>
      <c r="L1241" s="47"/>
      <c r="M1241" s="47"/>
    </row>
    <row r="1242" spans="2:13" x14ac:dyDescent="0.25">
      <c r="B1242" s="47"/>
      <c r="C1242" s="48" t="str">
        <f t="shared" si="57"/>
        <v/>
      </c>
      <c r="D1242" s="47" t="str">
        <f t="shared" si="58"/>
        <v/>
      </c>
      <c r="E1242" s="47" t="str">
        <f t="shared" si="59"/>
        <v/>
      </c>
      <c r="F1242" s="47"/>
      <c r="G1242" s="47"/>
      <c r="H1242" s="47"/>
      <c r="I1242" s="47"/>
      <c r="J1242" s="47"/>
      <c r="K1242" s="47"/>
      <c r="L1242" s="47"/>
      <c r="M1242" s="47"/>
    </row>
    <row r="1243" spans="2:13" x14ac:dyDescent="0.25">
      <c r="B1243" s="47"/>
      <c r="C1243" s="48" t="str">
        <f t="shared" si="57"/>
        <v/>
      </c>
      <c r="D1243" s="47" t="str">
        <f t="shared" si="58"/>
        <v/>
      </c>
      <c r="E1243" s="47" t="str">
        <f t="shared" si="59"/>
        <v/>
      </c>
      <c r="F1243" s="47"/>
      <c r="G1243" s="47"/>
      <c r="H1243" s="47"/>
      <c r="I1243" s="47"/>
      <c r="J1243" s="47"/>
      <c r="K1243" s="47"/>
      <c r="L1243" s="47"/>
      <c r="M1243" s="47"/>
    </row>
    <row r="1244" spans="2:13" x14ac:dyDescent="0.25">
      <c r="B1244" s="47"/>
      <c r="C1244" s="48" t="str">
        <f t="shared" si="57"/>
        <v/>
      </c>
      <c r="D1244" s="47" t="str">
        <f t="shared" si="58"/>
        <v/>
      </c>
      <c r="E1244" s="47" t="str">
        <f t="shared" si="59"/>
        <v/>
      </c>
      <c r="F1244" s="47"/>
      <c r="G1244" s="47"/>
      <c r="H1244" s="47"/>
      <c r="I1244" s="47"/>
      <c r="J1244" s="47"/>
      <c r="K1244" s="47"/>
      <c r="L1244" s="47"/>
      <c r="M1244" s="47"/>
    </row>
    <row r="1245" spans="2:13" x14ac:dyDescent="0.25">
      <c r="B1245" s="47"/>
      <c r="C1245" s="48" t="str">
        <f t="shared" si="57"/>
        <v/>
      </c>
      <c r="D1245" s="47" t="str">
        <f t="shared" si="58"/>
        <v/>
      </c>
      <c r="E1245" s="47" t="str">
        <f t="shared" si="59"/>
        <v/>
      </c>
      <c r="F1245" s="47"/>
      <c r="G1245" s="47"/>
      <c r="H1245" s="47"/>
      <c r="I1245" s="47"/>
      <c r="J1245" s="47"/>
      <c r="K1245" s="47"/>
      <c r="L1245" s="47"/>
      <c r="M1245" s="47"/>
    </row>
    <row r="1246" spans="2:13" x14ac:dyDescent="0.25">
      <c r="B1246" s="47"/>
      <c r="C1246" s="48" t="str">
        <f t="shared" si="57"/>
        <v/>
      </c>
      <c r="D1246" s="47" t="str">
        <f t="shared" si="58"/>
        <v/>
      </c>
      <c r="E1246" s="47" t="str">
        <f t="shared" si="59"/>
        <v/>
      </c>
      <c r="F1246" s="47"/>
      <c r="G1246" s="47"/>
      <c r="H1246" s="47"/>
      <c r="I1246" s="47"/>
      <c r="J1246" s="47"/>
      <c r="K1246" s="47"/>
      <c r="L1246" s="47"/>
      <c r="M1246" s="47"/>
    </row>
    <row r="1247" spans="2:13" x14ac:dyDescent="0.25">
      <c r="B1247" s="47"/>
      <c r="C1247" s="48" t="str">
        <f t="shared" si="57"/>
        <v/>
      </c>
      <c r="D1247" s="47" t="str">
        <f t="shared" si="58"/>
        <v/>
      </c>
      <c r="E1247" s="47" t="str">
        <f t="shared" si="59"/>
        <v/>
      </c>
      <c r="F1247" s="47"/>
      <c r="G1247" s="47"/>
      <c r="H1247" s="47"/>
      <c r="I1247" s="47"/>
      <c r="J1247" s="47"/>
      <c r="K1247" s="47"/>
      <c r="L1247" s="47"/>
      <c r="M1247" s="47"/>
    </row>
    <row r="1248" spans="2:13" x14ac:dyDescent="0.25">
      <c r="B1248" s="47"/>
      <c r="C1248" s="48" t="str">
        <f t="shared" si="57"/>
        <v/>
      </c>
      <c r="D1248" s="47" t="str">
        <f t="shared" si="58"/>
        <v/>
      </c>
      <c r="E1248" s="47" t="str">
        <f t="shared" si="59"/>
        <v/>
      </c>
      <c r="F1248" s="47"/>
      <c r="G1248" s="47"/>
      <c r="H1248" s="47"/>
      <c r="I1248" s="47"/>
      <c r="J1248" s="47"/>
      <c r="K1248" s="47"/>
      <c r="L1248" s="47"/>
      <c r="M1248" s="47"/>
    </row>
    <row r="1249" spans="2:13" x14ac:dyDescent="0.25">
      <c r="B1249" s="47"/>
      <c r="C1249" s="48" t="str">
        <f t="shared" si="57"/>
        <v/>
      </c>
      <c r="D1249" s="47" t="str">
        <f t="shared" si="58"/>
        <v/>
      </c>
      <c r="E1249" s="47" t="str">
        <f t="shared" si="59"/>
        <v/>
      </c>
      <c r="F1249" s="47"/>
      <c r="G1249" s="47"/>
      <c r="H1249" s="47"/>
      <c r="I1249" s="47"/>
      <c r="J1249" s="47"/>
      <c r="K1249" s="47"/>
      <c r="L1249" s="47"/>
      <c r="M1249" s="47"/>
    </row>
    <row r="1250" spans="2:13" x14ac:dyDescent="0.25">
      <c r="B1250" s="47"/>
      <c r="C1250" s="48" t="str">
        <f t="shared" si="57"/>
        <v/>
      </c>
      <c r="D1250" s="47" t="str">
        <f t="shared" si="58"/>
        <v/>
      </c>
      <c r="E1250" s="47" t="str">
        <f t="shared" si="59"/>
        <v/>
      </c>
      <c r="F1250" s="47"/>
      <c r="G1250" s="47"/>
      <c r="H1250" s="47"/>
      <c r="I1250" s="47"/>
      <c r="J1250" s="47"/>
      <c r="K1250" s="47"/>
      <c r="L1250" s="47"/>
      <c r="M1250" s="47"/>
    </row>
    <row r="1251" spans="2:13" x14ac:dyDescent="0.25">
      <c r="B1251" s="47"/>
      <c r="C1251" s="48" t="str">
        <f t="shared" si="57"/>
        <v/>
      </c>
      <c r="D1251" s="47" t="str">
        <f t="shared" si="58"/>
        <v/>
      </c>
      <c r="E1251" s="47" t="str">
        <f t="shared" si="59"/>
        <v/>
      </c>
      <c r="F1251" s="47"/>
      <c r="G1251" s="47"/>
      <c r="H1251" s="47"/>
      <c r="I1251" s="47"/>
      <c r="J1251" s="47"/>
      <c r="K1251" s="47"/>
      <c r="L1251" s="47"/>
      <c r="M1251" s="47"/>
    </row>
    <row r="1252" spans="2:13" x14ac:dyDescent="0.25">
      <c r="B1252" s="47"/>
      <c r="C1252" s="48" t="str">
        <f t="shared" si="57"/>
        <v/>
      </c>
      <c r="D1252" s="47" t="str">
        <f t="shared" si="58"/>
        <v/>
      </c>
      <c r="E1252" s="47" t="str">
        <f t="shared" si="59"/>
        <v/>
      </c>
      <c r="F1252" s="47"/>
      <c r="G1252" s="47"/>
      <c r="H1252" s="47"/>
      <c r="I1252" s="47"/>
      <c r="J1252" s="47"/>
      <c r="K1252" s="47"/>
      <c r="L1252" s="47"/>
      <c r="M1252" s="47"/>
    </row>
    <row r="1253" spans="2:13" x14ac:dyDescent="0.25">
      <c r="B1253" s="47"/>
      <c r="C1253" s="48" t="str">
        <f t="shared" si="57"/>
        <v/>
      </c>
      <c r="D1253" s="47" t="str">
        <f t="shared" si="58"/>
        <v/>
      </c>
      <c r="E1253" s="47" t="str">
        <f t="shared" si="59"/>
        <v/>
      </c>
      <c r="F1253" s="47"/>
      <c r="G1253" s="47"/>
      <c r="H1253" s="47"/>
      <c r="I1253" s="47"/>
      <c r="J1253" s="47"/>
      <c r="K1253" s="47"/>
      <c r="L1253" s="47"/>
      <c r="M1253" s="47"/>
    </row>
    <row r="1254" spans="2:13" x14ac:dyDescent="0.25">
      <c r="B1254" s="47"/>
      <c r="C1254" s="48" t="str">
        <f t="shared" si="57"/>
        <v/>
      </c>
      <c r="D1254" s="47" t="str">
        <f t="shared" si="58"/>
        <v/>
      </c>
      <c r="E1254" s="47" t="str">
        <f t="shared" si="59"/>
        <v/>
      </c>
      <c r="F1254" s="47"/>
      <c r="G1254" s="47"/>
      <c r="H1254" s="47"/>
      <c r="I1254" s="47"/>
      <c r="J1254" s="47"/>
      <c r="K1254" s="47"/>
      <c r="L1254" s="47"/>
      <c r="M1254" s="47"/>
    </row>
    <row r="1255" spans="2:13" x14ac:dyDescent="0.25">
      <c r="B1255" s="47"/>
      <c r="C1255" s="48" t="str">
        <f t="shared" si="57"/>
        <v/>
      </c>
      <c r="D1255" s="47" t="str">
        <f t="shared" si="58"/>
        <v/>
      </c>
      <c r="E1255" s="47" t="str">
        <f t="shared" si="59"/>
        <v/>
      </c>
      <c r="F1255" s="47"/>
      <c r="G1255" s="47"/>
      <c r="H1255" s="47"/>
      <c r="I1255" s="47"/>
      <c r="J1255" s="47"/>
      <c r="K1255" s="47"/>
      <c r="L1255" s="47"/>
      <c r="M1255" s="47"/>
    </row>
    <row r="1256" spans="2:13" x14ac:dyDescent="0.25">
      <c r="B1256" s="47"/>
      <c r="C1256" s="48" t="str">
        <f t="shared" si="57"/>
        <v/>
      </c>
      <c r="D1256" s="47" t="str">
        <f t="shared" si="58"/>
        <v/>
      </c>
      <c r="E1256" s="47" t="str">
        <f t="shared" si="59"/>
        <v/>
      </c>
      <c r="F1256" s="47"/>
      <c r="G1256" s="47"/>
      <c r="H1256" s="47"/>
      <c r="I1256" s="47"/>
      <c r="J1256" s="47"/>
      <c r="K1256" s="47"/>
      <c r="L1256" s="47"/>
      <c r="M1256" s="47"/>
    </row>
    <row r="1257" spans="2:13" x14ac:dyDescent="0.25">
      <c r="B1257" s="47"/>
      <c r="C1257" s="48" t="str">
        <f t="shared" si="57"/>
        <v/>
      </c>
      <c r="D1257" s="47" t="str">
        <f t="shared" si="58"/>
        <v/>
      </c>
      <c r="E1257" s="47" t="str">
        <f t="shared" si="59"/>
        <v/>
      </c>
      <c r="F1257" s="47"/>
      <c r="G1257" s="47"/>
      <c r="H1257" s="47"/>
      <c r="I1257" s="47"/>
      <c r="J1257" s="47"/>
      <c r="K1257" s="47"/>
      <c r="L1257" s="47"/>
      <c r="M1257" s="47"/>
    </row>
    <row r="1258" spans="2:13" x14ac:dyDescent="0.25">
      <c r="B1258" s="47"/>
      <c r="C1258" s="48" t="str">
        <f t="shared" si="57"/>
        <v/>
      </c>
      <c r="D1258" s="47" t="str">
        <f t="shared" si="58"/>
        <v/>
      </c>
      <c r="E1258" s="47" t="str">
        <f t="shared" si="59"/>
        <v/>
      </c>
      <c r="F1258" s="47"/>
      <c r="G1258" s="47"/>
      <c r="H1258" s="47"/>
      <c r="I1258" s="47"/>
      <c r="J1258" s="47"/>
      <c r="K1258" s="47"/>
      <c r="L1258" s="47"/>
      <c r="M1258" s="47"/>
    </row>
    <row r="1259" spans="2:13" x14ac:dyDescent="0.25">
      <c r="B1259" s="47"/>
      <c r="C1259" s="48" t="str">
        <f t="shared" si="57"/>
        <v/>
      </c>
      <c r="D1259" s="47" t="str">
        <f t="shared" si="58"/>
        <v/>
      </c>
      <c r="E1259" s="47" t="str">
        <f t="shared" si="59"/>
        <v/>
      </c>
      <c r="F1259" s="47"/>
      <c r="G1259" s="47"/>
      <c r="H1259" s="47"/>
      <c r="I1259" s="47"/>
      <c r="J1259" s="47"/>
      <c r="K1259" s="47"/>
      <c r="L1259" s="47"/>
      <c r="M1259" s="47"/>
    </row>
    <row r="1260" spans="2:13" x14ac:dyDescent="0.25">
      <c r="B1260" s="47"/>
      <c r="C1260" s="48" t="str">
        <f t="shared" si="57"/>
        <v/>
      </c>
      <c r="D1260" s="47" t="str">
        <f t="shared" si="58"/>
        <v/>
      </c>
      <c r="E1260" s="47" t="str">
        <f t="shared" si="59"/>
        <v/>
      </c>
      <c r="F1260" s="47"/>
      <c r="G1260" s="47"/>
      <c r="H1260" s="47"/>
      <c r="I1260" s="47"/>
      <c r="J1260" s="47"/>
      <c r="K1260" s="47"/>
      <c r="L1260" s="47"/>
      <c r="M1260" s="47"/>
    </row>
    <row r="1261" spans="2:13" x14ac:dyDescent="0.25">
      <c r="B1261" s="47"/>
      <c r="C1261" s="48" t="str">
        <f t="shared" si="57"/>
        <v/>
      </c>
      <c r="D1261" s="47" t="str">
        <f t="shared" si="58"/>
        <v/>
      </c>
      <c r="E1261" s="47" t="str">
        <f t="shared" si="59"/>
        <v/>
      </c>
      <c r="F1261" s="47"/>
      <c r="G1261" s="47"/>
      <c r="H1261" s="47"/>
      <c r="I1261" s="47"/>
      <c r="J1261" s="47"/>
      <c r="K1261" s="47"/>
      <c r="L1261" s="47"/>
      <c r="M1261" s="47"/>
    </row>
    <row r="1262" spans="2:13" x14ac:dyDescent="0.25">
      <c r="B1262" s="47"/>
      <c r="C1262" s="48" t="str">
        <f t="shared" si="57"/>
        <v/>
      </c>
      <c r="D1262" s="47" t="str">
        <f t="shared" si="58"/>
        <v/>
      </c>
      <c r="E1262" s="47" t="str">
        <f t="shared" si="59"/>
        <v/>
      </c>
      <c r="F1262" s="47"/>
      <c r="G1262" s="47"/>
      <c r="H1262" s="47"/>
      <c r="I1262" s="47"/>
      <c r="J1262" s="47"/>
      <c r="K1262" s="47"/>
      <c r="L1262" s="47"/>
      <c r="M1262" s="47"/>
    </row>
    <row r="1263" spans="2:13" x14ac:dyDescent="0.25">
      <c r="B1263" s="47"/>
      <c r="C1263" s="48" t="str">
        <f t="shared" si="57"/>
        <v/>
      </c>
      <c r="D1263" s="47" t="str">
        <f t="shared" si="58"/>
        <v/>
      </c>
      <c r="E1263" s="47" t="str">
        <f t="shared" si="59"/>
        <v/>
      </c>
      <c r="F1263" s="47"/>
      <c r="G1263" s="47"/>
      <c r="H1263" s="47"/>
      <c r="I1263" s="47"/>
      <c r="J1263" s="47"/>
      <c r="K1263" s="47"/>
      <c r="L1263" s="47"/>
      <c r="M1263" s="47"/>
    </row>
    <row r="1264" spans="2:13" x14ac:dyDescent="0.25">
      <c r="B1264" s="47"/>
      <c r="C1264" s="48" t="str">
        <f t="shared" si="57"/>
        <v/>
      </c>
      <c r="D1264" s="47" t="str">
        <f t="shared" si="58"/>
        <v/>
      </c>
      <c r="E1264" s="47" t="str">
        <f t="shared" si="59"/>
        <v/>
      </c>
      <c r="F1264" s="47"/>
      <c r="G1264" s="47"/>
      <c r="H1264" s="47"/>
      <c r="I1264" s="47"/>
      <c r="J1264" s="47"/>
      <c r="K1264" s="47"/>
      <c r="L1264" s="47"/>
      <c r="M1264" s="47"/>
    </row>
    <row r="1265" spans="2:13" x14ac:dyDescent="0.25">
      <c r="B1265" s="47"/>
      <c r="C1265" s="48" t="str">
        <f t="shared" si="57"/>
        <v/>
      </c>
      <c r="D1265" s="47" t="str">
        <f t="shared" si="58"/>
        <v/>
      </c>
      <c r="E1265" s="47" t="str">
        <f t="shared" si="59"/>
        <v/>
      </c>
      <c r="F1265" s="47"/>
      <c r="G1265" s="47"/>
      <c r="H1265" s="47"/>
      <c r="I1265" s="47"/>
      <c r="J1265" s="47"/>
      <c r="K1265" s="47"/>
      <c r="L1265" s="47"/>
      <c r="M1265" s="47"/>
    </row>
    <row r="1266" spans="2:13" x14ac:dyDescent="0.25">
      <c r="B1266" s="47"/>
      <c r="C1266" s="48" t="str">
        <f t="shared" si="57"/>
        <v/>
      </c>
      <c r="D1266" s="47" t="str">
        <f t="shared" si="58"/>
        <v/>
      </c>
      <c r="E1266" s="47" t="str">
        <f t="shared" si="59"/>
        <v/>
      </c>
      <c r="F1266" s="47"/>
      <c r="G1266" s="47"/>
      <c r="H1266" s="47"/>
      <c r="I1266" s="47"/>
      <c r="J1266" s="47"/>
      <c r="K1266" s="47"/>
      <c r="L1266" s="47"/>
      <c r="M1266" s="47"/>
    </row>
    <row r="1267" spans="2:13" x14ac:dyDescent="0.25">
      <c r="B1267" s="47"/>
      <c r="C1267" s="48" t="str">
        <f t="shared" si="57"/>
        <v/>
      </c>
      <c r="D1267" s="47" t="str">
        <f t="shared" si="58"/>
        <v/>
      </c>
      <c r="E1267" s="47" t="str">
        <f t="shared" si="59"/>
        <v/>
      </c>
      <c r="F1267" s="47"/>
      <c r="G1267" s="47"/>
      <c r="H1267" s="47"/>
      <c r="I1267" s="47"/>
      <c r="J1267" s="47"/>
      <c r="K1267" s="47"/>
      <c r="L1267" s="47"/>
      <c r="M1267" s="47"/>
    </row>
    <row r="1268" spans="2:13" x14ac:dyDescent="0.25">
      <c r="B1268" s="47"/>
      <c r="C1268" s="48" t="str">
        <f t="shared" si="57"/>
        <v/>
      </c>
      <c r="D1268" s="47" t="str">
        <f t="shared" si="58"/>
        <v/>
      </c>
      <c r="E1268" s="47" t="str">
        <f t="shared" si="59"/>
        <v/>
      </c>
      <c r="F1268" s="47"/>
      <c r="G1268" s="47"/>
      <c r="H1268" s="47"/>
      <c r="I1268" s="47"/>
      <c r="J1268" s="47"/>
      <c r="K1268" s="47"/>
      <c r="L1268" s="47"/>
      <c r="M1268" s="47"/>
    </row>
    <row r="1269" spans="2:13" x14ac:dyDescent="0.25">
      <c r="B1269" s="47"/>
      <c r="C1269" s="48" t="str">
        <f t="shared" si="57"/>
        <v/>
      </c>
      <c r="D1269" s="47" t="str">
        <f t="shared" si="58"/>
        <v/>
      </c>
      <c r="E1269" s="47" t="str">
        <f t="shared" si="59"/>
        <v/>
      </c>
      <c r="F1269" s="47"/>
      <c r="G1269" s="47"/>
      <c r="H1269" s="47"/>
      <c r="I1269" s="47"/>
      <c r="J1269" s="47"/>
      <c r="K1269" s="47"/>
      <c r="L1269" s="47"/>
      <c r="M1269" s="47"/>
    </row>
    <row r="1270" spans="2:13" x14ac:dyDescent="0.25">
      <c r="B1270" s="47"/>
      <c r="C1270" s="48" t="str">
        <f t="shared" si="57"/>
        <v/>
      </c>
      <c r="D1270" s="47" t="str">
        <f t="shared" si="58"/>
        <v/>
      </c>
      <c r="E1270" s="47" t="str">
        <f t="shared" si="59"/>
        <v/>
      </c>
      <c r="F1270" s="47"/>
      <c r="G1270" s="47"/>
      <c r="H1270" s="47"/>
      <c r="I1270" s="47"/>
      <c r="J1270" s="47"/>
      <c r="K1270" s="47"/>
      <c r="L1270" s="47"/>
      <c r="M1270" s="47"/>
    </row>
    <row r="1271" spans="2:13" x14ac:dyDescent="0.25">
      <c r="B1271" s="47"/>
      <c r="C1271" s="48" t="str">
        <f t="shared" si="57"/>
        <v/>
      </c>
      <c r="D1271" s="47" t="str">
        <f t="shared" si="58"/>
        <v/>
      </c>
      <c r="E1271" s="47" t="str">
        <f t="shared" si="59"/>
        <v/>
      </c>
      <c r="F1271" s="47"/>
      <c r="G1271" s="47"/>
      <c r="H1271" s="47"/>
      <c r="I1271" s="47"/>
      <c r="J1271" s="47"/>
      <c r="K1271" s="47"/>
      <c r="L1271" s="47"/>
      <c r="M1271" s="47"/>
    </row>
    <row r="1272" spans="2:13" x14ac:dyDescent="0.25">
      <c r="B1272" s="47"/>
      <c r="C1272" s="48" t="str">
        <f t="shared" si="57"/>
        <v/>
      </c>
      <c r="D1272" s="47" t="str">
        <f t="shared" si="58"/>
        <v/>
      </c>
      <c r="E1272" s="47" t="str">
        <f t="shared" si="59"/>
        <v/>
      </c>
      <c r="F1272" s="47"/>
      <c r="G1272" s="47"/>
      <c r="H1272" s="47"/>
      <c r="I1272" s="47"/>
      <c r="J1272" s="47"/>
      <c r="K1272" s="47"/>
      <c r="L1272" s="47"/>
      <c r="M1272" s="47"/>
    </row>
    <row r="1273" spans="2:13" x14ac:dyDescent="0.25">
      <c r="B1273" s="47"/>
      <c r="C1273" s="48" t="str">
        <f t="shared" si="57"/>
        <v/>
      </c>
      <c r="D1273" s="47" t="str">
        <f t="shared" si="58"/>
        <v/>
      </c>
      <c r="E1273" s="47" t="str">
        <f t="shared" si="59"/>
        <v/>
      </c>
      <c r="F1273" s="47"/>
      <c r="G1273" s="47"/>
      <c r="H1273" s="47"/>
      <c r="I1273" s="47"/>
      <c r="J1273" s="47"/>
      <c r="K1273" s="47"/>
      <c r="L1273" s="47"/>
      <c r="M1273" s="47"/>
    </row>
    <row r="1274" spans="2:13" x14ac:dyDescent="0.25">
      <c r="B1274" s="47"/>
      <c r="C1274" s="48" t="str">
        <f t="shared" si="57"/>
        <v/>
      </c>
      <c r="D1274" s="47" t="str">
        <f t="shared" si="58"/>
        <v/>
      </c>
      <c r="E1274" s="47" t="str">
        <f t="shared" si="59"/>
        <v/>
      </c>
      <c r="F1274" s="47"/>
      <c r="G1274" s="47"/>
      <c r="H1274" s="47"/>
      <c r="I1274" s="47"/>
      <c r="J1274" s="47"/>
      <c r="K1274" s="47"/>
      <c r="L1274" s="47"/>
      <c r="M1274" s="47"/>
    </row>
    <row r="1275" spans="2:13" x14ac:dyDescent="0.25">
      <c r="B1275" s="47"/>
      <c r="C1275" s="48" t="str">
        <f t="shared" si="57"/>
        <v/>
      </c>
      <c r="D1275" s="47" t="str">
        <f t="shared" si="58"/>
        <v/>
      </c>
      <c r="E1275" s="47" t="str">
        <f t="shared" si="59"/>
        <v/>
      </c>
      <c r="F1275" s="47"/>
      <c r="G1275" s="47"/>
      <c r="H1275" s="47"/>
      <c r="I1275" s="47"/>
      <c r="J1275" s="47"/>
      <c r="K1275" s="47"/>
      <c r="L1275" s="47"/>
      <c r="M1275" s="47"/>
    </row>
    <row r="1276" spans="2:13" x14ac:dyDescent="0.25">
      <c r="B1276" s="47"/>
      <c r="C1276" s="48" t="str">
        <f t="shared" si="57"/>
        <v/>
      </c>
      <c r="D1276" s="47" t="str">
        <f t="shared" si="58"/>
        <v/>
      </c>
      <c r="E1276" s="47" t="str">
        <f t="shared" si="59"/>
        <v/>
      </c>
      <c r="F1276" s="47"/>
      <c r="G1276" s="47"/>
      <c r="H1276" s="47"/>
      <c r="I1276" s="47"/>
      <c r="J1276" s="47"/>
      <c r="K1276" s="47"/>
      <c r="L1276" s="47"/>
      <c r="M1276" s="47"/>
    </row>
    <row r="1277" spans="2:13" x14ac:dyDescent="0.25">
      <c r="B1277" s="47"/>
      <c r="C1277" s="48" t="str">
        <f t="shared" si="57"/>
        <v/>
      </c>
      <c r="D1277" s="47" t="str">
        <f t="shared" si="58"/>
        <v/>
      </c>
      <c r="E1277" s="47" t="str">
        <f t="shared" si="59"/>
        <v/>
      </c>
      <c r="F1277" s="47"/>
      <c r="G1277" s="47"/>
      <c r="H1277" s="47"/>
      <c r="I1277" s="47"/>
      <c r="J1277" s="47"/>
      <c r="K1277" s="47"/>
      <c r="L1277" s="47"/>
      <c r="M1277" s="47"/>
    </row>
    <row r="1278" spans="2:13" x14ac:dyDescent="0.25">
      <c r="B1278" s="47"/>
      <c r="C1278" s="48" t="str">
        <f t="shared" si="57"/>
        <v/>
      </c>
      <c r="D1278" s="47" t="str">
        <f t="shared" si="58"/>
        <v/>
      </c>
      <c r="E1278" s="47" t="str">
        <f t="shared" si="59"/>
        <v/>
      </c>
      <c r="F1278" s="47"/>
      <c r="G1278" s="47"/>
      <c r="H1278" s="47"/>
      <c r="I1278" s="47"/>
      <c r="J1278" s="47"/>
      <c r="K1278" s="47"/>
      <c r="L1278" s="47"/>
      <c r="M1278" s="47"/>
    </row>
    <row r="1279" spans="2:13" x14ac:dyDescent="0.25">
      <c r="B1279" s="47"/>
      <c r="C1279" s="48" t="str">
        <f t="shared" si="57"/>
        <v/>
      </c>
      <c r="D1279" s="47" t="str">
        <f t="shared" si="58"/>
        <v/>
      </c>
      <c r="E1279" s="47" t="str">
        <f t="shared" si="59"/>
        <v/>
      </c>
      <c r="F1279" s="47"/>
      <c r="G1279" s="47"/>
      <c r="H1279" s="47"/>
      <c r="I1279" s="47"/>
      <c r="J1279" s="47"/>
      <c r="K1279" s="47"/>
      <c r="L1279" s="47"/>
      <c r="M1279" s="47"/>
    </row>
    <row r="1280" spans="2:13" x14ac:dyDescent="0.25">
      <c r="B1280" s="47"/>
      <c r="C1280" s="48" t="str">
        <f t="shared" si="57"/>
        <v/>
      </c>
      <c r="D1280" s="47" t="str">
        <f t="shared" si="58"/>
        <v/>
      </c>
      <c r="E1280" s="47" t="str">
        <f t="shared" si="59"/>
        <v/>
      </c>
      <c r="F1280" s="47"/>
      <c r="G1280" s="47"/>
      <c r="H1280" s="47"/>
      <c r="I1280" s="47"/>
      <c r="J1280" s="47"/>
      <c r="K1280" s="47"/>
      <c r="L1280" s="47"/>
      <c r="M1280" s="47"/>
    </row>
    <row r="1281" spans="2:13" x14ac:dyDescent="0.25">
      <c r="B1281" s="47"/>
      <c r="C1281" s="48" t="str">
        <f t="shared" si="57"/>
        <v/>
      </c>
      <c r="D1281" s="47" t="str">
        <f t="shared" si="58"/>
        <v/>
      </c>
      <c r="E1281" s="47" t="str">
        <f t="shared" si="59"/>
        <v/>
      </c>
      <c r="F1281" s="47"/>
      <c r="G1281" s="47"/>
      <c r="H1281" s="47"/>
      <c r="I1281" s="47"/>
      <c r="J1281" s="47"/>
      <c r="K1281" s="47"/>
      <c r="L1281" s="47"/>
      <c r="M1281" s="47"/>
    </row>
    <row r="1282" spans="2:13" x14ac:dyDescent="0.25">
      <c r="B1282" s="47"/>
      <c r="C1282" s="48" t="str">
        <f t="shared" ref="C1282:C1345" si="60">IF(B1282="","",MONTH(B1282))</f>
        <v/>
      </c>
      <c r="D1282" s="47" t="str">
        <f t="shared" ref="D1282:D1345" si="61">IF(B1282="","",CHOOSE(C1282,"Enero","Febrero","Marzo","Abril","Mayo","Junio","Julio","Agosto","Septiembre","Octubre","Noviembre","Diciembre"))</f>
        <v/>
      </c>
      <c r="E1282" s="47" t="str">
        <f t="shared" ref="E1282:E1345" si="62">IF(B1282="","",YEAR(B1282))</f>
        <v/>
      </c>
      <c r="F1282" s="47"/>
      <c r="G1282" s="47"/>
      <c r="H1282" s="47"/>
      <c r="I1282" s="47"/>
      <c r="J1282" s="47"/>
      <c r="K1282" s="47"/>
      <c r="L1282" s="47"/>
      <c r="M1282" s="47"/>
    </row>
    <row r="1283" spans="2:13" x14ac:dyDescent="0.25">
      <c r="B1283" s="47"/>
      <c r="C1283" s="48" t="str">
        <f t="shared" si="60"/>
        <v/>
      </c>
      <c r="D1283" s="47" t="str">
        <f t="shared" si="61"/>
        <v/>
      </c>
      <c r="E1283" s="47" t="str">
        <f t="shared" si="62"/>
        <v/>
      </c>
      <c r="F1283" s="47"/>
      <c r="G1283" s="47"/>
      <c r="H1283" s="47"/>
      <c r="I1283" s="47"/>
      <c r="J1283" s="47"/>
      <c r="K1283" s="47"/>
      <c r="L1283" s="47"/>
      <c r="M1283" s="47"/>
    </row>
    <row r="1284" spans="2:13" x14ac:dyDescent="0.25">
      <c r="B1284" s="47"/>
      <c r="C1284" s="48" t="str">
        <f t="shared" si="60"/>
        <v/>
      </c>
      <c r="D1284" s="47" t="str">
        <f t="shared" si="61"/>
        <v/>
      </c>
      <c r="E1284" s="47" t="str">
        <f t="shared" si="62"/>
        <v/>
      </c>
      <c r="F1284" s="47"/>
      <c r="G1284" s="47"/>
      <c r="H1284" s="47"/>
      <c r="I1284" s="47"/>
      <c r="J1284" s="47"/>
      <c r="K1284" s="47"/>
      <c r="L1284" s="47"/>
      <c r="M1284" s="47"/>
    </row>
    <row r="1285" spans="2:13" x14ac:dyDescent="0.25">
      <c r="B1285" s="47"/>
      <c r="C1285" s="48" t="str">
        <f t="shared" si="60"/>
        <v/>
      </c>
      <c r="D1285" s="47" t="str">
        <f t="shared" si="61"/>
        <v/>
      </c>
      <c r="E1285" s="47" t="str">
        <f t="shared" si="62"/>
        <v/>
      </c>
      <c r="F1285" s="47"/>
      <c r="G1285" s="47"/>
      <c r="H1285" s="47"/>
      <c r="I1285" s="47"/>
      <c r="J1285" s="47"/>
      <c r="K1285" s="47"/>
      <c r="L1285" s="47"/>
      <c r="M1285" s="47"/>
    </row>
    <row r="1286" spans="2:13" x14ac:dyDescent="0.25">
      <c r="B1286" s="47"/>
      <c r="C1286" s="48" t="str">
        <f t="shared" si="60"/>
        <v/>
      </c>
      <c r="D1286" s="47" t="str">
        <f t="shared" si="61"/>
        <v/>
      </c>
      <c r="E1286" s="47" t="str">
        <f t="shared" si="62"/>
        <v/>
      </c>
      <c r="F1286" s="47"/>
      <c r="G1286" s="47"/>
      <c r="H1286" s="47"/>
      <c r="I1286" s="47"/>
      <c r="J1286" s="47"/>
      <c r="K1286" s="47"/>
      <c r="L1286" s="47"/>
      <c r="M1286" s="47"/>
    </row>
    <row r="1287" spans="2:13" x14ac:dyDescent="0.25">
      <c r="B1287" s="47"/>
      <c r="C1287" s="48" t="str">
        <f t="shared" si="60"/>
        <v/>
      </c>
      <c r="D1287" s="47" t="str">
        <f t="shared" si="61"/>
        <v/>
      </c>
      <c r="E1287" s="47" t="str">
        <f t="shared" si="62"/>
        <v/>
      </c>
      <c r="F1287" s="47"/>
      <c r="G1287" s="47"/>
      <c r="H1287" s="47"/>
      <c r="I1287" s="47"/>
      <c r="J1287" s="47"/>
      <c r="K1287" s="47"/>
      <c r="L1287" s="47"/>
      <c r="M1287" s="47"/>
    </row>
    <row r="1288" spans="2:13" x14ac:dyDescent="0.25">
      <c r="B1288" s="47"/>
      <c r="C1288" s="48" t="str">
        <f t="shared" si="60"/>
        <v/>
      </c>
      <c r="D1288" s="47" t="str">
        <f t="shared" si="61"/>
        <v/>
      </c>
      <c r="E1288" s="47" t="str">
        <f t="shared" si="62"/>
        <v/>
      </c>
      <c r="F1288" s="47"/>
      <c r="G1288" s="47"/>
      <c r="H1288" s="47"/>
      <c r="I1288" s="47"/>
      <c r="J1288" s="47"/>
      <c r="K1288" s="47"/>
      <c r="L1288" s="47"/>
      <c r="M1288" s="47"/>
    </row>
    <row r="1289" spans="2:13" x14ac:dyDescent="0.25">
      <c r="B1289" s="47"/>
      <c r="C1289" s="48" t="str">
        <f t="shared" si="60"/>
        <v/>
      </c>
      <c r="D1289" s="47" t="str">
        <f t="shared" si="61"/>
        <v/>
      </c>
      <c r="E1289" s="47" t="str">
        <f t="shared" si="62"/>
        <v/>
      </c>
      <c r="F1289" s="47"/>
      <c r="G1289" s="47"/>
      <c r="H1289" s="47"/>
      <c r="I1289" s="47"/>
      <c r="J1289" s="47"/>
      <c r="K1289" s="47"/>
      <c r="L1289" s="47"/>
      <c r="M1289" s="47"/>
    </row>
    <row r="1290" spans="2:13" x14ac:dyDescent="0.25">
      <c r="B1290" s="47"/>
      <c r="C1290" s="48" t="str">
        <f t="shared" si="60"/>
        <v/>
      </c>
      <c r="D1290" s="47" t="str">
        <f t="shared" si="61"/>
        <v/>
      </c>
      <c r="E1290" s="47" t="str">
        <f t="shared" si="62"/>
        <v/>
      </c>
      <c r="F1290" s="47"/>
      <c r="G1290" s="47"/>
      <c r="H1290" s="47"/>
      <c r="I1290" s="47"/>
      <c r="J1290" s="47"/>
      <c r="K1290" s="47"/>
      <c r="L1290" s="47"/>
      <c r="M1290" s="47"/>
    </row>
    <row r="1291" spans="2:13" x14ac:dyDescent="0.25">
      <c r="B1291" s="47"/>
      <c r="C1291" s="48" t="str">
        <f t="shared" si="60"/>
        <v/>
      </c>
      <c r="D1291" s="47" t="str">
        <f t="shared" si="61"/>
        <v/>
      </c>
      <c r="E1291" s="47" t="str">
        <f t="shared" si="62"/>
        <v/>
      </c>
      <c r="F1291" s="47"/>
      <c r="G1291" s="47"/>
      <c r="H1291" s="47"/>
      <c r="I1291" s="47"/>
      <c r="J1291" s="47"/>
      <c r="K1291" s="47"/>
      <c r="L1291" s="47"/>
      <c r="M1291" s="47"/>
    </row>
    <row r="1292" spans="2:13" x14ac:dyDescent="0.25">
      <c r="B1292" s="47"/>
      <c r="C1292" s="48" t="str">
        <f t="shared" si="60"/>
        <v/>
      </c>
      <c r="D1292" s="47" t="str">
        <f t="shared" si="61"/>
        <v/>
      </c>
      <c r="E1292" s="47" t="str">
        <f t="shared" si="62"/>
        <v/>
      </c>
      <c r="F1292" s="47"/>
      <c r="G1292" s="47"/>
      <c r="H1292" s="47"/>
      <c r="I1292" s="47"/>
      <c r="J1292" s="47"/>
      <c r="K1292" s="47"/>
      <c r="L1292" s="47"/>
      <c r="M1292" s="47"/>
    </row>
    <row r="1293" spans="2:13" x14ac:dyDescent="0.25">
      <c r="B1293" s="47"/>
      <c r="C1293" s="48" t="str">
        <f t="shared" si="60"/>
        <v/>
      </c>
      <c r="D1293" s="47" t="str">
        <f t="shared" si="61"/>
        <v/>
      </c>
      <c r="E1293" s="47" t="str">
        <f t="shared" si="62"/>
        <v/>
      </c>
      <c r="F1293" s="47"/>
      <c r="G1293" s="47"/>
      <c r="H1293" s="47"/>
      <c r="I1293" s="47"/>
      <c r="J1293" s="47"/>
      <c r="K1293" s="47"/>
      <c r="L1293" s="47"/>
      <c r="M1293" s="47"/>
    </row>
    <row r="1294" spans="2:13" x14ac:dyDescent="0.25">
      <c r="B1294" s="47"/>
      <c r="C1294" s="48" t="str">
        <f t="shared" si="60"/>
        <v/>
      </c>
      <c r="D1294" s="47" t="str">
        <f t="shared" si="61"/>
        <v/>
      </c>
      <c r="E1294" s="47" t="str">
        <f t="shared" si="62"/>
        <v/>
      </c>
      <c r="F1294" s="47"/>
      <c r="G1294" s="47"/>
      <c r="H1294" s="47"/>
      <c r="I1294" s="47"/>
      <c r="J1294" s="47"/>
      <c r="K1294" s="47"/>
      <c r="L1294" s="47"/>
      <c r="M1294" s="47"/>
    </row>
    <row r="1295" spans="2:13" x14ac:dyDescent="0.25">
      <c r="B1295" s="47"/>
      <c r="C1295" s="48" t="str">
        <f t="shared" si="60"/>
        <v/>
      </c>
      <c r="D1295" s="47" t="str">
        <f t="shared" si="61"/>
        <v/>
      </c>
      <c r="E1295" s="47" t="str">
        <f t="shared" si="62"/>
        <v/>
      </c>
      <c r="F1295" s="47"/>
      <c r="G1295" s="47"/>
      <c r="H1295" s="47"/>
      <c r="I1295" s="47"/>
      <c r="J1295" s="47"/>
      <c r="K1295" s="47"/>
      <c r="L1295" s="47"/>
      <c r="M1295" s="47"/>
    </row>
    <row r="1296" spans="2:13" x14ac:dyDescent="0.25">
      <c r="B1296" s="47"/>
      <c r="C1296" s="48" t="str">
        <f t="shared" si="60"/>
        <v/>
      </c>
      <c r="D1296" s="47" t="str">
        <f t="shared" si="61"/>
        <v/>
      </c>
      <c r="E1296" s="47" t="str">
        <f t="shared" si="62"/>
        <v/>
      </c>
      <c r="F1296" s="47"/>
      <c r="G1296" s="47"/>
      <c r="H1296" s="47"/>
      <c r="I1296" s="47"/>
      <c r="J1296" s="47"/>
      <c r="K1296" s="47"/>
      <c r="L1296" s="47"/>
      <c r="M1296" s="47"/>
    </row>
    <row r="1297" spans="2:13" x14ac:dyDescent="0.25">
      <c r="B1297" s="47"/>
      <c r="C1297" s="48" t="str">
        <f t="shared" si="60"/>
        <v/>
      </c>
      <c r="D1297" s="47" t="str">
        <f t="shared" si="61"/>
        <v/>
      </c>
      <c r="E1297" s="47" t="str">
        <f t="shared" si="62"/>
        <v/>
      </c>
      <c r="F1297" s="47"/>
      <c r="G1297" s="47"/>
      <c r="H1297" s="47"/>
      <c r="I1297" s="47"/>
      <c r="J1297" s="47"/>
      <c r="K1297" s="47"/>
      <c r="L1297" s="47"/>
      <c r="M1297" s="47"/>
    </row>
    <row r="1298" spans="2:13" x14ac:dyDescent="0.25">
      <c r="B1298" s="47"/>
      <c r="C1298" s="48" t="str">
        <f t="shared" si="60"/>
        <v/>
      </c>
      <c r="D1298" s="47" t="str">
        <f t="shared" si="61"/>
        <v/>
      </c>
      <c r="E1298" s="47" t="str">
        <f t="shared" si="62"/>
        <v/>
      </c>
      <c r="F1298" s="47"/>
      <c r="G1298" s="47"/>
      <c r="H1298" s="47"/>
      <c r="I1298" s="47"/>
      <c r="J1298" s="47"/>
      <c r="K1298" s="47"/>
      <c r="L1298" s="47"/>
      <c r="M1298" s="47"/>
    </row>
    <row r="1299" spans="2:13" x14ac:dyDescent="0.25">
      <c r="B1299" s="47"/>
      <c r="C1299" s="48" t="str">
        <f t="shared" si="60"/>
        <v/>
      </c>
      <c r="D1299" s="47" t="str">
        <f t="shared" si="61"/>
        <v/>
      </c>
      <c r="E1299" s="47" t="str">
        <f t="shared" si="62"/>
        <v/>
      </c>
      <c r="F1299" s="47"/>
      <c r="G1299" s="47"/>
      <c r="H1299" s="47"/>
      <c r="I1299" s="47"/>
      <c r="J1299" s="47"/>
      <c r="K1299" s="47"/>
      <c r="L1299" s="47"/>
      <c r="M1299" s="47"/>
    </row>
    <row r="1300" spans="2:13" x14ac:dyDescent="0.25">
      <c r="B1300" s="47"/>
      <c r="C1300" s="48" t="str">
        <f t="shared" si="60"/>
        <v/>
      </c>
      <c r="D1300" s="47" t="str">
        <f t="shared" si="61"/>
        <v/>
      </c>
      <c r="E1300" s="47" t="str">
        <f t="shared" si="62"/>
        <v/>
      </c>
      <c r="F1300" s="47"/>
      <c r="G1300" s="47"/>
      <c r="H1300" s="47"/>
      <c r="I1300" s="47"/>
      <c r="J1300" s="47"/>
      <c r="K1300" s="47"/>
      <c r="L1300" s="47"/>
      <c r="M1300" s="47"/>
    </row>
    <row r="1301" spans="2:13" x14ac:dyDescent="0.25">
      <c r="B1301" s="47"/>
      <c r="C1301" s="48" t="str">
        <f t="shared" si="60"/>
        <v/>
      </c>
      <c r="D1301" s="47" t="str">
        <f t="shared" si="61"/>
        <v/>
      </c>
      <c r="E1301" s="47" t="str">
        <f t="shared" si="62"/>
        <v/>
      </c>
      <c r="F1301" s="47"/>
      <c r="G1301" s="47"/>
      <c r="H1301" s="47"/>
      <c r="I1301" s="47"/>
      <c r="J1301" s="47"/>
      <c r="K1301" s="47"/>
      <c r="L1301" s="47"/>
      <c r="M1301" s="47"/>
    </row>
    <row r="1302" spans="2:13" x14ac:dyDescent="0.25">
      <c r="B1302" s="47"/>
      <c r="C1302" s="48" t="str">
        <f t="shared" si="60"/>
        <v/>
      </c>
      <c r="D1302" s="47" t="str">
        <f t="shared" si="61"/>
        <v/>
      </c>
      <c r="E1302" s="47" t="str">
        <f t="shared" si="62"/>
        <v/>
      </c>
      <c r="F1302" s="47"/>
      <c r="G1302" s="47"/>
      <c r="H1302" s="47"/>
      <c r="I1302" s="47"/>
      <c r="J1302" s="47"/>
      <c r="K1302" s="47"/>
      <c r="L1302" s="47"/>
      <c r="M1302" s="47"/>
    </row>
    <row r="1303" spans="2:13" x14ac:dyDescent="0.25">
      <c r="B1303" s="47"/>
      <c r="C1303" s="48" t="str">
        <f t="shared" si="60"/>
        <v/>
      </c>
      <c r="D1303" s="47" t="str">
        <f t="shared" si="61"/>
        <v/>
      </c>
      <c r="E1303" s="47" t="str">
        <f t="shared" si="62"/>
        <v/>
      </c>
      <c r="F1303" s="47"/>
      <c r="G1303" s="47"/>
      <c r="H1303" s="47"/>
      <c r="I1303" s="47"/>
      <c r="J1303" s="47"/>
      <c r="K1303" s="47"/>
      <c r="L1303" s="47"/>
      <c r="M1303" s="47"/>
    </row>
    <row r="1304" spans="2:13" x14ac:dyDescent="0.25">
      <c r="B1304" s="47"/>
      <c r="C1304" s="48" t="str">
        <f t="shared" si="60"/>
        <v/>
      </c>
      <c r="D1304" s="47" t="str">
        <f t="shared" si="61"/>
        <v/>
      </c>
      <c r="E1304" s="47" t="str">
        <f t="shared" si="62"/>
        <v/>
      </c>
      <c r="F1304" s="47"/>
      <c r="G1304" s="47"/>
      <c r="H1304" s="47"/>
      <c r="I1304" s="47"/>
      <c r="J1304" s="47"/>
      <c r="K1304" s="47"/>
      <c r="L1304" s="47"/>
      <c r="M1304" s="47"/>
    </row>
    <row r="1305" spans="2:13" x14ac:dyDescent="0.25">
      <c r="B1305" s="47"/>
      <c r="C1305" s="48" t="str">
        <f t="shared" si="60"/>
        <v/>
      </c>
      <c r="D1305" s="47" t="str">
        <f t="shared" si="61"/>
        <v/>
      </c>
      <c r="E1305" s="47" t="str">
        <f t="shared" si="62"/>
        <v/>
      </c>
      <c r="F1305" s="47"/>
      <c r="G1305" s="47"/>
      <c r="H1305" s="47"/>
      <c r="I1305" s="47"/>
      <c r="J1305" s="47"/>
      <c r="K1305" s="47"/>
      <c r="L1305" s="47"/>
      <c r="M1305" s="47"/>
    </row>
    <row r="1306" spans="2:13" x14ac:dyDescent="0.25">
      <c r="B1306" s="47"/>
      <c r="C1306" s="48" t="str">
        <f t="shared" si="60"/>
        <v/>
      </c>
      <c r="D1306" s="47" t="str">
        <f t="shared" si="61"/>
        <v/>
      </c>
      <c r="E1306" s="47" t="str">
        <f t="shared" si="62"/>
        <v/>
      </c>
      <c r="F1306" s="47"/>
      <c r="G1306" s="47"/>
      <c r="H1306" s="47"/>
      <c r="I1306" s="47"/>
      <c r="J1306" s="47"/>
      <c r="K1306" s="47"/>
      <c r="L1306" s="47"/>
      <c r="M1306" s="47"/>
    </row>
    <row r="1307" spans="2:13" x14ac:dyDescent="0.25">
      <c r="B1307" s="47"/>
      <c r="C1307" s="48" t="str">
        <f t="shared" si="60"/>
        <v/>
      </c>
      <c r="D1307" s="47" t="str">
        <f t="shared" si="61"/>
        <v/>
      </c>
      <c r="E1307" s="47" t="str">
        <f t="shared" si="62"/>
        <v/>
      </c>
      <c r="F1307" s="47"/>
      <c r="G1307" s="47"/>
      <c r="H1307" s="47"/>
      <c r="I1307" s="47"/>
      <c r="J1307" s="47"/>
      <c r="K1307" s="47"/>
      <c r="L1307" s="47"/>
      <c r="M1307" s="47"/>
    </row>
    <row r="1308" spans="2:13" x14ac:dyDescent="0.25">
      <c r="B1308" s="47"/>
      <c r="C1308" s="48" t="str">
        <f t="shared" si="60"/>
        <v/>
      </c>
      <c r="D1308" s="47" t="str">
        <f t="shared" si="61"/>
        <v/>
      </c>
      <c r="E1308" s="47" t="str">
        <f t="shared" si="62"/>
        <v/>
      </c>
      <c r="F1308" s="47"/>
      <c r="G1308" s="47"/>
      <c r="H1308" s="47"/>
      <c r="I1308" s="47"/>
      <c r="J1308" s="47"/>
      <c r="K1308" s="47"/>
      <c r="L1308" s="47"/>
      <c r="M1308" s="47"/>
    </row>
    <row r="1309" spans="2:13" x14ac:dyDescent="0.25">
      <c r="B1309" s="47"/>
      <c r="C1309" s="48" t="str">
        <f t="shared" si="60"/>
        <v/>
      </c>
      <c r="D1309" s="47" t="str">
        <f t="shared" si="61"/>
        <v/>
      </c>
      <c r="E1309" s="47" t="str">
        <f t="shared" si="62"/>
        <v/>
      </c>
      <c r="F1309" s="47"/>
      <c r="G1309" s="47"/>
      <c r="H1309" s="47"/>
      <c r="I1309" s="47"/>
      <c r="J1309" s="47"/>
      <c r="K1309" s="47"/>
      <c r="L1309" s="47"/>
      <c r="M1309" s="47"/>
    </row>
    <row r="1310" spans="2:13" x14ac:dyDescent="0.25">
      <c r="B1310" s="47"/>
      <c r="C1310" s="48" t="str">
        <f t="shared" si="60"/>
        <v/>
      </c>
      <c r="D1310" s="47" t="str">
        <f t="shared" si="61"/>
        <v/>
      </c>
      <c r="E1310" s="47" t="str">
        <f t="shared" si="62"/>
        <v/>
      </c>
      <c r="F1310" s="47"/>
      <c r="G1310" s="47"/>
      <c r="H1310" s="47"/>
      <c r="I1310" s="47"/>
      <c r="J1310" s="47"/>
      <c r="K1310" s="47"/>
      <c r="L1310" s="47"/>
      <c r="M1310" s="47"/>
    </row>
    <row r="1311" spans="2:13" x14ac:dyDescent="0.25">
      <c r="B1311" s="47"/>
      <c r="C1311" s="48" t="str">
        <f t="shared" si="60"/>
        <v/>
      </c>
      <c r="D1311" s="47" t="str">
        <f t="shared" si="61"/>
        <v/>
      </c>
      <c r="E1311" s="47" t="str">
        <f t="shared" si="62"/>
        <v/>
      </c>
      <c r="F1311" s="47"/>
      <c r="G1311" s="47"/>
      <c r="H1311" s="47"/>
      <c r="I1311" s="47"/>
      <c r="J1311" s="47"/>
      <c r="K1311" s="47"/>
      <c r="L1311" s="47"/>
      <c r="M1311" s="47"/>
    </row>
    <row r="1312" spans="2:13" x14ac:dyDescent="0.25">
      <c r="B1312" s="47"/>
      <c r="C1312" s="48" t="str">
        <f t="shared" si="60"/>
        <v/>
      </c>
      <c r="D1312" s="47" t="str">
        <f t="shared" si="61"/>
        <v/>
      </c>
      <c r="E1312" s="47" t="str">
        <f t="shared" si="62"/>
        <v/>
      </c>
      <c r="F1312" s="47"/>
      <c r="G1312" s="47"/>
      <c r="H1312" s="47"/>
      <c r="I1312" s="47"/>
      <c r="J1312" s="47"/>
      <c r="K1312" s="47"/>
      <c r="L1312" s="47"/>
      <c r="M1312" s="47"/>
    </row>
    <row r="1313" spans="2:13" x14ac:dyDescent="0.25">
      <c r="B1313" s="47"/>
      <c r="C1313" s="48" t="str">
        <f t="shared" si="60"/>
        <v/>
      </c>
      <c r="D1313" s="47" t="str">
        <f t="shared" si="61"/>
        <v/>
      </c>
      <c r="E1313" s="47" t="str">
        <f t="shared" si="62"/>
        <v/>
      </c>
      <c r="F1313" s="47"/>
      <c r="G1313" s="47"/>
      <c r="H1313" s="47"/>
      <c r="I1313" s="47"/>
      <c r="J1313" s="47"/>
      <c r="K1313" s="47"/>
      <c r="L1313" s="47"/>
      <c r="M1313" s="47"/>
    </row>
    <row r="1314" spans="2:13" x14ac:dyDescent="0.25">
      <c r="B1314" s="47"/>
      <c r="C1314" s="48" t="str">
        <f t="shared" si="60"/>
        <v/>
      </c>
      <c r="D1314" s="47" t="str">
        <f t="shared" si="61"/>
        <v/>
      </c>
      <c r="E1314" s="47" t="str">
        <f t="shared" si="62"/>
        <v/>
      </c>
      <c r="F1314" s="47"/>
      <c r="G1314" s="47"/>
      <c r="H1314" s="47"/>
      <c r="I1314" s="47"/>
      <c r="J1314" s="47"/>
      <c r="K1314" s="47"/>
      <c r="L1314" s="47"/>
      <c r="M1314" s="47"/>
    </row>
    <row r="1315" spans="2:13" x14ac:dyDescent="0.25">
      <c r="B1315" s="47"/>
      <c r="C1315" s="48" t="str">
        <f t="shared" si="60"/>
        <v/>
      </c>
      <c r="D1315" s="47" t="str">
        <f t="shared" si="61"/>
        <v/>
      </c>
      <c r="E1315" s="47" t="str">
        <f t="shared" si="62"/>
        <v/>
      </c>
      <c r="F1315" s="47"/>
      <c r="G1315" s="47"/>
      <c r="H1315" s="47"/>
      <c r="I1315" s="47"/>
      <c r="J1315" s="47"/>
      <c r="K1315" s="47"/>
      <c r="L1315" s="47"/>
      <c r="M1315" s="47"/>
    </row>
    <row r="1316" spans="2:13" x14ac:dyDescent="0.25">
      <c r="B1316" s="47"/>
      <c r="C1316" s="48" t="str">
        <f t="shared" si="60"/>
        <v/>
      </c>
      <c r="D1316" s="47" t="str">
        <f t="shared" si="61"/>
        <v/>
      </c>
      <c r="E1316" s="47" t="str">
        <f t="shared" si="62"/>
        <v/>
      </c>
      <c r="F1316" s="47"/>
      <c r="G1316" s="47"/>
      <c r="H1316" s="47"/>
      <c r="I1316" s="47"/>
      <c r="J1316" s="47"/>
      <c r="K1316" s="47"/>
      <c r="L1316" s="47"/>
      <c r="M1316" s="47"/>
    </row>
    <row r="1317" spans="2:13" x14ac:dyDescent="0.25">
      <c r="B1317" s="47"/>
      <c r="C1317" s="48" t="str">
        <f t="shared" si="60"/>
        <v/>
      </c>
      <c r="D1317" s="47" t="str">
        <f t="shared" si="61"/>
        <v/>
      </c>
      <c r="E1317" s="47" t="str">
        <f t="shared" si="62"/>
        <v/>
      </c>
      <c r="F1317" s="47"/>
      <c r="G1317" s="47"/>
      <c r="H1317" s="47"/>
      <c r="I1317" s="47"/>
      <c r="J1317" s="47"/>
      <c r="K1317" s="47"/>
      <c r="L1317" s="47"/>
      <c r="M1317" s="47"/>
    </row>
    <row r="1318" spans="2:13" x14ac:dyDescent="0.25">
      <c r="B1318" s="47"/>
      <c r="C1318" s="48" t="str">
        <f t="shared" si="60"/>
        <v/>
      </c>
      <c r="D1318" s="47" t="str">
        <f t="shared" si="61"/>
        <v/>
      </c>
      <c r="E1318" s="47" t="str">
        <f t="shared" si="62"/>
        <v/>
      </c>
      <c r="F1318" s="47"/>
      <c r="G1318" s="47"/>
      <c r="H1318" s="47"/>
      <c r="I1318" s="47"/>
      <c r="J1318" s="47"/>
      <c r="K1318" s="47"/>
      <c r="L1318" s="47"/>
      <c r="M1318" s="47"/>
    </row>
    <row r="1319" spans="2:13" x14ac:dyDescent="0.25">
      <c r="B1319" s="47"/>
      <c r="C1319" s="48" t="str">
        <f t="shared" si="60"/>
        <v/>
      </c>
      <c r="D1319" s="47" t="str">
        <f t="shared" si="61"/>
        <v/>
      </c>
      <c r="E1319" s="47" t="str">
        <f t="shared" si="62"/>
        <v/>
      </c>
      <c r="F1319" s="47"/>
      <c r="G1319" s="47"/>
      <c r="H1319" s="47"/>
      <c r="I1319" s="47"/>
      <c r="J1319" s="47"/>
      <c r="K1319" s="47"/>
      <c r="L1319" s="47"/>
      <c r="M1319" s="47"/>
    </row>
    <row r="1320" spans="2:13" x14ac:dyDescent="0.25">
      <c r="B1320" s="47"/>
      <c r="C1320" s="48" t="str">
        <f t="shared" si="60"/>
        <v/>
      </c>
      <c r="D1320" s="47" t="str">
        <f t="shared" si="61"/>
        <v/>
      </c>
      <c r="E1320" s="47" t="str">
        <f t="shared" si="62"/>
        <v/>
      </c>
      <c r="F1320" s="47"/>
      <c r="G1320" s="47"/>
      <c r="H1320" s="47"/>
      <c r="I1320" s="47"/>
      <c r="J1320" s="47"/>
      <c r="K1320" s="47"/>
      <c r="L1320" s="47"/>
      <c r="M1320" s="47"/>
    </row>
    <row r="1321" spans="2:13" x14ac:dyDescent="0.25">
      <c r="B1321" s="47"/>
      <c r="C1321" s="48" t="str">
        <f t="shared" si="60"/>
        <v/>
      </c>
      <c r="D1321" s="47" t="str">
        <f t="shared" si="61"/>
        <v/>
      </c>
      <c r="E1321" s="47" t="str">
        <f t="shared" si="62"/>
        <v/>
      </c>
      <c r="F1321" s="47"/>
      <c r="G1321" s="47"/>
      <c r="H1321" s="47"/>
      <c r="I1321" s="47"/>
      <c r="J1321" s="47"/>
      <c r="K1321" s="47"/>
      <c r="L1321" s="47"/>
      <c r="M1321" s="47"/>
    </row>
    <row r="1322" spans="2:13" x14ac:dyDescent="0.25">
      <c r="B1322" s="47"/>
      <c r="C1322" s="48" t="str">
        <f t="shared" si="60"/>
        <v/>
      </c>
      <c r="D1322" s="47" t="str">
        <f t="shared" si="61"/>
        <v/>
      </c>
      <c r="E1322" s="47" t="str">
        <f t="shared" si="62"/>
        <v/>
      </c>
      <c r="F1322" s="47"/>
      <c r="G1322" s="47"/>
      <c r="H1322" s="47"/>
      <c r="I1322" s="47"/>
      <c r="J1322" s="47"/>
      <c r="K1322" s="47"/>
      <c r="L1322" s="47"/>
      <c r="M1322" s="47"/>
    </row>
    <row r="1323" spans="2:13" x14ac:dyDescent="0.25">
      <c r="B1323" s="47"/>
      <c r="C1323" s="48" t="str">
        <f t="shared" si="60"/>
        <v/>
      </c>
      <c r="D1323" s="47" t="str">
        <f t="shared" si="61"/>
        <v/>
      </c>
      <c r="E1323" s="47" t="str">
        <f t="shared" si="62"/>
        <v/>
      </c>
      <c r="F1323" s="47"/>
      <c r="G1323" s="47"/>
      <c r="H1323" s="47"/>
      <c r="I1323" s="47"/>
      <c r="J1323" s="47"/>
      <c r="K1323" s="47"/>
      <c r="L1323" s="47"/>
      <c r="M1323" s="47"/>
    </row>
    <row r="1324" spans="2:13" x14ac:dyDescent="0.25">
      <c r="B1324" s="47"/>
      <c r="C1324" s="48" t="str">
        <f t="shared" si="60"/>
        <v/>
      </c>
      <c r="D1324" s="47" t="str">
        <f t="shared" si="61"/>
        <v/>
      </c>
      <c r="E1324" s="47" t="str">
        <f t="shared" si="62"/>
        <v/>
      </c>
      <c r="F1324" s="47"/>
      <c r="G1324" s="47"/>
      <c r="H1324" s="47"/>
      <c r="I1324" s="47"/>
      <c r="J1324" s="47"/>
      <c r="K1324" s="47"/>
      <c r="L1324" s="47"/>
      <c r="M1324" s="47"/>
    </row>
    <row r="1325" spans="2:13" x14ac:dyDescent="0.25">
      <c r="B1325" s="47"/>
      <c r="C1325" s="48" t="str">
        <f t="shared" si="60"/>
        <v/>
      </c>
      <c r="D1325" s="47" t="str">
        <f t="shared" si="61"/>
        <v/>
      </c>
      <c r="E1325" s="47" t="str">
        <f t="shared" si="62"/>
        <v/>
      </c>
      <c r="F1325" s="47"/>
      <c r="G1325" s="47"/>
      <c r="H1325" s="47"/>
      <c r="I1325" s="47"/>
      <c r="J1325" s="47"/>
      <c r="K1325" s="47"/>
      <c r="L1325" s="47"/>
      <c r="M1325" s="47"/>
    </row>
    <row r="1326" spans="2:13" x14ac:dyDescent="0.25">
      <c r="B1326" s="47"/>
      <c r="C1326" s="48" t="str">
        <f t="shared" si="60"/>
        <v/>
      </c>
      <c r="D1326" s="47" t="str">
        <f t="shared" si="61"/>
        <v/>
      </c>
      <c r="E1326" s="47" t="str">
        <f t="shared" si="62"/>
        <v/>
      </c>
      <c r="F1326" s="47"/>
      <c r="G1326" s="47"/>
      <c r="H1326" s="47"/>
      <c r="I1326" s="47"/>
      <c r="J1326" s="47"/>
      <c r="K1326" s="47"/>
      <c r="L1326" s="47"/>
      <c r="M1326" s="47"/>
    </row>
    <row r="1327" spans="2:13" x14ac:dyDescent="0.25">
      <c r="B1327" s="47"/>
      <c r="C1327" s="48" t="str">
        <f t="shared" si="60"/>
        <v/>
      </c>
      <c r="D1327" s="47" t="str">
        <f t="shared" si="61"/>
        <v/>
      </c>
      <c r="E1327" s="47" t="str">
        <f t="shared" si="62"/>
        <v/>
      </c>
      <c r="F1327" s="47"/>
      <c r="G1327" s="47"/>
      <c r="H1327" s="47"/>
      <c r="I1327" s="47"/>
      <c r="J1327" s="47"/>
      <c r="K1327" s="47"/>
      <c r="L1327" s="47"/>
      <c r="M1327" s="47"/>
    </row>
    <row r="1328" spans="2:13" x14ac:dyDescent="0.25">
      <c r="B1328" s="47"/>
      <c r="C1328" s="48" t="str">
        <f t="shared" si="60"/>
        <v/>
      </c>
      <c r="D1328" s="47" t="str">
        <f t="shared" si="61"/>
        <v/>
      </c>
      <c r="E1328" s="47" t="str">
        <f t="shared" si="62"/>
        <v/>
      </c>
      <c r="F1328" s="47"/>
      <c r="G1328" s="47"/>
      <c r="H1328" s="47"/>
      <c r="I1328" s="47"/>
      <c r="J1328" s="47"/>
      <c r="K1328" s="47"/>
      <c r="L1328" s="47"/>
      <c r="M1328" s="47"/>
    </row>
    <row r="1329" spans="2:13" x14ac:dyDescent="0.25">
      <c r="B1329" s="47"/>
      <c r="C1329" s="48" t="str">
        <f t="shared" si="60"/>
        <v/>
      </c>
      <c r="D1329" s="47" t="str">
        <f t="shared" si="61"/>
        <v/>
      </c>
      <c r="E1329" s="47" t="str">
        <f t="shared" si="62"/>
        <v/>
      </c>
      <c r="F1329" s="47"/>
      <c r="G1329" s="47"/>
      <c r="H1329" s="47"/>
      <c r="I1329" s="47"/>
      <c r="J1329" s="47"/>
      <c r="K1329" s="47"/>
      <c r="L1329" s="47"/>
      <c r="M1329" s="47"/>
    </row>
    <row r="1330" spans="2:13" x14ac:dyDescent="0.25">
      <c r="B1330" s="47"/>
      <c r="C1330" s="48" t="str">
        <f t="shared" si="60"/>
        <v/>
      </c>
      <c r="D1330" s="47" t="str">
        <f t="shared" si="61"/>
        <v/>
      </c>
      <c r="E1330" s="47" t="str">
        <f t="shared" si="62"/>
        <v/>
      </c>
      <c r="F1330" s="47"/>
      <c r="G1330" s="47"/>
      <c r="H1330" s="47"/>
      <c r="I1330" s="47"/>
      <c r="J1330" s="47"/>
      <c r="K1330" s="47"/>
      <c r="L1330" s="47"/>
      <c r="M1330" s="47"/>
    </row>
    <row r="1331" spans="2:13" x14ac:dyDescent="0.25">
      <c r="B1331" s="47"/>
      <c r="C1331" s="48" t="str">
        <f t="shared" si="60"/>
        <v/>
      </c>
      <c r="D1331" s="47" t="str">
        <f t="shared" si="61"/>
        <v/>
      </c>
      <c r="E1331" s="47" t="str">
        <f t="shared" si="62"/>
        <v/>
      </c>
      <c r="F1331" s="47"/>
      <c r="G1331" s="47"/>
      <c r="H1331" s="47"/>
      <c r="I1331" s="47"/>
      <c r="J1331" s="47"/>
      <c r="K1331" s="47"/>
      <c r="L1331" s="47"/>
      <c r="M1331" s="47"/>
    </row>
    <row r="1332" spans="2:13" x14ac:dyDescent="0.25">
      <c r="B1332" s="47"/>
      <c r="C1332" s="48" t="str">
        <f t="shared" si="60"/>
        <v/>
      </c>
      <c r="D1332" s="47" t="str">
        <f t="shared" si="61"/>
        <v/>
      </c>
      <c r="E1332" s="47" t="str">
        <f t="shared" si="62"/>
        <v/>
      </c>
      <c r="F1332" s="47"/>
      <c r="G1332" s="47"/>
      <c r="H1332" s="47"/>
      <c r="I1332" s="47"/>
      <c r="J1332" s="47"/>
      <c r="K1332" s="47"/>
      <c r="L1332" s="47"/>
      <c r="M1332" s="47"/>
    </row>
    <row r="1333" spans="2:13" x14ac:dyDescent="0.25">
      <c r="B1333" s="47"/>
      <c r="C1333" s="48" t="str">
        <f t="shared" si="60"/>
        <v/>
      </c>
      <c r="D1333" s="47" t="str">
        <f t="shared" si="61"/>
        <v/>
      </c>
      <c r="E1333" s="47" t="str">
        <f t="shared" si="62"/>
        <v/>
      </c>
      <c r="F1333" s="47"/>
      <c r="G1333" s="47"/>
      <c r="H1333" s="47"/>
      <c r="I1333" s="47"/>
      <c r="J1333" s="47"/>
      <c r="K1333" s="47"/>
      <c r="L1333" s="47"/>
      <c r="M1333" s="47"/>
    </row>
    <row r="1334" spans="2:13" x14ac:dyDescent="0.25">
      <c r="B1334" s="47"/>
      <c r="C1334" s="48" t="str">
        <f t="shared" si="60"/>
        <v/>
      </c>
      <c r="D1334" s="47" t="str">
        <f t="shared" si="61"/>
        <v/>
      </c>
      <c r="E1334" s="47" t="str">
        <f t="shared" si="62"/>
        <v/>
      </c>
      <c r="F1334" s="47"/>
      <c r="G1334" s="47"/>
      <c r="H1334" s="47"/>
      <c r="I1334" s="47"/>
      <c r="J1334" s="47"/>
      <c r="K1334" s="47"/>
      <c r="L1334" s="47"/>
      <c r="M1334" s="47"/>
    </row>
    <row r="1335" spans="2:13" x14ac:dyDescent="0.25">
      <c r="B1335" s="47"/>
      <c r="C1335" s="48" t="str">
        <f t="shared" si="60"/>
        <v/>
      </c>
      <c r="D1335" s="47" t="str">
        <f t="shared" si="61"/>
        <v/>
      </c>
      <c r="E1335" s="47" t="str">
        <f t="shared" si="62"/>
        <v/>
      </c>
      <c r="F1335" s="47"/>
      <c r="G1335" s="47"/>
      <c r="H1335" s="47"/>
      <c r="I1335" s="47"/>
      <c r="J1335" s="47"/>
      <c r="K1335" s="47"/>
      <c r="L1335" s="47"/>
      <c r="M1335" s="47"/>
    </row>
    <row r="1336" spans="2:13" x14ac:dyDescent="0.25">
      <c r="B1336" s="47"/>
      <c r="C1336" s="48" t="str">
        <f t="shared" si="60"/>
        <v/>
      </c>
      <c r="D1336" s="47" t="str">
        <f t="shared" si="61"/>
        <v/>
      </c>
      <c r="E1336" s="47" t="str">
        <f t="shared" si="62"/>
        <v/>
      </c>
      <c r="F1336" s="47"/>
      <c r="G1336" s="47"/>
      <c r="H1336" s="47"/>
      <c r="I1336" s="47"/>
      <c r="J1336" s="47"/>
      <c r="K1336" s="47"/>
      <c r="L1336" s="47"/>
      <c r="M1336" s="47"/>
    </row>
    <row r="1337" spans="2:13" x14ac:dyDescent="0.25">
      <c r="B1337" s="47"/>
      <c r="C1337" s="48" t="str">
        <f t="shared" si="60"/>
        <v/>
      </c>
      <c r="D1337" s="47" t="str">
        <f t="shared" si="61"/>
        <v/>
      </c>
      <c r="E1337" s="47" t="str">
        <f t="shared" si="62"/>
        <v/>
      </c>
      <c r="F1337" s="47"/>
      <c r="G1337" s="47"/>
      <c r="H1337" s="47"/>
      <c r="I1337" s="47"/>
      <c r="J1337" s="47"/>
      <c r="K1337" s="47"/>
      <c r="L1337" s="47"/>
      <c r="M1337" s="47"/>
    </row>
    <row r="1338" spans="2:13" x14ac:dyDescent="0.25">
      <c r="B1338" s="47"/>
      <c r="C1338" s="48" t="str">
        <f t="shared" si="60"/>
        <v/>
      </c>
      <c r="D1338" s="47" t="str">
        <f t="shared" si="61"/>
        <v/>
      </c>
      <c r="E1338" s="47" t="str">
        <f t="shared" si="62"/>
        <v/>
      </c>
      <c r="F1338" s="47"/>
      <c r="G1338" s="47"/>
      <c r="H1338" s="47"/>
      <c r="I1338" s="47"/>
      <c r="J1338" s="47"/>
      <c r="K1338" s="47"/>
      <c r="L1338" s="47"/>
      <c r="M1338" s="47"/>
    </row>
    <row r="1339" spans="2:13" x14ac:dyDescent="0.25">
      <c r="B1339" s="47"/>
      <c r="C1339" s="48" t="str">
        <f t="shared" si="60"/>
        <v/>
      </c>
      <c r="D1339" s="47" t="str">
        <f t="shared" si="61"/>
        <v/>
      </c>
      <c r="E1339" s="47" t="str">
        <f t="shared" si="62"/>
        <v/>
      </c>
      <c r="F1339" s="47"/>
      <c r="G1339" s="47"/>
      <c r="H1339" s="47"/>
      <c r="I1339" s="47"/>
      <c r="J1339" s="47"/>
      <c r="K1339" s="47"/>
      <c r="L1339" s="47"/>
      <c r="M1339" s="47"/>
    </row>
    <row r="1340" spans="2:13" x14ac:dyDescent="0.25">
      <c r="B1340" s="47"/>
      <c r="C1340" s="48" t="str">
        <f t="shared" si="60"/>
        <v/>
      </c>
      <c r="D1340" s="47" t="str">
        <f t="shared" si="61"/>
        <v/>
      </c>
      <c r="E1340" s="47" t="str">
        <f t="shared" si="62"/>
        <v/>
      </c>
      <c r="F1340" s="47"/>
      <c r="G1340" s="47"/>
      <c r="H1340" s="47"/>
      <c r="I1340" s="47"/>
      <c r="J1340" s="47"/>
      <c r="K1340" s="47"/>
      <c r="L1340" s="47"/>
      <c r="M1340" s="47"/>
    </row>
    <row r="1341" spans="2:13" x14ac:dyDescent="0.25">
      <c r="B1341" s="42"/>
      <c r="C1341" s="43" t="str">
        <f t="shared" si="60"/>
        <v/>
      </c>
      <c r="D1341" s="44" t="str">
        <f t="shared" si="61"/>
        <v/>
      </c>
      <c r="E1341" s="44" t="str">
        <f t="shared" si="62"/>
        <v/>
      </c>
      <c r="F1341" s="44"/>
      <c r="G1341" s="44"/>
      <c r="H1341" s="44"/>
      <c r="I1341" s="44"/>
      <c r="J1341" s="45"/>
      <c r="K1341" s="44"/>
      <c r="L1341" s="44"/>
      <c r="M1341" s="44"/>
    </row>
    <row r="1342" spans="2:13" x14ac:dyDescent="0.25">
      <c r="B1342" s="42"/>
      <c r="C1342" s="43" t="str">
        <f t="shared" si="60"/>
        <v/>
      </c>
      <c r="D1342" s="44" t="str">
        <f t="shared" si="61"/>
        <v/>
      </c>
      <c r="E1342" s="44" t="str">
        <f t="shared" si="62"/>
        <v/>
      </c>
      <c r="F1342" s="44"/>
      <c r="G1342" s="44"/>
      <c r="H1342" s="44"/>
      <c r="I1342" s="44"/>
      <c r="J1342" s="45"/>
      <c r="K1342" s="44"/>
      <c r="L1342" s="44"/>
      <c r="M1342" s="44"/>
    </row>
    <row r="1343" spans="2:13" x14ac:dyDescent="0.25">
      <c r="B1343" s="42"/>
      <c r="C1343" s="43" t="str">
        <f t="shared" si="60"/>
        <v/>
      </c>
      <c r="D1343" s="44" t="str">
        <f t="shared" si="61"/>
        <v/>
      </c>
      <c r="E1343" s="44" t="str">
        <f t="shared" si="62"/>
        <v/>
      </c>
      <c r="F1343" s="44"/>
      <c r="G1343" s="44"/>
      <c r="H1343" s="44"/>
      <c r="I1343" s="44"/>
      <c r="J1343" s="45"/>
      <c r="K1343" s="44"/>
      <c r="L1343" s="44"/>
      <c r="M1343" s="44"/>
    </row>
    <row r="1344" spans="2:13" x14ac:dyDescent="0.25">
      <c r="B1344" s="42"/>
      <c r="C1344" s="43" t="str">
        <f t="shared" si="60"/>
        <v/>
      </c>
      <c r="D1344" s="44" t="str">
        <f t="shared" si="61"/>
        <v/>
      </c>
      <c r="E1344" s="44" t="str">
        <f t="shared" si="62"/>
        <v/>
      </c>
      <c r="F1344" s="44"/>
      <c r="G1344" s="44"/>
      <c r="H1344" s="44"/>
      <c r="I1344" s="44"/>
      <c r="J1344" s="45"/>
      <c r="K1344" s="44"/>
      <c r="L1344" s="44"/>
      <c r="M1344" s="44"/>
    </row>
    <row r="1345" spans="2:13" x14ac:dyDescent="0.25">
      <c r="B1345" s="42"/>
      <c r="C1345" s="43" t="str">
        <f t="shared" si="60"/>
        <v/>
      </c>
      <c r="D1345" s="44" t="str">
        <f t="shared" si="61"/>
        <v/>
      </c>
      <c r="E1345" s="44" t="str">
        <f t="shared" si="62"/>
        <v/>
      </c>
      <c r="F1345" s="44"/>
      <c r="G1345" s="44"/>
      <c r="H1345" s="44"/>
      <c r="I1345" s="44"/>
      <c r="J1345" s="45"/>
      <c r="K1345" s="44"/>
      <c r="L1345" s="44"/>
      <c r="M1345" s="44"/>
    </row>
    <row r="1346" spans="2:13" x14ac:dyDescent="0.25">
      <c r="B1346" s="42"/>
      <c r="C1346" s="43" t="str">
        <f t="shared" ref="C1346:C1409" si="63">IF(B1346="","",MONTH(B1346))</f>
        <v/>
      </c>
      <c r="D1346" s="44" t="str">
        <f t="shared" ref="D1346:D1409" si="64">IF(B1346="","",CHOOSE(C1346,"Enero","Febrero","Marzo","Abril","Mayo","Junio","Julio","Agosto","Septiembre","Octubre","Noviembre","Diciembre"))</f>
        <v/>
      </c>
      <c r="E1346" s="44" t="str">
        <f t="shared" ref="E1346:E1409" si="65">IF(B1346="","",YEAR(B1346))</f>
        <v/>
      </c>
      <c r="F1346" s="44"/>
      <c r="G1346" s="44"/>
      <c r="H1346" s="44"/>
      <c r="I1346" s="44"/>
      <c r="J1346" s="45"/>
      <c r="K1346" s="44"/>
      <c r="L1346" s="44"/>
      <c r="M1346" s="44"/>
    </row>
    <row r="1347" spans="2:13" x14ac:dyDescent="0.25">
      <c r="B1347" s="42"/>
      <c r="C1347" s="43" t="str">
        <f t="shared" si="63"/>
        <v/>
      </c>
      <c r="D1347" s="44" t="str">
        <f t="shared" si="64"/>
        <v/>
      </c>
      <c r="E1347" s="44" t="str">
        <f t="shared" si="65"/>
        <v/>
      </c>
      <c r="F1347" s="44"/>
      <c r="G1347" s="44"/>
      <c r="H1347" s="44"/>
      <c r="I1347" s="44"/>
      <c r="J1347" s="45"/>
      <c r="K1347" s="44"/>
      <c r="L1347" s="44"/>
      <c r="M1347" s="44"/>
    </row>
    <row r="1348" spans="2:13" x14ac:dyDescent="0.25">
      <c r="B1348" s="42"/>
      <c r="C1348" s="43" t="str">
        <f t="shared" si="63"/>
        <v/>
      </c>
      <c r="D1348" s="44" t="str">
        <f t="shared" si="64"/>
        <v/>
      </c>
      <c r="E1348" s="44" t="str">
        <f t="shared" si="65"/>
        <v/>
      </c>
      <c r="F1348" s="44"/>
      <c r="G1348" s="44"/>
      <c r="H1348" s="44"/>
      <c r="I1348" s="44"/>
      <c r="J1348" s="45"/>
      <c r="K1348" s="44"/>
      <c r="L1348" s="44"/>
      <c r="M1348" s="44"/>
    </row>
    <row r="1349" spans="2:13" x14ac:dyDescent="0.25">
      <c r="B1349" s="42"/>
      <c r="C1349" s="43" t="str">
        <f t="shared" si="63"/>
        <v/>
      </c>
      <c r="D1349" s="44" t="str">
        <f t="shared" si="64"/>
        <v/>
      </c>
      <c r="E1349" s="44" t="str">
        <f t="shared" si="65"/>
        <v/>
      </c>
      <c r="F1349" s="44"/>
      <c r="G1349" s="44"/>
      <c r="H1349" s="44"/>
      <c r="I1349" s="44"/>
      <c r="J1349" s="45"/>
      <c r="K1349" s="44"/>
      <c r="L1349" s="44"/>
      <c r="M1349" s="44"/>
    </row>
    <row r="1350" spans="2:13" x14ac:dyDescent="0.25">
      <c r="B1350" s="42"/>
      <c r="C1350" s="43" t="str">
        <f t="shared" si="63"/>
        <v/>
      </c>
      <c r="D1350" s="44" t="str">
        <f t="shared" si="64"/>
        <v/>
      </c>
      <c r="E1350" s="44" t="str">
        <f t="shared" si="65"/>
        <v/>
      </c>
      <c r="F1350" s="44"/>
      <c r="G1350" s="44"/>
      <c r="H1350" s="44"/>
      <c r="I1350" s="44"/>
      <c r="J1350" s="45"/>
      <c r="K1350" s="44"/>
      <c r="L1350" s="44"/>
      <c r="M1350" s="44"/>
    </row>
    <row r="1351" spans="2:13" x14ac:dyDescent="0.25">
      <c r="B1351" s="42"/>
      <c r="C1351" s="43" t="str">
        <f t="shared" si="63"/>
        <v/>
      </c>
      <c r="D1351" s="44" t="str">
        <f t="shared" si="64"/>
        <v/>
      </c>
      <c r="E1351" s="44" t="str">
        <f t="shared" si="65"/>
        <v/>
      </c>
      <c r="F1351" s="44"/>
      <c r="G1351" s="44"/>
      <c r="H1351" s="44"/>
      <c r="I1351" s="44"/>
      <c r="J1351" s="45"/>
      <c r="K1351" s="44"/>
      <c r="L1351" s="44"/>
      <c r="M1351" s="44"/>
    </row>
    <row r="1352" spans="2:13" x14ac:dyDescent="0.25">
      <c r="B1352" s="42"/>
      <c r="C1352" s="43" t="str">
        <f t="shared" si="63"/>
        <v/>
      </c>
      <c r="D1352" s="44" t="str">
        <f t="shared" si="64"/>
        <v/>
      </c>
      <c r="E1352" s="44" t="str">
        <f t="shared" si="65"/>
        <v/>
      </c>
      <c r="F1352" s="44"/>
      <c r="G1352" s="44"/>
      <c r="H1352" s="44"/>
      <c r="I1352" s="44"/>
      <c r="J1352" s="45"/>
      <c r="K1352" s="44"/>
      <c r="L1352" s="44"/>
      <c r="M1352" s="44"/>
    </row>
    <row r="1353" spans="2:13" x14ac:dyDescent="0.25">
      <c r="B1353" s="42"/>
      <c r="C1353" s="43" t="str">
        <f t="shared" si="63"/>
        <v/>
      </c>
      <c r="D1353" s="44" t="str">
        <f t="shared" si="64"/>
        <v/>
      </c>
      <c r="E1353" s="44" t="str">
        <f t="shared" si="65"/>
        <v/>
      </c>
      <c r="F1353" s="44"/>
      <c r="G1353" s="44"/>
      <c r="H1353" s="44"/>
      <c r="I1353" s="44"/>
      <c r="J1353" s="45"/>
      <c r="K1353" s="44"/>
      <c r="L1353" s="44"/>
      <c r="M1353" s="44"/>
    </row>
    <row r="1354" spans="2:13" x14ac:dyDescent="0.25">
      <c r="B1354" s="42"/>
      <c r="C1354" s="43" t="str">
        <f t="shared" si="63"/>
        <v/>
      </c>
      <c r="D1354" s="44" t="str">
        <f t="shared" si="64"/>
        <v/>
      </c>
      <c r="E1354" s="44" t="str">
        <f t="shared" si="65"/>
        <v/>
      </c>
      <c r="F1354" s="44"/>
      <c r="G1354" s="44"/>
      <c r="H1354" s="44"/>
      <c r="I1354" s="44"/>
      <c r="J1354" s="45"/>
      <c r="K1354" s="44"/>
      <c r="L1354" s="44"/>
      <c r="M1354" s="44"/>
    </row>
    <row r="1355" spans="2:13" x14ac:dyDescent="0.25">
      <c r="B1355" s="42"/>
      <c r="C1355" s="43" t="str">
        <f t="shared" si="63"/>
        <v/>
      </c>
      <c r="D1355" s="44" t="str">
        <f t="shared" si="64"/>
        <v/>
      </c>
      <c r="E1355" s="44" t="str">
        <f t="shared" si="65"/>
        <v/>
      </c>
      <c r="F1355" s="44"/>
      <c r="G1355" s="44"/>
      <c r="H1355" s="44"/>
      <c r="I1355" s="44"/>
      <c r="J1355" s="45"/>
      <c r="K1355" s="44"/>
      <c r="L1355" s="44"/>
      <c r="M1355" s="44"/>
    </row>
    <row r="1356" spans="2:13" x14ac:dyDescent="0.25">
      <c r="B1356" s="42"/>
      <c r="C1356" s="43" t="str">
        <f t="shared" si="63"/>
        <v/>
      </c>
      <c r="D1356" s="44" t="str">
        <f t="shared" si="64"/>
        <v/>
      </c>
      <c r="E1356" s="44" t="str">
        <f t="shared" si="65"/>
        <v/>
      </c>
      <c r="F1356" s="44"/>
      <c r="G1356" s="44"/>
      <c r="H1356" s="44"/>
      <c r="I1356" s="44"/>
      <c r="J1356" s="45"/>
      <c r="K1356" s="44"/>
      <c r="L1356" s="44"/>
      <c r="M1356" s="44"/>
    </row>
    <row r="1357" spans="2:13" x14ac:dyDescent="0.25">
      <c r="B1357" s="42"/>
      <c r="C1357" s="43" t="str">
        <f t="shared" si="63"/>
        <v/>
      </c>
      <c r="D1357" s="44" t="str">
        <f t="shared" si="64"/>
        <v/>
      </c>
      <c r="E1357" s="44" t="str">
        <f t="shared" si="65"/>
        <v/>
      </c>
      <c r="F1357" s="44"/>
      <c r="G1357" s="44"/>
      <c r="H1357" s="44"/>
      <c r="I1357" s="44"/>
      <c r="J1357" s="45"/>
      <c r="K1357" s="44"/>
      <c r="L1357" s="44"/>
      <c r="M1357" s="44"/>
    </row>
    <row r="1358" spans="2:13" x14ac:dyDescent="0.25">
      <c r="B1358" s="42"/>
      <c r="C1358" s="43" t="str">
        <f t="shared" si="63"/>
        <v/>
      </c>
      <c r="D1358" s="44" t="str">
        <f t="shared" si="64"/>
        <v/>
      </c>
      <c r="E1358" s="44" t="str">
        <f t="shared" si="65"/>
        <v/>
      </c>
      <c r="F1358" s="44"/>
      <c r="G1358" s="44"/>
      <c r="H1358" s="44"/>
      <c r="I1358" s="44"/>
      <c r="J1358" s="45"/>
      <c r="K1358" s="44"/>
      <c r="L1358" s="44"/>
      <c r="M1358" s="44"/>
    </row>
    <row r="1359" spans="2:13" x14ac:dyDescent="0.25">
      <c r="B1359" s="42"/>
      <c r="C1359" s="43" t="str">
        <f t="shared" si="63"/>
        <v/>
      </c>
      <c r="D1359" s="44" t="str">
        <f t="shared" si="64"/>
        <v/>
      </c>
      <c r="E1359" s="44" t="str">
        <f t="shared" si="65"/>
        <v/>
      </c>
      <c r="F1359" s="44"/>
      <c r="G1359" s="44"/>
      <c r="H1359" s="44"/>
      <c r="I1359" s="44"/>
      <c r="J1359" s="45"/>
      <c r="K1359" s="44"/>
      <c r="L1359" s="44"/>
      <c r="M1359" s="44"/>
    </row>
    <row r="1360" spans="2:13" x14ac:dyDescent="0.25">
      <c r="B1360" s="42"/>
      <c r="C1360" s="43" t="str">
        <f t="shared" si="63"/>
        <v/>
      </c>
      <c r="D1360" s="44" t="str">
        <f t="shared" si="64"/>
        <v/>
      </c>
      <c r="E1360" s="44" t="str">
        <f t="shared" si="65"/>
        <v/>
      </c>
      <c r="F1360" s="44"/>
      <c r="G1360" s="44"/>
      <c r="H1360" s="44"/>
      <c r="I1360" s="44"/>
      <c r="J1360" s="45"/>
      <c r="K1360" s="44"/>
      <c r="L1360" s="44"/>
      <c r="M1360" s="44"/>
    </row>
    <row r="1361" spans="2:13" x14ac:dyDescent="0.25">
      <c r="B1361" s="42"/>
      <c r="C1361" s="43" t="str">
        <f t="shared" si="63"/>
        <v/>
      </c>
      <c r="D1361" s="44" t="str">
        <f t="shared" si="64"/>
        <v/>
      </c>
      <c r="E1361" s="44" t="str">
        <f t="shared" si="65"/>
        <v/>
      </c>
      <c r="F1361" s="44"/>
      <c r="G1361" s="44"/>
      <c r="H1361" s="44"/>
      <c r="I1361" s="44"/>
      <c r="J1361" s="45"/>
      <c r="K1361" s="44"/>
      <c r="L1361" s="44"/>
      <c r="M1361" s="44"/>
    </row>
    <row r="1362" spans="2:13" x14ac:dyDescent="0.25">
      <c r="B1362" s="42"/>
      <c r="C1362" s="43" t="str">
        <f t="shared" si="63"/>
        <v/>
      </c>
      <c r="D1362" s="44" t="str">
        <f t="shared" si="64"/>
        <v/>
      </c>
      <c r="E1362" s="44" t="str">
        <f t="shared" si="65"/>
        <v/>
      </c>
      <c r="F1362" s="44"/>
      <c r="G1362" s="44"/>
      <c r="H1362" s="44"/>
      <c r="I1362" s="44"/>
      <c r="J1362" s="45"/>
      <c r="K1362" s="44"/>
      <c r="L1362" s="44"/>
      <c r="M1362" s="44"/>
    </row>
    <row r="1363" spans="2:13" x14ac:dyDescent="0.25">
      <c r="B1363" s="42"/>
      <c r="C1363" s="43" t="str">
        <f t="shared" si="63"/>
        <v/>
      </c>
      <c r="D1363" s="44" t="str">
        <f t="shared" si="64"/>
        <v/>
      </c>
      <c r="E1363" s="44" t="str">
        <f t="shared" si="65"/>
        <v/>
      </c>
      <c r="F1363" s="44"/>
      <c r="G1363" s="44"/>
      <c r="H1363" s="44"/>
      <c r="I1363" s="44"/>
      <c r="J1363" s="45"/>
      <c r="K1363" s="44"/>
      <c r="L1363" s="44"/>
      <c r="M1363" s="44"/>
    </row>
    <row r="1364" spans="2:13" x14ac:dyDescent="0.25">
      <c r="B1364" s="42"/>
      <c r="C1364" s="43" t="str">
        <f t="shared" si="63"/>
        <v/>
      </c>
      <c r="D1364" s="44" t="str">
        <f t="shared" si="64"/>
        <v/>
      </c>
      <c r="E1364" s="44" t="str">
        <f t="shared" si="65"/>
        <v/>
      </c>
      <c r="F1364" s="44"/>
      <c r="G1364" s="44"/>
      <c r="H1364" s="44"/>
      <c r="I1364" s="44"/>
      <c r="J1364" s="45"/>
      <c r="K1364" s="44"/>
      <c r="L1364" s="44"/>
      <c r="M1364" s="44"/>
    </row>
    <row r="1365" spans="2:13" x14ac:dyDescent="0.25">
      <c r="B1365" s="42"/>
      <c r="C1365" s="43" t="str">
        <f t="shared" si="63"/>
        <v/>
      </c>
      <c r="D1365" s="44" t="str">
        <f t="shared" si="64"/>
        <v/>
      </c>
      <c r="E1365" s="44" t="str">
        <f t="shared" si="65"/>
        <v/>
      </c>
      <c r="F1365" s="44"/>
      <c r="G1365" s="44"/>
      <c r="H1365" s="44"/>
      <c r="I1365" s="44"/>
      <c r="J1365" s="45"/>
      <c r="K1365" s="44"/>
      <c r="L1365" s="44"/>
      <c r="M1365" s="44"/>
    </row>
    <row r="1366" spans="2:13" x14ac:dyDescent="0.25">
      <c r="B1366" s="42"/>
      <c r="C1366" s="43" t="str">
        <f t="shared" si="63"/>
        <v/>
      </c>
      <c r="D1366" s="44" t="str">
        <f t="shared" si="64"/>
        <v/>
      </c>
      <c r="E1366" s="44" t="str">
        <f t="shared" si="65"/>
        <v/>
      </c>
      <c r="F1366" s="44"/>
      <c r="G1366" s="44"/>
      <c r="H1366" s="44"/>
      <c r="I1366" s="44"/>
      <c r="J1366" s="45"/>
      <c r="K1366" s="44"/>
      <c r="L1366" s="44"/>
      <c r="M1366" s="44"/>
    </row>
    <row r="1367" spans="2:13" x14ac:dyDescent="0.25">
      <c r="B1367" s="42"/>
      <c r="C1367" s="43" t="str">
        <f t="shared" si="63"/>
        <v/>
      </c>
      <c r="D1367" s="44" t="str">
        <f t="shared" si="64"/>
        <v/>
      </c>
      <c r="E1367" s="44" t="str">
        <f t="shared" si="65"/>
        <v/>
      </c>
      <c r="F1367" s="44"/>
      <c r="G1367" s="44"/>
      <c r="H1367" s="44"/>
      <c r="I1367" s="44"/>
      <c r="J1367" s="45"/>
      <c r="K1367" s="44"/>
      <c r="L1367" s="44"/>
      <c r="M1367" s="44"/>
    </row>
    <row r="1368" spans="2:13" x14ac:dyDescent="0.25">
      <c r="B1368" s="42"/>
      <c r="C1368" s="43" t="str">
        <f t="shared" si="63"/>
        <v/>
      </c>
      <c r="D1368" s="44" t="str">
        <f t="shared" si="64"/>
        <v/>
      </c>
      <c r="E1368" s="44" t="str">
        <f t="shared" si="65"/>
        <v/>
      </c>
      <c r="F1368" s="44"/>
      <c r="G1368" s="44"/>
      <c r="H1368" s="44"/>
      <c r="I1368" s="44"/>
      <c r="J1368" s="45"/>
      <c r="K1368" s="44"/>
      <c r="L1368" s="44"/>
      <c r="M1368" s="44"/>
    </row>
    <row r="1369" spans="2:13" x14ac:dyDescent="0.25">
      <c r="B1369" s="42"/>
      <c r="C1369" s="43" t="str">
        <f t="shared" si="63"/>
        <v/>
      </c>
      <c r="D1369" s="44" t="str">
        <f t="shared" si="64"/>
        <v/>
      </c>
      <c r="E1369" s="44" t="str">
        <f t="shared" si="65"/>
        <v/>
      </c>
      <c r="F1369" s="44"/>
      <c r="G1369" s="44"/>
      <c r="H1369" s="44"/>
      <c r="I1369" s="44"/>
      <c r="J1369" s="45"/>
      <c r="K1369" s="44"/>
      <c r="L1369" s="44"/>
      <c r="M1369" s="44"/>
    </row>
    <row r="1370" spans="2:13" x14ac:dyDescent="0.25">
      <c r="B1370" s="42"/>
      <c r="C1370" s="43" t="str">
        <f t="shared" si="63"/>
        <v/>
      </c>
      <c r="D1370" s="44" t="str">
        <f t="shared" si="64"/>
        <v/>
      </c>
      <c r="E1370" s="44" t="str">
        <f t="shared" si="65"/>
        <v/>
      </c>
      <c r="F1370" s="44"/>
      <c r="G1370" s="44"/>
      <c r="H1370" s="44"/>
      <c r="I1370" s="44"/>
      <c r="J1370" s="45"/>
      <c r="K1370" s="44"/>
      <c r="L1370" s="44"/>
      <c r="M1370" s="44"/>
    </row>
    <row r="1371" spans="2:13" x14ac:dyDescent="0.25">
      <c r="B1371" s="42"/>
      <c r="C1371" s="43" t="str">
        <f t="shared" si="63"/>
        <v/>
      </c>
      <c r="D1371" s="44" t="str">
        <f t="shared" si="64"/>
        <v/>
      </c>
      <c r="E1371" s="44" t="str">
        <f t="shared" si="65"/>
        <v/>
      </c>
      <c r="F1371" s="44"/>
      <c r="G1371" s="44"/>
      <c r="H1371" s="44"/>
      <c r="I1371" s="44"/>
      <c r="J1371" s="45"/>
      <c r="K1371" s="44"/>
      <c r="L1371" s="44"/>
      <c r="M1371" s="44"/>
    </row>
    <row r="1372" spans="2:13" x14ac:dyDescent="0.25">
      <c r="B1372" s="42"/>
      <c r="C1372" s="43" t="str">
        <f t="shared" si="63"/>
        <v/>
      </c>
      <c r="D1372" s="44" t="str">
        <f t="shared" si="64"/>
        <v/>
      </c>
      <c r="E1372" s="44" t="str">
        <f t="shared" si="65"/>
        <v/>
      </c>
      <c r="F1372" s="44"/>
      <c r="G1372" s="44"/>
      <c r="H1372" s="44"/>
      <c r="I1372" s="44"/>
      <c r="J1372" s="45"/>
      <c r="K1372" s="44"/>
      <c r="L1372" s="44"/>
      <c r="M1372" s="44"/>
    </row>
    <row r="1373" spans="2:13" x14ac:dyDescent="0.25">
      <c r="B1373" s="42"/>
      <c r="C1373" s="43" t="str">
        <f t="shared" si="63"/>
        <v/>
      </c>
      <c r="D1373" s="44" t="str">
        <f t="shared" si="64"/>
        <v/>
      </c>
      <c r="E1373" s="44" t="str">
        <f t="shared" si="65"/>
        <v/>
      </c>
      <c r="F1373" s="44"/>
      <c r="G1373" s="44"/>
      <c r="H1373" s="44"/>
      <c r="I1373" s="44"/>
      <c r="J1373" s="45"/>
      <c r="K1373" s="44"/>
      <c r="L1373" s="44"/>
      <c r="M1373" s="44"/>
    </row>
    <row r="1374" spans="2:13" x14ac:dyDescent="0.25">
      <c r="B1374" s="42"/>
      <c r="C1374" s="43" t="str">
        <f t="shared" si="63"/>
        <v/>
      </c>
      <c r="D1374" s="44" t="str">
        <f t="shared" si="64"/>
        <v/>
      </c>
      <c r="E1374" s="44" t="str">
        <f t="shared" si="65"/>
        <v/>
      </c>
      <c r="F1374" s="44"/>
      <c r="G1374" s="44"/>
      <c r="H1374" s="44"/>
      <c r="I1374" s="44"/>
      <c r="J1374" s="45"/>
      <c r="K1374" s="44"/>
      <c r="L1374" s="44"/>
      <c r="M1374" s="44"/>
    </row>
    <row r="1375" spans="2:13" x14ac:dyDescent="0.25">
      <c r="B1375" s="42"/>
      <c r="C1375" s="43" t="str">
        <f t="shared" si="63"/>
        <v/>
      </c>
      <c r="D1375" s="44" t="str">
        <f t="shared" si="64"/>
        <v/>
      </c>
      <c r="E1375" s="44" t="str">
        <f t="shared" si="65"/>
        <v/>
      </c>
      <c r="F1375" s="44"/>
      <c r="G1375" s="44"/>
      <c r="H1375" s="44"/>
      <c r="I1375" s="44"/>
      <c r="J1375" s="45"/>
      <c r="K1375" s="44"/>
      <c r="L1375" s="44"/>
      <c r="M1375" s="44"/>
    </row>
    <row r="1376" spans="2:13" x14ac:dyDescent="0.25">
      <c r="B1376" s="42"/>
      <c r="C1376" s="43" t="str">
        <f t="shared" si="63"/>
        <v/>
      </c>
      <c r="D1376" s="44" t="str">
        <f t="shared" si="64"/>
        <v/>
      </c>
      <c r="E1376" s="44" t="str">
        <f t="shared" si="65"/>
        <v/>
      </c>
      <c r="F1376" s="44"/>
      <c r="G1376" s="44"/>
      <c r="H1376" s="44"/>
      <c r="I1376" s="44"/>
      <c r="J1376" s="45"/>
      <c r="K1376" s="44"/>
      <c r="L1376" s="44"/>
      <c r="M1376" s="44"/>
    </row>
    <row r="1377" spans="2:13" x14ac:dyDescent="0.25">
      <c r="B1377" s="42"/>
      <c r="C1377" s="43" t="str">
        <f t="shared" si="63"/>
        <v/>
      </c>
      <c r="D1377" s="44" t="str">
        <f t="shared" si="64"/>
        <v/>
      </c>
      <c r="E1377" s="44" t="str">
        <f t="shared" si="65"/>
        <v/>
      </c>
      <c r="F1377" s="44"/>
      <c r="G1377" s="44"/>
      <c r="H1377" s="44"/>
      <c r="I1377" s="44"/>
      <c r="J1377" s="45"/>
      <c r="K1377" s="44"/>
      <c r="L1377" s="44"/>
      <c r="M1377" s="44"/>
    </row>
    <row r="1378" spans="2:13" x14ac:dyDescent="0.25">
      <c r="B1378" s="42"/>
      <c r="C1378" s="43" t="str">
        <f t="shared" si="63"/>
        <v/>
      </c>
      <c r="D1378" s="44" t="str">
        <f t="shared" si="64"/>
        <v/>
      </c>
      <c r="E1378" s="44" t="str">
        <f t="shared" si="65"/>
        <v/>
      </c>
      <c r="F1378" s="44"/>
      <c r="G1378" s="44"/>
      <c r="H1378" s="44"/>
      <c r="I1378" s="44"/>
      <c r="J1378" s="45"/>
      <c r="K1378" s="44"/>
      <c r="L1378" s="44"/>
      <c r="M1378" s="44"/>
    </row>
    <row r="1379" spans="2:13" x14ac:dyDescent="0.25">
      <c r="B1379" s="42"/>
      <c r="C1379" s="43" t="str">
        <f t="shared" si="63"/>
        <v/>
      </c>
      <c r="D1379" s="44" t="str">
        <f t="shared" si="64"/>
        <v/>
      </c>
      <c r="E1379" s="44" t="str">
        <f t="shared" si="65"/>
        <v/>
      </c>
      <c r="F1379" s="44"/>
      <c r="G1379" s="44"/>
      <c r="H1379" s="44"/>
      <c r="I1379" s="44"/>
      <c r="J1379" s="45"/>
      <c r="K1379" s="44"/>
      <c r="L1379" s="44"/>
      <c r="M1379" s="44"/>
    </row>
    <row r="1380" spans="2:13" x14ac:dyDescent="0.25">
      <c r="B1380" s="42"/>
      <c r="C1380" s="43" t="str">
        <f t="shared" si="63"/>
        <v/>
      </c>
      <c r="D1380" s="44" t="str">
        <f t="shared" si="64"/>
        <v/>
      </c>
      <c r="E1380" s="44" t="str">
        <f t="shared" si="65"/>
        <v/>
      </c>
      <c r="F1380" s="44"/>
      <c r="G1380" s="44"/>
      <c r="H1380" s="44"/>
      <c r="I1380" s="44"/>
      <c r="J1380" s="45"/>
      <c r="K1380" s="44"/>
      <c r="L1380" s="44"/>
      <c r="M1380" s="44"/>
    </row>
    <row r="1381" spans="2:13" x14ac:dyDescent="0.25">
      <c r="B1381" s="42"/>
      <c r="C1381" s="43" t="str">
        <f t="shared" si="63"/>
        <v/>
      </c>
      <c r="D1381" s="44" t="str">
        <f t="shared" si="64"/>
        <v/>
      </c>
      <c r="E1381" s="44" t="str">
        <f t="shared" si="65"/>
        <v/>
      </c>
      <c r="F1381" s="44"/>
      <c r="G1381" s="44"/>
      <c r="H1381" s="44"/>
      <c r="I1381" s="44"/>
      <c r="J1381" s="45"/>
      <c r="K1381" s="44"/>
      <c r="L1381" s="44"/>
      <c r="M1381" s="44"/>
    </row>
    <row r="1382" spans="2:13" x14ac:dyDescent="0.25">
      <c r="B1382" s="42"/>
      <c r="C1382" s="43" t="str">
        <f t="shared" si="63"/>
        <v/>
      </c>
      <c r="D1382" s="44" t="str">
        <f t="shared" si="64"/>
        <v/>
      </c>
      <c r="E1382" s="44" t="str">
        <f t="shared" si="65"/>
        <v/>
      </c>
      <c r="F1382" s="44"/>
      <c r="G1382" s="44"/>
      <c r="H1382" s="44"/>
      <c r="I1382" s="44"/>
      <c r="J1382" s="45"/>
      <c r="K1382" s="44"/>
      <c r="L1382" s="44"/>
      <c r="M1382" s="44"/>
    </row>
    <row r="1383" spans="2:13" x14ac:dyDescent="0.25">
      <c r="B1383" s="42"/>
      <c r="C1383" s="43" t="str">
        <f t="shared" si="63"/>
        <v/>
      </c>
      <c r="D1383" s="44" t="str">
        <f t="shared" si="64"/>
        <v/>
      </c>
      <c r="E1383" s="44" t="str">
        <f t="shared" si="65"/>
        <v/>
      </c>
      <c r="F1383" s="44"/>
      <c r="G1383" s="44"/>
      <c r="H1383" s="44"/>
      <c r="I1383" s="44"/>
      <c r="J1383" s="45"/>
      <c r="K1383" s="44"/>
      <c r="L1383" s="44"/>
      <c r="M1383" s="44"/>
    </row>
    <row r="1384" spans="2:13" x14ac:dyDescent="0.25">
      <c r="B1384" s="42"/>
      <c r="C1384" s="43" t="str">
        <f t="shared" si="63"/>
        <v/>
      </c>
      <c r="D1384" s="44" t="str">
        <f t="shared" si="64"/>
        <v/>
      </c>
      <c r="E1384" s="44" t="str">
        <f t="shared" si="65"/>
        <v/>
      </c>
      <c r="F1384" s="44"/>
      <c r="G1384" s="44"/>
      <c r="H1384" s="44"/>
      <c r="I1384" s="44"/>
      <c r="J1384" s="45"/>
      <c r="K1384" s="44"/>
      <c r="L1384" s="44"/>
      <c r="M1384" s="44"/>
    </row>
    <row r="1385" spans="2:13" x14ac:dyDescent="0.25">
      <c r="B1385" s="42"/>
      <c r="C1385" s="43" t="str">
        <f t="shared" si="63"/>
        <v/>
      </c>
      <c r="D1385" s="44" t="str">
        <f t="shared" si="64"/>
        <v/>
      </c>
      <c r="E1385" s="44" t="str">
        <f t="shared" si="65"/>
        <v/>
      </c>
      <c r="F1385" s="44"/>
      <c r="G1385" s="44"/>
      <c r="H1385" s="44"/>
      <c r="I1385" s="44"/>
      <c r="J1385" s="45"/>
      <c r="K1385" s="44"/>
      <c r="L1385" s="44"/>
      <c r="M1385" s="44"/>
    </row>
    <row r="1386" spans="2:13" x14ac:dyDescent="0.25">
      <c r="B1386" s="42"/>
      <c r="C1386" s="43" t="str">
        <f t="shared" si="63"/>
        <v/>
      </c>
      <c r="D1386" s="44" t="str">
        <f t="shared" si="64"/>
        <v/>
      </c>
      <c r="E1386" s="44" t="str">
        <f t="shared" si="65"/>
        <v/>
      </c>
      <c r="F1386" s="44"/>
      <c r="G1386" s="44"/>
      <c r="H1386" s="44"/>
      <c r="I1386" s="44"/>
      <c r="J1386" s="45"/>
      <c r="K1386" s="44"/>
      <c r="L1386" s="44"/>
      <c r="M1386" s="44"/>
    </row>
    <row r="1387" spans="2:13" x14ac:dyDescent="0.25">
      <c r="B1387" s="42"/>
      <c r="C1387" s="43" t="str">
        <f t="shared" si="63"/>
        <v/>
      </c>
      <c r="D1387" s="44" t="str">
        <f t="shared" si="64"/>
        <v/>
      </c>
      <c r="E1387" s="44" t="str">
        <f t="shared" si="65"/>
        <v/>
      </c>
      <c r="F1387" s="44"/>
      <c r="G1387" s="44"/>
      <c r="H1387" s="44"/>
      <c r="I1387" s="44"/>
      <c r="J1387" s="45"/>
      <c r="K1387" s="44"/>
      <c r="L1387" s="44"/>
      <c r="M1387" s="44"/>
    </row>
    <row r="1388" spans="2:13" x14ac:dyDescent="0.25">
      <c r="B1388" s="42"/>
      <c r="C1388" s="43" t="str">
        <f t="shared" si="63"/>
        <v/>
      </c>
      <c r="D1388" s="44" t="str">
        <f t="shared" si="64"/>
        <v/>
      </c>
      <c r="E1388" s="44" t="str">
        <f t="shared" si="65"/>
        <v/>
      </c>
      <c r="F1388" s="44"/>
      <c r="G1388" s="44"/>
      <c r="H1388" s="44"/>
      <c r="I1388" s="44"/>
      <c r="J1388" s="45"/>
      <c r="K1388" s="44"/>
      <c r="L1388" s="44"/>
      <c r="M1388" s="44"/>
    </row>
    <row r="1389" spans="2:13" x14ac:dyDescent="0.25">
      <c r="B1389" s="42"/>
      <c r="C1389" s="43" t="str">
        <f t="shared" si="63"/>
        <v/>
      </c>
      <c r="D1389" s="44" t="str">
        <f t="shared" si="64"/>
        <v/>
      </c>
      <c r="E1389" s="44" t="str">
        <f t="shared" si="65"/>
        <v/>
      </c>
      <c r="F1389" s="44"/>
      <c r="G1389" s="44"/>
      <c r="H1389" s="44"/>
      <c r="I1389" s="44"/>
      <c r="J1389" s="45"/>
      <c r="K1389" s="44"/>
      <c r="L1389" s="44"/>
      <c r="M1389" s="44"/>
    </row>
    <row r="1390" spans="2:13" x14ac:dyDescent="0.25">
      <c r="B1390" s="42"/>
      <c r="C1390" s="43" t="str">
        <f t="shared" si="63"/>
        <v/>
      </c>
      <c r="D1390" s="44" t="str">
        <f t="shared" si="64"/>
        <v/>
      </c>
      <c r="E1390" s="44" t="str">
        <f t="shared" si="65"/>
        <v/>
      </c>
      <c r="F1390" s="44"/>
      <c r="G1390" s="44"/>
      <c r="H1390" s="44"/>
      <c r="I1390" s="44"/>
      <c r="J1390" s="45"/>
      <c r="K1390" s="44"/>
      <c r="L1390" s="44"/>
      <c r="M1390" s="44"/>
    </row>
    <row r="1391" spans="2:13" x14ac:dyDescent="0.25">
      <c r="B1391" s="42"/>
      <c r="C1391" s="43" t="str">
        <f t="shared" si="63"/>
        <v/>
      </c>
      <c r="D1391" s="44" t="str">
        <f t="shared" si="64"/>
        <v/>
      </c>
      <c r="E1391" s="44" t="str">
        <f t="shared" si="65"/>
        <v/>
      </c>
      <c r="F1391" s="44"/>
      <c r="G1391" s="44"/>
      <c r="H1391" s="44"/>
      <c r="I1391" s="44"/>
      <c r="J1391" s="45"/>
      <c r="K1391" s="44"/>
      <c r="L1391" s="44"/>
      <c r="M1391" s="44"/>
    </row>
    <row r="1392" spans="2:13" x14ac:dyDescent="0.25">
      <c r="B1392" s="42"/>
      <c r="C1392" s="43" t="str">
        <f t="shared" si="63"/>
        <v/>
      </c>
      <c r="D1392" s="44" t="str">
        <f t="shared" si="64"/>
        <v/>
      </c>
      <c r="E1392" s="44" t="str">
        <f t="shared" si="65"/>
        <v/>
      </c>
      <c r="F1392" s="44"/>
      <c r="G1392" s="44"/>
      <c r="H1392" s="44"/>
      <c r="I1392" s="44"/>
      <c r="J1392" s="45"/>
      <c r="K1392" s="44"/>
      <c r="L1392" s="44"/>
      <c r="M1392" s="44"/>
    </row>
    <row r="1393" spans="2:13" x14ac:dyDescent="0.25">
      <c r="B1393" s="42"/>
      <c r="C1393" s="43" t="str">
        <f t="shared" si="63"/>
        <v/>
      </c>
      <c r="D1393" s="44" t="str">
        <f t="shared" si="64"/>
        <v/>
      </c>
      <c r="E1393" s="44" t="str">
        <f t="shared" si="65"/>
        <v/>
      </c>
      <c r="F1393" s="44"/>
      <c r="G1393" s="44"/>
      <c r="H1393" s="44"/>
      <c r="I1393" s="44"/>
      <c r="J1393" s="45"/>
      <c r="K1393" s="44"/>
      <c r="L1393" s="44"/>
      <c r="M1393" s="44"/>
    </row>
    <row r="1394" spans="2:13" x14ac:dyDescent="0.25">
      <c r="B1394" s="42"/>
      <c r="C1394" s="43" t="str">
        <f t="shared" si="63"/>
        <v/>
      </c>
      <c r="D1394" s="44" t="str">
        <f t="shared" si="64"/>
        <v/>
      </c>
      <c r="E1394" s="44" t="str">
        <f t="shared" si="65"/>
        <v/>
      </c>
      <c r="F1394" s="44"/>
      <c r="G1394" s="44"/>
      <c r="H1394" s="44"/>
      <c r="I1394" s="44"/>
      <c r="J1394" s="45"/>
      <c r="K1394" s="44"/>
      <c r="L1394" s="44"/>
      <c r="M1394" s="44"/>
    </row>
    <row r="1395" spans="2:13" x14ac:dyDescent="0.25">
      <c r="B1395" s="42"/>
      <c r="C1395" s="43" t="str">
        <f t="shared" si="63"/>
        <v/>
      </c>
      <c r="D1395" s="44" t="str">
        <f t="shared" si="64"/>
        <v/>
      </c>
      <c r="E1395" s="44" t="str">
        <f t="shared" si="65"/>
        <v/>
      </c>
      <c r="F1395" s="44"/>
      <c r="G1395" s="44"/>
      <c r="H1395" s="44"/>
      <c r="I1395" s="44"/>
      <c r="J1395" s="45"/>
      <c r="K1395" s="44"/>
      <c r="L1395" s="44"/>
      <c r="M1395" s="44"/>
    </row>
    <row r="1396" spans="2:13" x14ac:dyDescent="0.25">
      <c r="B1396" s="42"/>
      <c r="C1396" s="43" t="str">
        <f t="shared" si="63"/>
        <v/>
      </c>
      <c r="D1396" s="44" t="str">
        <f t="shared" si="64"/>
        <v/>
      </c>
      <c r="E1396" s="44" t="str">
        <f t="shared" si="65"/>
        <v/>
      </c>
      <c r="F1396" s="44"/>
      <c r="G1396" s="44"/>
      <c r="H1396" s="44"/>
      <c r="I1396" s="44"/>
      <c r="J1396" s="45"/>
      <c r="K1396" s="44"/>
      <c r="L1396" s="44"/>
      <c r="M1396" s="44"/>
    </row>
    <row r="1397" spans="2:13" x14ac:dyDescent="0.25">
      <c r="B1397" s="42"/>
      <c r="C1397" s="43" t="str">
        <f t="shared" si="63"/>
        <v/>
      </c>
      <c r="D1397" s="44" t="str">
        <f t="shared" si="64"/>
        <v/>
      </c>
      <c r="E1397" s="44" t="str">
        <f t="shared" si="65"/>
        <v/>
      </c>
      <c r="F1397" s="44"/>
      <c r="G1397" s="44"/>
      <c r="H1397" s="44"/>
      <c r="I1397" s="44"/>
      <c r="J1397" s="45"/>
      <c r="K1397" s="44"/>
      <c r="L1397" s="44"/>
      <c r="M1397" s="44"/>
    </row>
    <row r="1398" spans="2:13" x14ac:dyDescent="0.25">
      <c r="B1398" s="42"/>
      <c r="C1398" s="43" t="str">
        <f t="shared" si="63"/>
        <v/>
      </c>
      <c r="D1398" s="44" t="str">
        <f t="shared" si="64"/>
        <v/>
      </c>
      <c r="E1398" s="44" t="str">
        <f t="shared" si="65"/>
        <v/>
      </c>
      <c r="F1398" s="44"/>
      <c r="G1398" s="44"/>
      <c r="H1398" s="44"/>
      <c r="I1398" s="44"/>
      <c r="J1398" s="45"/>
      <c r="K1398" s="44"/>
      <c r="L1398" s="44"/>
      <c r="M1398" s="44"/>
    </row>
    <row r="1399" spans="2:13" x14ac:dyDescent="0.25">
      <c r="B1399" s="42"/>
      <c r="C1399" s="43" t="str">
        <f t="shared" si="63"/>
        <v/>
      </c>
      <c r="D1399" s="44" t="str">
        <f t="shared" si="64"/>
        <v/>
      </c>
      <c r="E1399" s="44" t="str">
        <f t="shared" si="65"/>
        <v/>
      </c>
      <c r="F1399" s="44"/>
      <c r="G1399" s="44"/>
      <c r="H1399" s="44"/>
      <c r="I1399" s="44"/>
      <c r="J1399" s="45"/>
      <c r="K1399" s="44"/>
      <c r="L1399" s="44"/>
      <c r="M1399" s="44"/>
    </row>
    <row r="1400" spans="2:13" x14ac:dyDescent="0.25">
      <c r="B1400" s="42"/>
      <c r="C1400" s="43" t="str">
        <f t="shared" si="63"/>
        <v/>
      </c>
      <c r="D1400" s="44" t="str">
        <f t="shared" si="64"/>
        <v/>
      </c>
      <c r="E1400" s="44" t="str">
        <f t="shared" si="65"/>
        <v/>
      </c>
      <c r="F1400" s="44"/>
      <c r="G1400" s="44"/>
      <c r="H1400" s="44"/>
      <c r="I1400" s="44"/>
      <c r="J1400" s="45"/>
      <c r="K1400" s="44"/>
      <c r="L1400" s="44"/>
      <c r="M1400" s="44"/>
    </row>
    <row r="1401" spans="2:13" x14ac:dyDescent="0.25">
      <c r="B1401" s="42"/>
      <c r="C1401" s="43" t="str">
        <f t="shared" si="63"/>
        <v/>
      </c>
      <c r="D1401" s="44" t="str">
        <f t="shared" si="64"/>
        <v/>
      </c>
      <c r="E1401" s="44" t="str">
        <f t="shared" si="65"/>
        <v/>
      </c>
      <c r="F1401" s="44"/>
      <c r="G1401" s="44"/>
      <c r="H1401" s="44"/>
      <c r="I1401" s="44"/>
      <c r="J1401" s="45"/>
      <c r="K1401" s="44"/>
      <c r="L1401" s="44"/>
      <c r="M1401" s="44"/>
    </row>
    <row r="1402" spans="2:13" x14ac:dyDescent="0.25">
      <c r="B1402" s="42"/>
      <c r="C1402" s="43" t="str">
        <f t="shared" si="63"/>
        <v/>
      </c>
      <c r="D1402" s="44" t="str">
        <f t="shared" si="64"/>
        <v/>
      </c>
      <c r="E1402" s="44" t="str">
        <f t="shared" si="65"/>
        <v/>
      </c>
      <c r="F1402" s="44"/>
      <c r="G1402" s="44"/>
      <c r="H1402" s="44"/>
      <c r="I1402" s="44"/>
      <c r="J1402" s="45"/>
      <c r="K1402" s="44"/>
      <c r="L1402" s="44"/>
      <c r="M1402" s="44"/>
    </row>
    <row r="1403" spans="2:13" x14ac:dyDescent="0.25">
      <c r="B1403" s="42"/>
      <c r="C1403" s="43" t="str">
        <f t="shared" si="63"/>
        <v/>
      </c>
      <c r="D1403" s="44" t="str">
        <f t="shared" si="64"/>
        <v/>
      </c>
      <c r="E1403" s="44" t="str">
        <f t="shared" si="65"/>
        <v/>
      </c>
      <c r="F1403" s="44"/>
      <c r="G1403" s="44"/>
      <c r="H1403" s="44"/>
      <c r="I1403" s="44"/>
      <c r="J1403" s="45"/>
      <c r="K1403" s="44"/>
      <c r="L1403" s="44"/>
      <c r="M1403" s="44"/>
    </row>
    <row r="1404" spans="2:13" x14ac:dyDescent="0.25">
      <c r="B1404" s="42"/>
      <c r="C1404" s="43" t="str">
        <f t="shared" si="63"/>
        <v/>
      </c>
      <c r="D1404" s="44" t="str">
        <f t="shared" si="64"/>
        <v/>
      </c>
      <c r="E1404" s="44" t="str">
        <f t="shared" si="65"/>
        <v/>
      </c>
      <c r="F1404" s="44"/>
      <c r="G1404" s="44"/>
      <c r="H1404" s="44"/>
      <c r="I1404" s="44"/>
      <c r="J1404" s="45"/>
      <c r="K1404" s="44"/>
      <c r="L1404" s="44"/>
      <c r="M1404" s="44"/>
    </row>
    <row r="1405" spans="2:13" x14ac:dyDescent="0.25">
      <c r="B1405" s="42"/>
      <c r="C1405" s="43" t="str">
        <f t="shared" si="63"/>
        <v/>
      </c>
      <c r="D1405" s="44" t="str">
        <f t="shared" si="64"/>
        <v/>
      </c>
      <c r="E1405" s="44" t="str">
        <f t="shared" si="65"/>
        <v/>
      </c>
      <c r="F1405" s="44"/>
      <c r="G1405" s="44"/>
      <c r="H1405" s="44"/>
      <c r="I1405" s="44"/>
      <c r="J1405" s="45"/>
      <c r="K1405" s="44"/>
      <c r="L1405" s="44"/>
      <c r="M1405" s="44"/>
    </row>
    <row r="1406" spans="2:13" x14ac:dyDescent="0.25">
      <c r="B1406" s="42"/>
      <c r="C1406" s="43" t="str">
        <f t="shared" si="63"/>
        <v/>
      </c>
      <c r="D1406" s="44" t="str">
        <f t="shared" si="64"/>
        <v/>
      </c>
      <c r="E1406" s="44" t="str">
        <f t="shared" si="65"/>
        <v/>
      </c>
      <c r="F1406" s="44"/>
      <c r="G1406" s="44"/>
      <c r="H1406" s="44"/>
      <c r="I1406" s="44"/>
      <c r="J1406" s="45"/>
      <c r="K1406" s="44"/>
      <c r="L1406" s="44"/>
      <c r="M1406" s="44"/>
    </row>
    <row r="1407" spans="2:13" x14ac:dyDescent="0.25">
      <c r="B1407" s="42"/>
      <c r="C1407" s="43" t="str">
        <f t="shared" si="63"/>
        <v/>
      </c>
      <c r="D1407" s="44" t="str">
        <f t="shared" si="64"/>
        <v/>
      </c>
      <c r="E1407" s="44" t="str">
        <f t="shared" si="65"/>
        <v/>
      </c>
      <c r="F1407" s="44"/>
      <c r="G1407" s="44"/>
      <c r="H1407" s="44"/>
      <c r="I1407" s="44"/>
      <c r="J1407" s="45"/>
      <c r="K1407" s="44"/>
      <c r="L1407" s="44"/>
      <c r="M1407" s="44"/>
    </row>
    <row r="1408" spans="2:13" x14ac:dyDescent="0.25">
      <c r="B1408" s="42"/>
      <c r="C1408" s="43" t="str">
        <f t="shared" si="63"/>
        <v/>
      </c>
      <c r="D1408" s="44" t="str">
        <f t="shared" si="64"/>
        <v/>
      </c>
      <c r="E1408" s="44" t="str">
        <f t="shared" si="65"/>
        <v/>
      </c>
      <c r="F1408" s="44"/>
      <c r="G1408" s="44"/>
      <c r="H1408" s="44"/>
      <c r="I1408" s="44"/>
      <c r="J1408" s="45"/>
      <c r="K1408" s="44"/>
      <c r="L1408" s="44"/>
      <c r="M1408" s="44"/>
    </row>
    <row r="1409" spans="2:13" x14ac:dyDescent="0.25">
      <c r="B1409" s="42"/>
      <c r="C1409" s="43" t="str">
        <f t="shared" si="63"/>
        <v/>
      </c>
      <c r="D1409" s="44" t="str">
        <f t="shared" si="64"/>
        <v/>
      </c>
      <c r="E1409" s="44" t="str">
        <f t="shared" si="65"/>
        <v/>
      </c>
      <c r="F1409" s="44"/>
      <c r="G1409" s="44"/>
      <c r="H1409" s="44"/>
      <c r="I1409" s="44"/>
      <c r="J1409" s="45"/>
      <c r="K1409" s="44"/>
      <c r="L1409" s="44"/>
      <c r="M1409" s="44"/>
    </row>
    <row r="1410" spans="2:13" x14ac:dyDescent="0.25">
      <c r="B1410" s="42"/>
      <c r="C1410" s="43" t="str">
        <f t="shared" ref="C1410:C1473" si="66">IF(B1410="","",MONTH(B1410))</f>
        <v/>
      </c>
      <c r="D1410" s="44" t="str">
        <f t="shared" ref="D1410:D1473" si="67">IF(B1410="","",CHOOSE(C1410,"Enero","Febrero","Marzo","Abril","Mayo","Junio","Julio","Agosto","Septiembre","Octubre","Noviembre","Diciembre"))</f>
        <v/>
      </c>
      <c r="E1410" s="44" t="str">
        <f t="shared" ref="E1410:E1473" si="68">IF(B1410="","",YEAR(B1410))</f>
        <v/>
      </c>
      <c r="F1410" s="44"/>
      <c r="G1410" s="44"/>
      <c r="H1410" s="44"/>
      <c r="I1410" s="44"/>
      <c r="J1410" s="45"/>
      <c r="K1410" s="44"/>
      <c r="L1410" s="44"/>
      <c r="M1410" s="44"/>
    </row>
    <row r="1411" spans="2:13" x14ac:dyDescent="0.25">
      <c r="B1411" s="42"/>
      <c r="C1411" s="43" t="str">
        <f t="shared" si="66"/>
        <v/>
      </c>
      <c r="D1411" s="44" t="str">
        <f t="shared" si="67"/>
        <v/>
      </c>
      <c r="E1411" s="44" t="str">
        <f t="shared" si="68"/>
        <v/>
      </c>
      <c r="F1411" s="44"/>
      <c r="G1411" s="44"/>
      <c r="H1411" s="44"/>
      <c r="I1411" s="44"/>
      <c r="J1411" s="45"/>
      <c r="K1411" s="44"/>
      <c r="L1411" s="44"/>
      <c r="M1411" s="44"/>
    </row>
    <row r="1412" spans="2:13" x14ac:dyDescent="0.25">
      <c r="B1412" s="42"/>
      <c r="C1412" s="43" t="str">
        <f t="shared" si="66"/>
        <v/>
      </c>
      <c r="D1412" s="44" t="str">
        <f t="shared" si="67"/>
        <v/>
      </c>
      <c r="E1412" s="44" t="str">
        <f t="shared" si="68"/>
        <v/>
      </c>
      <c r="F1412" s="44"/>
      <c r="G1412" s="44"/>
      <c r="H1412" s="44"/>
      <c r="I1412" s="44"/>
      <c r="J1412" s="45"/>
      <c r="K1412" s="44"/>
      <c r="L1412" s="44"/>
      <c r="M1412" s="44"/>
    </row>
    <row r="1413" spans="2:13" x14ac:dyDescent="0.25">
      <c r="B1413" s="42"/>
      <c r="C1413" s="43" t="str">
        <f t="shared" si="66"/>
        <v/>
      </c>
      <c r="D1413" s="44" t="str">
        <f t="shared" si="67"/>
        <v/>
      </c>
      <c r="E1413" s="44" t="str">
        <f t="shared" si="68"/>
        <v/>
      </c>
      <c r="F1413" s="44"/>
      <c r="G1413" s="44"/>
      <c r="H1413" s="44"/>
      <c r="I1413" s="44"/>
      <c r="J1413" s="45"/>
      <c r="K1413" s="44"/>
      <c r="L1413" s="44"/>
      <c r="M1413" s="44"/>
    </row>
    <row r="1414" spans="2:13" x14ac:dyDescent="0.25">
      <c r="B1414" s="42"/>
      <c r="C1414" s="43" t="str">
        <f t="shared" si="66"/>
        <v/>
      </c>
      <c r="D1414" s="44" t="str">
        <f t="shared" si="67"/>
        <v/>
      </c>
      <c r="E1414" s="44" t="str">
        <f t="shared" si="68"/>
        <v/>
      </c>
      <c r="F1414" s="44"/>
      <c r="G1414" s="44"/>
      <c r="H1414" s="44"/>
      <c r="I1414" s="44"/>
      <c r="J1414" s="45"/>
      <c r="K1414" s="44"/>
      <c r="L1414" s="44"/>
      <c r="M1414" s="44"/>
    </row>
    <row r="1415" spans="2:13" x14ac:dyDescent="0.25">
      <c r="B1415" s="42"/>
      <c r="C1415" s="43" t="str">
        <f t="shared" si="66"/>
        <v/>
      </c>
      <c r="D1415" s="44" t="str">
        <f t="shared" si="67"/>
        <v/>
      </c>
      <c r="E1415" s="44" t="str">
        <f t="shared" si="68"/>
        <v/>
      </c>
      <c r="F1415" s="44"/>
      <c r="G1415" s="44"/>
      <c r="H1415" s="44"/>
      <c r="I1415" s="44"/>
      <c r="J1415" s="45"/>
      <c r="K1415" s="44"/>
      <c r="L1415" s="44"/>
      <c r="M1415" s="44"/>
    </row>
    <row r="1416" spans="2:13" x14ac:dyDescent="0.25">
      <c r="B1416" s="42"/>
      <c r="C1416" s="43" t="str">
        <f t="shared" si="66"/>
        <v/>
      </c>
      <c r="D1416" s="44" t="str">
        <f t="shared" si="67"/>
        <v/>
      </c>
      <c r="E1416" s="44" t="str">
        <f t="shared" si="68"/>
        <v/>
      </c>
      <c r="F1416" s="44"/>
      <c r="G1416" s="44"/>
      <c r="H1416" s="44"/>
      <c r="I1416" s="44"/>
      <c r="J1416" s="45"/>
      <c r="K1416" s="44"/>
      <c r="L1416" s="44"/>
      <c r="M1416" s="44"/>
    </row>
    <row r="1417" spans="2:13" x14ac:dyDescent="0.25">
      <c r="B1417" s="42"/>
      <c r="C1417" s="43" t="str">
        <f t="shared" si="66"/>
        <v/>
      </c>
      <c r="D1417" s="44" t="str">
        <f t="shared" si="67"/>
        <v/>
      </c>
      <c r="E1417" s="44" t="str">
        <f t="shared" si="68"/>
        <v/>
      </c>
      <c r="F1417" s="44"/>
      <c r="G1417" s="44"/>
      <c r="H1417" s="44"/>
      <c r="I1417" s="44"/>
      <c r="J1417" s="45"/>
      <c r="K1417" s="44"/>
      <c r="L1417" s="44"/>
      <c r="M1417" s="44"/>
    </row>
    <row r="1418" spans="2:13" x14ac:dyDescent="0.25">
      <c r="B1418" s="42"/>
      <c r="C1418" s="43" t="str">
        <f t="shared" si="66"/>
        <v/>
      </c>
      <c r="D1418" s="44" t="str">
        <f t="shared" si="67"/>
        <v/>
      </c>
      <c r="E1418" s="44" t="str">
        <f t="shared" si="68"/>
        <v/>
      </c>
      <c r="F1418" s="44"/>
      <c r="G1418" s="44"/>
      <c r="H1418" s="44"/>
      <c r="I1418" s="44"/>
      <c r="J1418" s="45"/>
      <c r="K1418" s="44"/>
      <c r="L1418" s="44"/>
      <c r="M1418" s="44"/>
    </row>
    <row r="1419" spans="2:13" x14ac:dyDescent="0.25">
      <c r="B1419" s="42"/>
      <c r="C1419" s="43" t="str">
        <f t="shared" si="66"/>
        <v/>
      </c>
      <c r="D1419" s="44" t="str">
        <f t="shared" si="67"/>
        <v/>
      </c>
      <c r="E1419" s="44" t="str">
        <f t="shared" si="68"/>
        <v/>
      </c>
      <c r="F1419" s="44"/>
      <c r="G1419" s="44"/>
      <c r="H1419" s="44"/>
      <c r="I1419" s="44"/>
      <c r="J1419" s="45"/>
      <c r="K1419" s="44"/>
      <c r="L1419" s="44"/>
      <c r="M1419" s="44"/>
    </row>
    <row r="1420" spans="2:13" x14ac:dyDescent="0.25">
      <c r="B1420" s="42"/>
      <c r="C1420" s="43" t="str">
        <f t="shared" si="66"/>
        <v/>
      </c>
      <c r="D1420" s="44" t="str">
        <f t="shared" si="67"/>
        <v/>
      </c>
      <c r="E1420" s="44" t="str">
        <f t="shared" si="68"/>
        <v/>
      </c>
      <c r="F1420" s="44"/>
      <c r="G1420" s="44"/>
      <c r="H1420" s="44"/>
      <c r="I1420" s="44"/>
      <c r="J1420" s="45"/>
      <c r="K1420" s="44"/>
      <c r="L1420" s="44"/>
      <c r="M1420" s="44"/>
    </row>
    <row r="1421" spans="2:13" x14ac:dyDescent="0.25">
      <c r="B1421" s="42"/>
      <c r="C1421" s="43" t="str">
        <f t="shared" si="66"/>
        <v/>
      </c>
      <c r="D1421" s="44" t="str">
        <f t="shared" si="67"/>
        <v/>
      </c>
      <c r="E1421" s="44" t="str">
        <f t="shared" si="68"/>
        <v/>
      </c>
      <c r="F1421" s="44"/>
      <c r="G1421" s="44"/>
      <c r="H1421" s="44"/>
      <c r="I1421" s="44"/>
      <c r="J1421" s="45"/>
      <c r="K1421" s="44"/>
      <c r="L1421" s="44"/>
      <c r="M1421" s="44"/>
    </row>
    <row r="1422" spans="2:13" x14ac:dyDescent="0.25">
      <c r="B1422" s="42"/>
      <c r="C1422" s="43" t="str">
        <f t="shared" si="66"/>
        <v/>
      </c>
      <c r="D1422" s="44" t="str">
        <f t="shared" si="67"/>
        <v/>
      </c>
      <c r="E1422" s="44" t="str">
        <f t="shared" si="68"/>
        <v/>
      </c>
      <c r="F1422" s="44"/>
      <c r="G1422" s="44"/>
      <c r="H1422" s="44"/>
      <c r="I1422" s="44"/>
      <c r="J1422" s="45"/>
      <c r="K1422" s="44"/>
      <c r="L1422" s="44"/>
      <c r="M1422" s="44"/>
    </row>
    <row r="1423" spans="2:13" x14ac:dyDescent="0.25">
      <c r="B1423" s="42"/>
      <c r="C1423" s="43" t="str">
        <f t="shared" si="66"/>
        <v/>
      </c>
      <c r="D1423" s="44" t="str">
        <f t="shared" si="67"/>
        <v/>
      </c>
      <c r="E1423" s="44" t="str">
        <f t="shared" si="68"/>
        <v/>
      </c>
      <c r="F1423" s="44"/>
      <c r="G1423" s="44"/>
      <c r="H1423" s="44"/>
      <c r="I1423" s="44"/>
      <c r="J1423" s="45"/>
      <c r="K1423" s="44"/>
      <c r="L1423" s="44"/>
      <c r="M1423" s="44"/>
    </row>
    <row r="1424" spans="2:13" x14ac:dyDescent="0.25">
      <c r="B1424" s="42"/>
      <c r="C1424" s="43" t="str">
        <f t="shared" si="66"/>
        <v/>
      </c>
      <c r="D1424" s="44" t="str">
        <f t="shared" si="67"/>
        <v/>
      </c>
      <c r="E1424" s="44" t="str">
        <f t="shared" si="68"/>
        <v/>
      </c>
      <c r="F1424" s="44"/>
      <c r="G1424" s="44"/>
      <c r="H1424" s="44"/>
      <c r="I1424" s="44"/>
      <c r="J1424" s="45"/>
      <c r="K1424" s="44"/>
      <c r="L1424" s="44"/>
      <c r="M1424" s="44"/>
    </row>
    <row r="1425" spans="2:13" x14ac:dyDescent="0.25">
      <c r="B1425" s="42"/>
      <c r="C1425" s="43" t="str">
        <f t="shared" si="66"/>
        <v/>
      </c>
      <c r="D1425" s="44" t="str">
        <f t="shared" si="67"/>
        <v/>
      </c>
      <c r="E1425" s="44" t="str">
        <f t="shared" si="68"/>
        <v/>
      </c>
      <c r="F1425" s="44"/>
      <c r="G1425" s="44"/>
      <c r="H1425" s="44"/>
      <c r="I1425" s="44"/>
      <c r="J1425" s="45"/>
      <c r="K1425" s="44"/>
      <c r="L1425" s="44"/>
      <c r="M1425" s="44"/>
    </row>
    <row r="1426" spans="2:13" x14ac:dyDescent="0.25">
      <c r="B1426" s="42"/>
      <c r="C1426" s="43" t="str">
        <f t="shared" si="66"/>
        <v/>
      </c>
      <c r="D1426" s="44" t="str">
        <f t="shared" si="67"/>
        <v/>
      </c>
      <c r="E1426" s="44" t="str">
        <f t="shared" si="68"/>
        <v/>
      </c>
      <c r="F1426" s="44"/>
      <c r="G1426" s="44"/>
      <c r="H1426" s="44"/>
      <c r="I1426" s="44"/>
      <c r="J1426" s="45"/>
      <c r="K1426" s="44"/>
      <c r="L1426" s="44"/>
      <c r="M1426" s="44"/>
    </row>
    <row r="1427" spans="2:13" x14ac:dyDescent="0.25">
      <c r="B1427" s="42"/>
      <c r="C1427" s="43" t="str">
        <f t="shared" si="66"/>
        <v/>
      </c>
      <c r="D1427" s="44" t="str">
        <f t="shared" si="67"/>
        <v/>
      </c>
      <c r="E1427" s="44" t="str">
        <f t="shared" si="68"/>
        <v/>
      </c>
      <c r="F1427" s="44"/>
      <c r="G1427" s="44"/>
      <c r="H1427" s="44"/>
      <c r="I1427" s="44"/>
      <c r="J1427" s="45"/>
      <c r="K1427" s="44"/>
      <c r="L1427" s="44"/>
      <c r="M1427" s="44"/>
    </row>
    <row r="1428" spans="2:13" x14ac:dyDescent="0.25">
      <c r="B1428" s="42"/>
      <c r="C1428" s="43" t="str">
        <f t="shared" si="66"/>
        <v/>
      </c>
      <c r="D1428" s="44" t="str">
        <f t="shared" si="67"/>
        <v/>
      </c>
      <c r="E1428" s="44" t="str">
        <f t="shared" si="68"/>
        <v/>
      </c>
      <c r="F1428" s="44"/>
      <c r="G1428" s="44"/>
      <c r="H1428" s="44"/>
      <c r="I1428" s="44"/>
      <c r="J1428" s="45"/>
      <c r="K1428" s="44"/>
      <c r="L1428" s="44"/>
      <c r="M1428" s="44"/>
    </row>
    <row r="1429" spans="2:13" x14ac:dyDescent="0.25">
      <c r="B1429" s="42"/>
      <c r="C1429" s="43" t="str">
        <f t="shared" si="66"/>
        <v/>
      </c>
      <c r="D1429" s="44" t="str">
        <f t="shared" si="67"/>
        <v/>
      </c>
      <c r="E1429" s="44" t="str">
        <f t="shared" si="68"/>
        <v/>
      </c>
      <c r="F1429" s="44"/>
      <c r="G1429" s="44"/>
      <c r="H1429" s="44"/>
      <c r="I1429" s="44"/>
      <c r="J1429" s="45"/>
      <c r="K1429" s="44"/>
      <c r="L1429" s="44"/>
      <c r="M1429" s="44"/>
    </row>
    <row r="1430" spans="2:13" x14ac:dyDescent="0.25">
      <c r="B1430" s="42"/>
      <c r="C1430" s="43" t="str">
        <f t="shared" si="66"/>
        <v/>
      </c>
      <c r="D1430" s="44" t="str">
        <f t="shared" si="67"/>
        <v/>
      </c>
      <c r="E1430" s="44" t="str">
        <f t="shared" si="68"/>
        <v/>
      </c>
      <c r="F1430" s="44"/>
      <c r="G1430" s="44"/>
      <c r="H1430" s="44"/>
      <c r="I1430" s="44"/>
      <c r="J1430" s="45"/>
      <c r="K1430" s="44"/>
      <c r="L1430" s="44"/>
      <c r="M1430" s="44"/>
    </row>
    <row r="1431" spans="2:13" x14ac:dyDescent="0.25">
      <c r="B1431" s="42"/>
      <c r="C1431" s="43" t="str">
        <f t="shared" si="66"/>
        <v/>
      </c>
      <c r="D1431" s="44" t="str">
        <f t="shared" si="67"/>
        <v/>
      </c>
      <c r="E1431" s="44" t="str">
        <f t="shared" si="68"/>
        <v/>
      </c>
      <c r="F1431" s="44"/>
      <c r="G1431" s="44"/>
      <c r="H1431" s="44"/>
      <c r="I1431" s="44"/>
      <c r="J1431" s="45"/>
      <c r="K1431" s="44"/>
      <c r="L1431" s="44"/>
      <c r="M1431" s="44"/>
    </row>
    <row r="1432" spans="2:13" x14ac:dyDescent="0.25">
      <c r="B1432" s="42"/>
      <c r="C1432" s="43" t="str">
        <f t="shared" si="66"/>
        <v/>
      </c>
      <c r="D1432" s="44" t="str">
        <f t="shared" si="67"/>
        <v/>
      </c>
      <c r="E1432" s="44" t="str">
        <f t="shared" si="68"/>
        <v/>
      </c>
      <c r="F1432" s="44"/>
      <c r="G1432" s="44"/>
      <c r="H1432" s="44"/>
      <c r="I1432" s="44"/>
      <c r="J1432" s="45"/>
      <c r="K1432" s="44"/>
      <c r="L1432" s="44"/>
      <c r="M1432" s="44"/>
    </row>
    <row r="1433" spans="2:13" x14ac:dyDescent="0.25">
      <c r="B1433" s="42"/>
      <c r="C1433" s="43" t="str">
        <f t="shared" si="66"/>
        <v/>
      </c>
      <c r="D1433" s="44" t="str">
        <f t="shared" si="67"/>
        <v/>
      </c>
      <c r="E1433" s="44" t="str">
        <f t="shared" si="68"/>
        <v/>
      </c>
      <c r="F1433" s="44"/>
      <c r="G1433" s="44"/>
      <c r="H1433" s="44"/>
      <c r="I1433" s="44"/>
      <c r="J1433" s="45"/>
      <c r="K1433" s="44"/>
      <c r="L1433" s="44"/>
      <c r="M1433" s="44"/>
    </row>
    <row r="1434" spans="2:13" x14ac:dyDescent="0.25">
      <c r="B1434" s="42"/>
      <c r="C1434" s="43" t="str">
        <f t="shared" si="66"/>
        <v/>
      </c>
      <c r="D1434" s="44" t="str">
        <f t="shared" si="67"/>
        <v/>
      </c>
      <c r="E1434" s="44" t="str">
        <f t="shared" si="68"/>
        <v/>
      </c>
      <c r="F1434" s="44"/>
      <c r="G1434" s="44"/>
      <c r="H1434" s="44"/>
      <c r="I1434" s="44"/>
      <c r="J1434" s="45"/>
      <c r="K1434" s="44"/>
      <c r="L1434" s="44"/>
      <c r="M1434" s="44"/>
    </row>
    <row r="1435" spans="2:13" x14ac:dyDescent="0.25">
      <c r="B1435" s="42"/>
      <c r="C1435" s="43" t="str">
        <f t="shared" si="66"/>
        <v/>
      </c>
      <c r="D1435" s="44" t="str">
        <f t="shared" si="67"/>
        <v/>
      </c>
      <c r="E1435" s="44" t="str">
        <f t="shared" si="68"/>
        <v/>
      </c>
      <c r="F1435" s="44"/>
      <c r="G1435" s="44"/>
      <c r="H1435" s="44"/>
      <c r="I1435" s="44"/>
      <c r="J1435" s="45"/>
      <c r="K1435" s="44"/>
      <c r="L1435" s="44"/>
      <c r="M1435" s="44"/>
    </row>
    <row r="1436" spans="2:13" x14ac:dyDescent="0.25">
      <c r="B1436" s="42"/>
      <c r="C1436" s="43" t="str">
        <f t="shared" si="66"/>
        <v/>
      </c>
      <c r="D1436" s="44" t="str">
        <f t="shared" si="67"/>
        <v/>
      </c>
      <c r="E1436" s="44" t="str">
        <f t="shared" si="68"/>
        <v/>
      </c>
      <c r="F1436" s="44"/>
      <c r="G1436" s="44"/>
      <c r="H1436" s="44"/>
      <c r="I1436" s="44"/>
      <c r="J1436" s="45"/>
      <c r="K1436" s="44"/>
      <c r="L1436" s="44"/>
      <c r="M1436" s="44"/>
    </row>
    <row r="1437" spans="2:13" x14ac:dyDescent="0.25">
      <c r="B1437" s="42"/>
      <c r="C1437" s="43" t="str">
        <f t="shared" si="66"/>
        <v/>
      </c>
      <c r="D1437" s="44" t="str">
        <f t="shared" si="67"/>
        <v/>
      </c>
      <c r="E1437" s="44" t="str">
        <f t="shared" si="68"/>
        <v/>
      </c>
      <c r="F1437" s="44"/>
      <c r="G1437" s="44"/>
      <c r="H1437" s="44"/>
      <c r="I1437" s="44"/>
      <c r="J1437" s="45"/>
      <c r="K1437" s="44"/>
      <c r="L1437" s="44"/>
      <c r="M1437" s="44"/>
    </row>
    <row r="1438" spans="2:13" x14ac:dyDescent="0.25">
      <c r="B1438" s="42"/>
      <c r="C1438" s="43" t="str">
        <f t="shared" si="66"/>
        <v/>
      </c>
      <c r="D1438" s="44" t="str">
        <f t="shared" si="67"/>
        <v/>
      </c>
      <c r="E1438" s="44" t="str">
        <f t="shared" si="68"/>
        <v/>
      </c>
      <c r="F1438" s="44"/>
      <c r="G1438" s="44"/>
      <c r="H1438" s="44"/>
      <c r="I1438" s="44"/>
      <c r="J1438" s="45"/>
      <c r="K1438" s="44"/>
      <c r="L1438" s="44"/>
      <c r="M1438" s="44"/>
    </row>
    <row r="1439" spans="2:13" x14ac:dyDescent="0.25">
      <c r="B1439" s="42"/>
      <c r="C1439" s="43" t="str">
        <f t="shared" si="66"/>
        <v/>
      </c>
      <c r="D1439" s="44" t="str">
        <f t="shared" si="67"/>
        <v/>
      </c>
      <c r="E1439" s="44" t="str">
        <f t="shared" si="68"/>
        <v/>
      </c>
      <c r="F1439" s="44"/>
      <c r="G1439" s="44"/>
      <c r="H1439" s="44"/>
      <c r="I1439" s="44"/>
      <c r="J1439" s="45"/>
      <c r="K1439" s="44"/>
      <c r="L1439" s="44"/>
      <c r="M1439" s="44"/>
    </row>
    <row r="1440" spans="2:13" x14ac:dyDescent="0.25">
      <c r="B1440" s="42"/>
      <c r="C1440" s="43" t="str">
        <f t="shared" si="66"/>
        <v/>
      </c>
      <c r="D1440" s="44" t="str">
        <f t="shared" si="67"/>
        <v/>
      </c>
      <c r="E1440" s="44" t="str">
        <f t="shared" si="68"/>
        <v/>
      </c>
      <c r="F1440" s="44"/>
      <c r="G1440" s="44"/>
      <c r="H1440" s="44"/>
      <c r="I1440" s="44"/>
      <c r="J1440" s="45"/>
      <c r="K1440" s="44"/>
      <c r="L1440" s="44"/>
      <c r="M1440" s="44"/>
    </row>
    <row r="1441" spans="2:13" x14ac:dyDescent="0.25">
      <c r="B1441" s="42"/>
      <c r="C1441" s="43" t="str">
        <f t="shared" si="66"/>
        <v/>
      </c>
      <c r="D1441" s="44" t="str">
        <f t="shared" si="67"/>
        <v/>
      </c>
      <c r="E1441" s="44" t="str">
        <f t="shared" si="68"/>
        <v/>
      </c>
      <c r="F1441" s="44"/>
      <c r="G1441" s="44"/>
      <c r="H1441" s="44"/>
      <c r="I1441" s="44"/>
      <c r="J1441" s="45"/>
      <c r="K1441" s="44"/>
      <c r="L1441" s="44"/>
      <c r="M1441" s="44"/>
    </row>
    <row r="1442" spans="2:13" x14ac:dyDescent="0.25">
      <c r="B1442" s="42"/>
      <c r="C1442" s="43" t="str">
        <f t="shared" si="66"/>
        <v/>
      </c>
      <c r="D1442" s="44" t="str">
        <f t="shared" si="67"/>
        <v/>
      </c>
      <c r="E1442" s="44" t="str">
        <f t="shared" si="68"/>
        <v/>
      </c>
      <c r="F1442" s="44"/>
      <c r="G1442" s="44"/>
      <c r="H1442" s="44"/>
      <c r="I1442" s="44"/>
      <c r="J1442" s="45"/>
      <c r="K1442" s="44"/>
      <c r="L1442" s="44"/>
      <c r="M1442" s="44"/>
    </row>
    <row r="1443" spans="2:13" x14ac:dyDescent="0.25">
      <c r="B1443" s="42"/>
      <c r="C1443" s="43" t="str">
        <f t="shared" si="66"/>
        <v/>
      </c>
      <c r="D1443" s="44" t="str">
        <f t="shared" si="67"/>
        <v/>
      </c>
      <c r="E1443" s="44" t="str">
        <f t="shared" si="68"/>
        <v/>
      </c>
      <c r="F1443" s="44"/>
      <c r="G1443" s="44"/>
      <c r="H1443" s="44"/>
      <c r="I1443" s="44"/>
      <c r="J1443" s="45"/>
      <c r="K1443" s="44"/>
      <c r="L1443" s="44"/>
      <c r="M1443" s="44"/>
    </row>
    <row r="1444" spans="2:13" x14ac:dyDescent="0.25">
      <c r="B1444" s="42"/>
      <c r="C1444" s="43" t="str">
        <f t="shared" si="66"/>
        <v/>
      </c>
      <c r="D1444" s="44" t="str">
        <f t="shared" si="67"/>
        <v/>
      </c>
      <c r="E1444" s="44" t="str">
        <f t="shared" si="68"/>
        <v/>
      </c>
      <c r="F1444" s="44"/>
      <c r="G1444" s="44"/>
      <c r="H1444" s="44"/>
      <c r="I1444" s="44"/>
      <c r="J1444" s="45"/>
      <c r="K1444" s="44"/>
      <c r="L1444" s="44"/>
      <c r="M1444" s="44"/>
    </row>
    <row r="1445" spans="2:13" x14ac:dyDescent="0.25">
      <c r="B1445" s="42"/>
      <c r="C1445" s="43" t="str">
        <f t="shared" si="66"/>
        <v/>
      </c>
      <c r="D1445" s="44" t="str">
        <f t="shared" si="67"/>
        <v/>
      </c>
      <c r="E1445" s="44" t="str">
        <f t="shared" si="68"/>
        <v/>
      </c>
      <c r="F1445" s="44"/>
      <c r="G1445" s="44"/>
      <c r="H1445" s="44"/>
      <c r="I1445" s="44"/>
      <c r="J1445" s="45"/>
      <c r="K1445" s="44"/>
      <c r="L1445" s="44"/>
      <c r="M1445" s="44"/>
    </row>
    <row r="1446" spans="2:13" x14ac:dyDescent="0.25">
      <c r="B1446" s="42"/>
      <c r="C1446" s="43" t="str">
        <f t="shared" si="66"/>
        <v/>
      </c>
      <c r="D1446" s="44" t="str">
        <f t="shared" si="67"/>
        <v/>
      </c>
      <c r="E1446" s="44" t="str">
        <f t="shared" si="68"/>
        <v/>
      </c>
      <c r="F1446" s="44"/>
      <c r="G1446" s="44"/>
      <c r="H1446" s="44"/>
      <c r="I1446" s="44"/>
      <c r="J1446" s="45"/>
      <c r="K1446" s="44"/>
      <c r="L1446" s="44"/>
      <c r="M1446" s="44"/>
    </row>
    <row r="1447" spans="2:13" x14ac:dyDescent="0.25">
      <c r="B1447" s="42"/>
      <c r="C1447" s="43" t="str">
        <f t="shared" si="66"/>
        <v/>
      </c>
      <c r="D1447" s="44" t="str">
        <f t="shared" si="67"/>
        <v/>
      </c>
      <c r="E1447" s="44" t="str">
        <f t="shared" si="68"/>
        <v/>
      </c>
      <c r="F1447" s="44"/>
      <c r="G1447" s="44"/>
      <c r="H1447" s="44"/>
      <c r="I1447" s="44"/>
      <c r="J1447" s="45"/>
      <c r="K1447" s="44"/>
      <c r="L1447" s="44"/>
      <c r="M1447" s="44"/>
    </row>
    <row r="1448" spans="2:13" x14ac:dyDescent="0.25">
      <c r="B1448" s="42"/>
      <c r="C1448" s="43" t="str">
        <f t="shared" si="66"/>
        <v/>
      </c>
      <c r="D1448" s="44" t="str">
        <f t="shared" si="67"/>
        <v/>
      </c>
      <c r="E1448" s="44" t="str">
        <f t="shared" si="68"/>
        <v/>
      </c>
      <c r="F1448" s="44"/>
      <c r="G1448" s="44"/>
      <c r="H1448" s="44"/>
      <c r="I1448" s="44"/>
      <c r="J1448" s="45"/>
      <c r="K1448" s="44"/>
      <c r="L1448" s="44"/>
      <c r="M1448" s="44"/>
    </row>
    <row r="1449" spans="2:13" x14ac:dyDescent="0.25">
      <c r="B1449" s="42"/>
      <c r="C1449" s="43" t="str">
        <f t="shared" si="66"/>
        <v/>
      </c>
      <c r="D1449" s="44" t="str">
        <f t="shared" si="67"/>
        <v/>
      </c>
      <c r="E1449" s="44" t="str">
        <f t="shared" si="68"/>
        <v/>
      </c>
      <c r="F1449" s="44"/>
      <c r="G1449" s="44"/>
      <c r="H1449" s="44"/>
      <c r="I1449" s="44"/>
      <c r="J1449" s="45"/>
      <c r="K1449" s="44"/>
      <c r="L1449" s="44"/>
      <c r="M1449" s="44"/>
    </row>
    <row r="1450" spans="2:13" x14ac:dyDescent="0.25">
      <c r="B1450" s="42"/>
      <c r="C1450" s="43" t="str">
        <f t="shared" si="66"/>
        <v/>
      </c>
      <c r="D1450" s="44" t="str">
        <f t="shared" si="67"/>
        <v/>
      </c>
      <c r="E1450" s="44" t="str">
        <f t="shared" si="68"/>
        <v/>
      </c>
      <c r="F1450" s="44"/>
      <c r="G1450" s="44"/>
      <c r="H1450" s="44"/>
      <c r="I1450" s="44"/>
      <c r="J1450" s="45"/>
      <c r="K1450" s="44"/>
      <c r="L1450" s="44"/>
      <c r="M1450" s="44"/>
    </row>
    <row r="1451" spans="2:13" x14ac:dyDescent="0.25">
      <c r="B1451" s="42"/>
      <c r="C1451" s="43" t="str">
        <f t="shared" si="66"/>
        <v/>
      </c>
      <c r="D1451" s="44" t="str">
        <f t="shared" si="67"/>
        <v/>
      </c>
      <c r="E1451" s="44" t="str">
        <f t="shared" si="68"/>
        <v/>
      </c>
      <c r="F1451" s="44"/>
      <c r="G1451" s="44"/>
      <c r="H1451" s="44"/>
      <c r="I1451" s="44"/>
      <c r="J1451" s="45"/>
      <c r="K1451" s="44"/>
      <c r="L1451" s="44"/>
      <c r="M1451" s="44"/>
    </row>
    <row r="1452" spans="2:13" x14ac:dyDescent="0.25">
      <c r="B1452" s="42"/>
      <c r="C1452" s="43" t="str">
        <f t="shared" si="66"/>
        <v/>
      </c>
      <c r="D1452" s="44" t="str">
        <f t="shared" si="67"/>
        <v/>
      </c>
      <c r="E1452" s="44" t="str">
        <f t="shared" si="68"/>
        <v/>
      </c>
      <c r="F1452" s="44"/>
      <c r="G1452" s="44"/>
      <c r="H1452" s="44"/>
      <c r="I1452" s="44"/>
      <c r="J1452" s="45"/>
      <c r="K1452" s="44"/>
      <c r="L1452" s="44"/>
      <c r="M1452" s="44"/>
    </row>
    <row r="1453" spans="2:13" x14ac:dyDescent="0.25">
      <c r="B1453" s="42"/>
      <c r="C1453" s="43" t="str">
        <f t="shared" si="66"/>
        <v/>
      </c>
      <c r="D1453" s="44" t="str">
        <f t="shared" si="67"/>
        <v/>
      </c>
      <c r="E1453" s="44" t="str">
        <f t="shared" si="68"/>
        <v/>
      </c>
      <c r="F1453" s="44"/>
      <c r="G1453" s="44"/>
      <c r="H1453" s="44"/>
      <c r="I1453" s="44"/>
      <c r="J1453" s="45"/>
      <c r="K1453" s="44"/>
      <c r="L1453" s="44"/>
      <c r="M1453" s="44"/>
    </row>
    <row r="1454" spans="2:13" x14ac:dyDescent="0.25">
      <c r="B1454" s="42"/>
      <c r="C1454" s="43" t="str">
        <f t="shared" si="66"/>
        <v/>
      </c>
      <c r="D1454" s="44" t="str">
        <f t="shared" si="67"/>
        <v/>
      </c>
      <c r="E1454" s="44" t="str">
        <f t="shared" si="68"/>
        <v/>
      </c>
      <c r="F1454" s="44"/>
      <c r="G1454" s="44"/>
      <c r="H1454" s="44"/>
      <c r="I1454" s="44"/>
      <c r="J1454" s="45"/>
      <c r="K1454" s="44"/>
      <c r="L1454" s="44"/>
      <c r="M1454" s="44"/>
    </row>
    <row r="1455" spans="2:13" x14ac:dyDescent="0.25">
      <c r="B1455" s="42"/>
      <c r="C1455" s="43" t="str">
        <f t="shared" si="66"/>
        <v/>
      </c>
      <c r="D1455" s="44" t="str">
        <f t="shared" si="67"/>
        <v/>
      </c>
      <c r="E1455" s="44" t="str">
        <f t="shared" si="68"/>
        <v/>
      </c>
      <c r="F1455" s="44"/>
      <c r="G1455" s="44"/>
      <c r="H1455" s="44"/>
      <c r="I1455" s="44"/>
      <c r="J1455" s="45"/>
      <c r="K1455" s="44"/>
      <c r="L1455" s="44"/>
      <c r="M1455" s="44"/>
    </row>
    <row r="1456" spans="2:13" x14ac:dyDescent="0.25">
      <c r="B1456" s="42"/>
      <c r="C1456" s="43" t="str">
        <f t="shared" si="66"/>
        <v/>
      </c>
      <c r="D1456" s="44" t="str">
        <f t="shared" si="67"/>
        <v/>
      </c>
      <c r="E1456" s="44" t="str">
        <f t="shared" si="68"/>
        <v/>
      </c>
      <c r="F1456" s="44"/>
      <c r="G1456" s="44"/>
      <c r="H1456" s="44"/>
      <c r="I1456" s="44"/>
      <c r="J1456" s="45"/>
      <c r="K1456" s="44"/>
      <c r="L1456" s="44"/>
      <c r="M1456" s="44"/>
    </row>
    <row r="1457" spans="2:13" x14ac:dyDescent="0.25">
      <c r="B1457" s="42"/>
      <c r="C1457" s="43" t="str">
        <f t="shared" si="66"/>
        <v/>
      </c>
      <c r="D1457" s="44" t="str">
        <f t="shared" si="67"/>
        <v/>
      </c>
      <c r="E1457" s="44" t="str">
        <f t="shared" si="68"/>
        <v/>
      </c>
      <c r="F1457" s="44"/>
      <c r="G1457" s="44"/>
      <c r="H1457" s="44"/>
      <c r="I1457" s="44"/>
      <c r="J1457" s="45"/>
      <c r="K1457" s="44"/>
      <c r="L1457" s="44"/>
      <c r="M1457" s="44"/>
    </row>
    <row r="1458" spans="2:13" x14ac:dyDescent="0.25">
      <c r="B1458" s="42"/>
      <c r="C1458" s="43" t="str">
        <f t="shared" si="66"/>
        <v/>
      </c>
      <c r="D1458" s="44" t="str">
        <f t="shared" si="67"/>
        <v/>
      </c>
      <c r="E1458" s="44" t="str">
        <f t="shared" si="68"/>
        <v/>
      </c>
      <c r="F1458" s="44"/>
      <c r="G1458" s="44"/>
      <c r="H1458" s="44"/>
      <c r="I1458" s="44"/>
      <c r="J1458" s="45"/>
      <c r="K1458" s="44"/>
      <c r="L1458" s="44"/>
      <c r="M1458" s="44"/>
    </row>
    <row r="1459" spans="2:13" x14ac:dyDescent="0.25">
      <c r="B1459" s="42"/>
      <c r="C1459" s="43" t="str">
        <f t="shared" si="66"/>
        <v/>
      </c>
      <c r="D1459" s="44" t="str">
        <f t="shared" si="67"/>
        <v/>
      </c>
      <c r="E1459" s="44" t="str">
        <f t="shared" si="68"/>
        <v/>
      </c>
      <c r="F1459" s="44"/>
      <c r="G1459" s="44"/>
      <c r="H1459" s="44"/>
      <c r="I1459" s="44"/>
      <c r="J1459" s="45"/>
      <c r="K1459" s="44"/>
      <c r="L1459" s="44"/>
      <c r="M1459" s="44"/>
    </row>
    <row r="1460" spans="2:13" x14ac:dyDescent="0.25">
      <c r="B1460" s="42"/>
      <c r="C1460" s="43" t="str">
        <f t="shared" si="66"/>
        <v/>
      </c>
      <c r="D1460" s="44" t="str">
        <f t="shared" si="67"/>
        <v/>
      </c>
      <c r="E1460" s="44" t="str">
        <f t="shared" si="68"/>
        <v/>
      </c>
      <c r="F1460" s="44"/>
      <c r="G1460" s="44"/>
      <c r="H1460" s="44"/>
      <c r="I1460" s="44"/>
      <c r="J1460" s="45"/>
      <c r="K1460" s="44"/>
      <c r="L1460" s="44"/>
      <c r="M1460" s="44"/>
    </row>
    <row r="1461" spans="2:13" x14ac:dyDescent="0.25">
      <c r="B1461" s="42"/>
      <c r="C1461" s="43" t="str">
        <f t="shared" si="66"/>
        <v/>
      </c>
      <c r="D1461" s="44" t="str">
        <f t="shared" si="67"/>
        <v/>
      </c>
      <c r="E1461" s="44" t="str">
        <f t="shared" si="68"/>
        <v/>
      </c>
      <c r="F1461" s="44"/>
      <c r="G1461" s="44"/>
      <c r="H1461" s="44"/>
      <c r="I1461" s="44"/>
      <c r="J1461" s="45"/>
      <c r="K1461" s="44"/>
      <c r="L1461" s="44"/>
      <c r="M1461" s="44"/>
    </row>
    <row r="1462" spans="2:13" x14ac:dyDescent="0.25">
      <c r="B1462" s="42"/>
      <c r="C1462" s="43" t="str">
        <f t="shared" si="66"/>
        <v/>
      </c>
      <c r="D1462" s="44" t="str">
        <f t="shared" si="67"/>
        <v/>
      </c>
      <c r="E1462" s="44" t="str">
        <f t="shared" si="68"/>
        <v/>
      </c>
      <c r="F1462" s="44"/>
      <c r="G1462" s="44"/>
      <c r="H1462" s="44"/>
      <c r="I1462" s="44"/>
      <c r="J1462" s="45"/>
      <c r="K1462" s="44"/>
      <c r="L1462" s="44"/>
      <c r="M1462" s="44"/>
    </row>
    <row r="1463" spans="2:13" x14ac:dyDescent="0.25">
      <c r="B1463" s="42"/>
      <c r="C1463" s="43" t="str">
        <f t="shared" si="66"/>
        <v/>
      </c>
      <c r="D1463" s="44" t="str">
        <f t="shared" si="67"/>
        <v/>
      </c>
      <c r="E1463" s="44" t="str">
        <f t="shared" si="68"/>
        <v/>
      </c>
      <c r="F1463" s="44"/>
      <c r="G1463" s="44"/>
      <c r="H1463" s="44"/>
      <c r="I1463" s="44"/>
      <c r="J1463" s="45"/>
      <c r="K1463" s="44"/>
      <c r="L1463" s="44"/>
      <c r="M1463" s="44"/>
    </row>
    <row r="1464" spans="2:13" x14ac:dyDescent="0.25">
      <c r="B1464" s="42"/>
      <c r="C1464" s="43" t="str">
        <f t="shared" si="66"/>
        <v/>
      </c>
      <c r="D1464" s="44" t="str">
        <f t="shared" si="67"/>
        <v/>
      </c>
      <c r="E1464" s="44" t="str">
        <f t="shared" si="68"/>
        <v/>
      </c>
      <c r="F1464" s="44"/>
      <c r="G1464" s="44"/>
      <c r="H1464" s="44"/>
      <c r="I1464" s="44"/>
      <c r="J1464" s="45"/>
      <c r="K1464" s="44"/>
      <c r="L1464" s="44"/>
      <c r="M1464" s="44"/>
    </row>
    <row r="1465" spans="2:13" x14ac:dyDescent="0.25">
      <c r="B1465" s="42"/>
      <c r="C1465" s="43" t="str">
        <f t="shared" si="66"/>
        <v/>
      </c>
      <c r="D1465" s="44" t="str">
        <f t="shared" si="67"/>
        <v/>
      </c>
      <c r="E1465" s="44" t="str">
        <f t="shared" si="68"/>
        <v/>
      </c>
      <c r="F1465" s="44"/>
      <c r="G1465" s="44"/>
      <c r="H1465" s="44"/>
      <c r="I1465" s="44"/>
      <c r="J1465" s="45"/>
      <c r="K1465" s="44"/>
      <c r="L1465" s="44"/>
      <c r="M1465" s="44"/>
    </row>
    <row r="1466" spans="2:13" x14ac:dyDescent="0.25">
      <c r="B1466" s="42"/>
      <c r="C1466" s="43" t="str">
        <f t="shared" si="66"/>
        <v/>
      </c>
      <c r="D1466" s="44" t="str">
        <f t="shared" si="67"/>
        <v/>
      </c>
      <c r="E1466" s="44" t="str">
        <f t="shared" si="68"/>
        <v/>
      </c>
      <c r="F1466" s="44"/>
      <c r="G1466" s="44"/>
      <c r="H1466" s="44"/>
      <c r="I1466" s="44"/>
      <c r="J1466" s="45"/>
      <c r="K1466" s="44"/>
      <c r="L1466" s="44"/>
      <c r="M1466" s="44"/>
    </row>
    <row r="1467" spans="2:13" x14ac:dyDescent="0.25">
      <c r="B1467" s="42"/>
      <c r="C1467" s="43" t="str">
        <f t="shared" si="66"/>
        <v/>
      </c>
      <c r="D1467" s="44" t="str">
        <f t="shared" si="67"/>
        <v/>
      </c>
      <c r="E1467" s="44" t="str">
        <f t="shared" si="68"/>
        <v/>
      </c>
      <c r="F1467" s="44"/>
      <c r="G1467" s="44"/>
      <c r="H1467" s="44"/>
      <c r="I1467" s="44"/>
      <c r="J1467" s="45"/>
      <c r="K1467" s="44"/>
      <c r="L1467" s="44"/>
      <c r="M1467" s="44"/>
    </row>
    <row r="1468" spans="2:13" x14ac:dyDescent="0.25">
      <c r="B1468" s="42"/>
      <c r="C1468" s="43" t="str">
        <f t="shared" si="66"/>
        <v/>
      </c>
      <c r="D1468" s="44" t="str">
        <f t="shared" si="67"/>
        <v/>
      </c>
      <c r="E1468" s="44" t="str">
        <f t="shared" si="68"/>
        <v/>
      </c>
      <c r="F1468" s="44"/>
      <c r="G1468" s="44"/>
      <c r="H1468" s="44"/>
      <c r="I1468" s="44"/>
      <c r="J1468" s="45"/>
      <c r="K1468" s="44"/>
      <c r="L1468" s="44"/>
      <c r="M1468" s="44"/>
    </row>
    <row r="1469" spans="2:13" x14ac:dyDescent="0.25">
      <c r="B1469" s="42"/>
      <c r="C1469" s="43" t="str">
        <f t="shared" si="66"/>
        <v/>
      </c>
      <c r="D1469" s="44" t="str">
        <f t="shared" si="67"/>
        <v/>
      </c>
      <c r="E1469" s="44" t="str">
        <f t="shared" si="68"/>
        <v/>
      </c>
      <c r="F1469" s="44"/>
      <c r="G1469" s="44"/>
      <c r="H1469" s="44"/>
      <c r="I1469" s="44"/>
      <c r="J1469" s="45"/>
      <c r="K1469" s="44"/>
      <c r="L1469" s="44"/>
      <c r="M1469" s="44"/>
    </row>
    <row r="1470" spans="2:13" x14ac:dyDescent="0.25">
      <c r="B1470" s="42"/>
      <c r="C1470" s="43" t="str">
        <f t="shared" si="66"/>
        <v/>
      </c>
      <c r="D1470" s="44" t="str">
        <f t="shared" si="67"/>
        <v/>
      </c>
      <c r="E1470" s="44" t="str">
        <f t="shared" si="68"/>
        <v/>
      </c>
      <c r="F1470" s="44"/>
      <c r="G1470" s="44"/>
      <c r="H1470" s="44"/>
      <c r="I1470" s="44"/>
      <c r="J1470" s="45"/>
      <c r="K1470" s="44"/>
      <c r="L1470" s="44"/>
      <c r="M1470" s="44"/>
    </row>
    <row r="1471" spans="2:13" x14ac:dyDescent="0.25">
      <c r="B1471" s="42"/>
      <c r="C1471" s="43" t="str">
        <f t="shared" si="66"/>
        <v/>
      </c>
      <c r="D1471" s="44" t="str">
        <f t="shared" si="67"/>
        <v/>
      </c>
      <c r="E1471" s="44" t="str">
        <f t="shared" si="68"/>
        <v/>
      </c>
      <c r="F1471" s="44"/>
      <c r="G1471" s="44"/>
      <c r="H1471" s="44"/>
      <c r="I1471" s="44"/>
      <c r="J1471" s="45"/>
      <c r="K1471" s="44"/>
      <c r="L1471" s="44"/>
      <c r="M1471" s="44"/>
    </row>
    <row r="1472" spans="2:13" x14ac:dyDescent="0.25">
      <c r="B1472" s="42"/>
      <c r="C1472" s="43" t="str">
        <f t="shared" si="66"/>
        <v/>
      </c>
      <c r="D1472" s="44" t="str">
        <f t="shared" si="67"/>
        <v/>
      </c>
      <c r="E1472" s="44" t="str">
        <f t="shared" si="68"/>
        <v/>
      </c>
      <c r="F1472" s="44"/>
      <c r="G1472" s="44"/>
      <c r="H1472" s="44"/>
      <c r="I1472" s="44"/>
      <c r="J1472" s="45"/>
      <c r="K1472" s="44"/>
      <c r="L1472" s="44"/>
      <c r="M1472" s="44"/>
    </row>
    <row r="1473" spans="2:13" x14ac:dyDescent="0.25">
      <c r="B1473" s="42"/>
      <c r="C1473" s="43" t="str">
        <f t="shared" si="66"/>
        <v/>
      </c>
      <c r="D1473" s="44" t="str">
        <f t="shared" si="67"/>
        <v/>
      </c>
      <c r="E1473" s="44" t="str">
        <f t="shared" si="68"/>
        <v/>
      </c>
      <c r="F1473" s="44"/>
      <c r="G1473" s="44"/>
      <c r="H1473" s="44"/>
      <c r="I1473" s="44"/>
      <c r="J1473" s="45"/>
      <c r="K1473" s="44"/>
      <c r="L1473" s="44"/>
      <c r="M1473" s="44"/>
    </row>
    <row r="1474" spans="2:13" x14ac:dyDescent="0.25">
      <c r="B1474" s="42"/>
      <c r="C1474" s="43" t="str">
        <f t="shared" ref="C1474:C1537" si="69">IF(B1474="","",MONTH(B1474))</f>
        <v/>
      </c>
      <c r="D1474" s="44" t="str">
        <f t="shared" ref="D1474:D1537" si="70">IF(B1474="","",CHOOSE(C1474,"Enero","Febrero","Marzo","Abril","Mayo","Junio","Julio","Agosto","Septiembre","Octubre","Noviembre","Diciembre"))</f>
        <v/>
      </c>
      <c r="E1474" s="44" t="str">
        <f t="shared" ref="E1474:E1537" si="71">IF(B1474="","",YEAR(B1474))</f>
        <v/>
      </c>
      <c r="F1474" s="44"/>
      <c r="G1474" s="44"/>
      <c r="H1474" s="44"/>
      <c r="I1474" s="44"/>
      <c r="J1474" s="45"/>
      <c r="K1474" s="44"/>
      <c r="L1474" s="44"/>
      <c r="M1474" s="44"/>
    </row>
    <row r="1475" spans="2:13" x14ac:dyDescent="0.25">
      <c r="B1475" s="42"/>
      <c r="C1475" s="43" t="str">
        <f t="shared" si="69"/>
        <v/>
      </c>
      <c r="D1475" s="44" t="str">
        <f t="shared" si="70"/>
        <v/>
      </c>
      <c r="E1475" s="44" t="str">
        <f t="shared" si="71"/>
        <v/>
      </c>
      <c r="F1475" s="44"/>
      <c r="G1475" s="44"/>
      <c r="H1475" s="44"/>
      <c r="I1475" s="44"/>
      <c r="J1475" s="45"/>
      <c r="K1475" s="44"/>
      <c r="L1475" s="44"/>
      <c r="M1475" s="44"/>
    </row>
    <row r="1476" spans="2:13" x14ac:dyDescent="0.25">
      <c r="B1476" s="42"/>
      <c r="C1476" s="43" t="str">
        <f t="shared" si="69"/>
        <v/>
      </c>
      <c r="D1476" s="44" t="str">
        <f t="shared" si="70"/>
        <v/>
      </c>
      <c r="E1476" s="44" t="str">
        <f t="shared" si="71"/>
        <v/>
      </c>
      <c r="F1476" s="44"/>
      <c r="G1476" s="44"/>
      <c r="H1476" s="44"/>
      <c r="I1476" s="44"/>
      <c r="J1476" s="45"/>
      <c r="K1476" s="44"/>
      <c r="L1476" s="44"/>
      <c r="M1476" s="44"/>
    </row>
    <row r="1477" spans="2:13" x14ac:dyDescent="0.25">
      <c r="B1477" s="42"/>
      <c r="C1477" s="43" t="str">
        <f t="shared" si="69"/>
        <v/>
      </c>
      <c r="D1477" s="44" t="str">
        <f t="shared" si="70"/>
        <v/>
      </c>
      <c r="E1477" s="44" t="str">
        <f t="shared" si="71"/>
        <v/>
      </c>
      <c r="F1477" s="44"/>
      <c r="G1477" s="44"/>
      <c r="H1477" s="44"/>
      <c r="I1477" s="44"/>
      <c r="J1477" s="45"/>
      <c r="K1477" s="44"/>
      <c r="L1477" s="44"/>
      <c r="M1477" s="44"/>
    </row>
    <row r="1478" spans="2:13" x14ac:dyDescent="0.25">
      <c r="B1478" s="42"/>
      <c r="C1478" s="43" t="str">
        <f t="shared" si="69"/>
        <v/>
      </c>
      <c r="D1478" s="44" t="str">
        <f t="shared" si="70"/>
        <v/>
      </c>
      <c r="E1478" s="44" t="str">
        <f t="shared" si="71"/>
        <v/>
      </c>
      <c r="F1478" s="44"/>
      <c r="G1478" s="44"/>
      <c r="H1478" s="44"/>
      <c r="I1478" s="44"/>
      <c r="J1478" s="45"/>
      <c r="K1478" s="44"/>
      <c r="L1478" s="44"/>
      <c r="M1478" s="44"/>
    </row>
    <row r="1479" spans="2:13" x14ac:dyDescent="0.25">
      <c r="B1479" s="42"/>
      <c r="C1479" s="43" t="str">
        <f t="shared" si="69"/>
        <v/>
      </c>
      <c r="D1479" s="44" t="str">
        <f t="shared" si="70"/>
        <v/>
      </c>
      <c r="E1479" s="44" t="str">
        <f t="shared" si="71"/>
        <v/>
      </c>
      <c r="F1479" s="44"/>
      <c r="G1479" s="44"/>
      <c r="H1479" s="44"/>
      <c r="I1479" s="44"/>
      <c r="J1479" s="45"/>
      <c r="K1479" s="44"/>
      <c r="L1479" s="44"/>
      <c r="M1479" s="44"/>
    </row>
    <row r="1480" spans="2:13" x14ac:dyDescent="0.25">
      <c r="B1480" s="42"/>
      <c r="C1480" s="43" t="str">
        <f t="shared" si="69"/>
        <v/>
      </c>
      <c r="D1480" s="44" t="str">
        <f t="shared" si="70"/>
        <v/>
      </c>
      <c r="E1480" s="44" t="str">
        <f t="shared" si="71"/>
        <v/>
      </c>
      <c r="F1480" s="44"/>
      <c r="G1480" s="44"/>
      <c r="H1480" s="44"/>
      <c r="I1480" s="44"/>
      <c r="J1480" s="45"/>
      <c r="K1480" s="44"/>
      <c r="L1480" s="44"/>
      <c r="M1480" s="44"/>
    </row>
    <row r="1481" spans="2:13" x14ac:dyDescent="0.25">
      <c r="B1481" s="42"/>
      <c r="C1481" s="43" t="str">
        <f t="shared" si="69"/>
        <v/>
      </c>
      <c r="D1481" s="44" t="str">
        <f t="shared" si="70"/>
        <v/>
      </c>
      <c r="E1481" s="44" t="str">
        <f t="shared" si="71"/>
        <v/>
      </c>
      <c r="F1481" s="44"/>
      <c r="G1481" s="44"/>
      <c r="H1481" s="44"/>
      <c r="I1481" s="44"/>
      <c r="J1481" s="45"/>
      <c r="K1481" s="44"/>
      <c r="L1481" s="44"/>
      <c r="M1481" s="44"/>
    </row>
    <row r="1482" spans="2:13" x14ac:dyDescent="0.25">
      <c r="B1482" s="42"/>
      <c r="C1482" s="43" t="str">
        <f t="shared" si="69"/>
        <v/>
      </c>
      <c r="D1482" s="44" t="str">
        <f t="shared" si="70"/>
        <v/>
      </c>
      <c r="E1482" s="44" t="str">
        <f t="shared" si="71"/>
        <v/>
      </c>
      <c r="F1482" s="44"/>
      <c r="G1482" s="44"/>
      <c r="H1482" s="44"/>
      <c r="I1482" s="44"/>
      <c r="J1482" s="45"/>
      <c r="K1482" s="44"/>
      <c r="L1482" s="44"/>
      <c r="M1482" s="44"/>
    </row>
    <row r="1483" spans="2:13" x14ac:dyDescent="0.25">
      <c r="B1483" s="42"/>
      <c r="C1483" s="43" t="str">
        <f t="shared" si="69"/>
        <v/>
      </c>
      <c r="D1483" s="44" t="str">
        <f t="shared" si="70"/>
        <v/>
      </c>
      <c r="E1483" s="44" t="str">
        <f t="shared" si="71"/>
        <v/>
      </c>
      <c r="F1483" s="44"/>
      <c r="G1483" s="44"/>
      <c r="H1483" s="44"/>
      <c r="I1483" s="44"/>
      <c r="J1483" s="45"/>
      <c r="K1483" s="44"/>
      <c r="L1483" s="44"/>
      <c r="M1483" s="44"/>
    </row>
    <row r="1484" spans="2:13" x14ac:dyDescent="0.25">
      <c r="B1484" s="42"/>
      <c r="C1484" s="43" t="str">
        <f t="shared" si="69"/>
        <v/>
      </c>
      <c r="D1484" s="44" t="str">
        <f t="shared" si="70"/>
        <v/>
      </c>
      <c r="E1484" s="44" t="str">
        <f t="shared" si="71"/>
        <v/>
      </c>
      <c r="F1484" s="44"/>
      <c r="G1484" s="44"/>
      <c r="H1484" s="44"/>
      <c r="I1484" s="44"/>
      <c r="J1484" s="45"/>
      <c r="K1484" s="44"/>
      <c r="L1484" s="44"/>
      <c r="M1484" s="44"/>
    </row>
    <row r="1485" spans="2:13" x14ac:dyDescent="0.25">
      <c r="B1485" s="42"/>
      <c r="C1485" s="43" t="str">
        <f t="shared" si="69"/>
        <v/>
      </c>
      <c r="D1485" s="44" t="str">
        <f t="shared" si="70"/>
        <v/>
      </c>
      <c r="E1485" s="44" t="str">
        <f t="shared" si="71"/>
        <v/>
      </c>
      <c r="F1485" s="44"/>
      <c r="G1485" s="44"/>
      <c r="H1485" s="44"/>
      <c r="I1485" s="44"/>
      <c r="J1485" s="45"/>
      <c r="K1485" s="44"/>
      <c r="L1485" s="44"/>
      <c r="M1485" s="44"/>
    </row>
    <row r="1486" spans="2:13" x14ac:dyDescent="0.25">
      <c r="B1486" s="42"/>
      <c r="C1486" s="43" t="str">
        <f t="shared" si="69"/>
        <v/>
      </c>
      <c r="D1486" s="44" t="str">
        <f t="shared" si="70"/>
        <v/>
      </c>
      <c r="E1486" s="44" t="str">
        <f t="shared" si="71"/>
        <v/>
      </c>
      <c r="F1486" s="44"/>
      <c r="G1486" s="44"/>
      <c r="H1486" s="44"/>
      <c r="I1486" s="44"/>
      <c r="J1486" s="45"/>
      <c r="K1486" s="44"/>
      <c r="L1486" s="44"/>
      <c r="M1486" s="44"/>
    </row>
    <row r="1487" spans="2:13" x14ac:dyDescent="0.25">
      <c r="B1487" s="42"/>
      <c r="C1487" s="43" t="str">
        <f t="shared" si="69"/>
        <v/>
      </c>
      <c r="D1487" s="44" t="str">
        <f t="shared" si="70"/>
        <v/>
      </c>
      <c r="E1487" s="44" t="str">
        <f t="shared" si="71"/>
        <v/>
      </c>
      <c r="F1487" s="44"/>
      <c r="G1487" s="44"/>
      <c r="H1487" s="44"/>
      <c r="I1487" s="44"/>
      <c r="J1487" s="45"/>
      <c r="K1487" s="44"/>
      <c r="L1487" s="44"/>
      <c r="M1487" s="44"/>
    </row>
    <row r="1488" spans="2:13" x14ac:dyDescent="0.25">
      <c r="B1488" s="42"/>
      <c r="C1488" s="43" t="str">
        <f t="shared" si="69"/>
        <v/>
      </c>
      <c r="D1488" s="44" t="str">
        <f t="shared" si="70"/>
        <v/>
      </c>
      <c r="E1488" s="44" t="str">
        <f t="shared" si="71"/>
        <v/>
      </c>
      <c r="F1488" s="44"/>
      <c r="G1488" s="44"/>
      <c r="H1488" s="44"/>
      <c r="I1488" s="44"/>
      <c r="J1488" s="45"/>
      <c r="K1488" s="44"/>
      <c r="L1488" s="44"/>
      <c r="M1488" s="44"/>
    </row>
    <row r="1489" spans="2:13" x14ac:dyDescent="0.25">
      <c r="B1489" s="42"/>
      <c r="C1489" s="43" t="str">
        <f t="shared" si="69"/>
        <v/>
      </c>
      <c r="D1489" s="44" t="str">
        <f t="shared" si="70"/>
        <v/>
      </c>
      <c r="E1489" s="44" t="str">
        <f t="shared" si="71"/>
        <v/>
      </c>
      <c r="F1489" s="44"/>
      <c r="G1489" s="44"/>
      <c r="H1489" s="44"/>
      <c r="I1489" s="44"/>
      <c r="J1489" s="45"/>
      <c r="K1489" s="44"/>
      <c r="L1489" s="44"/>
      <c r="M1489" s="44"/>
    </row>
    <row r="1490" spans="2:13" x14ac:dyDescent="0.25">
      <c r="B1490" s="42"/>
      <c r="C1490" s="43" t="str">
        <f t="shared" si="69"/>
        <v/>
      </c>
      <c r="D1490" s="44" t="str">
        <f t="shared" si="70"/>
        <v/>
      </c>
      <c r="E1490" s="44" t="str">
        <f t="shared" si="71"/>
        <v/>
      </c>
      <c r="F1490" s="44"/>
      <c r="G1490" s="44"/>
      <c r="H1490" s="44"/>
      <c r="I1490" s="44"/>
      <c r="J1490" s="45"/>
      <c r="K1490" s="44"/>
      <c r="L1490" s="44"/>
      <c r="M1490" s="44"/>
    </row>
    <row r="1491" spans="2:13" x14ac:dyDescent="0.25">
      <c r="B1491" s="42"/>
      <c r="C1491" s="43" t="str">
        <f t="shared" si="69"/>
        <v/>
      </c>
      <c r="D1491" s="44" t="str">
        <f t="shared" si="70"/>
        <v/>
      </c>
      <c r="E1491" s="44" t="str">
        <f t="shared" si="71"/>
        <v/>
      </c>
      <c r="F1491" s="44"/>
      <c r="G1491" s="44"/>
      <c r="H1491" s="44"/>
      <c r="I1491" s="44"/>
      <c r="J1491" s="45"/>
      <c r="K1491" s="44"/>
      <c r="L1491" s="44"/>
      <c r="M1491" s="44"/>
    </row>
    <row r="1492" spans="2:13" x14ac:dyDescent="0.25">
      <c r="B1492" s="42"/>
      <c r="C1492" s="43" t="str">
        <f t="shared" si="69"/>
        <v/>
      </c>
      <c r="D1492" s="44" t="str">
        <f t="shared" si="70"/>
        <v/>
      </c>
      <c r="E1492" s="44" t="str">
        <f t="shared" si="71"/>
        <v/>
      </c>
      <c r="F1492" s="44"/>
      <c r="G1492" s="44"/>
      <c r="H1492" s="44"/>
      <c r="I1492" s="44"/>
      <c r="J1492" s="45"/>
      <c r="K1492" s="44"/>
      <c r="L1492" s="44"/>
      <c r="M1492" s="44"/>
    </row>
    <row r="1493" spans="2:13" x14ac:dyDescent="0.25">
      <c r="B1493" s="42"/>
      <c r="C1493" s="43" t="str">
        <f t="shared" si="69"/>
        <v/>
      </c>
      <c r="D1493" s="44" t="str">
        <f t="shared" si="70"/>
        <v/>
      </c>
      <c r="E1493" s="44" t="str">
        <f t="shared" si="71"/>
        <v/>
      </c>
      <c r="F1493" s="44"/>
      <c r="G1493" s="44"/>
      <c r="H1493" s="44"/>
      <c r="I1493" s="44"/>
      <c r="J1493" s="45"/>
      <c r="K1493" s="44"/>
      <c r="L1493" s="44"/>
      <c r="M1493" s="44"/>
    </row>
    <row r="1494" spans="2:13" x14ac:dyDescent="0.25">
      <c r="B1494" s="42"/>
      <c r="C1494" s="43" t="str">
        <f t="shared" si="69"/>
        <v/>
      </c>
      <c r="D1494" s="44" t="str">
        <f t="shared" si="70"/>
        <v/>
      </c>
      <c r="E1494" s="44" t="str">
        <f t="shared" si="71"/>
        <v/>
      </c>
      <c r="F1494" s="44"/>
      <c r="G1494" s="44"/>
      <c r="H1494" s="44"/>
      <c r="I1494" s="44"/>
      <c r="J1494" s="45"/>
      <c r="K1494" s="44"/>
      <c r="L1494" s="44"/>
      <c r="M1494" s="44"/>
    </row>
    <row r="1495" spans="2:13" x14ac:dyDescent="0.25">
      <c r="B1495" s="42"/>
      <c r="C1495" s="43" t="str">
        <f t="shared" si="69"/>
        <v/>
      </c>
      <c r="D1495" s="44" t="str">
        <f t="shared" si="70"/>
        <v/>
      </c>
      <c r="E1495" s="44" t="str">
        <f t="shared" si="71"/>
        <v/>
      </c>
      <c r="F1495" s="44"/>
      <c r="G1495" s="44"/>
      <c r="H1495" s="44"/>
      <c r="I1495" s="44"/>
      <c r="J1495" s="45"/>
      <c r="K1495" s="44"/>
      <c r="L1495" s="44"/>
      <c r="M1495" s="44"/>
    </row>
    <row r="1496" spans="2:13" x14ac:dyDescent="0.25">
      <c r="B1496" s="42"/>
      <c r="C1496" s="43" t="str">
        <f t="shared" si="69"/>
        <v/>
      </c>
      <c r="D1496" s="44" t="str">
        <f t="shared" si="70"/>
        <v/>
      </c>
      <c r="E1496" s="44" t="str">
        <f t="shared" si="71"/>
        <v/>
      </c>
      <c r="F1496" s="44"/>
      <c r="G1496" s="44"/>
      <c r="H1496" s="44"/>
      <c r="I1496" s="44"/>
      <c r="J1496" s="45"/>
      <c r="K1496" s="44"/>
      <c r="L1496" s="44"/>
      <c r="M1496" s="44"/>
    </row>
    <row r="1497" spans="2:13" x14ac:dyDescent="0.25">
      <c r="B1497" s="42"/>
      <c r="C1497" s="43" t="str">
        <f t="shared" si="69"/>
        <v/>
      </c>
      <c r="D1497" s="44" t="str">
        <f t="shared" si="70"/>
        <v/>
      </c>
      <c r="E1497" s="44" t="str">
        <f t="shared" si="71"/>
        <v/>
      </c>
      <c r="F1497" s="44"/>
      <c r="G1497" s="44"/>
      <c r="H1497" s="44"/>
      <c r="I1497" s="44"/>
      <c r="J1497" s="45"/>
      <c r="K1497" s="44"/>
      <c r="L1497" s="44"/>
      <c r="M1497" s="44"/>
    </row>
    <row r="1498" spans="2:13" x14ac:dyDescent="0.25">
      <c r="B1498" s="42"/>
      <c r="C1498" s="43" t="str">
        <f t="shared" si="69"/>
        <v/>
      </c>
      <c r="D1498" s="44" t="str">
        <f t="shared" si="70"/>
        <v/>
      </c>
      <c r="E1498" s="44" t="str">
        <f t="shared" si="71"/>
        <v/>
      </c>
      <c r="F1498" s="44"/>
      <c r="G1498" s="44"/>
      <c r="H1498" s="44"/>
      <c r="I1498" s="44"/>
      <c r="J1498" s="45"/>
      <c r="K1498" s="44"/>
      <c r="L1498" s="44"/>
      <c r="M1498" s="44"/>
    </row>
    <row r="1499" spans="2:13" x14ac:dyDescent="0.25">
      <c r="B1499" s="42"/>
      <c r="C1499" s="43" t="str">
        <f t="shared" si="69"/>
        <v/>
      </c>
      <c r="D1499" s="44" t="str">
        <f t="shared" si="70"/>
        <v/>
      </c>
      <c r="E1499" s="44" t="str">
        <f t="shared" si="71"/>
        <v/>
      </c>
      <c r="F1499" s="44"/>
      <c r="G1499" s="44"/>
      <c r="H1499" s="44"/>
      <c r="I1499" s="44"/>
      <c r="J1499" s="45"/>
      <c r="K1499" s="44"/>
      <c r="L1499" s="44"/>
      <c r="M1499" s="44"/>
    </row>
    <row r="1500" spans="2:13" x14ac:dyDescent="0.25">
      <c r="B1500" s="42"/>
      <c r="C1500" s="43" t="str">
        <f t="shared" si="69"/>
        <v/>
      </c>
      <c r="D1500" s="44" t="str">
        <f t="shared" si="70"/>
        <v/>
      </c>
      <c r="E1500" s="44" t="str">
        <f t="shared" si="71"/>
        <v/>
      </c>
      <c r="F1500" s="44"/>
      <c r="G1500" s="44"/>
      <c r="H1500" s="44"/>
      <c r="I1500" s="44"/>
      <c r="J1500" s="45"/>
      <c r="K1500" s="44"/>
      <c r="L1500" s="44"/>
      <c r="M1500" s="44"/>
    </row>
    <row r="1501" spans="2:13" x14ac:dyDescent="0.25">
      <c r="B1501" s="42"/>
      <c r="C1501" s="43" t="str">
        <f t="shared" si="69"/>
        <v/>
      </c>
      <c r="D1501" s="44" t="str">
        <f t="shared" si="70"/>
        <v/>
      </c>
      <c r="E1501" s="44" t="str">
        <f t="shared" si="71"/>
        <v/>
      </c>
      <c r="F1501" s="44"/>
      <c r="G1501" s="44"/>
      <c r="H1501" s="44"/>
      <c r="I1501" s="44"/>
      <c r="J1501" s="45"/>
      <c r="K1501" s="44"/>
      <c r="L1501" s="44"/>
      <c r="M1501" s="44"/>
    </row>
    <row r="1502" spans="2:13" x14ac:dyDescent="0.25">
      <c r="B1502" s="42"/>
      <c r="C1502" s="43" t="str">
        <f t="shared" si="69"/>
        <v/>
      </c>
      <c r="D1502" s="44" t="str">
        <f t="shared" si="70"/>
        <v/>
      </c>
      <c r="E1502" s="44" t="str">
        <f t="shared" si="71"/>
        <v/>
      </c>
      <c r="F1502" s="44"/>
      <c r="G1502" s="44"/>
      <c r="H1502" s="44"/>
      <c r="I1502" s="44"/>
      <c r="J1502" s="45"/>
      <c r="K1502" s="44"/>
      <c r="L1502" s="44"/>
      <c r="M1502" s="44"/>
    </row>
    <row r="1503" spans="2:13" x14ac:dyDescent="0.25">
      <c r="B1503" s="42"/>
      <c r="C1503" s="43" t="str">
        <f t="shared" si="69"/>
        <v/>
      </c>
      <c r="D1503" s="44" t="str">
        <f t="shared" si="70"/>
        <v/>
      </c>
      <c r="E1503" s="44" t="str">
        <f t="shared" si="71"/>
        <v/>
      </c>
      <c r="F1503" s="44"/>
      <c r="G1503" s="44"/>
      <c r="H1503" s="44"/>
      <c r="I1503" s="44"/>
      <c r="J1503" s="45"/>
      <c r="K1503" s="44"/>
      <c r="L1503" s="44"/>
      <c r="M1503" s="44"/>
    </row>
    <row r="1504" spans="2:13" x14ac:dyDescent="0.25">
      <c r="B1504" s="42"/>
      <c r="C1504" s="43" t="str">
        <f t="shared" si="69"/>
        <v/>
      </c>
      <c r="D1504" s="44" t="str">
        <f t="shared" si="70"/>
        <v/>
      </c>
      <c r="E1504" s="44" t="str">
        <f t="shared" si="71"/>
        <v/>
      </c>
      <c r="F1504" s="44"/>
      <c r="G1504" s="44"/>
      <c r="H1504" s="44"/>
      <c r="I1504" s="44"/>
      <c r="J1504" s="45"/>
      <c r="K1504" s="44"/>
      <c r="L1504" s="44"/>
      <c r="M1504" s="44"/>
    </row>
    <row r="1505" spans="2:13" x14ac:dyDescent="0.25">
      <c r="B1505" s="42"/>
      <c r="C1505" s="43" t="str">
        <f t="shared" si="69"/>
        <v/>
      </c>
      <c r="D1505" s="44" t="str">
        <f t="shared" si="70"/>
        <v/>
      </c>
      <c r="E1505" s="44" t="str">
        <f t="shared" si="71"/>
        <v/>
      </c>
      <c r="F1505" s="44"/>
      <c r="G1505" s="44"/>
      <c r="H1505" s="44"/>
      <c r="I1505" s="44"/>
      <c r="J1505" s="45"/>
      <c r="K1505" s="44"/>
      <c r="L1505" s="44"/>
      <c r="M1505" s="44"/>
    </row>
    <row r="1506" spans="2:13" x14ac:dyDescent="0.25">
      <c r="B1506" s="42"/>
      <c r="C1506" s="43" t="str">
        <f t="shared" si="69"/>
        <v/>
      </c>
      <c r="D1506" s="44" t="str">
        <f t="shared" si="70"/>
        <v/>
      </c>
      <c r="E1506" s="44" t="str">
        <f t="shared" si="71"/>
        <v/>
      </c>
      <c r="F1506" s="44"/>
      <c r="G1506" s="44"/>
      <c r="H1506" s="44"/>
      <c r="I1506" s="44"/>
      <c r="J1506" s="45"/>
      <c r="K1506" s="44"/>
      <c r="L1506" s="44"/>
      <c r="M1506" s="44"/>
    </row>
    <row r="1507" spans="2:13" x14ac:dyDescent="0.25">
      <c r="B1507" s="42"/>
      <c r="C1507" s="43" t="str">
        <f t="shared" si="69"/>
        <v/>
      </c>
      <c r="D1507" s="44" t="str">
        <f t="shared" si="70"/>
        <v/>
      </c>
      <c r="E1507" s="44" t="str">
        <f t="shared" si="71"/>
        <v/>
      </c>
      <c r="F1507" s="44"/>
      <c r="G1507" s="44"/>
      <c r="H1507" s="44"/>
      <c r="I1507" s="44"/>
      <c r="J1507" s="45"/>
      <c r="K1507" s="44"/>
      <c r="L1507" s="44"/>
      <c r="M1507" s="44"/>
    </row>
    <row r="1508" spans="2:13" x14ac:dyDescent="0.25">
      <c r="B1508" s="42"/>
      <c r="C1508" s="43" t="str">
        <f t="shared" si="69"/>
        <v/>
      </c>
      <c r="D1508" s="44" t="str">
        <f t="shared" si="70"/>
        <v/>
      </c>
      <c r="E1508" s="44" t="str">
        <f t="shared" si="71"/>
        <v/>
      </c>
      <c r="F1508" s="44"/>
      <c r="G1508" s="44"/>
      <c r="H1508" s="44"/>
      <c r="I1508" s="44"/>
      <c r="J1508" s="45"/>
      <c r="K1508" s="44"/>
      <c r="L1508" s="44"/>
      <c r="M1508" s="44"/>
    </row>
    <row r="1509" spans="2:13" x14ac:dyDescent="0.25">
      <c r="B1509" s="42"/>
      <c r="C1509" s="43" t="str">
        <f t="shared" si="69"/>
        <v/>
      </c>
      <c r="D1509" s="44" t="str">
        <f t="shared" si="70"/>
        <v/>
      </c>
      <c r="E1509" s="44" t="str">
        <f t="shared" si="71"/>
        <v/>
      </c>
      <c r="F1509" s="44"/>
      <c r="G1509" s="44"/>
      <c r="H1509" s="44"/>
      <c r="I1509" s="44"/>
      <c r="J1509" s="45"/>
      <c r="K1509" s="44"/>
      <c r="L1509" s="44"/>
      <c r="M1509" s="44"/>
    </row>
    <row r="1510" spans="2:13" x14ac:dyDescent="0.25">
      <c r="B1510" s="42"/>
      <c r="C1510" s="43" t="str">
        <f t="shared" si="69"/>
        <v/>
      </c>
      <c r="D1510" s="44" t="str">
        <f t="shared" si="70"/>
        <v/>
      </c>
      <c r="E1510" s="44" t="str">
        <f t="shared" si="71"/>
        <v/>
      </c>
      <c r="F1510" s="44"/>
      <c r="G1510" s="44"/>
      <c r="H1510" s="44"/>
      <c r="I1510" s="44"/>
      <c r="J1510" s="45"/>
      <c r="K1510" s="44"/>
      <c r="L1510" s="44"/>
      <c r="M1510" s="44"/>
    </row>
    <row r="1511" spans="2:13" x14ac:dyDescent="0.25">
      <c r="B1511" s="42"/>
      <c r="C1511" s="43" t="str">
        <f t="shared" si="69"/>
        <v/>
      </c>
      <c r="D1511" s="44" t="str">
        <f t="shared" si="70"/>
        <v/>
      </c>
      <c r="E1511" s="44" t="str">
        <f t="shared" si="71"/>
        <v/>
      </c>
      <c r="F1511" s="44"/>
      <c r="G1511" s="44"/>
      <c r="H1511" s="44"/>
      <c r="I1511" s="44"/>
      <c r="J1511" s="45"/>
      <c r="K1511" s="44"/>
      <c r="L1511" s="44"/>
      <c r="M1511" s="44"/>
    </row>
    <row r="1512" spans="2:13" x14ac:dyDescent="0.25">
      <c r="B1512" s="42"/>
      <c r="C1512" s="43" t="str">
        <f t="shared" si="69"/>
        <v/>
      </c>
      <c r="D1512" s="44" t="str">
        <f t="shared" si="70"/>
        <v/>
      </c>
      <c r="E1512" s="44" t="str">
        <f t="shared" si="71"/>
        <v/>
      </c>
      <c r="F1512" s="44"/>
      <c r="G1512" s="44"/>
      <c r="H1512" s="44"/>
      <c r="I1512" s="44"/>
      <c r="J1512" s="45"/>
      <c r="K1512" s="44"/>
      <c r="L1512" s="44"/>
      <c r="M1512" s="44"/>
    </row>
    <row r="1513" spans="2:13" x14ac:dyDescent="0.25">
      <c r="B1513" s="42"/>
      <c r="C1513" s="43" t="str">
        <f t="shared" si="69"/>
        <v/>
      </c>
      <c r="D1513" s="44" t="str">
        <f t="shared" si="70"/>
        <v/>
      </c>
      <c r="E1513" s="44" t="str">
        <f t="shared" si="71"/>
        <v/>
      </c>
      <c r="F1513" s="44"/>
      <c r="G1513" s="44"/>
      <c r="H1513" s="44"/>
      <c r="I1513" s="44"/>
      <c r="J1513" s="45"/>
      <c r="K1513" s="44"/>
      <c r="L1513" s="44"/>
      <c r="M1513" s="44"/>
    </row>
    <row r="1514" spans="2:13" x14ac:dyDescent="0.25">
      <c r="B1514" s="42"/>
      <c r="C1514" s="43" t="str">
        <f t="shared" si="69"/>
        <v/>
      </c>
      <c r="D1514" s="44" t="str">
        <f t="shared" si="70"/>
        <v/>
      </c>
      <c r="E1514" s="44" t="str">
        <f t="shared" si="71"/>
        <v/>
      </c>
      <c r="F1514" s="44"/>
      <c r="G1514" s="44"/>
      <c r="H1514" s="44"/>
      <c r="I1514" s="44"/>
      <c r="J1514" s="45"/>
      <c r="K1514" s="44"/>
      <c r="L1514" s="44"/>
      <c r="M1514" s="44"/>
    </row>
    <row r="1515" spans="2:13" x14ac:dyDescent="0.25">
      <c r="B1515" s="42"/>
      <c r="C1515" s="43" t="str">
        <f t="shared" si="69"/>
        <v/>
      </c>
      <c r="D1515" s="44" t="str">
        <f t="shared" si="70"/>
        <v/>
      </c>
      <c r="E1515" s="44" t="str">
        <f t="shared" si="71"/>
        <v/>
      </c>
      <c r="F1515" s="44"/>
      <c r="G1515" s="44"/>
      <c r="H1515" s="44"/>
      <c r="I1515" s="44"/>
      <c r="J1515" s="45"/>
      <c r="K1515" s="44"/>
      <c r="L1515" s="44"/>
      <c r="M1515" s="44"/>
    </row>
    <row r="1516" spans="2:13" x14ac:dyDescent="0.25">
      <c r="B1516" s="42"/>
      <c r="C1516" s="43" t="str">
        <f t="shared" si="69"/>
        <v/>
      </c>
      <c r="D1516" s="44" t="str">
        <f t="shared" si="70"/>
        <v/>
      </c>
      <c r="E1516" s="44" t="str">
        <f t="shared" si="71"/>
        <v/>
      </c>
      <c r="F1516" s="44"/>
      <c r="G1516" s="44"/>
      <c r="H1516" s="44"/>
      <c r="I1516" s="44"/>
      <c r="J1516" s="45"/>
      <c r="K1516" s="44"/>
      <c r="L1516" s="44"/>
      <c r="M1516" s="44"/>
    </row>
    <row r="1517" spans="2:13" x14ac:dyDescent="0.25">
      <c r="B1517" s="42"/>
      <c r="C1517" s="43" t="str">
        <f t="shared" si="69"/>
        <v/>
      </c>
      <c r="D1517" s="44" t="str">
        <f t="shared" si="70"/>
        <v/>
      </c>
      <c r="E1517" s="44" t="str">
        <f t="shared" si="71"/>
        <v/>
      </c>
      <c r="F1517" s="44"/>
      <c r="G1517" s="44"/>
      <c r="H1517" s="44"/>
      <c r="I1517" s="44"/>
      <c r="J1517" s="45"/>
      <c r="K1517" s="44"/>
      <c r="L1517" s="44"/>
      <c r="M1517" s="44"/>
    </row>
    <row r="1518" spans="2:13" x14ac:dyDescent="0.25">
      <c r="B1518" s="42"/>
      <c r="C1518" s="43" t="str">
        <f t="shared" si="69"/>
        <v/>
      </c>
      <c r="D1518" s="44" t="str">
        <f t="shared" si="70"/>
        <v/>
      </c>
      <c r="E1518" s="44" t="str">
        <f t="shared" si="71"/>
        <v/>
      </c>
      <c r="F1518" s="44"/>
      <c r="G1518" s="44"/>
      <c r="H1518" s="44"/>
      <c r="I1518" s="44"/>
      <c r="J1518" s="45"/>
      <c r="K1518" s="44"/>
      <c r="L1518" s="44"/>
      <c r="M1518" s="44"/>
    </row>
    <row r="1519" spans="2:13" x14ac:dyDescent="0.25">
      <c r="B1519" s="42"/>
      <c r="C1519" s="43" t="str">
        <f t="shared" si="69"/>
        <v/>
      </c>
      <c r="D1519" s="44" t="str">
        <f t="shared" si="70"/>
        <v/>
      </c>
      <c r="E1519" s="44" t="str">
        <f t="shared" si="71"/>
        <v/>
      </c>
      <c r="F1519" s="44"/>
      <c r="G1519" s="44"/>
      <c r="H1519" s="44"/>
      <c r="I1519" s="44"/>
      <c r="J1519" s="45"/>
      <c r="K1519" s="44"/>
      <c r="L1519" s="44"/>
      <c r="M1519" s="44"/>
    </row>
    <row r="1520" spans="2:13" x14ac:dyDescent="0.25">
      <c r="B1520" s="42"/>
      <c r="C1520" s="43" t="str">
        <f t="shared" si="69"/>
        <v/>
      </c>
      <c r="D1520" s="44" t="str">
        <f t="shared" si="70"/>
        <v/>
      </c>
      <c r="E1520" s="44" t="str">
        <f t="shared" si="71"/>
        <v/>
      </c>
      <c r="F1520" s="44"/>
      <c r="G1520" s="44"/>
      <c r="H1520" s="44"/>
      <c r="I1520" s="44"/>
      <c r="J1520" s="45"/>
      <c r="K1520" s="44"/>
      <c r="L1520" s="44"/>
      <c r="M1520" s="44"/>
    </row>
    <row r="1521" spans="2:13" x14ac:dyDescent="0.25">
      <c r="B1521" s="42"/>
      <c r="C1521" s="43" t="str">
        <f t="shared" si="69"/>
        <v/>
      </c>
      <c r="D1521" s="44" t="str">
        <f t="shared" si="70"/>
        <v/>
      </c>
      <c r="E1521" s="44" t="str">
        <f t="shared" si="71"/>
        <v/>
      </c>
      <c r="F1521" s="44"/>
      <c r="G1521" s="44"/>
      <c r="H1521" s="44"/>
      <c r="I1521" s="44"/>
      <c r="J1521" s="45"/>
      <c r="K1521" s="44"/>
      <c r="L1521" s="44"/>
      <c r="M1521" s="44"/>
    </row>
    <row r="1522" spans="2:13" x14ac:dyDescent="0.25">
      <c r="B1522" s="42"/>
      <c r="C1522" s="43" t="str">
        <f t="shared" si="69"/>
        <v/>
      </c>
      <c r="D1522" s="44" t="str">
        <f t="shared" si="70"/>
        <v/>
      </c>
      <c r="E1522" s="44" t="str">
        <f t="shared" si="71"/>
        <v/>
      </c>
      <c r="F1522" s="44"/>
      <c r="G1522" s="44"/>
      <c r="H1522" s="44"/>
      <c r="I1522" s="44"/>
      <c r="J1522" s="45"/>
      <c r="K1522" s="44"/>
      <c r="L1522" s="44"/>
      <c r="M1522" s="44"/>
    </row>
    <row r="1523" spans="2:13" x14ac:dyDescent="0.25">
      <c r="B1523" s="42"/>
      <c r="C1523" s="43" t="str">
        <f t="shared" si="69"/>
        <v/>
      </c>
      <c r="D1523" s="44" t="str">
        <f t="shared" si="70"/>
        <v/>
      </c>
      <c r="E1523" s="44" t="str">
        <f t="shared" si="71"/>
        <v/>
      </c>
      <c r="F1523" s="44"/>
      <c r="G1523" s="44"/>
      <c r="H1523" s="44"/>
      <c r="I1523" s="44"/>
      <c r="J1523" s="45"/>
      <c r="K1523" s="44"/>
      <c r="L1523" s="44"/>
      <c r="M1523" s="44"/>
    </row>
    <row r="1524" spans="2:13" x14ac:dyDescent="0.25">
      <c r="B1524" s="42"/>
      <c r="C1524" s="43" t="str">
        <f t="shared" si="69"/>
        <v/>
      </c>
      <c r="D1524" s="44" t="str">
        <f t="shared" si="70"/>
        <v/>
      </c>
      <c r="E1524" s="44" t="str">
        <f t="shared" si="71"/>
        <v/>
      </c>
      <c r="F1524" s="44"/>
      <c r="G1524" s="44"/>
      <c r="H1524" s="44"/>
      <c r="I1524" s="44"/>
      <c r="J1524" s="45"/>
      <c r="K1524" s="44"/>
      <c r="L1524" s="44"/>
      <c r="M1524" s="44"/>
    </row>
    <row r="1525" spans="2:13" x14ac:dyDescent="0.25">
      <c r="B1525" s="42"/>
      <c r="C1525" s="43" t="str">
        <f t="shared" si="69"/>
        <v/>
      </c>
      <c r="D1525" s="44" t="str">
        <f t="shared" si="70"/>
        <v/>
      </c>
      <c r="E1525" s="44" t="str">
        <f t="shared" si="71"/>
        <v/>
      </c>
      <c r="F1525" s="44"/>
      <c r="G1525" s="44"/>
      <c r="H1525" s="44"/>
      <c r="I1525" s="44"/>
      <c r="J1525" s="45"/>
      <c r="K1525" s="44"/>
      <c r="L1525" s="44"/>
      <c r="M1525" s="44"/>
    </row>
    <row r="1526" spans="2:13" x14ac:dyDescent="0.25">
      <c r="B1526" s="42"/>
      <c r="C1526" s="43" t="str">
        <f t="shared" si="69"/>
        <v/>
      </c>
      <c r="D1526" s="44" t="str">
        <f t="shared" si="70"/>
        <v/>
      </c>
      <c r="E1526" s="44" t="str">
        <f t="shared" si="71"/>
        <v/>
      </c>
      <c r="F1526" s="44"/>
      <c r="G1526" s="44"/>
      <c r="H1526" s="44"/>
      <c r="I1526" s="44"/>
      <c r="J1526" s="45"/>
      <c r="K1526" s="44"/>
      <c r="L1526" s="44"/>
      <c r="M1526" s="44"/>
    </row>
    <row r="1527" spans="2:13" x14ac:dyDescent="0.25">
      <c r="B1527" s="42"/>
      <c r="C1527" s="43" t="str">
        <f t="shared" si="69"/>
        <v/>
      </c>
      <c r="D1527" s="44" t="str">
        <f t="shared" si="70"/>
        <v/>
      </c>
      <c r="E1527" s="44" t="str">
        <f t="shared" si="71"/>
        <v/>
      </c>
      <c r="F1527" s="44"/>
      <c r="G1527" s="44"/>
      <c r="H1527" s="44"/>
      <c r="I1527" s="44"/>
      <c r="J1527" s="45"/>
      <c r="K1527" s="44"/>
      <c r="L1527" s="44"/>
      <c r="M1527" s="44"/>
    </row>
    <row r="1528" spans="2:13" x14ac:dyDescent="0.25">
      <c r="B1528" s="42"/>
      <c r="C1528" s="43" t="str">
        <f t="shared" si="69"/>
        <v/>
      </c>
      <c r="D1528" s="44" t="str">
        <f t="shared" si="70"/>
        <v/>
      </c>
      <c r="E1528" s="44" t="str">
        <f t="shared" si="71"/>
        <v/>
      </c>
      <c r="F1528" s="44"/>
      <c r="G1528" s="44"/>
      <c r="H1528" s="44"/>
      <c r="I1528" s="44"/>
      <c r="J1528" s="45"/>
      <c r="K1528" s="44"/>
      <c r="L1528" s="44"/>
      <c r="M1528" s="44"/>
    </row>
    <row r="1529" spans="2:13" x14ac:dyDescent="0.25">
      <c r="B1529" s="42"/>
      <c r="C1529" s="43" t="str">
        <f t="shared" si="69"/>
        <v/>
      </c>
      <c r="D1529" s="44" t="str">
        <f t="shared" si="70"/>
        <v/>
      </c>
      <c r="E1529" s="44" t="str">
        <f t="shared" si="71"/>
        <v/>
      </c>
      <c r="F1529" s="44"/>
      <c r="G1529" s="44"/>
      <c r="H1529" s="44"/>
      <c r="I1529" s="44"/>
      <c r="J1529" s="45"/>
      <c r="K1529" s="44"/>
      <c r="L1529" s="44"/>
      <c r="M1529" s="44"/>
    </row>
    <row r="1530" spans="2:13" x14ac:dyDescent="0.25">
      <c r="B1530" s="42"/>
      <c r="C1530" s="43" t="str">
        <f t="shared" si="69"/>
        <v/>
      </c>
      <c r="D1530" s="44" t="str">
        <f t="shared" si="70"/>
        <v/>
      </c>
      <c r="E1530" s="44" t="str">
        <f t="shared" si="71"/>
        <v/>
      </c>
      <c r="F1530" s="44"/>
      <c r="G1530" s="44"/>
      <c r="H1530" s="44"/>
      <c r="I1530" s="44"/>
      <c r="J1530" s="45"/>
      <c r="K1530" s="44"/>
      <c r="L1530" s="44"/>
      <c r="M1530" s="44"/>
    </row>
    <row r="1531" spans="2:13" x14ac:dyDescent="0.25">
      <c r="B1531" s="42"/>
      <c r="C1531" s="43" t="str">
        <f t="shared" si="69"/>
        <v/>
      </c>
      <c r="D1531" s="44" t="str">
        <f t="shared" si="70"/>
        <v/>
      </c>
      <c r="E1531" s="44" t="str">
        <f t="shared" si="71"/>
        <v/>
      </c>
      <c r="F1531" s="44"/>
      <c r="G1531" s="44"/>
      <c r="H1531" s="44"/>
      <c r="I1531" s="44"/>
      <c r="J1531" s="45"/>
      <c r="K1531" s="44"/>
      <c r="L1531" s="44"/>
      <c r="M1531" s="44"/>
    </row>
    <row r="1532" spans="2:13" x14ac:dyDescent="0.25">
      <c r="B1532" s="42"/>
      <c r="C1532" s="43" t="str">
        <f t="shared" si="69"/>
        <v/>
      </c>
      <c r="D1532" s="44" t="str">
        <f t="shared" si="70"/>
        <v/>
      </c>
      <c r="E1532" s="44" t="str">
        <f t="shared" si="71"/>
        <v/>
      </c>
      <c r="F1532" s="44"/>
      <c r="G1532" s="44"/>
      <c r="H1532" s="44"/>
      <c r="I1532" s="44"/>
      <c r="J1532" s="45"/>
      <c r="K1532" s="44"/>
      <c r="L1532" s="44"/>
      <c r="M1532" s="44"/>
    </row>
    <row r="1533" spans="2:13" x14ac:dyDescent="0.25">
      <c r="B1533" s="42"/>
      <c r="C1533" s="43" t="str">
        <f t="shared" si="69"/>
        <v/>
      </c>
      <c r="D1533" s="44" t="str">
        <f t="shared" si="70"/>
        <v/>
      </c>
      <c r="E1533" s="44" t="str">
        <f t="shared" si="71"/>
        <v/>
      </c>
      <c r="F1533" s="44"/>
      <c r="G1533" s="44"/>
      <c r="H1533" s="44"/>
      <c r="I1533" s="44"/>
      <c r="J1533" s="45"/>
      <c r="K1533" s="44"/>
      <c r="L1533" s="44"/>
      <c r="M1533" s="44"/>
    </row>
    <row r="1534" spans="2:13" x14ac:dyDescent="0.25">
      <c r="B1534" s="42"/>
      <c r="C1534" s="43" t="str">
        <f t="shared" si="69"/>
        <v/>
      </c>
      <c r="D1534" s="44" t="str">
        <f t="shared" si="70"/>
        <v/>
      </c>
      <c r="E1534" s="44" t="str">
        <f t="shared" si="71"/>
        <v/>
      </c>
      <c r="F1534" s="44"/>
      <c r="G1534" s="44"/>
      <c r="H1534" s="44"/>
      <c r="I1534" s="44"/>
      <c r="J1534" s="45"/>
      <c r="K1534" s="44"/>
      <c r="L1534" s="44"/>
      <c r="M1534" s="44"/>
    </row>
    <row r="1535" spans="2:13" x14ac:dyDescent="0.25">
      <c r="B1535" s="42"/>
      <c r="C1535" s="43" t="str">
        <f t="shared" si="69"/>
        <v/>
      </c>
      <c r="D1535" s="44" t="str">
        <f t="shared" si="70"/>
        <v/>
      </c>
      <c r="E1535" s="44" t="str">
        <f t="shared" si="71"/>
        <v/>
      </c>
      <c r="F1535" s="44"/>
      <c r="G1535" s="44"/>
      <c r="H1535" s="44"/>
      <c r="I1535" s="44"/>
      <c r="J1535" s="45"/>
      <c r="K1535" s="44"/>
      <c r="L1535" s="44"/>
      <c r="M1535" s="44"/>
    </row>
    <row r="1536" spans="2:13" x14ac:dyDescent="0.25">
      <c r="B1536" s="42"/>
      <c r="C1536" s="43" t="str">
        <f t="shared" si="69"/>
        <v/>
      </c>
      <c r="D1536" s="44" t="str">
        <f t="shared" si="70"/>
        <v/>
      </c>
      <c r="E1536" s="44" t="str">
        <f t="shared" si="71"/>
        <v/>
      </c>
      <c r="F1536" s="44"/>
      <c r="G1536" s="44"/>
      <c r="H1536" s="44"/>
      <c r="I1536" s="44"/>
      <c r="J1536" s="45"/>
      <c r="K1536" s="44"/>
      <c r="L1536" s="44"/>
      <c r="M1536" s="44"/>
    </row>
    <row r="1537" spans="2:13" x14ac:dyDescent="0.25">
      <c r="B1537" s="42"/>
      <c r="C1537" s="43" t="str">
        <f t="shared" si="69"/>
        <v/>
      </c>
      <c r="D1537" s="44" t="str">
        <f t="shared" si="70"/>
        <v/>
      </c>
      <c r="E1537" s="44" t="str">
        <f t="shared" si="71"/>
        <v/>
      </c>
      <c r="F1537" s="44"/>
      <c r="G1537" s="44"/>
      <c r="H1537" s="44"/>
      <c r="I1537" s="44"/>
      <c r="J1537" s="45"/>
      <c r="K1537" s="44"/>
      <c r="L1537" s="44"/>
      <c r="M1537" s="44"/>
    </row>
    <row r="1538" spans="2:13" x14ac:dyDescent="0.25">
      <c r="B1538" s="42"/>
      <c r="C1538" s="43" t="str">
        <f t="shared" ref="C1538:C1601" si="72">IF(B1538="","",MONTH(B1538))</f>
        <v/>
      </c>
      <c r="D1538" s="44" t="str">
        <f t="shared" ref="D1538:D1601" si="73">IF(B1538="","",CHOOSE(C1538,"Enero","Febrero","Marzo","Abril","Mayo","Junio","Julio","Agosto","Septiembre","Octubre","Noviembre","Diciembre"))</f>
        <v/>
      </c>
      <c r="E1538" s="44" t="str">
        <f t="shared" ref="E1538:E1601" si="74">IF(B1538="","",YEAR(B1538))</f>
        <v/>
      </c>
      <c r="F1538" s="44"/>
      <c r="G1538" s="44"/>
      <c r="H1538" s="44"/>
      <c r="I1538" s="44"/>
      <c r="J1538" s="45"/>
      <c r="K1538" s="44"/>
      <c r="L1538" s="44"/>
      <c r="M1538" s="44"/>
    </row>
    <row r="1539" spans="2:13" x14ac:dyDescent="0.25">
      <c r="B1539" s="42"/>
      <c r="C1539" s="43" t="str">
        <f t="shared" si="72"/>
        <v/>
      </c>
      <c r="D1539" s="44" t="str">
        <f t="shared" si="73"/>
        <v/>
      </c>
      <c r="E1539" s="44" t="str">
        <f t="shared" si="74"/>
        <v/>
      </c>
      <c r="F1539" s="44"/>
      <c r="G1539" s="44"/>
      <c r="H1539" s="44"/>
      <c r="I1539" s="44"/>
      <c r="J1539" s="45"/>
      <c r="K1539" s="44"/>
      <c r="L1539" s="44"/>
      <c r="M1539" s="44"/>
    </row>
    <row r="1540" spans="2:13" x14ac:dyDescent="0.25">
      <c r="B1540" s="42"/>
      <c r="C1540" s="43" t="str">
        <f t="shared" si="72"/>
        <v/>
      </c>
      <c r="D1540" s="44" t="str">
        <f t="shared" si="73"/>
        <v/>
      </c>
      <c r="E1540" s="44" t="str">
        <f t="shared" si="74"/>
        <v/>
      </c>
      <c r="F1540" s="44"/>
      <c r="G1540" s="44"/>
      <c r="H1540" s="44"/>
      <c r="I1540" s="44"/>
      <c r="J1540" s="45"/>
      <c r="K1540" s="44"/>
      <c r="L1540" s="44"/>
      <c r="M1540" s="44"/>
    </row>
    <row r="1541" spans="2:13" x14ac:dyDescent="0.25">
      <c r="B1541" s="42"/>
      <c r="C1541" s="43" t="str">
        <f t="shared" si="72"/>
        <v/>
      </c>
      <c r="D1541" s="44" t="str">
        <f t="shared" si="73"/>
        <v/>
      </c>
      <c r="E1541" s="44" t="str">
        <f t="shared" si="74"/>
        <v/>
      </c>
      <c r="F1541" s="44"/>
      <c r="G1541" s="44"/>
      <c r="H1541" s="44"/>
      <c r="I1541" s="44"/>
      <c r="J1541" s="45"/>
      <c r="K1541" s="44"/>
      <c r="L1541" s="44"/>
      <c r="M1541" s="44"/>
    </row>
    <row r="1542" spans="2:13" x14ac:dyDescent="0.25">
      <c r="B1542" s="42"/>
      <c r="C1542" s="43" t="str">
        <f t="shared" si="72"/>
        <v/>
      </c>
      <c r="D1542" s="44" t="str">
        <f t="shared" si="73"/>
        <v/>
      </c>
      <c r="E1542" s="44" t="str">
        <f t="shared" si="74"/>
        <v/>
      </c>
      <c r="F1542" s="44"/>
      <c r="G1542" s="44"/>
      <c r="H1542" s="44"/>
      <c r="I1542" s="44"/>
      <c r="J1542" s="45"/>
      <c r="K1542" s="44"/>
      <c r="L1542" s="44"/>
      <c r="M1542" s="44"/>
    </row>
    <row r="1543" spans="2:13" x14ac:dyDescent="0.25">
      <c r="B1543" s="42"/>
      <c r="C1543" s="43" t="str">
        <f t="shared" si="72"/>
        <v/>
      </c>
      <c r="D1543" s="44" t="str">
        <f t="shared" si="73"/>
        <v/>
      </c>
      <c r="E1543" s="44" t="str">
        <f t="shared" si="74"/>
        <v/>
      </c>
      <c r="F1543" s="44"/>
      <c r="G1543" s="44"/>
      <c r="H1543" s="44"/>
      <c r="I1543" s="44"/>
      <c r="J1543" s="45"/>
      <c r="K1543" s="44"/>
      <c r="L1543" s="44"/>
      <c r="M1543" s="44"/>
    </row>
    <row r="1544" spans="2:13" x14ac:dyDescent="0.25">
      <c r="B1544" s="42"/>
      <c r="C1544" s="43" t="str">
        <f t="shared" si="72"/>
        <v/>
      </c>
      <c r="D1544" s="44" t="str">
        <f t="shared" si="73"/>
        <v/>
      </c>
      <c r="E1544" s="44" t="str">
        <f t="shared" si="74"/>
        <v/>
      </c>
      <c r="F1544" s="44"/>
      <c r="G1544" s="44"/>
      <c r="H1544" s="44"/>
      <c r="I1544" s="44"/>
      <c r="J1544" s="45"/>
      <c r="K1544" s="44"/>
      <c r="L1544" s="44"/>
      <c r="M1544" s="44"/>
    </row>
    <row r="1545" spans="2:13" x14ac:dyDescent="0.25">
      <c r="B1545" s="42"/>
      <c r="C1545" s="43" t="str">
        <f t="shared" si="72"/>
        <v/>
      </c>
      <c r="D1545" s="44" t="str">
        <f t="shared" si="73"/>
        <v/>
      </c>
      <c r="E1545" s="44" t="str">
        <f t="shared" si="74"/>
        <v/>
      </c>
      <c r="F1545" s="44"/>
      <c r="G1545" s="44"/>
      <c r="H1545" s="44"/>
      <c r="I1545" s="44"/>
      <c r="J1545" s="45"/>
      <c r="K1545" s="44"/>
      <c r="L1545" s="44"/>
      <c r="M1545" s="44"/>
    </row>
    <row r="1546" spans="2:13" x14ac:dyDescent="0.25">
      <c r="B1546" s="42"/>
      <c r="C1546" s="43" t="str">
        <f t="shared" si="72"/>
        <v/>
      </c>
      <c r="D1546" s="44" t="str">
        <f t="shared" si="73"/>
        <v/>
      </c>
      <c r="E1546" s="44" t="str">
        <f t="shared" si="74"/>
        <v/>
      </c>
      <c r="F1546" s="44"/>
      <c r="G1546" s="44"/>
      <c r="H1546" s="44"/>
      <c r="I1546" s="44"/>
      <c r="J1546" s="45"/>
      <c r="K1546" s="44"/>
      <c r="L1546" s="44"/>
      <c r="M1546" s="44"/>
    </row>
    <row r="1547" spans="2:13" x14ac:dyDescent="0.25">
      <c r="B1547" s="42"/>
      <c r="C1547" s="43" t="str">
        <f t="shared" si="72"/>
        <v/>
      </c>
      <c r="D1547" s="44" t="str">
        <f t="shared" si="73"/>
        <v/>
      </c>
      <c r="E1547" s="44" t="str">
        <f t="shared" si="74"/>
        <v/>
      </c>
      <c r="F1547" s="44"/>
      <c r="G1547" s="44"/>
      <c r="H1547" s="44"/>
      <c r="I1547" s="44"/>
      <c r="J1547" s="45"/>
      <c r="K1547" s="44"/>
      <c r="L1547" s="44"/>
      <c r="M1547" s="44"/>
    </row>
    <row r="1548" spans="2:13" x14ac:dyDescent="0.25">
      <c r="B1548" s="42"/>
      <c r="C1548" s="43" t="str">
        <f t="shared" si="72"/>
        <v/>
      </c>
      <c r="D1548" s="44" t="str">
        <f t="shared" si="73"/>
        <v/>
      </c>
      <c r="E1548" s="44" t="str">
        <f t="shared" si="74"/>
        <v/>
      </c>
      <c r="F1548" s="44"/>
      <c r="G1548" s="44"/>
      <c r="H1548" s="44"/>
      <c r="I1548" s="44"/>
      <c r="J1548" s="45"/>
      <c r="K1548" s="44"/>
      <c r="L1548" s="44"/>
      <c r="M1548" s="44"/>
    </row>
    <row r="1549" spans="2:13" x14ac:dyDescent="0.25">
      <c r="B1549" s="42"/>
      <c r="C1549" s="43" t="str">
        <f t="shared" si="72"/>
        <v/>
      </c>
      <c r="D1549" s="44" t="str">
        <f t="shared" si="73"/>
        <v/>
      </c>
      <c r="E1549" s="44" t="str">
        <f t="shared" si="74"/>
        <v/>
      </c>
      <c r="F1549" s="44"/>
      <c r="G1549" s="44"/>
      <c r="H1549" s="44"/>
      <c r="I1549" s="44"/>
      <c r="J1549" s="45"/>
      <c r="K1549" s="44"/>
      <c r="L1549" s="44"/>
      <c r="M1549" s="44"/>
    </row>
    <row r="1550" spans="2:13" x14ac:dyDescent="0.25">
      <c r="B1550" s="42"/>
      <c r="C1550" s="43" t="str">
        <f t="shared" si="72"/>
        <v/>
      </c>
      <c r="D1550" s="44" t="str">
        <f t="shared" si="73"/>
        <v/>
      </c>
      <c r="E1550" s="44" t="str">
        <f t="shared" si="74"/>
        <v/>
      </c>
      <c r="F1550" s="44"/>
      <c r="G1550" s="44"/>
      <c r="H1550" s="44"/>
      <c r="I1550" s="44"/>
      <c r="J1550" s="45"/>
      <c r="K1550" s="44"/>
      <c r="L1550" s="44"/>
      <c r="M1550" s="44"/>
    </row>
    <row r="1551" spans="2:13" x14ac:dyDescent="0.25">
      <c r="B1551" s="42"/>
      <c r="C1551" s="43" t="str">
        <f t="shared" si="72"/>
        <v/>
      </c>
      <c r="D1551" s="44" t="str">
        <f t="shared" si="73"/>
        <v/>
      </c>
      <c r="E1551" s="44" t="str">
        <f t="shared" si="74"/>
        <v/>
      </c>
      <c r="F1551" s="44"/>
      <c r="G1551" s="44"/>
      <c r="H1551" s="44"/>
      <c r="I1551" s="44"/>
      <c r="J1551" s="45"/>
      <c r="K1551" s="44"/>
      <c r="L1551" s="44"/>
      <c r="M1551" s="44"/>
    </row>
    <row r="1552" spans="2:13" x14ac:dyDescent="0.25">
      <c r="B1552" s="42"/>
      <c r="C1552" s="43" t="str">
        <f t="shared" si="72"/>
        <v/>
      </c>
      <c r="D1552" s="44" t="str">
        <f t="shared" si="73"/>
        <v/>
      </c>
      <c r="E1552" s="44" t="str">
        <f t="shared" si="74"/>
        <v/>
      </c>
      <c r="F1552" s="44"/>
      <c r="G1552" s="44"/>
      <c r="H1552" s="44"/>
      <c r="I1552" s="44"/>
      <c r="J1552" s="45"/>
      <c r="K1552" s="44"/>
      <c r="L1552" s="44"/>
      <c r="M1552" s="44"/>
    </row>
    <row r="1553" spans="2:13" x14ac:dyDescent="0.25">
      <c r="B1553" s="42"/>
      <c r="C1553" s="43" t="str">
        <f t="shared" si="72"/>
        <v/>
      </c>
      <c r="D1553" s="44" t="str">
        <f t="shared" si="73"/>
        <v/>
      </c>
      <c r="E1553" s="44" t="str">
        <f t="shared" si="74"/>
        <v/>
      </c>
      <c r="F1553" s="44"/>
      <c r="G1553" s="44"/>
      <c r="H1553" s="44"/>
      <c r="I1553" s="44"/>
      <c r="J1553" s="45"/>
      <c r="K1553" s="44"/>
      <c r="L1553" s="44"/>
      <c r="M1553" s="44"/>
    </row>
    <row r="1554" spans="2:13" x14ac:dyDescent="0.25">
      <c r="B1554" s="42"/>
      <c r="C1554" s="43" t="str">
        <f t="shared" si="72"/>
        <v/>
      </c>
      <c r="D1554" s="44" t="str">
        <f t="shared" si="73"/>
        <v/>
      </c>
      <c r="E1554" s="44" t="str">
        <f t="shared" si="74"/>
        <v/>
      </c>
      <c r="F1554" s="44"/>
      <c r="G1554" s="44"/>
      <c r="H1554" s="44"/>
      <c r="I1554" s="44"/>
      <c r="J1554" s="45"/>
      <c r="K1554" s="44"/>
      <c r="L1554" s="44"/>
      <c r="M1554" s="44"/>
    </row>
    <row r="1555" spans="2:13" x14ac:dyDescent="0.25">
      <c r="B1555" s="42"/>
      <c r="C1555" s="43" t="str">
        <f t="shared" si="72"/>
        <v/>
      </c>
      <c r="D1555" s="44" t="str">
        <f t="shared" si="73"/>
        <v/>
      </c>
      <c r="E1555" s="44" t="str">
        <f t="shared" si="74"/>
        <v/>
      </c>
      <c r="F1555" s="44"/>
      <c r="G1555" s="44"/>
      <c r="H1555" s="44"/>
      <c r="I1555" s="44"/>
      <c r="J1555" s="45"/>
      <c r="K1555" s="44"/>
      <c r="L1555" s="44"/>
      <c r="M1555" s="44"/>
    </row>
    <row r="1556" spans="2:13" x14ac:dyDescent="0.25">
      <c r="B1556" s="42"/>
      <c r="C1556" s="43" t="str">
        <f t="shared" si="72"/>
        <v/>
      </c>
      <c r="D1556" s="44" t="str">
        <f t="shared" si="73"/>
        <v/>
      </c>
      <c r="E1556" s="44" t="str">
        <f t="shared" si="74"/>
        <v/>
      </c>
      <c r="F1556" s="44"/>
      <c r="G1556" s="44"/>
      <c r="H1556" s="44"/>
      <c r="I1556" s="44"/>
      <c r="J1556" s="45"/>
      <c r="K1556" s="44"/>
      <c r="L1556" s="44"/>
      <c r="M1556" s="44"/>
    </row>
    <row r="1557" spans="2:13" x14ac:dyDescent="0.25">
      <c r="B1557" s="42"/>
      <c r="C1557" s="43" t="str">
        <f t="shared" si="72"/>
        <v/>
      </c>
      <c r="D1557" s="44" t="str">
        <f t="shared" si="73"/>
        <v/>
      </c>
      <c r="E1557" s="44" t="str">
        <f t="shared" si="74"/>
        <v/>
      </c>
      <c r="F1557" s="44"/>
      <c r="G1557" s="44"/>
      <c r="H1557" s="44"/>
      <c r="I1557" s="44"/>
      <c r="J1557" s="45"/>
      <c r="K1557" s="44"/>
      <c r="L1557" s="44"/>
      <c r="M1557" s="44"/>
    </row>
    <row r="1558" spans="2:13" x14ac:dyDescent="0.25">
      <c r="B1558" s="42"/>
      <c r="C1558" s="43" t="str">
        <f t="shared" si="72"/>
        <v/>
      </c>
      <c r="D1558" s="44" t="str">
        <f t="shared" si="73"/>
        <v/>
      </c>
      <c r="E1558" s="44" t="str">
        <f t="shared" si="74"/>
        <v/>
      </c>
      <c r="F1558" s="44"/>
      <c r="G1558" s="44"/>
      <c r="H1558" s="44"/>
      <c r="I1558" s="44"/>
      <c r="J1558" s="45"/>
      <c r="K1558" s="44"/>
      <c r="L1558" s="44"/>
      <c r="M1558" s="44"/>
    </row>
    <row r="1559" spans="2:13" x14ac:dyDescent="0.25">
      <c r="B1559" s="42"/>
      <c r="C1559" s="43" t="str">
        <f t="shared" si="72"/>
        <v/>
      </c>
      <c r="D1559" s="44" t="str">
        <f t="shared" si="73"/>
        <v/>
      </c>
      <c r="E1559" s="44" t="str">
        <f t="shared" si="74"/>
        <v/>
      </c>
      <c r="F1559" s="44"/>
      <c r="G1559" s="44"/>
      <c r="H1559" s="44"/>
      <c r="I1559" s="44"/>
      <c r="J1559" s="45"/>
      <c r="K1559" s="44"/>
      <c r="L1559" s="44"/>
      <c r="M1559" s="44"/>
    </row>
    <row r="1560" spans="2:13" x14ac:dyDescent="0.25">
      <c r="B1560" s="42"/>
      <c r="C1560" s="43" t="str">
        <f t="shared" si="72"/>
        <v/>
      </c>
      <c r="D1560" s="44" t="str">
        <f t="shared" si="73"/>
        <v/>
      </c>
      <c r="E1560" s="44" t="str">
        <f t="shared" si="74"/>
        <v/>
      </c>
      <c r="F1560" s="44"/>
      <c r="G1560" s="44"/>
      <c r="H1560" s="44"/>
      <c r="I1560" s="44"/>
      <c r="J1560" s="45"/>
      <c r="K1560" s="44"/>
      <c r="L1560" s="44"/>
      <c r="M1560" s="44"/>
    </row>
    <row r="1561" spans="2:13" x14ac:dyDescent="0.25">
      <c r="B1561" s="42"/>
      <c r="C1561" s="43" t="str">
        <f t="shared" si="72"/>
        <v/>
      </c>
      <c r="D1561" s="44" t="str">
        <f t="shared" si="73"/>
        <v/>
      </c>
      <c r="E1561" s="44" t="str">
        <f t="shared" si="74"/>
        <v/>
      </c>
      <c r="F1561" s="44"/>
      <c r="G1561" s="44"/>
      <c r="H1561" s="44"/>
      <c r="I1561" s="44"/>
      <c r="J1561" s="45"/>
      <c r="K1561" s="44"/>
      <c r="L1561" s="44"/>
      <c r="M1561" s="44"/>
    </row>
    <row r="1562" spans="2:13" x14ac:dyDescent="0.25">
      <c r="B1562" s="42"/>
      <c r="C1562" s="43" t="str">
        <f t="shared" si="72"/>
        <v/>
      </c>
      <c r="D1562" s="44" t="str">
        <f t="shared" si="73"/>
        <v/>
      </c>
      <c r="E1562" s="44" t="str">
        <f t="shared" si="74"/>
        <v/>
      </c>
      <c r="F1562" s="44"/>
      <c r="G1562" s="44"/>
      <c r="H1562" s="44"/>
      <c r="I1562" s="44"/>
      <c r="J1562" s="45"/>
      <c r="K1562" s="44"/>
      <c r="L1562" s="44"/>
      <c r="M1562" s="44"/>
    </row>
    <row r="1563" spans="2:13" x14ac:dyDescent="0.25">
      <c r="B1563" s="42"/>
      <c r="C1563" s="43" t="str">
        <f t="shared" si="72"/>
        <v/>
      </c>
      <c r="D1563" s="44" t="str">
        <f t="shared" si="73"/>
        <v/>
      </c>
      <c r="E1563" s="44" t="str">
        <f t="shared" si="74"/>
        <v/>
      </c>
      <c r="F1563" s="44"/>
      <c r="G1563" s="44"/>
      <c r="H1563" s="44"/>
      <c r="I1563" s="44"/>
      <c r="J1563" s="45"/>
      <c r="K1563" s="44"/>
      <c r="L1563" s="44"/>
      <c r="M1563" s="44"/>
    </row>
    <row r="1564" spans="2:13" x14ac:dyDescent="0.25">
      <c r="B1564" s="42"/>
      <c r="C1564" s="43" t="str">
        <f t="shared" si="72"/>
        <v/>
      </c>
      <c r="D1564" s="44" t="str">
        <f t="shared" si="73"/>
        <v/>
      </c>
      <c r="E1564" s="44" t="str">
        <f t="shared" si="74"/>
        <v/>
      </c>
      <c r="F1564" s="44"/>
      <c r="G1564" s="44"/>
      <c r="H1564" s="44"/>
      <c r="I1564" s="44"/>
      <c r="J1564" s="45"/>
      <c r="K1564" s="44"/>
      <c r="L1564" s="44"/>
      <c r="M1564" s="44"/>
    </row>
    <row r="1565" spans="2:13" x14ac:dyDescent="0.25">
      <c r="B1565" s="42"/>
      <c r="C1565" s="43" t="str">
        <f t="shared" si="72"/>
        <v/>
      </c>
      <c r="D1565" s="44" t="str">
        <f t="shared" si="73"/>
        <v/>
      </c>
      <c r="E1565" s="44" t="str">
        <f t="shared" si="74"/>
        <v/>
      </c>
      <c r="F1565" s="44"/>
      <c r="G1565" s="44"/>
      <c r="H1565" s="44"/>
      <c r="I1565" s="44"/>
      <c r="J1565" s="45"/>
      <c r="K1565" s="44"/>
      <c r="L1565" s="44"/>
      <c r="M1565" s="44"/>
    </row>
    <row r="1566" spans="2:13" x14ac:dyDescent="0.25">
      <c r="B1566" s="42"/>
      <c r="C1566" s="43" t="str">
        <f t="shared" si="72"/>
        <v/>
      </c>
      <c r="D1566" s="44" t="str">
        <f t="shared" si="73"/>
        <v/>
      </c>
      <c r="E1566" s="44" t="str">
        <f t="shared" si="74"/>
        <v/>
      </c>
      <c r="F1566" s="44"/>
      <c r="G1566" s="44"/>
      <c r="H1566" s="44"/>
      <c r="I1566" s="44"/>
      <c r="J1566" s="45"/>
      <c r="K1566" s="44"/>
      <c r="L1566" s="44"/>
      <c r="M1566" s="44"/>
    </row>
    <row r="1567" spans="2:13" x14ac:dyDescent="0.25">
      <c r="B1567" s="42"/>
      <c r="C1567" s="43" t="str">
        <f t="shared" si="72"/>
        <v/>
      </c>
      <c r="D1567" s="44" t="str">
        <f t="shared" si="73"/>
        <v/>
      </c>
      <c r="E1567" s="44" t="str">
        <f t="shared" si="74"/>
        <v/>
      </c>
      <c r="F1567" s="44"/>
      <c r="G1567" s="44"/>
      <c r="H1567" s="44"/>
      <c r="I1567" s="44"/>
      <c r="J1567" s="45"/>
      <c r="K1567" s="44"/>
      <c r="L1567" s="44"/>
      <c r="M1567" s="44"/>
    </row>
    <row r="1568" spans="2:13" x14ac:dyDescent="0.25">
      <c r="B1568" s="42"/>
      <c r="C1568" s="43" t="str">
        <f t="shared" si="72"/>
        <v/>
      </c>
      <c r="D1568" s="44" t="str">
        <f t="shared" si="73"/>
        <v/>
      </c>
      <c r="E1568" s="44" t="str">
        <f t="shared" si="74"/>
        <v/>
      </c>
      <c r="F1568" s="44"/>
      <c r="G1568" s="44"/>
      <c r="H1568" s="44"/>
      <c r="I1568" s="44"/>
      <c r="J1568" s="45"/>
      <c r="K1568" s="44"/>
      <c r="L1568" s="44"/>
      <c r="M1568" s="44"/>
    </row>
    <row r="1569" spans="2:13" x14ac:dyDescent="0.25">
      <c r="B1569" s="42"/>
      <c r="C1569" s="43" t="str">
        <f t="shared" si="72"/>
        <v/>
      </c>
      <c r="D1569" s="44" t="str">
        <f t="shared" si="73"/>
        <v/>
      </c>
      <c r="E1569" s="44" t="str">
        <f t="shared" si="74"/>
        <v/>
      </c>
      <c r="F1569" s="44"/>
      <c r="G1569" s="44"/>
      <c r="H1569" s="44"/>
      <c r="I1569" s="44"/>
      <c r="J1569" s="45"/>
      <c r="K1569" s="44"/>
      <c r="L1569" s="44"/>
      <c r="M1569" s="44"/>
    </row>
    <row r="1570" spans="2:13" x14ac:dyDescent="0.25">
      <c r="B1570" s="42"/>
      <c r="C1570" s="43" t="str">
        <f t="shared" si="72"/>
        <v/>
      </c>
      <c r="D1570" s="44" t="str">
        <f t="shared" si="73"/>
        <v/>
      </c>
      <c r="E1570" s="44" t="str">
        <f t="shared" si="74"/>
        <v/>
      </c>
      <c r="F1570" s="44"/>
      <c r="G1570" s="44"/>
      <c r="H1570" s="44"/>
      <c r="I1570" s="44"/>
      <c r="J1570" s="45"/>
      <c r="K1570" s="44"/>
      <c r="L1570" s="44"/>
      <c r="M1570" s="44"/>
    </row>
    <row r="1571" spans="2:13" x14ac:dyDescent="0.25">
      <c r="B1571" s="42"/>
      <c r="C1571" s="43" t="str">
        <f t="shared" si="72"/>
        <v/>
      </c>
      <c r="D1571" s="44" t="str">
        <f t="shared" si="73"/>
        <v/>
      </c>
      <c r="E1571" s="44" t="str">
        <f t="shared" si="74"/>
        <v/>
      </c>
      <c r="F1571" s="44"/>
      <c r="G1571" s="44"/>
      <c r="H1571" s="44"/>
      <c r="I1571" s="44"/>
      <c r="J1571" s="45"/>
      <c r="K1571" s="44"/>
      <c r="L1571" s="44"/>
      <c r="M1571" s="44"/>
    </row>
    <row r="1572" spans="2:13" x14ac:dyDescent="0.25">
      <c r="B1572" s="42"/>
      <c r="C1572" s="43" t="str">
        <f t="shared" si="72"/>
        <v/>
      </c>
      <c r="D1572" s="44" t="str">
        <f t="shared" si="73"/>
        <v/>
      </c>
      <c r="E1572" s="44" t="str">
        <f t="shared" si="74"/>
        <v/>
      </c>
      <c r="F1572" s="44"/>
      <c r="G1572" s="44"/>
      <c r="H1572" s="44"/>
      <c r="I1572" s="44"/>
      <c r="J1572" s="45"/>
      <c r="K1572" s="44"/>
      <c r="L1572" s="44"/>
      <c r="M1572" s="44"/>
    </row>
    <row r="1573" spans="2:13" x14ac:dyDescent="0.25">
      <c r="B1573" s="42"/>
      <c r="C1573" s="43" t="str">
        <f t="shared" si="72"/>
        <v/>
      </c>
      <c r="D1573" s="44" t="str">
        <f t="shared" si="73"/>
        <v/>
      </c>
      <c r="E1573" s="44" t="str">
        <f t="shared" si="74"/>
        <v/>
      </c>
      <c r="F1573" s="44"/>
      <c r="G1573" s="44"/>
      <c r="H1573" s="44"/>
      <c r="I1573" s="44"/>
      <c r="J1573" s="45"/>
      <c r="K1573" s="44"/>
      <c r="L1573" s="44"/>
      <c r="M1573" s="44"/>
    </row>
    <row r="1574" spans="2:13" x14ac:dyDescent="0.25">
      <c r="B1574" s="42"/>
      <c r="C1574" s="43" t="str">
        <f t="shared" si="72"/>
        <v/>
      </c>
      <c r="D1574" s="44" t="str">
        <f t="shared" si="73"/>
        <v/>
      </c>
      <c r="E1574" s="44" t="str">
        <f t="shared" si="74"/>
        <v/>
      </c>
      <c r="F1574" s="44"/>
      <c r="G1574" s="44"/>
      <c r="H1574" s="44"/>
      <c r="I1574" s="44"/>
      <c r="J1574" s="45"/>
      <c r="K1574" s="44"/>
      <c r="L1574" s="44"/>
      <c r="M1574" s="44"/>
    </row>
    <row r="1575" spans="2:13" x14ac:dyDescent="0.25">
      <c r="B1575" s="42"/>
      <c r="C1575" s="43" t="str">
        <f t="shared" si="72"/>
        <v/>
      </c>
      <c r="D1575" s="44" t="str">
        <f t="shared" si="73"/>
        <v/>
      </c>
      <c r="E1575" s="44" t="str">
        <f t="shared" si="74"/>
        <v/>
      </c>
      <c r="F1575" s="44"/>
      <c r="G1575" s="44"/>
      <c r="H1575" s="44"/>
      <c r="I1575" s="44"/>
      <c r="J1575" s="45"/>
      <c r="K1575" s="44"/>
      <c r="L1575" s="44"/>
      <c r="M1575" s="44"/>
    </row>
    <row r="1576" spans="2:13" x14ac:dyDescent="0.25">
      <c r="B1576" s="42"/>
      <c r="C1576" s="43" t="str">
        <f t="shared" si="72"/>
        <v/>
      </c>
      <c r="D1576" s="44" t="str">
        <f t="shared" si="73"/>
        <v/>
      </c>
      <c r="E1576" s="44" t="str">
        <f t="shared" si="74"/>
        <v/>
      </c>
      <c r="F1576" s="44"/>
      <c r="G1576" s="44"/>
      <c r="H1576" s="44"/>
      <c r="I1576" s="44"/>
      <c r="J1576" s="45"/>
      <c r="K1576" s="44"/>
      <c r="L1576" s="44"/>
      <c r="M1576" s="44"/>
    </row>
    <row r="1577" spans="2:13" x14ac:dyDescent="0.25">
      <c r="B1577" s="42"/>
      <c r="C1577" s="43" t="str">
        <f t="shared" si="72"/>
        <v/>
      </c>
      <c r="D1577" s="44" t="str">
        <f t="shared" si="73"/>
        <v/>
      </c>
      <c r="E1577" s="44" t="str">
        <f t="shared" si="74"/>
        <v/>
      </c>
      <c r="F1577" s="44"/>
      <c r="G1577" s="44"/>
      <c r="H1577" s="44"/>
      <c r="I1577" s="44"/>
      <c r="J1577" s="45"/>
      <c r="K1577" s="44"/>
      <c r="L1577" s="44"/>
      <c r="M1577" s="44"/>
    </row>
    <row r="1578" spans="2:13" x14ac:dyDescent="0.25">
      <c r="B1578" s="42"/>
      <c r="C1578" s="43" t="str">
        <f t="shared" si="72"/>
        <v/>
      </c>
      <c r="D1578" s="44" t="str">
        <f t="shared" si="73"/>
        <v/>
      </c>
      <c r="E1578" s="44" t="str">
        <f t="shared" si="74"/>
        <v/>
      </c>
      <c r="F1578" s="44"/>
      <c r="G1578" s="44"/>
      <c r="H1578" s="44"/>
      <c r="I1578" s="44"/>
      <c r="J1578" s="45"/>
      <c r="K1578" s="44"/>
      <c r="L1578" s="44"/>
      <c r="M1578" s="44"/>
    </row>
    <row r="1579" spans="2:13" x14ac:dyDescent="0.25">
      <c r="B1579" s="42"/>
      <c r="C1579" s="43" t="str">
        <f t="shared" si="72"/>
        <v/>
      </c>
      <c r="D1579" s="44" t="str">
        <f t="shared" si="73"/>
        <v/>
      </c>
      <c r="E1579" s="44" t="str">
        <f t="shared" si="74"/>
        <v/>
      </c>
      <c r="F1579" s="44"/>
      <c r="G1579" s="44"/>
      <c r="H1579" s="44"/>
      <c r="I1579" s="44"/>
      <c r="J1579" s="45"/>
      <c r="K1579" s="44"/>
      <c r="L1579" s="44"/>
      <c r="M1579" s="44"/>
    </row>
    <row r="1580" spans="2:13" x14ac:dyDescent="0.25">
      <c r="B1580" s="42"/>
      <c r="C1580" s="43" t="str">
        <f t="shared" si="72"/>
        <v/>
      </c>
      <c r="D1580" s="44" t="str">
        <f t="shared" si="73"/>
        <v/>
      </c>
      <c r="E1580" s="44" t="str">
        <f t="shared" si="74"/>
        <v/>
      </c>
      <c r="F1580" s="44"/>
      <c r="G1580" s="44"/>
      <c r="H1580" s="44"/>
      <c r="I1580" s="44"/>
      <c r="J1580" s="45"/>
      <c r="K1580" s="44"/>
      <c r="L1580" s="44"/>
      <c r="M1580" s="44"/>
    </row>
    <row r="1581" spans="2:13" x14ac:dyDescent="0.25">
      <c r="B1581" s="42"/>
      <c r="C1581" s="43" t="str">
        <f t="shared" si="72"/>
        <v/>
      </c>
      <c r="D1581" s="44" t="str">
        <f t="shared" si="73"/>
        <v/>
      </c>
      <c r="E1581" s="44" t="str">
        <f t="shared" si="74"/>
        <v/>
      </c>
      <c r="F1581" s="44"/>
      <c r="G1581" s="44"/>
      <c r="H1581" s="44"/>
      <c r="I1581" s="44"/>
      <c r="J1581" s="45"/>
      <c r="K1581" s="44"/>
      <c r="L1581" s="44"/>
      <c r="M1581" s="44"/>
    </row>
    <row r="1582" spans="2:13" x14ac:dyDescent="0.25">
      <c r="B1582" s="42"/>
      <c r="C1582" s="43" t="str">
        <f t="shared" si="72"/>
        <v/>
      </c>
      <c r="D1582" s="44" t="str">
        <f t="shared" si="73"/>
        <v/>
      </c>
      <c r="E1582" s="44" t="str">
        <f t="shared" si="74"/>
        <v/>
      </c>
      <c r="F1582" s="44"/>
      <c r="G1582" s="44"/>
      <c r="H1582" s="44"/>
      <c r="I1582" s="44"/>
      <c r="J1582" s="45"/>
      <c r="K1582" s="44"/>
      <c r="L1582" s="44"/>
      <c r="M1582" s="44"/>
    </row>
    <row r="1583" spans="2:13" x14ac:dyDescent="0.25">
      <c r="B1583" s="42"/>
      <c r="C1583" s="43" t="str">
        <f t="shared" si="72"/>
        <v/>
      </c>
      <c r="D1583" s="44" t="str">
        <f t="shared" si="73"/>
        <v/>
      </c>
      <c r="E1583" s="44" t="str">
        <f t="shared" si="74"/>
        <v/>
      </c>
      <c r="F1583" s="44"/>
      <c r="G1583" s="44"/>
      <c r="H1583" s="44"/>
      <c r="I1583" s="44"/>
      <c r="J1583" s="45"/>
      <c r="K1583" s="44"/>
      <c r="L1583" s="44"/>
      <c r="M1583" s="44"/>
    </row>
    <row r="1584" spans="2:13" x14ac:dyDescent="0.25">
      <c r="B1584" s="42"/>
      <c r="C1584" s="43" t="str">
        <f t="shared" si="72"/>
        <v/>
      </c>
      <c r="D1584" s="44" t="str">
        <f t="shared" si="73"/>
        <v/>
      </c>
      <c r="E1584" s="44" t="str">
        <f t="shared" si="74"/>
        <v/>
      </c>
      <c r="F1584" s="44"/>
      <c r="G1584" s="44"/>
      <c r="H1584" s="44"/>
      <c r="I1584" s="44"/>
      <c r="J1584" s="45"/>
      <c r="K1584" s="44"/>
      <c r="L1584" s="44"/>
      <c r="M1584" s="44"/>
    </row>
    <row r="1585" spans="2:13" x14ac:dyDescent="0.25">
      <c r="B1585" s="42"/>
      <c r="C1585" s="43" t="str">
        <f t="shared" si="72"/>
        <v/>
      </c>
      <c r="D1585" s="44" t="str">
        <f t="shared" si="73"/>
        <v/>
      </c>
      <c r="E1585" s="44" t="str">
        <f t="shared" si="74"/>
        <v/>
      </c>
      <c r="F1585" s="44"/>
      <c r="G1585" s="44"/>
      <c r="H1585" s="44"/>
      <c r="I1585" s="44"/>
      <c r="J1585" s="45"/>
      <c r="K1585" s="44"/>
      <c r="L1585" s="44"/>
      <c r="M1585" s="44"/>
    </row>
    <row r="1586" spans="2:13" x14ac:dyDescent="0.25">
      <c r="B1586" s="42"/>
      <c r="C1586" s="43" t="str">
        <f t="shared" si="72"/>
        <v/>
      </c>
      <c r="D1586" s="44" t="str">
        <f t="shared" si="73"/>
        <v/>
      </c>
      <c r="E1586" s="44" t="str">
        <f t="shared" si="74"/>
        <v/>
      </c>
      <c r="F1586" s="44"/>
      <c r="G1586" s="44"/>
      <c r="H1586" s="44"/>
      <c r="I1586" s="44"/>
      <c r="J1586" s="45"/>
      <c r="K1586" s="44"/>
      <c r="L1586" s="44"/>
      <c r="M1586" s="44"/>
    </row>
    <row r="1587" spans="2:13" x14ac:dyDescent="0.25">
      <c r="B1587" s="42"/>
      <c r="C1587" s="43" t="str">
        <f t="shared" si="72"/>
        <v/>
      </c>
      <c r="D1587" s="44" t="str">
        <f t="shared" si="73"/>
        <v/>
      </c>
      <c r="E1587" s="44" t="str">
        <f t="shared" si="74"/>
        <v/>
      </c>
      <c r="F1587" s="44"/>
      <c r="G1587" s="44"/>
      <c r="H1587" s="44"/>
      <c r="I1587" s="44"/>
      <c r="J1587" s="45"/>
      <c r="K1587" s="44"/>
      <c r="L1587" s="44"/>
      <c r="M1587" s="44"/>
    </row>
    <row r="1588" spans="2:13" x14ac:dyDescent="0.25">
      <c r="B1588" s="42"/>
      <c r="C1588" s="43" t="str">
        <f t="shared" si="72"/>
        <v/>
      </c>
      <c r="D1588" s="44" t="str">
        <f t="shared" si="73"/>
        <v/>
      </c>
      <c r="E1588" s="44" t="str">
        <f t="shared" si="74"/>
        <v/>
      </c>
      <c r="F1588" s="44"/>
      <c r="G1588" s="44"/>
      <c r="H1588" s="44"/>
      <c r="I1588" s="44"/>
      <c r="J1588" s="45"/>
      <c r="K1588" s="44"/>
      <c r="L1588" s="44"/>
      <c r="M1588" s="44"/>
    </row>
    <row r="1589" spans="2:13" x14ac:dyDescent="0.25">
      <c r="B1589" s="42"/>
      <c r="C1589" s="43" t="str">
        <f t="shared" si="72"/>
        <v/>
      </c>
      <c r="D1589" s="44" t="str">
        <f t="shared" si="73"/>
        <v/>
      </c>
      <c r="E1589" s="44" t="str">
        <f t="shared" si="74"/>
        <v/>
      </c>
      <c r="F1589" s="44"/>
      <c r="G1589" s="44"/>
      <c r="H1589" s="44"/>
      <c r="I1589" s="44"/>
      <c r="J1589" s="45"/>
      <c r="K1589" s="44"/>
      <c r="L1589" s="44"/>
      <c r="M1589" s="44"/>
    </row>
    <row r="1590" spans="2:13" x14ac:dyDescent="0.25">
      <c r="B1590" s="42"/>
      <c r="C1590" s="43" t="str">
        <f t="shared" si="72"/>
        <v/>
      </c>
      <c r="D1590" s="44" t="str">
        <f t="shared" si="73"/>
        <v/>
      </c>
      <c r="E1590" s="44" t="str">
        <f t="shared" si="74"/>
        <v/>
      </c>
      <c r="F1590" s="44"/>
      <c r="G1590" s="44"/>
      <c r="H1590" s="44"/>
      <c r="I1590" s="44"/>
      <c r="J1590" s="45"/>
      <c r="K1590" s="44"/>
      <c r="L1590" s="44"/>
      <c r="M1590" s="44"/>
    </row>
    <row r="1591" spans="2:13" x14ac:dyDescent="0.25">
      <c r="B1591" s="42"/>
      <c r="C1591" s="43" t="str">
        <f t="shared" si="72"/>
        <v/>
      </c>
      <c r="D1591" s="44" t="str">
        <f t="shared" si="73"/>
        <v/>
      </c>
      <c r="E1591" s="44" t="str">
        <f t="shared" si="74"/>
        <v/>
      </c>
      <c r="F1591" s="44"/>
      <c r="G1591" s="44"/>
      <c r="H1591" s="44"/>
      <c r="I1591" s="44"/>
      <c r="J1591" s="45"/>
      <c r="K1591" s="44"/>
      <c r="L1591" s="44"/>
      <c r="M1591" s="44"/>
    </row>
    <row r="1592" spans="2:13" x14ac:dyDescent="0.25">
      <c r="B1592" s="42"/>
      <c r="C1592" s="43" t="str">
        <f t="shared" si="72"/>
        <v/>
      </c>
      <c r="D1592" s="44" t="str">
        <f t="shared" si="73"/>
        <v/>
      </c>
      <c r="E1592" s="44" t="str">
        <f t="shared" si="74"/>
        <v/>
      </c>
      <c r="F1592" s="44"/>
      <c r="G1592" s="44"/>
      <c r="H1592" s="44"/>
      <c r="I1592" s="44"/>
      <c r="J1592" s="45"/>
      <c r="K1592" s="44"/>
      <c r="L1592" s="44"/>
      <c r="M1592" s="44"/>
    </row>
    <row r="1593" spans="2:13" x14ac:dyDescent="0.25">
      <c r="B1593" s="42"/>
      <c r="C1593" s="43" t="str">
        <f t="shared" si="72"/>
        <v/>
      </c>
      <c r="D1593" s="44" t="str">
        <f t="shared" si="73"/>
        <v/>
      </c>
      <c r="E1593" s="44" t="str">
        <f t="shared" si="74"/>
        <v/>
      </c>
      <c r="F1593" s="44"/>
      <c r="G1593" s="44"/>
      <c r="H1593" s="44"/>
      <c r="I1593" s="44"/>
      <c r="J1593" s="45"/>
      <c r="K1593" s="44"/>
      <c r="L1593" s="44"/>
      <c r="M1593" s="44"/>
    </row>
    <row r="1594" spans="2:13" x14ac:dyDescent="0.25">
      <c r="B1594" s="42"/>
      <c r="C1594" s="43" t="str">
        <f t="shared" si="72"/>
        <v/>
      </c>
      <c r="D1594" s="44" t="str">
        <f t="shared" si="73"/>
        <v/>
      </c>
      <c r="E1594" s="44" t="str">
        <f t="shared" si="74"/>
        <v/>
      </c>
      <c r="F1594" s="44"/>
      <c r="G1594" s="44"/>
      <c r="H1594" s="44"/>
      <c r="I1594" s="44"/>
      <c r="J1594" s="45"/>
      <c r="K1594" s="44"/>
      <c r="L1594" s="44"/>
      <c r="M1594" s="44"/>
    </row>
    <row r="1595" spans="2:13" x14ac:dyDescent="0.25">
      <c r="B1595" s="42"/>
      <c r="C1595" s="43" t="str">
        <f t="shared" si="72"/>
        <v/>
      </c>
      <c r="D1595" s="44" t="str">
        <f t="shared" si="73"/>
        <v/>
      </c>
      <c r="E1595" s="44" t="str">
        <f t="shared" si="74"/>
        <v/>
      </c>
      <c r="F1595" s="44"/>
      <c r="G1595" s="44"/>
      <c r="H1595" s="44"/>
      <c r="I1595" s="44"/>
      <c r="J1595" s="45"/>
      <c r="K1595" s="44"/>
      <c r="L1595" s="44"/>
      <c r="M1595" s="44"/>
    </row>
    <row r="1596" spans="2:13" x14ac:dyDescent="0.25">
      <c r="B1596" s="42"/>
      <c r="C1596" s="43" t="str">
        <f t="shared" si="72"/>
        <v/>
      </c>
      <c r="D1596" s="44" t="str">
        <f t="shared" si="73"/>
        <v/>
      </c>
      <c r="E1596" s="44" t="str">
        <f t="shared" si="74"/>
        <v/>
      </c>
      <c r="F1596" s="44"/>
      <c r="G1596" s="44"/>
      <c r="H1596" s="44"/>
      <c r="I1596" s="44"/>
      <c r="J1596" s="45"/>
      <c r="K1596" s="44"/>
      <c r="L1596" s="44"/>
      <c r="M1596" s="44"/>
    </row>
    <row r="1597" spans="2:13" x14ac:dyDescent="0.25">
      <c r="B1597" s="42"/>
      <c r="C1597" s="43" t="str">
        <f t="shared" si="72"/>
        <v/>
      </c>
      <c r="D1597" s="44" t="str">
        <f t="shared" si="73"/>
        <v/>
      </c>
      <c r="E1597" s="44" t="str">
        <f t="shared" si="74"/>
        <v/>
      </c>
      <c r="F1597" s="44"/>
      <c r="G1597" s="44"/>
      <c r="H1597" s="44"/>
      <c r="I1597" s="44"/>
      <c r="J1597" s="45"/>
      <c r="K1597" s="44"/>
      <c r="L1597" s="44"/>
      <c r="M1597" s="44"/>
    </row>
    <row r="1598" spans="2:13" x14ac:dyDescent="0.25">
      <c r="B1598" s="42"/>
      <c r="C1598" s="43" t="str">
        <f t="shared" si="72"/>
        <v/>
      </c>
      <c r="D1598" s="44" t="str">
        <f t="shared" si="73"/>
        <v/>
      </c>
      <c r="E1598" s="44" t="str">
        <f t="shared" si="74"/>
        <v/>
      </c>
      <c r="F1598" s="44"/>
      <c r="G1598" s="44"/>
      <c r="H1598" s="44"/>
      <c r="I1598" s="44"/>
      <c r="J1598" s="45"/>
      <c r="K1598" s="44"/>
      <c r="L1598" s="44"/>
      <c r="M1598" s="44"/>
    </row>
    <row r="1599" spans="2:13" x14ac:dyDescent="0.25">
      <c r="B1599" s="42"/>
      <c r="C1599" s="43" t="str">
        <f t="shared" si="72"/>
        <v/>
      </c>
      <c r="D1599" s="44" t="str">
        <f t="shared" si="73"/>
        <v/>
      </c>
      <c r="E1599" s="44" t="str">
        <f t="shared" si="74"/>
        <v/>
      </c>
      <c r="F1599" s="44"/>
      <c r="G1599" s="44"/>
      <c r="H1599" s="44"/>
      <c r="I1599" s="44"/>
      <c r="J1599" s="45"/>
      <c r="K1599" s="44"/>
      <c r="L1599" s="44"/>
      <c r="M1599" s="44"/>
    </row>
    <row r="1600" spans="2:13" x14ac:dyDescent="0.25">
      <c r="B1600" s="42"/>
      <c r="C1600" s="43" t="str">
        <f t="shared" si="72"/>
        <v/>
      </c>
      <c r="D1600" s="44" t="str">
        <f t="shared" si="73"/>
        <v/>
      </c>
      <c r="E1600" s="44" t="str">
        <f t="shared" si="74"/>
        <v/>
      </c>
      <c r="F1600" s="44"/>
      <c r="G1600" s="44"/>
      <c r="H1600" s="44"/>
      <c r="I1600" s="44"/>
      <c r="J1600" s="45"/>
      <c r="K1600" s="44"/>
      <c r="L1600" s="44"/>
      <c r="M1600" s="44"/>
    </row>
    <row r="1601" spans="2:13" x14ac:dyDescent="0.25">
      <c r="B1601" s="42"/>
      <c r="C1601" s="43" t="str">
        <f t="shared" si="72"/>
        <v/>
      </c>
      <c r="D1601" s="44" t="str">
        <f t="shared" si="73"/>
        <v/>
      </c>
      <c r="E1601" s="44" t="str">
        <f t="shared" si="74"/>
        <v/>
      </c>
      <c r="F1601" s="44"/>
      <c r="G1601" s="44"/>
      <c r="H1601" s="44"/>
      <c r="I1601" s="44"/>
      <c r="J1601" s="45"/>
      <c r="K1601" s="44"/>
      <c r="L1601" s="44"/>
      <c r="M1601" s="44"/>
    </row>
    <row r="1602" spans="2:13" x14ac:dyDescent="0.25">
      <c r="B1602" s="42"/>
      <c r="C1602" s="43" t="str">
        <f t="shared" ref="C1602:C1665" si="75">IF(B1602="","",MONTH(B1602))</f>
        <v/>
      </c>
      <c r="D1602" s="44" t="str">
        <f t="shared" ref="D1602:D1665" si="76">IF(B1602="","",CHOOSE(C1602,"Enero","Febrero","Marzo","Abril","Mayo","Junio","Julio","Agosto","Septiembre","Octubre","Noviembre","Diciembre"))</f>
        <v/>
      </c>
      <c r="E1602" s="44" t="str">
        <f t="shared" ref="E1602:E1665" si="77">IF(B1602="","",YEAR(B1602))</f>
        <v/>
      </c>
      <c r="F1602" s="44"/>
      <c r="G1602" s="44"/>
      <c r="H1602" s="44"/>
      <c r="I1602" s="44"/>
      <c r="J1602" s="45"/>
      <c r="K1602" s="44"/>
      <c r="L1602" s="44"/>
      <c r="M1602" s="44"/>
    </row>
    <row r="1603" spans="2:13" x14ac:dyDescent="0.25">
      <c r="B1603" s="42"/>
      <c r="C1603" s="43" t="str">
        <f t="shared" si="75"/>
        <v/>
      </c>
      <c r="D1603" s="44" t="str">
        <f t="shared" si="76"/>
        <v/>
      </c>
      <c r="E1603" s="44" t="str">
        <f t="shared" si="77"/>
        <v/>
      </c>
      <c r="F1603" s="44"/>
      <c r="G1603" s="44"/>
      <c r="H1603" s="44"/>
      <c r="I1603" s="44"/>
      <c r="J1603" s="45"/>
      <c r="K1603" s="44"/>
      <c r="L1603" s="44"/>
      <c r="M1603" s="44"/>
    </row>
    <row r="1604" spans="2:13" x14ac:dyDescent="0.25">
      <c r="B1604" s="42"/>
      <c r="C1604" s="43" t="str">
        <f t="shared" si="75"/>
        <v/>
      </c>
      <c r="D1604" s="44" t="str">
        <f t="shared" si="76"/>
        <v/>
      </c>
      <c r="E1604" s="44" t="str">
        <f t="shared" si="77"/>
        <v/>
      </c>
      <c r="F1604" s="44"/>
      <c r="G1604" s="44"/>
      <c r="H1604" s="44"/>
      <c r="I1604" s="44"/>
      <c r="J1604" s="45"/>
      <c r="K1604" s="44"/>
      <c r="L1604" s="44"/>
      <c r="M1604" s="44"/>
    </row>
    <row r="1605" spans="2:13" x14ac:dyDescent="0.25">
      <c r="B1605" s="42"/>
      <c r="C1605" s="43" t="str">
        <f t="shared" si="75"/>
        <v/>
      </c>
      <c r="D1605" s="44" t="str">
        <f t="shared" si="76"/>
        <v/>
      </c>
      <c r="E1605" s="44" t="str">
        <f t="shared" si="77"/>
        <v/>
      </c>
      <c r="F1605" s="44"/>
      <c r="G1605" s="44"/>
      <c r="H1605" s="44"/>
      <c r="I1605" s="44"/>
      <c r="J1605" s="45"/>
      <c r="K1605" s="44"/>
      <c r="L1605" s="44"/>
      <c r="M1605" s="44"/>
    </row>
    <row r="1606" spans="2:13" x14ac:dyDescent="0.25">
      <c r="B1606" s="42"/>
      <c r="C1606" s="43" t="str">
        <f t="shared" si="75"/>
        <v/>
      </c>
      <c r="D1606" s="44" t="str">
        <f t="shared" si="76"/>
        <v/>
      </c>
      <c r="E1606" s="44" t="str">
        <f t="shared" si="77"/>
        <v/>
      </c>
      <c r="F1606" s="44"/>
      <c r="G1606" s="44"/>
      <c r="H1606" s="44"/>
      <c r="I1606" s="44"/>
      <c r="J1606" s="45"/>
      <c r="K1606" s="44"/>
      <c r="L1606" s="44"/>
      <c r="M1606" s="44"/>
    </row>
    <row r="1607" spans="2:13" x14ac:dyDescent="0.25">
      <c r="B1607" s="42"/>
      <c r="C1607" s="43" t="str">
        <f t="shared" si="75"/>
        <v/>
      </c>
      <c r="D1607" s="44" t="str">
        <f t="shared" si="76"/>
        <v/>
      </c>
      <c r="E1607" s="44" t="str">
        <f t="shared" si="77"/>
        <v/>
      </c>
      <c r="F1607" s="44"/>
      <c r="G1607" s="44"/>
      <c r="H1607" s="44"/>
      <c r="I1607" s="44"/>
      <c r="J1607" s="45"/>
      <c r="K1607" s="44"/>
      <c r="L1607" s="44"/>
      <c r="M1607" s="44"/>
    </row>
    <row r="1608" spans="2:13" x14ac:dyDescent="0.25">
      <c r="B1608" s="42"/>
      <c r="C1608" s="43" t="str">
        <f t="shared" si="75"/>
        <v/>
      </c>
      <c r="D1608" s="44" t="str">
        <f t="shared" si="76"/>
        <v/>
      </c>
      <c r="E1608" s="44" t="str">
        <f t="shared" si="77"/>
        <v/>
      </c>
      <c r="F1608" s="44"/>
      <c r="G1608" s="44"/>
      <c r="H1608" s="44"/>
      <c r="I1608" s="44"/>
      <c r="J1608" s="45"/>
      <c r="K1608" s="44"/>
      <c r="L1608" s="44"/>
      <c r="M1608" s="44"/>
    </row>
    <row r="1609" spans="2:13" x14ac:dyDescent="0.25">
      <c r="B1609" s="42"/>
      <c r="C1609" s="43" t="str">
        <f t="shared" si="75"/>
        <v/>
      </c>
      <c r="D1609" s="44" t="str">
        <f t="shared" si="76"/>
        <v/>
      </c>
      <c r="E1609" s="44" t="str">
        <f t="shared" si="77"/>
        <v/>
      </c>
      <c r="F1609" s="44"/>
      <c r="G1609" s="44"/>
      <c r="H1609" s="44"/>
      <c r="I1609" s="44"/>
      <c r="J1609" s="45"/>
      <c r="K1609" s="44"/>
      <c r="L1609" s="44"/>
      <c r="M1609" s="44"/>
    </row>
    <row r="1610" spans="2:13" x14ac:dyDescent="0.25">
      <c r="B1610" s="42"/>
      <c r="C1610" s="43" t="str">
        <f t="shared" si="75"/>
        <v/>
      </c>
      <c r="D1610" s="44" t="str">
        <f t="shared" si="76"/>
        <v/>
      </c>
      <c r="E1610" s="44" t="str">
        <f t="shared" si="77"/>
        <v/>
      </c>
      <c r="F1610" s="44"/>
      <c r="G1610" s="44"/>
      <c r="H1610" s="44"/>
      <c r="I1610" s="44"/>
      <c r="J1610" s="45"/>
      <c r="K1610" s="44"/>
      <c r="L1610" s="44"/>
      <c r="M1610" s="44"/>
    </row>
    <row r="1611" spans="2:13" x14ac:dyDescent="0.25">
      <c r="B1611" s="42"/>
      <c r="C1611" s="43" t="str">
        <f t="shared" si="75"/>
        <v/>
      </c>
      <c r="D1611" s="44" t="str">
        <f t="shared" si="76"/>
        <v/>
      </c>
      <c r="E1611" s="44" t="str">
        <f t="shared" si="77"/>
        <v/>
      </c>
      <c r="F1611" s="44"/>
      <c r="G1611" s="44"/>
      <c r="H1611" s="44"/>
      <c r="I1611" s="44"/>
      <c r="J1611" s="45"/>
      <c r="K1611" s="44"/>
      <c r="L1611" s="44"/>
      <c r="M1611" s="44"/>
    </row>
    <row r="1612" spans="2:13" x14ac:dyDescent="0.25">
      <c r="B1612" s="42"/>
      <c r="C1612" s="43" t="str">
        <f t="shared" si="75"/>
        <v/>
      </c>
      <c r="D1612" s="44" t="str">
        <f t="shared" si="76"/>
        <v/>
      </c>
      <c r="E1612" s="44" t="str">
        <f t="shared" si="77"/>
        <v/>
      </c>
      <c r="F1612" s="44"/>
      <c r="G1612" s="44"/>
      <c r="H1612" s="44"/>
      <c r="I1612" s="44"/>
      <c r="J1612" s="45"/>
      <c r="K1612" s="44"/>
      <c r="L1612" s="44"/>
      <c r="M1612" s="44"/>
    </row>
    <row r="1613" spans="2:13" x14ac:dyDescent="0.25">
      <c r="B1613" s="42"/>
      <c r="C1613" s="43" t="str">
        <f t="shared" si="75"/>
        <v/>
      </c>
      <c r="D1613" s="44" t="str">
        <f t="shared" si="76"/>
        <v/>
      </c>
      <c r="E1613" s="44" t="str">
        <f t="shared" si="77"/>
        <v/>
      </c>
      <c r="F1613" s="44"/>
      <c r="G1613" s="44"/>
      <c r="H1613" s="44"/>
      <c r="I1613" s="44"/>
      <c r="J1613" s="45"/>
      <c r="K1613" s="44"/>
      <c r="L1613" s="44"/>
      <c r="M1613" s="44"/>
    </row>
    <row r="1614" spans="2:13" x14ac:dyDescent="0.25">
      <c r="B1614" s="42"/>
      <c r="C1614" s="43" t="str">
        <f t="shared" si="75"/>
        <v/>
      </c>
      <c r="D1614" s="44" t="str">
        <f t="shared" si="76"/>
        <v/>
      </c>
      <c r="E1614" s="44" t="str">
        <f t="shared" si="77"/>
        <v/>
      </c>
      <c r="F1614" s="44"/>
      <c r="G1614" s="44"/>
      <c r="H1614" s="44"/>
      <c r="I1614" s="44"/>
      <c r="J1614" s="45"/>
      <c r="K1614" s="44"/>
      <c r="L1614" s="44"/>
      <c r="M1614" s="44"/>
    </row>
    <row r="1615" spans="2:13" x14ac:dyDescent="0.25">
      <c r="B1615" s="42"/>
      <c r="C1615" s="43" t="str">
        <f t="shared" si="75"/>
        <v/>
      </c>
      <c r="D1615" s="44" t="str">
        <f t="shared" si="76"/>
        <v/>
      </c>
      <c r="E1615" s="44" t="str">
        <f t="shared" si="77"/>
        <v/>
      </c>
      <c r="F1615" s="44"/>
      <c r="G1615" s="44"/>
      <c r="H1615" s="44"/>
      <c r="I1615" s="44"/>
      <c r="J1615" s="45"/>
      <c r="K1615" s="44"/>
      <c r="L1615" s="44"/>
      <c r="M1615" s="44"/>
    </row>
    <row r="1616" spans="2:13" x14ac:dyDescent="0.25">
      <c r="B1616" s="42"/>
      <c r="C1616" s="43" t="str">
        <f t="shared" si="75"/>
        <v/>
      </c>
      <c r="D1616" s="44" t="str">
        <f t="shared" si="76"/>
        <v/>
      </c>
      <c r="E1616" s="44" t="str">
        <f t="shared" si="77"/>
        <v/>
      </c>
      <c r="F1616" s="44"/>
      <c r="G1616" s="44"/>
      <c r="H1616" s="44"/>
      <c r="I1616" s="44"/>
      <c r="J1616" s="45"/>
      <c r="K1616" s="44"/>
      <c r="L1616" s="44"/>
      <c r="M1616" s="44"/>
    </row>
    <row r="1617" spans="2:13" x14ac:dyDescent="0.25">
      <c r="B1617" s="42"/>
      <c r="C1617" s="43" t="str">
        <f t="shared" si="75"/>
        <v/>
      </c>
      <c r="D1617" s="44" t="str">
        <f t="shared" si="76"/>
        <v/>
      </c>
      <c r="E1617" s="44" t="str">
        <f t="shared" si="77"/>
        <v/>
      </c>
      <c r="F1617" s="44"/>
      <c r="G1617" s="44"/>
      <c r="H1617" s="44"/>
      <c r="I1617" s="44"/>
      <c r="J1617" s="45"/>
      <c r="K1617" s="44"/>
      <c r="L1617" s="44"/>
      <c r="M1617" s="44"/>
    </row>
    <row r="1618" spans="2:13" x14ac:dyDescent="0.25">
      <c r="B1618" s="42"/>
      <c r="C1618" s="43" t="str">
        <f t="shared" si="75"/>
        <v/>
      </c>
      <c r="D1618" s="44" t="str">
        <f t="shared" si="76"/>
        <v/>
      </c>
      <c r="E1618" s="44" t="str">
        <f t="shared" si="77"/>
        <v/>
      </c>
      <c r="F1618" s="44"/>
      <c r="G1618" s="44"/>
      <c r="H1618" s="44"/>
      <c r="I1618" s="44"/>
      <c r="J1618" s="45"/>
      <c r="K1618" s="44"/>
      <c r="L1618" s="44"/>
      <c r="M1618" s="44"/>
    </row>
    <row r="1619" spans="2:13" x14ac:dyDescent="0.25">
      <c r="B1619" s="42"/>
      <c r="C1619" s="43" t="str">
        <f t="shared" si="75"/>
        <v/>
      </c>
      <c r="D1619" s="44" t="str">
        <f t="shared" si="76"/>
        <v/>
      </c>
      <c r="E1619" s="44" t="str">
        <f t="shared" si="77"/>
        <v/>
      </c>
      <c r="F1619" s="44"/>
      <c r="G1619" s="44"/>
      <c r="H1619" s="44"/>
      <c r="I1619" s="44"/>
      <c r="J1619" s="45"/>
      <c r="K1619" s="44"/>
      <c r="L1619" s="44"/>
      <c r="M1619" s="44"/>
    </row>
    <row r="1620" spans="2:13" x14ac:dyDescent="0.25">
      <c r="B1620" s="42"/>
      <c r="C1620" s="43" t="str">
        <f t="shared" si="75"/>
        <v/>
      </c>
      <c r="D1620" s="44" t="str">
        <f t="shared" si="76"/>
        <v/>
      </c>
      <c r="E1620" s="44" t="str">
        <f t="shared" si="77"/>
        <v/>
      </c>
      <c r="F1620" s="44"/>
      <c r="G1620" s="44"/>
      <c r="H1620" s="44"/>
      <c r="I1620" s="44"/>
      <c r="J1620" s="45"/>
      <c r="K1620" s="44"/>
      <c r="L1620" s="44"/>
      <c r="M1620" s="44"/>
    </row>
    <row r="1621" spans="2:13" x14ac:dyDescent="0.25">
      <c r="B1621" s="42"/>
      <c r="C1621" s="43" t="str">
        <f t="shared" si="75"/>
        <v/>
      </c>
      <c r="D1621" s="44" t="str">
        <f t="shared" si="76"/>
        <v/>
      </c>
      <c r="E1621" s="44" t="str">
        <f t="shared" si="77"/>
        <v/>
      </c>
      <c r="F1621" s="44"/>
      <c r="G1621" s="44"/>
      <c r="H1621" s="44"/>
      <c r="I1621" s="44"/>
      <c r="J1621" s="45"/>
      <c r="K1621" s="44"/>
      <c r="L1621" s="44"/>
      <c r="M1621" s="44"/>
    </row>
    <row r="1622" spans="2:13" x14ac:dyDescent="0.25">
      <c r="B1622" s="42"/>
      <c r="C1622" s="43" t="str">
        <f t="shared" si="75"/>
        <v/>
      </c>
      <c r="D1622" s="44" t="str">
        <f t="shared" si="76"/>
        <v/>
      </c>
      <c r="E1622" s="44" t="str">
        <f t="shared" si="77"/>
        <v/>
      </c>
      <c r="F1622" s="44"/>
      <c r="G1622" s="44"/>
      <c r="H1622" s="44"/>
      <c r="I1622" s="44"/>
      <c r="J1622" s="45"/>
      <c r="K1622" s="44"/>
      <c r="L1622" s="44"/>
      <c r="M1622" s="44"/>
    </row>
    <row r="1623" spans="2:13" x14ac:dyDescent="0.25">
      <c r="B1623" s="42"/>
      <c r="C1623" s="43" t="str">
        <f t="shared" si="75"/>
        <v/>
      </c>
      <c r="D1623" s="44" t="str">
        <f t="shared" si="76"/>
        <v/>
      </c>
      <c r="E1623" s="44" t="str">
        <f t="shared" si="77"/>
        <v/>
      </c>
      <c r="F1623" s="44"/>
      <c r="G1623" s="44"/>
      <c r="H1623" s="44"/>
      <c r="I1623" s="44"/>
      <c r="J1623" s="45"/>
      <c r="K1623" s="44"/>
      <c r="L1623" s="44"/>
      <c r="M1623" s="44"/>
    </row>
    <row r="1624" spans="2:13" x14ac:dyDescent="0.25">
      <c r="B1624" s="42"/>
      <c r="C1624" s="43" t="str">
        <f t="shared" si="75"/>
        <v/>
      </c>
      <c r="D1624" s="44" t="str">
        <f t="shared" si="76"/>
        <v/>
      </c>
      <c r="E1624" s="44" t="str">
        <f t="shared" si="77"/>
        <v/>
      </c>
      <c r="F1624" s="44"/>
      <c r="G1624" s="44"/>
      <c r="H1624" s="44"/>
      <c r="I1624" s="44"/>
      <c r="J1624" s="45"/>
      <c r="K1624" s="44"/>
      <c r="L1624" s="44"/>
      <c r="M1624" s="44"/>
    </row>
    <row r="1625" spans="2:13" x14ac:dyDescent="0.25">
      <c r="B1625" s="42"/>
      <c r="C1625" s="43" t="str">
        <f t="shared" si="75"/>
        <v/>
      </c>
      <c r="D1625" s="44" t="str">
        <f t="shared" si="76"/>
        <v/>
      </c>
      <c r="E1625" s="44" t="str">
        <f t="shared" si="77"/>
        <v/>
      </c>
      <c r="F1625" s="44"/>
      <c r="G1625" s="44"/>
      <c r="H1625" s="44"/>
      <c r="I1625" s="44"/>
      <c r="J1625" s="45"/>
      <c r="K1625" s="44"/>
      <c r="L1625" s="44"/>
      <c r="M1625" s="44"/>
    </row>
    <row r="1626" spans="2:13" x14ac:dyDescent="0.25">
      <c r="B1626" s="42"/>
      <c r="C1626" s="43" t="str">
        <f t="shared" si="75"/>
        <v/>
      </c>
      <c r="D1626" s="44" t="str">
        <f t="shared" si="76"/>
        <v/>
      </c>
      <c r="E1626" s="44" t="str">
        <f t="shared" si="77"/>
        <v/>
      </c>
      <c r="F1626" s="44"/>
      <c r="G1626" s="44"/>
      <c r="H1626" s="44"/>
      <c r="I1626" s="44"/>
      <c r="J1626" s="45"/>
      <c r="K1626" s="44"/>
      <c r="L1626" s="44"/>
      <c r="M1626" s="44"/>
    </row>
    <row r="1627" spans="2:13" x14ac:dyDescent="0.25">
      <c r="B1627" s="42"/>
      <c r="C1627" s="43" t="str">
        <f t="shared" si="75"/>
        <v/>
      </c>
      <c r="D1627" s="44" t="str">
        <f t="shared" si="76"/>
        <v/>
      </c>
      <c r="E1627" s="44" t="str">
        <f t="shared" si="77"/>
        <v/>
      </c>
      <c r="F1627" s="44"/>
      <c r="G1627" s="44"/>
      <c r="H1627" s="44"/>
      <c r="I1627" s="44"/>
      <c r="J1627" s="45"/>
      <c r="K1627" s="44"/>
      <c r="L1627" s="44"/>
      <c r="M1627" s="44"/>
    </row>
    <row r="1628" spans="2:13" x14ac:dyDescent="0.25">
      <c r="B1628" s="42"/>
      <c r="C1628" s="43" t="str">
        <f t="shared" si="75"/>
        <v/>
      </c>
      <c r="D1628" s="44" t="str">
        <f t="shared" si="76"/>
        <v/>
      </c>
      <c r="E1628" s="44" t="str">
        <f t="shared" si="77"/>
        <v/>
      </c>
      <c r="F1628" s="44"/>
      <c r="G1628" s="44"/>
      <c r="H1628" s="44"/>
      <c r="I1628" s="44"/>
      <c r="J1628" s="45"/>
      <c r="K1628" s="44"/>
      <c r="L1628" s="44"/>
      <c r="M1628" s="44"/>
    </row>
    <row r="1629" spans="2:13" x14ac:dyDescent="0.25">
      <c r="B1629" s="42"/>
      <c r="C1629" s="43" t="str">
        <f t="shared" si="75"/>
        <v/>
      </c>
      <c r="D1629" s="44" t="str">
        <f t="shared" si="76"/>
        <v/>
      </c>
      <c r="E1629" s="44" t="str">
        <f t="shared" si="77"/>
        <v/>
      </c>
      <c r="F1629" s="44"/>
      <c r="G1629" s="44"/>
      <c r="H1629" s="44"/>
      <c r="I1629" s="44"/>
      <c r="J1629" s="45"/>
      <c r="K1629" s="44"/>
      <c r="L1629" s="44"/>
      <c r="M1629" s="44"/>
    </row>
    <row r="1630" spans="2:13" x14ac:dyDescent="0.25">
      <c r="B1630" s="42"/>
      <c r="C1630" s="43" t="str">
        <f t="shared" si="75"/>
        <v/>
      </c>
      <c r="D1630" s="44" t="str">
        <f t="shared" si="76"/>
        <v/>
      </c>
      <c r="E1630" s="44" t="str">
        <f t="shared" si="77"/>
        <v/>
      </c>
      <c r="F1630" s="44"/>
      <c r="G1630" s="44"/>
      <c r="H1630" s="44"/>
      <c r="I1630" s="44"/>
      <c r="J1630" s="45"/>
      <c r="K1630" s="44"/>
      <c r="L1630" s="44"/>
      <c r="M1630" s="44"/>
    </row>
    <row r="1631" spans="2:13" x14ac:dyDescent="0.25">
      <c r="B1631" s="42"/>
      <c r="C1631" s="43" t="str">
        <f t="shared" si="75"/>
        <v/>
      </c>
      <c r="D1631" s="44" t="str">
        <f t="shared" si="76"/>
        <v/>
      </c>
      <c r="E1631" s="44" t="str">
        <f t="shared" si="77"/>
        <v/>
      </c>
      <c r="F1631" s="44"/>
      <c r="G1631" s="44"/>
      <c r="H1631" s="44"/>
      <c r="I1631" s="44"/>
      <c r="J1631" s="45"/>
      <c r="K1631" s="44"/>
      <c r="L1631" s="44"/>
      <c r="M1631" s="44"/>
    </row>
    <row r="1632" spans="2:13" x14ac:dyDescent="0.25">
      <c r="B1632" s="42"/>
      <c r="C1632" s="43" t="str">
        <f t="shared" si="75"/>
        <v/>
      </c>
      <c r="D1632" s="44" t="str">
        <f t="shared" si="76"/>
        <v/>
      </c>
      <c r="E1632" s="44" t="str">
        <f t="shared" si="77"/>
        <v/>
      </c>
      <c r="F1632" s="44"/>
      <c r="G1632" s="44"/>
      <c r="H1632" s="44"/>
      <c r="I1632" s="44"/>
      <c r="J1632" s="45"/>
      <c r="K1632" s="44"/>
      <c r="L1632" s="44"/>
      <c r="M1632" s="44"/>
    </row>
    <row r="1633" spans="2:13" x14ac:dyDescent="0.25">
      <c r="B1633" s="42"/>
      <c r="C1633" s="43" t="str">
        <f t="shared" si="75"/>
        <v/>
      </c>
      <c r="D1633" s="44" t="str">
        <f t="shared" si="76"/>
        <v/>
      </c>
      <c r="E1633" s="44" t="str">
        <f t="shared" si="77"/>
        <v/>
      </c>
      <c r="F1633" s="44"/>
      <c r="G1633" s="44"/>
      <c r="H1633" s="44"/>
      <c r="I1633" s="44"/>
      <c r="J1633" s="45"/>
      <c r="K1633" s="44"/>
      <c r="L1633" s="44"/>
      <c r="M1633" s="44"/>
    </row>
    <row r="1634" spans="2:13" x14ac:dyDescent="0.25">
      <c r="B1634" s="42"/>
      <c r="C1634" s="43" t="str">
        <f t="shared" si="75"/>
        <v/>
      </c>
      <c r="D1634" s="44" t="str">
        <f t="shared" si="76"/>
        <v/>
      </c>
      <c r="E1634" s="44" t="str">
        <f t="shared" si="77"/>
        <v/>
      </c>
      <c r="F1634" s="44"/>
      <c r="G1634" s="44"/>
      <c r="H1634" s="44"/>
      <c r="I1634" s="44"/>
      <c r="J1634" s="45"/>
      <c r="K1634" s="44"/>
      <c r="L1634" s="44"/>
      <c r="M1634" s="44"/>
    </row>
    <row r="1635" spans="2:13" x14ac:dyDescent="0.25">
      <c r="B1635" s="42"/>
      <c r="C1635" s="43" t="str">
        <f t="shared" si="75"/>
        <v/>
      </c>
      <c r="D1635" s="44" t="str">
        <f t="shared" si="76"/>
        <v/>
      </c>
      <c r="E1635" s="44" t="str">
        <f t="shared" si="77"/>
        <v/>
      </c>
      <c r="F1635" s="44"/>
      <c r="G1635" s="44"/>
      <c r="H1635" s="44"/>
      <c r="I1635" s="44"/>
      <c r="J1635" s="45"/>
      <c r="K1635" s="44"/>
      <c r="L1635" s="44"/>
      <c r="M1635" s="44"/>
    </row>
    <row r="1636" spans="2:13" x14ac:dyDescent="0.25">
      <c r="B1636" s="42"/>
      <c r="C1636" s="43" t="str">
        <f t="shared" si="75"/>
        <v/>
      </c>
      <c r="D1636" s="44" t="str">
        <f t="shared" si="76"/>
        <v/>
      </c>
      <c r="E1636" s="44" t="str">
        <f t="shared" si="77"/>
        <v/>
      </c>
      <c r="F1636" s="44"/>
      <c r="G1636" s="44"/>
      <c r="H1636" s="44"/>
      <c r="I1636" s="44"/>
      <c r="J1636" s="45"/>
      <c r="K1636" s="44"/>
      <c r="L1636" s="44"/>
      <c r="M1636" s="44"/>
    </row>
    <row r="1637" spans="2:13" x14ac:dyDescent="0.25">
      <c r="B1637" s="42"/>
      <c r="C1637" s="43" t="str">
        <f t="shared" si="75"/>
        <v/>
      </c>
      <c r="D1637" s="44" t="str">
        <f t="shared" si="76"/>
        <v/>
      </c>
      <c r="E1637" s="44" t="str">
        <f t="shared" si="77"/>
        <v/>
      </c>
      <c r="F1637" s="44"/>
      <c r="G1637" s="44"/>
      <c r="H1637" s="44"/>
      <c r="I1637" s="44"/>
      <c r="J1637" s="45"/>
      <c r="K1637" s="44"/>
      <c r="L1637" s="44"/>
      <c r="M1637" s="44"/>
    </row>
    <row r="1638" spans="2:13" x14ac:dyDescent="0.25">
      <c r="B1638" s="42"/>
      <c r="C1638" s="43" t="str">
        <f t="shared" si="75"/>
        <v/>
      </c>
      <c r="D1638" s="44" t="str">
        <f t="shared" si="76"/>
        <v/>
      </c>
      <c r="E1638" s="44" t="str">
        <f t="shared" si="77"/>
        <v/>
      </c>
      <c r="F1638" s="44"/>
      <c r="G1638" s="44"/>
      <c r="H1638" s="44"/>
      <c r="I1638" s="44"/>
      <c r="J1638" s="45"/>
      <c r="K1638" s="44"/>
      <c r="L1638" s="44"/>
      <c r="M1638" s="44"/>
    </row>
    <row r="1639" spans="2:13" x14ac:dyDescent="0.25">
      <c r="B1639" s="42"/>
      <c r="C1639" s="43" t="str">
        <f t="shared" si="75"/>
        <v/>
      </c>
      <c r="D1639" s="44" t="str">
        <f t="shared" si="76"/>
        <v/>
      </c>
      <c r="E1639" s="44" t="str">
        <f t="shared" si="77"/>
        <v/>
      </c>
      <c r="F1639" s="44"/>
      <c r="G1639" s="44"/>
      <c r="H1639" s="44"/>
      <c r="I1639" s="44"/>
      <c r="J1639" s="45"/>
      <c r="K1639" s="44"/>
      <c r="L1639" s="44"/>
      <c r="M1639" s="44"/>
    </row>
    <row r="1640" spans="2:13" x14ac:dyDescent="0.25">
      <c r="B1640" s="42"/>
      <c r="C1640" s="43" t="str">
        <f t="shared" si="75"/>
        <v/>
      </c>
      <c r="D1640" s="44" t="str">
        <f t="shared" si="76"/>
        <v/>
      </c>
      <c r="E1640" s="44" t="str">
        <f t="shared" si="77"/>
        <v/>
      </c>
      <c r="F1640" s="44"/>
      <c r="G1640" s="44"/>
      <c r="H1640" s="44"/>
      <c r="I1640" s="44"/>
      <c r="J1640" s="45"/>
      <c r="K1640" s="44"/>
      <c r="L1640" s="44"/>
      <c r="M1640" s="44"/>
    </row>
    <row r="1641" spans="2:13" x14ac:dyDescent="0.25">
      <c r="B1641" s="42"/>
      <c r="C1641" s="43" t="str">
        <f t="shared" si="75"/>
        <v/>
      </c>
      <c r="D1641" s="44" t="str">
        <f t="shared" si="76"/>
        <v/>
      </c>
      <c r="E1641" s="44" t="str">
        <f t="shared" si="77"/>
        <v/>
      </c>
      <c r="F1641" s="44"/>
      <c r="G1641" s="44"/>
      <c r="H1641" s="44"/>
      <c r="I1641" s="44"/>
      <c r="J1641" s="45"/>
      <c r="K1641" s="44"/>
      <c r="L1641" s="44"/>
      <c r="M1641" s="44"/>
    </row>
    <row r="1642" spans="2:13" x14ac:dyDescent="0.25">
      <c r="B1642" s="42"/>
      <c r="C1642" s="43" t="str">
        <f t="shared" si="75"/>
        <v/>
      </c>
      <c r="D1642" s="44" t="str">
        <f t="shared" si="76"/>
        <v/>
      </c>
      <c r="E1642" s="44" t="str">
        <f t="shared" si="77"/>
        <v/>
      </c>
      <c r="F1642" s="44"/>
      <c r="G1642" s="44"/>
      <c r="H1642" s="44"/>
      <c r="I1642" s="44"/>
      <c r="J1642" s="45"/>
      <c r="K1642" s="44"/>
      <c r="L1642" s="44"/>
      <c r="M1642" s="44"/>
    </row>
    <row r="1643" spans="2:13" x14ac:dyDescent="0.25">
      <c r="B1643" s="42"/>
      <c r="C1643" s="43" t="str">
        <f t="shared" si="75"/>
        <v/>
      </c>
      <c r="D1643" s="44" t="str">
        <f t="shared" si="76"/>
        <v/>
      </c>
      <c r="E1643" s="44" t="str">
        <f t="shared" si="77"/>
        <v/>
      </c>
      <c r="F1643" s="44"/>
      <c r="G1643" s="44"/>
      <c r="H1643" s="44"/>
      <c r="I1643" s="44"/>
      <c r="J1643" s="45"/>
      <c r="K1643" s="44"/>
      <c r="L1643" s="44"/>
      <c r="M1643" s="44"/>
    </row>
    <row r="1644" spans="2:13" x14ac:dyDescent="0.25">
      <c r="B1644" s="42"/>
      <c r="C1644" s="43" t="str">
        <f t="shared" si="75"/>
        <v/>
      </c>
      <c r="D1644" s="44" t="str">
        <f t="shared" si="76"/>
        <v/>
      </c>
      <c r="E1644" s="44" t="str">
        <f t="shared" si="77"/>
        <v/>
      </c>
      <c r="F1644" s="44"/>
      <c r="G1644" s="44"/>
      <c r="H1644" s="44"/>
      <c r="I1644" s="44"/>
      <c r="J1644" s="45"/>
      <c r="K1644" s="44"/>
      <c r="L1644" s="44"/>
      <c r="M1644" s="44"/>
    </row>
    <row r="1645" spans="2:13" x14ac:dyDescent="0.25">
      <c r="B1645" s="42"/>
      <c r="C1645" s="43" t="str">
        <f t="shared" si="75"/>
        <v/>
      </c>
      <c r="D1645" s="44" t="str">
        <f t="shared" si="76"/>
        <v/>
      </c>
      <c r="E1645" s="44" t="str">
        <f t="shared" si="77"/>
        <v/>
      </c>
      <c r="F1645" s="44"/>
      <c r="G1645" s="44"/>
      <c r="H1645" s="44"/>
      <c r="I1645" s="44"/>
      <c r="J1645" s="45"/>
      <c r="K1645" s="44"/>
      <c r="L1645" s="44"/>
      <c r="M1645" s="44"/>
    </row>
    <row r="1646" spans="2:13" x14ac:dyDescent="0.25">
      <c r="B1646" s="42"/>
      <c r="C1646" s="43" t="str">
        <f t="shared" si="75"/>
        <v/>
      </c>
      <c r="D1646" s="44" t="str">
        <f t="shared" si="76"/>
        <v/>
      </c>
      <c r="E1646" s="44" t="str">
        <f t="shared" si="77"/>
        <v/>
      </c>
      <c r="F1646" s="44"/>
      <c r="G1646" s="44"/>
      <c r="H1646" s="44"/>
      <c r="I1646" s="44"/>
      <c r="J1646" s="45"/>
      <c r="K1646" s="44"/>
      <c r="L1646" s="44"/>
      <c r="M1646" s="44"/>
    </row>
    <row r="1647" spans="2:13" x14ac:dyDescent="0.25">
      <c r="B1647" s="42"/>
      <c r="C1647" s="43" t="str">
        <f t="shared" si="75"/>
        <v/>
      </c>
      <c r="D1647" s="44" t="str">
        <f t="shared" si="76"/>
        <v/>
      </c>
      <c r="E1647" s="44" t="str">
        <f t="shared" si="77"/>
        <v/>
      </c>
      <c r="F1647" s="44"/>
      <c r="G1647" s="44"/>
      <c r="H1647" s="44"/>
      <c r="I1647" s="44"/>
      <c r="J1647" s="45"/>
      <c r="K1647" s="44"/>
      <c r="L1647" s="44"/>
      <c r="M1647" s="44"/>
    </row>
    <row r="1648" spans="2:13" x14ac:dyDescent="0.25">
      <c r="B1648" s="42"/>
      <c r="C1648" s="43" t="str">
        <f t="shared" si="75"/>
        <v/>
      </c>
      <c r="D1648" s="44" t="str">
        <f t="shared" si="76"/>
        <v/>
      </c>
      <c r="E1648" s="44" t="str">
        <f t="shared" si="77"/>
        <v/>
      </c>
      <c r="F1648" s="44"/>
      <c r="G1648" s="44"/>
      <c r="H1648" s="44"/>
      <c r="I1648" s="44"/>
      <c r="J1648" s="45"/>
      <c r="K1648" s="44"/>
      <c r="L1648" s="44"/>
      <c r="M1648" s="44"/>
    </row>
    <row r="1649" spans="2:13" x14ac:dyDescent="0.25">
      <c r="B1649" s="42"/>
      <c r="C1649" s="43" t="str">
        <f t="shared" si="75"/>
        <v/>
      </c>
      <c r="D1649" s="44" t="str">
        <f t="shared" si="76"/>
        <v/>
      </c>
      <c r="E1649" s="44" t="str">
        <f t="shared" si="77"/>
        <v/>
      </c>
      <c r="F1649" s="44"/>
      <c r="G1649" s="44"/>
      <c r="H1649" s="44"/>
      <c r="I1649" s="44"/>
      <c r="J1649" s="45"/>
      <c r="K1649" s="44"/>
      <c r="L1649" s="44"/>
      <c r="M1649" s="44"/>
    </row>
    <row r="1650" spans="2:13" x14ac:dyDescent="0.25">
      <c r="B1650" s="42"/>
      <c r="C1650" s="43" t="str">
        <f t="shared" si="75"/>
        <v/>
      </c>
      <c r="D1650" s="44" t="str">
        <f t="shared" si="76"/>
        <v/>
      </c>
      <c r="E1650" s="44" t="str">
        <f t="shared" si="77"/>
        <v/>
      </c>
      <c r="F1650" s="44"/>
      <c r="G1650" s="44"/>
      <c r="H1650" s="44"/>
      <c r="I1650" s="44"/>
      <c r="J1650" s="45"/>
      <c r="K1650" s="44"/>
      <c r="L1650" s="44"/>
      <c r="M1650" s="44"/>
    </row>
    <row r="1651" spans="2:13" x14ac:dyDescent="0.25">
      <c r="B1651" s="42"/>
      <c r="C1651" s="43" t="str">
        <f t="shared" si="75"/>
        <v/>
      </c>
      <c r="D1651" s="44" t="str">
        <f t="shared" si="76"/>
        <v/>
      </c>
      <c r="E1651" s="44" t="str">
        <f t="shared" si="77"/>
        <v/>
      </c>
      <c r="F1651" s="44"/>
      <c r="G1651" s="44"/>
      <c r="H1651" s="44"/>
      <c r="I1651" s="44"/>
      <c r="J1651" s="45"/>
      <c r="K1651" s="44"/>
      <c r="L1651" s="44"/>
      <c r="M1651" s="44"/>
    </row>
    <row r="1652" spans="2:13" x14ac:dyDescent="0.25">
      <c r="B1652" s="42"/>
      <c r="C1652" s="43" t="str">
        <f t="shared" si="75"/>
        <v/>
      </c>
      <c r="D1652" s="44" t="str">
        <f t="shared" si="76"/>
        <v/>
      </c>
      <c r="E1652" s="44" t="str">
        <f t="shared" si="77"/>
        <v/>
      </c>
      <c r="F1652" s="44"/>
      <c r="G1652" s="44"/>
      <c r="H1652" s="44"/>
      <c r="I1652" s="44"/>
      <c r="J1652" s="45"/>
      <c r="K1652" s="44"/>
      <c r="L1652" s="44"/>
      <c r="M1652" s="44"/>
    </row>
    <row r="1653" spans="2:13" x14ac:dyDescent="0.25">
      <c r="B1653" s="42"/>
      <c r="C1653" s="43" t="str">
        <f t="shared" si="75"/>
        <v/>
      </c>
      <c r="D1653" s="44" t="str">
        <f t="shared" si="76"/>
        <v/>
      </c>
      <c r="E1653" s="44" t="str">
        <f t="shared" si="77"/>
        <v/>
      </c>
      <c r="F1653" s="44"/>
      <c r="G1653" s="44"/>
      <c r="H1653" s="44"/>
      <c r="I1653" s="44"/>
      <c r="J1653" s="45"/>
      <c r="K1653" s="44"/>
      <c r="L1653" s="44"/>
      <c r="M1653" s="44"/>
    </row>
    <row r="1654" spans="2:13" x14ac:dyDescent="0.25">
      <c r="B1654" s="42"/>
      <c r="C1654" s="43" t="str">
        <f t="shared" si="75"/>
        <v/>
      </c>
      <c r="D1654" s="44" t="str">
        <f t="shared" si="76"/>
        <v/>
      </c>
      <c r="E1654" s="44" t="str">
        <f t="shared" si="77"/>
        <v/>
      </c>
      <c r="F1654" s="44"/>
      <c r="G1654" s="44"/>
      <c r="H1654" s="44"/>
      <c r="I1654" s="44"/>
      <c r="J1654" s="45"/>
      <c r="K1654" s="44"/>
      <c r="L1654" s="44"/>
      <c r="M1654" s="44"/>
    </row>
    <row r="1655" spans="2:13" x14ac:dyDescent="0.25">
      <c r="B1655" s="42"/>
      <c r="C1655" s="43" t="str">
        <f t="shared" si="75"/>
        <v/>
      </c>
      <c r="D1655" s="44" t="str">
        <f t="shared" si="76"/>
        <v/>
      </c>
      <c r="E1655" s="44" t="str">
        <f t="shared" si="77"/>
        <v/>
      </c>
      <c r="F1655" s="44"/>
      <c r="G1655" s="44"/>
      <c r="H1655" s="44"/>
      <c r="I1655" s="44"/>
      <c r="J1655" s="45"/>
      <c r="K1655" s="44"/>
      <c r="L1655" s="44"/>
      <c r="M1655" s="44"/>
    </row>
    <row r="1656" spans="2:13" x14ac:dyDescent="0.25">
      <c r="B1656" s="42"/>
      <c r="C1656" s="43" t="str">
        <f t="shared" si="75"/>
        <v/>
      </c>
      <c r="D1656" s="44" t="str">
        <f t="shared" si="76"/>
        <v/>
      </c>
      <c r="E1656" s="44" t="str">
        <f t="shared" si="77"/>
        <v/>
      </c>
      <c r="F1656" s="44"/>
      <c r="G1656" s="44"/>
      <c r="H1656" s="44"/>
      <c r="I1656" s="44"/>
      <c r="J1656" s="45"/>
      <c r="K1656" s="44"/>
      <c r="L1656" s="44"/>
      <c r="M1656" s="44"/>
    </row>
    <row r="1657" spans="2:13" x14ac:dyDescent="0.25">
      <c r="B1657" s="42"/>
      <c r="C1657" s="43" t="str">
        <f t="shared" si="75"/>
        <v/>
      </c>
      <c r="D1657" s="44" t="str">
        <f t="shared" si="76"/>
        <v/>
      </c>
      <c r="E1657" s="44" t="str">
        <f t="shared" si="77"/>
        <v/>
      </c>
      <c r="F1657" s="44"/>
      <c r="G1657" s="44"/>
      <c r="H1657" s="44"/>
      <c r="I1657" s="44"/>
      <c r="J1657" s="45"/>
      <c r="K1657" s="44"/>
      <c r="L1657" s="44"/>
      <c r="M1657" s="44"/>
    </row>
    <row r="1658" spans="2:13" x14ac:dyDescent="0.25">
      <c r="B1658" s="42"/>
      <c r="C1658" s="43" t="str">
        <f t="shared" si="75"/>
        <v/>
      </c>
      <c r="D1658" s="44" t="str">
        <f t="shared" si="76"/>
        <v/>
      </c>
      <c r="E1658" s="44" t="str">
        <f t="shared" si="77"/>
        <v/>
      </c>
      <c r="F1658" s="44"/>
      <c r="G1658" s="44"/>
      <c r="H1658" s="44"/>
      <c r="I1658" s="44"/>
      <c r="J1658" s="45"/>
      <c r="K1658" s="44"/>
      <c r="L1658" s="44"/>
      <c r="M1658" s="44"/>
    </row>
    <row r="1659" spans="2:13" x14ac:dyDescent="0.25">
      <c r="B1659" s="42"/>
      <c r="C1659" s="43" t="str">
        <f t="shared" si="75"/>
        <v/>
      </c>
      <c r="D1659" s="44" t="str">
        <f t="shared" si="76"/>
        <v/>
      </c>
      <c r="E1659" s="44" t="str">
        <f t="shared" si="77"/>
        <v/>
      </c>
      <c r="F1659" s="44"/>
      <c r="G1659" s="44"/>
      <c r="H1659" s="44"/>
      <c r="I1659" s="44"/>
      <c r="J1659" s="45"/>
      <c r="K1659" s="44"/>
      <c r="L1659" s="44"/>
      <c r="M1659" s="44"/>
    </row>
    <row r="1660" spans="2:13" x14ac:dyDescent="0.25">
      <c r="B1660" s="42"/>
      <c r="C1660" s="43" t="str">
        <f t="shared" si="75"/>
        <v/>
      </c>
      <c r="D1660" s="44" t="str">
        <f t="shared" si="76"/>
        <v/>
      </c>
      <c r="E1660" s="44" t="str">
        <f t="shared" si="77"/>
        <v/>
      </c>
      <c r="F1660" s="44"/>
      <c r="G1660" s="44"/>
      <c r="H1660" s="44"/>
      <c r="I1660" s="44"/>
      <c r="J1660" s="45"/>
      <c r="K1660" s="44"/>
      <c r="L1660" s="44"/>
      <c r="M1660" s="44"/>
    </row>
    <row r="1661" spans="2:13" x14ac:dyDescent="0.25">
      <c r="B1661" s="42"/>
      <c r="C1661" s="43" t="str">
        <f t="shared" si="75"/>
        <v/>
      </c>
      <c r="D1661" s="44" t="str">
        <f t="shared" si="76"/>
        <v/>
      </c>
      <c r="E1661" s="44" t="str">
        <f t="shared" si="77"/>
        <v/>
      </c>
      <c r="F1661" s="44"/>
      <c r="G1661" s="44"/>
      <c r="H1661" s="44"/>
      <c r="I1661" s="44"/>
      <c r="J1661" s="45"/>
      <c r="K1661" s="44"/>
      <c r="L1661" s="44"/>
      <c r="M1661" s="44"/>
    </row>
    <row r="1662" spans="2:13" x14ac:dyDescent="0.25">
      <c r="B1662" s="42"/>
      <c r="C1662" s="43" t="str">
        <f t="shared" si="75"/>
        <v/>
      </c>
      <c r="D1662" s="44" t="str">
        <f t="shared" si="76"/>
        <v/>
      </c>
      <c r="E1662" s="44" t="str">
        <f t="shared" si="77"/>
        <v/>
      </c>
      <c r="F1662" s="44"/>
      <c r="G1662" s="44"/>
      <c r="H1662" s="44"/>
      <c r="I1662" s="44"/>
      <c r="J1662" s="45"/>
      <c r="K1662" s="44"/>
      <c r="L1662" s="44"/>
      <c r="M1662" s="44"/>
    </row>
    <row r="1663" spans="2:13" x14ac:dyDescent="0.25">
      <c r="B1663" s="42"/>
      <c r="C1663" s="43" t="str">
        <f t="shared" si="75"/>
        <v/>
      </c>
      <c r="D1663" s="44" t="str">
        <f t="shared" si="76"/>
        <v/>
      </c>
      <c r="E1663" s="44" t="str">
        <f t="shared" si="77"/>
        <v/>
      </c>
      <c r="F1663" s="44"/>
      <c r="G1663" s="44"/>
      <c r="H1663" s="44"/>
      <c r="I1663" s="44"/>
      <c r="J1663" s="45"/>
      <c r="K1663" s="44"/>
      <c r="L1663" s="44"/>
      <c r="M1663" s="44"/>
    </row>
    <row r="1664" spans="2:13" x14ac:dyDescent="0.25">
      <c r="B1664" s="42"/>
      <c r="C1664" s="43" t="str">
        <f t="shared" si="75"/>
        <v/>
      </c>
      <c r="D1664" s="44" t="str">
        <f t="shared" si="76"/>
        <v/>
      </c>
      <c r="E1664" s="44" t="str">
        <f t="shared" si="77"/>
        <v/>
      </c>
      <c r="F1664" s="44"/>
      <c r="G1664" s="44"/>
      <c r="H1664" s="44"/>
      <c r="I1664" s="44"/>
      <c r="J1664" s="45"/>
      <c r="K1664" s="44"/>
      <c r="L1664" s="44"/>
      <c r="M1664" s="44"/>
    </row>
    <row r="1665" spans="2:13" x14ac:dyDescent="0.25">
      <c r="B1665" s="42"/>
      <c r="C1665" s="43" t="str">
        <f t="shared" si="75"/>
        <v/>
      </c>
      <c r="D1665" s="44" t="str">
        <f t="shared" si="76"/>
        <v/>
      </c>
      <c r="E1665" s="44" t="str">
        <f t="shared" si="77"/>
        <v/>
      </c>
      <c r="F1665" s="44"/>
      <c r="G1665" s="44"/>
      <c r="H1665" s="44"/>
      <c r="I1665" s="44"/>
      <c r="J1665" s="45"/>
      <c r="K1665" s="44"/>
      <c r="L1665" s="44"/>
      <c r="M1665" s="44"/>
    </row>
    <row r="1666" spans="2:13" x14ac:dyDescent="0.25">
      <c r="B1666" s="42"/>
      <c r="C1666" s="43" t="str">
        <f t="shared" ref="C1666:C1729" si="78">IF(B1666="","",MONTH(B1666))</f>
        <v/>
      </c>
      <c r="D1666" s="44" t="str">
        <f t="shared" ref="D1666:D1729" si="79">IF(B1666="","",CHOOSE(C1666,"Enero","Febrero","Marzo","Abril","Mayo","Junio","Julio","Agosto","Septiembre","Octubre","Noviembre","Diciembre"))</f>
        <v/>
      </c>
      <c r="E1666" s="44" t="str">
        <f t="shared" ref="E1666:E1729" si="80">IF(B1666="","",YEAR(B1666))</f>
        <v/>
      </c>
      <c r="F1666" s="44"/>
      <c r="G1666" s="44"/>
      <c r="H1666" s="44"/>
      <c r="I1666" s="44"/>
      <c r="J1666" s="45"/>
      <c r="K1666" s="44"/>
      <c r="L1666" s="44"/>
      <c r="M1666" s="44"/>
    </row>
    <row r="1667" spans="2:13" x14ac:dyDescent="0.25">
      <c r="B1667" s="42"/>
      <c r="C1667" s="43" t="str">
        <f t="shared" si="78"/>
        <v/>
      </c>
      <c r="D1667" s="44" t="str">
        <f t="shared" si="79"/>
        <v/>
      </c>
      <c r="E1667" s="44" t="str">
        <f t="shared" si="80"/>
        <v/>
      </c>
      <c r="F1667" s="44"/>
      <c r="G1667" s="44"/>
      <c r="H1667" s="44"/>
      <c r="I1667" s="44"/>
      <c r="J1667" s="45"/>
      <c r="K1667" s="44"/>
      <c r="L1667" s="44"/>
      <c r="M1667" s="44"/>
    </row>
    <row r="1668" spans="2:13" x14ac:dyDescent="0.25">
      <c r="B1668" s="42"/>
      <c r="C1668" s="43" t="str">
        <f t="shared" si="78"/>
        <v/>
      </c>
      <c r="D1668" s="44" t="str">
        <f t="shared" si="79"/>
        <v/>
      </c>
      <c r="E1668" s="44" t="str">
        <f t="shared" si="80"/>
        <v/>
      </c>
      <c r="F1668" s="44"/>
      <c r="G1668" s="44"/>
      <c r="H1668" s="44"/>
      <c r="I1668" s="44"/>
      <c r="J1668" s="45"/>
      <c r="K1668" s="44"/>
      <c r="L1668" s="44"/>
      <c r="M1668" s="44"/>
    </row>
    <row r="1669" spans="2:13" x14ac:dyDescent="0.25">
      <c r="B1669" s="42"/>
      <c r="C1669" s="43" t="str">
        <f t="shared" si="78"/>
        <v/>
      </c>
      <c r="D1669" s="44" t="str">
        <f t="shared" si="79"/>
        <v/>
      </c>
      <c r="E1669" s="44" t="str">
        <f t="shared" si="80"/>
        <v/>
      </c>
      <c r="F1669" s="44"/>
      <c r="G1669" s="44"/>
      <c r="H1669" s="44"/>
      <c r="I1669" s="44"/>
      <c r="J1669" s="45"/>
      <c r="K1669" s="44"/>
      <c r="L1669" s="44"/>
      <c r="M1669" s="44"/>
    </row>
    <row r="1670" spans="2:13" x14ac:dyDescent="0.25">
      <c r="B1670" s="42"/>
      <c r="C1670" s="43" t="str">
        <f t="shared" si="78"/>
        <v/>
      </c>
      <c r="D1670" s="44" t="str">
        <f t="shared" si="79"/>
        <v/>
      </c>
      <c r="E1670" s="44" t="str">
        <f t="shared" si="80"/>
        <v/>
      </c>
      <c r="F1670" s="44"/>
      <c r="G1670" s="44"/>
      <c r="H1670" s="44"/>
      <c r="I1670" s="44"/>
      <c r="J1670" s="45"/>
      <c r="K1670" s="44"/>
      <c r="L1670" s="44"/>
      <c r="M1670" s="44"/>
    </row>
    <row r="1671" spans="2:13" x14ac:dyDescent="0.25">
      <c r="B1671" s="42"/>
      <c r="C1671" s="43" t="str">
        <f t="shared" si="78"/>
        <v/>
      </c>
      <c r="D1671" s="44" t="str">
        <f t="shared" si="79"/>
        <v/>
      </c>
      <c r="E1671" s="44" t="str">
        <f t="shared" si="80"/>
        <v/>
      </c>
      <c r="F1671" s="44"/>
      <c r="G1671" s="44"/>
      <c r="H1671" s="44"/>
      <c r="I1671" s="44"/>
      <c r="J1671" s="45"/>
      <c r="K1671" s="44"/>
      <c r="L1671" s="44"/>
      <c r="M1671" s="44"/>
    </row>
    <row r="1672" spans="2:13" x14ac:dyDescent="0.25">
      <c r="B1672" s="42"/>
      <c r="C1672" s="43" t="str">
        <f t="shared" si="78"/>
        <v/>
      </c>
      <c r="D1672" s="44" t="str">
        <f t="shared" si="79"/>
        <v/>
      </c>
      <c r="E1672" s="44" t="str">
        <f t="shared" si="80"/>
        <v/>
      </c>
      <c r="F1672" s="44"/>
      <c r="G1672" s="44"/>
      <c r="H1672" s="44"/>
      <c r="I1672" s="44"/>
      <c r="J1672" s="45"/>
      <c r="K1672" s="44"/>
      <c r="L1672" s="44"/>
      <c r="M1672" s="44"/>
    </row>
    <row r="1673" spans="2:13" x14ac:dyDescent="0.25">
      <c r="B1673" s="42"/>
      <c r="C1673" s="43" t="str">
        <f t="shared" si="78"/>
        <v/>
      </c>
      <c r="D1673" s="44" t="str">
        <f t="shared" si="79"/>
        <v/>
      </c>
      <c r="E1673" s="44" t="str">
        <f t="shared" si="80"/>
        <v/>
      </c>
      <c r="F1673" s="44"/>
      <c r="G1673" s="44"/>
      <c r="H1673" s="44"/>
      <c r="I1673" s="44"/>
      <c r="J1673" s="45"/>
      <c r="K1673" s="44"/>
      <c r="L1673" s="44"/>
      <c r="M1673" s="44"/>
    </row>
    <row r="1674" spans="2:13" x14ac:dyDescent="0.25">
      <c r="B1674" s="42"/>
      <c r="C1674" s="43" t="str">
        <f t="shared" si="78"/>
        <v/>
      </c>
      <c r="D1674" s="44" t="str">
        <f t="shared" si="79"/>
        <v/>
      </c>
      <c r="E1674" s="44" t="str">
        <f t="shared" si="80"/>
        <v/>
      </c>
      <c r="F1674" s="44"/>
      <c r="G1674" s="44"/>
      <c r="H1674" s="44"/>
      <c r="I1674" s="44"/>
      <c r="J1674" s="45"/>
      <c r="K1674" s="44"/>
      <c r="L1674" s="44"/>
      <c r="M1674" s="44"/>
    </row>
    <row r="1675" spans="2:13" x14ac:dyDescent="0.25">
      <c r="B1675" s="42"/>
      <c r="C1675" s="43" t="str">
        <f t="shared" si="78"/>
        <v/>
      </c>
      <c r="D1675" s="44" t="str">
        <f t="shared" si="79"/>
        <v/>
      </c>
      <c r="E1675" s="44" t="str">
        <f t="shared" si="80"/>
        <v/>
      </c>
      <c r="F1675" s="44"/>
      <c r="G1675" s="44"/>
      <c r="H1675" s="44"/>
      <c r="I1675" s="44"/>
      <c r="J1675" s="45"/>
      <c r="K1675" s="44"/>
      <c r="L1675" s="44"/>
      <c r="M1675" s="44"/>
    </row>
    <row r="1676" spans="2:13" x14ac:dyDescent="0.25">
      <c r="B1676" s="42"/>
      <c r="C1676" s="43" t="str">
        <f t="shared" si="78"/>
        <v/>
      </c>
      <c r="D1676" s="44" t="str">
        <f t="shared" si="79"/>
        <v/>
      </c>
      <c r="E1676" s="44" t="str">
        <f t="shared" si="80"/>
        <v/>
      </c>
      <c r="F1676" s="44"/>
      <c r="G1676" s="44"/>
      <c r="H1676" s="44"/>
      <c r="I1676" s="44"/>
      <c r="J1676" s="45"/>
      <c r="K1676" s="44"/>
      <c r="L1676" s="44"/>
      <c r="M1676" s="44"/>
    </row>
    <row r="1677" spans="2:13" x14ac:dyDescent="0.25">
      <c r="B1677" s="42"/>
      <c r="C1677" s="43" t="str">
        <f t="shared" si="78"/>
        <v/>
      </c>
      <c r="D1677" s="44" t="str">
        <f t="shared" si="79"/>
        <v/>
      </c>
      <c r="E1677" s="44" t="str">
        <f t="shared" si="80"/>
        <v/>
      </c>
      <c r="F1677" s="44"/>
      <c r="G1677" s="44"/>
      <c r="H1677" s="44"/>
      <c r="I1677" s="44"/>
      <c r="J1677" s="45"/>
      <c r="K1677" s="44"/>
      <c r="L1677" s="44"/>
      <c r="M1677" s="44"/>
    </row>
    <row r="1678" spans="2:13" x14ac:dyDescent="0.25">
      <c r="B1678" s="42"/>
      <c r="C1678" s="43" t="str">
        <f t="shared" si="78"/>
        <v/>
      </c>
      <c r="D1678" s="44" t="str">
        <f t="shared" si="79"/>
        <v/>
      </c>
      <c r="E1678" s="44" t="str">
        <f t="shared" si="80"/>
        <v/>
      </c>
      <c r="F1678" s="44"/>
      <c r="G1678" s="44"/>
      <c r="H1678" s="44"/>
      <c r="I1678" s="44"/>
      <c r="J1678" s="45"/>
      <c r="K1678" s="44"/>
      <c r="L1678" s="44"/>
      <c r="M1678" s="44"/>
    </row>
    <row r="1679" spans="2:13" x14ac:dyDescent="0.25">
      <c r="B1679" s="42"/>
      <c r="C1679" s="43" t="str">
        <f t="shared" si="78"/>
        <v/>
      </c>
      <c r="D1679" s="44" t="str">
        <f t="shared" si="79"/>
        <v/>
      </c>
      <c r="E1679" s="44" t="str">
        <f t="shared" si="80"/>
        <v/>
      </c>
      <c r="F1679" s="44"/>
      <c r="G1679" s="44"/>
      <c r="H1679" s="44"/>
      <c r="I1679" s="44"/>
      <c r="J1679" s="45"/>
      <c r="K1679" s="44"/>
      <c r="L1679" s="44"/>
      <c r="M1679" s="44"/>
    </row>
    <row r="1680" spans="2:13" x14ac:dyDescent="0.25">
      <c r="B1680" s="42"/>
      <c r="C1680" s="43" t="str">
        <f t="shared" si="78"/>
        <v/>
      </c>
      <c r="D1680" s="44" t="str">
        <f t="shared" si="79"/>
        <v/>
      </c>
      <c r="E1680" s="44" t="str">
        <f t="shared" si="80"/>
        <v/>
      </c>
      <c r="F1680" s="44"/>
      <c r="G1680" s="44"/>
      <c r="H1680" s="44"/>
      <c r="I1680" s="44"/>
      <c r="J1680" s="45"/>
      <c r="K1680" s="44"/>
      <c r="L1680" s="44"/>
      <c r="M1680" s="44"/>
    </row>
    <row r="1681" spans="2:13" x14ac:dyDescent="0.25">
      <c r="B1681" s="42"/>
      <c r="C1681" s="43" t="str">
        <f t="shared" si="78"/>
        <v/>
      </c>
      <c r="D1681" s="44" t="str">
        <f t="shared" si="79"/>
        <v/>
      </c>
      <c r="E1681" s="44" t="str">
        <f t="shared" si="80"/>
        <v/>
      </c>
      <c r="F1681" s="44"/>
      <c r="G1681" s="44"/>
      <c r="H1681" s="44"/>
      <c r="I1681" s="44"/>
      <c r="J1681" s="45"/>
      <c r="K1681" s="44"/>
      <c r="L1681" s="44"/>
      <c r="M1681" s="44"/>
    </row>
    <row r="1682" spans="2:13" x14ac:dyDescent="0.25">
      <c r="B1682" s="42"/>
      <c r="C1682" s="43" t="str">
        <f t="shared" si="78"/>
        <v/>
      </c>
      <c r="D1682" s="44" t="str">
        <f t="shared" si="79"/>
        <v/>
      </c>
      <c r="E1682" s="44" t="str">
        <f t="shared" si="80"/>
        <v/>
      </c>
      <c r="F1682" s="44"/>
      <c r="G1682" s="44"/>
      <c r="H1682" s="44"/>
      <c r="I1682" s="44"/>
      <c r="J1682" s="45"/>
      <c r="K1682" s="44"/>
      <c r="L1682" s="44"/>
      <c r="M1682" s="44"/>
    </row>
    <row r="1683" spans="2:13" x14ac:dyDescent="0.25">
      <c r="B1683" s="42"/>
      <c r="C1683" s="43" t="str">
        <f t="shared" si="78"/>
        <v/>
      </c>
      <c r="D1683" s="44" t="str">
        <f t="shared" si="79"/>
        <v/>
      </c>
      <c r="E1683" s="44" t="str">
        <f t="shared" si="80"/>
        <v/>
      </c>
      <c r="F1683" s="44"/>
      <c r="G1683" s="44"/>
      <c r="H1683" s="44"/>
      <c r="I1683" s="44"/>
      <c r="J1683" s="45"/>
      <c r="K1683" s="44"/>
      <c r="L1683" s="44"/>
      <c r="M1683" s="44"/>
    </row>
    <row r="1684" spans="2:13" x14ac:dyDescent="0.25">
      <c r="B1684" s="42"/>
      <c r="C1684" s="43" t="str">
        <f t="shared" si="78"/>
        <v/>
      </c>
      <c r="D1684" s="44" t="str">
        <f t="shared" si="79"/>
        <v/>
      </c>
      <c r="E1684" s="44" t="str">
        <f t="shared" si="80"/>
        <v/>
      </c>
      <c r="F1684" s="44"/>
      <c r="G1684" s="44"/>
      <c r="H1684" s="44"/>
      <c r="I1684" s="44"/>
      <c r="J1684" s="45"/>
      <c r="K1684" s="44"/>
      <c r="L1684" s="44"/>
      <c r="M1684" s="44"/>
    </row>
    <row r="1685" spans="2:13" x14ac:dyDescent="0.25">
      <c r="B1685" s="42"/>
      <c r="C1685" s="43" t="str">
        <f t="shared" si="78"/>
        <v/>
      </c>
      <c r="D1685" s="44" t="str">
        <f t="shared" si="79"/>
        <v/>
      </c>
      <c r="E1685" s="44" t="str">
        <f t="shared" si="80"/>
        <v/>
      </c>
      <c r="F1685" s="44"/>
      <c r="G1685" s="44"/>
      <c r="H1685" s="44"/>
      <c r="I1685" s="44"/>
      <c r="J1685" s="45"/>
      <c r="K1685" s="44"/>
      <c r="L1685" s="44"/>
      <c r="M1685" s="44"/>
    </row>
    <row r="1686" spans="2:13" x14ac:dyDescent="0.25">
      <c r="B1686" s="42"/>
      <c r="C1686" s="43" t="str">
        <f t="shared" si="78"/>
        <v/>
      </c>
      <c r="D1686" s="44" t="str">
        <f t="shared" si="79"/>
        <v/>
      </c>
      <c r="E1686" s="44" t="str">
        <f t="shared" si="80"/>
        <v/>
      </c>
      <c r="F1686" s="44"/>
      <c r="G1686" s="44"/>
      <c r="H1686" s="44"/>
      <c r="I1686" s="44"/>
      <c r="J1686" s="45"/>
      <c r="K1686" s="44"/>
      <c r="L1686" s="44"/>
      <c r="M1686" s="44"/>
    </row>
    <row r="1687" spans="2:13" x14ac:dyDescent="0.25">
      <c r="B1687" s="42"/>
      <c r="C1687" s="43" t="str">
        <f t="shared" si="78"/>
        <v/>
      </c>
      <c r="D1687" s="44" t="str">
        <f t="shared" si="79"/>
        <v/>
      </c>
      <c r="E1687" s="44" t="str">
        <f t="shared" si="80"/>
        <v/>
      </c>
      <c r="F1687" s="44"/>
      <c r="G1687" s="44"/>
      <c r="H1687" s="44"/>
      <c r="I1687" s="44"/>
      <c r="J1687" s="45"/>
      <c r="K1687" s="44"/>
      <c r="L1687" s="44"/>
      <c r="M1687" s="44"/>
    </row>
    <row r="1688" spans="2:13" x14ac:dyDescent="0.25">
      <c r="B1688" s="42"/>
      <c r="C1688" s="43" t="str">
        <f t="shared" si="78"/>
        <v/>
      </c>
      <c r="D1688" s="44" t="str">
        <f t="shared" si="79"/>
        <v/>
      </c>
      <c r="E1688" s="44" t="str">
        <f t="shared" si="80"/>
        <v/>
      </c>
      <c r="F1688" s="44"/>
      <c r="G1688" s="44"/>
      <c r="H1688" s="44"/>
      <c r="I1688" s="44"/>
      <c r="J1688" s="45"/>
      <c r="K1688" s="44"/>
      <c r="L1688" s="44"/>
      <c r="M1688" s="44"/>
    </row>
    <row r="1689" spans="2:13" x14ac:dyDescent="0.25">
      <c r="B1689" s="42"/>
      <c r="C1689" s="43" t="str">
        <f t="shared" si="78"/>
        <v/>
      </c>
      <c r="D1689" s="44" t="str">
        <f t="shared" si="79"/>
        <v/>
      </c>
      <c r="E1689" s="44" t="str">
        <f t="shared" si="80"/>
        <v/>
      </c>
      <c r="F1689" s="44"/>
      <c r="G1689" s="44"/>
      <c r="H1689" s="44"/>
      <c r="I1689" s="44"/>
      <c r="J1689" s="45"/>
      <c r="K1689" s="44"/>
      <c r="L1689" s="44"/>
      <c r="M1689" s="44"/>
    </row>
    <row r="1690" spans="2:13" x14ac:dyDescent="0.25">
      <c r="B1690" s="42"/>
      <c r="C1690" s="43" t="str">
        <f t="shared" si="78"/>
        <v/>
      </c>
      <c r="D1690" s="44" t="str">
        <f t="shared" si="79"/>
        <v/>
      </c>
      <c r="E1690" s="44" t="str">
        <f t="shared" si="80"/>
        <v/>
      </c>
      <c r="F1690" s="44"/>
      <c r="G1690" s="44"/>
      <c r="H1690" s="44"/>
      <c r="I1690" s="44"/>
      <c r="J1690" s="45"/>
      <c r="K1690" s="44"/>
      <c r="L1690" s="44"/>
      <c r="M1690" s="44"/>
    </row>
    <row r="1691" spans="2:13" x14ac:dyDescent="0.25">
      <c r="B1691" s="42"/>
      <c r="C1691" s="43" t="str">
        <f t="shared" si="78"/>
        <v/>
      </c>
      <c r="D1691" s="44" t="str">
        <f t="shared" si="79"/>
        <v/>
      </c>
      <c r="E1691" s="44" t="str">
        <f t="shared" si="80"/>
        <v/>
      </c>
      <c r="F1691" s="44"/>
      <c r="G1691" s="44"/>
      <c r="H1691" s="44"/>
      <c r="I1691" s="44"/>
      <c r="J1691" s="45"/>
      <c r="K1691" s="44"/>
      <c r="L1691" s="44"/>
      <c r="M1691" s="44"/>
    </row>
    <row r="1692" spans="2:13" x14ac:dyDescent="0.25">
      <c r="B1692" s="42"/>
      <c r="C1692" s="43" t="str">
        <f t="shared" si="78"/>
        <v/>
      </c>
      <c r="D1692" s="44" t="str">
        <f t="shared" si="79"/>
        <v/>
      </c>
      <c r="E1692" s="44" t="str">
        <f t="shared" si="80"/>
        <v/>
      </c>
      <c r="F1692" s="44"/>
      <c r="G1692" s="44"/>
      <c r="H1692" s="44"/>
      <c r="I1692" s="44"/>
      <c r="J1692" s="45"/>
      <c r="K1692" s="44"/>
      <c r="L1692" s="44"/>
      <c r="M1692" s="44"/>
    </row>
    <row r="1693" spans="2:13" x14ac:dyDescent="0.25">
      <c r="B1693" s="42"/>
      <c r="C1693" s="43" t="str">
        <f t="shared" si="78"/>
        <v/>
      </c>
      <c r="D1693" s="44" t="str">
        <f t="shared" si="79"/>
        <v/>
      </c>
      <c r="E1693" s="44" t="str">
        <f t="shared" si="80"/>
        <v/>
      </c>
      <c r="F1693" s="44"/>
      <c r="G1693" s="44"/>
      <c r="H1693" s="44"/>
      <c r="I1693" s="44"/>
      <c r="J1693" s="45"/>
      <c r="K1693" s="44"/>
      <c r="L1693" s="44"/>
      <c r="M1693" s="44"/>
    </row>
    <row r="1694" spans="2:13" x14ac:dyDescent="0.25">
      <c r="B1694" s="42"/>
      <c r="C1694" s="43" t="str">
        <f t="shared" si="78"/>
        <v/>
      </c>
      <c r="D1694" s="44" t="str">
        <f t="shared" si="79"/>
        <v/>
      </c>
      <c r="E1694" s="44" t="str">
        <f t="shared" si="80"/>
        <v/>
      </c>
      <c r="F1694" s="44"/>
      <c r="G1694" s="44"/>
      <c r="H1694" s="44"/>
      <c r="I1694" s="44"/>
      <c r="J1694" s="45"/>
      <c r="K1694" s="44"/>
      <c r="L1694" s="44"/>
      <c r="M1694" s="44"/>
    </row>
    <row r="1695" spans="2:13" x14ac:dyDescent="0.25">
      <c r="B1695" s="42"/>
      <c r="C1695" s="43" t="str">
        <f t="shared" si="78"/>
        <v/>
      </c>
      <c r="D1695" s="44" t="str">
        <f t="shared" si="79"/>
        <v/>
      </c>
      <c r="E1695" s="44" t="str">
        <f t="shared" si="80"/>
        <v/>
      </c>
      <c r="F1695" s="44"/>
      <c r="G1695" s="44"/>
      <c r="H1695" s="44"/>
      <c r="I1695" s="44"/>
      <c r="J1695" s="45"/>
      <c r="K1695" s="44"/>
      <c r="L1695" s="44"/>
      <c r="M1695" s="44"/>
    </row>
    <row r="1696" spans="2:13" x14ac:dyDescent="0.25">
      <c r="B1696" s="42"/>
      <c r="C1696" s="43" t="str">
        <f t="shared" si="78"/>
        <v/>
      </c>
      <c r="D1696" s="44" t="str">
        <f t="shared" si="79"/>
        <v/>
      </c>
      <c r="E1696" s="44" t="str">
        <f t="shared" si="80"/>
        <v/>
      </c>
      <c r="F1696" s="44"/>
      <c r="G1696" s="44"/>
      <c r="H1696" s="44"/>
      <c r="I1696" s="44"/>
      <c r="J1696" s="45"/>
      <c r="K1696" s="44"/>
      <c r="L1696" s="44"/>
      <c r="M1696" s="44"/>
    </row>
    <row r="1697" spans="2:13" x14ac:dyDescent="0.25">
      <c r="B1697" s="42"/>
      <c r="C1697" s="43" t="str">
        <f t="shared" si="78"/>
        <v/>
      </c>
      <c r="D1697" s="44" t="str">
        <f t="shared" si="79"/>
        <v/>
      </c>
      <c r="E1697" s="44" t="str">
        <f t="shared" si="80"/>
        <v/>
      </c>
      <c r="F1697" s="44"/>
      <c r="G1697" s="44"/>
      <c r="H1697" s="44"/>
      <c r="I1697" s="44"/>
      <c r="J1697" s="45"/>
      <c r="K1697" s="44"/>
      <c r="L1697" s="44"/>
      <c r="M1697" s="44"/>
    </row>
    <row r="1698" spans="2:13" x14ac:dyDescent="0.25">
      <c r="B1698" s="42"/>
      <c r="C1698" s="43" t="str">
        <f t="shared" si="78"/>
        <v/>
      </c>
      <c r="D1698" s="44" t="str">
        <f t="shared" si="79"/>
        <v/>
      </c>
      <c r="E1698" s="44" t="str">
        <f t="shared" si="80"/>
        <v/>
      </c>
      <c r="F1698" s="44"/>
      <c r="G1698" s="44"/>
      <c r="H1698" s="44"/>
      <c r="I1698" s="44"/>
      <c r="J1698" s="45"/>
      <c r="K1698" s="44"/>
      <c r="L1698" s="44"/>
      <c r="M1698" s="44"/>
    </row>
    <row r="1699" spans="2:13" x14ac:dyDescent="0.25">
      <c r="B1699" s="42"/>
      <c r="C1699" s="43" t="str">
        <f t="shared" si="78"/>
        <v/>
      </c>
      <c r="D1699" s="44" t="str">
        <f t="shared" si="79"/>
        <v/>
      </c>
      <c r="E1699" s="44" t="str">
        <f t="shared" si="80"/>
        <v/>
      </c>
      <c r="F1699" s="44"/>
      <c r="G1699" s="44"/>
      <c r="H1699" s="44"/>
      <c r="I1699" s="44"/>
      <c r="J1699" s="45"/>
      <c r="K1699" s="44"/>
      <c r="L1699" s="44"/>
      <c r="M1699" s="44"/>
    </row>
    <row r="1700" spans="2:13" x14ac:dyDescent="0.25">
      <c r="B1700" s="42"/>
      <c r="C1700" s="43" t="str">
        <f t="shared" si="78"/>
        <v/>
      </c>
      <c r="D1700" s="44" t="str">
        <f t="shared" si="79"/>
        <v/>
      </c>
      <c r="E1700" s="44" t="str">
        <f t="shared" si="80"/>
        <v/>
      </c>
      <c r="F1700" s="44"/>
      <c r="G1700" s="44"/>
      <c r="H1700" s="44"/>
      <c r="I1700" s="44"/>
      <c r="J1700" s="45"/>
      <c r="K1700" s="44"/>
      <c r="L1700" s="44"/>
      <c r="M1700" s="44"/>
    </row>
    <row r="1701" spans="2:13" x14ac:dyDescent="0.25">
      <c r="B1701" s="42"/>
      <c r="C1701" s="43" t="str">
        <f t="shared" si="78"/>
        <v/>
      </c>
      <c r="D1701" s="44" t="str">
        <f t="shared" si="79"/>
        <v/>
      </c>
      <c r="E1701" s="44" t="str">
        <f t="shared" si="80"/>
        <v/>
      </c>
      <c r="F1701" s="44"/>
      <c r="G1701" s="44"/>
      <c r="H1701" s="44"/>
      <c r="I1701" s="44"/>
      <c r="J1701" s="45"/>
      <c r="K1701" s="44"/>
      <c r="L1701" s="44"/>
      <c r="M1701" s="44"/>
    </row>
    <row r="1702" spans="2:13" x14ac:dyDescent="0.25">
      <c r="B1702" s="42"/>
      <c r="C1702" s="43" t="str">
        <f t="shared" si="78"/>
        <v/>
      </c>
      <c r="D1702" s="44" t="str">
        <f t="shared" si="79"/>
        <v/>
      </c>
      <c r="E1702" s="44" t="str">
        <f t="shared" si="80"/>
        <v/>
      </c>
      <c r="F1702" s="44"/>
      <c r="G1702" s="44"/>
      <c r="H1702" s="44"/>
      <c r="I1702" s="44"/>
      <c r="J1702" s="45"/>
      <c r="K1702" s="44"/>
      <c r="L1702" s="44"/>
      <c r="M1702" s="44"/>
    </row>
    <row r="1703" spans="2:13" x14ac:dyDescent="0.25">
      <c r="B1703" s="42"/>
      <c r="C1703" s="43" t="str">
        <f t="shared" si="78"/>
        <v/>
      </c>
      <c r="D1703" s="44" t="str">
        <f t="shared" si="79"/>
        <v/>
      </c>
      <c r="E1703" s="44" t="str">
        <f t="shared" si="80"/>
        <v/>
      </c>
      <c r="F1703" s="44"/>
      <c r="G1703" s="44"/>
      <c r="H1703" s="44"/>
      <c r="I1703" s="44"/>
      <c r="J1703" s="45"/>
      <c r="K1703" s="44"/>
      <c r="L1703" s="44"/>
      <c r="M1703" s="44"/>
    </row>
    <row r="1704" spans="2:13" x14ac:dyDescent="0.25">
      <c r="B1704" s="42"/>
      <c r="C1704" s="43" t="str">
        <f t="shared" si="78"/>
        <v/>
      </c>
      <c r="D1704" s="44" t="str">
        <f t="shared" si="79"/>
        <v/>
      </c>
      <c r="E1704" s="44" t="str">
        <f t="shared" si="80"/>
        <v/>
      </c>
      <c r="F1704" s="44"/>
      <c r="G1704" s="44"/>
      <c r="H1704" s="44"/>
      <c r="I1704" s="44"/>
      <c r="J1704" s="45"/>
      <c r="K1704" s="44"/>
      <c r="L1704" s="44"/>
      <c r="M1704" s="44"/>
    </row>
    <row r="1705" spans="2:13" x14ac:dyDescent="0.25">
      <c r="B1705" s="42"/>
      <c r="C1705" s="43" t="str">
        <f t="shared" si="78"/>
        <v/>
      </c>
      <c r="D1705" s="44" t="str">
        <f t="shared" si="79"/>
        <v/>
      </c>
      <c r="E1705" s="44" t="str">
        <f t="shared" si="80"/>
        <v/>
      </c>
      <c r="F1705" s="44"/>
      <c r="G1705" s="44"/>
      <c r="H1705" s="44"/>
      <c r="I1705" s="44"/>
      <c r="J1705" s="45"/>
      <c r="K1705" s="44"/>
      <c r="L1705" s="44"/>
      <c r="M1705" s="44"/>
    </row>
    <row r="1706" spans="2:13" x14ac:dyDescent="0.25">
      <c r="B1706" s="42"/>
      <c r="C1706" s="43" t="str">
        <f t="shared" si="78"/>
        <v/>
      </c>
      <c r="D1706" s="44" t="str">
        <f t="shared" si="79"/>
        <v/>
      </c>
      <c r="E1706" s="44" t="str">
        <f t="shared" si="80"/>
        <v/>
      </c>
      <c r="F1706" s="44"/>
      <c r="G1706" s="44"/>
      <c r="H1706" s="44"/>
      <c r="I1706" s="44"/>
      <c r="J1706" s="45"/>
      <c r="K1706" s="44"/>
      <c r="L1706" s="44"/>
      <c r="M1706" s="44"/>
    </row>
    <row r="1707" spans="2:13" x14ac:dyDescent="0.25">
      <c r="B1707" s="42"/>
      <c r="C1707" s="43" t="str">
        <f t="shared" si="78"/>
        <v/>
      </c>
      <c r="D1707" s="44" t="str">
        <f t="shared" si="79"/>
        <v/>
      </c>
      <c r="E1707" s="44" t="str">
        <f t="shared" si="80"/>
        <v/>
      </c>
      <c r="F1707" s="44"/>
      <c r="G1707" s="44"/>
      <c r="H1707" s="44"/>
      <c r="I1707" s="44"/>
      <c r="J1707" s="45"/>
      <c r="K1707" s="44"/>
      <c r="L1707" s="44"/>
      <c r="M1707" s="44"/>
    </row>
    <row r="1708" spans="2:13" x14ac:dyDescent="0.25">
      <c r="B1708" s="42"/>
      <c r="C1708" s="43" t="str">
        <f t="shared" si="78"/>
        <v/>
      </c>
      <c r="D1708" s="44" t="str">
        <f t="shared" si="79"/>
        <v/>
      </c>
      <c r="E1708" s="44" t="str">
        <f t="shared" si="80"/>
        <v/>
      </c>
      <c r="F1708" s="44"/>
      <c r="G1708" s="44"/>
      <c r="H1708" s="44"/>
      <c r="I1708" s="44"/>
      <c r="J1708" s="45"/>
      <c r="K1708" s="44"/>
      <c r="L1708" s="44"/>
      <c r="M1708" s="44"/>
    </row>
    <row r="1709" spans="2:13" x14ac:dyDescent="0.25">
      <c r="B1709" s="42"/>
      <c r="C1709" s="43" t="str">
        <f t="shared" si="78"/>
        <v/>
      </c>
      <c r="D1709" s="44" t="str">
        <f t="shared" si="79"/>
        <v/>
      </c>
      <c r="E1709" s="44" t="str">
        <f t="shared" si="80"/>
        <v/>
      </c>
      <c r="F1709" s="44"/>
      <c r="G1709" s="44"/>
      <c r="H1709" s="44"/>
      <c r="I1709" s="44"/>
      <c r="J1709" s="45"/>
      <c r="K1709" s="44"/>
      <c r="L1709" s="44"/>
      <c r="M1709" s="44"/>
    </row>
    <row r="1710" spans="2:13" x14ac:dyDescent="0.25">
      <c r="B1710" s="42"/>
      <c r="C1710" s="43" t="str">
        <f t="shared" si="78"/>
        <v/>
      </c>
      <c r="D1710" s="44" t="str">
        <f t="shared" si="79"/>
        <v/>
      </c>
      <c r="E1710" s="44" t="str">
        <f t="shared" si="80"/>
        <v/>
      </c>
      <c r="F1710" s="44"/>
      <c r="G1710" s="44"/>
      <c r="H1710" s="44"/>
      <c r="I1710" s="44"/>
      <c r="J1710" s="45"/>
      <c r="K1710" s="44"/>
      <c r="L1710" s="44"/>
      <c r="M1710" s="44"/>
    </row>
    <row r="1711" spans="2:13" x14ac:dyDescent="0.25">
      <c r="B1711" s="42"/>
      <c r="C1711" s="43" t="str">
        <f t="shared" si="78"/>
        <v/>
      </c>
      <c r="D1711" s="44" t="str">
        <f t="shared" si="79"/>
        <v/>
      </c>
      <c r="E1711" s="44" t="str">
        <f t="shared" si="80"/>
        <v/>
      </c>
      <c r="F1711" s="44"/>
      <c r="G1711" s="44"/>
      <c r="H1711" s="44"/>
      <c r="I1711" s="44"/>
      <c r="J1711" s="45"/>
      <c r="K1711" s="44"/>
      <c r="L1711" s="44"/>
      <c r="M1711" s="44"/>
    </row>
    <row r="1712" spans="2:13" x14ac:dyDescent="0.25">
      <c r="B1712" s="42"/>
      <c r="C1712" s="43" t="str">
        <f t="shared" si="78"/>
        <v/>
      </c>
      <c r="D1712" s="44" t="str">
        <f t="shared" si="79"/>
        <v/>
      </c>
      <c r="E1712" s="44" t="str">
        <f t="shared" si="80"/>
        <v/>
      </c>
      <c r="F1712" s="44"/>
      <c r="G1712" s="44"/>
      <c r="H1712" s="44"/>
      <c r="I1712" s="44"/>
      <c r="J1712" s="45"/>
      <c r="K1712" s="44"/>
      <c r="L1712" s="44"/>
      <c r="M1712" s="44"/>
    </row>
    <row r="1713" spans="2:13" x14ac:dyDescent="0.25">
      <c r="B1713" s="42"/>
      <c r="C1713" s="43" t="str">
        <f t="shared" si="78"/>
        <v/>
      </c>
      <c r="D1713" s="44" t="str">
        <f t="shared" si="79"/>
        <v/>
      </c>
      <c r="E1713" s="44" t="str">
        <f t="shared" si="80"/>
        <v/>
      </c>
      <c r="F1713" s="44"/>
      <c r="G1713" s="44"/>
      <c r="H1713" s="44"/>
      <c r="I1713" s="44"/>
      <c r="J1713" s="45"/>
      <c r="K1713" s="44"/>
      <c r="L1713" s="44"/>
      <c r="M1713" s="44"/>
    </row>
    <row r="1714" spans="2:13" x14ac:dyDescent="0.25">
      <c r="B1714" s="42"/>
      <c r="C1714" s="43" t="str">
        <f t="shared" si="78"/>
        <v/>
      </c>
      <c r="D1714" s="44" t="str">
        <f t="shared" si="79"/>
        <v/>
      </c>
      <c r="E1714" s="44" t="str">
        <f t="shared" si="80"/>
        <v/>
      </c>
      <c r="F1714" s="44"/>
      <c r="G1714" s="44"/>
      <c r="H1714" s="44"/>
      <c r="I1714" s="44"/>
      <c r="J1714" s="45"/>
      <c r="K1714" s="44"/>
      <c r="L1714" s="44"/>
      <c r="M1714" s="44"/>
    </row>
    <row r="1715" spans="2:13" x14ac:dyDescent="0.25">
      <c r="B1715" s="42"/>
      <c r="C1715" s="43" t="str">
        <f t="shared" si="78"/>
        <v/>
      </c>
      <c r="D1715" s="44" t="str">
        <f t="shared" si="79"/>
        <v/>
      </c>
      <c r="E1715" s="44" t="str">
        <f t="shared" si="80"/>
        <v/>
      </c>
      <c r="F1715" s="44"/>
      <c r="G1715" s="44"/>
      <c r="H1715" s="44"/>
      <c r="I1715" s="44"/>
      <c r="J1715" s="45"/>
      <c r="K1715" s="44"/>
      <c r="L1715" s="44"/>
      <c r="M1715" s="44"/>
    </row>
    <row r="1716" spans="2:13" x14ac:dyDescent="0.25">
      <c r="B1716" s="42"/>
      <c r="C1716" s="43" t="str">
        <f t="shared" si="78"/>
        <v/>
      </c>
      <c r="D1716" s="44" t="str">
        <f t="shared" si="79"/>
        <v/>
      </c>
      <c r="E1716" s="44" t="str">
        <f t="shared" si="80"/>
        <v/>
      </c>
      <c r="F1716" s="44"/>
      <c r="G1716" s="44"/>
      <c r="H1716" s="44"/>
      <c r="I1716" s="44"/>
      <c r="J1716" s="45"/>
      <c r="K1716" s="44"/>
      <c r="L1716" s="44"/>
      <c r="M1716" s="44"/>
    </row>
    <row r="1717" spans="2:13" x14ac:dyDescent="0.25">
      <c r="B1717" s="42"/>
      <c r="C1717" s="43" t="str">
        <f t="shared" si="78"/>
        <v/>
      </c>
      <c r="D1717" s="44" t="str">
        <f t="shared" si="79"/>
        <v/>
      </c>
      <c r="E1717" s="44" t="str">
        <f t="shared" si="80"/>
        <v/>
      </c>
      <c r="F1717" s="44"/>
      <c r="G1717" s="44"/>
      <c r="H1717" s="44"/>
      <c r="I1717" s="44"/>
      <c r="J1717" s="45"/>
      <c r="K1717" s="44"/>
      <c r="L1717" s="44"/>
      <c r="M1717" s="44"/>
    </row>
    <row r="1718" spans="2:13" x14ac:dyDescent="0.25">
      <c r="B1718" s="42"/>
      <c r="C1718" s="43" t="str">
        <f t="shared" si="78"/>
        <v/>
      </c>
      <c r="D1718" s="44" t="str">
        <f t="shared" si="79"/>
        <v/>
      </c>
      <c r="E1718" s="44" t="str">
        <f t="shared" si="80"/>
        <v/>
      </c>
      <c r="F1718" s="44"/>
      <c r="G1718" s="44"/>
      <c r="H1718" s="44"/>
      <c r="I1718" s="44"/>
      <c r="J1718" s="45"/>
      <c r="K1718" s="44"/>
      <c r="L1718" s="44"/>
      <c r="M1718" s="44"/>
    </row>
    <row r="1719" spans="2:13" x14ac:dyDescent="0.25">
      <c r="B1719" s="42"/>
      <c r="C1719" s="43" t="str">
        <f t="shared" si="78"/>
        <v/>
      </c>
      <c r="D1719" s="44" t="str">
        <f t="shared" si="79"/>
        <v/>
      </c>
      <c r="E1719" s="44" t="str">
        <f t="shared" si="80"/>
        <v/>
      </c>
      <c r="F1719" s="44"/>
      <c r="G1719" s="44"/>
      <c r="H1719" s="44"/>
      <c r="I1719" s="44"/>
      <c r="J1719" s="45"/>
      <c r="K1719" s="44"/>
      <c r="L1719" s="44"/>
      <c r="M1719" s="44"/>
    </row>
    <row r="1720" spans="2:13" x14ac:dyDescent="0.25">
      <c r="B1720" s="42"/>
      <c r="C1720" s="43" t="str">
        <f t="shared" si="78"/>
        <v/>
      </c>
      <c r="D1720" s="44" t="str">
        <f t="shared" si="79"/>
        <v/>
      </c>
      <c r="E1720" s="44" t="str">
        <f t="shared" si="80"/>
        <v/>
      </c>
      <c r="F1720" s="44"/>
      <c r="G1720" s="44"/>
      <c r="H1720" s="44"/>
      <c r="I1720" s="44"/>
      <c r="J1720" s="45"/>
      <c r="K1720" s="44"/>
      <c r="L1720" s="44"/>
      <c r="M1720" s="44"/>
    </row>
    <row r="1721" spans="2:13" x14ac:dyDescent="0.25">
      <c r="B1721" s="42"/>
      <c r="C1721" s="43" t="str">
        <f t="shared" si="78"/>
        <v/>
      </c>
      <c r="D1721" s="44" t="str">
        <f t="shared" si="79"/>
        <v/>
      </c>
      <c r="E1721" s="44" t="str">
        <f t="shared" si="80"/>
        <v/>
      </c>
      <c r="F1721" s="44"/>
      <c r="G1721" s="44"/>
      <c r="H1721" s="44"/>
      <c r="I1721" s="44"/>
      <c r="J1721" s="45"/>
      <c r="K1721" s="44"/>
      <c r="L1721" s="44"/>
      <c r="M1721" s="44"/>
    </row>
    <row r="1722" spans="2:13" x14ac:dyDescent="0.25">
      <c r="B1722" s="42"/>
      <c r="C1722" s="43" t="str">
        <f t="shared" si="78"/>
        <v/>
      </c>
      <c r="D1722" s="44" t="str">
        <f t="shared" si="79"/>
        <v/>
      </c>
      <c r="E1722" s="44" t="str">
        <f t="shared" si="80"/>
        <v/>
      </c>
      <c r="F1722" s="44"/>
      <c r="G1722" s="44"/>
      <c r="H1722" s="44"/>
      <c r="I1722" s="44"/>
      <c r="J1722" s="45"/>
      <c r="K1722" s="44"/>
      <c r="L1722" s="44"/>
      <c r="M1722" s="44"/>
    </row>
    <row r="1723" spans="2:13" x14ac:dyDescent="0.25">
      <c r="B1723" s="42"/>
      <c r="C1723" s="43" t="str">
        <f t="shared" si="78"/>
        <v/>
      </c>
      <c r="D1723" s="44" t="str">
        <f t="shared" si="79"/>
        <v/>
      </c>
      <c r="E1723" s="44" t="str">
        <f t="shared" si="80"/>
        <v/>
      </c>
      <c r="F1723" s="44"/>
      <c r="G1723" s="44"/>
      <c r="H1723" s="44"/>
      <c r="I1723" s="44"/>
      <c r="J1723" s="45"/>
      <c r="K1723" s="44"/>
      <c r="L1723" s="44"/>
      <c r="M1723" s="44"/>
    </row>
    <row r="1724" spans="2:13" x14ac:dyDescent="0.25">
      <c r="B1724" s="42"/>
      <c r="C1724" s="43" t="str">
        <f t="shared" si="78"/>
        <v/>
      </c>
      <c r="D1724" s="44" t="str">
        <f t="shared" si="79"/>
        <v/>
      </c>
      <c r="E1724" s="44" t="str">
        <f t="shared" si="80"/>
        <v/>
      </c>
      <c r="F1724" s="44"/>
      <c r="G1724" s="44"/>
      <c r="H1724" s="44"/>
      <c r="I1724" s="44"/>
      <c r="J1724" s="45"/>
      <c r="K1724" s="44"/>
      <c r="L1724" s="44"/>
      <c r="M1724" s="44"/>
    </row>
    <row r="1725" spans="2:13" x14ac:dyDescent="0.25">
      <c r="B1725" s="42"/>
      <c r="C1725" s="43" t="str">
        <f t="shared" si="78"/>
        <v/>
      </c>
      <c r="D1725" s="44" t="str">
        <f t="shared" si="79"/>
        <v/>
      </c>
      <c r="E1725" s="44" t="str">
        <f t="shared" si="80"/>
        <v/>
      </c>
      <c r="F1725" s="44"/>
      <c r="G1725" s="44"/>
      <c r="H1725" s="44"/>
      <c r="I1725" s="44"/>
      <c r="J1725" s="45"/>
      <c r="K1725" s="44"/>
      <c r="L1725" s="44"/>
      <c r="M1725" s="44"/>
    </row>
    <row r="1726" spans="2:13" x14ac:dyDescent="0.25">
      <c r="B1726" s="42"/>
      <c r="C1726" s="43" t="str">
        <f t="shared" si="78"/>
        <v/>
      </c>
      <c r="D1726" s="44" t="str">
        <f t="shared" si="79"/>
        <v/>
      </c>
      <c r="E1726" s="44" t="str">
        <f t="shared" si="80"/>
        <v/>
      </c>
      <c r="F1726" s="44"/>
      <c r="G1726" s="44"/>
      <c r="H1726" s="44"/>
      <c r="I1726" s="44"/>
      <c r="J1726" s="45"/>
      <c r="K1726" s="44"/>
      <c r="L1726" s="44"/>
      <c r="M1726" s="44"/>
    </row>
    <row r="1727" spans="2:13" x14ac:dyDescent="0.25">
      <c r="B1727" s="42"/>
      <c r="C1727" s="43" t="str">
        <f t="shared" si="78"/>
        <v/>
      </c>
      <c r="D1727" s="44" t="str">
        <f t="shared" si="79"/>
        <v/>
      </c>
      <c r="E1727" s="44" t="str">
        <f t="shared" si="80"/>
        <v/>
      </c>
      <c r="F1727" s="44"/>
      <c r="G1727" s="44"/>
      <c r="H1727" s="44"/>
      <c r="I1727" s="44"/>
      <c r="J1727" s="45"/>
      <c r="K1727" s="44"/>
      <c r="L1727" s="44"/>
      <c r="M1727" s="44"/>
    </row>
    <row r="1728" spans="2:13" x14ac:dyDescent="0.25">
      <c r="B1728" s="42"/>
      <c r="C1728" s="43" t="str">
        <f t="shared" si="78"/>
        <v/>
      </c>
      <c r="D1728" s="44" t="str">
        <f t="shared" si="79"/>
        <v/>
      </c>
      <c r="E1728" s="44" t="str">
        <f t="shared" si="80"/>
        <v/>
      </c>
      <c r="F1728" s="44"/>
      <c r="G1728" s="44"/>
      <c r="H1728" s="44"/>
      <c r="I1728" s="44"/>
      <c r="J1728" s="45"/>
      <c r="K1728" s="44"/>
      <c r="L1728" s="44"/>
      <c r="M1728" s="44"/>
    </row>
    <row r="1729" spans="2:13" x14ac:dyDescent="0.25">
      <c r="B1729" s="42"/>
      <c r="C1729" s="43" t="str">
        <f t="shared" si="78"/>
        <v/>
      </c>
      <c r="D1729" s="44" t="str">
        <f t="shared" si="79"/>
        <v/>
      </c>
      <c r="E1729" s="44" t="str">
        <f t="shared" si="80"/>
        <v/>
      </c>
      <c r="F1729" s="44"/>
      <c r="G1729" s="44"/>
      <c r="H1729" s="44"/>
      <c r="I1729" s="44"/>
      <c r="J1729" s="45"/>
      <c r="K1729" s="44"/>
      <c r="L1729" s="44"/>
      <c r="M1729" s="44"/>
    </row>
    <row r="1730" spans="2:13" x14ac:dyDescent="0.25">
      <c r="B1730" s="42"/>
      <c r="C1730" s="43" t="str">
        <f t="shared" ref="C1730:C1793" si="81">IF(B1730="","",MONTH(B1730))</f>
        <v/>
      </c>
      <c r="D1730" s="44" t="str">
        <f t="shared" ref="D1730:D1793" si="82">IF(B1730="","",CHOOSE(C1730,"Enero","Febrero","Marzo","Abril","Mayo","Junio","Julio","Agosto","Septiembre","Octubre","Noviembre","Diciembre"))</f>
        <v/>
      </c>
      <c r="E1730" s="44" t="str">
        <f t="shared" ref="E1730:E1793" si="83">IF(B1730="","",YEAR(B1730))</f>
        <v/>
      </c>
      <c r="F1730" s="44"/>
      <c r="G1730" s="44"/>
      <c r="H1730" s="44"/>
      <c r="I1730" s="44"/>
      <c r="J1730" s="45"/>
      <c r="K1730" s="44"/>
      <c r="L1730" s="44"/>
      <c r="M1730" s="44"/>
    </row>
    <row r="1731" spans="2:13" x14ac:dyDescent="0.25">
      <c r="B1731" s="42"/>
      <c r="C1731" s="43" t="str">
        <f t="shared" si="81"/>
        <v/>
      </c>
      <c r="D1731" s="44" t="str">
        <f t="shared" si="82"/>
        <v/>
      </c>
      <c r="E1731" s="44" t="str">
        <f t="shared" si="83"/>
        <v/>
      </c>
      <c r="F1731" s="44"/>
      <c r="G1731" s="44"/>
      <c r="H1731" s="44"/>
      <c r="I1731" s="44"/>
      <c r="J1731" s="45"/>
      <c r="K1731" s="44"/>
      <c r="L1731" s="44"/>
      <c r="M1731" s="44"/>
    </row>
    <row r="1732" spans="2:13" x14ac:dyDescent="0.25">
      <c r="B1732" s="42"/>
      <c r="C1732" s="43" t="str">
        <f t="shared" si="81"/>
        <v/>
      </c>
      <c r="D1732" s="44" t="str">
        <f t="shared" si="82"/>
        <v/>
      </c>
      <c r="E1732" s="44" t="str">
        <f t="shared" si="83"/>
        <v/>
      </c>
      <c r="F1732" s="44"/>
      <c r="G1732" s="44"/>
      <c r="H1732" s="44"/>
      <c r="I1732" s="44"/>
      <c r="J1732" s="45"/>
      <c r="K1732" s="44"/>
      <c r="L1732" s="44"/>
      <c r="M1732" s="44"/>
    </row>
    <row r="1733" spans="2:13" x14ac:dyDescent="0.25">
      <c r="B1733" s="42"/>
      <c r="C1733" s="43" t="str">
        <f t="shared" si="81"/>
        <v/>
      </c>
      <c r="D1733" s="44" t="str">
        <f t="shared" si="82"/>
        <v/>
      </c>
      <c r="E1733" s="44" t="str">
        <f t="shared" si="83"/>
        <v/>
      </c>
      <c r="F1733" s="44"/>
      <c r="G1733" s="44"/>
      <c r="H1733" s="44"/>
      <c r="I1733" s="44"/>
      <c r="J1733" s="45"/>
      <c r="K1733" s="44"/>
      <c r="L1733" s="44"/>
      <c r="M1733" s="44"/>
    </row>
    <row r="1734" spans="2:13" x14ac:dyDescent="0.25">
      <c r="B1734" s="42"/>
      <c r="C1734" s="43" t="str">
        <f t="shared" si="81"/>
        <v/>
      </c>
      <c r="D1734" s="44" t="str">
        <f t="shared" si="82"/>
        <v/>
      </c>
      <c r="E1734" s="44" t="str">
        <f t="shared" si="83"/>
        <v/>
      </c>
      <c r="F1734" s="44"/>
      <c r="G1734" s="44"/>
      <c r="H1734" s="44"/>
      <c r="I1734" s="44"/>
      <c r="J1734" s="45"/>
      <c r="K1734" s="44"/>
      <c r="L1734" s="44"/>
      <c r="M1734" s="44"/>
    </row>
    <row r="1735" spans="2:13" x14ac:dyDescent="0.25">
      <c r="B1735" s="42"/>
      <c r="C1735" s="43" t="str">
        <f t="shared" si="81"/>
        <v/>
      </c>
      <c r="D1735" s="44" t="str">
        <f t="shared" si="82"/>
        <v/>
      </c>
      <c r="E1735" s="44" t="str">
        <f t="shared" si="83"/>
        <v/>
      </c>
      <c r="F1735" s="44"/>
      <c r="G1735" s="44"/>
      <c r="H1735" s="44"/>
      <c r="I1735" s="44"/>
      <c r="J1735" s="45"/>
      <c r="K1735" s="44"/>
      <c r="L1735" s="44"/>
      <c r="M1735" s="44"/>
    </row>
    <row r="1736" spans="2:13" x14ac:dyDescent="0.25">
      <c r="B1736" s="42"/>
      <c r="C1736" s="43" t="str">
        <f t="shared" si="81"/>
        <v/>
      </c>
      <c r="D1736" s="44" t="str">
        <f t="shared" si="82"/>
        <v/>
      </c>
      <c r="E1736" s="44" t="str">
        <f t="shared" si="83"/>
        <v/>
      </c>
      <c r="F1736" s="44"/>
      <c r="G1736" s="44"/>
      <c r="H1736" s="44"/>
      <c r="I1736" s="44"/>
      <c r="J1736" s="45"/>
      <c r="K1736" s="44"/>
      <c r="L1736" s="44"/>
      <c r="M1736" s="44"/>
    </row>
    <row r="1737" spans="2:13" x14ac:dyDescent="0.25">
      <c r="B1737" s="42"/>
      <c r="C1737" s="43" t="str">
        <f t="shared" si="81"/>
        <v/>
      </c>
      <c r="D1737" s="44" t="str">
        <f t="shared" si="82"/>
        <v/>
      </c>
      <c r="E1737" s="44" t="str">
        <f t="shared" si="83"/>
        <v/>
      </c>
      <c r="F1737" s="44"/>
      <c r="G1737" s="44"/>
      <c r="H1737" s="44"/>
      <c r="I1737" s="44"/>
      <c r="J1737" s="45"/>
      <c r="K1737" s="44"/>
      <c r="L1737" s="44"/>
      <c r="M1737" s="44"/>
    </row>
    <row r="1738" spans="2:13" x14ac:dyDescent="0.25">
      <c r="B1738" s="42"/>
      <c r="C1738" s="43" t="str">
        <f t="shared" si="81"/>
        <v/>
      </c>
      <c r="D1738" s="44" t="str">
        <f t="shared" si="82"/>
        <v/>
      </c>
      <c r="E1738" s="44" t="str">
        <f t="shared" si="83"/>
        <v/>
      </c>
      <c r="F1738" s="44"/>
      <c r="G1738" s="44"/>
      <c r="H1738" s="44"/>
      <c r="I1738" s="44"/>
      <c r="J1738" s="45"/>
      <c r="K1738" s="44"/>
      <c r="L1738" s="44"/>
      <c r="M1738" s="44"/>
    </row>
    <row r="1739" spans="2:13" x14ac:dyDescent="0.25">
      <c r="B1739" s="42"/>
      <c r="C1739" s="43" t="str">
        <f t="shared" si="81"/>
        <v/>
      </c>
      <c r="D1739" s="44" t="str">
        <f t="shared" si="82"/>
        <v/>
      </c>
      <c r="E1739" s="44" t="str">
        <f t="shared" si="83"/>
        <v/>
      </c>
      <c r="F1739" s="44"/>
      <c r="G1739" s="44"/>
      <c r="H1739" s="44"/>
      <c r="I1739" s="44"/>
      <c r="J1739" s="45"/>
      <c r="K1739" s="44"/>
      <c r="L1739" s="44"/>
      <c r="M1739" s="44"/>
    </row>
    <row r="1740" spans="2:13" x14ac:dyDescent="0.25">
      <c r="B1740" s="42"/>
      <c r="C1740" s="43" t="str">
        <f t="shared" si="81"/>
        <v/>
      </c>
      <c r="D1740" s="44" t="str">
        <f t="shared" si="82"/>
        <v/>
      </c>
      <c r="E1740" s="44" t="str">
        <f t="shared" si="83"/>
        <v/>
      </c>
      <c r="F1740" s="44"/>
      <c r="G1740" s="44"/>
      <c r="H1740" s="44"/>
      <c r="I1740" s="44"/>
      <c r="J1740" s="45"/>
      <c r="K1740" s="44"/>
      <c r="L1740" s="44"/>
      <c r="M1740" s="44"/>
    </row>
    <row r="1741" spans="2:13" x14ac:dyDescent="0.25">
      <c r="B1741" s="42"/>
      <c r="C1741" s="43" t="str">
        <f t="shared" si="81"/>
        <v/>
      </c>
      <c r="D1741" s="44" t="str">
        <f t="shared" si="82"/>
        <v/>
      </c>
      <c r="E1741" s="44" t="str">
        <f t="shared" si="83"/>
        <v/>
      </c>
      <c r="F1741" s="44"/>
      <c r="G1741" s="44"/>
      <c r="H1741" s="44"/>
      <c r="I1741" s="44"/>
      <c r="J1741" s="45"/>
      <c r="K1741" s="44"/>
      <c r="L1741" s="44"/>
      <c r="M1741" s="44"/>
    </row>
    <row r="1742" spans="2:13" x14ac:dyDescent="0.25">
      <c r="B1742" s="42"/>
      <c r="C1742" s="43" t="str">
        <f t="shared" si="81"/>
        <v/>
      </c>
      <c r="D1742" s="44" t="str">
        <f t="shared" si="82"/>
        <v/>
      </c>
      <c r="E1742" s="44" t="str">
        <f t="shared" si="83"/>
        <v/>
      </c>
      <c r="F1742" s="44"/>
      <c r="G1742" s="44"/>
      <c r="H1742" s="44"/>
      <c r="I1742" s="44"/>
      <c r="J1742" s="45"/>
      <c r="K1742" s="44"/>
      <c r="L1742" s="44"/>
      <c r="M1742" s="44"/>
    </row>
    <row r="1743" spans="2:13" x14ac:dyDescent="0.25">
      <c r="B1743" s="42"/>
      <c r="C1743" s="43" t="str">
        <f t="shared" si="81"/>
        <v/>
      </c>
      <c r="D1743" s="44" t="str">
        <f t="shared" si="82"/>
        <v/>
      </c>
      <c r="E1743" s="44" t="str">
        <f t="shared" si="83"/>
        <v/>
      </c>
      <c r="F1743" s="44"/>
      <c r="G1743" s="44"/>
      <c r="H1743" s="44"/>
      <c r="I1743" s="44"/>
      <c r="J1743" s="45"/>
      <c r="K1743" s="44"/>
      <c r="L1743" s="44"/>
      <c r="M1743" s="44"/>
    </row>
    <row r="1744" spans="2:13" x14ac:dyDescent="0.25">
      <c r="B1744" s="42"/>
      <c r="C1744" s="43" t="str">
        <f t="shared" si="81"/>
        <v/>
      </c>
      <c r="D1744" s="44" t="str">
        <f t="shared" si="82"/>
        <v/>
      </c>
      <c r="E1744" s="44" t="str">
        <f t="shared" si="83"/>
        <v/>
      </c>
      <c r="F1744" s="44"/>
      <c r="G1744" s="44"/>
      <c r="H1744" s="44"/>
      <c r="I1744" s="44"/>
      <c r="J1744" s="45"/>
      <c r="K1744" s="44"/>
      <c r="L1744" s="44"/>
      <c r="M1744" s="44"/>
    </row>
    <row r="1745" spans="2:13" x14ac:dyDescent="0.25">
      <c r="B1745" s="42"/>
      <c r="C1745" s="43" t="str">
        <f t="shared" si="81"/>
        <v/>
      </c>
      <c r="D1745" s="44" t="str">
        <f t="shared" si="82"/>
        <v/>
      </c>
      <c r="E1745" s="44" t="str">
        <f t="shared" si="83"/>
        <v/>
      </c>
      <c r="F1745" s="44"/>
      <c r="G1745" s="44"/>
      <c r="H1745" s="44"/>
      <c r="I1745" s="44"/>
      <c r="J1745" s="45"/>
      <c r="K1745" s="44"/>
      <c r="L1745" s="44"/>
      <c r="M1745" s="44"/>
    </row>
    <row r="1746" spans="2:13" x14ac:dyDescent="0.25">
      <c r="B1746" s="42"/>
      <c r="C1746" s="43" t="str">
        <f t="shared" si="81"/>
        <v/>
      </c>
      <c r="D1746" s="44" t="str">
        <f t="shared" si="82"/>
        <v/>
      </c>
      <c r="E1746" s="44" t="str">
        <f t="shared" si="83"/>
        <v/>
      </c>
      <c r="F1746" s="44"/>
      <c r="G1746" s="44"/>
      <c r="H1746" s="44"/>
      <c r="I1746" s="44"/>
      <c r="J1746" s="45"/>
      <c r="K1746" s="44"/>
      <c r="L1746" s="44"/>
      <c r="M1746" s="44"/>
    </row>
    <row r="1747" spans="2:13" x14ac:dyDescent="0.25">
      <c r="B1747" s="42"/>
      <c r="C1747" s="43" t="str">
        <f t="shared" si="81"/>
        <v/>
      </c>
      <c r="D1747" s="44" t="str">
        <f t="shared" si="82"/>
        <v/>
      </c>
      <c r="E1747" s="44" t="str">
        <f t="shared" si="83"/>
        <v/>
      </c>
      <c r="F1747" s="44"/>
      <c r="G1747" s="44"/>
      <c r="H1747" s="44"/>
      <c r="I1747" s="44"/>
      <c r="J1747" s="45"/>
      <c r="K1747" s="44"/>
      <c r="L1747" s="44"/>
      <c r="M1747" s="44"/>
    </row>
    <row r="1748" spans="2:13" x14ac:dyDescent="0.25">
      <c r="B1748" s="42"/>
      <c r="C1748" s="43" t="str">
        <f t="shared" si="81"/>
        <v/>
      </c>
      <c r="D1748" s="44" t="str">
        <f t="shared" si="82"/>
        <v/>
      </c>
      <c r="E1748" s="44" t="str">
        <f t="shared" si="83"/>
        <v/>
      </c>
      <c r="F1748" s="44"/>
      <c r="G1748" s="44"/>
      <c r="H1748" s="44"/>
      <c r="I1748" s="44"/>
      <c r="J1748" s="45"/>
      <c r="K1748" s="44"/>
      <c r="L1748" s="44"/>
      <c r="M1748" s="44"/>
    </row>
    <row r="1749" spans="2:13" x14ac:dyDescent="0.25">
      <c r="B1749" s="42"/>
      <c r="C1749" s="43" t="str">
        <f t="shared" si="81"/>
        <v/>
      </c>
      <c r="D1749" s="44" t="str">
        <f t="shared" si="82"/>
        <v/>
      </c>
      <c r="E1749" s="44" t="str">
        <f t="shared" si="83"/>
        <v/>
      </c>
      <c r="F1749" s="44"/>
      <c r="G1749" s="44"/>
      <c r="H1749" s="44"/>
      <c r="I1749" s="44"/>
      <c r="J1749" s="45"/>
      <c r="K1749" s="44"/>
      <c r="L1749" s="44"/>
      <c r="M1749" s="44"/>
    </row>
    <row r="1750" spans="2:13" x14ac:dyDescent="0.25">
      <c r="B1750" s="42"/>
      <c r="C1750" s="43" t="str">
        <f t="shared" si="81"/>
        <v/>
      </c>
      <c r="D1750" s="44" t="str">
        <f t="shared" si="82"/>
        <v/>
      </c>
      <c r="E1750" s="44" t="str">
        <f t="shared" si="83"/>
        <v/>
      </c>
      <c r="F1750" s="44"/>
      <c r="G1750" s="44"/>
      <c r="H1750" s="44"/>
      <c r="I1750" s="44"/>
      <c r="J1750" s="45"/>
      <c r="K1750" s="44"/>
      <c r="L1750" s="44"/>
      <c r="M1750" s="44"/>
    </row>
    <row r="1751" spans="2:13" x14ac:dyDescent="0.25">
      <c r="B1751" s="42"/>
      <c r="C1751" s="43" t="str">
        <f t="shared" si="81"/>
        <v/>
      </c>
      <c r="D1751" s="44" t="str">
        <f t="shared" si="82"/>
        <v/>
      </c>
      <c r="E1751" s="44" t="str">
        <f t="shared" si="83"/>
        <v/>
      </c>
      <c r="F1751" s="44"/>
      <c r="G1751" s="44"/>
      <c r="H1751" s="44"/>
      <c r="I1751" s="44"/>
      <c r="J1751" s="45"/>
      <c r="K1751" s="44"/>
      <c r="L1751" s="44"/>
      <c r="M1751" s="44"/>
    </row>
    <row r="1752" spans="2:13" x14ac:dyDescent="0.25">
      <c r="B1752" s="42"/>
      <c r="C1752" s="43" t="str">
        <f t="shared" si="81"/>
        <v/>
      </c>
      <c r="D1752" s="44" t="str">
        <f t="shared" si="82"/>
        <v/>
      </c>
      <c r="E1752" s="44" t="str">
        <f t="shared" si="83"/>
        <v/>
      </c>
      <c r="F1752" s="44"/>
      <c r="G1752" s="44"/>
      <c r="H1752" s="44"/>
      <c r="I1752" s="44"/>
      <c r="J1752" s="45"/>
      <c r="K1752" s="44"/>
      <c r="L1752" s="44"/>
      <c r="M1752" s="44"/>
    </row>
    <row r="1753" spans="2:13" x14ac:dyDescent="0.25">
      <c r="B1753" s="42"/>
      <c r="C1753" s="43" t="str">
        <f t="shared" si="81"/>
        <v/>
      </c>
      <c r="D1753" s="44" t="str">
        <f t="shared" si="82"/>
        <v/>
      </c>
      <c r="E1753" s="44" t="str">
        <f t="shared" si="83"/>
        <v/>
      </c>
      <c r="F1753" s="44"/>
      <c r="G1753" s="44"/>
      <c r="H1753" s="44"/>
      <c r="I1753" s="44"/>
      <c r="J1753" s="45"/>
      <c r="K1753" s="44"/>
      <c r="L1753" s="44"/>
      <c r="M1753" s="44"/>
    </row>
    <row r="1754" spans="2:13" x14ac:dyDescent="0.25">
      <c r="B1754" s="42"/>
      <c r="C1754" s="43" t="str">
        <f t="shared" si="81"/>
        <v/>
      </c>
      <c r="D1754" s="44" t="str">
        <f t="shared" si="82"/>
        <v/>
      </c>
      <c r="E1754" s="44" t="str">
        <f t="shared" si="83"/>
        <v/>
      </c>
      <c r="F1754" s="44"/>
      <c r="G1754" s="44"/>
      <c r="H1754" s="44"/>
      <c r="I1754" s="44"/>
      <c r="J1754" s="45"/>
      <c r="K1754" s="44"/>
      <c r="L1754" s="44"/>
      <c r="M1754" s="44"/>
    </row>
    <row r="1755" spans="2:13" x14ac:dyDescent="0.25">
      <c r="B1755" s="42"/>
      <c r="C1755" s="43" t="str">
        <f t="shared" si="81"/>
        <v/>
      </c>
      <c r="D1755" s="44" t="str">
        <f t="shared" si="82"/>
        <v/>
      </c>
      <c r="E1755" s="44" t="str">
        <f t="shared" si="83"/>
        <v/>
      </c>
      <c r="F1755" s="44"/>
      <c r="G1755" s="44"/>
      <c r="H1755" s="44"/>
      <c r="I1755" s="44"/>
      <c r="J1755" s="45"/>
      <c r="K1755" s="44"/>
      <c r="L1755" s="44"/>
      <c r="M1755" s="44"/>
    </row>
    <row r="1756" spans="2:13" x14ac:dyDescent="0.25">
      <c r="B1756" s="42"/>
      <c r="C1756" s="43" t="str">
        <f t="shared" si="81"/>
        <v/>
      </c>
      <c r="D1756" s="44" t="str">
        <f t="shared" si="82"/>
        <v/>
      </c>
      <c r="E1756" s="44" t="str">
        <f t="shared" si="83"/>
        <v/>
      </c>
      <c r="F1756" s="44"/>
      <c r="G1756" s="44"/>
      <c r="H1756" s="44"/>
      <c r="I1756" s="44"/>
      <c r="J1756" s="45"/>
      <c r="K1756" s="44"/>
      <c r="L1756" s="44"/>
      <c r="M1756" s="44"/>
    </row>
    <row r="1757" spans="2:13" x14ac:dyDescent="0.25">
      <c r="B1757" s="42"/>
      <c r="C1757" s="43" t="str">
        <f t="shared" si="81"/>
        <v/>
      </c>
      <c r="D1757" s="44" t="str">
        <f t="shared" si="82"/>
        <v/>
      </c>
      <c r="E1757" s="44" t="str">
        <f t="shared" si="83"/>
        <v/>
      </c>
      <c r="F1757" s="44"/>
      <c r="G1757" s="44"/>
      <c r="H1757" s="44"/>
      <c r="I1757" s="44"/>
      <c r="J1757" s="45"/>
      <c r="K1757" s="44"/>
      <c r="L1757" s="44"/>
      <c r="M1757" s="44"/>
    </row>
    <row r="1758" spans="2:13" x14ac:dyDescent="0.25">
      <c r="B1758" s="42"/>
      <c r="C1758" s="43" t="str">
        <f t="shared" si="81"/>
        <v/>
      </c>
      <c r="D1758" s="44" t="str">
        <f t="shared" si="82"/>
        <v/>
      </c>
      <c r="E1758" s="44" t="str">
        <f t="shared" si="83"/>
        <v/>
      </c>
      <c r="F1758" s="44"/>
      <c r="G1758" s="44"/>
      <c r="H1758" s="44"/>
      <c r="I1758" s="44"/>
      <c r="J1758" s="45"/>
      <c r="K1758" s="44"/>
      <c r="L1758" s="44"/>
      <c r="M1758" s="44"/>
    </row>
    <row r="1759" spans="2:13" x14ac:dyDescent="0.25">
      <c r="B1759" s="42"/>
      <c r="C1759" s="43" t="str">
        <f t="shared" si="81"/>
        <v/>
      </c>
      <c r="D1759" s="44" t="str">
        <f t="shared" si="82"/>
        <v/>
      </c>
      <c r="E1759" s="44" t="str">
        <f t="shared" si="83"/>
        <v/>
      </c>
      <c r="F1759" s="44"/>
      <c r="G1759" s="44"/>
      <c r="H1759" s="44"/>
      <c r="I1759" s="44"/>
      <c r="J1759" s="45"/>
      <c r="K1759" s="44"/>
      <c r="L1759" s="44"/>
      <c r="M1759" s="44"/>
    </row>
    <row r="1760" spans="2:13" x14ac:dyDescent="0.25">
      <c r="B1760" s="42"/>
      <c r="C1760" s="43" t="str">
        <f t="shared" si="81"/>
        <v/>
      </c>
      <c r="D1760" s="44" t="str">
        <f t="shared" si="82"/>
        <v/>
      </c>
      <c r="E1760" s="44" t="str">
        <f t="shared" si="83"/>
        <v/>
      </c>
      <c r="F1760" s="44"/>
      <c r="G1760" s="44"/>
      <c r="H1760" s="44"/>
      <c r="I1760" s="44"/>
      <c r="J1760" s="45"/>
      <c r="K1760" s="44"/>
      <c r="L1760" s="44"/>
      <c r="M1760" s="44"/>
    </row>
    <row r="1761" spans="2:13" x14ac:dyDescent="0.25">
      <c r="B1761" s="42"/>
      <c r="C1761" s="43" t="str">
        <f t="shared" si="81"/>
        <v/>
      </c>
      <c r="D1761" s="44" t="str">
        <f t="shared" si="82"/>
        <v/>
      </c>
      <c r="E1761" s="44" t="str">
        <f t="shared" si="83"/>
        <v/>
      </c>
      <c r="F1761" s="44"/>
      <c r="G1761" s="44"/>
      <c r="H1761" s="44"/>
      <c r="I1761" s="44"/>
      <c r="J1761" s="45"/>
      <c r="K1761" s="44"/>
      <c r="L1761" s="44"/>
      <c r="M1761" s="44"/>
    </row>
    <row r="1762" spans="2:13" x14ac:dyDescent="0.25">
      <c r="B1762" s="42"/>
      <c r="C1762" s="43" t="str">
        <f t="shared" si="81"/>
        <v/>
      </c>
      <c r="D1762" s="44" t="str">
        <f t="shared" si="82"/>
        <v/>
      </c>
      <c r="E1762" s="44" t="str">
        <f t="shared" si="83"/>
        <v/>
      </c>
      <c r="F1762" s="44"/>
      <c r="G1762" s="44"/>
      <c r="H1762" s="44"/>
      <c r="I1762" s="44"/>
      <c r="J1762" s="45"/>
      <c r="K1762" s="44"/>
      <c r="L1762" s="44"/>
      <c r="M1762" s="44"/>
    </row>
    <row r="1763" spans="2:13" x14ac:dyDescent="0.25">
      <c r="B1763" s="42"/>
      <c r="C1763" s="43" t="str">
        <f t="shared" si="81"/>
        <v/>
      </c>
      <c r="D1763" s="44" t="str">
        <f t="shared" si="82"/>
        <v/>
      </c>
      <c r="E1763" s="44" t="str">
        <f t="shared" si="83"/>
        <v/>
      </c>
      <c r="F1763" s="44"/>
      <c r="G1763" s="44"/>
      <c r="H1763" s="44"/>
      <c r="I1763" s="44"/>
      <c r="J1763" s="45"/>
      <c r="K1763" s="44"/>
      <c r="L1763" s="44"/>
      <c r="M1763" s="44"/>
    </row>
    <row r="1764" spans="2:13" x14ac:dyDescent="0.25">
      <c r="B1764" s="42"/>
      <c r="C1764" s="43" t="str">
        <f t="shared" si="81"/>
        <v/>
      </c>
      <c r="D1764" s="44" t="str">
        <f t="shared" si="82"/>
        <v/>
      </c>
      <c r="E1764" s="44" t="str">
        <f t="shared" si="83"/>
        <v/>
      </c>
      <c r="F1764" s="44"/>
      <c r="G1764" s="44"/>
      <c r="H1764" s="44"/>
      <c r="I1764" s="44"/>
      <c r="J1764" s="45"/>
      <c r="K1764" s="44"/>
      <c r="L1764" s="44"/>
      <c r="M1764" s="44"/>
    </row>
    <row r="1765" spans="2:13" x14ac:dyDescent="0.25">
      <c r="B1765" s="42"/>
      <c r="C1765" s="43" t="str">
        <f t="shared" si="81"/>
        <v/>
      </c>
      <c r="D1765" s="44" t="str">
        <f t="shared" si="82"/>
        <v/>
      </c>
      <c r="E1765" s="44" t="str">
        <f t="shared" si="83"/>
        <v/>
      </c>
      <c r="F1765" s="44"/>
      <c r="G1765" s="44"/>
      <c r="H1765" s="44"/>
      <c r="I1765" s="44"/>
      <c r="J1765" s="45"/>
      <c r="K1765" s="44"/>
      <c r="L1765" s="44"/>
      <c r="M1765" s="44"/>
    </row>
    <row r="1766" spans="2:13" x14ac:dyDescent="0.25">
      <c r="B1766" s="42"/>
      <c r="C1766" s="43" t="str">
        <f t="shared" si="81"/>
        <v/>
      </c>
      <c r="D1766" s="44" t="str">
        <f t="shared" si="82"/>
        <v/>
      </c>
      <c r="E1766" s="44" t="str">
        <f t="shared" si="83"/>
        <v/>
      </c>
      <c r="F1766" s="44"/>
      <c r="G1766" s="44"/>
      <c r="H1766" s="44"/>
      <c r="I1766" s="44"/>
      <c r="J1766" s="45"/>
      <c r="K1766" s="44"/>
      <c r="L1766" s="44"/>
      <c r="M1766" s="44"/>
    </row>
    <row r="1767" spans="2:13" x14ac:dyDescent="0.25">
      <c r="B1767" s="42"/>
      <c r="C1767" s="43" t="str">
        <f t="shared" si="81"/>
        <v/>
      </c>
      <c r="D1767" s="44" t="str">
        <f t="shared" si="82"/>
        <v/>
      </c>
      <c r="E1767" s="44" t="str">
        <f t="shared" si="83"/>
        <v/>
      </c>
      <c r="F1767" s="44"/>
      <c r="G1767" s="44"/>
      <c r="H1767" s="44"/>
      <c r="I1767" s="44"/>
      <c r="J1767" s="45"/>
      <c r="K1767" s="44"/>
      <c r="L1767" s="44"/>
      <c r="M1767" s="44"/>
    </row>
    <row r="1768" spans="2:13" x14ac:dyDescent="0.25">
      <c r="B1768" s="42"/>
      <c r="C1768" s="43" t="str">
        <f t="shared" si="81"/>
        <v/>
      </c>
      <c r="D1768" s="44" t="str">
        <f t="shared" si="82"/>
        <v/>
      </c>
      <c r="E1768" s="44" t="str">
        <f t="shared" si="83"/>
        <v/>
      </c>
      <c r="F1768" s="44"/>
      <c r="G1768" s="44"/>
      <c r="H1768" s="44"/>
      <c r="I1768" s="44"/>
      <c r="J1768" s="45"/>
      <c r="K1768" s="44"/>
      <c r="L1768" s="44"/>
      <c r="M1768" s="44"/>
    </row>
    <row r="1769" spans="2:13" x14ac:dyDescent="0.25">
      <c r="B1769" s="42"/>
      <c r="C1769" s="43" t="str">
        <f t="shared" si="81"/>
        <v/>
      </c>
      <c r="D1769" s="44" t="str">
        <f t="shared" si="82"/>
        <v/>
      </c>
      <c r="E1769" s="44" t="str">
        <f t="shared" si="83"/>
        <v/>
      </c>
      <c r="F1769" s="44"/>
      <c r="G1769" s="44"/>
      <c r="H1769" s="44"/>
      <c r="I1769" s="44"/>
      <c r="J1769" s="45"/>
      <c r="K1769" s="44"/>
      <c r="L1769" s="44"/>
      <c r="M1769" s="44"/>
    </row>
    <row r="1770" spans="2:13" x14ac:dyDescent="0.25">
      <c r="B1770" s="42"/>
      <c r="C1770" s="43" t="str">
        <f t="shared" si="81"/>
        <v/>
      </c>
      <c r="D1770" s="44" t="str">
        <f t="shared" si="82"/>
        <v/>
      </c>
      <c r="E1770" s="44" t="str">
        <f t="shared" si="83"/>
        <v/>
      </c>
      <c r="F1770" s="44"/>
      <c r="G1770" s="44"/>
      <c r="H1770" s="44"/>
      <c r="I1770" s="44"/>
      <c r="J1770" s="45"/>
      <c r="K1770" s="44"/>
      <c r="L1770" s="44"/>
      <c r="M1770" s="44"/>
    </row>
    <row r="1771" spans="2:13" x14ac:dyDescent="0.25">
      <c r="B1771" s="42"/>
      <c r="C1771" s="43" t="str">
        <f t="shared" si="81"/>
        <v/>
      </c>
      <c r="D1771" s="44" t="str">
        <f t="shared" si="82"/>
        <v/>
      </c>
      <c r="E1771" s="44" t="str">
        <f t="shared" si="83"/>
        <v/>
      </c>
      <c r="F1771" s="44"/>
      <c r="G1771" s="44"/>
      <c r="H1771" s="44"/>
      <c r="I1771" s="44"/>
      <c r="J1771" s="45"/>
      <c r="K1771" s="44"/>
      <c r="L1771" s="44"/>
      <c r="M1771" s="44"/>
    </row>
    <row r="1772" spans="2:13" x14ac:dyDescent="0.25">
      <c r="B1772" s="42"/>
      <c r="C1772" s="43" t="str">
        <f t="shared" si="81"/>
        <v/>
      </c>
      <c r="D1772" s="44" t="str">
        <f t="shared" si="82"/>
        <v/>
      </c>
      <c r="E1772" s="44" t="str">
        <f t="shared" si="83"/>
        <v/>
      </c>
      <c r="F1772" s="44"/>
      <c r="G1772" s="44"/>
      <c r="H1772" s="44"/>
      <c r="I1772" s="44"/>
      <c r="J1772" s="45"/>
      <c r="K1772" s="44"/>
      <c r="L1772" s="44"/>
      <c r="M1772" s="44"/>
    </row>
    <row r="1773" spans="2:13" x14ac:dyDescent="0.25">
      <c r="B1773" s="42"/>
      <c r="C1773" s="43" t="str">
        <f t="shared" si="81"/>
        <v/>
      </c>
      <c r="D1773" s="44" t="str">
        <f t="shared" si="82"/>
        <v/>
      </c>
      <c r="E1773" s="44" t="str">
        <f t="shared" si="83"/>
        <v/>
      </c>
      <c r="F1773" s="44"/>
      <c r="G1773" s="44"/>
      <c r="H1773" s="44"/>
      <c r="I1773" s="44"/>
      <c r="J1773" s="45"/>
      <c r="K1773" s="44"/>
      <c r="L1773" s="44"/>
      <c r="M1773" s="44"/>
    </row>
    <row r="1774" spans="2:13" x14ac:dyDescent="0.25">
      <c r="B1774" s="42"/>
      <c r="C1774" s="43" t="str">
        <f t="shared" si="81"/>
        <v/>
      </c>
      <c r="D1774" s="44" t="str">
        <f t="shared" si="82"/>
        <v/>
      </c>
      <c r="E1774" s="44" t="str">
        <f t="shared" si="83"/>
        <v/>
      </c>
      <c r="F1774" s="44"/>
      <c r="G1774" s="44"/>
      <c r="H1774" s="44"/>
      <c r="I1774" s="44"/>
      <c r="J1774" s="45"/>
      <c r="K1774" s="44"/>
      <c r="L1774" s="44"/>
      <c r="M1774" s="44"/>
    </row>
    <row r="1775" spans="2:13" x14ac:dyDescent="0.25">
      <c r="B1775" s="42"/>
      <c r="C1775" s="43" t="str">
        <f t="shared" si="81"/>
        <v/>
      </c>
      <c r="D1775" s="44" t="str">
        <f t="shared" si="82"/>
        <v/>
      </c>
      <c r="E1775" s="44" t="str">
        <f t="shared" si="83"/>
        <v/>
      </c>
      <c r="F1775" s="44"/>
      <c r="G1775" s="44"/>
      <c r="H1775" s="44"/>
      <c r="I1775" s="44"/>
      <c r="J1775" s="45"/>
      <c r="K1775" s="44"/>
      <c r="L1775" s="44"/>
      <c r="M1775" s="44"/>
    </row>
    <row r="1776" spans="2:13" x14ac:dyDescent="0.25">
      <c r="B1776" s="42"/>
      <c r="C1776" s="43" t="str">
        <f t="shared" si="81"/>
        <v/>
      </c>
      <c r="D1776" s="44" t="str">
        <f t="shared" si="82"/>
        <v/>
      </c>
      <c r="E1776" s="44" t="str">
        <f t="shared" si="83"/>
        <v/>
      </c>
      <c r="F1776" s="44"/>
      <c r="G1776" s="44"/>
      <c r="H1776" s="44"/>
      <c r="I1776" s="44"/>
      <c r="J1776" s="45"/>
      <c r="K1776" s="44"/>
      <c r="L1776" s="44"/>
      <c r="M1776" s="44"/>
    </row>
    <row r="1777" spans="2:13" x14ac:dyDescent="0.25">
      <c r="B1777" s="42"/>
      <c r="C1777" s="43" t="str">
        <f t="shared" si="81"/>
        <v/>
      </c>
      <c r="D1777" s="44" t="str">
        <f t="shared" si="82"/>
        <v/>
      </c>
      <c r="E1777" s="44" t="str">
        <f t="shared" si="83"/>
        <v/>
      </c>
      <c r="F1777" s="44"/>
      <c r="G1777" s="44"/>
      <c r="H1777" s="44"/>
      <c r="I1777" s="44"/>
      <c r="J1777" s="45"/>
      <c r="K1777" s="44"/>
      <c r="L1777" s="44"/>
      <c r="M1777" s="44"/>
    </row>
    <row r="1778" spans="2:13" x14ac:dyDescent="0.25">
      <c r="B1778" s="42"/>
      <c r="C1778" s="43" t="str">
        <f t="shared" si="81"/>
        <v/>
      </c>
      <c r="D1778" s="44" t="str">
        <f t="shared" si="82"/>
        <v/>
      </c>
      <c r="E1778" s="44" t="str">
        <f t="shared" si="83"/>
        <v/>
      </c>
      <c r="F1778" s="44"/>
      <c r="G1778" s="44"/>
      <c r="H1778" s="44"/>
      <c r="I1778" s="44"/>
      <c r="J1778" s="45"/>
      <c r="K1778" s="44"/>
      <c r="L1778" s="44"/>
      <c r="M1778" s="44"/>
    </row>
    <row r="1779" spans="2:13" x14ac:dyDescent="0.25">
      <c r="B1779" s="42"/>
      <c r="C1779" s="43" t="str">
        <f t="shared" si="81"/>
        <v/>
      </c>
      <c r="D1779" s="44" t="str">
        <f t="shared" si="82"/>
        <v/>
      </c>
      <c r="E1779" s="44" t="str">
        <f t="shared" si="83"/>
        <v/>
      </c>
      <c r="F1779" s="44"/>
      <c r="G1779" s="44"/>
      <c r="H1779" s="44"/>
      <c r="I1779" s="44"/>
      <c r="J1779" s="45"/>
      <c r="K1779" s="44"/>
      <c r="L1779" s="44"/>
      <c r="M1779" s="44"/>
    </row>
    <row r="1780" spans="2:13" x14ac:dyDescent="0.25">
      <c r="B1780" s="42"/>
      <c r="C1780" s="43" t="str">
        <f t="shared" si="81"/>
        <v/>
      </c>
      <c r="D1780" s="44" t="str">
        <f t="shared" si="82"/>
        <v/>
      </c>
      <c r="E1780" s="44" t="str">
        <f t="shared" si="83"/>
        <v/>
      </c>
      <c r="F1780" s="44"/>
      <c r="G1780" s="44"/>
      <c r="H1780" s="44"/>
      <c r="I1780" s="44"/>
      <c r="J1780" s="45"/>
      <c r="K1780" s="44"/>
      <c r="L1780" s="44"/>
      <c r="M1780" s="44"/>
    </row>
    <row r="1781" spans="2:13" x14ac:dyDescent="0.25">
      <c r="B1781" s="42"/>
      <c r="C1781" s="43" t="str">
        <f t="shared" si="81"/>
        <v/>
      </c>
      <c r="D1781" s="44" t="str">
        <f t="shared" si="82"/>
        <v/>
      </c>
      <c r="E1781" s="44" t="str">
        <f t="shared" si="83"/>
        <v/>
      </c>
      <c r="F1781" s="44"/>
      <c r="G1781" s="44"/>
      <c r="H1781" s="44"/>
      <c r="I1781" s="44"/>
      <c r="J1781" s="45"/>
      <c r="K1781" s="44"/>
      <c r="L1781" s="44"/>
      <c r="M1781" s="44"/>
    </row>
    <row r="1782" spans="2:13" x14ac:dyDescent="0.25">
      <c r="B1782" s="42"/>
      <c r="C1782" s="43" t="str">
        <f t="shared" si="81"/>
        <v/>
      </c>
      <c r="D1782" s="44" t="str">
        <f t="shared" si="82"/>
        <v/>
      </c>
      <c r="E1782" s="44" t="str">
        <f t="shared" si="83"/>
        <v/>
      </c>
      <c r="F1782" s="44"/>
      <c r="G1782" s="44"/>
      <c r="H1782" s="44"/>
      <c r="I1782" s="44"/>
      <c r="J1782" s="45"/>
      <c r="K1782" s="44"/>
      <c r="L1782" s="44"/>
      <c r="M1782" s="44"/>
    </row>
    <row r="1783" spans="2:13" x14ac:dyDescent="0.25">
      <c r="B1783" s="42"/>
      <c r="C1783" s="43" t="str">
        <f t="shared" si="81"/>
        <v/>
      </c>
      <c r="D1783" s="44" t="str">
        <f t="shared" si="82"/>
        <v/>
      </c>
      <c r="E1783" s="44" t="str">
        <f t="shared" si="83"/>
        <v/>
      </c>
      <c r="F1783" s="44"/>
      <c r="G1783" s="44"/>
      <c r="H1783" s="44"/>
      <c r="I1783" s="44"/>
      <c r="J1783" s="45"/>
      <c r="K1783" s="44"/>
      <c r="L1783" s="44"/>
      <c r="M1783" s="44"/>
    </row>
    <row r="1784" spans="2:13" x14ac:dyDescent="0.25">
      <c r="B1784" s="42"/>
      <c r="C1784" s="43" t="str">
        <f t="shared" si="81"/>
        <v/>
      </c>
      <c r="D1784" s="44" t="str">
        <f t="shared" si="82"/>
        <v/>
      </c>
      <c r="E1784" s="44" t="str">
        <f t="shared" si="83"/>
        <v/>
      </c>
      <c r="F1784" s="44"/>
      <c r="G1784" s="44"/>
      <c r="H1784" s="44"/>
      <c r="I1784" s="44"/>
      <c r="J1784" s="45"/>
      <c r="K1784" s="44"/>
      <c r="L1784" s="44"/>
      <c r="M1784" s="44"/>
    </row>
    <row r="1785" spans="2:13" x14ac:dyDescent="0.25">
      <c r="B1785" s="42"/>
      <c r="C1785" s="43" t="str">
        <f t="shared" si="81"/>
        <v/>
      </c>
      <c r="D1785" s="44" t="str">
        <f t="shared" si="82"/>
        <v/>
      </c>
      <c r="E1785" s="44" t="str">
        <f t="shared" si="83"/>
        <v/>
      </c>
      <c r="F1785" s="44"/>
      <c r="G1785" s="44"/>
      <c r="H1785" s="44"/>
      <c r="I1785" s="44"/>
      <c r="J1785" s="45"/>
      <c r="K1785" s="44"/>
      <c r="L1785" s="44"/>
      <c r="M1785" s="44"/>
    </row>
    <row r="1786" spans="2:13" x14ac:dyDescent="0.25">
      <c r="B1786" s="42"/>
      <c r="C1786" s="43" t="str">
        <f t="shared" si="81"/>
        <v/>
      </c>
      <c r="D1786" s="44" t="str">
        <f t="shared" si="82"/>
        <v/>
      </c>
      <c r="E1786" s="44" t="str">
        <f t="shared" si="83"/>
        <v/>
      </c>
      <c r="F1786" s="44"/>
      <c r="G1786" s="44"/>
      <c r="H1786" s="44"/>
      <c r="I1786" s="44"/>
      <c r="J1786" s="45"/>
      <c r="K1786" s="44"/>
      <c r="L1786" s="44"/>
      <c r="M1786" s="44"/>
    </row>
    <row r="1787" spans="2:13" x14ac:dyDescent="0.25">
      <c r="B1787" s="42"/>
      <c r="C1787" s="43" t="str">
        <f t="shared" si="81"/>
        <v/>
      </c>
      <c r="D1787" s="44" t="str">
        <f t="shared" si="82"/>
        <v/>
      </c>
      <c r="E1787" s="44" t="str">
        <f t="shared" si="83"/>
        <v/>
      </c>
      <c r="F1787" s="44"/>
      <c r="G1787" s="44"/>
      <c r="H1787" s="44"/>
      <c r="I1787" s="44"/>
      <c r="J1787" s="45"/>
      <c r="K1787" s="44"/>
      <c r="L1787" s="44"/>
      <c r="M1787" s="44"/>
    </row>
    <row r="1788" spans="2:13" x14ac:dyDescent="0.25">
      <c r="B1788" s="42"/>
      <c r="C1788" s="43" t="str">
        <f t="shared" si="81"/>
        <v/>
      </c>
      <c r="D1788" s="44" t="str">
        <f t="shared" si="82"/>
        <v/>
      </c>
      <c r="E1788" s="44" t="str">
        <f t="shared" si="83"/>
        <v/>
      </c>
      <c r="F1788" s="44"/>
      <c r="G1788" s="44"/>
      <c r="H1788" s="44"/>
      <c r="I1788" s="44"/>
      <c r="J1788" s="45"/>
      <c r="K1788" s="44"/>
      <c r="L1788" s="44"/>
      <c r="M1788" s="44"/>
    </row>
    <row r="1789" spans="2:13" x14ac:dyDescent="0.25">
      <c r="B1789" s="42"/>
      <c r="C1789" s="43" t="str">
        <f t="shared" si="81"/>
        <v/>
      </c>
      <c r="D1789" s="44" t="str">
        <f t="shared" si="82"/>
        <v/>
      </c>
      <c r="E1789" s="44" t="str">
        <f t="shared" si="83"/>
        <v/>
      </c>
      <c r="F1789" s="44"/>
      <c r="G1789" s="44"/>
      <c r="H1789" s="44"/>
      <c r="I1789" s="44"/>
      <c r="J1789" s="45"/>
      <c r="K1789" s="44"/>
      <c r="L1789" s="44"/>
      <c r="M1789" s="44"/>
    </row>
    <row r="1790" spans="2:13" x14ac:dyDescent="0.25">
      <c r="B1790" s="42"/>
      <c r="C1790" s="43" t="str">
        <f t="shared" si="81"/>
        <v/>
      </c>
      <c r="D1790" s="44" t="str">
        <f t="shared" si="82"/>
        <v/>
      </c>
      <c r="E1790" s="44" t="str">
        <f t="shared" si="83"/>
        <v/>
      </c>
      <c r="F1790" s="44"/>
      <c r="G1790" s="44"/>
      <c r="H1790" s="44"/>
      <c r="I1790" s="44"/>
      <c r="J1790" s="45"/>
      <c r="K1790" s="44"/>
      <c r="L1790" s="44"/>
      <c r="M1790" s="44"/>
    </row>
    <row r="1791" spans="2:13" x14ac:dyDescent="0.25">
      <c r="B1791" s="42"/>
      <c r="C1791" s="43" t="str">
        <f t="shared" si="81"/>
        <v/>
      </c>
      <c r="D1791" s="44" t="str">
        <f t="shared" si="82"/>
        <v/>
      </c>
      <c r="E1791" s="44" t="str">
        <f t="shared" si="83"/>
        <v/>
      </c>
      <c r="F1791" s="44"/>
      <c r="G1791" s="44"/>
      <c r="H1791" s="44"/>
      <c r="I1791" s="44"/>
      <c r="J1791" s="45"/>
      <c r="K1791" s="44"/>
      <c r="L1791" s="44"/>
      <c r="M1791" s="44"/>
    </row>
    <row r="1792" spans="2:13" x14ac:dyDescent="0.25">
      <c r="B1792" s="42"/>
      <c r="C1792" s="43" t="str">
        <f t="shared" si="81"/>
        <v/>
      </c>
      <c r="D1792" s="44" t="str">
        <f t="shared" si="82"/>
        <v/>
      </c>
      <c r="E1792" s="44" t="str">
        <f t="shared" si="83"/>
        <v/>
      </c>
      <c r="F1792" s="44"/>
      <c r="G1792" s="44"/>
      <c r="H1792" s="44"/>
      <c r="I1792" s="44"/>
      <c r="J1792" s="45"/>
      <c r="K1792" s="44"/>
      <c r="L1792" s="44"/>
      <c r="M1792" s="44"/>
    </row>
    <row r="1793" spans="2:13" x14ac:dyDescent="0.25">
      <c r="B1793" s="42"/>
      <c r="C1793" s="43" t="str">
        <f t="shared" si="81"/>
        <v/>
      </c>
      <c r="D1793" s="44" t="str">
        <f t="shared" si="82"/>
        <v/>
      </c>
      <c r="E1793" s="44" t="str">
        <f t="shared" si="83"/>
        <v/>
      </c>
      <c r="F1793" s="44"/>
      <c r="G1793" s="44"/>
      <c r="H1793" s="44"/>
      <c r="I1793" s="44"/>
      <c r="J1793" s="45"/>
      <c r="K1793" s="44"/>
      <c r="L1793" s="44"/>
      <c r="M1793" s="44"/>
    </row>
    <row r="1794" spans="2:13" x14ac:dyDescent="0.25">
      <c r="B1794" s="42"/>
      <c r="C1794" s="43" t="str">
        <f t="shared" ref="C1794:C1857" si="84">IF(B1794="","",MONTH(B1794))</f>
        <v/>
      </c>
      <c r="D1794" s="44" t="str">
        <f t="shared" ref="D1794:D1857" si="85">IF(B1794="","",CHOOSE(C1794,"Enero","Febrero","Marzo","Abril","Mayo","Junio","Julio","Agosto","Septiembre","Octubre","Noviembre","Diciembre"))</f>
        <v/>
      </c>
      <c r="E1794" s="44" t="str">
        <f t="shared" ref="E1794:E1857" si="86">IF(B1794="","",YEAR(B1794))</f>
        <v/>
      </c>
      <c r="F1794" s="44"/>
      <c r="G1794" s="44"/>
      <c r="H1794" s="44"/>
      <c r="I1794" s="44"/>
      <c r="J1794" s="45"/>
      <c r="K1794" s="44"/>
      <c r="L1794" s="44"/>
      <c r="M1794" s="44"/>
    </row>
    <row r="1795" spans="2:13" x14ac:dyDescent="0.25">
      <c r="B1795" s="42"/>
      <c r="C1795" s="43" t="str">
        <f t="shared" si="84"/>
        <v/>
      </c>
      <c r="D1795" s="44" t="str">
        <f t="shared" si="85"/>
        <v/>
      </c>
      <c r="E1795" s="44" t="str">
        <f t="shared" si="86"/>
        <v/>
      </c>
      <c r="F1795" s="44"/>
      <c r="G1795" s="44"/>
      <c r="H1795" s="44"/>
      <c r="I1795" s="44"/>
      <c r="J1795" s="45"/>
      <c r="K1795" s="44"/>
      <c r="L1795" s="44"/>
      <c r="M1795" s="44"/>
    </row>
    <row r="1796" spans="2:13" x14ac:dyDescent="0.25">
      <c r="B1796" s="42"/>
      <c r="C1796" s="43" t="str">
        <f t="shared" si="84"/>
        <v/>
      </c>
      <c r="D1796" s="44" t="str">
        <f t="shared" si="85"/>
        <v/>
      </c>
      <c r="E1796" s="44" t="str">
        <f t="shared" si="86"/>
        <v/>
      </c>
      <c r="F1796" s="44"/>
      <c r="G1796" s="44"/>
      <c r="H1796" s="44"/>
      <c r="I1796" s="44"/>
      <c r="J1796" s="45"/>
      <c r="K1796" s="44"/>
      <c r="L1796" s="44"/>
      <c r="M1796" s="44"/>
    </row>
    <row r="1797" spans="2:13" x14ac:dyDescent="0.25">
      <c r="B1797" s="42"/>
      <c r="C1797" s="43" t="str">
        <f t="shared" si="84"/>
        <v/>
      </c>
      <c r="D1797" s="44" t="str">
        <f t="shared" si="85"/>
        <v/>
      </c>
      <c r="E1797" s="44" t="str">
        <f t="shared" si="86"/>
        <v/>
      </c>
      <c r="F1797" s="44"/>
      <c r="G1797" s="44"/>
      <c r="H1797" s="44"/>
      <c r="I1797" s="44"/>
      <c r="J1797" s="45"/>
      <c r="K1797" s="44"/>
      <c r="L1797" s="44"/>
      <c r="M1797" s="44"/>
    </row>
    <row r="1798" spans="2:13" x14ac:dyDescent="0.25">
      <c r="B1798" s="42"/>
      <c r="C1798" s="43" t="str">
        <f t="shared" si="84"/>
        <v/>
      </c>
      <c r="D1798" s="44" t="str">
        <f t="shared" si="85"/>
        <v/>
      </c>
      <c r="E1798" s="44" t="str">
        <f t="shared" si="86"/>
        <v/>
      </c>
      <c r="F1798" s="44"/>
      <c r="G1798" s="44"/>
      <c r="H1798" s="44"/>
      <c r="I1798" s="44"/>
      <c r="J1798" s="45"/>
      <c r="K1798" s="44"/>
      <c r="L1798" s="44"/>
      <c r="M1798" s="44"/>
    </row>
    <row r="1799" spans="2:13" x14ac:dyDescent="0.25">
      <c r="B1799" s="42"/>
      <c r="C1799" s="43" t="str">
        <f t="shared" si="84"/>
        <v/>
      </c>
      <c r="D1799" s="44" t="str">
        <f t="shared" si="85"/>
        <v/>
      </c>
      <c r="E1799" s="44" t="str">
        <f t="shared" si="86"/>
        <v/>
      </c>
      <c r="F1799" s="44"/>
      <c r="G1799" s="44"/>
      <c r="H1799" s="44"/>
      <c r="I1799" s="44"/>
      <c r="J1799" s="45"/>
      <c r="K1799" s="44"/>
      <c r="L1799" s="44"/>
      <c r="M1799" s="44"/>
    </row>
    <row r="1800" spans="2:13" x14ac:dyDescent="0.25">
      <c r="B1800" s="42"/>
      <c r="C1800" s="43" t="str">
        <f t="shared" si="84"/>
        <v/>
      </c>
      <c r="D1800" s="44" t="str">
        <f t="shared" si="85"/>
        <v/>
      </c>
      <c r="E1800" s="44" t="str">
        <f t="shared" si="86"/>
        <v/>
      </c>
      <c r="F1800" s="44"/>
      <c r="G1800" s="44"/>
      <c r="H1800" s="44"/>
      <c r="I1800" s="44"/>
      <c r="J1800" s="45"/>
      <c r="K1800" s="44"/>
      <c r="L1800" s="44"/>
      <c r="M1800" s="44"/>
    </row>
    <row r="1801" spans="2:13" x14ac:dyDescent="0.25">
      <c r="B1801" s="42"/>
      <c r="C1801" s="43" t="str">
        <f t="shared" si="84"/>
        <v/>
      </c>
      <c r="D1801" s="44" t="str">
        <f t="shared" si="85"/>
        <v/>
      </c>
      <c r="E1801" s="44" t="str">
        <f t="shared" si="86"/>
        <v/>
      </c>
      <c r="F1801" s="44"/>
      <c r="G1801" s="44"/>
      <c r="H1801" s="44"/>
      <c r="I1801" s="44"/>
      <c r="J1801" s="45"/>
      <c r="K1801" s="44"/>
      <c r="L1801" s="44"/>
      <c r="M1801" s="44"/>
    </row>
    <row r="1802" spans="2:13" x14ac:dyDescent="0.25">
      <c r="B1802" s="42"/>
      <c r="C1802" s="43" t="str">
        <f t="shared" si="84"/>
        <v/>
      </c>
      <c r="D1802" s="44" t="str">
        <f t="shared" si="85"/>
        <v/>
      </c>
      <c r="E1802" s="44" t="str">
        <f t="shared" si="86"/>
        <v/>
      </c>
      <c r="F1802" s="44"/>
      <c r="G1802" s="44"/>
      <c r="H1802" s="44"/>
      <c r="I1802" s="44"/>
      <c r="J1802" s="45"/>
      <c r="K1802" s="44"/>
      <c r="L1802" s="44"/>
      <c r="M1802" s="44"/>
    </row>
    <row r="1803" spans="2:13" x14ac:dyDescent="0.25">
      <c r="B1803" s="42"/>
      <c r="C1803" s="43" t="str">
        <f t="shared" si="84"/>
        <v/>
      </c>
      <c r="D1803" s="44" t="str">
        <f t="shared" si="85"/>
        <v/>
      </c>
      <c r="E1803" s="44" t="str">
        <f t="shared" si="86"/>
        <v/>
      </c>
      <c r="F1803" s="44"/>
      <c r="G1803" s="44"/>
      <c r="H1803" s="44"/>
      <c r="I1803" s="44"/>
      <c r="J1803" s="45"/>
      <c r="K1803" s="44"/>
      <c r="L1803" s="44"/>
      <c r="M1803" s="44"/>
    </row>
    <row r="1804" spans="2:13" x14ac:dyDescent="0.25">
      <c r="B1804" s="42"/>
      <c r="C1804" s="43" t="str">
        <f t="shared" si="84"/>
        <v/>
      </c>
      <c r="D1804" s="44" t="str">
        <f t="shared" si="85"/>
        <v/>
      </c>
      <c r="E1804" s="44" t="str">
        <f t="shared" si="86"/>
        <v/>
      </c>
      <c r="F1804" s="44"/>
      <c r="G1804" s="44"/>
      <c r="H1804" s="44"/>
      <c r="I1804" s="44"/>
      <c r="J1804" s="45"/>
      <c r="K1804" s="44"/>
      <c r="L1804" s="44"/>
      <c r="M1804" s="44"/>
    </row>
    <row r="1805" spans="2:13" x14ac:dyDescent="0.25">
      <c r="B1805" s="42"/>
      <c r="C1805" s="43" t="str">
        <f t="shared" si="84"/>
        <v/>
      </c>
      <c r="D1805" s="44" t="str">
        <f t="shared" si="85"/>
        <v/>
      </c>
      <c r="E1805" s="44" t="str">
        <f t="shared" si="86"/>
        <v/>
      </c>
      <c r="F1805" s="44"/>
      <c r="G1805" s="44"/>
      <c r="H1805" s="44"/>
      <c r="I1805" s="44"/>
      <c r="J1805" s="45"/>
      <c r="K1805" s="44"/>
      <c r="L1805" s="44"/>
      <c r="M1805" s="44"/>
    </row>
    <row r="1806" spans="2:13" x14ac:dyDescent="0.25">
      <c r="B1806" s="42"/>
      <c r="C1806" s="43" t="str">
        <f t="shared" si="84"/>
        <v/>
      </c>
      <c r="D1806" s="44" t="str">
        <f t="shared" si="85"/>
        <v/>
      </c>
      <c r="E1806" s="44" t="str">
        <f t="shared" si="86"/>
        <v/>
      </c>
      <c r="F1806" s="44"/>
      <c r="G1806" s="44"/>
      <c r="H1806" s="44"/>
      <c r="I1806" s="44"/>
      <c r="J1806" s="45"/>
      <c r="K1806" s="44"/>
      <c r="L1806" s="44"/>
      <c r="M1806" s="44"/>
    </row>
    <row r="1807" spans="2:13" x14ac:dyDescent="0.25">
      <c r="B1807" s="42"/>
      <c r="C1807" s="43" t="str">
        <f t="shared" si="84"/>
        <v/>
      </c>
      <c r="D1807" s="44" t="str">
        <f t="shared" si="85"/>
        <v/>
      </c>
      <c r="E1807" s="44" t="str">
        <f t="shared" si="86"/>
        <v/>
      </c>
      <c r="F1807" s="44"/>
      <c r="G1807" s="44"/>
      <c r="H1807" s="44"/>
      <c r="I1807" s="44"/>
      <c r="J1807" s="45"/>
      <c r="K1807" s="44"/>
      <c r="L1807" s="44"/>
      <c r="M1807" s="44"/>
    </row>
    <row r="1808" spans="2:13" x14ac:dyDescent="0.25">
      <c r="B1808" s="42"/>
      <c r="C1808" s="43" t="str">
        <f t="shared" si="84"/>
        <v/>
      </c>
      <c r="D1808" s="44" t="str">
        <f t="shared" si="85"/>
        <v/>
      </c>
      <c r="E1808" s="44" t="str">
        <f t="shared" si="86"/>
        <v/>
      </c>
      <c r="F1808" s="44"/>
      <c r="G1808" s="44"/>
      <c r="H1808" s="44"/>
      <c r="I1808" s="44"/>
      <c r="J1808" s="45"/>
      <c r="K1808" s="44"/>
      <c r="L1808" s="44"/>
      <c r="M1808" s="44"/>
    </row>
    <row r="1809" spans="2:13" x14ac:dyDescent="0.25">
      <c r="B1809" s="42"/>
      <c r="C1809" s="43" t="str">
        <f t="shared" si="84"/>
        <v/>
      </c>
      <c r="D1809" s="44" t="str">
        <f t="shared" si="85"/>
        <v/>
      </c>
      <c r="E1809" s="44" t="str">
        <f t="shared" si="86"/>
        <v/>
      </c>
      <c r="F1809" s="44"/>
      <c r="G1809" s="44"/>
      <c r="H1809" s="44"/>
      <c r="I1809" s="44"/>
      <c r="J1809" s="45"/>
      <c r="K1809" s="44"/>
      <c r="L1809" s="44"/>
      <c r="M1809" s="44"/>
    </row>
    <row r="1810" spans="2:13" x14ac:dyDescent="0.25">
      <c r="B1810" s="42"/>
      <c r="C1810" s="43" t="str">
        <f t="shared" si="84"/>
        <v/>
      </c>
      <c r="D1810" s="44" t="str">
        <f t="shared" si="85"/>
        <v/>
      </c>
      <c r="E1810" s="44" t="str">
        <f t="shared" si="86"/>
        <v/>
      </c>
      <c r="F1810" s="44"/>
      <c r="G1810" s="44"/>
      <c r="H1810" s="44"/>
      <c r="I1810" s="44"/>
      <c r="J1810" s="45"/>
      <c r="K1810" s="44"/>
      <c r="L1810" s="44"/>
      <c r="M1810" s="44"/>
    </row>
    <row r="1811" spans="2:13" x14ac:dyDescent="0.25">
      <c r="B1811" s="42"/>
      <c r="C1811" s="43" t="str">
        <f t="shared" si="84"/>
        <v/>
      </c>
      <c r="D1811" s="44" t="str">
        <f t="shared" si="85"/>
        <v/>
      </c>
      <c r="E1811" s="44" t="str">
        <f t="shared" si="86"/>
        <v/>
      </c>
      <c r="F1811" s="44"/>
      <c r="G1811" s="44"/>
      <c r="H1811" s="44"/>
      <c r="I1811" s="44"/>
      <c r="J1811" s="45"/>
      <c r="K1811" s="44"/>
      <c r="L1811" s="44"/>
      <c r="M1811" s="44"/>
    </row>
    <row r="1812" spans="2:13" x14ac:dyDescent="0.25">
      <c r="B1812" s="42"/>
      <c r="C1812" s="43" t="str">
        <f t="shared" si="84"/>
        <v/>
      </c>
      <c r="D1812" s="44" t="str">
        <f t="shared" si="85"/>
        <v/>
      </c>
      <c r="E1812" s="44" t="str">
        <f t="shared" si="86"/>
        <v/>
      </c>
      <c r="F1812" s="44"/>
      <c r="G1812" s="44"/>
      <c r="H1812" s="44"/>
      <c r="I1812" s="44"/>
      <c r="J1812" s="45"/>
      <c r="K1812" s="44"/>
      <c r="L1812" s="44"/>
      <c r="M1812" s="44"/>
    </row>
    <row r="1813" spans="2:13" x14ac:dyDescent="0.25">
      <c r="B1813" s="42"/>
      <c r="C1813" s="43" t="str">
        <f t="shared" si="84"/>
        <v/>
      </c>
      <c r="D1813" s="44" t="str">
        <f t="shared" si="85"/>
        <v/>
      </c>
      <c r="E1813" s="44" t="str">
        <f t="shared" si="86"/>
        <v/>
      </c>
      <c r="F1813" s="44"/>
      <c r="G1813" s="44"/>
      <c r="H1813" s="44"/>
      <c r="I1813" s="44"/>
      <c r="J1813" s="45"/>
      <c r="K1813" s="44"/>
      <c r="L1813" s="44"/>
      <c r="M1813" s="44"/>
    </row>
    <row r="1814" spans="2:13" x14ac:dyDescent="0.25">
      <c r="B1814" s="42"/>
      <c r="C1814" s="43" t="str">
        <f t="shared" si="84"/>
        <v/>
      </c>
      <c r="D1814" s="44" t="str">
        <f t="shared" si="85"/>
        <v/>
      </c>
      <c r="E1814" s="44" t="str">
        <f t="shared" si="86"/>
        <v/>
      </c>
      <c r="F1814" s="44"/>
      <c r="G1814" s="44"/>
      <c r="H1814" s="44"/>
      <c r="I1814" s="44"/>
      <c r="J1814" s="45"/>
      <c r="K1814" s="44"/>
      <c r="L1814" s="44"/>
      <c r="M1814" s="44"/>
    </row>
    <row r="1815" spans="2:13" x14ac:dyDescent="0.25">
      <c r="B1815" s="42"/>
      <c r="C1815" s="43" t="str">
        <f t="shared" si="84"/>
        <v/>
      </c>
      <c r="D1815" s="44" t="str">
        <f t="shared" si="85"/>
        <v/>
      </c>
      <c r="E1815" s="44" t="str">
        <f t="shared" si="86"/>
        <v/>
      </c>
      <c r="F1815" s="44"/>
      <c r="G1815" s="44"/>
      <c r="H1815" s="44"/>
      <c r="I1815" s="44"/>
      <c r="J1815" s="45"/>
      <c r="K1815" s="44"/>
      <c r="L1815" s="44"/>
      <c r="M1815" s="44"/>
    </row>
    <row r="1816" spans="2:13" x14ac:dyDescent="0.25">
      <c r="B1816" s="42"/>
      <c r="C1816" s="43" t="str">
        <f t="shared" si="84"/>
        <v/>
      </c>
      <c r="D1816" s="44" t="str">
        <f t="shared" si="85"/>
        <v/>
      </c>
      <c r="E1816" s="44" t="str">
        <f t="shared" si="86"/>
        <v/>
      </c>
      <c r="F1816" s="44"/>
      <c r="G1816" s="44"/>
      <c r="H1816" s="44"/>
      <c r="I1816" s="44"/>
      <c r="J1816" s="45"/>
      <c r="K1816" s="44"/>
      <c r="L1816" s="44"/>
      <c r="M1816" s="44"/>
    </row>
    <row r="1817" spans="2:13" x14ac:dyDescent="0.25">
      <c r="B1817" s="42"/>
      <c r="C1817" s="43" t="str">
        <f t="shared" si="84"/>
        <v/>
      </c>
      <c r="D1817" s="44" t="str">
        <f t="shared" si="85"/>
        <v/>
      </c>
      <c r="E1817" s="44" t="str">
        <f t="shared" si="86"/>
        <v/>
      </c>
      <c r="F1817" s="44"/>
      <c r="G1817" s="44"/>
      <c r="H1817" s="44"/>
      <c r="I1817" s="44"/>
      <c r="J1817" s="45"/>
      <c r="K1817" s="44"/>
      <c r="L1817" s="44"/>
      <c r="M1817" s="44"/>
    </row>
    <row r="1818" spans="2:13" x14ac:dyDescent="0.25">
      <c r="B1818" s="42"/>
      <c r="C1818" s="43" t="str">
        <f t="shared" si="84"/>
        <v/>
      </c>
      <c r="D1818" s="44" t="str">
        <f t="shared" si="85"/>
        <v/>
      </c>
      <c r="E1818" s="44" t="str">
        <f t="shared" si="86"/>
        <v/>
      </c>
      <c r="F1818" s="44"/>
      <c r="G1818" s="44"/>
      <c r="H1818" s="44"/>
      <c r="I1818" s="44"/>
      <c r="J1818" s="45"/>
      <c r="K1818" s="44"/>
      <c r="L1818" s="44"/>
      <c r="M1818" s="44"/>
    </row>
    <row r="1819" spans="2:13" x14ac:dyDescent="0.25">
      <c r="B1819" s="42"/>
      <c r="C1819" s="43" t="str">
        <f t="shared" si="84"/>
        <v/>
      </c>
      <c r="D1819" s="44" t="str">
        <f t="shared" si="85"/>
        <v/>
      </c>
      <c r="E1819" s="44" t="str">
        <f t="shared" si="86"/>
        <v/>
      </c>
      <c r="F1819" s="44"/>
      <c r="G1819" s="44"/>
      <c r="H1819" s="44"/>
      <c r="I1819" s="44"/>
      <c r="J1819" s="45"/>
      <c r="K1819" s="44"/>
      <c r="L1819" s="44"/>
      <c r="M1819" s="44"/>
    </row>
    <row r="1820" spans="2:13" x14ac:dyDescent="0.25">
      <c r="B1820" s="42"/>
      <c r="C1820" s="43" t="str">
        <f t="shared" si="84"/>
        <v/>
      </c>
      <c r="D1820" s="44" t="str">
        <f t="shared" si="85"/>
        <v/>
      </c>
      <c r="E1820" s="44" t="str">
        <f t="shared" si="86"/>
        <v/>
      </c>
      <c r="F1820" s="44"/>
      <c r="G1820" s="44"/>
      <c r="H1820" s="44"/>
      <c r="I1820" s="44"/>
      <c r="J1820" s="45"/>
      <c r="K1820" s="44"/>
      <c r="L1820" s="44"/>
      <c r="M1820" s="44"/>
    </row>
    <row r="1821" spans="2:13" x14ac:dyDescent="0.25">
      <c r="B1821" s="42"/>
      <c r="C1821" s="43" t="str">
        <f t="shared" si="84"/>
        <v/>
      </c>
      <c r="D1821" s="44" t="str">
        <f t="shared" si="85"/>
        <v/>
      </c>
      <c r="E1821" s="44" t="str">
        <f t="shared" si="86"/>
        <v/>
      </c>
      <c r="F1821" s="44"/>
      <c r="G1821" s="44"/>
      <c r="H1821" s="44"/>
      <c r="I1821" s="44"/>
      <c r="J1821" s="45"/>
      <c r="K1821" s="44"/>
      <c r="L1821" s="44"/>
      <c r="M1821" s="44"/>
    </row>
    <row r="1822" spans="2:13" x14ac:dyDescent="0.25">
      <c r="B1822" s="42"/>
      <c r="C1822" s="43" t="str">
        <f t="shared" si="84"/>
        <v/>
      </c>
      <c r="D1822" s="44" t="str">
        <f t="shared" si="85"/>
        <v/>
      </c>
      <c r="E1822" s="44" t="str">
        <f t="shared" si="86"/>
        <v/>
      </c>
      <c r="F1822" s="44"/>
      <c r="G1822" s="44"/>
      <c r="H1822" s="44"/>
      <c r="I1822" s="44"/>
      <c r="J1822" s="45"/>
      <c r="K1822" s="44"/>
      <c r="L1822" s="44"/>
      <c r="M1822" s="44"/>
    </row>
    <row r="1823" spans="2:13" x14ac:dyDescent="0.25">
      <c r="B1823" s="42"/>
      <c r="C1823" s="43" t="str">
        <f t="shared" si="84"/>
        <v/>
      </c>
      <c r="D1823" s="44" t="str">
        <f t="shared" si="85"/>
        <v/>
      </c>
      <c r="E1823" s="44" t="str">
        <f t="shared" si="86"/>
        <v/>
      </c>
      <c r="F1823" s="44"/>
      <c r="G1823" s="44"/>
      <c r="H1823" s="44"/>
      <c r="I1823" s="44"/>
      <c r="J1823" s="45"/>
      <c r="K1823" s="44"/>
      <c r="L1823" s="44"/>
      <c r="M1823" s="44"/>
    </row>
    <row r="1824" spans="2:13" x14ac:dyDescent="0.25">
      <c r="B1824" s="42"/>
      <c r="C1824" s="43" t="str">
        <f t="shared" si="84"/>
        <v/>
      </c>
      <c r="D1824" s="44" t="str">
        <f t="shared" si="85"/>
        <v/>
      </c>
      <c r="E1824" s="44" t="str">
        <f t="shared" si="86"/>
        <v/>
      </c>
      <c r="F1824" s="44"/>
      <c r="G1824" s="44"/>
      <c r="H1824" s="44"/>
      <c r="I1824" s="44"/>
      <c r="J1824" s="45"/>
      <c r="K1824" s="44"/>
      <c r="L1824" s="44"/>
      <c r="M1824" s="44"/>
    </row>
    <row r="1825" spans="2:13" x14ac:dyDescent="0.25">
      <c r="B1825" s="42"/>
      <c r="C1825" s="43" t="str">
        <f t="shared" si="84"/>
        <v/>
      </c>
      <c r="D1825" s="44" t="str">
        <f t="shared" si="85"/>
        <v/>
      </c>
      <c r="E1825" s="44" t="str">
        <f t="shared" si="86"/>
        <v/>
      </c>
      <c r="F1825" s="44"/>
      <c r="G1825" s="44"/>
      <c r="H1825" s="44"/>
      <c r="I1825" s="44"/>
      <c r="J1825" s="45"/>
      <c r="K1825" s="44"/>
      <c r="L1825" s="44"/>
      <c r="M1825" s="44"/>
    </row>
    <row r="1826" spans="2:13" x14ac:dyDescent="0.25">
      <c r="B1826" s="42"/>
      <c r="C1826" s="43" t="str">
        <f t="shared" si="84"/>
        <v/>
      </c>
      <c r="D1826" s="44" t="str">
        <f t="shared" si="85"/>
        <v/>
      </c>
      <c r="E1826" s="44" t="str">
        <f t="shared" si="86"/>
        <v/>
      </c>
      <c r="F1826" s="44"/>
      <c r="G1826" s="44"/>
      <c r="H1826" s="44"/>
      <c r="I1826" s="44"/>
      <c r="J1826" s="45"/>
      <c r="K1826" s="44"/>
      <c r="L1826" s="44"/>
      <c r="M1826" s="44"/>
    </row>
    <row r="1827" spans="2:13" x14ac:dyDescent="0.25">
      <c r="B1827" s="42"/>
      <c r="C1827" s="43" t="str">
        <f t="shared" si="84"/>
        <v/>
      </c>
      <c r="D1827" s="44" t="str">
        <f t="shared" si="85"/>
        <v/>
      </c>
      <c r="E1827" s="44" t="str">
        <f t="shared" si="86"/>
        <v/>
      </c>
      <c r="F1827" s="44"/>
      <c r="G1827" s="44"/>
      <c r="H1827" s="44"/>
      <c r="I1827" s="44"/>
      <c r="J1827" s="45"/>
      <c r="K1827" s="44"/>
      <c r="L1827" s="44"/>
      <c r="M1827" s="44"/>
    </row>
    <row r="1828" spans="2:13" x14ac:dyDescent="0.25">
      <c r="B1828" s="42"/>
      <c r="C1828" s="43" t="str">
        <f t="shared" si="84"/>
        <v/>
      </c>
      <c r="D1828" s="44" t="str">
        <f t="shared" si="85"/>
        <v/>
      </c>
      <c r="E1828" s="44" t="str">
        <f t="shared" si="86"/>
        <v/>
      </c>
      <c r="F1828" s="44"/>
      <c r="G1828" s="44"/>
      <c r="H1828" s="44"/>
      <c r="I1828" s="44"/>
      <c r="J1828" s="45"/>
      <c r="K1828" s="44"/>
      <c r="L1828" s="44"/>
      <c r="M1828" s="44"/>
    </row>
    <row r="1829" spans="2:13" x14ac:dyDescent="0.25">
      <c r="B1829" s="42"/>
      <c r="C1829" s="43" t="str">
        <f t="shared" si="84"/>
        <v/>
      </c>
      <c r="D1829" s="44" t="str">
        <f t="shared" si="85"/>
        <v/>
      </c>
      <c r="E1829" s="44" t="str">
        <f t="shared" si="86"/>
        <v/>
      </c>
      <c r="F1829" s="44"/>
      <c r="G1829" s="44"/>
      <c r="H1829" s="44"/>
      <c r="I1829" s="44"/>
      <c r="J1829" s="45"/>
      <c r="K1829" s="44"/>
      <c r="L1829" s="44"/>
      <c r="M1829" s="44"/>
    </row>
    <row r="1830" spans="2:13" x14ac:dyDescent="0.25">
      <c r="B1830" s="42"/>
      <c r="C1830" s="43" t="str">
        <f t="shared" si="84"/>
        <v/>
      </c>
      <c r="D1830" s="44" t="str">
        <f t="shared" si="85"/>
        <v/>
      </c>
      <c r="E1830" s="44" t="str">
        <f t="shared" si="86"/>
        <v/>
      </c>
      <c r="F1830" s="44"/>
      <c r="G1830" s="44"/>
      <c r="H1830" s="44"/>
      <c r="I1830" s="44"/>
      <c r="J1830" s="45"/>
      <c r="K1830" s="44"/>
      <c r="L1830" s="44"/>
      <c r="M1830" s="44"/>
    </row>
    <row r="1831" spans="2:13" x14ac:dyDescent="0.25">
      <c r="B1831" s="42"/>
      <c r="C1831" s="43" t="str">
        <f t="shared" si="84"/>
        <v/>
      </c>
      <c r="D1831" s="44" t="str">
        <f t="shared" si="85"/>
        <v/>
      </c>
      <c r="E1831" s="44" t="str">
        <f t="shared" si="86"/>
        <v/>
      </c>
      <c r="F1831" s="44"/>
      <c r="G1831" s="44"/>
      <c r="H1831" s="44"/>
      <c r="I1831" s="44"/>
      <c r="J1831" s="45"/>
      <c r="K1831" s="44"/>
      <c r="L1831" s="44"/>
      <c r="M1831" s="44"/>
    </row>
    <row r="1832" spans="2:13" x14ac:dyDescent="0.25">
      <c r="B1832" s="42"/>
      <c r="C1832" s="43" t="str">
        <f t="shared" si="84"/>
        <v/>
      </c>
      <c r="D1832" s="44" t="str">
        <f t="shared" si="85"/>
        <v/>
      </c>
      <c r="E1832" s="44" t="str">
        <f t="shared" si="86"/>
        <v/>
      </c>
      <c r="F1832" s="44"/>
      <c r="G1832" s="44"/>
      <c r="H1832" s="44"/>
      <c r="I1832" s="44"/>
      <c r="J1832" s="45"/>
      <c r="K1832" s="44"/>
      <c r="L1832" s="44"/>
      <c r="M1832" s="44"/>
    </row>
    <row r="1833" spans="2:13" x14ac:dyDescent="0.25">
      <c r="B1833" s="42"/>
      <c r="C1833" s="43" t="str">
        <f t="shared" si="84"/>
        <v/>
      </c>
      <c r="D1833" s="44" t="str">
        <f t="shared" si="85"/>
        <v/>
      </c>
      <c r="E1833" s="44" t="str">
        <f t="shared" si="86"/>
        <v/>
      </c>
      <c r="F1833" s="44"/>
      <c r="G1833" s="44"/>
      <c r="H1833" s="44"/>
      <c r="I1833" s="44"/>
      <c r="J1833" s="45"/>
      <c r="K1833" s="44"/>
      <c r="L1833" s="44"/>
      <c r="M1833" s="44"/>
    </row>
    <row r="1834" spans="2:13" x14ac:dyDescent="0.25">
      <c r="B1834" s="42"/>
      <c r="C1834" s="43" t="str">
        <f t="shared" si="84"/>
        <v/>
      </c>
      <c r="D1834" s="44" t="str">
        <f t="shared" si="85"/>
        <v/>
      </c>
      <c r="E1834" s="44" t="str">
        <f t="shared" si="86"/>
        <v/>
      </c>
      <c r="F1834" s="44"/>
      <c r="G1834" s="44"/>
      <c r="H1834" s="44"/>
      <c r="I1834" s="44"/>
      <c r="J1834" s="45"/>
      <c r="K1834" s="44"/>
      <c r="L1834" s="44"/>
      <c r="M1834" s="44"/>
    </row>
    <row r="1835" spans="2:13" x14ac:dyDescent="0.25">
      <c r="B1835" s="42"/>
      <c r="C1835" s="43" t="str">
        <f t="shared" si="84"/>
        <v/>
      </c>
      <c r="D1835" s="44" t="str">
        <f t="shared" si="85"/>
        <v/>
      </c>
      <c r="E1835" s="44" t="str">
        <f t="shared" si="86"/>
        <v/>
      </c>
      <c r="F1835" s="44"/>
      <c r="G1835" s="44"/>
      <c r="H1835" s="44"/>
      <c r="I1835" s="44"/>
      <c r="J1835" s="45"/>
      <c r="K1835" s="44"/>
      <c r="L1835" s="44"/>
      <c r="M1835" s="44"/>
    </row>
    <row r="1836" spans="2:13" x14ac:dyDescent="0.25">
      <c r="B1836" s="42"/>
      <c r="C1836" s="43" t="str">
        <f t="shared" si="84"/>
        <v/>
      </c>
      <c r="D1836" s="44" t="str">
        <f t="shared" si="85"/>
        <v/>
      </c>
      <c r="E1836" s="44" t="str">
        <f t="shared" si="86"/>
        <v/>
      </c>
      <c r="F1836" s="44"/>
      <c r="G1836" s="44"/>
      <c r="H1836" s="44"/>
      <c r="I1836" s="44"/>
      <c r="J1836" s="45"/>
      <c r="K1836" s="44"/>
      <c r="L1836" s="44"/>
      <c r="M1836" s="44"/>
    </row>
    <row r="1837" spans="2:13" x14ac:dyDescent="0.25">
      <c r="B1837" s="42"/>
      <c r="C1837" s="43" t="str">
        <f t="shared" si="84"/>
        <v/>
      </c>
      <c r="D1837" s="44" t="str">
        <f t="shared" si="85"/>
        <v/>
      </c>
      <c r="E1837" s="44" t="str">
        <f t="shared" si="86"/>
        <v/>
      </c>
      <c r="F1837" s="44"/>
      <c r="G1837" s="44"/>
      <c r="H1837" s="44"/>
      <c r="I1837" s="44"/>
      <c r="J1837" s="45"/>
      <c r="K1837" s="44"/>
      <c r="L1837" s="44"/>
      <c r="M1837" s="44"/>
    </row>
    <row r="1838" spans="2:13" x14ac:dyDescent="0.25">
      <c r="B1838" s="42"/>
      <c r="C1838" s="43" t="str">
        <f t="shared" si="84"/>
        <v/>
      </c>
      <c r="D1838" s="44" t="str">
        <f t="shared" si="85"/>
        <v/>
      </c>
      <c r="E1838" s="44" t="str">
        <f t="shared" si="86"/>
        <v/>
      </c>
      <c r="F1838" s="44"/>
      <c r="G1838" s="44"/>
      <c r="H1838" s="44"/>
      <c r="I1838" s="44"/>
      <c r="J1838" s="45"/>
      <c r="K1838" s="44"/>
      <c r="L1838" s="44"/>
      <c r="M1838" s="44"/>
    </row>
    <row r="1839" spans="2:13" x14ac:dyDescent="0.25">
      <c r="B1839" s="42"/>
      <c r="C1839" s="43" t="str">
        <f t="shared" si="84"/>
        <v/>
      </c>
      <c r="D1839" s="44" t="str">
        <f t="shared" si="85"/>
        <v/>
      </c>
      <c r="E1839" s="44" t="str">
        <f t="shared" si="86"/>
        <v/>
      </c>
      <c r="F1839" s="44"/>
      <c r="G1839" s="44"/>
      <c r="H1839" s="44"/>
      <c r="I1839" s="44"/>
      <c r="J1839" s="45"/>
      <c r="K1839" s="44"/>
      <c r="L1839" s="44"/>
      <c r="M1839" s="44"/>
    </row>
    <row r="1840" spans="2:13" x14ac:dyDescent="0.25">
      <c r="B1840" s="42"/>
      <c r="C1840" s="43" t="str">
        <f t="shared" si="84"/>
        <v/>
      </c>
      <c r="D1840" s="44" t="str">
        <f t="shared" si="85"/>
        <v/>
      </c>
      <c r="E1840" s="44" t="str">
        <f t="shared" si="86"/>
        <v/>
      </c>
      <c r="F1840" s="44"/>
      <c r="G1840" s="44"/>
      <c r="H1840" s="44"/>
      <c r="I1840" s="44"/>
      <c r="J1840" s="45"/>
      <c r="K1840" s="44"/>
      <c r="L1840" s="44"/>
      <c r="M1840" s="44"/>
    </row>
    <row r="1841" spans="2:13" x14ac:dyDescent="0.25">
      <c r="B1841" s="42"/>
      <c r="C1841" s="43" t="str">
        <f t="shared" si="84"/>
        <v/>
      </c>
      <c r="D1841" s="44" t="str">
        <f t="shared" si="85"/>
        <v/>
      </c>
      <c r="E1841" s="44" t="str">
        <f t="shared" si="86"/>
        <v/>
      </c>
      <c r="F1841" s="44"/>
      <c r="G1841" s="44"/>
      <c r="H1841" s="44"/>
      <c r="I1841" s="44"/>
      <c r="J1841" s="45"/>
      <c r="K1841" s="44"/>
      <c r="L1841" s="44"/>
      <c r="M1841" s="44"/>
    </row>
    <row r="1842" spans="2:13" x14ac:dyDescent="0.25">
      <c r="B1842" s="42"/>
      <c r="C1842" s="43" t="str">
        <f t="shared" si="84"/>
        <v/>
      </c>
      <c r="D1842" s="44" t="str">
        <f t="shared" si="85"/>
        <v/>
      </c>
      <c r="E1842" s="44" t="str">
        <f t="shared" si="86"/>
        <v/>
      </c>
      <c r="F1842" s="44"/>
      <c r="G1842" s="44"/>
      <c r="H1842" s="44"/>
      <c r="I1842" s="44"/>
      <c r="J1842" s="45"/>
      <c r="K1842" s="44"/>
      <c r="L1842" s="44"/>
      <c r="M1842" s="44"/>
    </row>
    <row r="1843" spans="2:13" x14ac:dyDescent="0.25">
      <c r="B1843" s="42"/>
      <c r="C1843" s="43" t="str">
        <f t="shared" si="84"/>
        <v/>
      </c>
      <c r="D1843" s="44" t="str">
        <f t="shared" si="85"/>
        <v/>
      </c>
      <c r="E1843" s="44" t="str">
        <f t="shared" si="86"/>
        <v/>
      </c>
      <c r="F1843" s="44"/>
      <c r="G1843" s="44"/>
      <c r="H1843" s="44"/>
      <c r="I1843" s="44"/>
      <c r="J1843" s="45"/>
      <c r="K1843" s="44"/>
      <c r="L1843" s="44"/>
      <c r="M1843" s="44"/>
    </row>
    <row r="1844" spans="2:13" x14ac:dyDescent="0.25">
      <c r="B1844" s="42"/>
      <c r="C1844" s="43" t="str">
        <f t="shared" si="84"/>
        <v/>
      </c>
      <c r="D1844" s="44" t="str">
        <f t="shared" si="85"/>
        <v/>
      </c>
      <c r="E1844" s="44" t="str">
        <f t="shared" si="86"/>
        <v/>
      </c>
      <c r="F1844" s="44"/>
      <c r="G1844" s="44"/>
      <c r="H1844" s="44"/>
      <c r="I1844" s="44"/>
      <c r="J1844" s="45"/>
      <c r="K1844" s="44"/>
      <c r="L1844" s="44"/>
      <c r="M1844" s="44"/>
    </row>
    <row r="1845" spans="2:13" x14ac:dyDescent="0.25">
      <c r="B1845" s="42"/>
      <c r="C1845" s="43" t="str">
        <f t="shared" si="84"/>
        <v/>
      </c>
      <c r="D1845" s="44" t="str">
        <f t="shared" si="85"/>
        <v/>
      </c>
      <c r="E1845" s="44" t="str">
        <f t="shared" si="86"/>
        <v/>
      </c>
      <c r="F1845" s="44"/>
      <c r="G1845" s="44"/>
      <c r="H1845" s="44"/>
      <c r="I1845" s="44"/>
      <c r="J1845" s="45"/>
      <c r="K1845" s="44"/>
      <c r="L1845" s="44"/>
      <c r="M1845" s="44"/>
    </row>
    <row r="1846" spans="2:13" x14ac:dyDescent="0.25">
      <c r="B1846" s="42"/>
      <c r="C1846" s="43" t="str">
        <f t="shared" si="84"/>
        <v/>
      </c>
      <c r="D1846" s="44" t="str">
        <f t="shared" si="85"/>
        <v/>
      </c>
      <c r="E1846" s="44" t="str">
        <f t="shared" si="86"/>
        <v/>
      </c>
      <c r="F1846" s="44"/>
      <c r="G1846" s="44"/>
      <c r="H1846" s="44"/>
      <c r="I1846" s="44"/>
      <c r="J1846" s="45"/>
      <c r="K1846" s="44"/>
      <c r="L1846" s="44"/>
      <c r="M1846" s="44"/>
    </row>
    <row r="1847" spans="2:13" x14ac:dyDescent="0.25">
      <c r="B1847" s="42"/>
      <c r="C1847" s="43" t="str">
        <f t="shared" si="84"/>
        <v/>
      </c>
      <c r="D1847" s="44" t="str">
        <f t="shared" si="85"/>
        <v/>
      </c>
      <c r="E1847" s="44" t="str">
        <f t="shared" si="86"/>
        <v/>
      </c>
      <c r="F1847" s="44"/>
      <c r="G1847" s="44"/>
      <c r="H1847" s="44"/>
      <c r="I1847" s="44"/>
      <c r="J1847" s="45"/>
      <c r="K1847" s="44"/>
      <c r="L1847" s="44"/>
      <c r="M1847" s="44"/>
    </row>
    <row r="1848" spans="2:13" x14ac:dyDescent="0.25">
      <c r="B1848" s="42"/>
      <c r="C1848" s="43" t="str">
        <f t="shared" si="84"/>
        <v/>
      </c>
      <c r="D1848" s="44" t="str">
        <f t="shared" si="85"/>
        <v/>
      </c>
      <c r="E1848" s="44" t="str">
        <f t="shared" si="86"/>
        <v/>
      </c>
      <c r="F1848" s="44"/>
      <c r="G1848" s="44"/>
      <c r="H1848" s="44"/>
      <c r="I1848" s="44"/>
      <c r="J1848" s="45"/>
      <c r="K1848" s="44"/>
      <c r="L1848" s="44"/>
      <c r="M1848" s="44"/>
    </row>
    <row r="1849" spans="2:13" x14ac:dyDescent="0.25">
      <c r="B1849" s="42"/>
      <c r="C1849" s="43" t="str">
        <f t="shared" si="84"/>
        <v/>
      </c>
      <c r="D1849" s="44" t="str">
        <f t="shared" si="85"/>
        <v/>
      </c>
      <c r="E1849" s="44" t="str">
        <f t="shared" si="86"/>
        <v/>
      </c>
      <c r="F1849" s="44"/>
      <c r="G1849" s="44"/>
      <c r="H1849" s="44"/>
      <c r="I1849" s="44"/>
      <c r="J1849" s="45"/>
      <c r="K1849" s="44"/>
      <c r="L1849" s="44"/>
      <c r="M1849" s="44"/>
    </row>
    <row r="1850" spans="2:13" x14ac:dyDescent="0.25">
      <c r="B1850" s="42"/>
      <c r="C1850" s="43" t="str">
        <f t="shared" si="84"/>
        <v/>
      </c>
      <c r="D1850" s="44" t="str">
        <f t="shared" si="85"/>
        <v/>
      </c>
      <c r="E1850" s="44" t="str">
        <f t="shared" si="86"/>
        <v/>
      </c>
      <c r="F1850" s="44"/>
      <c r="G1850" s="44"/>
      <c r="H1850" s="44"/>
      <c r="I1850" s="44"/>
      <c r="J1850" s="45"/>
      <c r="K1850" s="44"/>
      <c r="L1850" s="44"/>
      <c r="M1850" s="44"/>
    </row>
    <row r="1851" spans="2:13" x14ac:dyDescent="0.25">
      <c r="B1851" s="42"/>
      <c r="C1851" s="43" t="str">
        <f t="shared" si="84"/>
        <v/>
      </c>
      <c r="D1851" s="44" t="str">
        <f t="shared" si="85"/>
        <v/>
      </c>
      <c r="E1851" s="44" t="str">
        <f t="shared" si="86"/>
        <v/>
      </c>
      <c r="F1851" s="44"/>
      <c r="G1851" s="44"/>
      <c r="H1851" s="44"/>
      <c r="I1851" s="44"/>
      <c r="J1851" s="45"/>
      <c r="K1851" s="44"/>
      <c r="L1851" s="44"/>
      <c r="M1851" s="44"/>
    </row>
    <row r="1852" spans="2:13" x14ac:dyDescent="0.25">
      <c r="B1852" s="42"/>
      <c r="C1852" s="43" t="str">
        <f t="shared" si="84"/>
        <v/>
      </c>
      <c r="D1852" s="44" t="str">
        <f t="shared" si="85"/>
        <v/>
      </c>
      <c r="E1852" s="44" t="str">
        <f t="shared" si="86"/>
        <v/>
      </c>
      <c r="F1852" s="44"/>
      <c r="G1852" s="44"/>
      <c r="H1852" s="44"/>
      <c r="I1852" s="44"/>
      <c r="J1852" s="45"/>
      <c r="K1852" s="44"/>
      <c r="L1852" s="44"/>
      <c r="M1852" s="44"/>
    </row>
    <row r="1853" spans="2:13" x14ac:dyDescent="0.25">
      <c r="B1853" s="42"/>
      <c r="C1853" s="43" t="str">
        <f t="shared" si="84"/>
        <v/>
      </c>
      <c r="D1853" s="44" t="str">
        <f t="shared" si="85"/>
        <v/>
      </c>
      <c r="E1853" s="44" t="str">
        <f t="shared" si="86"/>
        <v/>
      </c>
      <c r="F1853" s="44"/>
      <c r="G1853" s="44"/>
      <c r="H1853" s="44"/>
      <c r="I1853" s="44"/>
      <c r="J1853" s="45"/>
      <c r="K1853" s="44"/>
      <c r="L1853" s="44"/>
      <c r="M1853" s="44"/>
    </row>
    <row r="1854" spans="2:13" x14ac:dyDescent="0.25">
      <c r="B1854" s="42"/>
      <c r="C1854" s="43" t="str">
        <f t="shared" si="84"/>
        <v/>
      </c>
      <c r="D1854" s="44" t="str">
        <f t="shared" si="85"/>
        <v/>
      </c>
      <c r="E1854" s="44" t="str">
        <f t="shared" si="86"/>
        <v/>
      </c>
      <c r="F1854" s="44"/>
      <c r="G1854" s="44"/>
      <c r="H1854" s="44"/>
      <c r="I1854" s="44"/>
      <c r="J1854" s="45"/>
      <c r="K1854" s="44"/>
      <c r="L1854" s="44"/>
      <c r="M1854" s="44"/>
    </row>
    <row r="1855" spans="2:13" x14ac:dyDescent="0.25">
      <c r="B1855" s="42"/>
      <c r="C1855" s="43" t="str">
        <f t="shared" si="84"/>
        <v/>
      </c>
      <c r="D1855" s="44" t="str">
        <f t="shared" si="85"/>
        <v/>
      </c>
      <c r="E1855" s="44" t="str">
        <f t="shared" si="86"/>
        <v/>
      </c>
      <c r="F1855" s="44"/>
      <c r="G1855" s="44"/>
      <c r="H1855" s="44"/>
      <c r="I1855" s="44"/>
      <c r="J1855" s="45"/>
      <c r="K1855" s="44"/>
      <c r="L1855" s="44"/>
      <c r="M1855" s="44"/>
    </row>
    <row r="1856" spans="2:13" x14ac:dyDescent="0.25">
      <c r="B1856" s="42"/>
      <c r="C1856" s="43" t="str">
        <f t="shared" si="84"/>
        <v/>
      </c>
      <c r="D1856" s="44" t="str">
        <f t="shared" si="85"/>
        <v/>
      </c>
      <c r="E1856" s="44" t="str">
        <f t="shared" si="86"/>
        <v/>
      </c>
      <c r="F1856" s="44"/>
      <c r="G1856" s="44"/>
      <c r="H1856" s="44"/>
      <c r="I1856" s="44"/>
      <c r="J1856" s="45"/>
      <c r="K1856" s="44"/>
      <c r="L1856" s="44"/>
      <c r="M1856" s="44"/>
    </row>
    <row r="1857" spans="2:13" x14ac:dyDescent="0.25">
      <c r="B1857" s="42"/>
      <c r="C1857" s="43" t="str">
        <f t="shared" si="84"/>
        <v/>
      </c>
      <c r="D1857" s="44" t="str">
        <f t="shared" si="85"/>
        <v/>
      </c>
      <c r="E1857" s="44" t="str">
        <f t="shared" si="86"/>
        <v/>
      </c>
      <c r="F1857" s="44"/>
      <c r="G1857" s="44"/>
      <c r="H1857" s="44"/>
      <c r="I1857" s="44"/>
      <c r="J1857" s="45"/>
      <c r="K1857" s="44"/>
      <c r="L1857" s="44"/>
      <c r="M1857" s="44"/>
    </row>
    <row r="1858" spans="2:13" x14ac:dyDescent="0.25">
      <c r="B1858" s="42"/>
      <c r="C1858" s="43" t="str">
        <f t="shared" ref="C1858:C1921" si="87">IF(B1858="","",MONTH(B1858))</f>
        <v/>
      </c>
      <c r="D1858" s="44" t="str">
        <f t="shared" ref="D1858:D1921" si="88">IF(B1858="","",CHOOSE(C1858,"Enero","Febrero","Marzo","Abril","Mayo","Junio","Julio","Agosto","Septiembre","Octubre","Noviembre","Diciembre"))</f>
        <v/>
      </c>
      <c r="E1858" s="44" t="str">
        <f t="shared" ref="E1858:E1921" si="89">IF(B1858="","",YEAR(B1858))</f>
        <v/>
      </c>
      <c r="F1858" s="44"/>
      <c r="G1858" s="44"/>
      <c r="H1858" s="44"/>
      <c r="I1858" s="44"/>
      <c r="J1858" s="45"/>
      <c r="K1858" s="44"/>
      <c r="L1858" s="44"/>
      <c r="M1858" s="44"/>
    </row>
    <row r="1859" spans="2:13" x14ac:dyDescent="0.25">
      <c r="B1859" s="42"/>
      <c r="C1859" s="43" t="str">
        <f t="shared" si="87"/>
        <v/>
      </c>
      <c r="D1859" s="44" t="str">
        <f t="shared" si="88"/>
        <v/>
      </c>
      <c r="E1859" s="44" t="str">
        <f t="shared" si="89"/>
        <v/>
      </c>
      <c r="F1859" s="44"/>
      <c r="G1859" s="44"/>
      <c r="H1859" s="44"/>
      <c r="I1859" s="44"/>
      <c r="J1859" s="45"/>
      <c r="K1859" s="44"/>
      <c r="L1859" s="44"/>
      <c r="M1859" s="44"/>
    </row>
    <row r="1860" spans="2:13" x14ac:dyDescent="0.25">
      <c r="B1860" s="42"/>
      <c r="C1860" s="43" t="str">
        <f t="shared" si="87"/>
        <v/>
      </c>
      <c r="D1860" s="44" t="str">
        <f t="shared" si="88"/>
        <v/>
      </c>
      <c r="E1860" s="44" t="str">
        <f t="shared" si="89"/>
        <v/>
      </c>
      <c r="F1860" s="44"/>
      <c r="G1860" s="44"/>
      <c r="H1860" s="44"/>
      <c r="I1860" s="44"/>
      <c r="J1860" s="45"/>
      <c r="K1860" s="44"/>
      <c r="L1860" s="44"/>
      <c r="M1860" s="44"/>
    </row>
    <row r="1861" spans="2:13" x14ac:dyDescent="0.25">
      <c r="B1861" s="42"/>
      <c r="C1861" s="43" t="str">
        <f t="shared" si="87"/>
        <v/>
      </c>
      <c r="D1861" s="44" t="str">
        <f t="shared" si="88"/>
        <v/>
      </c>
      <c r="E1861" s="44" t="str">
        <f t="shared" si="89"/>
        <v/>
      </c>
      <c r="F1861" s="44"/>
      <c r="G1861" s="44"/>
      <c r="H1861" s="44"/>
      <c r="I1861" s="44"/>
      <c r="J1861" s="45"/>
      <c r="K1861" s="44"/>
      <c r="L1861" s="44"/>
      <c r="M1861" s="44"/>
    </row>
    <row r="1862" spans="2:13" x14ac:dyDescent="0.25">
      <c r="B1862" s="42"/>
      <c r="C1862" s="43" t="str">
        <f t="shared" si="87"/>
        <v/>
      </c>
      <c r="D1862" s="44" t="str">
        <f t="shared" si="88"/>
        <v/>
      </c>
      <c r="E1862" s="44" t="str">
        <f t="shared" si="89"/>
        <v/>
      </c>
      <c r="F1862" s="44"/>
      <c r="G1862" s="44"/>
      <c r="H1862" s="44"/>
      <c r="I1862" s="44"/>
      <c r="J1862" s="45"/>
      <c r="K1862" s="44"/>
      <c r="L1862" s="44"/>
      <c r="M1862" s="44"/>
    </row>
    <row r="1863" spans="2:13" x14ac:dyDescent="0.25">
      <c r="B1863" s="42"/>
      <c r="C1863" s="43" t="str">
        <f t="shared" si="87"/>
        <v/>
      </c>
      <c r="D1863" s="44" t="str">
        <f t="shared" si="88"/>
        <v/>
      </c>
      <c r="E1863" s="44" t="str">
        <f t="shared" si="89"/>
        <v/>
      </c>
      <c r="F1863" s="44"/>
      <c r="G1863" s="44"/>
      <c r="H1863" s="44"/>
      <c r="I1863" s="44"/>
      <c r="J1863" s="45"/>
      <c r="K1863" s="44"/>
      <c r="L1863" s="44"/>
      <c r="M1863" s="44"/>
    </row>
    <row r="1864" spans="2:13" x14ac:dyDescent="0.25">
      <c r="B1864" s="42"/>
      <c r="C1864" s="43" t="str">
        <f t="shared" si="87"/>
        <v/>
      </c>
      <c r="D1864" s="44" t="str">
        <f t="shared" si="88"/>
        <v/>
      </c>
      <c r="E1864" s="44" t="str">
        <f t="shared" si="89"/>
        <v/>
      </c>
      <c r="F1864" s="44"/>
      <c r="G1864" s="44"/>
      <c r="H1864" s="44"/>
      <c r="I1864" s="44"/>
      <c r="J1864" s="45"/>
      <c r="K1864" s="44"/>
      <c r="L1864" s="44"/>
      <c r="M1864" s="44"/>
    </row>
    <row r="1865" spans="2:13" x14ac:dyDescent="0.25">
      <c r="B1865" s="42"/>
      <c r="C1865" s="43" t="str">
        <f t="shared" si="87"/>
        <v/>
      </c>
      <c r="D1865" s="44" t="str">
        <f t="shared" si="88"/>
        <v/>
      </c>
      <c r="E1865" s="44" t="str">
        <f t="shared" si="89"/>
        <v/>
      </c>
      <c r="F1865" s="44"/>
      <c r="G1865" s="44"/>
      <c r="H1865" s="44"/>
      <c r="I1865" s="44"/>
      <c r="J1865" s="45"/>
      <c r="K1865" s="44"/>
      <c r="L1865" s="44"/>
      <c r="M1865" s="44"/>
    </row>
    <row r="1866" spans="2:13" x14ac:dyDescent="0.25">
      <c r="B1866" s="42"/>
      <c r="C1866" s="43" t="str">
        <f t="shared" si="87"/>
        <v/>
      </c>
      <c r="D1866" s="44" t="str">
        <f t="shared" si="88"/>
        <v/>
      </c>
      <c r="E1866" s="44" t="str">
        <f t="shared" si="89"/>
        <v/>
      </c>
      <c r="F1866" s="44"/>
      <c r="G1866" s="44"/>
      <c r="H1866" s="44"/>
      <c r="I1866" s="44"/>
      <c r="J1866" s="45"/>
      <c r="K1866" s="44"/>
      <c r="L1866" s="44"/>
      <c r="M1866" s="44"/>
    </row>
    <row r="1867" spans="2:13" x14ac:dyDescent="0.25">
      <c r="B1867" s="42"/>
      <c r="C1867" s="43" t="str">
        <f t="shared" si="87"/>
        <v/>
      </c>
      <c r="D1867" s="44" t="str">
        <f t="shared" si="88"/>
        <v/>
      </c>
      <c r="E1867" s="44" t="str">
        <f t="shared" si="89"/>
        <v/>
      </c>
      <c r="F1867" s="44"/>
      <c r="G1867" s="44"/>
      <c r="H1867" s="44"/>
      <c r="I1867" s="44"/>
      <c r="J1867" s="45"/>
      <c r="K1867" s="44"/>
      <c r="L1867" s="44"/>
      <c r="M1867" s="44"/>
    </row>
    <row r="1868" spans="2:13" x14ac:dyDescent="0.25">
      <c r="B1868" s="42"/>
      <c r="C1868" s="43" t="str">
        <f t="shared" si="87"/>
        <v/>
      </c>
      <c r="D1868" s="44" t="str">
        <f t="shared" si="88"/>
        <v/>
      </c>
      <c r="E1868" s="44" t="str">
        <f t="shared" si="89"/>
        <v/>
      </c>
      <c r="F1868" s="44"/>
      <c r="G1868" s="44"/>
      <c r="H1868" s="44"/>
      <c r="I1868" s="44"/>
      <c r="J1868" s="45"/>
      <c r="K1868" s="44"/>
      <c r="L1868" s="44"/>
      <c r="M1868" s="44"/>
    </row>
    <row r="1869" spans="2:13" x14ac:dyDescent="0.25">
      <c r="B1869" s="42"/>
      <c r="C1869" s="43" t="str">
        <f t="shared" si="87"/>
        <v/>
      </c>
      <c r="D1869" s="44" t="str">
        <f t="shared" si="88"/>
        <v/>
      </c>
      <c r="E1869" s="44" t="str">
        <f t="shared" si="89"/>
        <v/>
      </c>
      <c r="F1869" s="44"/>
      <c r="G1869" s="44"/>
      <c r="H1869" s="44"/>
      <c r="I1869" s="44"/>
      <c r="J1869" s="45"/>
      <c r="K1869" s="44"/>
      <c r="L1869" s="44"/>
      <c r="M1869" s="44"/>
    </row>
    <row r="1870" spans="2:13" x14ac:dyDescent="0.25">
      <c r="B1870" s="42"/>
      <c r="C1870" s="43" t="str">
        <f t="shared" si="87"/>
        <v/>
      </c>
      <c r="D1870" s="44" t="str">
        <f t="shared" si="88"/>
        <v/>
      </c>
      <c r="E1870" s="44" t="str">
        <f t="shared" si="89"/>
        <v/>
      </c>
      <c r="F1870" s="44"/>
      <c r="G1870" s="44"/>
      <c r="H1870" s="44"/>
      <c r="I1870" s="44"/>
      <c r="J1870" s="45"/>
      <c r="K1870" s="44"/>
      <c r="L1870" s="44"/>
      <c r="M1870" s="44"/>
    </row>
    <row r="1871" spans="2:13" x14ac:dyDescent="0.25">
      <c r="B1871" s="42"/>
      <c r="C1871" s="43" t="str">
        <f t="shared" si="87"/>
        <v/>
      </c>
      <c r="D1871" s="44" t="str">
        <f t="shared" si="88"/>
        <v/>
      </c>
      <c r="E1871" s="44" t="str">
        <f t="shared" si="89"/>
        <v/>
      </c>
      <c r="F1871" s="44"/>
      <c r="G1871" s="44"/>
      <c r="H1871" s="44"/>
      <c r="I1871" s="44"/>
      <c r="J1871" s="45"/>
      <c r="K1871" s="44"/>
      <c r="L1871" s="44"/>
      <c r="M1871" s="44"/>
    </row>
    <row r="1872" spans="2:13" x14ac:dyDescent="0.25">
      <c r="B1872" s="42"/>
      <c r="C1872" s="43" t="str">
        <f t="shared" si="87"/>
        <v/>
      </c>
      <c r="D1872" s="44" t="str">
        <f t="shared" si="88"/>
        <v/>
      </c>
      <c r="E1872" s="44" t="str">
        <f t="shared" si="89"/>
        <v/>
      </c>
      <c r="F1872" s="44"/>
      <c r="G1872" s="44"/>
      <c r="H1872" s="44"/>
      <c r="I1872" s="44"/>
      <c r="J1872" s="45"/>
      <c r="K1872" s="44"/>
      <c r="L1872" s="44"/>
      <c r="M1872" s="44"/>
    </row>
    <row r="1873" spans="2:13" x14ac:dyDescent="0.25">
      <c r="B1873" s="42"/>
      <c r="C1873" s="43" t="str">
        <f t="shared" si="87"/>
        <v/>
      </c>
      <c r="D1873" s="44" t="str">
        <f t="shared" si="88"/>
        <v/>
      </c>
      <c r="E1873" s="44" t="str">
        <f t="shared" si="89"/>
        <v/>
      </c>
      <c r="F1873" s="44"/>
      <c r="G1873" s="44"/>
      <c r="H1873" s="44"/>
      <c r="I1873" s="44"/>
      <c r="J1873" s="45"/>
      <c r="K1873" s="44"/>
      <c r="L1873" s="44"/>
      <c r="M1873" s="44"/>
    </row>
    <row r="1874" spans="2:13" x14ac:dyDescent="0.25">
      <c r="B1874" s="42"/>
      <c r="C1874" s="43" t="str">
        <f t="shared" si="87"/>
        <v/>
      </c>
      <c r="D1874" s="44" t="str">
        <f t="shared" si="88"/>
        <v/>
      </c>
      <c r="E1874" s="44" t="str">
        <f t="shared" si="89"/>
        <v/>
      </c>
      <c r="F1874" s="44"/>
      <c r="G1874" s="44"/>
      <c r="H1874" s="44"/>
      <c r="I1874" s="44"/>
      <c r="J1874" s="45"/>
      <c r="K1874" s="44"/>
      <c r="L1874" s="44"/>
      <c r="M1874" s="44"/>
    </row>
    <row r="1875" spans="2:13" x14ac:dyDescent="0.25">
      <c r="B1875" s="42"/>
      <c r="C1875" s="43" t="str">
        <f t="shared" si="87"/>
        <v/>
      </c>
      <c r="D1875" s="44" t="str">
        <f t="shared" si="88"/>
        <v/>
      </c>
      <c r="E1875" s="44" t="str">
        <f t="shared" si="89"/>
        <v/>
      </c>
      <c r="F1875" s="44"/>
      <c r="G1875" s="44"/>
      <c r="H1875" s="44"/>
      <c r="I1875" s="44"/>
      <c r="J1875" s="45"/>
      <c r="K1875" s="44"/>
      <c r="L1875" s="44"/>
      <c r="M1875" s="44"/>
    </row>
    <row r="1876" spans="2:13" x14ac:dyDescent="0.25">
      <c r="B1876" s="42"/>
      <c r="C1876" s="43" t="str">
        <f t="shared" si="87"/>
        <v/>
      </c>
      <c r="D1876" s="44" t="str">
        <f t="shared" si="88"/>
        <v/>
      </c>
      <c r="E1876" s="44" t="str">
        <f t="shared" si="89"/>
        <v/>
      </c>
      <c r="F1876" s="44"/>
      <c r="G1876" s="44"/>
      <c r="H1876" s="44"/>
      <c r="I1876" s="44"/>
      <c r="J1876" s="45"/>
      <c r="K1876" s="44"/>
      <c r="L1876" s="44"/>
      <c r="M1876" s="44"/>
    </row>
    <row r="1877" spans="2:13" x14ac:dyDescent="0.25">
      <c r="B1877" s="42"/>
      <c r="C1877" s="43" t="str">
        <f t="shared" si="87"/>
        <v/>
      </c>
      <c r="D1877" s="44" t="str">
        <f t="shared" si="88"/>
        <v/>
      </c>
      <c r="E1877" s="44" t="str">
        <f t="shared" si="89"/>
        <v/>
      </c>
      <c r="F1877" s="44"/>
      <c r="G1877" s="44"/>
      <c r="H1877" s="44"/>
      <c r="I1877" s="44"/>
      <c r="J1877" s="45"/>
      <c r="K1877" s="44"/>
      <c r="L1877" s="44"/>
      <c r="M1877" s="44"/>
    </row>
    <row r="1878" spans="2:13" x14ac:dyDescent="0.25">
      <c r="B1878" s="42"/>
      <c r="C1878" s="43" t="str">
        <f t="shared" si="87"/>
        <v/>
      </c>
      <c r="D1878" s="44" t="str">
        <f t="shared" si="88"/>
        <v/>
      </c>
      <c r="E1878" s="44" t="str">
        <f t="shared" si="89"/>
        <v/>
      </c>
      <c r="F1878" s="44"/>
      <c r="G1878" s="44"/>
      <c r="H1878" s="44"/>
      <c r="I1878" s="44"/>
      <c r="J1878" s="45"/>
      <c r="K1878" s="44"/>
      <c r="L1878" s="44"/>
      <c r="M1878" s="44"/>
    </row>
    <row r="1879" spans="2:13" x14ac:dyDescent="0.25">
      <c r="B1879" s="42"/>
      <c r="C1879" s="43" t="str">
        <f t="shared" si="87"/>
        <v/>
      </c>
      <c r="D1879" s="44" t="str">
        <f t="shared" si="88"/>
        <v/>
      </c>
      <c r="E1879" s="44" t="str">
        <f t="shared" si="89"/>
        <v/>
      </c>
      <c r="F1879" s="44"/>
      <c r="G1879" s="44"/>
      <c r="H1879" s="44"/>
      <c r="I1879" s="44"/>
      <c r="J1879" s="45"/>
      <c r="K1879" s="44"/>
      <c r="L1879" s="44"/>
      <c r="M1879" s="44"/>
    </row>
    <row r="1880" spans="2:13" x14ac:dyDescent="0.25">
      <c r="B1880" s="42"/>
      <c r="C1880" s="43" t="str">
        <f t="shared" si="87"/>
        <v/>
      </c>
      <c r="D1880" s="44" t="str">
        <f t="shared" si="88"/>
        <v/>
      </c>
      <c r="E1880" s="44" t="str">
        <f t="shared" si="89"/>
        <v/>
      </c>
      <c r="F1880" s="44"/>
      <c r="G1880" s="44"/>
      <c r="H1880" s="44"/>
      <c r="I1880" s="44"/>
      <c r="J1880" s="45"/>
      <c r="K1880" s="44"/>
      <c r="L1880" s="44"/>
      <c r="M1880" s="44"/>
    </row>
    <row r="1881" spans="2:13" x14ac:dyDescent="0.25">
      <c r="B1881" s="42"/>
      <c r="C1881" s="43" t="str">
        <f t="shared" si="87"/>
        <v/>
      </c>
      <c r="D1881" s="44" t="str">
        <f t="shared" si="88"/>
        <v/>
      </c>
      <c r="E1881" s="44" t="str">
        <f t="shared" si="89"/>
        <v/>
      </c>
      <c r="F1881" s="44"/>
      <c r="G1881" s="44"/>
      <c r="H1881" s="44"/>
      <c r="I1881" s="44"/>
      <c r="J1881" s="45"/>
      <c r="K1881" s="44"/>
      <c r="L1881" s="44"/>
      <c r="M1881" s="44"/>
    </row>
    <row r="1882" spans="2:13" x14ac:dyDescent="0.25">
      <c r="B1882" s="42"/>
      <c r="C1882" s="43" t="str">
        <f t="shared" si="87"/>
        <v/>
      </c>
      <c r="D1882" s="44" t="str">
        <f t="shared" si="88"/>
        <v/>
      </c>
      <c r="E1882" s="44" t="str">
        <f t="shared" si="89"/>
        <v/>
      </c>
      <c r="F1882" s="44"/>
      <c r="G1882" s="44"/>
      <c r="H1882" s="44"/>
      <c r="I1882" s="44"/>
      <c r="J1882" s="45"/>
      <c r="K1882" s="44"/>
      <c r="L1882" s="44"/>
      <c r="M1882" s="44"/>
    </row>
    <row r="1883" spans="2:13" x14ac:dyDescent="0.25">
      <c r="B1883" s="42"/>
      <c r="C1883" s="43" t="str">
        <f t="shared" si="87"/>
        <v/>
      </c>
      <c r="D1883" s="44" t="str">
        <f t="shared" si="88"/>
        <v/>
      </c>
      <c r="E1883" s="44" t="str">
        <f t="shared" si="89"/>
        <v/>
      </c>
      <c r="F1883" s="44"/>
      <c r="G1883" s="44"/>
      <c r="H1883" s="44"/>
      <c r="I1883" s="44"/>
      <c r="J1883" s="45"/>
      <c r="K1883" s="44"/>
      <c r="L1883" s="44"/>
      <c r="M1883" s="44"/>
    </row>
    <row r="1884" spans="2:13" x14ac:dyDescent="0.25">
      <c r="B1884" s="42"/>
      <c r="C1884" s="43" t="str">
        <f t="shared" si="87"/>
        <v/>
      </c>
      <c r="D1884" s="44" t="str">
        <f t="shared" si="88"/>
        <v/>
      </c>
      <c r="E1884" s="44" t="str">
        <f t="shared" si="89"/>
        <v/>
      </c>
      <c r="F1884" s="44"/>
      <c r="G1884" s="44"/>
      <c r="H1884" s="44"/>
      <c r="I1884" s="44"/>
      <c r="J1884" s="45"/>
      <c r="K1884" s="44"/>
      <c r="L1884" s="44"/>
      <c r="M1884" s="44"/>
    </row>
    <row r="1885" spans="2:13" x14ac:dyDescent="0.25">
      <c r="B1885" s="42"/>
      <c r="C1885" s="43" t="str">
        <f t="shared" si="87"/>
        <v/>
      </c>
      <c r="D1885" s="44" t="str">
        <f t="shared" si="88"/>
        <v/>
      </c>
      <c r="E1885" s="44" t="str">
        <f t="shared" si="89"/>
        <v/>
      </c>
      <c r="F1885" s="44"/>
      <c r="G1885" s="44"/>
      <c r="H1885" s="44"/>
      <c r="I1885" s="44"/>
      <c r="J1885" s="45"/>
      <c r="K1885" s="44"/>
      <c r="L1885" s="44"/>
      <c r="M1885" s="44"/>
    </row>
    <row r="1886" spans="2:13" x14ac:dyDescent="0.25">
      <c r="B1886" s="42"/>
      <c r="C1886" s="43" t="str">
        <f t="shared" si="87"/>
        <v/>
      </c>
      <c r="D1886" s="44" t="str">
        <f t="shared" si="88"/>
        <v/>
      </c>
      <c r="E1886" s="44" t="str">
        <f t="shared" si="89"/>
        <v/>
      </c>
      <c r="F1886" s="44"/>
      <c r="G1886" s="44"/>
      <c r="H1886" s="44"/>
      <c r="I1886" s="44"/>
      <c r="J1886" s="45"/>
      <c r="K1886" s="44"/>
      <c r="L1886" s="44"/>
      <c r="M1886" s="44"/>
    </row>
    <row r="1887" spans="2:13" x14ac:dyDescent="0.25">
      <c r="B1887" s="42"/>
      <c r="C1887" s="43" t="str">
        <f t="shared" si="87"/>
        <v/>
      </c>
      <c r="D1887" s="44" t="str">
        <f t="shared" si="88"/>
        <v/>
      </c>
      <c r="E1887" s="44" t="str">
        <f t="shared" si="89"/>
        <v/>
      </c>
      <c r="F1887" s="44"/>
      <c r="G1887" s="44"/>
      <c r="H1887" s="44"/>
      <c r="I1887" s="44"/>
      <c r="J1887" s="45"/>
      <c r="K1887" s="44"/>
      <c r="L1887" s="44"/>
      <c r="M1887" s="44"/>
    </row>
    <row r="1888" spans="2:13" x14ac:dyDescent="0.25">
      <c r="B1888" s="42"/>
      <c r="C1888" s="43" t="str">
        <f t="shared" si="87"/>
        <v/>
      </c>
      <c r="D1888" s="44" t="str">
        <f t="shared" si="88"/>
        <v/>
      </c>
      <c r="E1888" s="44" t="str">
        <f t="shared" si="89"/>
        <v/>
      </c>
      <c r="F1888" s="44"/>
      <c r="G1888" s="44"/>
      <c r="H1888" s="44"/>
      <c r="I1888" s="44"/>
      <c r="J1888" s="45"/>
      <c r="K1888" s="44"/>
      <c r="L1888" s="44"/>
      <c r="M1888" s="44"/>
    </row>
    <row r="1889" spans="2:13" x14ac:dyDescent="0.25">
      <c r="B1889" s="42"/>
      <c r="C1889" s="43" t="str">
        <f t="shared" si="87"/>
        <v/>
      </c>
      <c r="D1889" s="44" t="str">
        <f t="shared" si="88"/>
        <v/>
      </c>
      <c r="E1889" s="44" t="str">
        <f t="shared" si="89"/>
        <v/>
      </c>
      <c r="F1889" s="44"/>
      <c r="G1889" s="44"/>
      <c r="H1889" s="44"/>
      <c r="I1889" s="44"/>
      <c r="J1889" s="45"/>
      <c r="K1889" s="44"/>
      <c r="L1889" s="44"/>
      <c r="M1889" s="44"/>
    </row>
    <row r="1890" spans="2:13" x14ac:dyDescent="0.25">
      <c r="B1890" s="42"/>
      <c r="C1890" s="43" t="str">
        <f t="shared" si="87"/>
        <v/>
      </c>
      <c r="D1890" s="44" t="str">
        <f t="shared" si="88"/>
        <v/>
      </c>
      <c r="E1890" s="44" t="str">
        <f t="shared" si="89"/>
        <v/>
      </c>
      <c r="F1890" s="44"/>
      <c r="G1890" s="44"/>
      <c r="H1890" s="44"/>
      <c r="I1890" s="44"/>
      <c r="J1890" s="45"/>
      <c r="K1890" s="44"/>
      <c r="L1890" s="44"/>
      <c r="M1890" s="44"/>
    </row>
    <row r="1891" spans="2:13" x14ac:dyDescent="0.25">
      <c r="B1891" s="42"/>
      <c r="C1891" s="43" t="str">
        <f t="shared" si="87"/>
        <v/>
      </c>
      <c r="D1891" s="44" t="str">
        <f t="shared" si="88"/>
        <v/>
      </c>
      <c r="E1891" s="44" t="str">
        <f t="shared" si="89"/>
        <v/>
      </c>
      <c r="F1891" s="44"/>
      <c r="G1891" s="44"/>
      <c r="H1891" s="44"/>
      <c r="I1891" s="44"/>
      <c r="J1891" s="45"/>
      <c r="K1891" s="44"/>
      <c r="L1891" s="44"/>
      <c r="M1891" s="44"/>
    </row>
    <row r="1892" spans="2:13" x14ac:dyDescent="0.25">
      <c r="B1892" s="42"/>
      <c r="C1892" s="43" t="str">
        <f t="shared" si="87"/>
        <v/>
      </c>
      <c r="D1892" s="44" t="str">
        <f t="shared" si="88"/>
        <v/>
      </c>
      <c r="E1892" s="44" t="str">
        <f t="shared" si="89"/>
        <v/>
      </c>
      <c r="F1892" s="44"/>
      <c r="G1892" s="44"/>
      <c r="H1892" s="44"/>
      <c r="I1892" s="44"/>
      <c r="J1892" s="45"/>
      <c r="K1892" s="44"/>
      <c r="L1892" s="44"/>
      <c r="M1892" s="44"/>
    </row>
    <row r="1893" spans="2:13" x14ac:dyDescent="0.25">
      <c r="B1893" s="42"/>
      <c r="C1893" s="43" t="str">
        <f t="shared" si="87"/>
        <v/>
      </c>
      <c r="D1893" s="44" t="str">
        <f t="shared" si="88"/>
        <v/>
      </c>
      <c r="E1893" s="44" t="str">
        <f t="shared" si="89"/>
        <v/>
      </c>
      <c r="F1893" s="44"/>
      <c r="G1893" s="44"/>
      <c r="H1893" s="44"/>
      <c r="I1893" s="44"/>
      <c r="J1893" s="45"/>
      <c r="K1893" s="44"/>
      <c r="L1893" s="44"/>
      <c r="M1893" s="44"/>
    </row>
    <row r="1894" spans="2:13" x14ac:dyDescent="0.25">
      <c r="B1894" s="42"/>
      <c r="C1894" s="43" t="str">
        <f t="shared" si="87"/>
        <v/>
      </c>
      <c r="D1894" s="44" t="str">
        <f t="shared" si="88"/>
        <v/>
      </c>
      <c r="E1894" s="44" t="str">
        <f t="shared" si="89"/>
        <v/>
      </c>
      <c r="F1894" s="44"/>
      <c r="G1894" s="44"/>
      <c r="H1894" s="44"/>
      <c r="I1894" s="44"/>
      <c r="J1894" s="45"/>
      <c r="K1894" s="44"/>
      <c r="L1894" s="44"/>
      <c r="M1894" s="44"/>
    </row>
    <row r="1895" spans="2:13" x14ac:dyDescent="0.25">
      <c r="B1895" s="42"/>
      <c r="C1895" s="43" t="str">
        <f t="shared" si="87"/>
        <v/>
      </c>
      <c r="D1895" s="44" t="str">
        <f t="shared" si="88"/>
        <v/>
      </c>
      <c r="E1895" s="44" t="str">
        <f t="shared" si="89"/>
        <v/>
      </c>
      <c r="F1895" s="44"/>
      <c r="G1895" s="44"/>
      <c r="H1895" s="44"/>
      <c r="I1895" s="44"/>
      <c r="J1895" s="45"/>
      <c r="K1895" s="44"/>
      <c r="L1895" s="44"/>
      <c r="M1895" s="44"/>
    </row>
    <row r="1896" spans="2:13" x14ac:dyDescent="0.25">
      <c r="B1896" s="42"/>
      <c r="C1896" s="43" t="str">
        <f t="shared" si="87"/>
        <v/>
      </c>
      <c r="D1896" s="44" t="str">
        <f t="shared" si="88"/>
        <v/>
      </c>
      <c r="E1896" s="44" t="str">
        <f t="shared" si="89"/>
        <v/>
      </c>
      <c r="F1896" s="44"/>
      <c r="G1896" s="44"/>
      <c r="H1896" s="44"/>
      <c r="I1896" s="44"/>
      <c r="J1896" s="45"/>
      <c r="K1896" s="44"/>
      <c r="L1896" s="44"/>
      <c r="M1896" s="44"/>
    </row>
    <row r="1897" spans="2:13" x14ac:dyDescent="0.25">
      <c r="B1897" s="42"/>
      <c r="C1897" s="43" t="str">
        <f t="shared" si="87"/>
        <v/>
      </c>
      <c r="D1897" s="44" t="str">
        <f t="shared" si="88"/>
        <v/>
      </c>
      <c r="E1897" s="44" t="str">
        <f t="shared" si="89"/>
        <v/>
      </c>
      <c r="F1897" s="44"/>
      <c r="G1897" s="44"/>
      <c r="H1897" s="44"/>
      <c r="I1897" s="44"/>
      <c r="J1897" s="45"/>
      <c r="K1897" s="44"/>
      <c r="L1897" s="44"/>
      <c r="M1897" s="44"/>
    </row>
    <row r="1898" spans="2:13" x14ac:dyDescent="0.25">
      <c r="B1898" s="42"/>
      <c r="C1898" s="43" t="str">
        <f t="shared" si="87"/>
        <v/>
      </c>
      <c r="D1898" s="44" t="str">
        <f t="shared" si="88"/>
        <v/>
      </c>
      <c r="E1898" s="44" t="str">
        <f t="shared" si="89"/>
        <v/>
      </c>
      <c r="F1898" s="44"/>
      <c r="G1898" s="44"/>
      <c r="H1898" s="44"/>
      <c r="I1898" s="44"/>
      <c r="J1898" s="45"/>
      <c r="K1898" s="44"/>
      <c r="L1898" s="44"/>
      <c r="M1898" s="44"/>
    </row>
    <row r="1899" spans="2:13" x14ac:dyDescent="0.25">
      <c r="B1899" s="42"/>
      <c r="C1899" s="43" t="str">
        <f t="shared" si="87"/>
        <v/>
      </c>
      <c r="D1899" s="44" t="str">
        <f t="shared" si="88"/>
        <v/>
      </c>
      <c r="E1899" s="44" t="str">
        <f t="shared" si="89"/>
        <v/>
      </c>
      <c r="F1899" s="44"/>
      <c r="G1899" s="44"/>
      <c r="H1899" s="44"/>
      <c r="I1899" s="44"/>
      <c r="J1899" s="45"/>
      <c r="K1899" s="44"/>
      <c r="L1899" s="44"/>
      <c r="M1899" s="44"/>
    </row>
    <row r="1900" spans="2:13" x14ac:dyDescent="0.25">
      <c r="B1900" s="42"/>
      <c r="C1900" s="43" t="str">
        <f t="shared" si="87"/>
        <v/>
      </c>
      <c r="D1900" s="44" t="str">
        <f t="shared" si="88"/>
        <v/>
      </c>
      <c r="E1900" s="44" t="str">
        <f t="shared" si="89"/>
        <v/>
      </c>
      <c r="F1900" s="44"/>
      <c r="G1900" s="44"/>
      <c r="H1900" s="44"/>
      <c r="I1900" s="44"/>
      <c r="J1900" s="45"/>
      <c r="K1900" s="44"/>
      <c r="L1900" s="44"/>
      <c r="M1900" s="44"/>
    </row>
    <row r="1901" spans="2:13" x14ac:dyDescent="0.25">
      <c r="B1901" s="42"/>
      <c r="C1901" s="43" t="str">
        <f t="shared" si="87"/>
        <v/>
      </c>
      <c r="D1901" s="44" t="str">
        <f t="shared" si="88"/>
        <v/>
      </c>
      <c r="E1901" s="44" t="str">
        <f t="shared" si="89"/>
        <v/>
      </c>
      <c r="F1901" s="44"/>
      <c r="G1901" s="44"/>
      <c r="H1901" s="44"/>
      <c r="I1901" s="44"/>
      <c r="J1901" s="45"/>
      <c r="K1901" s="44"/>
      <c r="L1901" s="44"/>
      <c r="M1901" s="44"/>
    </row>
    <row r="1902" spans="2:13" x14ac:dyDescent="0.25">
      <c r="B1902" s="42"/>
      <c r="C1902" s="43" t="str">
        <f t="shared" si="87"/>
        <v/>
      </c>
      <c r="D1902" s="44" t="str">
        <f t="shared" si="88"/>
        <v/>
      </c>
      <c r="E1902" s="44" t="str">
        <f t="shared" si="89"/>
        <v/>
      </c>
      <c r="F1902" s="44"/>
      <c r="G1902" s="44"/>
      <c r="H1902" s="44"/>
      <c r="I1902" s="44"/>
      <c r="J1902" s="45"/>
      <c r="K1902" s="44"/>
      <c r="L1902" s="44"/>
      <c r="M1902" s="44"/>
    </row>
    <row r="1903" spans="2:13" x14ac:dyDescent="0.25">
      <c r="B1903" s="42"/>
      <c r="C1903" s="43" t="str">
        <f t="shared" si="87"/>
        <v/>
      </c>
      <c r="D1903" s="44" t="str">
        <f t="shared" si="88"/>
        <v/>
      </c>
      <c r="E1903" s="44" t="str">
        <f t="shared" si="89"/>
        <v/>
      </c>
      <c r="F1903" s="44"/>
      <c r="G1903" s="44"/>
      <c r="H1903" s="44"/>
      <c r="I1903" s="44"/>
      <c r="J1903" s="45"/>
      <c r="K1903" s="44"/>
      <c r="L1903" s="44"/>
      <c r="M1903" s="44"/>
    </row>
    <row r="1904" spans="2:13" x14ac:dyDescent="0.25">
      <c r="B1904" s="42"/>
      <c r="C1904" s="43" t="str">
        <f t="shared" si="87"/>
        <v/>
      </c>
      <c r="D1904" s="44" t="str">
        <f t="shared" si="88"/>
        <v/>
      </c>
      <c r="E1904" s="44" t="str">
        <f t="shared" si="89"/>
        <v/>
      </c>
      <c r="F1904" s="44"/>
      <c r="G1904" s="44"/>
      <c r="H1904" s="44"/>
      <c r="I1904" s="44"/>
      <c r="J1904" s="45"/>
      <c r="K1904" s="44"/>
      <c r="L1904" s="44"/>
      <c r="M1904" s="44"/>
    </row>
    <row r="1905" spans="2:13" x14ac:dyDescent="0.25">
      <c r="B1905" s="42"/>
      <c r="C1905" s="43" t="str">
        <f t="shared" si="87"/>
        <v/>
      </c>
      <c r="D1905" s="44" t="str">
        <f t="shared" si="88"/>
        <v/>
      </c>
      <c r="E1905" s="44" t="str">
        <f t="shared" si="89"/>
        <v/>
      </c>
      <c r="F1905" s="44"/>
      <c r="G1905" s="44"/>
      <c r="H1905" s="44"/>
      <c r="I1905" s="44"/>
      <c r="J1905" s="45"/>
      <c r="K1905" s="44"/>
      <c r="L1905" s="44"/>
      <c r="M1905" s="44"/>
    </row>
    <row r="1906" spans="2:13" x14ac:dyDescent="0.25">
      <c r="B1906" s="42"/>
      <c r="C1906" s="43" t="str">
        <f t="shared" si="87"/>
        <v/>
      </c>
      <c r="D1906" s="44" t="str">
        <f t="shared" si="88"/>
        <v/>
      </c>
      <c r="E1906" s="44" t="str">
        <f t="shared" si="89"/>
        <v/>
      </c>
      <c r="F1906" s="44"/>
      <c r="G1906" s="44"/>
      <c r="H1906" s="44"/>
      <c r="I1906" s="44"/>
      <c r="J1906" s="45"/>
      <c r="K1906" s="44"/>
      <c r="L1906" s="44"/>
      <c r="M1906" s="44"/>
    </row>
    <row r="1907" spans="2:13" x14ac:dyDescent="0.25">
      <c r="B1907" s="42"/>
      <c r="C1907" s="43" t="str">
        <f t="shared" si="87"/>
        <v/>
      </c>
      <c r="D1907" s="44" t="str">
        <f t="shared" si="88"/>
        <v/>
      </c>
      <c r="E1907" s="44" t="str">
        <f t="shared" si="89"/>
        <v/>
      </c>
      <c r="F1907" s="44"/>
      <c r="G1907" s="44"/>
      <c r="H1907" s="44"/>
      <c r="I1907" s="44"/>
      <c r="J1907" s="45"/>
      <c r="K1907" s="44"/>
      <c r="L1907" s="44"/>
      <c r="M1907" s="44"/>
    </row>
    <row r="1908" spans="2:13" x14ac:dyDescent="0.25">
      <c r="B1908" s="42"/>
      <c r="C1908" s="43" t="str">
        <f t="shared" si="87"/>
        <v/>
      </c>
      <c r="D1908" s="44" t="str">
        <f t="shared" si="88"/>
        <v/>
      </c>
      <c r="E1908" s="44" t="str">
        <f t="shared" si="89"/>
        <v/>
      </c>
      <c r="F1908" s="44"/>
      <c r="G1908" s="44"/>
      <c r="H1908" s="44"/>
      <c r="I1908" s="44"/>
      <c r="J1908" s="45"/>
      <c r="K1908" s="44"/>
      <c r="L1908" s="44"/>
      <c r="M1908" s="44"/>
    </row>
    <row r="1909" spans="2:13" x14ac:dyDescent="0.25">
      <c r="B1909" s="42"/>
      <c r="C1909" s="43" t="str">
        <f t="shared" si="87"/>
        <v/>
      </c>
      <c r="D1909" s="44" t="str">
        <f t="shared" si="88"/>
        <v/>
      </c>
      <c r="E1909" s="44" t="str">
        <f t="shared" si="89"/>
        <v/>
      </c>
      <c r="F1909" s="44"/>
      <c r="G1909" s="44"/>
      <c r="H1909" s="44"/>
      <c r="I1909" s="44"/>
      <c r="J1909" s="45"/>
      <c r="K1909" s="44"/>
      <c r="L1909" s="44"/>
      <c r="M1909" s="44"/>
    </row>
    <row r="1910" spans="2:13" x14ac:dyDescent="0.25">
      <c r="B1910" s="42"/>
      <c r="C1910" s="43" t="str">
        <f t="shared" si="87"/>
        <v/>
      </c>
      <c r="D1910" s="44" t="str">
        <f t="shared" si="88"/>
        <v/>
      </c>
      <c r="E1910" s="44" t="str">
        <f t="shared" si="89"/>
        <v/>
      </c>
      <c r="F1910" s="44"/>
      <c r="G1910" s="44"/>
      <c r="H1910" s="44"/>
      <c r="I1910" s="44"/>
      <c r="J1910" s="45"/>
      <c r="K1910" s="44"/>
      <c r="L1910" s="44"/>
      <c r="M1910" s="44"/>
    </row>
    <row r="1911" spans="2:13" x14ac:dyDescent="0.25">
      <c r="B1911" s="42"/>
      <c r="C1911" s="43" t="str">
        <f t="shared" si="87"/>
        <v/>
      </c>
      <c r="D1911" s="44" t="str">
        <f t="shared" si="88"/>
        <v/>
      </c>
      <c r="E1911" s="44" t="str">
        <f t="shared" si="89"/>
        <v/>
      </c>
      <c r="F1911" s="44"/>
      <c r="G1911" s="44"/>
      <c r="H1911" s="44"/>
      <c r="I1911" s="44"/>
      <c r="J1911" s="45"/>
      <c r="K1911" s="44"/>
      <c r="L1911" s="44"/>
      <c r="M1911" s="44"/>
    </row>
    <row r="1912" spans="2:13" x14ac:dyDescent="0.25">
      <c r="B1912" s="42"/>
      <c r="C1912" s="43" t="str">
        <f t="shared" si="87"/>
        <v/>
      </c>
      <c r="D1912" s="44" t="str">
        <f t="shared" si="88"/>
        <v/>
      </c>
      <c r="E1912" s="44" t="str">
        <f t="shared" si="89"/>
        <v/>
      </c>
      <c r="F1912" s="44"/>
      <c r="G1912" s="44"/>
      <c r="H1912" s="44"/>
      <c r="I1912" s="44"/>
      <c r="J1912" s="45"/>
      <c r="K1912" s="44"/>
      <c r="L1912" s="44"/>
      <c r="M1912" s="44"/>
    </row>
    <row r="1913" spans="2:13" x14ac:dyDescent="0.25">
      <c r="B1913" s="42"/>
      <c r="C1913" s="43" t="str">
        <f t="shared" si="87"/>
        <v/>
      </c>
      <c r="D1913" s="44" t="str">
        <f t="shared" si="88"/>
        <v/>
      </c>
      <c r="E1913" s="44" t="str">
        <f t="shared" si="89"/>
        <v/>
      </c>
      <c r="F1913" s="44"/>
      <c r="G1913" s="44"/>
      <c r="H1913" s="44"/>
      <c r="I1913" s="44"/>
      <c r="J1913" s="45"/>
      <c r="K1913" s="44"/>
      <c r="L1913" s="44"/>
      <c r="M1913" s="44"/>
    </row>
    <row r="1914" spans="2:13" x14ac:dyDescent="0.25">
      <c r="B1914" s="42"/>
      <c r="C1914" s="43" t="str">
        <f t="shared" si="87"/>
        <v/>
      </c>
      <c r="D1914" s="44" t="str">
        <f t="shared" si="88"/>
        <v/>
      </c>
      <c r="E1914" s="44" t="str">
        <f t="shared" si="89"/>
        <v/>
      </c>
      <c r="F1914" s="44"/>
      <c r="G1914" s="44"/>
      <c r="H1914" s="44"/>
      <c r="I1914" s="44"/>
      <c r="J1914" s="45"/>
      <c r="K1914" s="44"/>
      <c r="L1914" s="44"/>
      <c r="M1914" s="44"/>
    </row>
    <row r="1915" spans="2:13" x14ac:dyDescent="0.25">
      <c r="B1915" s="42"/>
      <c r="C1915" s="43" t="str">
        <f t="shared" si="87"/>
        <v/>
      </c>
      <c r="D1915" s="44" t="str">
        <f t="shared" si="88"/>
        <v/>
      </c>
      <c r="E1915" s="44" t="str">
        <f t="shared" si="89"/>
        <v/>
      </c>
      <c r="F1915" s="44"/>
      <c r="G1915" s="44"/>
      <c r="H1915" s="44"/>
      <c r="I1915" s="44"/>
      <c r="J1915" s="45"/>
      <c r="K1915" s="44"/>
      <c r="L1915" s="44"/>
      <c r="M1915" s="44"/>
    </row>
    <row r="1916" spans="2:13" x14ac:dyDescent="0.25">
      <c r="B1916" s="42"/>
      <c r="C1916" s="43" t="str">
        <f t="shared" si="87"/>
        <v/>
      </c>
      <c r="D1916" s="44" t="str">
        <f t="shared" si="88"/>
        <v/>
      </c>
      <c r="E1916" s="44" t="str">
        <f t="shared" si="89"/>
        <v/>
      </c>
      <c r="F1916" s="44"/>
      <c r="G1916" s="44"/>
      <c r="H1916" s="44"/>
      <c r="I1916" s="44"/>
      <c r="J1916" s="45"/>
      <c r="K1916" s="44"/>
      <c r="L1916" s="44"/>
      <c r="M1916" s="44"/>
    </row>
    <row r="1917" spans="2:13" x14ac:dyDescent="0.25">
      <c r="B1917" s="42"/>
      <c r="C1917" s="43" t="str">
        <f t="shared" si="87"/>
        <v/>
      </c>
      <c r="D1917" s="44" t="str">
        <f t="shared" si="88"/>
        <v/>
      </c>
      <c r="E1917" s="44" t="str">
        <f t="shared" si="89"/>
        <v/>
      </c>
      <c r="F1917" s="44"/>
      <c r="G1917" s="44"/>
      <c r="H1917" s="44"/>
      <c r="I1917" s="44"/>
      <c r="J1917" s="45"/>
      <c r="K1917" s="44"/>
      <c r="L1917" s="44"/>
      <c r="M1917" s="44"/>
    </row>
    <row r="1918" spans="2:13" x14ac:dyDescent="0.25">
      <c r="B1918" s="42"/>
      <c r="C1918" s="43" t="str">
        <f t="shared" si="87"/>
        <v/>
      </c>
      <c r="D1918" s="44" t="str">
        <f t="shared" si="88"/>
        <v/>
      </c>
      <c r="E1918" s="44" t="str">
        <f t="shared" si="89"/>
        <v/>
      </c>
      <c r="F1918" s="44"/>
      <c r="G1918" s="44"/>
      <c r="H1918" s="44"/>
      <c r="I1918" s="44"/>
      <c r="J1918" s="45"/>
      <c r="K1918" s="44"/>
      <c r="L1918" s="44"/>
      <c r="M1918" s="44"/>
    </row>
    <row r="1919" spans="2:13" x14ac:dyDescent="0.25">
      <c r="B1919" s="42"/>
      <c r="C1919" s="43" t="str">
        <f t="shared" si="87"/>
        <v/>
      </c>
      <c r="D1919" s="44" t="str">
        <f t="shared" si="88"/>
        <v/>
      </c>
      <c r="E1919" s="44" t="str">
        <f t="shared" si="89"/>
        <v/>
      </c>
      <c r="F1919" s="44"/>
      <c r="G1919" s="44"/>
      <c r="H1919" s="44"/>
      <c r="I1919" s="44"/>
      <c r="J1919" s="45"/>
      <c r="K1919" s="44"/>
      <c r="L1919" s="44"/>
      <c r="M1919" s="44"/>
    </row>
    <row r="1920" spans="2:13" x14ac:dyDescent="0.25">
      <c r="B1920" s="42"/>
      <c r="C1920" s="43" t="str">
        <f t="shared" si="87"/>
        <v/>
      </c>
      <c r="D1920" s="44" t="str">
        <f t="shared" si="88"/>
        <v/>
      </c>
      <c r="E1920" s="44" t="str">
        <f t="shared" si="89"/>
        <v/>
      </c>
      <c r="F1920" s="44"/>
      <c r="G1920" s="44"/>
      <c r="H1920" s="44"/>
      <c r="I1920" s="44"/>
      <c r="J1920" s="45"/>
      <c r="K1920" s="44"/>
      <c r="L1920" s="44"/>
      <c r="M1920" s="44"/>
    </row>
    <row r="1921" spans="2:13" x14ac:dyDescent="0.25">
      <c r="B1921" s="42"/>
      <c r="C1921" s="43" t="str">
        <f t="shared" si="87"/>
        <v/>
      </c>
      <c r="D1921" s="44" t="str">
        <f t="shared" si="88"/>
        <v/>
      </c>
      <c r="E1921" s="44" t="str">
        <f t="shared" si="89"/>
        <v/>
      </c>
      <c r="F1921" s="44"/>
      <c r="G1921" s="44"/>
      <c r="H1921" s="44"/>
      <c r="I1921" s="44"/>
      <c r="J1921" s="45"/>
      <c r="K1921" s="44"/>
      <c r="L1921" s="44"/>
      <c r="M1921" s="44"/>
    </row>
    <row r="1922" spans="2:13" x14ac:dyDescent="0.25">
      <c r="B1922" s="42"/>
      <c r="C1922" s="43" t="str">
        <f t="shared" ref="C1922:C1985" si="90">IF(B1922="","",MONTH(B1922))</f>
        <v/>
      </c>
      <c r="D1922" s="44" t="str">
        <f t="shared" ref="D1922:D1985" si="91">IF(B1922="","",CHOOSE(C1922,"Enero","Febrero","Marzo","Abril","Mayo","Junio","Julio","Agosto","Septiembre","Octubre","Noviembre","Diciembre"))</f>
        <v/>
      </c>
      <c r="E1922" s="44" t="str">
        <f t="shared" ref="E1922:E1985" si="92">IF(B1922="","",YEAR(B1922))</f>
        <v/>
      </c>
      <c r="F1922" s="44"/>
      <c r="G1922" s="44"/>
      <c r="H1922" s="44"/>
      <c r="I1922" s="44"/>
      <c r="J1922" s="45"/>
      <c r="K1922" s="44"/>
      <c r="L1922" s="44"/>
      <c r="M1922" s="44"/>
    </row>
    <row r="1923" spans="2:13" x14ac:dyDescent="0.25">
      <c r="B1923" s="42"/>
      <c r="C1923" s="43" t="str">
        <f t="shared" si="90"/>
        <v/>
      </c>
      <c r="D1923" s="44" t="str">
        <f t="shared" si="91"/>
        <v/>
      </c>
      <c r="E1923" s="44" t="str">
        <f t="shared" si="92"/>
        <v/>
      </c>
      <c r="F1923" s="44"/>
      <c r="G1923" s="44"/>
      <c r="H1923" s="44"/>
      <c r="I1923" s="44"/>
      <c r="J1923" s="45"/>
      <c r="K1923" s="44"/>
      <c r="L1923" s="44"/>
      <c r="M1923" s="44"/>
    </row>
    <row r="1924" spans="2:13" x14ac:dyDescent="0.25">
      <c r="B1924" s="42"/>
      <c r="C1924" s="43" t="str">
        <f t="shared" si="90"/>
        <v/>
      </c>
      <c r="D1924" s="44" t="str">
        <f t="shared" si="91"/>
        <v/>
      </c>
      <c r="E1924" s="44" t="str">
        <f t="shared" si="92"/>
        <v/>
      </c>
      <c r="F1924" s="44"/>
      <c r="G1924" s="44"/>
      <c r="H1924" s="44"/>
      <c r="I1924" s="44"/>
      <c r="J1924" s="45"/>
      <c r="K1924" s="44"/>
      <c r="L1924" s="44"/>
      <c r="M1924" s="44"/>
    </row>
    <row r="1925" spans="2:13" x14ac:dyDescent="0.25">
      <c r="B1925" s="42"/>
      <c r="C1925" s="43" t="str">
        <f t="shared" si="90"/>
        <v/>
      </c>
      <c r="D1925" s="44" t="str">
        <f t="shared" si="91"/>
        <v/>
      </c>
      <c r="E1925" s="44" t="str">
        <f t="shared" si="92"/>
        <v/>
      </c>
      <c r="F1925" s="44"/>
      <c r="G1925" s="44"/>
      <c r="H1925" s="44"/>
      <c r="I1925" s="44"/>
      <c r="J1925" s="45"/>
      <c r="K1925" s="44"/>
      <c r="L1925" s="44"/>
      <c r="M1925" s="44"/>
    </row>
    <row r="1926" spans="2:13" x14ac:dyDescent="0.25">
      <c r="B1926" s="42"/>
      <c r="C1926" s="43" t="str">
        <f t="shared" si="90"/>
        <v/>
      </c>
      <c r="D1926" s="44" t="str">
        <f t="shared" si="91"/>
        <v/>
      </c>
      <c r="E1926" s="44" t="str">
        <f t="shared" si="92"/>
        <v/>
      </c>
      <c r="F1926" s="44"/>
      <c r="G1926" s="44"/>
      <c r="H1926" s="44"/>
      <c r="I1926" s="44"/>
      <c r="J1926" s="45"/>
      <c r="K1926" s="44"/>
      <c r="L1926" s="44"/>
      <c r="M1926" s="44"/>
    </row>
    <row r="1927" spans="2:13" x14ac:dyDescent="0.25">
      <c r="B1927" s="42"/>
      <c r="C1927" s="43" t="str">
        <f t="shared" si="90"/>
        <v/>
      </c>
      <c r="D1927" s="44" t="str">
        <f t="shared" si="91"/>
        <v/>
      </c>
      <c r="E1927" s="44" t="str">
        <f t="shared" si="92"/>
        <v/>
      </c>
      <c r="F1927" s="44"/>
      <c r="G1927" s="44"/>
      <c r="H1927" s="44"/>
      <c r="I1927" s="44"/>
      <c r="J1927" s="45"/>
      <c r="K1927" s="44"/>
      <c r="L1927" s="44"/>
      <c r="M1927" s="44"/>
    </row>
    <row r="1928" spans="2:13" x14ac:dyDescent="0.25">
      <c r="B1928" s="42"/>
      <c r="C1928" s="43" t="str">
        <f t="shared" si="90"/>
        <v/>
      </c>
      <c r="D1928" s="44" t="str">
        <f t="shared" si="91"/>
        <v/>
      </c>
      <c r="E1928" s="44" t="str">
        <f t="shared" si="92"/>
        <v/>
      </c>
      <c r="F1928" s="44"/>
      <c r="G1928" s="44"/>
      <c r="H1928" s="44"/>
      <c r="I1928" s="44"/>
      <c r="J1928" s="45"/>
      <c r="K1928" s="44"/>
      <c r="L1928" s="44"/>
      <c r="M1928" s="44"/>
    </row>
    <row r="1929" spans="2:13" x14ac:dyDescent="0.25">
      <c r="B1929" s="42"/>
      <c r="C1929" s="43" t="str">
        <f t="shared" si="90"/>
        <v/>
      </c>
      <c r="D1929" s="44" t="str">
        <f t="shared" si="91"/>
        <v/>
      </c>
      <c r="E1929" s="44" t="str">
        <f t="shared" si="92"/>
        <v/>
      </c>
      <c r="F1929" s="44"/>
      <c r="G1929" s="44"/>
      <c r="H1929" s="44"/>
      <c r="I1929" s="44"/>
      <c r="J1929" s="45"/>
      <c r="K1929" s="44"/>
      <c r="L1929" s="44"/>
      <c r="M1929" s="44"/>
    </row>
    <row r="1930" spans="2:13" x14ac:dyDescent="0.25">
      <c r="B1930" s="42"/>
      <c r="C1930" s="43" t="str">
        <f t="shared" si="90"/>
        <v/>
      </c>
      <c r="D1930" s="44" t="str">
        <f t="shared" si="91"/>
        <v/>
      </c>
      <c r="E1930" s="44" t="str">
        <f t="shared" si="92"/>
        <v/>
      </c>
      <c r="F1930" s="44"/>
      <c r="G1930" s="44"/>
      <c r="H1930" s="44"/>
      <c r="I1930" s="44"/>
      <c r="J1930" s="45"/>
      <c r="K1930" s="44"/>
      <c r="L1930" s="44"/>
      <c r="M1930" s="44"/>
    </row>
    <row r="1931" spans="2:13" x14ac:dyDescent="0.25">
      <c r="B1931" s="42"/>
      <c r="C1931" s="43" t="str">
        <f t="shared" si="90"/>
        <v/>
      </c>
      <c r="D1931" s="44" t="str">
        <f t="shared" si="91"/>
        <v/>
      </c>
      <c r="E1931" s="44" t="str">
        <f t="shared" si="92"/>
        <v/>
      </c>
      <c r="F1931" s="44"/>
      <c r="G1931" s="44"/>
      <c r="H1931" s="44"/>
      <c r="I1931" s="44"/>
      <c r="J1931" s="45"/>
      <c r="K1931" s="44"/>
      <c r="L1931" s="44"/>
      <c r="M1931" s="44"/>
    </row>
    <row r="1932" spans="2:13" x14ac:dyDescent="0.25">
      <c r="B1932" s="42"/>
      <c r="C1932" s="43" t="str">
        <f t="shared" si="90"/>
        <v/>
      </c>
      <c r="D1932" s="44" t="str">
        <f t="shared" si="91"/>
        <v/>
      </c>
      <c r="E1932" s="44" t="str">
        <f t="shared" si="92"/>
        <v/>
      </c>
      <c r="F1932" s="44"/>
      <c r="G1932" s="44"/>
      <c r="H1932" s="44"/>
      <c r="I1932" s="44"/>
      <c r="J1932" s="45"/>
      <c r="K1932" s="44"/>
      <c r="L1932" s="44"/>
      <c r="M1932" s="44"/>
    </row>
    <row r="1933" spans="2:13" x14ac:dyDescent="0.25">
      <c r="B1933" s="42"/>
      <c r="C1933" s="43" t="str">
        <f t="shared" si="90"/>
        <v/>
      </c>
      <c r="D1933" s="44" t="str">
        <f t="shared" si="91"/>
        <v/>
      </c>
      <c r="E1933" s="44" t="str">
        <f t="shared" si="92"/>
        <v/>
      </c>
      <c r="F1933" s="44"/>
      <c r="G1933" s="44"/>
      <c r="H1933" s="44"/>
      <c r="I1933" s="44"/>
      <c r="J1933" s="45"/>
      <c r="K1933" s="44"/>
      <c r="L1933" s="44"/>
      <c r="M1933" s="44"/>
    </row>
    <row r="1934" spans="2:13" x14ac:dyDescent="0.25">
      <c r="B1934" s="42"/>
      <c r="C1934" s="43" t="str">
        <f t="shared" si="90"/>
        <v/>
      </c>
      <c r="D1934" s="44" t="str">
        <f t="shared" si="91"/>
        <v/>
      </c>
      <c r="E1934" s="44" t="str">
        <f t="shared" si="92"/>
        <v/>
      </c>
      <c r="F1934" s="44"/>
      <c r="G1934" s="44"/>
      <c r="H1934" s="44"/>
      <c r="I1934" s="44"/>
      <c r="J1934" s="45"/>
      <c r="K1934" s="44"/>
      <c r="L1934" s="44"/>
      <c r="M1934" s="44"/>
    </row>
    <row r="1935" spans="2:13" x14ac:dyDescent="0.25">
      <c r="B1935" s="42"/>
      <c r="C1935" s="43" t="str">
        <f t="shared" si="90"/>
        <v/>
      </c>
      <c r="D1935" s="44" t="str">
        <f t="shared" si="91"/>
        <v/>
      </c>
      <c r="E1935" s="44" t="str">
        <f t="shared" si="92"/>
        <v/>
      </c>
      <c r="F1935" s="44"/>
      <c r="G1935" s="44"/>
      <c r="H1935" s="44"/>
      <c r="I1935" s="44"/>
      <c r="J1935" s="45"/>
      <c r="K1935" s="44"/>
      <c r="L1935" s="44"/>
      <c r="M1935" s="44"/>
    </row>
    <row r="1936" spans="2:13" x14ac:dyDescent="0.25">
      <c r="B1936" s="42"/>
      <c r="C1936" s="43" t="str">
        <f t="shared" si="90"/>
        <v/>
      </c>
      <c r="D1936" s="44" t="str">
        <f t="shared" si="91"/>
        <v/>
      </c>
      <c r="E1936" s="44" t="str">
        <f t="shared" si="92"/>
        <v/>
      </c>
      <c r="F1936" s="44"/>
      <c r="G1936" s="44"/>
      <c r="H1936" s="44"/>
      <c r="I1936" s="44"/>
      <c r="J1936" s="45"/>
      <c r="K1936" s="44"/>
      <c r="L1936" s="44"/>
      <c r="M1936" s="44"/>
    </row>
    <row r="1937" spans="2:13" x14ac:dyDescent="0.25">
      <c r="B1937" s="42"/>
      <c r="C1937" s="43" t="str">
        <f t="shared" si="90"/>
        <v/>
      </c>
      <c r="D1937" s="44" t="str">
        <f t="shared" si="91"/>
        <v/>
      </c>
      <c r="E1937" s="44" t="str">
        <f t="shared" si="92"/>
        <v/>
      </c>
      <c r="F1937" s="44"/>
      <c r="G1937" s="44"/>
      <c r="H1937" s="44"/>
      <c r="I1937" s="44"/>
      <c r="J1937" s="45"/>
      <c r="K1937" s="44"/>
      <c r="L1937" s="44"/>
      <c r="M1937" s="44"/>
    </row>
    <row r="1938" spans="2:13" x14ac:dyDescent="0.25">
      <c r="B1938" s="42"/>
      <c r="C1938" s="43" t="str">
        <f t="shared" si="90"/>
        <v/>
      </c>
      <c r="D1938" s="44" t="str">
        <f t="shared" si="91"/>
        <v/>
      </c>
      <c r="E1938" s="44" t="str">
        <f t="shared" si="92"/>
        <v/>
      </c>
      <c r="F1938" s="44"/>
      <c r="G1938" s="44"/>
      <c r="H1938" s="44"/>
      <c r="I1938" s="44"/>
      <c r="J1938" s="45"/>
      <c r="K1938" s="44"/>
      <c r="L1938" s="44"/>
      <c r="M1938" s="44"/>
    </row>
    <row r="1939" spans="2:13" x14ac:dyDescent="0.25">
      <c r="B1939" s="42"/>
      <c r="C1939" s="43" t="str">
        <f t="shared" si="90"/>
        <v/>
      </c>
      <c r="D1939" s="44" t="str">
        <f t="shared" si="91"/>
        <v/>
      </c>
      <c r="E1939" s="44" t="str">
        <f t="shared" si="92"/>
        <v/>
      </c>
      <c r="F1939" s="44"/>
      <c r="G1939" s="44"/>
      <c r="H1939" s="44"/>
      <c r="I1939" s="44"/>
      <c r="J1939" s="45"/>
      <c r="K1939" s="44"/>
      <c r="L1939" s="44"/>
      <c r="M1939" s="44"/>
    </row>
    <row r="1940" spans="2:13" x14ac:dyDescent="0.25">
      <c r="B1940" s="42"/>
      <c r="C1940" s="43" t="str">
        <f t="shared" si="90"/>
        <v/>
      </c>
      <c r="D1940" s="44" t="str">
        <f t="shared" si="91"/>
        <v/>
      </c>
      <c r="E1940" s="44" t="str">
        <f t="shared" si="92"/>
        <v/>
      </c>
      <c r="F1940" s="44"/>
      <c r="G1940" s="44"/>
      <c r="H1940" s="44"/>
      <c r="I1940" s="44"/>
      <c r="J1940" s="45"/>
      <c r="K1940" s="44"/>
      <c r="L1940" s="44"/>
      <c r="M1940" s="44"/>
    </row>
    <row r="1941" spans="2:13" x14ac:dyDescent="0.25">
      <c r="B1941" s="42"/>
      <c r="C1941" s="43" t="str">
        <f t="shared" si="90"/>
        <v/>
      </c>
      <c r="D1941" s="44" t="str">
        <f t="shared" si="91"/>
        <v/>
      </c>
      <c r="E1941" s="44" t="str">
        <f t="shared" si="92"/>
        <v/>
      </c>
      <c r="F1941" s="44"/>
      <c r="G1941" s="44"/>
      <c r="H1941" s="44"/>
      <c r="I1941" s="44"/>
      <c r="J1941" s="45"/>
      <c r="K1941" s="44"/>
      <c r="L1941" s="44"/>
      <c r="M1941" s="44"/>
    </row>
    <row r="1942" spans="2:13" x14ac:dyDescent="0.25">
      <c r="B1942" s="42"/>
      <c r="C1942" s="43" t="str">
        <f t="shared" si="90"/>
        <v/>
      </c>
      <c r="D1942" s="44" t="str">
        <f t="shared" si="91"/>
        <v/>
      </c>
      <c r="E1942" s="44" t="str">
        <f t="shared" si="92"/>
        <v/>
      </c>
      <c r="F1942" s="44"/>
      <c r="G1942" s="44"/>
      <c r="H1942" s="44"/>
      <c r="I1942" s="44"/>
      <c r="J1942" s="45"/>
      <c r="K1942" s="44"/>
      <c r="L1942" s="44"/>
      <c r="M1942" s="44"/>
    </row>
    <row r="1943" spans="2:13" x14ac:dyDescent="0.25">
      <c r="B1943" s="42"/>
      <c r="C1943" s="43" t="str">
        <f t="shared" si="90"/>
        <v/>
      </c>
      <c r="D1943" s="44" t="str">
        <f t="shared" si="91"/>
        <v/>
      </c>
      <c r="E1943" s="44" t="str">
        <f t="shared" si="92"/>
        <v/>
      </c>
      <c r="F1943" s="44"/>
      <c r="G1943" s="44"/>
      <c r="H1943" s="44"/>
      <c r="I1943" s="44"/>
      <c r="J1943" s="45"/>
      <c r="K1943" s="44"/>
      <c r="L1943" s="44"/>
      <c r="M1943" s="44"/>
    </row>
    <row r="1944" spans="2:13" x14ac:dyDescent="0.25">
      <c r="B1944" s="42"/>
      <c r="C1944" s="43" t="str">
        <f t="shared" si="90"/>
        <v/>
      </c>
      <c r="D1944" s="44" t="str">
        <f t="shared" si="91"/>
        <v/>
      </c>
      <c r="E1944" s="44" t="str">
        <f t="shared" si="92"/>
        <v/>
      </c>
      <c r="F1944" s="44"/>
      <c r="G1944" s="44"/>
      <c r="H1944" s="44"/>
      <c r="I1944" s="44"/>
      <c r="J1944" s="45"/>
      <c r="K1944" s="44"/>
      <c r="L1944" s="44"/>
      <c r="M1944" s="44"/>
    </row>
    <row r="1945" spans="2:13" x14ac:dyDescent="0.25">
      <c r="B1945" s="42"/>
      <c r="C1945" s="43" t="str">
        <f t="shared" si="90"/>
        <v/>
      </c>
      <c r="D1945" s="44" t="str">
        <f t="shared" si="91"/>
        <v/>
      </c>
      <c r="E1945" s="44" t="str">
        <f t="shared" si="92"/>
        <v/>
      </c>
      <c r="F1945" s="44"/>
      <c r="G1945" s="44"/>
      <c r="H1945" s="44"/>
      <c r="I1945" s="44"/>
      <c r="J1945" s="45"/>
      <c r="K1945" s="44"/>
      <c r="L1945" s="44"/>
      <c r="M1945" s="44"/>
    </row>
    <row r="1946" spans="2:13" x14ac:dyDescent="0.25">
      <c r="B1946" s="42"/>
      <c r="C1946" s="43" t="str">
        <f t="shared" si="90"/>
        <v/>
      </c>
      <c r="D1946" s="44" t="str">
        <f t="shared" si="91"/>
        <v/>
      </c>
      <c r="E1946" s="44" t="str">
        <f t="shared" si="92"/>
        <v/>
      </c>
      <c r="F1946" s="44"/>
      <c r="G1946" s="44"/>
      <c r="H1946" s="44"/>
      <c r="I1946" s="44"/>
      <c r="J1946" s="45"/>
      <c r="K1946" s="44"/>
      <c r="L1946" s="44"/>
      <c r="M1946" s="44"/>
    </row>
    <row r="1947" spans="2:13" x14ac:dyDescent="0.25">
      <c r="B1947" s="42"/>
      <c r="C1947" s="43" t="str">
        <f t="shared" si="90"/>
        <v/>
      </c>
      <c r="D1947" s="44" t="str">
        <f t="shared" si="91"/>
        <v/>
      </c>
      <c r="E1947" s="44" t="str">
        <f t="shared" si="92"/>
        <v/>
      </c>
      <c r="F1947" s="44"/>
      <c r="G1947" s="44"/>
      <c r="H1947" s="44"/>
      <c r="I1947" s="44"/>
      <c r="J1947" s="45"/>
      <c r="K1947" s="44"/>
      <c r="L1947" s="44"/>
      <c r="M1947" s="44"/>
    </row>
    <row r="1948" spans="2:13" x14ac:dyDescent="0.25">
      <c r="B1948" s="42"/>
      <c r="C1948" s="43" t="str">
        <f t="shared" si="90"/>
        <v/>
      </c>
      <c r="D1948" s="44" t="str">
        <f t="shared" si="91"/>
        <v/>
      </c>
      <c r="E1948" s="44" t="str">
        <f t="shared" si="92"/>
        <v/>
      </c>
      <c r="F1948" s="44"/>
      <c r="G1948" s="44"/>
      <c r="H1948" s="44"/>
      <c r="I1948" s="44"/>
      <c r="J1948" s="45"/>
      <c r="K1948" s="44"/>
      <c r="L1948" s="44"/>
      <c r="M1948" s="44"/>
    </row>
    <row r="1949" spans="2:13" x14ac:dyDescent="0.25">
      <c r="B1949" s="42"/>
      <c r="C1949" s="43" t="str">
        <f t="shared" si="90"/>
        <v/>
      </c>
      <c r="D1949" s="44" t="str">
        <f t="shared" si="91"/>
        <v/>
      </c>
      <c r="E1949" s="44" t="str">
        <f t="shared" si="92"/>
        <v/>
      </c>
      <c r="F1949" s="44"/>
      <c r="G1949" s="44"/>
      <c r="H1949" s="44"/>
      <c r="I1949" s="44"/>
      <c r="J1949" s="45"/>
      <c r="K1949" s="44"/>
      <c r="L1949" s="44"/>
      <c r="M1949" s="44"/>
    </row>
    <row r="1950" spans="2:13" x14ac:dyDescent="0.25">
      <c r="B1950" s="42"/>
      <c r="C1950" s="43" t="str">
        <f t="shared" si="90"/>
        <v/>
      </c>
      <c r="D1950" s="44" t="str">
        <f t="shared" si="91"/>
        <v/>
      </c>
      <c r="E1950" s="44" t="str">
        <f t="shared" si="92"/>
        <v/>
      </c>
      <c r="F1950" s="44"/>
      <c r="G1950" s="44"/>
      <c r="H1950" s="44"/>
      <c r="I1950" s="44"/>
      <c r="J1950" s="45"/>
      <c r="K1950" s="44"/>
      <c r="L1950" s="44"/>
      <c r="M1950" s="44"/>
    </row>
    <row r="1951" spans="2:13" x14ac:dyDescent="0.25">
      <c r="B1951" s="42"/>
      <c r="C1951" s="43" t="str">
        <f t="shared" si="90"/>
        <v/>
      </c>
      <c r="D1951" s="44" t="str">
        <f t="shared" si="91"/>
        <v/>
      </c>
      <c r="E1951" s="44" t="str">
        <f t="shared" si="92"/>
        <v/>
      </c>
      <c r="F1951" s="44"/>
      <c r="G1951" s="44"/>
      <c r="H1951" s="44"/>
      <c r="I1951" s="44"/>
      <c r="J1951" s="45"/>
      <c r="K1951" s="44"/>
      <c r="L1951" s="44"/>
      <c r="M1951" s="44"/>
    </row>
    <row r="1952" spans="2:13" x14ac:dyDescent="0.25">
      <c r="B1952" s="42"/>
      <c r="C1952" s="43" t="str">
        <f t="shared" si="90"/>
        <v/>
      </c>
      <c r="D1952" s="44" t="str">
        <f t="shared" si="91"/>
        <v/>
      </c>
      <c r="E1952" s="44" t="str">
        <f t="shared" si="92"/>
        <v/>
      </c>
      <c r="F1952" s="44"/>
      <c r="G1952" s="44"/>
      <c r="H1952" s="44"/>
      <c r="I1952" s="44"/>
      <c r="J1952" s="45"/>
      <c r="K1952" s="44"/>
      <c r="L1952" s="44"/>
      <c r="M1952" s="44"/>
    </row>
    <row r="1953" spans="2:13" x14ac:dyDescent="0.25">
      <c r="B1953" s="42"/>
      <c r="C1953" s="43" t="str">
        <f t="shared" si="90"/>
        <v/>
      </c>
      <c r="D1953" s="44" t="str">
        <f t="shared" si="91"/>
        <v/>
      </c>
      <c r="E1953" s="44" t="str">
        <f t="shared" si="92"/>
        <v/>
      </c>
      <c r="F1953" s="44"/>
      <c r="G1953" s="44"/>
      <c r="H1953" s="44"/>
      <c r="I1953" s="44"/>
      <c r="J1953" s="45"/>
      <c r="K1953" s="44"/>
      <c r="L1953" s="44"/>
      <c r="M1953" s="44"/>
    </row>
    <row r="1954" spans="2:13" x14ac:dyDescent="0.25">
      <c r="B1954" s="42"/>
      <c r="C1954" s="43" t="str">
        <f t="shared" si="90"/>
        <v/>
      </c>
      <c r="D1954" s="44" t="str">
        <f t="shared" si="91"/>
        <v/>
      </c>
      <c r="E1954" s="44" t="str">
        <f t="shared" si="92"/>
        <v/>
      </c>
      <c r="F1954" s="44"/>
      <c r="G1954" s="44"/>
      <c r="H1954" s="44"/>
      <c r="I1954" s="44"/>
      <c r="J1954" s="45"/>
      <c r="K1954" s="44"/>
      <c r="L1954" s="44"/>
      <c r="M1954" s="44"/>
    </row>
    <row r="1955" spans="2:13" x14ac:dyDescent="0.25">
      <c r="B1955" s="42"/>
      <c r="C1955" s="43" t="str">
        <f t="shared" si="90"/>
        <v/>
      </c>
      <c r="D1955" s="44" t="str">
        <f t="shared" si="91"/>
        <v/>
      </c>
      <c r="E1955" s="44" t="str">
        <f t="shared" si="92"/>
        <v/>
      </c>
      <c r="F1955" s="44"/>
      <c r="G1955" s="44"/>
      <c r="H1955" s="44"/>
      <c r="I1955" s="44"/>
      <c r="J1955" s="45"/>
      <c r="K1955" s="44"/>
      <c r="L1955" s="44"/>
      <c r="M1955" s="44"/>
    </row>
    <row r="1956" spans="2:13" x14ac:dyDescent="0.25">
      <c r="B1956" s="42"/>
      <c r="C1956" s="43" t="str">
        <f t="shared" si="90"/>
        <v/>
      </c>
      <c r="D1956" s="44" t="str">
        <f t="shared" si="91"/>
        <v/>
      </c>
      <c r="E1956" s="44" t="str">
        <f t="shared" si="92"/>
        <v/>
      </c>
      <c r="F1956" s="44"/>
      <c r="G1956" s="44"/>
      <c r="H1956" s="44"/>
      <c r="I1956" s="44"/>
      <c r="J1956" s="45"/>
      <c r="K1956" s="44"/>
      <c r="L1956" s="44"/>
      <c r="M1956" s="44"/>
    </row>
    <row r="1957" spans="2:13" x14ac:dyDescent="0.25">
      <c r="B1957" s="42"/>
      <c r="C1957" s="43" t="str">
        <f t="shared" si="90"/>
        <v/>
      </c>
      <c r="D1957" s="44" t="str">
        <f t="shared" si="91"/>
        <v/>
      </c>
      <c r="E1957" s="44" t="str">
        <f t="shared" si="92"/>
        <v/>
      </c>
      <c r="F1957" s="44"/>
      <c r="G1957" s="44"/>
      <c r="H1957" s="44"/>
      <c r="I1957" s="44"/>
      <c r="J1957" s="45"/>
      <c r="K1957" s="44"/>
      <c r="L1957" s="44"/>
      <c r="M1957" s="44"/>
    </row>
    <row r="1958" spans="2:13" x14ac:dyDescent="0.25">
      <c r="B1958" s="42"/>
      <c r="C1958" s="43" t="str">
        <f t="shared" si="90"/>
        <v/>
      </c>
      <c r="D1958" s="44" t="str">
        <f t="shared" si="91"/>
        <v/>
      </c>
      <c r="E1958" s="44" t="str">
        <f t="shared" si="92"/>
        <v/>
      </c>
      <c r="F1958" s="44"/>
      <c r="G1958" s="44"/>
      <c r="H1958" s="44"/>
      <c r="I1958" s="44"/>
      <c r="J1958" s="45"/>
      <c r="K1958" s="44"/>
      <c r="L1958" s="44"/>
      <c r="M1958" s="44"/>
    </row>
    <row r="1959" spans="2:13" x14ac:dyDescent="0.25">
      <c r="B1959" s="42"/>
      <c r="C1959" s="43" t="str">
        <f t="shared" si="90"/>
        <v/>
      </c>
      <c r="D1959" s="44" t="str">
        <f t="shared" si="91"/>
        <v/>
      </c>
      <c r="E1959" s="44" t="str">
        <f t="shared" si="92"/>
        <v/>
      </c>
      <c r="F1959" s="44"/>
      <c r="G1959" s="44"/>
      <c r="H1959" s="44"/>
      <c r="I1959" s="44"/>
      <c r="J1959" s="45"/>
      <c r="K1959" s="44"/>
      <c r="L1959" s="44"/>
      <c r="M1959" s="44"/>
    </row>
    <row r="1960" spans="2:13" x14ac:dyDescent="0.25">
      <c r="B1960" s="42"/>
      <c r="C1960" s="43" t="str">
        <f t="shared" si="90"/>
        <v/>
      </c>
      <c r="D1960" s="44" t="str">
        <f t="shared" si="91"/>
        <v/>
      </c>
      <c r="E1960" s="44" t="str">
        <f t="shared" si="92"/>
        <v/>
      </c>
      <c r="F1960" s="44"/>
      <c r="G1960" s="44"/>
      <c r="H1960" s="44"/>
      <c r="I1960" s="44"/>
      <c r="J1960" s="45"/>
      <c r="K1960" s="44"/>
      <c r="L1960" s="44"/>
      <c r="M1960" s="44"/>
    </row>
    <row r="1961" spans="2:13" x14ac:dyDescent="0.25">
      <c r="B1961" s="42"/>
      <c r="C1961" s="43" t="str">
        <f t="shared" si="90"/>
        <v/>
      </c>
      <c r="D1961" s="44" t="str">
        <f t="shared" si="91"/>
        <v/>
      </c>
      <c r="E1961" s="44" t="str">
        <f t="shared" si="92"/>
        <v/>
      </c>
      <c r="F1961" s="44"/>
      <c r="G1961" s="44"/>
      <c r="H1961" s="44"/>
      <c r="I1961" s="44"/>
      <c r="J1961" s="45"/>
      <c r="K1961" s="44"/>
      <c r="L1961" s="44"/>
      <c r="M1961" s="44"/>
    </row>
    <row r="1962" spans="2:13" x14ac:dyDescent="0.25">
      <c r="B1962" s="42"/>
      <c r="C1962" s="43" t="str">
        <f t="shared" si="90"/>
        <v/>
      </c>
      <c r="D1962" s="44" t="str">
        <f t="shared" si="91"/>
        <v/>
      </c>
      <c r="E1962" s="44" t="str">
        <f t="shared" si="92"/>
        <v/>
      </c>
      <c r="F1962" s="44"/>
      <c r="G1962" s="44"/>
      <c r="H1962" s="44"/>
      <c r="I1962" s="44"/>
      <c r="J1962" s="45"/>
      <c r="K1962" s="44"/>
      <c r="L1962" s="44"/>
      <c r="M1962" s="44"/>
    </row>
    <row r="1963" spans="2:13" x14ac:dyDescent="0.25">
      <c r="B1963" s="42"/>
      <c r="C1963" s="43" t="str">
        <f t="shared" si="90"/>
        <v/>
      </c>
      <c r="D1963" s="44" t="str">
        <f t="shared" si="91"/>
        <v/>
      </c>
      <c r="E1963" s="44" t="str">
        <f t="shared" si="92"/>
        <v/>
      </c>
      <c r="F1963" s="44"/>
      <c r="G1963" s="44"/>
      <c r="H1963" s="44"/>
      <c r="I1963" s="44"/>
      <c r="J1963" s="45"/>
      <c r="K1963" s="44"/>
      <c r="L1963" s="44"/>
      <c r="M1963" s="44"/>
    </row>
    <row r="1964" spans="2:13" x14ac:dyDescent="0.25">
      <c r="B1964" s="42"/>
      <c r="C1964" s="43" t="str">
        <f t="shared" si="90"/>
        <v/>
      </c>
      <c r="D1964" s="44" t="str">
        <f t="shared" si="91"/>
        <v/>
      </c>
      <c r="E1964" s="44" t="str">
        <f t="shared" si="92"/>
        <v/>
      </c>
      <c r="F1964" s="44"/>
      <c r="G1964" s="44"/>
      <c r="H1964" s="44"/>
      <c r="I1964" s="44"/>
      <c r="J1964" s="45"/>
      <c r="K1964" s="44"/>
      <c r="L1964" s="44"/>
      <c r="M1964" s="44"/>
    </row>
    <row r="1965" spans="2:13" x14ac:dyDescent="0.25">
      <c r="B1965" s="42"/>
      <c r="C1965" s="43" t="str">
        <f t="shared" si="90"/>
        <v/>
      </c>
      <c r="D1965" s="44" t="str">
        <f t="shared" si="91"/>
        <v/>
      </c>
      <c r="E1965" s="44" t="str">
        <f t="shared" si="92"/>
        <v/>
      </c>
      <c r="F1965" s="44"/>
      <c r="G1965" s="44"/>
      <c r="H1965" s="44"/>
      <c r="I1965" s="44"/>
      <c r="J1965" s="45"/>
      <c r="K1965" s="44"/>
      <c r="L1965" s="44"/>
      <c r="M1965" s="44"/>
    </row>
    <row r="1966" spans="2:13" x14ac:dyDescent="0.25">
      <c r="B1966" s="42"/>
      <c r="C1966" s="43" t="str">
        <f t="shared" si="90"/>
        <v/>
      </c>
      <c r="D1966" s="44" t="str">
        <f t="shared" si="91"/>
        <v/>
      </c>
      <c r="E1966" s="44" t="str">
        <f t="shared" si="92"/>
        <v/>
      </c>
      <c r="F1966" s="44"/>
      <c r="G1966" s="44"/>
      <c r="H1966" s="44"/>
      <c r="I1966" s="44"/>
      <c r="J1966" s="45"/>
      <c r="K1966" s="44"/>
      <c r="L1966" s="44"/>
      <c r="M1966" s="44"/>
    </row>
    <row r="1967" spans="2:13" x14ac:dyDescent="0.25">
      <c r="B1967" s="42"/>
      <c r="C1967" s="43" t="str">
        <f t="shared" si="90"/>
        <v/>
      </c>
      <c r="D1967" s="44" t="str">
        <f t="shared" si="91"/>
        <v/>
      </c>
      <c r="E1967" s="44" t="str">
        <f t="shared" si="92"/>
        <v/>
      </c>
      <c r="F1967" s="44"/>
      <c r="G1967" s="44"/>
      <c r="H1967" s="44"/>
      <c r="I1967" s="44"/>
      <c r="J1967" s="45"/>
      <c r="K1967" s="44"/>
      <c r="L1967" s="44"/>
      <c r="M1967" s="44"/>
    </row>
    <row r="1968" spans="2:13" x14ac:dyDescent="0.25">
      <c r="B1968" s="42"/>
      <c r="C1968" s="43" t="str">
        <f t="shared" si="90"/>
        <v/>
      </c>
      <c r="D1968" s="44" t="str">
        <f t="shared" si="91"/>
        <v/>
      </c>
      <c r="E1968" s="44" t="str">
        <f t="shared" si="92"/>
        <v/>
      </c>
      <c r="F1968" s="44"/>
      <c r="G1968" s="44"/>
      <c r="H1968" s="44"/>
      <c r="I1968" s="44"/>
      <c r="J1968" s="45"/>
      <c r="K1968" s="44"/>
      <c r="L1968" s="44"/>
      <c r="M1968" s="44"/>
    </row>
    <row r="1969" spans="2:13" x14ac:dyDescent="0.25">
      <c r="B1969" s="42"/>
      <c r="C1969" s="43" t="str">
        <f t="shared" si="90"/>
        <v/>
      </c>
      <c r="D1969" s="44" t="str">
        <f t="shared" si="91"/>
        <v/>
      </c>
      <c r="E1969" s="44" t="str">
        <f t="shared" si="92"/>
        <v/>
      </c>
      <c r="F1969" s="44"/>
      <c r="G1969" s="44"/>
      <c r="H1969" s="44"/>
      <c r="I1969" s="44"/>
      <c r="J1969" s="45"/>
      <c r="K1969" s="44"/>
      <c r="L1969" s="44"/>
      <c r="M1969" s="44"/>
    </row>
    <row r="1970" spans="2:13" x14ac:dyDescent="0.25">
      <c r="B1970" s="42"/>
      <c r="C1970" s="43" t="str">
        <f t="shared" si="90"/>
        <v/>
      </c>
      <c r="D1970" s="44" t="str">
        <f t="shared" si="91"/>
        <v/>
      </c>
      <c r="E1970" s="44" t="str">
        <f t="shared" si="92"/>
        <v/>
      </c>
      <c r="F1970" s="44"/>
      <c r="G1970" s="44"/>
      <c r="H1970" s="44"/>
      <c r="I1970" s="44"/>
      <c r="J1970" s="45"/>
      <c r="K1970" s="44"/>
      <c r="L1970" s="44"/>
      <c r="M1970" s="44"/>
    </row>
    <row r="1971" spans="2:13" x14ac:dyDescent="0.25">
      <c r="B1971" s="42"/>
      <c r="C1971" s="43" t="str">
        <f t="shared" si="90"/>
        <v/>
      </c>
      <c r="D1971" s="44" t="str">
        <f t="shared" si="91"/>
        <v/>
      </c>
      <c r="E1971" s="44" t="str">
        <f t="shared" si="92"/>
        <v/>
      </c>
      <c r="F1971" s="44"/>
      <c r="G1971" s="44"/>
      <c r="H1971" s="44"/>
      <c r="I1971" s="44"/>
      <c r="J1971" s="45"/>
      <c r="K1971" s="44"/>
      <c r="L1971" s="44"/>
      <c r="M1971" s="44"/>
    </row>
    <row r="1972" spans="2:13" x14ac:dyDescent="0.25">
      <c r="B1972" s="42"/>
      <c r="C1972" s="43" t="str">
        <f t="shared" si="90"/>
        <v/>
      </c>
      <c r="D1972" s="44" t="str">
        <f t="shared" si="91"/>
        <v/>
      </c>
      <c r="E1972" s="44" t="str">
        <f t="shared" si="92"/>
        <v/>
      </c>
      <c r="F1972" s="44"/>
      <c r="G1972" s="44"/>
      <c r="H1972" s="44"/>
      <c r="I1972" s="44"/>
      <c r="J1972" s="45"/>
      <c r="K1972" s="44"/>
      <c r="L1972" s="44"/>
      <c r="M1972" s="44"/>
    </row>
    <row r="1973" spans="2:13" x14ac:dyDescent="0.25">
      <c r="B1973" s="42"/>
      <c r="C1973" s="43" t="str">
        <f t="shared" si="90"/>
        <v/>
      </c>
      <c r="D1973" s="44" t="str">
        <f t="shared" si="91"/>
        <v/>
      </c>
      <c r="E1973" s="44" t="str">
        <f t="shared" si="92"/>
        <v/>
      </c>
      <c r="F1973" s="44"/>
      <c r="G1973" s="44"/>
      <c r="H1973" s="44"/>
      <c r="I1973" s="44"/>
      <c r="J1973" s="45"/>
      <c r="K1973" s="44"/>
      <c r="L1973" s="44"/>
      <c r="M1973" s="44"/>
    </row>
    <row r="1974" spans="2:13" x14ac:dyDescent="0.25">
      <c r="B1974" s="42"/>
      <c r="C1974" s="43" t="str">
        <f t="shared" si="90"/>
        <v/>
      </c>
      <c r="D1974" s="44" t="str">
        <f t="shared" si="91"/>
        <v/>
      </c>
      <c r="E1974" s="44" t="str">
        <f t="shared" si="92"/>
        <v/>
      </c>
      <c r="F1974" s="44"/>
      <c r="G1974" s="44"/>
      <c r="H1974" s="44"/>
      <c r="I1974" s="44"/>
      <c r="J1974" s="45"/>
      <c r="K1974" s="44"/>
      <c r="L1974" s="44"/>
      <c r="M1974" s="44"/>
    </row>
    <row r="1975" spans="2:13" x14ac:dyDescent="0.25">
      <c r="B1975" s="42"/>
      <c r="C1975" s="43" t="str">
        <f t="shared" si="90"/>
        <v/>
      </c>
      <c r="D1975" s="44" t="str">
        <f t="shared" si="91"/>
        <v/>
      </c>
      <c r="E1975" s="44" t="str">
        <f t="shared" si="92"/>
        <v/>
      </c>
      <c r="F1975" s="44"/>
      <c r="G1975" s="44"/>
      <c r="H1975" s="44"/>
      <c r="I1975" s="44"/>
      <c r="J1975" s="45"/>
      <c r="K1975" s="44"/>
      <c r="L1975" s="44"/>
      <c r="M1975" s="44"/>
    </row>
    <row r="1976" spans="2:13" x14ac:dyDescent="0.25">
      <c r="B1976" s="42"/>
      <c r="C1976" s="43" t="str">
        <f t="shared" si="90"/>
        <v/>
      </c>
      <c r="D1976" s="44" t="str">
        <f t="shared" si="91"/>
        <v/>
      </c>
      <c r="E1976" s="44" t="str">
        <f t="shared" si="92"/>
        <v/>
      </c>
      <c r="F1976" s="44"/>
      <c r="G1976" s="44"/>
      <c r="H1976" s="44"/>
      <c r="I1976" s="44"/>
      <c r="J1976" s="45"/>
      <c r="K1976" s="44"/>
      <c r="L1976" s="44"/>
      <c r="M1976" s="44"/>
    </row>
    <row r="1977" spans="2:13" x14ac:dyDescent="0.25">
      <c r="B1977" s="42"/>
      <c r="C1977" s="43" t="str">
        <f t="shared" si="90"/>
        <v/>
      </c>
      <c r="D1977" s="44" t="str">
        <f t="shared" si="91"/>
        <v/>
      </c>
      <c r="E1977" s="44" t="str">
        <f t="shared" si="92"/>
        <v/>
      </c>
      <c r="F1977" s="44"/>
      <c r="G1977" s="44"/>
      <c r="H1977" s="44"/>
      <c r="I1977" s="44"/>
      <c r="J1977" s="45"/>
      <c r="K1977" s="44"/>
      <c r="L1977" s="44"/>
      <c r="M1977" s="44"/>
    </row>
    <row r="1978" spans="2:13" x14ac:dyDescent="0.25">
      <c r="B1978" s="42"/>
      <c r="C1978" s="43" t="str">
        <f t="shared" si="90"/>
        <v/>
      </c>
      <c r="D1978" s="44" t="str">
        <f t="shared" si="91"/>
        <v/>
      </c>
      <c r="E1978" s="44" t="str">
        <f t="shared" si="92"/>
        <v/>
      </c>
      <c r="F1978" s="44"/>
      <c r="G1978" s="44"/>
      <c r="H1978" s="44"/>
      <c r="I1978" s="44"/>
      <c r="J1978" s="45"/>
      <c r="K1978" s="44"/>
      <c r="L1978" s="44"/>
      <c r="M1978" s="44"/>
    </row>
    <row r="1979" spans="2:13" x14ac:dyDescent="0.25">
      <c r="B1979" s="42"/>
      <c r="C1979" s="43" t="str">
        <f t="shared" si="90"/>
        <v/>
      </c>
      <c r="D1979" s="44" t="str">
        <f t="shared" si="91"/>
        <v/>
      </c>
      <c r="E1979" s="44" t="str">
        <f t="shared" si="92"/>
        <v/>
      </c>
      <c r="F1979" s="44"/>
      <c r="G1979" s="44"/>
      <c r="H1979" s="44"/>
      <c r="I1979" s="44"/>
      <c r="J1979" s="45"/>
      <c r="K1979" s="44"/>
      <c r="L1979" s="44"/>
      <c r="M1979" s="44"/>
    </row>
    <row r="1980" spans="2:13" x14ac:dyDescent="0.25">
      <c r="B1980" s="42"/>
      <c r="C1980" s="43" t="str">
        <f t="shared" si="90"/>
        <v/>
      </c>
      <c r="D1980" s="44" t="str">
        <f t="shared" si="91"/>
        <v/>
      </c>
      <c r="E1980" s="44" t="str">
        <f t="shared" si="92"/>
        <v/>
      </c>
      <c r="F1980" s="44"/>
      <c r="G1980" s="44"/>
      <c r="H1980" s="44"/>
      <c r="I1980" s="44"/>
      <c r="J1980" s="45"/>
      <c r="K1980" s="44"/>
      <c r="L1980" s="44"/>
      <c r="M1980" s="44"/>
    </row>
    <row r="1981" spans="2:13" x14ac:dyDescent="0.25">
      <c r="B1981" s="42"/>
      <c r="C1981" s="43" t="str">
        <f t="shared" si="90"/>
        <v/>
      </c>
      <c r="D1981" s="44" t="str">
        <f t="shared" si="91"/>
        <v/>
      </c>
      <c r="E1981" s="44" t="str">
        <f t="shared" si="92"/>
        <v/>
      </c>
      <c r="F1981" s="44"/>
      <c r="G1981" s="44"/>
      <c r="H1981" s="44"/>
      <c r="I1981" s="44"/>
      <c r="J1981" s="45"/>
      <c r="K1981" s="44"/>
      <c r="L1981" s="44"/>
      <c r="M1981" s="44"/>
    </row>
    <row r="1982" spans="2:13" x14ac:dyDescent="0.25">
      <c r="B1982" s="42"/>
      <c r="C1982" s="43" t="str">
        <f t="shared" si="90"/>
        <v/>
      </c>
      <c r="D1982" s="44" t="str">
        <f t="shared" si="91"/>
        <v/>
      </c>
      <c r="E1982" s="44" t="str">
        <f t="shared" si="92"/>
        <v/>
      </c>
      <c r="F1982" s="44"/>
      <c r="G1982" s="44"/>
      <c r="H1982" s="44"/>
      <c r="I1982" s="44"/>
      <c r="J1982" s="45"/>
      <c r="K1982" s="44"/>
      <c r="L1982" s="44"/>
      <c r="M1982" s="44"/>
    </row>
    <row r="1983" spans="2:13" x14ac:dyDescent="0.25">
      <c r="B1983" s="42"/>
      <c r="C1983" s="43" t="str">
        <f t="shared" si="90"/>
        <v/>
      </c>
      <c r="D1983" s="44" t="str">
        <f t="shared" si="91"/>
        <v/>
      </c>
      <c r="E1983" s="44" t="str">
        <f t="shared" si="92"/>
        <v/>
      </c>
      <c r="F1983" s="44"/>
      <c r="G1983" s="44"/>
      <c r="H1983" s="44"/>
      <c r="I1983" s="44"/>
      <c r="J1983" s="45"/>
      <c r="K1983" s="44"/>
      <c r="L1983" s="44"/>
      <c r="M1983" s="44"/>
    </row>
    <row r="1984" spans="2:13" x14ac:dyDescent="0.25">
      <c r="B1984" s="42"/>
      <c r="C1984" s="43" t="str">
        <f t="shared" si="90"/>
        <v/>
      </c>
      <c r="D1984" s="44" t="str">
        <f t="shared" si="91"/>
        <v/>
      </c>
      <c r="E1984" s="44" t="str">
        <f t="shared" si="92"/>
        <v/>
      </c>
      <c r="F1984" s="44"/>
      <c r="G1984" s="44"/>
      <c r="H1984" s="44"/>
      <c r="I1984" s="44"/>
      <c r="J1984" s="45"/>
      <c r="K1984" s="44"/>
      <c r="L1984" s="44"/>
      <c r="M1984" s="44"/>
    </row>
    <row r="1985" spans="2:13" x14ac:dyDescent="0.25">
      <c r="B1985" s="42"/>
      <c r="C1985" s="43" t="str">
        <f t="shared" si="90"/>
        <v/>
      </c>
      <c r="D1985" s="44" t="str">
        <f t="shared" si="91"/>
        <v/>
      </c>
      <c r="E1985" s="44" t="str">
        <f t="shared" si="92"/>
        <v/>
      </c>
      <c r="F1985" s="44"/>
      <c r="G1985" s="44"/>
      <c r="H1985" s="44"/>
      <c r="I1985" s="44"/>
      <c r="J1985" s="45"/>
      <c r="K1985" s="44"/>
      <c r="L1985" s="44"/>
      <c r="M1985" s="44"/>
    </row>
    <row r="1986" spans="2:13" x14ac:dyDescent="0.25">
      <c r="B1986" s="42"/>
      <c r="C1986" s="43" t="str">
        <f t="shared" ref="C1986:C2000" si="93">IF(B1986="","",MONTH(B1986))</f>
        <v/>
      </c>
      <c r="D1986" s="44" t="str">
        <f t="shared" ref="D1986:D2000" si="94">IF(B1986="","",CHOOSE(C1986,"Enero","Febrero","Marzo","Abril","Mayo","Junio","Julio","Agosto","Septiembre","Octubre","Noviembre","Diciembre"))</f>
        <v/>
      </c>
      <c r="E1986" s="44" t="str">
        <f t="shared" ref="E1986:E2000" si="95">IF(B1986="","",YEAR(B1986))</f>
        <v/>
      </c>
      <c r="F1986" s="44"/>
      <c r="G1986" s="44"/>
      <c r="H1986" s="44"/>
      <c r="I1986" s="44"/>
      <c r="J1986" s="45"/>
      <c r="K1986" s="44"/>
      <c r="L1986" s="44"/>
      <c r="M1986" s="44"/>
    </row>
    <row r="1987" spans="2:13" x14ac:dyDescent="0.25">
      <c r="B1987" s="42"/>
      <c r="C1987" s="43" t="str">
        <f t="shared" si="93"/>
        <v/>
      </c>
      <c r="D1987" s="44" t="str">
        <f t="shared" si="94"/>
        <v/>
      </c>
      <c r="E1987" s="44" t="str">
        <f t="shared" si="95"/>
        <v/>
      </c>
      <c r="F1987" s="44"/>
      <c r="G1987" s="44"/>
      <c r="H1987" s="44"/>
      <c r="I1987" s="44"/>
      <c r="J1987" s="45"/>
      <c r="K1987" s="44"/>
      <c r="L1987" s="44"/>
      <c r="M1987" s="44"/>
    </row>
    <row r="1988" spans="2:13" x14ac:dyDescent="0.25">
      <c r="B1988" s="42"/>
      <c r="C1988" s="43" t="str">
        <f t="shared" si="93"/>
        <v/>
      </c>
      <c r="D1988" s="44" t="str">
        <f t="shared" si="94"/>
        <v/>
      </c>
      <c r="E1988" s="44" t="str">
        <f t="shared" si="95"/>
        <v/>
      </c>
      <c r="F1988" s="44"/>
      <c r="G1988" s="44"/>
      <c r="H1988" s="44"/>
      <c r="I1988" s="44"/>
      <c r="J1988" s="45"/>
      <c r="K1988" s="44"/>
      <c r="L1988" s="44"/>
      <c r="M1988" s="44"/>
    </row>
    <row r="1989" spans="2:13" x14ac:dyDescent="0.25">
      <c r="B1989" s="42"/>
      <c r="C1989" s="43" t="str">
        <f t="shared" si="93"/>
        <v/>
      </c>
      <c r="D1989" s="44" t="str">
        <f t="shared" si="94"/>
        <v/>
      </c>
      <c r="E1989" s="44" t="str">
        <f t="shared" si="95"/>
        <v/>
      </c>
      <c r="F1989" s="44"/>
      <c r="G1989" s="44"/>
      <c r="H1989" s="44"/>
      <c r="I1989" s="44"/>
      <c r="J1989" s="45"/>
      <c r="K1989" s="44"/>
      <c r="L1989" s="44"/>
      <c r="M1989" s="44"/>
    </row>
    <row r="1990" spans="2:13" x14ac:dyDescent="0.25">
      <c r="B1990" s="42"/>
      <c r="C1990" s="43" t="str">
        <f t="shared" si="93"/>
        <v/>
      </c>
      <c r="D1990" s="44" t="str">
        <f t="shared" si="94"/>
        <v/>
      </c>
      <c r="E1990" s="44" t="str">
        <f t="shared" si="95"/>
        <v/>
      </c>
      <c r="F1990" s="44"/>
      <c r="G1990" s="44"/>
      <c r="H1990" s="44"/>
      <c r="I1990" s="44"/>
      <c r="J1990" s="45"/>
      <c r="K1990" s="44"/>
      <c r="L1990" s="44"/>
      <c r="M1990" s="44"/>
    </row>
    <row r="1991" spans="2:13" x14ac:dyDescent="0.25">
      <c r="B1991" s="42"/>
      <c r="C1991" s="43" t="str">
        <f t="shared" si="93"/>
        <v/>
      </c>
      <c r="D1991" s="44" t="str">
        <f t="shared" si="94"/>
        <v/>
      </c>
      <c r="E1991" s="44" t="str">
        <f t="shared" si="95"/>
        <v/>
      </c>
      <c r="F1991" s="44"/>
      <c r="G1991" s="44"/>
      <c r="H1991" s="44"/>
      <c r="I1991" s="44"/>
      <c r="J1991" s="45"/>
      <c r="K1991" s="44"/>
      <c r="L1991" s="44"/>
      <c r="M1991" s="44"/>
    </row>
    <row r="1992" spans="2:13" x14ac:dyDescent="0.25">
      <c r="B1992" s="42"/>
      <c r="C1992" s="43" t="str">
        <f t="shared" si="93"/>
        <v/>
      </c>
      <c r="D1992" s="44" t="str">
        <f t="shared" si="94"/>
        <v/>
      </c>
      <c r="E1992" s="44" t="str">
        <f t="shared" si="95"/>
        <v/>
      </c>
      <c r="F1992" s="44"/>
      <c r="G1992" s="44"/>
      <c r="H1992" s="44"/>
      <c r="I1992" s="44"/>
      <c r="J1992" s="45"/>
      <c r="K1992" s="44"/>
      <c r="L1992" s="44"/>
      <c r="M1992" s="44"/>
    </row>
    <row r="1993" spans="2:13" x14ac:dyDescent="0.25">
      <c r="B1993" s="42"/>
      <c r="C1993" s="43" t="str">
        <f t="shared" si="93"/>
        <v/>
      </c>
      <c r="D1993" s="44" t="str">
        <f t="shared" si="94"/>
        <v/>
      </c>
      <c r="E1993" s="44" t="str">
        <f t="shared" si="95"/>
        <v/>
      </c>
      <c r="F1993" s="44"/>
      <c r="G1993" s="44"/>
      <c r="H1993" s="44"/>
      <c r="I1993" s="44"/>
      <c r="J1993" s="45"/>
      <c r="K1993" s="44"/>
      <c r="L1993" s="44"/>
      <c r="M1993" s="44"/>
    </row>
    <row r="1994" spans="2:13" x14ac:dyDescent="0.25">
      <c r="B1994" s="42"/>
      <c r="C1994" s="43" t="str">
        <f t="shared" si="93"/>
        <v/>
      </c>
      <c r="D1994" s="44" t="str">
        <f t="shared" si="94"/>
        <v/>
      </c>
      <c r="E1994" s="44" t="str">
        <f t="shared" si="95"/>
        <v/>
      </c>
      <c r="F1994" s="44"/>
      <c r="G1994" s="44"/>
      <c r="H1994" s="44"/>
      <c r="I1994" s="44"/>
      <c r="J1994" s="45"/>
      <c r="K1994" s="44"/>
      <c r="L1994" s="44"/>
      <c r="M1994" s="44"/>
    </row>
    <row r="1995" spans="2:13" x14ac:dyDescent="0.25">
      <c r="B1995" s="42"/>
      <c r="C1995" s="43" t="str">
        <f t="shared" si="93"/>
        <v/>
      </c>
      <c r="D1995" s="44" t="str">
        <f t="shared" si="94"/>
        <v/>
      </c>
      <c r="E1995" s="44" t="str">
        <f t="shared" si="95"/>
        <v/>
      </c>
      <c r="F1995" s="44"/>
      <c r="G1995" s="44"/>
      <c r="H1995" s="44"/>
      <c r="I1995" s="44"/>
      <c r="J1995" s="45"/>
      <c r="K1995" s="44"/>
      <c r="L1995" s="44"/>
      <c r="M1995" s="44"/>
    </row>
    <row r="1996" spans="2:13" x14ac:dyDescent="0.25">
      <c r="B1996" s="42"/>
      <c r="C1996" s="43" t="str">
        <f t="shared" si="93"/>
        <v/>
      </c>
      <c r="D1996" s="44" t="str">
        <f t="shared" si="94"/>
        <v/>
      </c>
      <c r="E1996" s="44" t="str">
        <f t="shared" si="95"/>
        <v/>
      </c>
      <c r="F1996" s="44"/>
      <c r="G1996" s="44"/>
      <c r="H1996" s="44"/>
      <c r="I1996" s="44"/>
      <c r="J1996" s="45"/>
      <c r="K1996" s="44"/>
      <c r="L1996" s="44"/>
      <c r="M1996" s="44"/>
    </row>
    <row r="1997" spans="2:13" x14ac:dyDescent="0.25">
      <c r="B1997" s="42"/>
      <c r="C1997" s="43" t="str">
        <f t="shared" si="93"/>
        <v/>
      </c>
      <c r="D1997" s="44" t="str">
        <f t="shared" si="94"/>
        <v/>
      </c>
      <c r="E1997" s="44" t="str">
        <f t="shared" si="95"/>
        <v/>
      </c>
      <c r="F1997" s="44"/>
      <c r="G1997" s="44"/>
      <c r="H1997" s="44"/>
      <c r="I1997" s="44"/>
      <c r="J1997" s="45"/>
      <c r="K1997" s="44"/>
      <c r="L1997" s="44"/>
      <c r="M1997" s="44"/>
    </row>
    <row r="1998" spans="2:13" x14ac:dyDescent="0.25">
      <c r="B1998" s="42"/>
      <c r="C1998" s="43" t="str">
        <f t="shared" si="93"/>
        <v/>
      </c>
      <c r="D1998" s="44" t="str">
        <f t="shared" si="94"/>
        <v/>
      </c>
      <c r="E1998" s="44" t="str">
        <f t="shared" si="95"/>
        <v/>
      </c>
      <c r="F1998" s="44"/>
      <c r="G1998" s="44"/>
      <c r="H1998" s="44"/>
      <c r="I1998" s="44"/>
      <c r="J1998" s="45"/>
      <c r="K1998" s="44"/>
      <c r="L1998" s="44"/>
      <c r="M1998" s="44"/>
    </row>
    <row r="1999" spans="2:13" x14ac:dyDescent="0.25">
      <c r="B1999" s="42"/>
      <c r="C1999" s="43" t="str">
        <f t="shared" si="93"/>
        <v/>
      </c>
      <c r="D1999" s="44" t="str">
        <f t="shared" si="94"/>
        <v/>
      </c>
      <c r="E1999" s="44" t="str">
        <f t="shared" si="95"/>
        <v/>
      </c>
      <c r="F1999" s="44"/>
      <c r="G1999" s="44"/>
      <c r="H1999" s="44"/>
      <c r="I1999" s="44"/>
      <c r="J1999" s="45"/>
      <c r="K1999" s="44"/>
      <c r="L1999" s="44"/>
      <c r="M1999" s="44"/>
    </row>
    <row r="2000" spans="2:13" x14ac:dyDescent="0.25">
      <c r="B2000" s="42"/>
      <c r="C2000" s="43" t="str">
        <f t="shared" si="93"/>
        <v/>
      </c>
      <c r="D2000" s="44" t="str">
        <f t="shared" si="94"/>
        <v/>
      </c>
      <c r="E2000" s="44" t="str">
        <f t="shared" si="95"/>
        <v/>
      </c>
      <c r="F2000" s="44"/>
      <c r="G2000" s="44"/>
      <c r="H2000" s="44"/>
      <c r="I2000" s="44"/>
      <c r="J2000" s="45"/>
      <c r="K2000" s="44"/>
      <c r="L2000" s="44"/>
      <c r="M2000" s="44"/>
    </row>
  </sheetData>
  <dataValidations count="5">
    <dataValidation type="list" allowBlank="1" showErrorMessage="1" sqref="G2:G2000" xr:uid="{00000000-0002-0000-0300-000000000000}">
      <formula1>lst_Categorias</formula1>
      <formula2>0</formula2>
    </dataValidation>
    <dataValidation type="list" allowBlank="1" showErrorMessage="1" sqref="H2:H2000" xr:uid="{00000000-0002-0000-0300-000001000000}">
      <formula1>lst_Conceptos</formula1>
      <formula2>0</formula2>
    </dataValidation>
    <dataValidation type="list" allowBlank="1" showErrorMessage="1" sqref="F2:F2000" xr:uid="{00000000-0002-0000-0300-000002000000}">
      <formula1>lst_Tipos</formula1>
      <formula2>0</formula2>
    </dataValidation>
    <dataValidation type="list" allowBlank="1" showErrorMessage="1" sqref="L2:L2000" xr:uid="{00000000-0002-0000-0300-000003000000}">
      <formula1>lst_Medios</formula1>
      <formula2>0</formula2>
    </dataValidation>
    <dataValidation type="list" allowBlank="1" showErrorMessage="1" sqref="K2:K2000" xr:uid="{00000000-0002-0000-0300-000004000000}">
      <formula1>lst_Estados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0"/>
  <sheetViews>
    <sheetView tabSelected="1" zoomScale="90" zoomScaleNormal="90" workbookViewId="0">
      <selection activeCell="R25" sqref="R25"/>
    </sheetView>
  </sheetViews>
  <sheetFormatPr baseColWidth="10" defaultColWidth="8.7109375" defaultRowHeight="15" x14ac:dyDescent="0.25"/>
  <cols>
    <col min="1" max="1" width="21" style="2" customWidth="1"/>
    <col min="2" max="2" width="12.5703125" style="2" customWidth="1"/>
    <col min="3" max="3" width="13.42578125" style="2" customWidth="1"/>
    <col min="4" max="4" width="14.42578125" style="2" customWidth="1"/>
    <col min="6" max="6" width="13.42578125" style="2" customWidth="1"/>
    <col min="8" max="8" width="14.42578125" style="2" customWidth="1"/>
    <col min="10" max="10" width="12" style="2" customWidth="1"/>
    <col min="11" max="11" width="39" style="2" customWidth="1"/>
    <col min="12" max="12" width="4.5703125" style="3" customWidth="1"/>
    <col min="13" max="13" width="31.7109375" style="2" customWidth="1"/>
    <col min="14" max="14" width="45.140625" style="2" customWidth="1"/>
    <col min="15" max="15" width="5" style="3" customWidth="1"/>
    <col min="16" max="16" width="12" style="2" customWidth="1"/>
    <col min="17" max="17" width="13.7109375" style="4" customWidth="1"/>
    <col min="18" max="20" width="8.7109375" style="3"/>
  </cols>
  <sheetData>
    <row r="1" spans="1:17" ht="27.75" customHeight="1" x14ac:dyDescent="0.25">
      <c r="A1" s="89" t="s">
        <v>124</v>
      </c>
      <c r="B1" s="89"/>
      <c r="C1" s="89"/>
      <c r="D1" s="89"/>
      <c r="E1" s="89"/>
      <c r="F1" s="89"/>
      <c r="G1" s="89"/>
      <c r="H1" s="89"/>
      <c r="I1" s="89"/>
      <c r="J1" s="89"/>
      <c r="K1" s="89"/>
      <c r="M1" s="49" t="s">
        <v>125</v>
      </c>
      <c r="N1" s="49" t="s">
        <v>126</v>
      </c>
      <c r="P1" s="50" t="s">
        <v>127</v>
      </c>
    </row>
    <row r="2" spans="1:17" x14ac:dyDescent="0.25">
      <c r="A2" s="4"/>
      <c r="B2" s="4"/>
      <c r="C2" s="4"/>
      <c r="D2" s="4"/>
      <c r="E2" s="3"/>
      <c r="F2" s="4"/>
      <c r="G2" s="3"/>
      <c r="H2" s="4"/>
      <c r="I2" s="3"/>
      <c r="J2" s="4"/>
      <c r="K2" s="4"/>
      <c r="M2" s="4"/>
      <c r="N2" s="4"/>
      <c r="P2" s="50">
        <v>2024</v>
      </c>
    </row>
    <row r="3" spans="1:17" x14ac:dyDescent="0.25">
      <c r="A3" s="51" t="s">
        <v>102</v>
      </c>
      <c r="B3" s="51" t="s">
        <v>19</v>
      </c>
      <c r="C3" s="52"/>
      <c r="D3" s="51" t="s">
        <v>43</v>
      </c>
      <c r="E3" s="52"/>
      <c r="F3" s="51" t="s">
        <v>36</v>
      </c>
      <c r="G3" s="52"/>
      <c r="H3" s="51" t="s">
        <v>40</v>
      </c>
      <c r="I3" s="52"/>
      <c r="J3" s="51" t="s">
        <v>128</v>
      </c>
      <c r="K3" s="51" t="s">
        <v>129</v>
      </c>
      <c r="M3" s="53" t="s">
        <v>103</v>
      </c>
      <c r="N3" s="53" t="s">
        <v>130</v>
      </c>
      <c r="P3" s="50">
        <v>2025</v>
      </c>
      <c r="Q3" s="52"/>
    </row>
    <row r="4" spans="1:17" ht="20.25" customHeight="1" x14ac:dyDescent="0.25">
      <c r="A4" s="43">
        <v>1</v>
      </c>
      <c r="B4" s="43" t="s">
        <v>20</v>
      </c>
      <c r="C4" s="52"/>
      <c r="D4" s="43" t="s">
        <v>48</v>
      </c>
      <c r="E4" s="52"/>
      <c r="F4" s="43" t="s">
        <v>47</v>
      </c>
      <c r="G4" s="52"/>
      <c r="H4" s="43" t="s">
        <v>47</v>
      </c>
      <c r="I4" s="52"/>
      <c r="J4" s="43" t="s">
        <v>21</v>
      </c>
      <c r="K4" s="54">
        <v>0.5</v>
      </c>
      <c r="M4" s="55" t="s">
        <v>105</v>
      </c>
      <c r="N4" s="55" t="s">
        <v>131</v>
      </c>
      <c r="P4" s="50">
        <v>2026</v>
      </c>
      <c r="Q4" s="52"/>
    </row>
    <row r="5" spans="1:17" x14ac:dyDescent="0.25">
      <c r="A5" s="43">
        <v>2</v>
      </c>
      <c r="B5" s="43" t="s">
        <v>132</v>
      </c>
      <c r="C5" s="52"/>
      <c r="D5" s="43" t="s">
        <v>21</v>
      </c>
      <c r="E5" s="52"/>
      <c r="F5" s="43" t="s">
        <v>50</v>
      </c>
      <c r="G5" s="52"/>
      <c r="H5" s="43" t="s">
        <v>50</v>
      </c>
      <c r="I5" s="52"/>
      <c r="J5" s="43" t="s">
        <v>22</v>
      </c>
      <c r="K5" s="54">
        <v>0.3</v>
      </c>
      <c r="M5" s="55" t="s">
        <v>107</v>
      </c>
      <c r="N5" s="55" t="s">
        <v>133</v>
      </c>
      <c r="P5" s="50">
        <v>2027</v>
      </c>
      <c r="Q5" s="52"/>
    </row>
    <row r="6" spans="1:17" x14ac:dyDescent="0.25">
      <c r="A6" s="43">
        <v>3</v>
      </c>
      <c r="B6" s="43" t="s">
        <v>134</v>
      </c>
      <c r="C6" s="52"/>
      <c r="D6" s="43" t="s">
        <v>22</v>
      </c>
      <c r="E6" s="52"/>
      <c r="F6" s="43" t="s">
        <v>33</v>
      </c>
      <c r="G6" s="52"/>
      <c r="H6" s="43" t="s">
        <v>52</v>
      </c>
      <c r="I6" s="52"/>
      <c r="J6" s="43" t="s">
        <v>54</v>
      </c>
      <c r="K6" s="54">
        <v>0.2</v>
      </c>
      <c r="M6" s="55" t="s">
        <v>108</v>
      </c>
      <c r="N6" s="55" t="s">
        <v>135</v>
      </c>
      <c r="P6" s="50">
        <v>2028</v>
      </c>
      <c r="Q6" s="52"/>
    </row>
    <row r="7" spans="1:17" x14ac:dyDescent="0.25">
      <c r="A7" s="43">
        <v>4</v>
      </c>
      <c r="B7" s="43" t="s">
        <v>136</v>
      </c>
      <c r="C7" s="52"/>
      <c r="D7" s="43" t="s">
        <v>54</v>
      </c>
      <c r="E7" s="52"/>
      <c r="F7" s="43" t="s">
        <v>39</v>
      </c>
      <c r="G7" s="52"/>
      <c r="H7" s="43" t="s">
        <v>78</v>
      </c>
      <c r="I7" s="52"/>
      <c r="J7" s="52"/>
      <c r="K7" s="52"/>
      <c r="M7" s="55" t="s">
        <v>54</v>
      </c>
      <c r="N7" s="55" t="s">
        <v>137</v>
      </c>
      <c r="P7" s="50">
        <v>2029</v>
      </c>
      <c r="Q7" s="52"/>
    </row>
    <row r="8" spans="1:17" x14ac:dyDescent="0.25">
      <c r="A8" s="43">
        <v>5</v>
      </c>
      <c r="B8" s="43" t="s">
        <v>138</v>
      </c>
      <c r="C8" s="52"/>
      <c r="D8" s="43" t="s">
        <v>93</v>
      </c>
      <c r="E8" s="52"/>
      <c r="F8" s="43" t="s">
        <v>46</v>
      </c>
      <c r="G8" s="52"/>
      <c r="H8" s="43" t="s">
        <v>79</v>
      </c>
      <c r="I8" s="52"/>
      <c r="J8" s="56" t="s">
        <v>112</v>
      </c>
      <c r="K8" s="52"/>
      <c r="M8" s="55" t="s">
        <v>93</v>
      </c>
      <c r="N8" s="55" t="s">
        <v>139</v>
      </c>
      <c r="P8" s="50">
        <v>2030</v>
      </c>
      <c r="Q8" s="52"/>
    </row>
    <row r="9" spans="1:17" ht="33" customHeight="1" x14ac:dyDescent="0.25">
      <c r="A9" s="43">
        <v>6</v>
      </c>
      <c r="B9" s="43" t="s">
        <v>109</v>
      </c>
      <c r="C9" s="52"/>
      <c r="D9" s="43" t="s">
        <v>29</v>
      </c>
      <c r="E9" s="52"/>
      <c r="F9" s="43" t="s">
        <v>49</v>
      </c>
      <c r="G9" s="52"/>
      <c r="H9" s="43" t="s">
        <v>80</v>
      </c>
      <c r="I9" s="52"/>
      <c r="J9" s="44" t="s">
        <v>140</v>
      </c>
      <c r="K9" s="52"/>
      <c r="M9" s="55" t="s">
        <v>29</v>
      </c>
      <c r="N9" s="55" t="s">
        <v>141</v>
      </c>
      <c r="P9" s="50">
        <v>2031</v>
      </c>
    </row>
    <row r="10" spans="1:17" ht="27" customHeight="1" x14ac:dyDescent="0.25">
      <c r="A10" s="43">
        <v>7</v>
      </c>
      <c r="B10" s="43" t="s">
        <v>142</v>
      </c>
      <c r="C10" s="52"/>
      <c r="D10" s="52"/>
      <c r="E10" s="52"/>
      <c r="F10" s="43" t="s">
        <v>51</v>
      </c>
      <c r="G10" s="52"/>
      <c r="H10" s="43" t="s">
        <v>81</v>
      </c>
      <c r="I10" s="52"/>
      <c r="J10" s="44" t="s">
        <v>119</v>
      </c>
      <c r="K10" s="52"/>
      <c r="M10" s="4"/>
      <c r="N10" s="4"/>
      <c r="P10" s="50">
        <v>2032</v>
      </c>
    </row>
    <row r="11" spans="1:17" ht="29.25" customHeight="1" x14ac:dyDescent="0.25">
      <c r="A11" s="43">
        <v>8</v>
      </c>
      <c r="B11" s="43" t="s">
        <v>143</v>
      </c>
      <c r="C11" s="52"/>
      <c r="D11" s="56" t="s">
        <v>113</v>
      </c>
      <c r="E11" s="52"/>
      <c r="F11" s="43" t="s">
        <v>55</v>
      </c>
      <c r="G11" s="52"/>
      <c r="H11" s="43" t="s">
        <v>82</v>
      </c>
      <c r="I11" s="52"/>
      <c r="J11" s="44" t="s">
        <v>115</v>
      </c>
      <c r="K11" s="52"/>
      <c r="M11" s="4"/>
      <c r="N11" s="4"/>
      <c r="P11" s="50">
        <v>2033</v>
      </c>
    </row>
    <row r="12" spans="1:17" ht="21" customHeight="1" x14ac:dyDescent="0.25">
      <c r="A12" s="43">
        <v>9</v>
      </c>
      <c r="B12" s="43" t="s">
        <v>144</v>
      </c>
      <c r="C12" s="52"/>
      <c r="D12" s="44" t="s">
        <v>145</v>
      </c>
      <c r="E12" s="52"/>
      <c r="F12" s="43" t="s">
        <v>57</v>
      </c>
      <c r="G12" s="52"/>
      <c r="H12" s="43" t="s">
        <v>83</v>
      </c>
      <c r="I12" s="52"/>
      <c r="J12" s="44" t="s">
        <v>146</v>
      </c>
      <c r="K12" s="52"/>
      <c r="M12" s="4"/>
      <c r="N12" s="4"/>
      <c r="P12" s="50">
        <v>2034</v>
      </c>
    </row>
    <row r="13" spans="1:17" ht="33.75" customHeight="1" x14ac:dyDescent="0.25">
      <c r="A13" s="43">
        <v>10</v>
      </c>
      <c r="B13" s="43" t="s">
        <v>147</v>
      </c>
      <c r="C13" s="52"/>
      <c r="D13" s="44" t="s">
        <v>122</v>
      </c>
      <c r="E13" s="52"/>
      <c r="F13" s="43" t="s">
        <v>58</v>
      </c>
      <c r="G13" s="52"/>
      <c r="H13" s="43" t="s">
        <v>84</v>
      </c>
      <c r="I13" s="52"/>
      <c r="J13" s="44" t="s">
        <v>148</v>
      </c>
      <c r="K13" s="52"/>
      <c r="M13" s="4"/>
      <c r="N13" s="4"/>
      <c r="P13" s="50">
        <v>2035</v>
      </c>
    </row>
    <row r="14" spans="1:17" ht="29.25" customHeight="1" x14ac:dyDescent="0.25">
      <c r="A14" s="43">
        <v>11</v>
      </c>
      <c r="B14" s="43" t="s">
        <v>149</v>
      </c>
      <c r="C14" s="52"/>
      <c r="D14" s="44" t="s">
        <v>123</v>
      </c>
      <c r="E14" s="52"/>
      <c r="F14" s="43" t="s">
        <v>60</v>
      </c>
      <c r="G14" s="52"/>
      <c r="H14" s="43" t="s">
        <v>74</v>
      </c>
      <c r="I14" s="52"/>
      <c r="J14" s="44"/>
      <c r="K14" s="52"/>
      <c r="M14" s="4"/>
      <c r="N14" s="4"/>
      <c r="P14" s="50">
        <v>2036</v>
      </c>
    </row>
    <row r="15" spans="1:17" ht="16.5" customHeight="1" x14ac:dyDescent="0.25">
      <c r="A15" s="43">
        <v>12</v>
      </c>
      <c r="B15" s="43" t="s">
        <v>150</v>
      </c>
      <c r="C15" s="52"/>
      <c r="D15" s="44" t="s">
        <v>116</v>
      </c>
      <c r="E15" s="52"/>
      <c r="F15" s="43" t="s">
        <v>99</v>
      </c>
      <c r="G15" s="52"/>
      <c r="H15" s="43" t="s">
        <v>51</v>
      </c>
      <c r="I15" s="52"/>
      <c r="J15" s="44"/>
      <c r="K15" s="52"/>
      <c r="M15" s="4"/>
      <c r="N15" s="4"/>
      <c r="P15" s="50">
        <v>2037</v>
      </c>
    </row>
    <row r="16" spans="1:17" x14ac:dyDescent="0.25">
      <c r="A16" s="52"/>
      <c r="B16" s="52"/>
      <c r="C16" s="52"/>
      <c r="D16" s="44" t="s">
        <v>121</v>
      </c>
      <c r="E16" s="52"/>
      <c r="F16" s="43" t="s">
        <v>71</v>
      </c>
      <c r="G16" s="52"/>
      <c r="H16" s="43" t="s">
        <v>75</v>
      </c>
      <c r="I16" s="52"/>
      <c r="J16" s="52"/>
      <c r="K16" s="52"/>
      <c r="M16" s="4"/>
      <c r="N16" s="4"/>
      <c r="P16" s="50">
        <v>2038</v>
      </c>
    </row>
    <row r="17" spans="1:16" ht="30" customHeight="1" x14ac:dyDescent="0.25">
      <c r="A17" s="52"/>
      <c r="B17" s="52"/>
      <c r="C17" s="52"/>
      <c r="D17" s="44" t="s">
        <v>53</v>
      </c>
      <c r="E17" s="52"/>
      <c r="F17" s="43" t="s">
        <v>68</v>
      </c>
      <c r="G17" s="52"/>
      <c r="H17" s="43" t="s">
        <v>64</v>
      </c>
      <c r="I17" s="52"/>
      <c r="J17" s="52"/>
      <c r="K17" s="52"/>
      <c r="M17" s="4"/>
      <c r="N17" s="4"/>
      <c r="P17" s="50">
        <v>2039</v>
      </c>
    </row>
    <row r="18" spans="1:16" ht="30" customHeight="1" x14ac:dyDescent="0.25">
      <c r="A18" s="52"/>
      <c r="B18" s="52"/>
      <c r="C18" s="52"/>
      <c r="D18" s="52"/>
      <c r="E18" s="52"/>
      <c r="F18" s="43" t="s">
        <v>70</v>
      </c>
      <c r="G18" s="52"/>
      <c r="H18" s="43" t="s">
        <v>101</v>
      </c>
      <c r="I18" s="52"/>
      <c r="J18" s="52"/>
      <c r="K18" s="52"/>
      <c r="M18" s="4"/>
      <c r="N18" s="4"/>
      <c r="P18" s="50">
        <v>2040</v>
      </c>
    </row>
    <row r="19" spans="1:16" x14ac:dyDescent="0.25">
      <c r="A19" s="52"/>
      <c r="B19" s="52"/>
      <c r="C19" s="52"/>
      <c r="D19" s="52"/>
      <c r="E19" s="52"/>
      <c r="F19" s="43" t="s">
        <v>53</v>
      </c>
      <c r="G19" s="52"/>
      <c r="H19" s="43" t="s">
        <v>151</v>
      </c>
      <c r="I19" s="52"/>
      <c r="J19" s="52"/>
      <c r="K19" s="52"/>
      <c r="M19" s="4"/>
      <c r="N19" s="4"/>
      <c r="P19" s="50">
        <v>2041</v>
      </c>
    </row>
    <row r="20" spans="1:16" ht="30" customHeight="1" x14ac:dyDescent="0.25">
      <c r="A20" s="52"/>
      <c r="B20" s="52"/>
      <c r="C20" s="52"/>
      <c r="D20" s="52"/>
      <c r="E20" s="52"/>
      <c r="F20" s="43" t="s">
        <v>64</v>
      </c>
      <c r="G20" s="52"/>
      <c r="H20" s="43" t="s">
        <v>98</v>
      </c>
      <c r="I20" s="52"/>
      <c r="J20" s="52"/>
      <c r="K20" s="52"/>
      <c r="M20" s="4"/>
      <c r="N20" s="4"/>
      <c r="P20" s="50">
        <v>2042</v>
      </c>
    </row>
    <row r="21" spans="1:16" x14ac:dyDescent="0.25">
      <c r="A21" s="52"/>
      <c r="B21" s="52"/>
      <c r="C21" s="52"/>
      <c r="D21" s="52"/>
      <c r="E21" s="52"/>
      <c r="F21" s="52"/>
      <c r="G21" s="52"/>
      <c r="H21" s="43" t="s">
        <v>100</v>
      </c>
      <c r="I21" s="52"/>
      <c r="J21" s="52"/>
      <c r="K21" s="52"/>
      <c r="M21" s="4"/>
      <c r="N21" s="4"/>
      <c r="P21" s="50">
        <v>2043</v>
      </c>
    </row>
    <row r="22" spans="1:16" ht="30" customHeight="1" x14ac:dyDescent="0.25">
      <c r="A22" s="52"/>
      <c r="B22" s="52"/>
      <c r="C22" s="52"/>
      <c r="D22" s="52"/>
      <c r="E22" s="52"/>
      <c r="F22" s="52"/>
      <c r="G22" s="52"/>
      <c r="H22" s="43" t="s">
        <v>92</v>
      </c>
      <c r="I22" s="52"/>
      <c r="J22" s="52"/>
      <c r="K22" s="52"/>
      <c r="M22" s="4"/>
      <c r="N22" s="4"/>
      <c r="P22" s="50">
        <v>2044</v>
      </c>
    </row>
    <row r="23" spans="1:16" x14ac:dyDescent="0.25">
      <c r="A23" s="52"/>
      <c r="B23" s="52"/>
      <c r="C23" s="52"/>
      <c r="D23" s="52"/>
      <c r="E23" s="52"/>
      <c r="F23" s="52"/>
      <c r="G23" s="52"/>
      <c r="H23" s="43" t="s">
        <v>94</v>
      </c>
      <c r="I23" s="52"/>
      <c r="J23" s="52"/>
      <c r="K23" s="52"/>
      <c r="M23" s="4"/>
      <c r="N23" s="4"/>
      <c r="P23" s="50">
        <v>2045</v>
      </c>
    </row>
    <row r="24" spans="1:16" ht="30" customHeight="1" x14ac:dyDescent="0.25">
      <c r="A24" s="52"/>
      <c r="B24" s="52"/>
      <c r="C24" s="52"/>
      <c r="D24" s="52"/>
      <c r="E24" s="52"/>
      <c r="F24" s="52"/>
      <c r="G24" s="52"/>
      <c r="H24" s="43" t="s">
        <v>95</v>
      </c>
      <c r="I24" s="52"/>
      <c r="J24" s="52"/>
      <c r="K24" s="52"/>
      <c r="M24" s="4"/>
      <c r="N24" s="4"/>
      <c r="P24" s="50">
        <v>2046</v>
      </c>
    </row>
    <row r="25" spans="1:16" ht="30" customHeight="1" x14ac:dyDescent="0.25">
      <c r="A25" s="52"/>
      <c r="B25" s="52"/>
      <c r="C25" s="52"/>
      <c r="D25" s="52"/>
      <c r="E25" s="52"/>
      <c r="F25" s="52"/>
      <c r="G25" s="52"/>
      <c r="H25" s="43" t="s">
        <v>96</v>
      </c>
      <c r="I25" s="52"/>
      <c r="J25" s="52"/>
      <c r="K25" s="52"/>
      <c r="M25" s="4"/>
      <c r="N25" s="4"/>
      <c r="P25" s="50">
        <v>2047</v>
      </c>
    </row>
    <row r="26" spans="1:16" x14ac:dyDescent="0.25">
      <c r="A26" s="52"/>
      <c r="B26" s="52"/>
      <c r="C26" s="52"/>
      <c r="D26" s="52"/>
      <c r="E26" s="52"/>
      <c r="F26" s="52"/>
      <c r="G26" s="52"/>
      <c r="H26" s="43" t="s">
        <v>70</v>
      </c>
      <c r="I26" s="52"/>
      <c r="J26" s="52"/>
      <c r="K26" s="52"/>
      <c r="M26" s="4"/>
      <c r="N26" s="4"/>
      <c r="P26" s="50">
        <v>2048</v>
      </c>
    </row>
    <row r="27" spans="1:16" x14ac:dyDescent="0.25">
      <c r="A27" s="52"/>
      <c r="B27" s="52"/>
      <c r="C27" s="52"/>
      <c r="D27" s="52"/>
      <c r="E27" s="52"/>
      <c r="F27" s="52"/>
      <c r="G27" s="52"/>
      <c r="H27" s="43" t="s">
        <v>57</v>
      </c>
      <c r="I27" s="52"/>
      <c r="J27" s="52"/>
      <c r="K27" s="52"/>
      <c r="M27" s="4"/>
      <c r="N27" s="4"/>
      <c r="P27" s="50">
        <v>2049</v>
      </c>
    </row>
    <row r="28" spans="1:16" x14ac:dyDescent="0.25">
      <c r="A28" s="52"/>
      <c r="B28" s="52"/>
      <c r="C28" s="52"/>
      <c r="D28" s="52"/>
      <c r="E28" s="52"/>
      <c r="F28" s="52"/>
      <c r="G28" s="52"/>
      <c r="H28" s="43" t="s">
        <v>76</v>
      </c>
      <c r="I28" s="52"/>
      <c r="J28" s="52"/>
      <c r="K28" s="52"/>
      <c r="M28" s="4"/>
      <c r="N28" s="4"/>
      <c r="P28" s="50">
        <v>2050</v>
      </c>
    </row>
    <row r="29" spans="1:16" x14ac:dyDescent="0.2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M29" s="4"/>
      <c r="N29" s="4"/>
    </row>
    <row r="30" spans="1:16" x14ac:dyDescent="0.2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M30" s="4"/>
      <c r="N30" s="4"/>
    </row>
    <row r="31" spans="1:16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M31" s="4"/>
      <c r="N31" s="4"/>
      <c r="O31" s="4"/>
    </row>
    <row r="32" spans="1:16" x14ac:dyDescent="0.2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M32" s="4"/>
      <c r="N32" s="4"/>
      <c r="O32" s="4"/>
    </row>
    <row r="33" spans="1:15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M33" s="4"/>
      <c r="N33" s="4"/>
      <c r="O33" s="4"/>
    </row>
    <row r="34" spans="1:15" x14ac:dyDescent="0.2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M34" s="4"/>
      <c r="N34" s="4"/>
      <c r="O34" s="4"/>
    </row>
    <row r="35" spans="1:15" x14ac:dyDescent="0.2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M35" s="4"/>
      <c r="N35" s="4"/>
      <c r="O35" s="4"/>
    </row>
    <row r="36" spans="1:15" x14ac:dyDescent="0.2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M36" s="4"/>
      <c r="N36" s="4"/>
      <c r="O36" s="4"/>
    </row>
    <row r="37" spans="1:15" x14ac:dyDescent="0.2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M37" s="4"/>
      <c r="N37" s="4"/>
      <c r="O37" s="4"/>
    </row>
    <row r="38" spans="1:15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M38" s="4"/>
      <c r="N38" s="4"/>
      <c r="O38" s="4"/>
    </row>
    <row r="39" spans="1:15" x14ac:dyDescent="0.2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M39" s="4"/>
      <c r="N39" s="4"/>
      <c r="O39" s="4"/>
    </row>
    <row r="40" spans="1:15" x14ac:dyDescent="0.2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M40" s="4"/>
      <c r="N40" s="4"/>
      <c r="O40" s="4"/>
    </row>
    <row r="41" spans="1:15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M41" s="4"/>
      <c r="N41" s="4"/>
      <c r="O41" s="4"/>
    </row>
    <row r="42" spans="1:15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M42" s="4"/>
      <c r="N42" s="4"/>
      <c r="O42" s="4"/>
    </row>
    <row r="43" spans="1:15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M43" s="4"/>
      <c r="N43" s="4"/>
      <c r="O43" s="4"/>
    </row>
    <row r="44" spans="1:15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M44" s="4"/>
      <c r="N44" s="4"/>
      <c r="O44" s="4"/>
    </row>
    <row r="45" spans="1:15" x14ac:dyDescent="0.2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M45" s="4"/>
      <c r="N45" s="4"/>
      <c r="O45" s="4"/>
    </row>
    <row r="46" spans="1:15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M46" s="4"/>
      <c r="N46" s="4"/>
      <c r="O46" s="4"/>
    </row>
    <row r="47" spans="1:15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M47" s="4"/>
      <c r="N47" s="4"/>
      <c r="O47" s="4"/>
    </row>
    <row r="48" spans="1:15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M48" s="4"/>
      <c r="N48" s="4"/>
      <c r="O48" s="4"/>
    </row>
    <row r="49" spans="1:15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M49" s="4"/>
      <c r="N49" s="4"/>
      <c r="O49" s="4"/>
    </row>
    <row r="50" spans="1:15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M50" s="4"/>
      <c r="N50" s="4"/>
      <c r="O50" s="4"/>
    </row>
    <row r="51" spans="1:15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M51" s="4"/>
      <c r="N51" s="4"/>
      <c r="O51" s="4"/>
    </row>
    <row r="52" spans="1:15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M52" s="4"/>
      <c r="N52" s="4"/>
      <c r="O52" s="4"/>
    </row>
    <row r="53" spans="1:15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M53" s="4"/>
      <c r="N53" s="4"/>
      <c r="O53" s="4"/>
    </row>
    <row r="54" spans="1:15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M54" s="4"/>
      <c r="N54" s="4"/>
      <c r="O54" s="4"/>
    </row>
    <row r="55" spans="1:15" x14ac:dyDescent="0.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M55" s="4"/>
      <c r="N55" s="4"/>
      <c r="O55" s="4"/>
    </row>
    <row r="56" spans="1:15" x14ac:dyDescent="0.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M56" s="4"/>
      <c r="N56" s="4"/>
      <c r="O56" s="4"/>
    </row>
    <row r="57" spans="1:15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M57" s="4"/>
      <c r="N57" s="4"/>
      <c r="O57" s="4"/>
    </row>
    <row r="58" spans="1:15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M58" s="4"/>
      <c r="N58" s="4"/>
      <c r="O58" s="4"/>
    </row>
    <row r="59" spans="1:15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M59" s="4"/>
      <c r="N59" s="4"/>
      <c r="O59" s="4"/>
    </row>
    <row r="60" spans="1:15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M60" s="4"/>
      <c r="N60" s="4"/>
      <c r="O60" s="4"/>
    </row>
    <row r="61" spans="1:15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M61" s="4"/>
      <c r="N61" s="4"/>
      <c r="O61" s="4"/>
    </row>
    <row r="62" spans="1:15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M62" s="4"/>
      <c r="N62" s="4"/>
    </row>
    <row r="63" spans="1:15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M63" s="4"/>
      <c r="N63" s="4"/>
    </row>
    <row r="64" spans="1:15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M64" s="4"/>
      <c r="N64" s="4"/>
    </row>
    <row r="65" spans="1:11" x14ac:dyDescent="0.2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</row>
    <row r="66" spans="1:11" x14ac:dyDescent="0.25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</row>
    <row r="67" spans="1:11" x14ac:dyDescent="0.25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</row>
    <row r="68" spans="1:11" x14ac:dyDescent="0.25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</row>
    <row r="69" spans="1:11" x14ac:dyDescent="0.25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</row>
    <row r="70" spans="1:11" x14ac:dyDescent="0.25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</row>
    <row r="71" spans="1:11" x14ac:dyDescent="0.25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</row>
    <row r="72" spans="1:11" x14ac:dyDescent="0.25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</row>
    <row r="73" spans="1:11" x14ac:dyDescent="0.25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</row>
    <row r="74" spans="1:11" x14ac:dyDescent="0.25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</row>
    <row r="75" spans="1:11" x14ac:dyDescent="0.2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</row>
    <row r="76" spans="1:11" x14ac:dyDescent="0.25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</row>
    <row r="77" spans="1:11" x14ac:dyDescent="0.25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</row>
    <row r="78" spans="1:11" x14ac:dyDescent="0.25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</row>
    <row r="79" spans="1:11" x14ac:dyDescent="0.25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</row>
    <row r="80" spans="1:11" x14ac:dyDescent="0.25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</row>
    <row r="81" spans="1:11" x14ac:dyDescent="0.25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</row>
    <row r="82" spans="1:11" x14ac:dyDescent="0.25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</row>
    <row r="83" spans="1:11" x14ac:dyDescent="0.25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</row>
    <row r="84" spans="1:11" x14ac:dyDescent="0.25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</row>
    <row r="85" spans="1:11" x14ac:dyDescent="0.2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</row>
    <row r="86" spans="1:11" x14ac:dyDescent="0.25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</row>
    <row r="87" spans="1:11" x14ac:dyDescent="0.25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</row>
    <row r="88" spans="1:11" x14ac:dyDescent="0.25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</row>
    <row r="89" spans="1:11" x14ac:dyDescent="0.25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</row>
    <row r="90" spans="1:11" x14ac:dyDescent="0.25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</row>
    <row r="91" spans="1:11" x14ac:dyDescent="0.25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</row>
    <row r="92" spans="1:11" x14ac:dyDescent="0.25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</row>
    <row r="93" spans="1:11" x14ac:dyDescent="0.25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</row>
    <row r="94" spans="1:11" x14ac:dyDescent="0.25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</row>
    <row r="95" spans="1:11" x14ac:dyDescent="0.2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</row>
    <row r="96" spans="1:11" x14ac:dyDescent="0.25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</row>
    <row r="97" spans="1:11" x14ac:dyDescent="0.25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</row>
    <row r="98" spans="1:11" x14ac:dyDescent="0.25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</row>
    <row r="99" spans="1:11" x14ac:dyDescent="0.25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</row>
    <row r="100" spans="1:11" x14ac:dyDescent="0.25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</row>
    <row r="101" spans="1:11" x14ac:dyDescent="0.25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</row>
    <row r="102" spans="1:11" x14ac:dyDescent="0.25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</row>
    <row r="103" spans="1:11" x14ac:dyDescent="0.25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</row>
    <row r="104" spans="1:11" x14ac:dyDescent="0.25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</row>
    <row r="105" spans="1:11" x14ac:dyDescent="0.2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</row>
    <row r="106" spans="1:11" x14ac:dyDescent="0.25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</row>
    <row r="107" spans="1:11" x14ac:dyDescent="0.25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</row>
    <row r="108" spans="1:11" x14ac:dyDescent="0.25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</row>
    <row r="109" spans="1:11" x14ac:dyDescent="0.25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</row>
    <row r="110" spans="1:11" x14ac:dyDescent="0.25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</row>
    <row r="111" spans="1:11" x14ac:dyDescent="0.25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</row>
    <row r="112" spans="1:11" x14ac:dyDescent="0.25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</row>
    <row r="113" spans="1:11" x14ac:dyDescent="0.25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</row>
    <row r="114" spans="1:11" x14ac:dyDescent="0.25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</row>
    <row r="115" spans="1:11" x14ac:dyDescent="0.2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</row>
    <row r="116" spans="1:11" x14ac:dyDescent="0.25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</row>
    <row r="117" spans="1:11" x14ac:dyDescent="0.25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</row>
    <row r="118" spans="1:11" x14ac:dyDescent="0.25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</row>
    <row r="119" spans="1:11" x14ac:dyDescent="0.25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</row>
    <row r="120" spans="1:11" x14ac:dyDescent="0.25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</row>
    <row r="121" spans="1:11" x14ac:dyDescent="0.25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</row>
    <row r="122" spans="1:11" x14ac:dyDescent="0.25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</row>
    <row r="123" spans="1:11" x14ac:dyDescent="0.2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</row>
    <row r="124" spans="1:11" x14ac:dyDescent="0.25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</row>
    <row r="125" spans="1:11" x14ac:dyDescent="0.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</row>
    <row r="126" spans="1:11" x14ac:dyDescent="0.25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</row>
    <row r="127" spans="1:11" x14ac:dyDescent="0.25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</row>
    <row r="128" spans="1:11" x14ac:dyDescent="0.25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</row>
    <row r="129" spans="1:11" x14ac:dyDescent="0.25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</row>
    <row r="130" spans="1:11" x14ac:dyDescent="0.25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</row>
    <row r="131" spans="1:11" x14ac:dyDescent="0.2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</row>
    <row r="132" spans="1:11" x14ac:dyDescent="0.2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</row>
    <row r="133" spans="1:11" x14ac:dyDescent="0.2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</row>
    <row r="134" spans="1:11" x14ac:dyDescent="0.25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</row>
    <row r="135" spans="1:11" x14ac:dyDescent="0.2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</row>
    <row r="136" spans="1:11" x14ac:dyDescent="0.25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</row>
    <row r="137" spans="1:11" x14ac:dyDescent="0.25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</row>
    <row r="138" spans="1:11" x14ac:dyDescent="0.25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</row>
    <row r="139" spans="1:11" x14ac:dyDescent="0.2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</row>
    <row r="140" spans="1:11" x14ac:dyDescent="0.2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</row>
    <row r="141" spans="1:11" x14ac:dyDescent="0.25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</row>
    <row r="142" spans="1:11" x14ac:dyDescent="0.2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</row>
    <row r="143" spans="1:11" x14ac:dyDescent="0.2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</row>
    <row r="144" spans="1:11" x14ac:dyDescent="0.2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</row>
    <row r="145" spans="1:11" x14ac:dyDescent="0.2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</row>
    <row r="146" spans="1:11" x14ac:dyDescent="0.2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</row>
    <row r="147" spans="1:11" x14ac:dyDescent="0.2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</row>
    <row r="148" spans="1:11" x14ac:dyDescent="0.2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</row>
    <row r="149" spans="1:11" x14ac:dyDescent="0.2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</row>
    <row r="150" spans="1:11" x14ac:dyDescent="0.2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</row>
    <row r="151" spans="1:11" x14ac:dyDescent="0.2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</row>
    <row r="152" spans="1:11" x14ac:dyDescent="0.2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</row>
    <row r="153" spans="1:11" x14ac:dyDescent="0.2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</row>
    <row r="154" spans="1:11" x14ac:dyDescent="0.2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</row>
    <row r="155" spans="1:11" x14ac:dyDescent="0.2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</row>
    <row r="156" spans="1:11" x14ac:dyDescent="0.2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</row>
    <row r="157" spans="1:11" x14ac:dyDescent="0.2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</row>
    <row r="158" spans="1:11" x14ac:dyDescent="0.2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</row>
    <row r="159" spans="1:11" x14ac:dyDescent="0.2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</row>
    <row r="160" spans="1:11" x14ac:dyDescent="0.2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</row>
    <row r="161" spans="1:11" x14ac:dyDescent="0.2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</row>
    <row r="162" spans="1:11" x14ac:dyDescent="0.2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</row>
    <row r="163" spans="1:11" x14ac:dyDescent="0.2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</row>
    <row r="164" spans="1:11" x14ac:dyDescent="0.2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</row>
    <row r="165" spans="1:11" x14ac:dyDescent="0.2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</row>
    <row r="166" spans="1:11" x14ac:dyDescent="0.2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</row>
    <row r="167" spans="1:11" x14ac:dyDescent="0.2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</row>
    <row r="168" spans="1:11" x14ac:dyDescent="0.2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</row>
    <row r="169" spans="1:11" x14ac:dyDescent="0.2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</row>
    <row r="170" spans="1:11" x14ac:dyDescent="0.2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</row>
    <row r="171" spans="1:11" x14ac:dyDescent="0.2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</row>
    <row r="172" spans="1:11" x14ac:dyDescent="0.2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</row>
    <row r="173" spans="1:11" x14ac:dyDescent="0.2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</row>
    <row r="174" spans="1:11" x14ac:dyDescent="0.2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</row>
    <row r="175" spans="1:11" x14ac:dyDescent="0.2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</row>
    <row r="176" spans="1:11" x14ac:dyDescent="0.2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</row>
    <row r="177" spans="1:11" x14ac:dyDescent="0.2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</row>
    <row r="178" spans="1:11" x14ac:dyDescent="0.2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</row>
    <row r="179" spans="1:11" x14ac:dyDescent="0.2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</row>
    <row r="180" spans="1:11" x14ac:dyDescent="0.25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</row>
    <row r="181" spans="1:11" x14ac:dyDescent="0.25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</row>
    <row r="182" spans="1:11" x14ac:dyDescent="0.25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</row>
    <row r="183" spans="1:11" x14ac:dyDescent="0.25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</row>
    <row r="184" spans="1:11" x14ac:dyDescent="0.25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</row>
    <row r="185" spans="1:11" x14ac:dyDescent="0.2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</row>
    <row r="186" spans="1:11" x14ac:dyDescent="0.25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</row>
    <row r="187" spans="1:11" x14ac:dyDescent="0.25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</row>
    <row r="188" spans="1:11" x14ac:dyDescent="0.25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</row>
    <row r="189" spans="1:11" x14ac:dyDescent="0.25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</row>
    <row r="190" spans="1:11" x14ac:dyDescent="0.25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</row>
    <row r="191" spans="1:11" x14ac:dyDescent="0.25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</row>
    <row r="192" spans="1:11" x14ac:dyDescent="0.25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</row>
    <row r="193" spans="1:11" x14ac:dyDescent="0.25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</row>
    <row r="194" spans="1:11" x14ac:dyDescent="0.25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</row>
    <row r="195" spans="1:11" x14ac:dyDescent="0.2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</row>
    <row r="196" spans="1:11" x14ac:dyDescent="0.25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</row>
    <row r="197" spans="1:11" x14ac:dyDescent="0.25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</row>
    <row r="198" spans="1:11" x14ac:dyDescent="0.25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</row>
    <row r="199" spans="1:11" x14ac:dyDescent="0.25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</row>
    <row r="200" spans="1:11" x14ac:dyDescent="0.25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</row>
    <row r="201" spans="1:11" x14ac:dyDescent="0.25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</row>
    <row r="202" spans="1:11" x14ac:dyDescent="0.25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</row>
    <row r="203" spans="1:11" x14ac:dyDescent="0.25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</row>
    <row r="204" spans="1:11" x14ac:dyDescent="0.25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</row>
    <row r="205" spans="1:11" x14ac:dyDescent="0.2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</row>
    <row r="206" spans="1:11" x14ac:dyDescent="0.25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</row>
    <row r="207" spans="1:11" x14ac:dyDescent="0.25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</row>
    <row r="208" spans="1:11" x14ac:dyDescent="0.25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</row>
    <row r="209" spans="1:11" x14ac:dyDescent="0.25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</row>
    <row r="210" spans="1:11" x14ac:dyDescent="0.25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</row>
    <row r="211" spans="1:11" x14ac:dyDescent="0.25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</row>
    <row r="212" spans="1:11" x14ac:dyDescent="0.25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</row>
    <row r="213" spans="1:11" x14ac:dyDescent="0.25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</row>
    <row r="214" spans="1:11" x14ac:dyDescent="0.25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</row>
    <row r="215" spans="1:11" x14ac:dyDescent="0.2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</row>
    <row r="216" spans="1:11" x14ac:dyDescent="0.25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</row>
    <row r="217" spans="1:11" x14ac:dyDescent="0.25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</row>
    <row r="218" spans="1:11" x14ac:dyDescent="0.25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</row>
    <row r="219" spans="1:11" x14ac:dyDescent="0.25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</row>
    <row r="220" spans="1:11" x14ac:dyDescent="0.25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</row>
    <row r="221" spans="1:11" x14ac:dyDescent="0.25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</row>
    <row r="222" spans="1:11" x14ac:dyDescent="0.25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</row>
    <row r="223" spans="1:11" x14ac:dyDescent="0.25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</row>
    <row r="224" spans="1:11" x14ac:dyDescent="0.25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</row>
    <row r="225" spans="1:11" x14ac:dyDescent="0.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</row>
    <row r="226" spans="1:11" x14ac:dyDescent="0.25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</row>
    <row r="227" spans="1:11" x14ac:dyDescent="0.25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</row>
    <row r="228" spans="1:11" x14ac:dyDescent="0.25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</row>
    <row r="229" spans="1:11" x14ac:dyDescent="0.25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</row>
    <row r="230" spans="1:11" x14ac:dyDescent="0.25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</row>
    <row r="231" spans="1:11" x14ac:dyDescent="0.25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</row>
    <row r="232" spans="1:11" x14ac:dyDescent="0.25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</row>
    <row r="233" spans="1:11" x14ac:dyDescent="0.25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</row>
    <row r="234" spans="1:11" x14ac:dyDescent="0.25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</row>
    <row r="235" spans="1:11" x14ac:dyDescent="0.2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</row>
    <row r="236" spans="1:11" x14ac:dyDescent="0.25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</row>
    <row r="237" spans="1:11" x14ac:dyDescent="0.25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</row>
    <row r="238" spans="1:11" x14ac:dyDescent="0.25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</row>
    <row r="239" spans="1:11" x14ac:dyDescent="0.25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</row>
    <row r="240" spans="1:11" x14ac:dyDescent="0.25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</row>
    <row r="241" spans="1:11" x14ac:dyDescent="0.25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</row>
    <row r="242" spans="1:11" x14ac:dyDescent="0.25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</row>
    <row r="243" spans="1:11" x14ac:dyDescent="0.25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</row>
    <row r="244" spans="1:11" x14ac:dyDescent="0.25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</row>
    <row r="245" spans="1:11" x14ac:dyDescent="0.2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</row>
    <row r="246" spans="1:11" x14ac:dyDescent="0.25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</row>
    <row r="247" spans="1:11" x14ac:dyDescent="0.25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</row>
    <row r="248" spans="1:11" x14ac:dyDescent="0.25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</row>
    <row r="249" spans="1:11" x14ac:dyDescent="0.25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</row>
    <row r="250" spans="1:11" x14ac:dyDescent="0.25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</row>
    <row r="251" spans="1:11" x14ac:dyDescent="0.25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</row>
    <row r="252" spans="1:11" x14ac:dyDescent="0.25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</row>
    <row r="253" spans="1:11" x14ac:dyDescent="0.25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</row>
    <row r="254" spans="1:11" x14ac:dyDescent="0.25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</row>
    <row r="255" spans="1:11" x14ac:dyDescent="0.2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</row>
    <row r="256" spans="1:11" x14ac:dyDescent="0.25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</row>
    <row r="257" spans="1:11" x14ac:dyDescent="0.25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</row>
    <row r="258" spans="1:11" x14ac:dyDescent="0.25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</row>
    <row r="259" spans="1:11" x14ac:dyDescent="0.25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</row>
    <row r="260" spans="1:11" x14ac:dyDescent="0.25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</row>
    <row r="261" spans="1:11" x14ac:dyDescent="0.25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</row>
    <row r="262" spans="1:11" x14ac:dyDescent="0.25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</row>
    <row r="263" spans="1:11" x14ac:dyDescent="0.25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</row>
    <row r="264" spans="1:11" x14ac:dyDescent="0.25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</row>
    <row r="265" spans="1:11" x14ac:dyDescent="0.2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</row>
    <row r="266" spans="1:11" x14ac:dyDescent="0.25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</row>
    <row r="267" spans="1:11" x14ac:dyDescent="0.25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</row>
    <row r="268" spans="1:11" x14ac:dyDescent="0.25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</row>
    <row r="269" spans="1:11" x14ac:dyDescent="0.25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</row>
    <row r="270" spans="1:11" x14ac:dyDescent="0.25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</row>
    <row r="271" spans="1:11" x14ac:dyDescent="0.25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</row>
    <row r="272" spans="1:11" x14ac:dyDescent="0.25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</row>
    <row r="273" spans="1:11" x14ac:dyDescent="0.25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</row>
    <row r="274" spans="1:11" x14ac:dyDescent="0.25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</row>
    <row r="275" spans="1:11" x14ac:dyDescent="0.2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</row>
    <row r="276" spans="1:11" x14ac:dyDescent="0.25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</row>
    <row r="277" spans="1:11" x14ac:dyDescent="0.25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</row>
    <row r="278" spans="1:11" x14ac:dyDescent="0.25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</row>
    <row r="279" spans="1:11" x14ac:dyDescent="0.25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</row>
    <row r="280" spans="1:11" x14ac:dyDescent="0.25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</row>
    <row r="281" spans="1:11" x14ac:dyDescent="0.25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</row>
    <row r="282" spans="1:11" x14ac:dyDescent="0.25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</row>
    <row r="283" spans="1:11" x14ac:dyDescent="0.25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</row>
    <row r="284" spans="1:11" x14ac:dyDescent="0.25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</row>
    <row r="285" spans="1:11" x14ac:dyDescent="0.2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</row>
    <row r="286" spans="1:11" x14ac:dyDescent="0.25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</row>
    <row r="287" spans="1:11" x14ac:dyDescent="0.25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</row>
    <row r="288" spans="1:11" x14ac:dyDescent="0.25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</row>
    <row r="289" spans="1:11" x14ac:dyDescent="0.25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</row>
    <row r="290" spans="1:11" x14ac:dyDescent="0.25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</row>
    <row r="291" spans="1:11" x14ac:dyDescent="0.25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</row>
    <row r="292" spans="1:11" x14ac:dyDescent="0.25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</row>
    <row r="293" spans="1:11" x14ac:dyDescent="0.25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</row>
    <row r="294" spans="1:11" x14ac:dyDescent="0.25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</row>
    <row r="295" spans="1:11" x14ac:dyDescent="0.2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</row>
    <row r="296" spans="1:11" x14ac:dyDescent="0.25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</row>
    <row r="297" spans="1:11" x14ac:dyDescent="0.25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</row>
    <row r="298" spans="1:11" x14ac:dyDescent="0.25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</row>
    <row r="299" spans="1:11" x14ac:dyDescent="0.25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</row>
    <row r="300" spans="1:11" x14ac:dyDescent="0.25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3"/>
  <sheetViews>
    <sheetView zoomScale="90" zoomScaleNormal="90" workbookViewId="0">
      <selection activeCell="U23" sqref="U23"/>
    </sheetView>
  </sheetViews>
  <sheetFormatPr baseColWidth="10" defaultColWidth="8.7109375" defaultRowHeight="15" x14ac:dyDescent="0.25"/>
  <cols>
    <col min="1" max="1" width="8.7109375" style="3"/>
    <col min="2" max="2" width="9" style="2" customWidth="1"/>
    <col min="3" max="5" width="14" style="2" customWidth="1"/>
    <col min="6" max="6" width="18.28515625" style="2" customWidth="1"/>
    <col min="7" max="9" width="14" style="2" customWidth="1"/>
    <col min="10" max="10" width="16" style="2" customWidth="1"/>
    <col min="11" max="11" width="14" style="2" customWidth="1"/>
    <col min="12" max="12" width="12" style="2" customWidth="1"/>
    <col min="13" max="27" width="8.7109375" style="3"/>
  </cols>
  <sheetData>
    <row r="1" spans="2:12" ht="30" customHeight="1" x14ac:dyDescent="0.35">
      <c r="B1" s="90" t="s">
        <v>152</v>
      </c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2:12" ht="12.75" customHeight="1" x14ac:dyDescent="0.2"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ht="12.75" customHeight="1" x14ac:dyDescent="0.2">
      <c r="B3" s="7"/>
      <c r="C3" s="7"/>
      <c r="D3" s="7"/>
      <c r="E3" s="7"/>
      <c r="F3" s="58" t="s">
        <v>153</v>
      </c>
      <c r="G3" s="59">
        <v>2026</v>
      </c>
      <c r="H3" s="91" t="s">
        <v>154</v>
      </c>
      <c r="I3" s="91"/>
      <c r="J3" s="7"/>
      <c r="K3" s="7"/>
      <c r="L3" s="7"/>
    </row>
    <row r="4" spans="2:12" ht="12.75" customHeight="1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2:12" ht="12.75" customHeight="1" x14ac:dyDescent="0.2">
      <c r="B5" s="1" t="s">
        <v>102</v>
      </c>
      <c r="C5" s="1" t="s">
        <v>19</v>
      </c>
      <c r="D5" s="1" t="s">
        <v>105</v>
      </c>
      <c r="E5" s="1" t="s">
        <v>21</v>
      </c>
      <c r="F5" s="1" t="s">
        <v>22</v>
      </c>
      <c r="G5" s="1" t="s">
        <v>54</v>
      </c>
      <c r="H5" s="1" t="s">
        <v>93</v>
      </c>
      <c r="I5" s="1" t="s">
        <v>29</v>
      </c>
      <c r="J5" s="1" t="s">
        <v>155</v>
      </c>
      <c r="K5" s="1" t="s">
        <v>156</v>
      </c>
      <c r="L5" s="1" t="s">
        <v>157</v>
      </c>
    </row>
    <row r="6" spans="2:12" ht="12.75" customHeight="1" x14ac:dyDescent="0.2">
      <c r="B6" s="60">
        <v>1</v>
      </c>
      <c r="C6" s="60" t="s">
        <v>20</v>
      </c>
      <c r="D6" s="17">
        <f>SUMIFS(Movimientos!$J$2:$J$2000,Movimientos!$C$2:$C$2000,$B6,Movimientos!$E$2:$E$2000,$G$3,Movimientos!$F$2:$F$2000,"Ingreso",Movimientos!$K$2:$K$2000,"&lt;&gt;Anulado")</f>
        <v>2500000</v>
      </c>
      <c r="E6" s="17">
        <f>SUMIFS(Movimientos!$J$2:$J$2000,Movimientos!$C$2:$C$2000,$B6,Movimientos!$E$2:$E$2000,$G$3,Movimientos!$F$2:$F$2000,"Necesidades",Movimientos!$K$2:$K$2000,"&lt;&gt;Anulado")</f>
        <v>1030000</v>
      </c>
      <c r="F6" s="17">
        <f>SUMIFS(Movimientos!$J$2:$J$2000,Movimientos!$C$2:$C$2000,$B6,Movimientos!$E$2:$E$2000,$G$3,Movimientos!$F$2:$F$2000,"Deseos",Movimientos!$K$2:$K$2000,"&lt;&gt;Anulado")</f>
        <v>0</v>
      </c>
      <c r="G6" s="17">
        <f>SUMIFS(Movimientos!$J$2:$J$2000,Movimientos!$C$2:$C$2000,$B6,Movimientos!$E$2:$E$2000,$G$3,Movimientos!$F$2:$F$2000,"Ahorros",Movimientos!$K$2:$K$2000,"&lt;&gt;Anulado")</f>
        <v>0</v>
      </c>
      <c r="H6" s="17">
        <f>SUMIFS(Movimientos!$J$2:$J$2000,Movimientos!$C$2:$C$2000,$B6,Movimientos!$E$2:$E$2000,$G$3,Movimientos!$F$2:$F$2000,"Inversiones",Movimientos!$K$2:$K$2000,"&lt;&gt;Anulado")</f>
        <v>0</v>
      </c>
      <c r="I6" s="17">
        <f>SUMIFS(Movimientos!$J$2:$J$2000,Movimientos!$C$2:$C$2000,$B6,Movimientos!$E$2:$E$2000,$G$3,Movimientos!$F$2:$F$2000,"Deudas",Movimientos!$K$2:$K$2000,"&lt;&gt;Anulado")</f>
        <v>0</v>
      </c>
      <c r="J6" s="17">
        <f t="shared" ref="J6:J17" si="0">SUM(E6:I6)</f>
        <v>1030000</v>
      </c>
      <c r="K6" s="17">
        <f t="shared" ref="K6:K17" si="1">D6-J6</f>
        <v>1470000</v>
      </c>
      <c r="L6" s="20">
        <f t="shared" ref="L6:L18" si="2">IFERROR((G6+H6)/D6,0)</f>
        <v>0</v>
      </c>
    </row>
    <row r="7" spans="2:12" ht="12.75" customHeight="1" x14ac:dyDescent="0.2">
      <c r="B7" s="60">
        <v>2</v>
      </c>
      <c r="C7" s="60" t="s">
        <v>132</v>
      </c>
      <c r="D7" s="17">
        <f>SUMIFS(Movimientos!$J$2:$J$2000,Movimientos!$C$2:$C$2000,$B7,Movimientos!$E$2:$E$2000,$G$3,Movimientos!$F$2:$F$2000,"Ingreso",Movimientos!$K$2:$K$2000,"&lt;&gt;Anulado")</f>
        <v>0</v>
      </c>
      <c r="E7" s="17">
        <f>SUMIFS(Movimientos!$J$2:$J$2000,Movimientos!$C$2:$C$2000,$B7,Movimientos!$E$2:$E$2000,$G$3,Movimientos!$F$2:$F$2000,"Necesidades",Movimientos!$K$2:$K$2000,"&lt;&gt;Anulado")</f>
        <v>0</v>
      </c>
      <c r="F7" s="17">
        <f>SUMIFS(Movimientos!$J$2:$J$2000,Movimientos!$C$2:$C$2000,$B7,Movimientos!$E$2:$E$2000,$G$3,Movimientos!$F$2:$F$2000,"Deseos",Movimientos!$K$2:$K$2000,"&lt;&gt;Anulado")</f>
        <v>0</v>
      </c>
      <c r="G7" s="17">
        <f>SUMIFS(Movimientos!$J$2:$J$2000,Movimientos!$C$2:$C$2000,$B7,Movimientos!$E$2:$E$2000,$G$3,Movimientos!$F$2:$F$2000,"Ahorros",Movimientos!$K$2:$K$2000,"&lt;&gt;Anulado")</f>
        <v>0</v>
      </c>
      <c r="H7" s="17">
        <f>SUMIFS(Movimientos!$J$2:$J$2000,Movimientos!$C$2:$C$2000,$B7,Movimientos!$E$2:$E$2000,$G$3,Movimientos!$F$2:$F$2000,"Inversiones",Movimientos!$K$2:$K$2000,"&lt;&gt;Anulado")</f>
        <v>0</v>
      </c>
      <c r="I7" s="17">
        <f>SUMIFS(Movimientos!$J$2:$J$2000,Movimientos!$C$2:$C$2000,$B7,Movimientos!$E$2:$E$2000,$G$3,Movimientos!$F$2:$F$2000,"Deudas",Movimientos!$K$2:$K$2000,"&lt;&gt;Anulado")</f>
        <v>0</v>
      </c>
      <c r="J7" s="17">
        <f t="shared" si="0"/>
        <v>0</v>
      </c>
      <c r="K7" s="17">
        <f t="shared" si="1"/>
        <v>0</v>
      </c>
      <c r="L7" s="20">
        <f t="shared" si="2"/>
        <v>0</v>
      </c>
    </row>
    <row r="8" spans="2:12" ht="12.75" customHeight="1" x14ac:dyDescent="0.2">
      <c r="B8" s="60">
        <v>3</v>
      </c>
      <c r="C8" s="60" t="s">
        <v>134</v>
      </c>
      <c r="D8" s="17">
        <f>SUMIFS(Movimientos!$J$2:$J$2000,Movimientos!$C$2:$C$2000,$B8,Movimientos!$E$2:$E$2000,$G$3,Movimientos!$F$2:$F$2000,"Ingreso",Movimientos!$K$2:$K$2000,"&lt;&gt;Anulado")</f>
        <v>0</v>
      </c>
      <c r="E8" s="17">
        <f>SUMIFS(Movimientos!$J$2:$J$2000,Movimientos!$C$2:$C$2000,$B8,Movimientos!$E$2:$E$2000,$G$3,Movimientos!$F$2:$F$2000,"Necesidades",Movimientos!$K$2:$K$2000,"&lt;&gt;Anulado")</f>
        <v>0</v>
      </c>
      <c r="F8" s="17">
        <f>SUMIFS(Movimientos!$J$2:$J$2000,Movimientos!$C$2:$C$2000,$B8,Movimientos!$E$2:$E$2000,$G$3,Movimientos!$F$2:$F$2000,"Deseos",Movimientos!$K$2:$K$2000,"&lt;&gt;Anulado")</f>
        <v>0</v>
      </c>
      <c r="G8" s="17">
        <f>SUMIFS(Movimientos!$J$2:$J$2000,Movimientos!$C$2:$C$2000,$B8,Movimientos!$E$2:$E$2000,$G$3,Movimientos!$F$2:$F$2000,"Ahorros",Movimientos!$K$2:$K$2000,"&lt;&gt;Anulado")</f>
        <v>0</v>
      </c>
      <c r="H8" s="17">
        <f>SUMIFS(Movimientos!$J$2:$J$2000,Movimientos!$C$2:$C$2000,$B8,Movimientos!$E$2:$E$2000,$G$3,Movimientos!$F$2:$F$2000,"Inversiones",Movimientos!$K$2:$K$2000,"&lt;&gt;Anulado")</f>
        <v>0</v>
      </c>
      <c r="I8" s="17">
        <f>SUMIFS(Movimientos!$J$2:$J$2000,Movimientos!$C$2:$C$2000,$B8,Movimientos!$E$2:$E$2000,$G$3,Movimientos!$F$2:$F$2000,"Deudas",Movimientos!$K$2:$K$2000,"&lt;&gt;Anulado")</f>
        <v>0</v>
      </c>
      <c r="J8" s="17">
        <f t="shared" si="0"/>
        <v>0</v>
      </c>
      <c r="K8" s="17">
        <f t="shared" si="1"/>
        <v>0</v>
      </c>
      <c r="L8" s="20">
        <f t="shared" si="2"/>
        <v>0</v>
      </c>
    </row>
    <row r="9" spans="2:12" ht="12.75" customHeight="1" x14ac:dyDescent="0.2">
      <c r="B9" s="60">
        <v>4</v>
      </c>
      <c r="C9" s="60" t="s">
        <v>136</v>
      </c>
      <c r="D9" s="17">
        <f>SUMIFS(Movimientos!$J$2:$J$2000,Movimientos!$C$2:$C$2000,$B9,Movimientos!$E$2:$E$2000,$G$3,Movimientos!$F$2:$F$2000,"Ingreso",Movimientos!$K$2:$K$2000,"&lt;&gt;Anulado")</f>
        <v>0</v>
      </c>
      <c r="E9" s="17">
        <f>SUMIFS(Movimientos!$J$2:$J$2000,Movimientos!$C$2:$C$2000,$B9,Movimientos!$E$2:$E$2000,$G$3,Movimientos!$F$2:$F$2000,"Necesidades",Movimientos!$K$2:$K$2000,"&lt;&gt;Anulado")</f>
        <v>0</v>
      </c>
      <c r="F9" s="17">
        <f>SUMIFS(Movimientos!$J$2:$J$2000,Movimientos!$C$2:$C$2000,$B9,Movimientos!$E$2:$E$2000,$G$3,Movimientos!$F$2:$F$2000,"Deseos",Movimientos!$K$2:$K$2000,"&lt;&gt;Anulado")</f>
        <v>0</v>
      </c>
      <c r="G9" s="17">
        <f>SUMIFS(Movimientos!$J$2:$J$2000,Movimientos!$C$2:$C$2000,$B9,Movimientos!$E$2:$E$2000,$G$3,Movimientos!$F$2:$F$2000,"Ahorros",Movimientos!$K$2:$K$2000,"&lt;&gt;Anulado")</f>
        <v>0</v>
      </c>
      <c r="H9" s="17">
        <f>SUMIFS(Movimientos!$J$2:$J$2000,Movimientos!$C$2:$C$2000,$B9,Movimientos!$E$2:$E$2000,$G$3,Movimientos!$F$2:$F$2000,"Inversiones",Movimientos!$K$2:$K$2000,"&lt;&gt;Anulado")</f>
        <v>0</v>
      </c>
      <c r="I9" s="17">
        <f>SUMIFS(Movimientos!$J$2:$J$2000,Movimientos!$C$2:$C$2000,$B9,Movimientos!$E$2:$E$2000,$G$3,Movimientos!$F$2:$F$2000,"Deudas",Movimientos!$K$2:$K$2000,"&lt;&gt;Anulado")</f>
        <v>0</v>
      </c>
      <c r="J9" s="17">
        <f t="shared" si="0"/>
        <v>0</v>
      </c>
      <c r="K9" s="17">
        <f t="shared" si="1"/>
        <v>0</v>
      </c>
      <c r="L9" s="20">
        <f t="shared" si="2"/>
        <v>0</v>
      </c>
    </row>
    <row r="10" spans="2:12" ht="12.75" customHeight="1" x14ac:dyDescent="0.2">
      <c r="B10" s="60">
        <v>5</v>
      </c>
      <c r="C10" s="60" t="s">
        <v>138</v>
      </c>
      <c r="D10" s="17">
        <f>SUMIFS(Movimientos!$J$2:$J$2000,Movimientos!$C$2:$C$2000,$B10,Movimientos!$E$2:$E$2000,$G$3,Movimientos!$F$2:$F$2000,"Ingreso",Movimientos!$K$2:$K$2000,"&lt;&gt;Anulado")</f>
        <v>0</v>
      </c>
      <c r="E10" s="17">
        <f>SUMIFS(Movimientos!$J$2:$J$2000,Movimientos!$C$2:$C$2000,$B10,Movimientos!$E$2:$E$2000,$G$3,Movimientos!$F$2:$F$2000,"Necesidades",Movimientos!$K$2:$K$2000,"&lt;&gt;Anulado")</f>
        <v>0</v>
      </c>
      <c r="F10" s="17">
        <f>SUMIFS(Movimientos!$J$2:$J$2000,Movimientos!$C$2:$C$2000,$B10,Movimientos!$E$2:$E$2000,$G$3,Movimientos!$F$2:$F$2000,"Deseos",Movimientos!$K$2:$K$2000,"&lt;&gt;Anulado")</f>
        <v>0</v>
      </c>
      <c r="G10" s="17">
        <f>SUMIFS(Movimientos!$J$2:$J$2000,Movimientos!$C$2:$C$2000,$B10,Movimientos!$E$2:$E$2000,$G$3,Movimientos!$F$2:$F$2000,"Ahorros",Movimientos!$K$2:$K$2000,"&lt;&gt;Anulado")</f>
        <v>0</v>
      </c>
      <c r="H10" s="17">
        <f>SUMIFS(Movimientos!$J$2:$J$2000,Movimientos!$C$2:$C$2000,$B10,Movimientos!$E$2:$E$2000,$G$3,Movimientos!$F$2:$F$2000,"Inversiones",Movimientos!$K$2:$K$2000,"&lt;&gt;Anulado")</f>
        <v>0</v>
      </c>
      <c r="I10" s="17">
        <f>SUMIFS(Movimientos!$J$2:$J$2000,Movimientos!$C$2:$C$2000,$B10,Movimientos!$E$2:$E$2000,$G$3,Movimientos!$F$2:$F$2000,"Deudas",Movimientos!$K$2:$K$2000,"&lt;&gt;Anulado")</f>
        <v>0</v>
      </c>
      <c r="J10" s="17">
        <f t="shared" si="0"/>
        <v>0</v>
      </c>
      <c r="K10" s="17">
        <f t="shared" si="1"/>
        <v>0</v>
      </c>
      <c r="L10" s="20">
        <f t="shared" si="2"/>
        <v>0</v>
      </c>
    </row>
    <row r="11" spans="2:12" ht="12.75" customHeight="1" x14ac:dyDescent="0.2">
      <c r="B11" s="60">
        <v>6</v>
      </c>
      <c r="C11" s="60" t="s">
        <v>109</v>
      </c>
      <c r="D11" s="17">
        <f>SUMIFS(Movimientos!$J$2:$J$2000,Movimientos!$C$2:$C$2000,$B11,Movimientos!$E$2:$E$2000,$G$3,Movimientos!$F$2:$F$2000,"Ingreso",Movimientos!$K$2:$K$2000,"&lt;&gt;Anulado")</f>
        <v>0</v>
      </c>
      <c r="E11" s="17">
        <f>SUMIFS(Movimientos!$J$2:$J$2000,Movimientos!$C$2:$C$2000,$B11,Movimientos!$E$2:$E$2000,$G$3,Movimientos!$F$2:$F$2000,"Necesidades",Movimientos!$K$2:$K$2000,"&lt;&gt;Anulado")</f>
        <v>0</v>
      </c>
      <c r="F11" s="17">
        <f>SUMIFS(Movimientos!$J$2:$J$2000,Movimientos!$C$2:$C$2000,$B11,Movimientos!$E$2:$E$2000,$G$3,Movimientos!$F$2:$F$2000,"Deseos",Movimientos!$K$2:$K$2000,"&lt;&gt;Anulado")</f>
        <v>0</v>
      </c>
      <c r="G11" s="17">
        <f>SUMIFS(Movimientos!$J$2:$J$2000,Movimientos!$C$2:$C$2000,$B11,Movimientos!$E$2:$E$2000,$G$3,Movimientos!$F$2:$F$2000,"Ahorros",Movimientos!$K$2:$K$2000,"&lt;&gt;Anulado")</f>
        <v>0</v>
      </c>
      <c r="H11" s="17">
        <f>SUMIFS(Movimientos!$J$2:$J$2000,Movimientos!$C$2:$C$2000,$B11,Movimientos!$E$2:$E$2000,$G$3,Movimientos!$F$2:$F$2000,"Inversiones",Movimientos!$K$2:$K$2000,"&lt;&gt;Anulado")</f>
        <v>0</v>
      </c>
      <c r="I11" s="17">
        <f>SUMIFS(Movimientos!$J$2:$J$2000,Movimientos!$C$2:$C$2000,$B11,Movimientos!$E$2:$E$2000,$G$3,Movimientos!$F$2:$F$2000,"Deudas",Movimientos!$K$2:$K$2000,"&lt;&gt;Anulado")</f>
        <v>0</v>
      </c>
      <c r="J11" s="17">
        <f t="shared" si="0"/>
        <v>0</v>
      </c>
      <c r="K11" s="17">
        <f t="shared" si="1"/>
        <v>0</v>
      </c>
      <c r="L11" s="20">
        <f t="shared" si="2"/>
        <v>0</v>
      </c>
    </row>
    <row r="12" spans="2:12" ht="12.75" customHeight="1" x14ac:dyDescent="0.2">
      <c r="B12" s="60">
        <v>7</v>
      </c>
      <c r="C12" s="60" t="s">
        <v>142</v>
      </c>
      <c r="D12" s="17">
        <f>SUMIFS(Movimientos!$J$2:$J$2000,Movimientos!$C$2:$C$2000,$B12,Movimientos!$E$2:$E$2000,$G$3,Movimientos!$F$2:$F$2000,"Ingreso",Movimientos!$K$2:$K$2000,"&lt;&gt;Anulado")</f>
        <v>0</v>
      </c>
      <c r="E12" s="17">
        <f>SUMIFS(Movimientos!$J$2:$J$2000,Movimientos!$C$2:$C$2000,$B12,Movimientos!$E$2:$E$2000,$G$3,Movimientos!$F$2:$F$2000,"Necesidades",Movimientos!$K$2:$K$2000,"&lt;&gt;Anulado")</f>
        <v>0</v>
      </c>
      <c r="F12" s="17">
        <f>SUMIFS(Movimientos!$J$2:$J$2000,Movimientos!$C$2:$C$2000,$B12,Movimientos!$E$2:$E$2000,$G$3,Movimientos!$F$2:$F$2000,"Deseos",Movimientos!$K$2:$K$2000,"&lt;&gt;Anulado")</f>
        <v>0</v>
      </c>
      <c r="G12" s="17">
        <f>SUMIFS(Movimientos!$J$2:$J$2000,Movimientos!$C$2:$C$2000,$B12,Movimientos!$E$2:$E$2000,$G$3,Movimientos!$F$2:$F$2000,"Ahorros",Movimientos!$K$2:$K$2000,"&lt;&gt;Anulado")</f>
        <v>0</v>
      </c>
      <c r="H12" s="17">
        <f>SUMIFS(Movimientos!$J$2:$J$2000,Movimientos!$C$2:$C$2000,$B12,Movimientos!$E$2:$E$2000,$G$3,Movimientos!$F$2:$F$2000,"Inversiones",Movimientos!$K$2:$K$2000,"&lt;&gt;Anulado")</f>
        <v>0</v>
      </c>
      <c r="I12" s="17">
        <f>SUMIFS(Movimientos!$J$2:$J$2000,Movimientos!$C$2:$C$2000,$B12,Movimientos!$E$2:$E$2000,$G$3,Movimientos!$F$2:$F$2000,"Deudas",Movimientos!$K$2:$K$2000,"&lt;&gt;Anulado")</f>
        <v>0</v>
      </c>
      <c r="J12" s="17">
        <f t="shared" si="0"/>
        <v>0</v>
      </c>
      <c r="K12" s="17">
        <f t="shared" si="1"/>
        <v>0</v>
      </c>
      <c r="L12" s="20">
        <f t="shared" si="2"/>
        <v>0</v>
      </c>
    </row>
    <row r="13" spans="2:12" ht="12.75" customHeight="1" x14ac:dyDescent="0.2">
      <c r="B13" s="60">
        <v>8</v>
      </c>
      <c r="C13" s="60" t="s">
        <v>143</v>
      </c>
      <c r="D13" s="17">
        <f>SUMIFS(Movimientos!$J$2:$J$2000,Movimientos!$C$2:$C$2000,$B13,Movimientos!$E$2:$E$2000,$G$3,Movimientos!$F$2:$F$2000,"Ingreso",Movimientos!$K$2:$K$2000,"&lt;&gt;Anulado")</f>
        <v>0</v>
      </c>
      <c r="E13" s="17">
        <f>SUMIFS(Movimientos!$J$2:$J$2000,Movimientos!$C$2:$C$2000,$B13,Movimientos!$E$2:$E$2000,$G$3,Movimientos!$F$2:$F$2000,"Necesidades",Movimientos!$K$2:$K$2000,"&lt;&gt;Anulado")</f>
        <v>0</v>
      </c>
      <c r="F13" s="17">
        <f>SUMIFS(Movimientos!$J$2:$J$2000,Movimientos!$C$2:$C$2000,$B13,Movimientos!$E$2:$E$2000,$G$3,Movimientos!$F$2:$F$2000,"Deseos",Movimientos!$K$2:$K$2000,"&lt;&gt;Anulado")</f>
        <v>0</v>
      </c>
      <c r="G13" s="17">
        <f>SUMIFS(Movimientos!$J$2:$J$2000,Movimientos!$C$2:$C$2000,$B13,Movimientos!$E$2:$E$2000,$G$3,Movimientos!$F$2:$F$2000,"Ahorros",Movimientos!$K$2:$K$2000,"&lt;&gt;Anulado")</f>
        <v>0</v>
      </c>
      <c r="H13" s="17">
        <f>SUMIFS(Movimientos!$J$2:$J$2000,Movimientos!$C$2:$C$2000,$B13,Movimientos!$E$2:$E$2000,$G$3,Movimientos!$F$2:$F$2000,"Inversiones",Movimientos!$K$2:$K$2000,"&lt;&gt;Anulado")</f>
        <v>0</v>
      </c>
      <c r="I13" s="17">
        <f>SUMIFS(Movimientos!$J$2:$J$2000,Movimientos!$C$2:$C$2000,$B13,Movimientos!$E$2:$E$2000,$G$3,Movimientos!$F$2:$F$2000,"Deudas",Movimientos!$K$2:$K$2000,"&lt;&gt;Anulado")</f>
        <v>0</v>
      </c>
      <c r="J13" s="17">
        <f t="shared" si="0"/>
        <v>0</v>
      </c>
      <c r="K13" s="17">
        <f t="shared" si="1"/>
        <v>0</v>
      </c>
      <c r="L13" s="20">
        <f t="shared" si="2"/>
        <v>0</v>
      </c>
    </row>
    <row r="14" spans="2:12" ht="12.75" customHeight="1" x14ac:dyDescent="0.2">
      <c r="B14" s="60">
        <v>9</v>
      </c>
      <c r="C14" s="60" t="s">
        <v>144</v>
      </c>
      <c r="D14" s="17">
        <f>SUMIFS(Movimientos!$J$2:$J$2000,Movimientos!$C$2:$C$2000,$B14,Movimientos!$E$2:$E$2000,$G$3,Movimientos!$F$2:$F$2000,"Ingreso",Movimientos!$K$2:$K$2000,"&lt;&gt;Anulado")</f>
        <v>0</v>
      </c>
      <c r="E14" s="17">
        <f>SUMIFS(Movimientos!$J$2:$J$2000,Movimientos!$C$2:$C$2000,$B14,Movimientos!$E$2:$E$2000,$G$3,Movimientos!$F$2:$F$2000,"Necesidades",Movimientos!$K$2:$K$2000,"&lt;&gt;Anulado")</f>
        <v>0</v>
      </c>
      <c r="F14" s="17">
        <f>SUMIFS(Movimientos!$J$2:$J$2000,Movimientos!$C$2:$C$2000,$B14,Movimientos!$E$2:$E$2000,$G$3,Movimientos!$F$2:$F$2000,"Deseos",Movimientos!$K$2:$K$2000,"&lt;&gt;Anulado")</f>
        <v>0</v>
      </c>
      <c r="G14" s="17">
        <f>SUMIFS(Movimientos!$J$2:$J$2000,Movimientos!$C$2:$C$2000,$B14,Movimientos!$E$2:$E$2000,$G$3,Movimientos!$F$2:$F$2000,"Ahorros",Movimientos!$K$2:$K$2000,"&lt;&gt;Anulado")</f>
        <v>0</v>
      </c>
      <c r="H14" s="17">
        <f>SUMIFS(Movimientos!$J$2:$J$2000,Movimientos!$C$2:$C$2000,$B14,Movimientos!$E$2:$E$2000,$G$3,Movimientos!$F$2:$F$2000,"Inversiones",Movimientos!$K$2:$K$2000,"&lt;&gt;Anulado")</f>
        <v>0</v>
      </c>
      <c r="I14" s="17">
        <f>SUMIFS(Movimientos!$J$2:$J$2000,Movimientos!$C$2:$C$2000,$B14,Movimientos!$E$2:$E$2000,$G$3,Movimientos!$F$2:$F$2000,"Deudas",Movimientos!$K$2:$K$2000,"&lt;&gt;Anulado")</f>
        <v>0</v>
      </c>
      <c r="J14" s="17">
        <f t="shared" si="0"/>
        <v>0</v>
      </c>
      <c r="K14" s="17">
        <f t="shared" si="1"/>
        <v>0</v>
      </c>
      <c r="L14" s="20">
        <f t="shared" si="2"/>
        <v>0</v>
      </c>
    </row>
    <row r="15" spans="2:12" ht="12.75" customHeight="1" x14ac:dyDescent="0.2">
      <c r="B15" s="60">
        <v>10</v>
      </c>
      <c r="C15" s="60" t="s">
        <v>147</v>
      </c>
      <c r="D15" s="17">
        <f>SUMIFS(Movimientos!$J$2:$J$2000,Movimientos!$C$2:$C$2000,$B15,Movimientos!$E$2:$E$2000,$G$3,Movimientos!$F$2:$F$2000,"Ingreso",Movimientos!$K$2:$K$2000,"&lt;&gt;Anulado")</f>
        <v>0</v>
      </c>
      <c r="E15" s="17">
        <f>SUMIFS(Movimientos!$J$2:$J$2000,Movimientos!$C$2:$C$2000,$B15,Movimientos!$E$2:$E$2000,$G$3,Movimientos!$F$2:$F$2000,"Necesidades",Movimientos!$K$2:$K$2000,"&lt;&gt;Anulado")</f>
        <v>0</v>
      </c>
      <c r="F15" s="17">
        <f>SUMIFS(Movimientos!$J$2:$J$2000,Movimientos!$C$2:$C$2000,$B15,Movimientos!$E$2:$E$2000,$G$3,Movimientos!$F$2:$F$2000,"Deseos",Movimientos!$K$2:$K$2000,"&lt;&gt;Anulado")</f>
        <v>0</v>
      </c>
      <c r="G15" s="17">
        <f>SUMIFS(Movimientos!$J$2:$J$2000,Movimientos!$C$2:$C$2000,$B15,Movimientos!$E$2:$E$2000,$G$3,Movimientos!$F$2:$F$2000,"Ahorros",Movimientos!$K$2:$K$2000,"&lt;&gt;Anulado")</f>
        <v>0</v>
      </c>
      <c r="H15" s="17">
        <f>SUMIFS(Movimientos!$J$2:$J$2000,Movimientos!$C$2:$C$2000,$B15,Movimientos!$E$2:$E$2000,$G$3,Movimientos!$F$2:$F$2000,"Inversiones",Movimientos!$K$2:$K$2000,"&lt;&gt;Anulado")</f>
        <v>0</v>
      </c>
      <c r="I15" s="17">
        <f>SUMIFS(Movimientos!$J$2:$J$2000,Movimientos!$C$2:$C$2000,$B15,Movimientos!$E$2:$E$2000,$G$3,Movimientos!$F$2:$F$2000,"Deudas",Movimientos!$K$2:$K$2000,"&lt;&gt;Anulado")</f>
        <v>0</v>
      </c>
      <c r="J15" s="17">
        <f t="shared" si="0"/>
        <v>0</v>
      </c>
      <c r="K15" s="17">
        <f t="shared" si="1"/>
        <v>0</v>
      </c>
      <c r="L15" s="20">
        <f t="shared" si="2"/>
        <v>0</v>
      </c>
    </row>
    <row r="16" spans="2:12" ht="12.75" customHeight="1" x14ac:dyDescent="0.2">
      <c r="B16" s="60">
        <v>11</v>
      </c>
      <c r="C16" s="60" t="s">
        <v>149</v>
      </c>
      <c r="D16" s="17">
        <f>SUMIFS(Movimientos!$J$2:$J$2000,Movimientos!$C$2:$C$2000,$B16,Movimientos!$E$2:$E$2000,$G$3,Movimientos!$F$2:$F$2000,"Ingreso",Movimientos!$K$2:$K$2000,"&lt;&gt;Anulado")</f>
        <v>0</v>
      </c>
      <c r="E16" s="17">
        <f>SUMIFS(Movimientos!$J$2:$J$2000,Movimientos!$C$2:$C$2000,$B16,Movimientos!$E$2:$E$2000,$G$3,Movimientos!$F$2:$F$2000,"Necesidades",Movimientos!$K$2:$K$2000,"&lt;&gt;Anulado")</f>
        <v>0</v>
      </c>
      <c r="F16" s="17">
        <f>SUMIFS(Movimientos!$J$2:$J$2000,Movimientos!$C$2:$C$2000,$B16,Movimientos!$E$2:$E$2000,$G$3,Movimientos!$F$2:$F$2000,"Deseos",Movimientos!$K$2:$K$2000,"&lt;&gt;Anulado")</f>
        <v>0</v>
      </c>
      <c r="G16" s="17">
        <f>SUMIFS(Movimientos!$J$2:$J$2000,Movimientos!$C$2:$C$2000,$B16,Movimientos!$E$2:$E$2000,$G$3,Movimientos!$F$2:$F$2000,"Ahorros",Movimientos!$K$2:$K$2000,"&lt;&gt;Anulado")</f>
        <v>0</v>
      </c>
      <c r="H16" s="17">
        <f>SUMIFS(Movimientos!$J$2:$J$2000,Movimientos!$C$2:$C$2000,$B16,Movimientos!$E$2:$E$2000,$G$3,Movimientos!$F$2:$F$2000,"Inversiones",Movimientos!$K$2:$K$2000,"&lt;&gt;Anulado")</f>
        <v>0</v>
      </c>
      <c r="I16" s="17">
        <f>SUMIFS(Movimientos!$J$2:$J$2000,Movimientos!$C$2:$C$2000,$B16,Movimientos!$E$2:$E$2000,$G$3,Movimientos!$F$2:$F$2000,"Deudas",Movimientos!$K$2:$K$2000,"&lt;&gt;Anulado")</f>
        <v>0</v>
      </c>
      <c r="J16" s="17">
        <f t="shared" si="0"/>
        <v>0</v>
      </c>
      <c r="K16" s="17">
        <f t="shared" si="1"/>
        <v>0</v>
      </c>
      <c r="L16" s="20">
        <f t="shared" si="2"/>
        <v>0</v>
      </c>
    </row>
    <row r="17" spans="2:12" ht="12.75" customHeight="1" x14ac:dyDescent="0.2">
      <c r="B17" s="60">
        <v>12</v>
      </c>
      <c r="C17" s="60" t="s">
        <v>150</v>
      </c>
      <c r="D17" s="17">
        <f>SUMIFS(Movimientos!$J$2:$J$2000,Movimientos!$C$2:$C$2000,$B17,Movimientos!$E$2:$E$2000,$G$3,Movimientos!$F$2:$F$2000,"Ingreso",Movimientos!$K$2:$K$2000,"&lt;&gt;Anulado")</f>
        <v>0</v>
      </c>
      <c r="E17" s="17">
        <f>SUMIFS(Movimientos!$J$2:$J$2000,Movimientos!$C$2:$C$2000,$B17,Movimientos!$E$2:$E$2000,$G$3,Movimientos!$F$2:$F$2000,"Necesidades",Movimientos!$K$2:$K$2000,"&lt;&gt;Anulado")</f>
        <v>0</v>
      </c>
      <c r="F17" s="17">
        <f>SUMIFS(Movimientos!$J$2:$J$2000,Movimientos!$C$2:$C$2000,$B17,Movimientos!$E$2:$E$2000,$G$3,Movimientos!$F$2:$F$2000,"Deseos",Movimientos!$K$2:$K$2000,"&lt;&gt;Anulado")</f>
        <v>0</v>
      </c>
      <c r="G17" s="17">
        <f>SUMIFS(Movimientos!$J$2:$J$2000,Movimientos!$C$2:$C$2000,$B17,Movimientos!$E$2:$E$2000,$G$3,Movimientos!$F$2:$F$2000,"Ahorros",Movimientos!$K$2:$K$2000,"&lt;&gt;Anulado")</f>
        <v>0</v>
      </c>
      <c r="H17" s="17">
        <f>SUMIFS(Movimientos!$J$2:$J$2000,Movimientos!$C$2:$C$2000,$B17,Movimientos!$E$2:$E$2000,$G$3,Movimientos!$F$2:$F$2000,"Inversiones",Movimientos!$K$2:$K$2000,"&lt;&gt;Anulado")</f>
        <v>0</v>
      </c>
      <c r="I17" s="17">
        <f>SUMIFS(Movimientos!$J$2:$J$2000,Movimientos!$C$2:$C$2000,$B17,Movimientos!$E$2:$E$2000,$G$3,Movimientos!$F$2:$F$2000,"Deudas",Movimientos!$K$2:$K$2000,"&lt;&gt;Anulado")</f>
        <v>0</v>
      </c>
      <c r="J17" s="17">
        <f t="shared" si="0"/>
        <v>0</v>
      </c>
      <c r="K17" s="17">
        <f t="shared" si="1"/>
        <v>0</v>
      </c>
      <c r="L17" s="20">
        <f t="shared" si="2"/>
        <v>0</v>
      </c>
    </row>
    <row r="18" spans="2:12" ht="12.75" customHeight="1" x14ac:dyDescent="0.2">
      <c r="B18" s="21" t="s">
        <v>56</v>
      </c>
      <c r="C18" s="21"/>
      <c r="D18" s="23">
        <f t="shared" ref="D18:K18" si="3">SUM(D6:D17)</f>
        <v>2500000</v>
      </c>
      <c r="E18" s="23">
        <f t="shared" si="3"/>
        <v>1030000</v>
      </c>
      <c r="F18" s="23">
        <f t="shared" si="3"/>
        <v>0</v>
      </c>
      <c r="G18" s="23">
        <f t="shared" si="3"/>
        <v>0</v>
      </c>
      <c r="H18" s="23">
        <f t="shared" si="3"/>
        <v>0</v>
      </c>
      <c r="I18" s="23">
        <f t="shared" si="3"/>
        <v>0</v>
      </c>
      <c r="J18" s="23">
        <f t="shared" si="3"/>
        <v>1030000</v>
      </c>
      <c r="K18" s="23">
        <f t="shared" si="3"/>
        <v>1470000</v>
      </c>
      <c r="L18" s="22">
        <f t="shared" si="2"/>
        <v>0</v>
      </c>
    </row>
    <row r="19" spans="2:12" ht="12.75" customHeight="1" x14ac:dyDescent="0.2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2:12" ht="12.75" customHeight="1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2:12" ht="12.75" customHeight="1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2:12" ht="12.75" customHeight="1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2:12" ht="12.75" customHeight="1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2:12" ht="12.75" customHeight="1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2:12" ht="12.75" customHeight="1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2:12" ht="12.75" customHeight="1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12" ht="12.75" customHeight="1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2:12" ht="12.75" customHeight="1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2:12" ht="12.75" customHeight="1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2:12" ht="12.75" customHeight="1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2:12" ht="12.75" customHeight="1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2:12" ht="12.75" customHeight="1" x14ac:dyDescent="0.2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2:12" ht="12.75" customHeight="1" x14ac:dyDescent="0.2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2:12" ht="12.75" customHeight="1" x14ac:dyDescent="0.2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2:12" ht="12.75" customHeight="1" x14ac:dyDescent="0.2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2:12" ht="12.75" customHeight="1" x14ac:dyDescent="0.2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2:12" ht="12.75" customHeight="1" x14ac:dyDescent="0.2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ht="12.75" customHeight="1" x14ac:dyDescent="0.2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ht="12.75" customHeight="1" x14ac:dyDescent="0.2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ht="12.75" customHeight="1" x14ac:dyDescent="0.2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ht="12.75" customHeight="1" x14ac:dyDescent="0.2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ht="12.75" customHeight="1" x14ac:dyDescent="0.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2:12" ht="12.75" customHeight="1" x14ac:dyDescent="0.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ht="12.75" customHeight="1" x14ac:dyDescent="0.2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2:12" ht="12.75" customHeight="1" x14ac:dyDescent="0.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2:12" ht="12.75" customHeight="1" x14ac:dyDescent="0.2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2:12" ht="12.75" customHeight="1" x14ac:dyDescent="0.2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2:12" ht="12.75" customHeight="1" x14ac:dyDescent="0.2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2:12" ht="12.75" customHeight="1" x14ac:dyDescent="0.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2:12" ht="12.75" customHeight="1" x14ac:dyDescent="0.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2:12" ht="12.75" customHeight="1" x14ac:dyDescent="0.2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2:12" ht="12.75" customHeight="1" x14ac:dyDescent="0.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2:12" ht="12.75" customHeight="1" x14ac:dyDescent="0.2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2:12" ht="12.75" customHeight="1" x14ac:dyDescent="0.2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2:12" ht="12.75" customHeight="1" x14ac:dyDescent="0.2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2:12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2:12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2:12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2:12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2:12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2:12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2:12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2:12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2:12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2:12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2:12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2:12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2:12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2:12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2:12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2:12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2:12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2:12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</sheetData>
  <mergeCells count="2">
    <mergeCell ref="B1:L1"/>
    <mergeCell ref="H3:I3"/>
  </mergeCells>
  <dataValidations count="1">
    <dataValidation type="list" allowBlank="1" showErrorMessage="1" sqref="G3" xr:uid="{00000000-0002-0000-0500-000000000000}">
      <formula1>lst_Anios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8</vt:i4>
      </vt:variant>
    </vt:vector>
  </HeadingPairs>
  <TitlesOfParts>
    <vt:vector size="14" baseType="lpstr">
      <vt:lpstr>Inicio</vt:lpstr>
      <vt:lpstr>Presupuesto Mensual</vt:lpstr>
      <vt:lpstr>Plan Mensual</vt:lpstr>
      <vt:lpstr>Movimientos</vt:lpstr>
      <vt:lpstr>Parametros</vt:lpstr>
      <vt:lpstr>Resumen Anual</vt:lpstr>
      <vt:lpstr>lst_Anios</vt:lpstr>
      <vt:lpstr>lst_Categorias</vt:lpstr>
      <vt:lpstr>lst_Conceptos</vt:lpstr>
      <vt:lpstr>lst_Estados</vt:lpstr>
      <vt:lpstr>lst_Medios</vt:lpstr>
      <vt:lpstr>lst_Meses</vt:lpstr>
      <vt:lpstr>lst_Secciones</vt:lpstr>
      <vt:lpstr>lst_Tipos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202437656</cp:lastModifiedBy>
  <cp:revision>1</cp:revision>
  <dcterms:created xsi:type="dcterms:W3CDTF">2026-06-23T10:19:19Z</dcterms:created>
  <dcterms:modified xsi:type="dcterms:W3CDTF">2026-07-12T18:55:12Z</dcterms:modified>
  <dc:language>en-US</dc:language>
</cp:coreProperties>
</file>