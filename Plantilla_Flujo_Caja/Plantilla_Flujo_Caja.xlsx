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NICOLAS-PC\Desktop\pymex-web\Plantilla_Flujo_Caja\"/>
    </mc:Choice>
  </mc:AlternateContent>
  <xr:revisionPtr revIDLastSave="0" documentId="13_ncr:1_{0CB38323-1E0D-4A79-A661-5E83597D5048}" xr6:coauthVersionLast="47" xr6:coauthVersionMax="47" xr10:uidLastSave="{00000000-0000-0000-0000-000000000000}"/>
  <bookViews>
    <workbookView xWindow="-120" yWindow="-120" windowWidth="24240" windowHeight="13740" tabRatio="500" firstSheet="7" activeTab="12" xr2:uid="{00000000-000D-0000-FFFF-FFFF00000000}"/>
  </bookViews>
  <sheets>
    <sheet name="Inicio" sheetId="1" r:id="rId1"/>
    <sheet name="Dashboard" sheetId="2" r:id="rId2"/>
    <sheet name="Supuestos" sheetId="3" r:id="rId3"/>
    <sheet name="Inversion Inicial" sheetId="4" r:id="rId4"/>
    <sheet name="Ventas" sheetId="5" r:id="rId5"/>
    <sheet name="Costos Variables" sheetId="6" r:id="rId6"/>
    <sheet name="Costos Fijos" sheetId="7" r:id="rId7"/>
    <sheet name="Impuestos" sheetId="8" r:id="rId8"/>
    <sheet name="Inventario" sheetId="9" r:id="rId9"/>
    <sheet name="Financiamiento" sheetId="10" r:id="rId10"/>
    <sheet name="Flujo de Caja" sheetId="11" r:id="rId11"/>
    <sheet name="Punto Equilibrio" sheetId="12" r:id="rId12"/>
    <sheet name="Escenarios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4" i="11" l="1"/>
  <c r="J11" i="11"/>
  <c r="F11" i="11"/>
  <c r="N7" i="11"/>
  <c r="M7" i="11"/>
  <c r="I7" i="11"/>
  <c r="E7" i="11"/>
  <c r="D7" i="11"/>
  <c r="N10" i="10"/>
  <c r="M10" i="10"/>
  <c r="L10" i="10"/>
  <c r="L7" i="11" s="1"/>
  <c r="K10" i="10"/>
  <c r="K7" i="11" s="1"/>
  <c r="J10" i="10"/>
  <c r="J7" i="11" s="1"/>
  <c r="I10" i="10"/>
  <c r="H10" i="10"/>
  <c r="H7" i="11" s="1"/>
  <c r="G10" i="10"/>
  <c r="G7" i="11" s="1"/>
  <c r="F10" i="10"/>
  <c r="F7" i="11" s="1"/>
  <c r="E10" i="10"/>
  <c r="D10" i="10"/>
  <c r="C10" i="10"/>
  <c r="C7" i="11" s="1"/>
  <c r="O8" i="10"/>
  <c r="O7" i="10"/>
  <c r="O6" i="10"/>
  <c r="O5" i="10"/>
  <c r="O4" i="10"/>
  <c r="O10" i="10" s="1"/>
  <c r="C4" i="10"/>
  <c r="N6" i="9"/>
  <c r="M6" i="9"/>
  <c r="L6" i="9"/>
  <c r="K6" i="9"/>
  <c r="J6" i="9"/>
  <c r="I6" i="9"/>
  <c r="H6" i="9"/>
  <c r="G6" i="9"/>
  <c r="F6" i="9"/>
  <c r="E6" i="9"/>
  <c r="D6" i="9"/>
  <c r="C6" i="9"/>
  <c r="C5" i="9" s="1"/>
  <c r="C7" i="9" s="1"/>
  <c r="C10" i="8"/>
  <c r="O8" i="8"/>
  <c r="O20" i="7"/>
  <c r="N13" i="11" s="1"/>
  <c r="N20" i="7"/>
  <c r="M13" i="11" s="1"/>
  <c r="M20" i="7"/>
  <c r="L13" i="11" s="1"/>
  <c r="L20" i="7"/>
  <c r="K13" i="11" s="1"/>
  <c r="K20" i="7"/>
  <c r="J13" i="11" s="1"/>
  <c r="J20" i="7"/>
  <c r="I13" i="11" s="1"/>
  <c r="I20" i="7"/>
  <c r="H13" i="11" s="1"/>
  <c r="H20" i="7"/>
  <c r="G13" i="11" s="1"/>
  <c r="G20" i="7"/>
  <c r="F13" i="11" s="1"/>
  <c r="F20" i="7"/>
  <c r="E13" i="11" s="1"/>
  <c r="E20" i="7"/>
  <c r="D13" i="11" s="1"/>
  <c r="D20" i="7"/>
  <c r="C13" i="11" s="1"/>
  <c r="P18" i="7"/>
  <c r="P17" i="7"/>
  <c r="P16" i="7"/>
  <c r="P15" i="7"/>
  <c r="P14" i="7"/>
  <c r="P13" i="7"/>
  <c r="P12" i="7"/>
  <c r="P11" i="7"/>
  <c r="P10" i="7"/>
  <c r="P9" i="7"/>
  <c r="P8" i="7"/>
  <c r="P7" i="7"/>
  <c r="P6" i="7"/>
  <c r="P5" i="7"/>
  <c r="P4" i="7"/>
  <c r="P16" i="6"/>
  <c r="P15" i="6"/>
  <c r="P14" i="6"/>
  <c r="O8" i="6"/>
  <c r="N8" i="6"/>
  <c r="M8" i="6"/>
  <c r="L8" i="6"/>
  <c r="K8" i="6"/>
  <c r="J8" i="6"/>
  <c r="I8" i="6"/>
  <c r="H8" i="6"/>
  <c r="G8" i="6"/>
  <c r="F8" i="6"/>
  <c r="E8" i="6"/>
  <c r="D8" i="6"/>
  <c r="O7" i="6"/>
  <c r="N7" i="6"/>
  <c r="M7" i="6"/>
  <c r="L7" i="6"/>
  <c r="K7" i="6"/>
  <c r="J7" i="6"/>
  <c r="I7" i="6"/>
  <c r="H7" i="6"/>
  <c r="G7" i="6"/>
  <c r="F7" i="6"/>
  <c r="E7" i="6"/>
  <c r="D7" i="6"/>
  <c r="O6" i="6"/>
  <c r="N6" i="6"/>
  <c r="M6" i="6"/>
  <c r="L6" i="6"/>
  <c r="K6" i="6"/>
  <c r="J6" i="6"/>
  <c r="I6" i="6"/>
  <c r="H6" i="6"/>
  <c r="G6" i="6"/>
  <c r="F6" i="6"/>
  <c r="E6" i="6"/>
  <c r="D6" i="6"/>
  <c r="O5" i="6"/>
  <c r="N5" i="6"/>
  <c r="M5" i="6"/>
  <c r="L5" i="6"/>
  <c r="K5" i="6"/>
  <c r="J5" i="6"/>
  <c r="I5" i="6"/>
  <c r="H5" i="6"/>
  <c r="G5" i="6"/>
  <c r="F5" i="6"/>
  <c r="E5" i="6"/>
  <c r="D5" i="6"/>
  <c r="O4" i="6"/>
  <c r="O10" i="6" s="1"/>
  <c r="N4" i="6"/>
  <c r="M4" i="6"/>
  <c r="L4" i="6"/>
  <c r="K4" i="6"/>
  <c r="J4" i="6"/>
  <c r="I4" i="6"/>
  <c r="H4" i="6"/>
  <c r="G4" i="6"/>
  <c r="G10" i="6" s="1"/>
  <c r="F4" i="6"/>
  <c r="E4" i="6"/>
  <c r="D4" i="6"/>
  <c r="P13" i="5"/>
  <c r="O10" i="5"/>
  <c r="O15" i="5" s="1"/>
  <c r="N10" i="5"/>
  <c r="N15" i="5" s="1"/>
  <c r="M10" i="5"/>
  <c r="M15" i="5" s="1"/>
  <c r="L10" i="5"/>
  <c r="L15" i="5" s="1"/>
  <c r="K10" i="5"/>
  <c r="K15" i="5" s="1"/>
  <c r="K7" i="8" s="1"/>
  <c r="J10" i="5"/>
  <c r="J15" i="5" s="1"/>
  <c r="I6" i="11" s="1"/>
  <c r="I8" i="11" s="1"/>
  <c r="I10" i="5"/>
  <c r="I15" i="5" s="1"/>
  <c r="I13" i="6" s="1"/>
  <c r="H10" i="5"/>
  <c r="H15" i="5" s="1"/>
  <c r="G6" i="11" s="1"/>
  <c r="D13" i="2" s="1"/>
  <c r="G10" i="5"/>
  <c r="G15" i="5" s="1"/>
  <c r="F10" i="5"/>
  <c r="F15" i="5" s="1"/>
  <c r="E6" i="11" s="1"/>
  <c r="E8" i="11" s="1"/>
  <c r="E10" i="5"/>
  <c r="E15" i="5" s="1"/>
  <c r="D10" i="5"/>
  <c r="D15" i="5" s="1"/>
  <c r="D7" i="8" s="1"/>
  <c r="P8" i="5"/>
  <c r="P7" i="5"/>
  <c r="P6" i="5"/>
  <c r="P5" i="5"/>
  <c r="P4" i="5"/>
  <c r="P15" i="4"/>
  <c r="N11" i="11" s="1"/>
  <c r="O15" i="4"/>
  <c r="M11" i="11" s="1"/>
  <c r="N15" i="4"/>
  <c r="L11" i="11" s="1"/>
  <c r="M15" i="4"/>
  <c r="K11" i="11" s="1"/>
  <c r="L15" i="4"/>
  <c r="K15" i="4"/>
  <c r="I11" i="11" s="1"/>
  <c r="J15" i="4"/>
  <c r="H11" i="11" s="1"/>
  <c r="I15" i="4"/>
  <c r="G11" i="11" s="1"/>
  <c r="H15" i="4"/>
  <c r="G15" i="4"/>
  <c r="E11" i="11" s="1"/>
  <c r="F15" i="4"/>
  <c r="D11" i="11" s="1"/>
  <c r="E15" i="4"/>
  <c r="C11" i="11" s="1"/>
  <c r="Q13" i="4"/>
  <c r="Q12" i="4"/>
  <c r="Q11" i="4"/>
  <c r="Q10" i="4"/>
  <c r="Q9" i="4"/>
  <c r="Q8" i="4"/>
  <c r="Q7" i="4"/>
  <c r="Q6" i="4"/>
  <c r="Q15" i="4" s="1"/>
  <c r="G6" i="2" s="1"/>
  <c r="Q5" i="4"/>
  <c r="Q4" i="4"/>
  <c r="P20" i="7" l="1"/>
  <c r="P8" i="6"/>
  <c r="P7" i="6"/>
  <c r="F10" i="6"/>
  <c r="J10" i="6"/>
  <c r="K10" i="6"/>
  <c r="K4" i="8"/>
  <c r="K6" i="11"/>
  <c r="D17" i="2" s="1"/>
  <c r="N10" i="6"/>
  <c r="P4" i="6"/>
  <c r="D15" i="2"/>
  <c r="O6" i="9"/>
  <c r="C8" i="9"/>
  <c r="D4" i="9"/>
  <c r="D6" i="11"/>
  <c r="E7" i="8"/>
  <c r="F13" i="6"/>
  <c r="N7" i="8"/>
  <c r="M4" i="8"/>
  <c r="L6" i="11"/>
  <c r="M7" i="8"/>
  <c r="L4" i="8"/>
  <c r="N13" i="6"/>
  <c r="E4" i="8"/>
  <c r="C4" i="12"/>
  <c r="P10" i="5"/>
  <c r="P15" i="5" s="1"/>
  <c r="F4" i="8"/>
  <c r="G7" i="8"/>
  <c r="G13" i="6"/>
  <c r="G18" i="6" s="1"/>
  <c r="J4" i="8"/>
  <c r="J6" i="11"/>
  <c r="K13" i="6"/>
  <c r="N4" i="8"/>
  <c r="N6" i="11"/>
  <c r="O13" i="6"/>
  <c r="O18" i="6" s="1"/>
  <c r="H7" i="8"/>
  <c r="H13" i="6"/>
  <c r="G4" i="8"/>
  <c r="I4" i="8"/>
  <c r="C7" i="12"/>
  <c r="H6" i="11"/>
  <c r="I7" i="8"/>
  <c r="H4" i="8"/>
  <c r="H10" i="6"/>
  <c r="J13" i="6"/>
  <c r="F7" i="8"/>
  <c r="O7" i="11"/>
  <c r="M6" i="11"/>
  <c r="G8" i="11"/>
  <c r="O11" i="11"/>
  <c r="K8" i="11"/>
  <c r="D10" i="6"/>
  <c r="L10" i="6"/>
  <c r="D11" i="2"/>
  <c r="C4" i="8"/>
  <c r="D13" i="6"/>
  <c r="C6" i="11"/>
  <c r="L13" i="6"/>
  <c r="L7" i="8"/>
  <c r="E10" i="6"/>
  <c r="I10" i="6"/>
  <c r="I18" i="6" s="1"/>
  <c r="M10" i="6"/>
  <c r="P5" i="6"/>
  <c r="P6" i="6"/>
  <c r="E13" i="6"/>
  <c r="M13" i="6"/>
  <c r="D4" i="8"/>
  <c r="J7" i="8"/>
  <c r="F6" i="11"/>
  <c r="O13" i="11"/>
  <c r="J18" i="6" l="1"/>
  <c r="N18" i="6"/>
  <c r="F18" i="6"/>
  <c r="E12" i="11" s="1"/>
  <c r="K18" i="6"/>
  <c r="J5" i="8" s="1"/>
  <c r="K6" i="8" s="1"/>
  <c r="K10" i="8" s="1"/>
  <c r="K14" i="11" s="1"/>
  <c r="P10" i="6"/>
  <c r="M18" i="6"/>
  <c r="L12" i="11" s="1"/>
  <c r="C5" i="12"/>
  <c r="C6" i="12" s="1"/>
  <c r="C8" i="12" s="1"/>
  <c r="O7" i="8"/>
  <c r="F12" i="11"/>
  <c r="F5" i="8"/>
  <c r="G6" i="8" s="1"/>
  <c r="G10" i="8" s="1"/>
  <c r="G14" i="11" s="1"/>
  <c r="M5" i="8"/>
  <c r="N6" i="8" s="1"/>
  <c r="N10" i="8" s="1"/>
  <c r="N14" i="11" s="1"/>
  <c r="M12" i="11"/>
  <c r="I5" i="8"/>
  <c r="J6" i="8" s="1"/>
  <c r="J10" i="8" s="1"/>
  <c r="J14" i="11" s="1"/>
  <c r="I12" i="11"/>
  <c r="N8" i="11"/>
  <c r="D20" i="2"/>
  <c r="N12" i="11"/>
  <c r="N5" i="8"/>
  <c r="D5" i="9"/>
  <c r="H8" i="11"/>
  <c r="D14" i="2"/>
  <c r="E18" i="6"/>
  <c r="P13" i="6"/>
  <c r="L18" i="6"/>
  <c r="M8" i="11"/>
  <c r="D19" i="2"/>
  <c r="H18" i="6"/>
  <c r="C10" i="12"/>
  <c r="D18" i="2"/>
  <c r="L8" i="11"/>
  <c r="F8" i="11"/>
  <c r="D12" i="2"/>
  <c r="D8" i="11"/>
  <c r="D10" i="2"/>
  <c r="E5" i="8"/>
  <c r="F6" i="8" s="1"/>
  <c r="F10" i="8" s="1"/>
  <c r="F14" i="11" s="1"/>
  <c r="H12" i="11"/>
  <c r="H5" i="8"/>
  <c r="I6" i="8" s="1"/>
  <c r="I10" i="8" s="1"/>
  <c r="I14" i="11" s="1"/>
  <c r="E6" i="13"/>
  <c r="O6" i="11"/>
  <c r="F6" i="13"/>
  <c r="D9" i="2"/>
  <c r="G4" i="2"/>
  <c r="C8" i="11"/>
  <c r="D6" i="13"/>
  <c r="O4" i="8"/>
  <c r="D18" i="6"/>
  <c r="J8" i="11"/>
  <c r="D16" i="2"/>
  <c r="J12" i="11" l="1"/>
  <c r="J18" i="11"/>
  <c r="P18" i="6"/>
  <c r="L5" i="8"/>
  <c r="M6" i="8" s="1"/>
  <c r="M10" i="8" s="1"/>
  <c r="M14" i="11" s="1"/>
  <c r="M18" i="11" s="1"/>
  <c r="N18" i="11"/>
  <c r="F18" i="11"/>
  <c r="O8" i="11"/>
  <c r="G5" i="8"/>
  <c r="H6" i="8" s="1"/>
  <c r="H10" i="8" s="1"/>
  <c r="H14" i="11" s="1"/>
  <c r="H18" i="11" s="1"/>
  <c r="G12" i="11"/>
  <c r="D7" i="9"/>
  <c r="F15" i="11"/>
  <c r="E12" i="2" s="1"/>
  <c r="E6" i="2"/>
  <c r="C9" i="12"/>
  <c r="D12" i="11"/>
  <c r="D5" i="8"/>
  <c r="E6" i="8" s="1"/>
  <c r="E10" i="8" s="1"/>
  <c r="E14" i="11" s="1"/>
  <c r="E18" i="11" s="1"/>
  <c r="C12" i="11"/>
  <c r="C5" i="8"/>
  <c r="K12" i="11"/>
  <c r="K5" i="8"/>
  <c r="L6" i="8" s="1"/>
  <c r="L10" i="8" s="1"/>
  <c r="L14" i="11" s="1"/>
  <c r="L18" i="11" s="1"/>
  <c r="M22" i="11"/>
  <c r="I22" i="11"/>
  <c r="E22" i="11"/>
  <c r="J22" i="11"/>
  <c r="D22" i="11"/>
  <c r="N22" i="11"/>
  <c r="O22" i="11" s="1"/>
  <c r="H22" i="11"/>
  <c r="C22" i="11"/>
  <c r="G22" i="11"/>
  <c r="I6" i="2"/>
  <c r="L22" i="11"/>
  <c r="F22" i="11"/>
  <c r="K22" i="11"/>
  <c r="N15" i="11"/>
  <c r="E20" i="2" s="1"/>
  <c r="I18" i="11"/>
  <c r="I15" i="11"/>
  <c r="J15" i="11"/>
  <c r="E16" i="2" s="1"/>
  <c r="M15" i="11" l="1"/>
  <c r="E19" i="2" s="1"/>
  <c r="N19" i="11"/>
  <c r="H15" i="11"/>
  <c r="O5" i="8"/>
  <c r="D6" i="8"/>
  <c r="K15" i="11"/>
  <c r="K18" i="11"/>
  <c r="O12" i="11"/>
  <c r="C15" i="11"/>
  <c r="C18" i="11"/>
  <c r="J19" i="11"/>
  <c r="G18" i="11"/>
  <c r="G15" i="11"/>
  <c r="E15" i="2"/>
  <c r="I19" i="11"/>
  <c r="F19" i="11"/>
  <c r="L15" i="11"/>
  <c r="E15" i="11"/>
  <c r="D8" i="9"/>
  <c r="E4" i="9"/>
  <c r="M19" i="11" l="1"/>
  <c r="E14" i="2"/>
  <c r="H19" i="11"/>
  <c r="E5" i="9"/>
  <c r="E7" i="9" s="1"/>
  <c r="E17" i="2"/>
  <c r="K19" i="11"/>
  <c r="D10" i="8"/>
  <c r="D14" i="11" s="1"/>
  <c r="O6" i="8"/>
  <c r="O10" i="8" s="1"/>
  <c r="E11" i="2"/>
  <c r="E19" i="11"/>
  <c r="E18" i="2"/>
  <c r="L19" i="11"/>
  <c r="E13" i="2"/>
  <c r="G19" i="11"/>
  <c r="E9" i="2"/>
  <c r="C19" i="11"/>
  <c r="E8" i="9" l="1"/>
  <c r="F4" i="9"/>
  <c r="C21" i="11"/>
  <c r="O14" i="11"/>
  <c r="D18" i="11"/>
  <c r="O18" i="11" s="1"/>
  <c r="D15" i="11"/>
  <c r="F5" i="9" l="1"/>
  <c r="F7" i="9" s="1"/>
  <c r="C24" i="11"/>
  <c r="D20" i="11"/>
  <c r="C23" i="11"/>
  <c r="F9" i="2"/>
  <c r="E10" i="2"/>
  <c r="D19" i="11"/>
  <c r="O19" i="11" s="1"/>
  <c r="E7" i="13"/>
  <c r="E8" i="13" s="1"/>
  <c r="E9" i="13" s="1"/>
  <c r="D7" i="13"/>
  <c r="D8" i="13" s="1"/>
  <c r="D9" i="13" s="1"/>
  <c r="I4" i="2"/>
  <c r="F7" i="13"/>
  <c r="F8" i="13" s="1"/>
  <c r="F9" i="13" s="1"/>
  <c r="O15" i="11"/>
  <c r="D21" i="11" l="1"/>
  <c r="D24" i="11" s="1"/>
  <c r="G4" i="9"/>
  <c r="F8" i="9"/>
  <c r="F10" i="2" l="1"/>
  <c r="D23" i="11"/>
  <c r="E20" i="11"/>
  <c r="E21" i="11" s="1"/>
  <c r="F20" i="11" s="1"/>
  <c r="F21" i="11" s="1"/>
  <c r="G5" i="9"/>
  <c r="G7" i="9" s="1"/>
  <c r="E23" i="11" l="1"/>
  <c r="E24" i="11"/>
  <c r="F11" i="2"/>
  <c r="G8" i="9"/>
  <c r="H4" i="9"/>
  <c r="G20" i="11"/>
  <c r="G21" i="11" s="1"/>
  <c r="F23" i="11"/>
  <c r="F12" i="2"/>
  <c r="F24" i="11"/>
  <c r="H5" i="9" l="1"/>
  <c r="H7" i="9" s="1"/>
  <c r="G24" i="11"/>
  <c r="G23" i="11"/>
  <c r="H20" i="11"/>
  <c r="H21" i="11" s="1"/>
  <c r="F13" i="2"/>
  <c r="I4" i="9" l="1"/>
  <c r="H8" i="9"/>
  <c r="H23" i="11"/>
  <c r="I20" i="11"/>
  <c r="I21" i="11" s="1"/>
  <c r="F14" i="2"/>
  <c r="H24" i="11"/>
  <c r="I24" i="11" l="1"/>
  <c r="F15" i="2"/>
  <c r="J20" i="11"/>
  <c r="J21" i="11" s="1"/>
  <c r="I23" i="11"/>
  <c r="I5" i="9"/>
  <c r="I7" i="9" s="1"/>
  <c r="I8" i="9" l="1"/>
  <c r="J4" i="9"/>
  <c r="K20" i="11"/>
  <c r="K21" i="11" s="1"/>
  <c r="J24" i="11"/>
  <c r="J23" i="11"/>
  <c r="F16" i="2"/>
  <c r="K24" i="11" l="1"/>
  <c r="K23" i="11"/>
  <c r="L20" i="11"/>
  <c r="L21" i="11" s="1"/>
  <c r="F17" i="2"/>
  <c r="J5" i="9"/>
  <c r="J7" i="9" s="1"/>
  <c r="K4" i="9" l="1"/>
  <c r="J8" i="9"/>
  <c r="L23" i="11"/>
  <c r="F18" i="2"/>
  <c r="M20" i="11"/>
  <c r="M21" i="11" s="1"/>
  <c r="L24" i="11"/>
  <c r="M23" i="11" l="1"/>
  <c r="N20" i="11"/>
  <c r="M24" i="11"/>
  <c r="F19" i="2"/>
  <c r="K5" i="9"/>
  <c r="K7" i="9" s="1"/>
  <c r="K8" i="9" l="1"/>
  <c r="L4" i="9"/>
  <c r="N21" i="11"/>
  <c r="O20" i="11"/>
  <c r="N24" i="11" l="1"/>
  <c r="O21" i="11"/>
  <c r="N23" i="11"/>
  <c r="O23" i="11" s="1"/>
  <c r="F20" i="2"/>
  <c r="C4" i="2"/>
  <c r="E4" i="2"/>
  <c r="C6" i="2"/>
  <c r="L5" i="9"/>
  <c r="L7" i="9" s="1"/>
  <c r="M4" i="9" l="1"/>
  <c r="L8" i="9"/>
  <c r="M5" i="9" l="1"/>
  <c r="M7" i="9" s="1"/>
  <c r="M8" i="9" l="1"/>
  <c r="N4" i="9"/>
  <c r="O4" i="9" l="1"/>
  <c r="N5" i="9"/>
  <c r="O5" i="9" s="1"/>
  <c r="N7" i="9" l="1"/>
  <c r="N8" i="9" l="1"/>
  <c r="O7" i="9"/>
</calcChain>
</file>

<file path=xl/sharedStrings.xml><?xml version="1.0" encoding="utf-8"?>
<sst xmlns="http://schemas.openxmlformats.org/spreadsheetml/2006/main" count="361" uniqueCount="236">
  <si>
    <t>PLANTILLA FLUJO DE CAJA PYME 12 MESES</t>
  </si>
  <si>
    <t>Paso</t>
  </si>
  <si>
    <t>Sección</t>
  </si>
  <si>
    <t>Descripción</t>
  </si>
  <si>
    <t>1</t>
  </si>
  <si>
    <t>Completa las hojas verdes</t>
  </si>
  <si>
    <t>Ventas, inversión, costos, impuestos, inventario y financiamiento.</t>
  </si>
  <si>
    <t>2</t>
  </si>
  <si>
    <t>El flujo se arma solo</t>
  </si>
  <si>
    <t>La hoja Flujo de Caja calcula ingresos, egresos, saldos y alertas.</t>
  </si>
  <si>
    <t>3</t>
  </si>
  <si>
    <t>Revisa el dashboard</t>
  </si>
  <si>
    <t>Verás saldo final, caja mínima, inversión inicial, meses negativos y punto de equilibrio.</t>
  </si>
  <si>
    <t>4</t>
  </si>
  <si>
    <t>Evalúa escenarios</t>
  </si>
  <si>
    <t>Compara una visión conservadora, esperada y optimista antes de tomar decisiones.</t>
  </si>
  <si>
    <t xml:space="preserve"> Herramienta para anticipar déficits de caja, controlar egresos y saber cuánto capital necesita la PYME para operar durante 12 meses.</t>
  </si>
  <si>
    <t>DASHBOARD EJECUTIVO</t>
  </si>
  <si>
    <t>Vista rápida para decidir: caja final, saldo más bajo, egresos, inversión, reserva y alertas.</t>
  </si>
  <si>
    <t>Saldo final anual</t>
  </si>
  <si>
    <t>Saldo más bajo</t>
  </si>
  <si>
    <t>Ventas totales</t>
  </si>
  <si>
    <t>Total egresos</t>
  </si>
  <si>
    <t>Meses negativos</t>
  </si>
  <si>
    <t>Punto equilibrio unidades</t>
  </si>
  <si>
    <t>Inversión inicial</t>
  </si>
  <si>
    <t>Reserva recomendada</t>
  </si>
  <si>
    <t>Mes</t>
  </si>
  <si>
    <t>Ingresos</t>
  </si>
  <si>
    <t>Egresos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</si>
  <si>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</si>
  <si>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</si>
  <si>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</si>
  <si>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</si>
  <si>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</si>
  <si>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</si>
  <si>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</si>
  <si>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</si>
  <si>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</si>
  <si>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</si>
  <si>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</si>
  <si>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</si>
  <si>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</si>
  <si>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SUPUESTOS GENERALES</t>
  </si>
  <si>
    <t>Edita estos valores para adaptar la plantilla a cada negocio.</t>
  </si>
  <si>
    <t>Dato</t>
  </si>
  <si>
    <t>Valor editable</t>
  </si>
  <si>
    <t>Uso dentro del modelo</t>
  </si>
  <si>
    <t>Nombre de la empresa</t>
  </si>
  <si>
    <t>PYME ejemplo</t>
  </si>
  <si>
    <t>Se muestra en reportes y dashboard.</t>
  </si>
  <si>
    <t>Moneda</t>
  </si>
  <si>
    <t>CLP</t>
  </si>
  <si>
    <t>Formato visual de los montos.</t>
  </si>
  <si>
    <t>Año de proyección</t>
  </si>
  <si>
    <t>Referencia general de la plantilla.</t>
  </si>
  <si>
    <t>IVA</t>
  </si>
  <si>
    <t>Cálculo simple de IVA ventas/compras.</t>
  </si>
  <si>
    <t>Impuesto mensual sobre ventas</t>
  </si>
  <si>
    <t>Estimación mensual de impuesto sobre ventas.</t>
  </si>
  <si>
    <t>Reserva objetivo en meses de costos fijos</t>
  </si>
  <si>
    <t>Reserva sugerida para enfrentar imprevistos.</t>
  </si>
  <si>
    <t>Capital inicial disponible</t>
  </si>
  <si>
    <t>Caja disponible al comenzar el flujo.</t>
  </si>
  <si>
    <t>Stock mínimo deseado</t>
  </si>
  <si>
    <t>Alerta básica de inventario.</t>
  </si>
  <si>
    <t>Crecimiento esperado de ventas</t>
  </si>
  <si>
    <t>Referencia para escenarios.</t>
  </si>
  <si>
    <t>Promesa comercial</t>
  </si>
  <si>
    <t>Proyecta, entiende y controla tu caja mensual sin tocar fórmulas.</t>
  </si>
  <si>
    <t>Texto visible en Inicio.</t>
  </si>
  <si>
    <t>INVERSIÓN INICIAL</t>
  </si>
  <si>
    <t>Completa los desembolsos necesarios antes o durante el inicio de operaciones.</t>
  </si>
  <si>
    <t>Categoría</t>
  </si>
  <si>
    <t>Ítem</t>
  </si>
  <si>
    <t>Total</t>
  </si>
  <si>
    <t>Equipamiento</t>
  </si>
  <si>
    <t>Computadores / POS</t>
  </si>
  <si>
    <t>Maquinaria / herramientas</t>
  </si>
  <si>
    <t>Muebles</t>
  </si>
  <si>
    <t>Estanterías / escritorios</t>
  </si>
  <si>
    <t>Infraestructura</t>
  </si>
  <si>
    <t>Habilitación del local</t>
  </si>
  <si>
    <t>Reparaciones</t>
  </si>
  <si>
    <t>Legal</t>
  </si>
  <si>
    <t>Constitución de empresa</t>
  </si>
  <si>
    <t>Patente / permisos</t>
  </si>
  <si>
    <t>Garantías</t>
  </si>
  <si>
    <t>Garantía de arriendo</t>
  </si>
  <si>
    <t>Marketing inicial</t>
  </si>
  <si>
    <t>Diseño, lanzamiento y publicidad</t>
  </si>
  <si>
    <t>Otros</t>
  </si>
  <si>
    <t>Imprevistos iniciales</t>
  </si>
  <si>
    <t>TOTAL INVERSIÓN INICIAL</t>
  </si>
  <si>
    <t>VENTAS / INGRESOS</t>
  </si>
  <si>
    <t>Completa precio promedio y cantidades mensuales vendidas.</t>
  </si>
  <si>
    <t>Producto / Servicio</t>
  </si>
  <si>
    <t>Precio prom.</t>
  </si>
  <si>
    <t>Total ingresos</t>
  </si>
  <si>
    <t>Producto / servicio 1</t>
  </si>
  <si>
    <t>Producto / servicio 2</t>
  </si>
  <si>
    <t>Producto / servicio 3</t>
  </si>
  <si>
    <t>Servicio recurrente</t>
  </si>
  <si>
    <t>Otro ingreso</t>
  </si>
  <si>
    <t>TOTAL VENTAS NORMALES</t>
  </si>
  <si>
    <t>Promociones / descuentos / ingresos extraordinarios</t>
  </si>
  <si>
    <t>Ingreso por promociones</t>
  </si>
  <si>
    <t>TOTAL INGRESOS</t>
  </si>
  <si>
    <t>COSTOS VARIABLES / COMPRAS</t>
  </si>
  <si>
    <t>Costos que cambian según las ventas, compras o producción.</t>
  </si>
  <si>
    <t>Producto / costo directo</t>
  </si>
  <si>
    <t>Costo unit.</t>
  </si>
  <si>
    <t>Compra producto 1</t>
  </si>
  <si>
    <t>Compra producto 2</t>
  </si>
  <si>
    <t>Compra producto 3</t>
  </si>
  <si>
    <t>Otro costo variable</t>
  </si>
  <si>
    <t>TOTAL COMPRAS / COSTOS DIRECTOS</t>
  </si>
  <si>
    <t>Otros costos variables</t>
  </si>
  <si>
    <t>TOTAL COSTOS VARIABLES</t>
  </si>
  <si>
    <t>COSTOS FIJOS Y GASTOS OPERATIVOS</t>
  </si>
  <si>
    <t>Gastos que se pagan aunque no haya ventas.</t>
  </si>
  <si>
    <t>Administración</t>
  </si>
  <si>
    <t>Contabilidad</t>
  </si>
  <si>
    <t>Software / sistemas</t>
  </si>
  <si>
    <t>Operación</t>
  </si>
  <si>
    <t>Arriendo</t>
  </si>
  <si>
    <t>Servicios básicos</t>
  </si>
  <si>
    <t>Internet / telefonía</t>
  </si>
  <si>
    <t>Mantenimiento equipos</t>
  </si>
  <si>
    <t>Recursos humanos</t>
  </si>
  <si>
    <t>Sueldos</t>
  </si>
  <si>
    <t>Cotizaciones</t>
  </si>
  <si>
    <t>Legales</t>
  </si>
  <si>
    <t>Patente comercial</t>
  </si>
  <si>
    <t>Permisos / licencias</t>
  </si>
  <si>
    <t>Seguros</t>
  </si>
  <si>
    <t>Seguro local / equipos</t>
  </si>
  <si>
    <t>Marketing</t>
  </si>
  <si>
    <t>Publicidad</t>
  </si>
  <si>
    <t>Patrocinio / alianzas</t>
  </si>
  <si>
    <t>Postventa</t>
  </si>
  <si>
    <t>Garantías fijas</t>
  </si>
  <si>
    <t>Otros gastos fijos</t>
  </si>
  <si>
    <t>TOTAL COSTOS FIJOS</t>
  </si>
  <si>
    <t>IMPUESTOS Y OBLIGACIONES</t>
  </si>
  <si>
    <t>Cálculo con desfase mensual: IVA e impuesto mensual se pagan al mes siguiente. IMPORTANTE: los precios de Ventas y Costos Variables se asumen CON IVA incluido, por eso el IVA se extrae como monto/(1+IVA)*IVA. No dupliques cotizaciones si ya están en Costos Fijos.</t>
  </si>
  <si>
    <t>Concepto</t>
  </si>
  <si>
    <t>IVA ventas generado</t>
  </si>
  <si>
    <t>IVA compras / crédito generado</t>
  </si>
  <si>
    <t>IVA a pagar con desfase</t>
  </si>
  <si>
    <t>Impuesto mensual sobre ventas con desfase</t>
  </si>
  <si>
    <t>Cotizaciones adicionales</t>
  </si>
  <si>
    <t>TOTAL OBLIGACIONES</t>
  </si>
  <si>
    <t>INVENTARIO / STOCK</t>
  </si>
  <si>
    <t>Control referencial de stock: compras y ventas muestran total anual; stock inicial/final muestran cierre de diciembre. No modifica automáticamente el flujo de caja.</t>
  </si>
  <si>
    <t>Total / cierre</t>
  </si>
  <si>
    <t>Stock inicial</t>
  </si>
  <si>
    <t>Unidades compradas sugeridas</t>
  </si>
  <si>
    <t>Unidades vendidas</t>
  </si>
  <si>
    <t>Stock final</t>
  </si>
  <si>
    <t>Alerta de stock</t>
  </si>
  <si>
    <t>FINANCIAMIENTO / APORTES</t>
  </si>
  <si>
    <t>Capital propio, préstamos o aportes para cubrir déficits de caja.</t>
  </si>
  <si>
    <t>Fuente</t>
  </si>
  <si>
    <t>Capital inicial propio</t>
  </si>
  <si>
    <t>Aporte adicional socios</t>
  </si>
  <si>
    <t>Préstamo recibido</t>
  </si>
  <si>
    <t>Pago de préstamo</t>
  </si>
  <si>
    <t>Otros aportes</t>
  </si>
  <si>
    <t>FLUJO NETO FINANCIAMIENTO</t>
  </si>
  <si>
    <t>FLUJO DE CAJA PROYECTADO - 12 MESES</t>
  </si>
  <si>
    <t>Resumen automático de ingresos, egresos, financiamiento, saldo final y alertas. La reserva es referencial.</t>
  </si>
  <si>
    <t>INGRESOS</t>
  </si>
  <si>
    <t>Ventas / ingresos operativos</t>
  </si>
  <si>
    <t>Financiamiento / aportes</t>
  </si>
  <si>
    <t>EGRESOS</t>
  </si>
  <si>
    <t>Costos variables / compras</t>
  </si>
  <si>
    <t>Costos fijos</t>
  </si>
  <si>
    <t>Impuestos y obligaciones</t>
  </si>
  <si>
    <t>TOTAL EGRESOS</t>
  </si>
  <si>
    <t>RESULTADO</t>
  </si>
  <si>
    <t>Flujo neto operativo</t>
  </si>
  <si>
    <t>Flujo neto total</t>
  </si>
  <si>
    <t>Saldo inicial</t>
  </si>
  <si>
    <t>Reserva objetivo (ref.)</t>
  </si>
  <si>
    <t>Saldo disponible post reserva (ref.)</t>
  </si>
  <si>
    <t>Alerta</t>
  </si>
  <si>
    <t>PUNTO DE EQUILIBRIO</t>
  </si>
  <si>
    <t>Calcula cuánto debe vender la PYME para cubrir sus costos.</t>
  </si>
  <si>
    <t>Resultado</t>
  </si>
  <si>
    <t>Interpretación</t>
  </si>
  <si>
    <t>Precio promedio de venta</t>
  </si>
  <si>
    <t>Ingreso neto de IVA promedio por unidad vendida.</t>
  </si>
  <si>
    <t>Costo variable unitario promedio</t>
  </si>
  <si>
    <t>Costo directo neto de IVA promedio por unidad.</t>
  </si>
  <si>
    <t>Margen de contribución</t>
  </si>
  <si>
    <t>Aporte por unidad para cubrir costos fijos.</t>
  </si>
  <si>
    <t>Costos fijos mensuales promedio</t>
  </si>
  <si>
    <t>Base mensual promedio de costos fijos.</t>
  </si>
  <si>
    <t>Punto de equilibrio en unidades</t>
  </si>
  <si>
    <t>Unidades mensuales necesarias para no perder ni ganar.</t>
  </si>
  <si>
    <t>Punto de equilibrio en ventas</t>
  </si>
  <si>
    <t>Venta mensual mínima en dinero.</t>
  </si>
  <si>
    <t>Caja sugerida = costo fijo mensual promedio x meses de reserva (Supuestos).</t>
  </si>
  <si>
    <t>ESCENARIOS</t>
  </si>
  <si>
    <t>Compara una visión conservadora, esperada y optimista.</t>
  </si>
  <si>
    <t>Variable</t>
  </si>
  <si>
    <t>Conservador</t>
  </si>
  <si>
    <t>Esperado</t>
  </si>
  <si>
    <t>Optimista</t>
  </si>
  <si>
    <t>Factor ventas</t>
  </si>
  <si>
    <t>Ajusta los ingresos totales.</t>
  </si>
  <si>
    <t>Factor costos</t>
  </si>
  <si>
    <t>Ajusta costos y egresos.</t>
  </si>
  <si>
    <t>Ventas ajustadas</t>
  </si>
  <si>
    <t>Ventas bajo cada escenario.</t>
  </si>
  <si>
    <t>Egresos ajustados</t>
  </si>
  <si>
    <t>Total egresos bajo cada escenario.</t>
  </si>
  <si>
    <t>Saldo final escenario</t>
  </si>
  <si>
    <t>Caja final simulada.</t>
  </si>
  <si>
    <t>Lectura ejecutiva simple.</t>
  </si>
  <si>
    <t>Remplaze los valores</t>
  </si>
  <si>
    <t>Remplaze con sus categortias y Ítem</t>
  </si>
  <si>
    <t xml:space="preserve">Remplaze con sus productos </t>
  </si>
  <si>
    <t>No modificar esta tabla</t>
  </si>
  <si>
    <t>Modificar tabla con valores y variables</t>
  </si>
  <si>
    <t>Embalaje(ejemplo)</t>
  </si>
  <si>
    <t>Comisión sobre ventas(ejemplo)</t>
  </si>
  <si>
    <t>Despacho / delivery (ejemplo)</t>
  </si>
  <si>
    <t>Garantías / devoluciones (ejemplo)</t>
  </si>
  <si>
    <t>Insumo directo servicio(ejemplo)</t>
  </si>
  <si>
    <t>Remplaze con sus valores</t>
  </si>
  <si>
    <t>Rellenar con sus variables</t>
  </si>
  <si>
    <t>No modificar valores</t>
  </si>
  <si>
    <t>No modificar valores, se actualizan automaticamente</t>
  </si>
  <si>
    <t>Modificar tabla según valores y variables propias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</si>
</sst>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[Red]&quot;($&quot;#,##0\);\-"/>
    <numFmt numFmtId="165" formatCode="#,##0;[Red]\(#,##0\);\-"/>
    <numFmt numFmtId="166" formatCode="0.0%;[Red]\(0.0%\);\-"/>
  </numFmts>
  <fonts count="24" x14ac:knownFonts="1">
    <font>
      <sz val="10"/>
      <name val="Arial"/>
      <family val="2"/>
      <charset val="1"/>
    </font>
    <font>
      <sz val="11"/>
      <color theme="1"/>
      <name val="Calibri"/>
      <charset val="1"/>
    </font>
    <font>
      <b/>
      <sz val="16"/>
      <color rgb="FFFFFFFF"/>
      <name val="Segoe UI"/>
      <charset val="1"/>
    </font>
    <font>
      <sz val="10"/>
      <color rgb="FFFFFFFF"/>
      <name val="Segoe UI"/>
      <charset val="1"/>
    </font>
    <font>
      <b/>
      <sz val="11"/>
      <color rgb="FFFFFFFF"/>
      <name val="Segoe UI"/>
      <charset val="1"/>
    </font>
    <font>
      <b/>
      <sz val="10"/>
      <color rgb="FF161524"/>
      <name val="Segoe UI"/>
      <charset val="1"/>
    </font>
    <font>
      <sz val="10"/>
      <color rgb="FF161524"/>
      <name val="Segoe UI"/>
      <charset val="1"/>
    </font>
    <font>
      <b/>
      <sz val="9"/>
      <color theme="0"/>
      <name val="Segoe UI"/>
      <charset val="1"/>
    </font>
    <font>
      <b/>
      <sz val="11"/>
      <name val="Calibri"/>
      <charset val="1"/>
    </font>
    <font>
      <b/>
      <sz val="10"/>
      <color rgb="FFFFFFFF"/>
      <name val="Segoe UI"/>
      <charset val="1"/>
    </font>
    <font>
      <b/>
      <sz val="13"/>
      <color rgb="FF161524"/>
      <name val="Segoe UI"/>
      <charset val="1"/>
    </font>
    <font>
      <sz val="11"/>
      <color rgb="FF161524"/>
      <name val="Segoe UI"/>
      <charset val="1"/>
    </font>
    <font>
      <sz val="11"/>
      <color rgb="FFFFFFFF"/>
      <name val="Segoe UI"/>
      <charset val="1"/>
    </font>
    <font>
      <b/>
      <sz val="10"/>
      <color theme="0"/>
      <name val="Segoe UI"/>
      <charset val="1"/>
    </font>
    <font>
      <b/>
      <sz val="11"/>
      <color theme="0"/>
      <name val="Segoe UI"/>
      <charset val="1"/>
    </font>
    <font>
      <sz val="28"/>
      <color theme="1"/>
      <name val="Calibri"/>
      <charset val="1"/>
    </font>
    <font>
      <sz val="16"/>
      <color theme="1"/>
      <name val="Calibri"/>
      <charset val="1"/>
    </font>
    <font>
      <b/>
      <sz val="10"/>
      <name val="Segoe UI"/>
      <family val="2"/>
    </font>
    <font>
      <b/>
      <sz val="11"/>
      <name val="Calibri"/>
      <family val="2"/>
    </font>
    <font>
      <sz val="11"/>
      <name val="Segoe UI"/>
      <family val="2"/>
    </font>
    <font>
      <sz val="10"/>
      <name val="Segoe UI"/>
      <family val="2"/>
    </font>
    <font>
      <b/>
      <sz val="11"/>
      <name val="Segoe UI"/>
      <family val="2"/>
    </font>
    <font>
      <b/>
      <sz val="9"/>
      <name val="Segoe UI"/>
      <family val="2"/>
    </font>
    <font>
      <sz val="10"/>
      <color rgb="FFFFFFFF"/>
      <name val="Segoe UI"/>
      <family val="2"/>
    </font>
  </fonts>
  <fills count="23">
    <fill>
      <patternFill patternType="none"/>
    </fill>
    <fill>
      <patternFill patternType="gray125"/>
    </fill>
    <fill>
      <patternFill patternType="solid">
        <fgColor theme="1"/>
        <bgColor rgb="FF161524"/>
      </patternFill>
    </fill>
    <fill>
      <patternFill patternType="solid">
        <fgColor theme="5" tint="-0.249977111117893"/>
        <bgColor rgb="FF993300"/>
      </patternFill>
    </fill>
    <fill>
      <patternFill patternType="solid">
        <fgColor rgb="FF5287A5"/>
        <bgColor rgb="FF4F81BD"/>
      </patternFill>
    </fill>
    <fill>
      <patternFill patternType="solid">
        <fgColor rgb="FFDCEAED"/>
        <bgColor rgb="FFEDF3FD"/>
      </patternFill>
    </fill>
    <fill>
      <patternFill patternType="solid">
        <fgColor rgb="FFFFFEF9"/>
        <bgColor rgb="FFFFFFFF"/>
      </patternFill>
    </fill>
    <fill>
      <patternFill patternType="solid">
        <fgColor rgb="FFD4AF37"/>
        <bgColor rgb="FFFFCC00"/>
      </patternFill>
    </fill>
    <fill>
      <patternFill patternType="solid">
        <fgColor theme="4" tint="-0.499984740745262"/>
        <bgColor rgb="FF3A3677"/>
      </patternFill>
    </fill>
    <fill>
      <patternFill patternType="solid">
        <fgColor rgb="FFEDF3FD"/>
        <bgColor rgb="FFDCEAED"/>
      </patternFill>
    </fill>
    <fill>
      <patternFill patternType="solid">
        <fgColor rgb="FF20A87D"/>
        <bgColor rgb="FF33CCCC"/>
      </patternFill>
    </fill>
    <fill>
      <patternFill patternType="solid">
        <fgColor theme="0"/>
        <bgColor rgb="FF4A7EBB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161524"/>
      </patternFill>
    </fill>
    <fill>
      <patternFill patternType="solid">
        <fgColor rgb="FFE7E6E6"/>
        <bgColor rgb="FF3A3677"/>
      </patternFill>
    </fill>
    <fill>
      <patternFill patternType="solid">
        <fgColor rgb="FFFFF6D8"/>
        <bgColor rgb="FF161524"/>
      </patternFill>
    </fill>
    <fill>
      <patternFill patternType="solid">
        <fgColor rgb="FFFFF6D8"/>
        <bgColor rgb="FF3A3677"/>
      </patternFill>
    </fill>
    <fill>
      <patternFill patternType="solid">
        <fgColor rgb="FFE7E6E6"/>
        <bgColor rgb="FFDCEAED"/>
      </patternFill>
    </fill>
    <fill>
      <patternFill patternType="solid">
        <fgColor rgb="FFE7E6E6"/>
        <bgColor rgb="FFFFFFFF"/>
      </patternFill>
    </fill>
    <fill>
      <patternFill patternType="solid">
        <fgColor rgb="FFFFF6D8"/>
        <bgColor rgb="FFFFFFFF"/>
      </patternFill>
    </fill>
    <fill>
      <patternFill patternType="solid">
        <fgColor rgb="FFFFF6D8"/>
        <bgColor rgb="FFDCEAED"/>
      </patternFill>
    </fill>
    <fill>
      <patternFill patternType="solid">
        <fgColor rgb="FFE7E6E6"/>
        <bgColor rgb="FFEDF3FD"/>
      </patternFill>
    </fill>
    <fill>
      <patternFill patternType="solid">
        <fgColor theme="6" tint="0.39997558519241921"/>
        <bgColor rgb="FF4A7EBB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A0ADAE"/>
      </left>
      <right style="thin">
        <color rgb="FFA0ADAE"/>
      </right>
      <top style="thin">
        <color rgb="FFA0ADAE"/>
      </top>
      <bottom style="thin">
        <color rgb="FFA0ADAE"/>
      </bottom>
      <diagonal/>
    </border>
    <border>
      <left style="thin">
        <color rgb="FFA0ADAE"/>
      </left>
      <right style="thin">
        <color rgb="FFA0ADAE"/>
      </right>
      <top style="thin">
        <color rgb="FFA0ADAE"/>
      </top>
      <bottom/>
      <diagonal/>
    </border>
    <border>
      <left style="thin">
        <color rgb="FF3A3677"/>
      </left>
      <right style="thin">
        <color rgb="FF3A3677"/>
      </right>
      <top style="thin">
        <color rgb="FF3A3677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5" fillId="7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4" fillId="4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vertical="center" wrapText="1"/>
    </xf>
    <xf numFmtId="0" fontId="11" fillId="9" borderId="1" xfId="0" applyFont="1" applyFill="1" applyBorder="1" applyAlignment="1">
      <alignment horizontal="left" vertical="center" wrapText="1"/>
    </xf>
    <xf numFmtId="164" fontId="13" fillId="3" borderId="1" xfId="0" applyNumberFormat="1" applyFont="1" applyFill="1" applyBorder="1" applyAlignment="1">
      <alignment horizontal="center" vertical="center" wrapText="1"/>
    </xf>
    <xf numFmtId="164" fontId="5" fillId="7" borderId="1" xfId="0" applyNumberFormat="1" applyFont="1" applyFill="1" applyBorder="1" applyAlignment="1">
      <alignment horizontal="center" vertical="center" wrapText="1"/>
    </xf>
    <xf numFmtId="164" fontId="9" fillId="3" borderId="1" xfId="0" applyNumberFormat="1" applyFont="1" applyFill="1" applyBorder="1" applyAlignment="1">
      <alignment horizontal="center" vertical="center" wrapText="1"/>
    </xf>
    <xf numFmtId="166" fontId="4" fillId="8" borderId="1" xfId="0" applyNumberFormat="1" applyFont="1" applyFill="1" applyBorder="1" applyAlignment="1">
      <alignment horizontal="center" vertical="center" wrapText="1"/>
    </xf>
    <xf numFmtId="164" fontId="14" fillId="3" borderId="1" xfId="0" applyNumberFormat="1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65" fontId="5" fillId="7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vertical="center" wrapText="1"/>
    </xf>
    <xf numFmtId="166" fontId="12" fillId="10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1" fillId="11" borderId="0" xfId="0" applyFont="1" applyFill="1" applyAlignment="1">
      <alignment horizontal="center"/>
    </xf>
    <xf numFmtId="0" fontId="1" fillId="11" borderId="0" xfId="0" applyFont="1" applyFill="1"/>
    <xf numFmtId="0" fontId="1" fillId="12" borderId="0" xfId="0" applyFont="1" applyFill="1"/>
    <xf numFmtId="0" fontId="1" fillId="11" borderId="0" xfId="0" applyFont="1" applyFill="1" applyAlignment="1">
      <alignment vertical="center" wrapText="1"/>
    </xf>
    <xf numFmtId="0" fontId="0" fillId="12" borderId="0" xfId="0" applyFill="1"/>
    <xf numFmtId="0" fontId="8" fillId="11" borderId="0" xfId="0" applyFont="1" applyFill="1" applyAlignment="1">
      <alignment vertical="center" wrapText="1"/>
    </xf>
    <xf numFmtId="0" fontId="1" fillId="12" borderId="0" xfId="0" applyFont="1" applyFill="1" applyAlignment="1">
      <alignment vertical="center" wrapText="1"/>
    </xf>
    <xf numFmtId="0" fontId="1" fillId="13" borderId="0" xfId="0" applyFont="1" applyFill="1"/>
    <xf numFmtId="0" fontId="18" fillId="14" borderId="4" xfId="0" applyFont="1" applyFill="1" applyBorder="1" applyAlignment="1">
      <alignment horizontal="center" vertical="center" wrapText="1"/>
    </xf>
    <xf numFmtId="164" fontId="18" fillId="14" borderId="4" xfId="0" applyNumberFormat="1" applyFont="1" applyFill="1" applyBorder="1" applyAlignment="1">
      <alignment horizontal="center" vertical="center" wrapText="1"/>
    </xf>
    <xf numFmtId="0" fontId="19" fillId="15" borderId="1" xfId="0" applyFont="1" applyFill="1" applyBorder="1" applyAlignment="1">
      <alignment horizontal="center" vertical="center" wrapText="1"/>
    </xf>
    <xf numFmtId="165" fontId="19" fillId="15" borderId="1" xfId="0" applyNumberFormat="1" applyFont="1" applyFill="1" applyBorder="1" applyAlignment="1">
      <alignment horizontal="center" vertical="center" wrapText="1"/>
    </xf>
    <xf numFmtId="166" fontId="19" fillId="15" borderId="1" xfId="0" applyNumberFormat="1" applyFont="1" applyFill="1" applyBorder="1" applyAlignment="1">
      <alignment horizontal="center" vertical="center" wrapText="1"/>
    </xf>
    <xf numFmtId="164" fontId="19" fillId="15" borderId="1" xfId="0" applyNumberFormat="1" applyFont="1" applyFill="1" applyBorder="1" applyAlignment="1">
      <alignment horizontal="center" vertical="center" wrapText="1"/>
    </xf>
    <xf numFmtId="164" fontId="19" fillId="16" borderId="1" xfId="0" applyNumberFormat="1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left" vertical="center" wrapText="1"/>
    </xf>
    <xf numFmtId="165" fontId="19" fillId="16" borderId="1" xfId="0" applyNumberFormat="1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left" vertical="center" wrapText="1"/>
    </xf>
    <xf numFmtId="164" fontId="19" fillId="16" borderId="1" xfId="0" applyNumberFormat="1" applyFont="1" applyFill="1" applyBorder="1" applyAlignment="1">
      <alignment vertical="center" wrapText="1"/>
    </xf>
    <xf numFmtId="0" fontId="11" fillId="19" borderId="1" xfId="0" applyFont="1" applyFill="1" applyBorder="1" applyAlignment="1">
      <alignment horizontal="left" vertical="center" wrapText="1"/>
    </xf>
    <xf numFmtId="0" fontId="11" fillId="20" borderId="1" xfId="0" applyFont="1" applyFill="1" applyBorder="1" applyAlignment="1">
      <alignment horizontal="left" vertical="center" wrapText="1"/>
    </xf>
    <xf numFmtId="0" fontId="19" fillId="20" borderId="1" xfId="0" applyFont="1" applyFill="1" applyBorder="1" applyAlignment="1">
      <alignment horizontal="left" vertical="center" wrapText="1"/>
    </xf>
    <xf numFmtId="164" fontId="21" fillId="14" borderId="1" xfId="0" applyNumberFormat="1" applyFont="1" applyFill="1" applyBorder="1" applyAlignment="1">
      <alignment horizontal="center" vertical="center" wrapText="1"/>
    </xf>
    <xf numFmtId="165" fontId="20" fillId="14" borderId="1" xfId="0" applyNumberFormat="1" applyFont="1" applyFill="1" applyBorder="1" applyAlignment="1">
      <alignment horizontal="center" vertical="center" wrapText="1"/>
    </xf>
    <xf numFmtId="164" fontId="19" fillId="14" borderId="1" xfId="0" applyNumberFormat="1" applyFont="1" applyFill="1" applyBorder="1" applyAlignment="1">
      <alignment horizontal="center" vertical="center" wrapText="1"/>
    </xf>
    <xf numFmtId="165" fontId="19" fillId="14" borderId="1" xfId="0" applyNumberFormat="1" applyFont="1" applyFill="1" applyBorder="1" applyAlignment="1">
      <alignment horizontal="center" vertical="center" wrapText="1"/>
    </xf>
    <xf numFmtId="165" fontId="21" fillId="14" borderId="1" xfId="0" applyNumberFormat="1" applyFont="1" applyFill="1" applyBorder="1" applyAlignment="1">
      <alignment horizontal="center" vertical="center" wrapText="1"/>
    </xf>
    <xf numFmtId="164" fontId="20" fillId="14" borderId="1" xfId="0" applyNumberFormat="1" applyFont="1" applyFill="1" applyBorder="1" applyAlignment="1">
      <alignment horizontal="center" vertical="center" wrapText="1"/>
    </xf>
    <xf numFmtId="0" fontId="5" fillId="20" borderId="1" xfId="0" applyFont="1" applyFill="1" applyBorder="1" applyAlignment="1">
      <alignment horizontal="left" vertical="center" wrapText="1"/>
    </xf>
    <xf numFmtId="164" fontId="17" fillId="14" borderId="1" xfId="0" applyNumberFormat="1" applyFont="1" applyFill="1" applyBorder="1" applyAlignment="1">
      <alignment horizontal="center" vertical="center" wrapText="1"/>
    </xf>
    <xf numFmtId="164" fontId="17" fillId="7" borderId="1" xfId="0" applyNumberFormat="1" applyFont="1" applyFill="1" applyBorder="1" applyAlignment="1">
      <alignment horizontal="center" vertical="center" wrapText="1"/>
    </xf>
    <xf numFmtId="0" fontId="22" fillId="14" borderId="1" xfId="0" applyFont="1" applyFill="1" applyBorder="1" applyAlignment="1">
      <alignment horizontal="center" vertical="center" wrapText="1"/>
    </xf>
    <xf numFmtId="164" fontId="17" fillId="16" borderId="1" xfId="0" applyNumberFormat="1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vertical="center" wrapText="1"/>
    </xf>
    <xf numFmtId="0" fontId="6" fillId="17" borderId="1" xfId="0" applyFont="1" applyFill="1" applyBorder="1" applyAlignment="1">
      <alignment vertical="center" wrapText="1"/>
    </xf>
    <xf numFmtId="0" fontId="11" fillId="21" borderId="1" xfId="0" applyFont="1" applyFill="1" applyBorder="1" applyAlignment="1">
      <alignment horizontal="center" vertical="center" wrapText="1"/>
    </xf>
    <xf numFmtId="164" fontId="11" fillId="21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65" fontId="10" fillId="7" borderId="1" xfId="0" applyNumberFormat="1" applyFont="1" applyFill="1" applyBorder="1" applyAlignment="1">
      <alignment horizontal="center" vertical="center" wrapText="1"/>
    </xf>
    <xf numFmtId="164" fontId="10" fillId="7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" fillId="13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vertical="center" wrapText="1"/>
    </xf>
    <xf numFmtId="0" fontId="1" fillId="13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11" fillId="20" borderId="1" xfId="0" applyFont="1" applyFill="1" applyBorder="1" applyAlignment="1">
      <alignment horizontal="left" vertical="center" wrapText="1"/>
    </xf>
    <xf numFmtId="0" fontId="15" fillId="13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6" fillId="13" borderId="0" xfId="0" applyFont="1" applyFill="1" applyAlignment="1">
      <alignment horizontal="center"/>
    </xf>
    <xf numFmtId="0" fontId="1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" fillId="22" borderId="1" xfId="0" applyFont="1" applyFill="1" applyBorder="1" applyAlignment="1">
      <alignment horizontal="center" vertical="center" wrapText="1"/>
    </xf>
    <xf numFmtId="0" fontId="1" fillId="2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5287A5"/>
      <rgbColor rgb="FFC0C0C0"/>
      <rgbColor rgb="FF878787"/>
      <rgbColor rgb="FF9999FF"/>
      <rgbColor rgb="FF953735"/>
      <rgbColor rgb="FFFFFEF9"/>
      <rgbColor rgb="FFDCEA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EDF3FD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D4AF37"/>
      <rgbColor rgb="FFFF6600"/>
      <rgbColor rgb="FF376092"/>
      <rgbColor rgb="FFA0ADAE"/>
      <rgbColor rgb="FF10243E"/>
      <rgbColor rgb="FF20A87D"/>
      <rgbColor rgb="FF161524"/>
      <rgbColor rgb="FF333300"/>
      <rgbColor rgb="FF993300"/>
      <rgbColor rgb="FFC0504D"/>
      <rgbColor rgb="FF3A3677"/>
      <rgbColor rgb="FF25406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7E6E6"/>
      <color rgb="FFFFF6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CL"/>
              <a:t>Saldo de caja mes a 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Dashboard!$F$8</c:f>
              <c:strCache>
                <c:ptCount val="1"/>
                <c:pt idx="0">
                  <c:v>Saldo final</c:v>
                </c:pt>
              </c:strCache>
            </c:strRef>
          </c:tx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9E5D-4D80-9158-A5DCA054BC75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E5D-4D80-9158-A5DCA054BC75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9E5D-4D80-9158-A5DCA054BC75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3492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9E5D-4D80-9158-A5DCA054BC75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34925" cap="rnd">
                <a:solidFill>
                  <a:schemeClr val="accent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9E5D-4D80-9158-A5DCA054BC75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3492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9E5D-4D80-9158-A5DCA054BC75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9E5D-4D80-9158-A5DCA054BC75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34925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9E5D-4D80-9158-A5DCA054BC75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34925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9E5D-4D80-9158-A5DCA054BC75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34925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9E5D-4D80-9158-A5DCA054BC75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34925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9E5D-4D80-9158-A5DCA054BC75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34925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9E5D-4D80-9158-A5DCA054BC7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Dashboard!$C$9:$C$20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Dashboard!$F$9:$F$20</c:f>
              <c:numCache>
                <c:formatCode>\$#,##0;[Red]"($"#,##0\);\-</c:formatCode>
                <c:ptCount val="12"/>
                <c:pt idx="0">
                  <c:v>2385000</c:v>
                </c:pt>
                <c:pt idx="1">
                  <c:v>2265420.1680672267</c:v>
                </c:pt>
                <c:pt idx="2">
                  <c:v>2265420.1680672267</c:v>
                </c:pt>
                <c:pt idx="3">
                  <c:v>2265420.1680672267</c:v>
                </c:pt>
                <c:pt idx="4">
                  <c:v>2265420.1680672267</c:v>
                </c:pt>
                <c:pt idx="5">
                  <c:v>2265420.1680672267</c:v>
                </c:pt>
                <c:pt idx="6">
                  <c:v>2265420.1680672267</c:v>
                </c:pt>
                <c:pt idx="7">
                  <c:v>2265420.1680672267</c:v>
                </c:pt>
                <c:pt idx="8">
                  <c:v>2265420.1680672267</c:v>
                </c:pt>
                <c:pt idx="9">
                  <c:v>2265420.1680672267</c:v>
                </c:pt>
                <c:pt idx="10">
                  <c:v>2265420.1680672267</c:v>
                </c:pt>
                <c:pt idx="11">
                  <c:v>2265420.1680672267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8-9E5D-4D80-9158-A5DCA054BC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>
              <a:solidFill>
                <a:schemeClr val="lt1">
                  <a:lumMod val="95000"/>
                  <a:alpha val="54000"/>
                </a:schemeClr>
              </a:solidFill>
              <a:prstDash val="dash"/>
            </a:ln>
            <a:effectLst/>
          </c:spPr>
        </c:hiLowLines>
        <c:smooth val="0"/>
        <c:axId val="57488443"/>
        <c:axId val="6733082"/>
      </c:lineChart>
      <c:catAx>
        <c:axId val="574884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733082"/>
        <c:crosses val="autoZero"/>
        <c:auto val="1"/>
        <c:lblAlgn val="ctr"/>
        <c:lblOffset val="100"/>
        <c:noMultiLvlLbl val="0"/>
      </c:catAx>
      <c:valAx>
        <c:axId val="673308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Saldo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\$#,##0;[Red]&quot;($&quot;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74884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Ingresos vs egresos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Dashboard!$D$8</c:f>
              <c:strCache>
                <c:ptCount val="1"/>
                <c:pt idx="0">
                  <c:v>Ingresos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delete val="1"/>
          </c:dLbls>
          <c:cat>
            <c:strRef>
              <c:f>Dashboard!$C$9:$C$20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Dashboard!$D$9:$D$20</c:f>
              <c:numCache>
                <c:formatCode>\$#,##0;[Red]"($"#,##0\);\-</c:formatCode>
                <c:ptCount val="12"/>
                <c:pt idx="0">
                  <c:v>1500000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0A-4BB5-AD9E-657F76F21FDB}"/>
            </c:ext>
          </c:extLst>
        </c:ser>
        <c:ser>
          <c:idx val="1"/>
          <c:order val="1"/>
          <c:tx>
            <c:strRef>
              <c:f>Dashboard!$E$8</c:f>
              <c:strCache>
                <c:ptCount val="1"/>
                <c:pt idx="0">
                  <c:v>Egresos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delete val="1"/>
          </c:dLbls>
          <c:cat>
            <c:strRef>
              <c:f>Dashboard!$C$9:$C$20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Dashboard!$E$9:$E$20</c:f>
              <c:numCache>
                <c:formatCode>\$#,##0;[Red]"($"#,##0\);\-</c:formatCode>
                <c:ptCount val="12"/>
                <c:pt idx="0">
                  <c:v>8115000</c:v>
                </c:pt>
                <c:pt idx="1">
                  <c:v>119579.83193277314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0A-4BB5-AD9E-657F76F21FD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37392939"/>
        <c:axId val="95096866"/>
      </c:barChart>
      <c:catAx>
        <c:axId val="3739293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5096866"/>
        <c:crosses val="autoZero"/>
        <c:auto val="1"/>
        <c:lblAlgn val="ctr"/>
        <c:lblOffset val="100"/>
        <c:noMultiLvlLbl val="0"/>
      </c:catAx>
      <c:valAx>
        <c:axId val="9509686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Monto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\$#,##0;[Red]&quot;($&quot;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73929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171360</xdr:colOff>
      <xdr:row>6</xdr:row>
      <xdr:rowOff>219240</xdr:rowOff>
    </xdr:from>
    <xdr:to>
      <xdr:col>10</xdr:col>
      <xdr:colOff>855720</xdr:colOff>
      <xdr:row>18</xdr:row>
      <xdr:rowOff>126720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181080</xdr:colOff>
      <xdr:row>18</xdr:row>
      <xdr:rowOff>209520</xdr:rowOff>
    </xdr:from>
    <xdr:to>
      <xdr:col>10</xdr:col>
      <xdr:colOff>865440</xdr:colOff>
      <xdr:row>30</xdr:row>
      <xdr:rowOff>117000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4AF37"/>
  </sheetPr>
  <dimension ref="A1:BY143"/>
  <sheetViews>
    <sheetView showGridLines="0" zoomScaleNormal="100" workbookViewId="0">
      <selection activeCell="D18" sqref="D18"/>
    </sheetView>
  </sheetViews>
  <sheetFormatPr baseColWidth="10" defaultColWidth="9.140625" defaultRowHeight="15" x14ac:dyDescent="0.25"/>
  <cols>
    <col min="1" max="1" width="15" style="27" customWidth="1"/>
    <col min="2" max="2" width="22" style="3" customWidth="1"/>
    <col min="3" max="3" width="34" style="3" customWidth="1"/>
    <col min="4" max="4" width="20" style="3" customWidth="1"/>
    <col min="5" max="7" width="22" style="3" customWidth="1"/>
    <col min="8" max="8" width="9.7109375" style="27" customWidth="1"/>
    <col min="9" max="9" width="10.140625" style="27" customWidth="1"/>
    <col min="10" max="10" width="8.85546875" style="27" customWidth="1"/>
    <col min="11" max="11" width="7.28515625" style="27" customWidth="1"/>
    <col min="12" max="12" width="8.28515625" style="27" customWidth="1"/>
    <col min="13" max="13" width="12.5703125" style="27" customWidth="1"/>
    <col min="14" max="14" width="8" style="27" customWidth="1"/>
    <col min="15" max="15" width="9.85546875" style="27" customWidth="1"/>
    <col min="16" max="16" width="8.42578125" style="27" customWidth="1"/>
    <col min="17" max="77" width="9.140625" style="29"/>
  </cols>
  <sheetData>
    <row r="1" spans="1:76" ht="42.75" customHeight="1" x14ac:dyDescent="0.25">
      <c r="A1" s="25"/>
      <c r="B1" s="65" t="s">
        <v>0</v>
      </c>
      <c r="C1" s="65"/>
      <c r="D1" s="65"/>
      <c r="E1" s="65"/>
      <c r="F1" s="65"/>
      <c r="G1" s="65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</row>
    <row r="2" spans="1:76" ht="18" customHeight="1" x14ac:dyDescent="0.25">
      <c r="A2" s="25"/>
      <c r="B2" s="66" t="s">
        <v>69</v>
      </c>
      <c r="C2" s="67"/>
      <c r="D2" s="67"/>
      <c r="E2" s="67"/>
      <c r="F2" s="67"/>
      <c r="G2" s="67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</row>
    <row r="3" spans="1:76" ht="19.5" customHeight="1" x14ac:dyDescent="0.25">
      <c r="A3" s="26"/>
      <c r="B3" s="4" t="s">
        <v>1</v>
      </c>
      <c r="C3" s="5" t="s">
        <v>2</v>
      </c>
      <c r="D3" s="68" t="s">
        <v>3</v>
      </c>
      <c r="E3" s="68"/>
      <c r="F3" s="68"/>
      <c r="G3" s="6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</row>
    <row r="4" spans="1:76" ht="19.5" customHeight="1" x14ac:dyDescent="0.25">
      <c r="A4" s="26"/>
      <c r="B4" s="6" t="s">
        <v>4</v>
      </c>
      <c r="C4" s="7" t="s">
        <v>5</v>
      </c>
      <c r="D4" s="63" t="s">
        <v>6</v>
      </c>
      <c r="E4" s="63"/>
      <c r="F4" s="63"/>
      <c r="G4" s="63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ht="19.5" customHeight="1" x14ac:dyDescent="0.25">
      <c r="A5" s="26"/>
      <c r="B5" s="8" t="s">
        <v>7</v>
      </c>
      <c r="C5" s="9" t="s">
        <v>8</v>
      </c>
      <c r="D5" s="62" t="s">
        <v>9</v>
      </c>
      <c r="E5" s="62"/>
      <c r="F5" s="62"/>
      <c r="G5" s="62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9.5" customHeight="1" x14ac:dyDescent="0.25">
      <c r="A6" s="26"/>
      <c r="B6" s="6" t="s">
        <v>10</v>
      </c>
      <c r="C6" s="7" t="s">
        <v>11</v>
      </c>
      <c r="D6" s="63" t="s">
        <v>12</v>
      </c>
      <c r="E6" s="63"/>
      <c r="F6" s="63"/>
      <c r="G6" s="63"/>
      <c r="H6" s="28"/>
      <c r="I6" s="28"/>
      <c r="J6" s="28"/>
      <c r="K6" s="28"/>
      <c r="L6" s="28"/>
      <c r="M6" s="28"/>
      <c r="N6" s="26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</row>
    <row r="7" spans="1:76" ht="19.5" customHeight="1" x14ac:dyDescent="0.25">
      <c r="A7" s="26"/>
      <c r="B7" s="8" t="s">
        <v>13</v>
      </c>
      <c r="C7" s="9" t="s">
        <v>14</v>
      </c>
      <c r="D7" s="62" t="s">
        <v>15</v>
      </c>
      <c r="E7" s="62"/>
      <c r="F7" s="62"/>
      <c r="G7" s="62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</row>
    <row r="8" spans="1:76" ht="19.5" customHeight="1" x14ac:dyDescent="0.25">
      <c r="A8" s="26"/>
      <c r="B8" s="64" t="s">
        <v>16</v>
      </c>
      <c r="C8" s="64"/>
      <c r="D8" s="64"/>
      <c r="E8" s="64"/>
      <c r="F8" s="64"/>
      <c r="G8" s="64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</row>
    <row r="9" spans="1:76" ht="19.5" customHeight="1" x14ac:dyDescent="0.25">
      <c r="A9" s="26"/>
      <c r="B9" s="26"/>
      <c r="C9" s="26"/>
      <c r="D9" s="26"/>
      <c r="E9" s="26"/>
      <c r="F9" s="26"/>
      <c r="G9" s="26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</row>
    <row r="10" spans="1:76" ht="19.5" customHeight="1" x14ac:dyDescent="0.25">
      <c r="A10" s="26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</row>
    <row r="11" spans="1:76" ht="19.5" customHeight="1" x14ac:dyDescent="0.25">
      <c r="A11" s="26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</row>
    <row r="12" spans="1:76" ht="19.5" customHeight="1" x14ac:dyDescent="0.25">
      <c r="A12" s="26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</row>
    <row r="13" spans="1:76" ht="19.5" customHeight="1" x14ac:dyDescent="0.25">
      <c r="A13" s="26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</row>
    <row r="14" spans="1:76" ht="19.5" customHeight="1" x14ac:dyDescent="0.25">
      <c r="A14" s="26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</row>
    <row r="15" spans="1:76" ht="19.5" customHeight="1" x14ac:dyDescent="0.25">
      <c r="A15" s="26"/>
      <c r="B15" s="26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28"/>
      <c r="R15" s="28"/>
      <c r="S15" s="28"/>
      <c r="T15" s="28"/>
      <c r="U15" s="28"/>
      <c r="V15" s="28"/>
      <c r="W15" s="28"/>
      <c r="X15" s="28"/>
      <c r="Y15" s="28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</row>
    <row r="16" spans="1:76" ht="19.5" customHeight="1" x14ac:dyDescent="0.25">
      <c r="A16" s="26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28"/>
      <c r="R16" s="28"/>
      <c r="S16" s="28"/>
      <c r="T16" s="28"/>
      <c r="U16" s="28"/>
      <c r="V16" s="28"/>
      <c r="W16" s="28"/>
      <c r="X16" s="28"/>
      <c r="Y16" s="28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</row>
    <row r="17" spans="1:76" ht="19.5" customHeight="1" x14ac:dyDescent="0.25">
      <c r="A17" s="26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28"/>
      <c r="R17" s="28"/>
      <c r="S17" s="28"/>
      <c r="T17" s="28"/>
      <c r="U17" s="28"/>
      <c r="V17" s="28"/>
      <c r="W17" s="28"/>
      <c r="X17" s="28"/>
      <c r="Y17" s="28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</row>
    <row r="18" spans="1:76" ht="19.5" customHeight="1" x14ac:dyDescent="0.25">
      <c r="A18" s="26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</row>
    <row r="19" spans="1:76" ht="19.5" customHeight="1" x14ac:dyDescent="0.25">
      <c r="A19" s="26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</row>
    <row r="20" spans="1:76" ht="19.5" customHeight="1" x14ac:dyDescent="0.25">
      <c r="A20" s="26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</row>
    <row r="21" spans="1:76" ht="19.5" customHeight="1" x14ac:dyDescent="0.25">
      <c r="A21" s="26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</row>
    <row r="22" spans="1:76" ht="19.5" customHeight="1" x14ac:dyDescent="0.25">
      <c r="A22" s="26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</row>
    <row r="23" spans="1:76" ht="19.5" customHeight="1" x14ac:dyDescent="0.25">
      <c r="A23" s="26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</row>
    <row r="24" spans="1:76" ht="19.5" customHeight="1" x14ac:dyDescent="0.25">
      <c r="A24" s="26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</row>
    <row r="25" spans="1:76" ht="19.5" customHeight="1" x14ac:dyDescent="0.25">
      <c r="A25" s="26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</row>
    <row r="26" spans="1:76" ht="19.5" customHeight="1" x14ac:dyDescent="0.25">
      <c r="A26" s="26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</row>
    <row r="27" spans="1:76" ht="19.5" customHeight="1" x14ac:dyDescent="0.25">
      <c r="A27" s="26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</row>
    <row r="28" spans="1:76" ht="19.5" customHeight="1" x14ac:dyDescent="0.25">
      <c r="A28" s="26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</row>
    <row r="29" spans="1:76" ht="19.5" customHeight="1" x14ac:dyDescent="0.25">
      <c r="A29" s="26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</row>
    <row r="30" spans="1:76" ht="19.5" customHeight="1" x14ac:dyDescent="0.25">
      <c r="A30" s="26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</row>
    <row r="31" spans="1:76" ht="19.5" customHeight="1" x14ac:dyDescent="0.25">
      <c r="A31" s="26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</row>
    <row r="32" spans="1:76" ht="19.5" customHeight="1" x14ac:dyDescent="0.25">
      <c r="A32" s="26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</row>
    <row r="33" spans="1:76" ht="19.5" customHeight="1" x14ac:dyDescent="0.25">
      <c r="A33" s="26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</row>
    <row r="34" spans="1:76" ht="19.5" customHeight="1" x14ac:dyDescent="0.25">
      <c r="A34" s="26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</row>
    <row r="35" spans="1:76" ht="19.5" customHeight="1" x14ac:dyDescent="0.25">
      <c r="A35" s="26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</row>
    <row r="36" spans="1:76" ht="19.5" customHeight="1" x14ac:dyDescent="0.25">
      <c r="A36" s="26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</row>
    <row r="37" spans="1:76" ht="19.5" customHeight="1" x14ac:dyDescent="0.25">
      <c r="A37" s="26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</row>
    <row r="38" spans="1:76" ht="19.5" customHeight="1" x14ac:dyDescent="0.25">
      <c r="A38" s="26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</row>
    <row r="39" spans="1:76" ht="19.5" customHeight="1" x14ac:dyDescent="0.25">
      <c r="A39" s="26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</row>
    <row r="40" spans="1:76" ht="19.5" customHeight="1" x14ac:dyDescent="0.25">
      <c r="A40" s="26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</row>
    <row r="41" spans="1:76" ht="19.5" customHeight="1" x14ac:dyDescent="0.25">
      <c r="A41" s="26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</row>
    <row r="42" spans="1:76" ht="19.5" customHeight="1" x14ac:dyDescent="0.25">
      <c r="A42" s="26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</row>
    <row r="43" spans="1:76" ht="19.5" customHeight="1" x14ac:dyDescent="0.25">
      <c r="A43" s="26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</row>
    <row r="44" spans="1:76" ht="19.5" customHeight="1" x14ac:dyDescent="0.25">
      <c r="A44" s="26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</row>
    <row r="45" spans="1:76" ht="19.5" customHeight="1" x14ac:dyDescent="0.25">
      <c r="A45" s="26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</row>
    <row r="46" spans="1:76" ht="19.5" customHeight="1" x14ac:dyDescent="0.25">
      <c r="A46" s="26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</row>
    <row r="47" spans="1:76" ht="19.5" customHeight="1" x14ac:dyDescent="0.25">
      <c r="A47" s="26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</row>
    <row r="48" spans="1:76" ht="19.5" customHeight="1" x14ac:dyDescent="0.25">
      <c r="A48" s="26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</row>
    <row r="49" spans="1:76" ht="19.5" customHeight="1" x14ac:dyDescent="0.25">
      <c r="A49" s="26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</row>
    <row r="50" spans="1:76" ht="19.5" customHeight="1" x14ac:dyDescent="0.25">
      <c r="A50" s="26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</row>
    <row r="51" spans="1:76" ht="19.5" customHeight="1" x14ac:dyDescent="0.25">
      <c r="A51" s="26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</row>
    <row r="52" spans="1:76" ht="19.5" customHeight="1" x14ac:dyDescent="0.25">
      <c r="A52" s="26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</row>
    <row r="53" spans="1:76" ht="19.5" customHeight="1" x14ac:dyDescent="0.25">
      <c r="A53" s="26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</row>
    <row r="54" spans="1:76" ht="19.5" customHeight="1" x14ac:dyDescent="0.25">
      <c r="A54" s="26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</row>
    <row r="55" spans="1:76" ht="19.5" customHeight="1" x14ac:dyDescent="0.25">
      <c r="A55" s="26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</row>
    <row r="56" spans="1:76" ht="19.5" customHeight="1" x14ac:dyDescent="0.25">
      <c r="A56" s="26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</row>
    <row r="57" spans="1:76" ht="19.5" customHeight="1" x14ac:dyDescent="0.25">
      <c r="A57" s="26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</row>
    <row r="58" spans="1:76" ht="19.5" customHeight="1" x14ac:dyDescent="0.25">
      <c r="A58" s="26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</row>
    <row r="59" spans="1:76" ht="19.5" customHeight="1" x14ac:dyDescent="0.25">
      <c r="A59" s="26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76" ht="19.5" customHeight="1" x14ac:dyDescent="0.25">
      <c r="A60" s="26"/>
      <c r="B60" s="10"/>
      <c r="C60" s="10"/>
      <c r="D60" s="10"/>
      <c r="E60" s="10"/>
      <c r="F60" s="10"/>
      <c r="G60" s="10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76" ht="19.5" customHeight="1" x14ac:dyDescent="0.25">
      <c r="A61" s="26"/>
      <c r="B61" s="10"/>
      <c r="C61" s="10"/>
      <c r="D61" s="10"/>
      <c r="E61" s="10"/>
      <c r="F61" s="10"/>
      <c r="G61" s="10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76" ht="19.5" customHeight="1" x14ac:dyDescent="0.25">
      <c r="B62" s="10"/>
      <c r="C62" s="10"/>
      <c r="D62" s="10"/>
      <c r="E62" s="10"/>
      <c r="F62" s="10"/>
      <c r="G62" s="10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76" ht="19.5" customHeight="1" x14ac:dyDescent="0.25">
      <c r="B63" s="10"/>
      <c r="C63" s="10"/>
      <c r="D63" s="10"/>
      <c r="E63" s="10"/>
      <c r="F63" s="10"/>
      <c r="G63" s="10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76" ht="19.5" customHeight="1" x14ac:dyDescent="0.25">
      <c r="B64" s="10"/>
      <c r="C64" s="10"/>
      <c r="D64" s="10"/>
      <c r="E64" s="10"/>
      <c r="F64" s="10"/>
      <c r="G64" s="10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spans="2:25" ht="19.5" customHeight="1" x14ac:dyDescent="0.25">
      <c r="B65" s="10"/>
      <c r="C65" s="10"/>
      <c r="D65" s="10"/>
      <c r="E65" s="10"/>
      <c r="F65" s="10"/>
      <c r="G65" s="10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</row>
    <row r="66" spans="2:25" ht="19.5" customHeight="1" x14ac:dyDescent="0.25">
      <c r="B66" s="10"/>
      <c r="C66" s="10"/>
      <c r="D66" s="10"/>
      <c r="E66" s="10"/>
      <c r="F66" s="10"/>
      <c r="G66" s="10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</row>
    <row r="67" spans="2:25" ht="19.5" customHeight="1" x14ac:dyDescent="0.25">
      <c r="B67" s="10"/>
      <c r="C67" s="10"/>
      <c r="D67" s="10"/>
      <c r="E67" s="10"/>
      <c r="F67" s="10"/>
      <c r="G67" s="10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</row>
    <row r="68" spans="2:25" ht="19.5" customHeight="1" x14ac:dyDescent="0.25">
      <c r="B68" s="10"/>
      <c r="C68" s="10"/>
      <c r="D68" s="10"/>
      <c r="E68" s="10"/>
      <c r="F68" s="10"/>
      <c r="G68" s="10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</row>
    <row r="69" spans="2:25" ht="19.5" customHeight="1" x14ac:dyDescent="0.25">
      <c r="B69" s="10"/>
      <c r="C69" s="10"/>
      <c r="D69" s="10"/>
      <c r="E69" s="10"/>
      <c r="F69" s="10"/>
      <c r="G69" s="10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</row>
    <row r="70" spans="2:25" ht="19.5" customHeight="1" x14ac:dyDescent="0.25">
      <c r="B70" s="10"/>
      <c r="C70" s="10"/>
      <c r="D70" s="10"/>
      <c r="E70" s="10"/>
      <c r="F70" s="10"/>
      <c r="G70" s="10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</row>
    <row r="71" spans="2:25" ht="19.5" customHeight="1" x14ac:dyDescent="0.25">
      <c r="B71" s="10"/>
      <c r="C71" s="10"/>
      <c r="D71" s="10"/>
      <c r="E71" s="10"/>
      <c r="F71" s="10"/>
      <c r="G71" s="10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</row>
    <row r="72" spans="2:25" ht="19.5" customHeight="1" x14ac:dyDescent="0.25">
      <c r="B72" s="10"/>
      <c r="C72" s="10"/>
      <c r="D72" s="10"/>
      <c r="E72" s="10"/>
      <c r="F72" s="10"/>
      <c r="G72" s="10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</row>
    <row r="73" spans="2:25" ht="19.5" customHeight="1" x14ac:dyDescent="0.25">
      <c r="B73" s="10"/>
      <c r="C73" s="10"/>
      <c r="D73" s="10"/>
      <c r="E73" s="10"/>
      <c r="F73" s="10"/>
      <c r="G73" s="10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</row>
    <row r="74" spans="2:25" ht="19.5" customHeight="1" x14ac:dyDescent="0.25">
      <c r="B74" s="10"/>
      <c r="C74" s="10"/>
      <c r="D74" s="10"/>
      <c r="E74" s="10"/>
      <c r="F74" s="10"/>
      <c r="G74" s="10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</row>
    <row r="75" spans="2:25" ht="19.5" customHeight="1" x14ac:dyDescent="0.25">
      <c r="B75" s="10"/>
      <c r="C75" s="10"/>
      <c r="D75" s="10"/>
      <c r="E75" s="10"/>
      <c r="F75" s="10"/>
      <c r="G75" s="10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</row>
    <row r="76" spans="2:25" ht="19.5" customHeight="1" x14ac:dyDescent="0.25">
      <c r="B76" s="10"/>
      <c r="C76" s="10"/>
      <c r="D76" s="10"/>
      <c r="E76" s="10"/>
      <c r="F76" s="10"/>
      <c r="G76" s="10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</row>
    <row r="77" spans="2:25" ht="19.5" customHeight="1" x14ac:dyDescent="0.25">
      <c r="B77" s="10"/>
      <c r="C77" s="10"/>
      <c r="D77" s="10"/>
      <c r="E77" s="10"/>
      <c r="F77" s="10"/>
      <c r="G77" s="10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</row>
    <row r="78" spans="2:25" ht="19.5" customHeight="1" x14ac:dyDescent="0.25">
      <c r="B78" s="10"/>
      <c r="C78" s="10"/>
      <c r="D78" s="10"/>
      <c r="E78" s="10"/>
      <c r="F78" s="10"/>
      <c r="G78" s="10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</row>
    <row r="79" spans="2:25" ht="19.5" customHeight="1" x14ac:dyDescent="0.25">
      <c r="B79" s="10"/>
      <c r="C79" s="10"/>
      <c r="D79" s="10"/>
      <c r="E79" s="10"/>
      <c r="F79" s="10"/>
      <c r="G79" s="10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</row>
    <row r="80" spans="2:25" ht="19.5" customHeight="1" x14ac:dyDescent="0.25">
      <c r="B80" s="10"/>
      <c r="C80" s="10"/>
      <c r="D80" s="10"/>
      <c r="E80" s="10"/>
      <c r="F80" s="10"/>
      <c r="G80" s="10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</row>
    <row r="81" spans="2:25" ht="19.5" customHeight="1" x14ac:dyDescent="0.25">
      <c r="B81" s="10"/>
      <c r="C81" s="10"/>
      <c r="D81" s="10"/>
      <c r="E81" s="10"/>
      <c r="F81" s="10"/>
      <c r="G81" s="10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</row>
    <row r="82" spans="2:25" ht="19.5" customHeight="1" x14ac:dyDescent="0.25">
      <c r="B82" s="10"/>
      <c r="C82" s="10"/>
      <c r="D82" s="10"/>
      <c r="E82" s="10"/>
      <c r="F82" s="10"/>
      <c r="G82" s="10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</row>
    <row r="83" spans="2:25" ht="15" customHeight="1" x14ac:dyDescent="0.25">
      <c r="B83" s="10"/>
      <c r="C83" s="10"/>
      <c r="D83" s="10"/>
      <c r="E83" s="10"/>
      <c r="F83" s="10"/>
      <c r="G83" s="10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</row>
    <row r="84" spans="2:25" ht="15" customHeight="1" x14ac:dyDescent="0.25">
      <c r="B84" s="10"/>
      <c r="C84" s="10"/>
      <c r="D84" s="10"/>
      <c r="E84" s="10"/>
      <c r="F84" s="10"/>
      <c r="G84" s="10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</row>
    <row r="85" spans="2:25" ht="15" customHeight="1" x14ac:dyDescent="0.25">
      <c r="B85" s="10"/>
      <c r="C85" s="10"/>
      <c r="D85" s="10"/>
      <c r="E85" s="10"/>
      <c r="F85" s="10"/>
      <c r="G85" s="10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</row>
    <row r="86" spans="2:25" ht="15" customHeight="1" x14ac:dyDescent="0.25">
      <c r="B86" s="10"/>
      <c r="C86" s="10"/>
      <c r="D86" s="10"/>
      <c r="E86" s="10"/>
      <c r="F86" s="10"/>
      <c r="G86" s="10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</row>
    <row r="87" spans="2:25" ht="15" customHeight="1" x14ac:dyDescent="0.25">
      <c r="B87" s="10"/>
      <c r="C87" s="10"/>
      <c r="D87" s="10"/>
      <c r="E87" s="10"/>
      <c r="F87" s="10"/>
      <c r="G87" s="10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</row>
    <row r="88" spans="2:25" ht="15" customHeight="1" x14ac:dyDescent="0.25">
      <c r="B88" s="10"/>
      <c r="C88" s="10"/>
      <c r="D88" s="10"/>
      <c r="E88" s="10"/>
      <c r="F88" s="10"/>
      <c r="G88" s="10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</row>
    <row r="89" spans="2:25" ht="15" customHeight="1" x14ac:dyDescent="0.25">
      <c r="B89" s="10"/>
      <c r="C89" s="10"/>
      <c r="D89" s="10"/>
      <c r="E89" s="10"/>
      <c r="F89" s="10"/>
      <c r="G89" s="10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</row>
    <row r="90" spans="2:25" ht="15" customHeight="1" x14ac:dyDescent="0.25">
      <c r="B90" s="10"/>
      <c r="C90" s="10"/>
      <c r="D90" s="10"/>
      <c r="E90" s="10"/>
      <c r="F90" s="10"/>
      <c r="G90" s="10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</row>
    <row r="91" spans="2:25" ht="15" customHeight="1" x14ac:dyDescent="0.25">
      <c r="B91" s="10"/>
      <c r="C91" s="10"/>
      <c r="D91" s="10"/>
      <c r="E91" s="10"/>
      <c r="F91" s="10"/>
      <c r="G91" s="10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</row>
    <row r="92" spans="2:25" ht="15" customHeight="1" x14ac:dyDescent="0.25">
      <c r="B92" s="10"/>
      <c r="C92" s="10"/>
      <c r="D92" s="10"/>
      <c r="E92" s="10"/>
      <c r="F92" s="10"/>
      <c r="G92" s="10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</row>
    <row r="93" spans="2:25" ht="15" customHeight="1" x14ac:dyDescent="0.25">
      <c r="B93" s="10"/>
      <c r="C93" s="10"/>
      <c r="D93" s="10"/>
      <c r="E93" s="10"/>
      <c r="F93" s="10"/>
      <c r="G93" s="10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</row>
    <row r="94" spans="2:25" ht="15" customHeight="1" x14ac:dyDescent="0.25">
      <c r="B94" s="10"/>
      <c r="C94" s="10"/>
      <c r="D94" s="10"/>
      <c r="E94" s="10"/>
      <c r="F94" s="10"/>
      <c r="G94" s="10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</row>
    <row r="95" spans="2:25" ht="15" customHeight="1" x14ac:dyDescent="0.25">
      <c r="B95" s="10"/>
      <c r="C95" s="10"/>
      <c r="D95" s="10"/>
      <c r="E95" s="10"/>
      <c r="F95" s="10"/>
      <c r="G95" s="10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</row>
    <row r="96" spans="2:25" ht="15" customHeight="1" x14ac:dyDescent="0.25">
      <c r="B96" s="10"/>
      <c r="C96" s="10"/>
      <c r="D96" s="10"/>
      <c r="E96" s="10"/>
      <c r="F96" s="10"/>
      <c r="G96" s="10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</row>
    <row r="97" spans="2:25" ht="15" customHeight="1" x14ac:dyDescent="0.25">
      <c r="B97" s="10"/>
      <c r="C97" s="10"/>
      <c r="D97" s="10"/>
      <c r="E97" s="10"/>
      <c r="F97" s="10"/>
      <c r="G97" s="10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</row>
    <row r="98" spans="2:25" ht="15" customHeight="1" x14ac:dyDescent="0.25">
      <c r="B98" s="10"/>
      <c r="C98" s="10"/>
      <c r="D98" s="10"/>
      <c r="E98" s="10"/>
      <c r="F98" s="10"/>
      <c r="G98" s="10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</row>
    <row r="99" spans="2:25" ht="15" customHeight="1" x14ac:dyDescent="0.25">
      <c r="B99" s="10"/>
      <c r="C99" s="10"/>
      <c r="D99" s="10"/>
      <c r="E99" s="10"/>
      <c r="F99" s="10"/>
      <c r="G99" s="10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</row>
    <row r="100" spans="2:25" ht="15" customHeight="1" x14ac:dyDescent="0.25">
      <c r="B100" s="10"/>
      <c r="C100" s="10"/>
      <c r="D100" s="10"/>
      <c r="E100" s="10"/>
      <c r="F100" s="10"/>
      <c r="G100" s="10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</row>
    <row r="101" spans="2:25" ht="15" customHeight="1" x14ac:dyDescent="0.25">
      <c r="B101" s="10"/>
      <c r="C101" s="10"/>
      <c r="D101" s="10"/>
      <c r="E101" s="10"/>
      <c r="F101" s="10"/>
      <c r="G101" s="10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</row>
    <row r="102" spans="2:25" ht="15" customHeight="1" x14ac:dyDescent="0.25">
      <c r="B102" s="10"/>
      <c r="C102" s="10"/>
      <c r="D102" s="10"/>
      <c r="E102" s="10"/>
      <c r="F102" s="10"/>
      <c r="G102" s="10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</row>
    <row r="103" spans="2:25" ht="15" customHeight="1" x14ac:dyDescent="0.25">
      <c r="B103" s="10"/>
      <c r="C103" s="10"/>
      <c r="D103" s="10"/>
      <c r="E103" s="10"/>
      <c r="F103" s="10"/>
      <c r="G103" s="10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</row>
    <row r="104" spans="2:25" ht="15" customHeight="1" x14ac:dyDescent="0.25">
      <c r="B104" s="10"/>
      <c r="C104" s="10"/>
      <c r="D104" s="10"/>
      <c r="E104" s="10"/>
      <c r="F104" s="10"/>
      <c r="G104" s="10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</row>
    <row r="105" spans="2:25" ht="15" customHeight="1" x14ac:dyDescent="0.25">
      <c r="B105" s="10"/>
      <c r="C105" s="10"/>
      <c r="D105" s="10"/>
      <c r="E105" s="10"/>
      <c r="F105" s="10"/>
      <c r="G105" s="10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</row>
    <row r="106" spans="2:25" ht="15" customHeight="1" x14ac:dyDescent="0.25">
      <c r="B106" s="10"/>
      <c r="C106" s="10"/>
      <c r="D106" s="10"/>
      <c r="E106" s="10"/>
      <c r="F106" s="10"/>
      <c r="G106" s="10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</row>
    <row r="107" spans="2:25" ht="15" customHeight="1" x14ac:dyDescent="0.25">
      <c r="B107" s="10"/>
      <c r="C107" s="10"/>
      <c r="D107" s="10"/>
      <c r="E107" s="10"/>
      <c r="F107" s="10"/>
      <c r="G107" s="10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</row>
    <row r="108" spans="2:25" ht="15" customHeight="1" x14ac:dyDescent="0.25">
      <c r="B108" s="10"/>
      <c r="C108" s="10"/>
      <c r="D108" s="10"/>
      <c r="E108" s="10"/>
      <c r="F108" s="10"/>
      <c r="G108" s="10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</row>
    <row r="109" spans="2:25" ht="15" customHeight="1" x14ac:dyDescent="0.25">
      <c r="B109" s="10"/>
      <c r="C109" s="10"/>
      <c r="D109" s="10"/>
      <c r="E109" s="10"/>
      <c r="F109" s="10"/>
      <c r="G109" s="10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</row>
    <row r="110" spans="2:25" ht="15" customHeight="1" x14ac:dyDescent="0.25">
      <c r="B110" s="10"/>
      <c r="C110" s="10"/>
      <c r="D110" s="10"/>
      <c r="E110" s="10"/>
      <c r="F110" s="10"/>
      <c r="G110" s="10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</row>
    <row r="111" spans="2:25" ht="15" customHeight="1" x14ac:dyDescent="0.25">
      <c r="B111" s="10"/>
      <c r="C111" s="10"/>
      <c r="D111" s="10"/>
      <c r="E111" s="10"/>
      <c r="F111" s="10"/>
      <c r="G111" s="10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</row>
    <row r="112" spans="2:25" ht="15" customHeight="1" x14ac:dyDescent="0.25">
      <c r="B112" s="10"/>
      <c r="C112" s="10"/>
      <c r="D112" s="10"/>
      <c r="E112" s="10"/>
      <c r="F112" s="10"/>
      <c r="G112" s="10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</row>
    <row r="113" spans="2:25" ht="15" customHeight="1" x14ac:dyDescent="0.25">
      <c r="B113" s="10"/>
      <c r="C113" s="10"/>
      <c r="D113" s="10"/>
      <c r="E113" s="10"/>
      <c r="F113" s="10"/>
      <c r="G113" s="10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</row>
    <row r="114" spans="2:25" ht="15" customHeight="1" x14ac:dyDescent="0.25">
      <c r="B114" s="10"/>
      <c r="C114" s="10"/>
      <c r="D114" s="10"/>
      <c r="E114" s="10"/>
      <c r="F114" s="10"/>
      <c r="G114" s="10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</row>
    <row r="115" spans="2:25" ht="15" customHeight="1" x14ac:dyDescent="0.25">
      <c r="B115" s="10"/>
      <c r="C115" s="10"/>
      <c r="D115" s="10"/>
      <c r="E115" s="10"/>
      <c r="F115" s="10"/>
      <c r="G115" s="10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</row>
    <row r="116" spans="2:25" ht="15" customHeight="1" x14ac:dyDescent="0.25">
      <c r="B116" s="10"/>
      <c r="C116" s="10"/>
      <c r="D116" s="10"/>
      <c r="E116" s="10"/>
      <c r="F116" s="10"/>
      <c r="G116" s="10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</row>
    <row r="117" spans="2:25" ht="15" customHeight="1" x14ac:dyDescent="0.25">
      <c r="B117" s="10"/>
      <c r="C117" s="10"/>
      <c r="D117" s="10"/>
      <c r="E117" s="10"/>
      <c r="F117" s="10"/>
      <c r="G117" s="10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</row>
    <row r="118" spans="2:25" ht="15" customHeight="1" x14ac:dyDescent="0.25">
      <c r="B118" s="10"/>
      <c r="C118" s="10"/>
      <c r="D118" s="10"/>
      <c r="E118" s="10"/>
      <c r="F118" s="10"/>
      <c r="G118" s="10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</row>
    <row r="119" spans="2:25" ht="15" customHeight="1" x14ac:dyDescent="0.25">
      <c r="B119" s="10"/>
      <c r="C119" s="10"/>
      <c r="D119" s="10"/>
      <c r="E119" s="10"/>
      <c r="F119" s="10"/>
      <c r="G119" s="10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</row>
    <row r="120" spans="2:25" ht="15" customHeight="1" x14ac:dyDescent="0.25">
      <c r="B120" s="10"/>
      <c r="C120" s="10"/>
      <c r="D120" s="10"/>
      <c r="E120" s="10"/>
      <c r="F120" s="10"/>
      <c r="G120" s="10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</row>
    <row r="121" spans="2:25" ht="15" customHeight="1" x14ac:dyDescent="0.25">
      <c r="B121" s="10"/>
      <c r="C121" s="10"/>
      <c r="D121" s="10"/>
      <c r="E121" s="10"/>
      <c r="F121" s="10"/>
      <c r="G121" s="10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</row>
    <row r="122" spans="2:25" ht="15" customHeight="1" x14ac:dyDescent="0.25">
      <c r="B122" s="10"/>
      <c r="C122" s="10"/>
      <c r="D122" s="10"/>
      <c r="E122" s="10"/>
      <c r="F122" s="10"/>
      <c r="G122" s="10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</row>
    <row r="123" spans="2:25" ht="15" customHeight="1" x14ac:dyDescent="0.25">
      <c r="B123" s="10"/>
      <c r="C123" s="10"/>
      <c r="D123" s="10"/>
      <c r="E123" s="10"/>
      <c r="F123" s="10"/>
      <c r="G123" s="10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</row>
    <row r="124" spans="2:25" ht="15" customHeight="1" x14ac:dyDescent="0.25">
      <c r="B124" s="10"/>
      <c r="C124" s="10"/>
      <c r="D124" s="10"/>
      <c r="E124" s="10"/>
      <c r="F124" s="10"/>
      <c r="G124" s="10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</row>
    <row r="125" spans="2:25" ht="15" customHeight="1" x14ac:dyDescent="0.25">
      <c r="B125" s="10"/>
      <c r="C125" s="10"/>
      <c r="D125" s="10"/>
      <c r="E125" s="10"/>
      <c r="F125" s="10"/>
      <c r="G125" s="10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</row>
    <row r="126" spans="2:25" ht="15" customHeight="1" x14ac:dyDescent="0.25">
      <c r="B126" s="10"/>
      <c r="C126" s="10"/>
      <c r="D126" s="10"/>
      <c r="E126" s="10"/>
      <c r="F126" s="10"/>
      <c r="G126" s="10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</row>
    <row r="127" spans="2:25" ht="15" customHeight="1" x14ac:dyDescent="0.25">
      <c r="B127" s="10"/>
      <c r="C127" s="10"/>
      <c r="D127" s="10"/>
      <c r="E127" s="10"/>
      <c r="F127" s="10"/>
      <c r="G127" s="10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</row>
    <row r="128" spans="2:25" ht="15" customHeight="1" x14ac:dyDescent="0.25">
      <c r="B128" s="10"/>
      <c r="C128" s="10"/>
      <c r="D128" s="10"/>
      <c r="E128" s="10"/>
      <c r="F128" s="10"/>
      <c r="G128" s="10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</row>
    <row r="129" spans="2:25" ht="15" customHeight="1" x14ac:dyDescent="0.25">
      <c r="B129" s="10"/>
      <c r="C129" s="10"/>
      <c r="D129" s="10"/>
      <c r="E129" s="10"/>
      <c r="F129" s="10"/>
      <c r="G129" s="10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</row>
    <row r="130" spans="2:25" ht="15" customHeight="1" x14ac:dyDescent="0.25">
      <c r="B130" s="10"/>
      <c r="C130" s="10"/>
      <c r="D130" s="10"/>
      <c r="E130" s="10"/>
      <c r="F130" s="10"/>
      <c r="G130" s="10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</row>
    <row r="131" spans="2:25" ht="15" customHeight="1" x14ac:dyDescent="0.25">
      <c r="B131" s="10"/>
      <c r="C131" s="10"/>
      <c r="D131" s="10"/>
      <c r="E131" s="10"/>
      <c r="F131" s="10"/>
      <c r="G131" s="10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</row>
    <row r="132" spans="2:25" ht="15" customHeight="1" x14ac:dyDescent="0.25">
      <c r="B132" s="10"/>
      <c r="C132" s="10"/>
      <c r="D132" s="10"/>
      <c r="E132" s="10"/>
      <c r="F132" s="10"/>
      <c r="G132" s="10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</row>
    <row r="133" spans="2:25" ht="15" customHeight="1" x14ac:dyDescent="0.25">
      <c r="B133" s="10"/>
      <c r="C133" s="10"/>
      <c r="D133" s="10"/>
      <c r="E133" s="10"/>
      <c r="F133" s="10"/>
      <c r="G133" s="10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</row>
    <row r="134" spans="2:25" ht="15" customHeight="1" x14ac:dyDescent="0.25">
      <c r="B134" s="10"/>
      <c r="C134" s="10"/>
      <c r="D134" s="10"/>
      <c r="E134" s="10"/>
      <c r="F134" s="10"/>
      <c r="G134" s="10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</row>
    <row r="135" spans="2:25" ht="15" customHeight="1" x14ac:dyDescent="0.25">
      <c r="B135" s="10"/>
      <c r="C135" s="10"/>
      <c r="D135" s="10"/>
      <c r="E135" s="10"/>
      <c r="F135" s="10"/>
      <c r="G135" s="10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</row>
    <row r="136" spans="2:25" ht="15" customHeight="1" x14ac:dyDescent="0.25">
      <c r="B136" s="10"/>
      <c r="C136" s="10"/>
      <c r="D136" s="10"/>
      <c r="E136" s="10"/>
      <c r="F136" s="10"/>
      <c r="G136" s="10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</row>
    <row r="137" spans="2:25" ht="15" customHeight="1" x14ac:dyDescent="0.25">
      <c r="B137" s="10"/>
      <c r="C137" s="10"/>
      <c r="D137" s="10"/>
      <c r="E137" s="10"/>
      <c r="F137" s="10"/>
      <c r="G137" s="10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</row>
    <row r="138" spans="2:25" ht="15" customHeight="1" x14ac:dyDescent="0.25">
      <c r="B138" s="10"/>
      <c r="C138" s="10"/>
      <c r="D138" s="10"/>
      <c r="E138" s="10"/>
      <c r="F138" s="10"/>
      <c r="G138" s="10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</row>
    <row r="139" spans="2:25" ht="15" customHeight="1" x14ac:dyDescent="0.25">
      <c r="B139" s="10"/>
      <c r="C139" s="10"/>
      <c r="D139" s="10"/>
      <c r="E139" s="10"/>
      <c r="F139" s="10"/>
      <c r="G139" s="10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</row>
    <row r="140" spans="2:25" ht="15" customHeight="1" x14ac:dyDescent="0.25">
      <c r="B140" s="10"/>
      <c r="C140" s="10"/>
      <c r="D140" s="10"/>
      <c r="E140" s="10"/>
      <c r="F140" s="10"/>
      <c r="G140" s="10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</row>
    <row r="141" spans="2:25" ht="15" customHeight="1" x14ac:dyDescent="0.25">
      <c r="B141" s="10"/>
      <c r="C141" s="10"/>
      <c r="D141" s="10"/>
      <c r="E141" s="10"/>
      <c r="F141" s="10"/>
      <c r="G141" s="10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</row>
    <row r="142" spans="2:25" ht="15" customHeight="1" x14ac:dyDescent="0.25">
      <c r="B142" s="10"/>
      <c r="C142" s="10"/>
      <c r="D142" s="10"/>
      <c r="E142" s="10"/>
      <c r="F142" s="10"/>
      <c r="G142" s="10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</row>
    <row r="143" spans="2:25" ht="15" customHeight="1" x14ac:dyDescent="0.25">
      <c r="B143" s="10"/>
      <c r="C143" s="10"/>
      <c r="D143" s="10"/>
      <c r="E143" s="10"/>
      <c r="F143" s="10"/>
      <c r="G143" s="10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</row>
  </sheetData>
  <mergeCells count="8">
    <mergeCell ref="D5:G5"/>
    <mergeCell ref="D6:G6"/>
    <mergeCell ref="D7:G7"/>
    <mergeCell ref="B8:G8"/>
    <mergeCell ref="B1:G1"/>
    <mergeCell ref="B2:G2"/>
    <mergeCell ref="D3:G3"/>
    <mergeCell ref="D4:G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A3677"/>
  </sheetPr>
  <dimension ref="A1:BG146"/>
  <sheetViews>
    <sheetView showGridLines="0" zoomScaleNormal="100" workbookViewId="0">
      <selection activeCell="B12" sqref="B12"/>
    </sheetView>
  </sheetViews>
  <sheetFormatPr baseColWidth="10" defaultColWidth="9.140625" defaultRowHeight="15" x14ac:dyDescent="0.25"/>
  <cols>
    <col min="1" max="1" width="14.140625" style="27" customWidth="1"/>
    <col min="2" max="2" width="12" style="26" customWidth="1"/>
    <col min="3" max="10" width="18" style="3" customWidth="1"/>
    <col min="11" max="15" width="18" style="27" customWidth="1"/>
    <col min="16" max="59" width="9.140625" style="29"/>
  </cols>
  <sheetData>
    <row r="1" spans="1:59" ht="30" customHeight="1" x14ac:dyDescent="0.25">
      <c r="A1" s="72"/>
      <c r="B1" s="25"/>
      <c r="C1" s="73" t="s">
        <v>17</v>
      </c>
      <c r="D1" s="73"/>
      <c r="E1" s="73"/>
      <c r="F1" s="73"/>
      <c r="G1" s="73"/>
      <c r="H1" s="73"/>
      <c r="I1" s="73"/>
      <c r="J1" s="73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</row>
    <row r="2" spans="1:59" ht="26.25" customHeight="1" x14ac:dyDescent="0.25">
      <c r="A2" s="72"/>
      <c r="B2" s="25"/>
      <c r="C2" s="74" t="s">
        <v>18</v>
      </c>
      <c r="D2" s="74"/>
      <c r="E2" s="74"/>
      <c r="F2" s="74"/>
      <c r="G2" s="74"/>
      <c r="H2" s="74"/>
      <c r="I2" s="74"/>
      <c r="J2" s="74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</row>
    <row r="3" spans="1:59" ht="19.5" customHeight="1" x14ac:dyDescent="0.25">
      <c r="A3" s="32"/>
      <c r="C3" s="71" t="s">
        <v>19</v>
      </c>
      <c r="D3" s="71"/>
      <c r="E3" s="71" t="s">
        <v>20</v>
      </c>
      <c r="F3" s="71"/>
      <c r="G3" s="71" t="s">
        <v>21</v>
      </c>
      <c r="H3" s="71"/>
      <c r="I3" s="71" t="s">
        <v>22</v>
      </c>
      <c r="J3" s="71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</row>
    <row r="4" spans="1:59" ht="19.5" customHeight="1" x14ac:dyDescent="0.25">
      <c r="A4" s="32"/>
      <c r="C4" s="70">
        <f>'Flujo de Caja'!N21</f>
        <v>2265420.1680672267</v>
      </c>
      <c r="D4" s="70"/>
      <c r="E4" s="70">
        <f>MIN('Flujo de Caja'!C21:N21)</f>
        <v>2265420.1680672267</v>
      </c>
      <c r="F4" s="70"/>
      <c r="G4" s="70">
        <f>SUM('Flujo de Caja'!C6:N6)</f>
        <v>1500000</v>
      </c>
      <c r="H4" s="70"/>
      <c r="I4" s="70">
        <f>SUM('Flujo de Caja'!C15:N15)</f>
        <v>8234579.8319327729</v>
      </c>
      <c r="J4" s="70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</row>
    <row r="5" spans="1:59" ht="19.5" customHeight="1" x14ac:dyDescent="0.25">
      <c r="A5" s="32"/>
      <c r="C5" s="71" t="s">
        <v>23</v>
      </c>
      <c r="D5" s="71"/>
      <c r="E5" s="71" t="s">
        <v>24</v>
      </c>
      <c r="F5" s="71"/>
      <c r="G5" s="71" t="s">
        <v>25</v>
      </c>
      <c r="H5" s="71"/>
      <c r="I5" s="71" t="s">
        <v>26</v>
      </c>
      <c r="J5" s="71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</row>
    <row r="6" spans="1:59" ht="19.5" customHeight="1" x14ac:dyDescent="0.25">
      <c r="A6" s="32"/>
      <c r="C6" s="69">
        <f>COUNTIF('Flujo de Caja'!C21:N21,"&lt;0")</f>
        <v>0</v>
      </c>
      <c r="D6" s="69"/>
      <c r="E6" s="69">
        <f>'Punto Equilibrio'!C8</f>
        <v>1.7000000000000002</v>
      </c>
      <c r="F6" s="69"/>
      <c r="G6" s="70">
        <f>'Inversion Inicial'!Q15</f>
        <v>7150000</v>
      </c>
      <c r="H6" s="70"/>
      <c r="I6" s="70">
        <f>'Punto Equilibrio'!C10</f>
        <v>20000</v>
      </c>
      <c r="J6" s="70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</row>
    <row r="7" spans="1:59" ht="19.5" customHeight="1" x14ac:dyDescent="0.25">
      <c r="A7" s="32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</row>
    <row r="8" spans="1:59" ht="19.5" customHeight="1" x14ac:dyDescent="0.25">
      <c r="A8" s="32"/>
      <c r="C8" s="11" t="s">
        <v>27</v>
      </c>
      <c r="D8" s="11" t="s">
        <v>28</v>
      </c>
      <c r="E8" s="11" t="s">
        <v>29</v>
      </c>
      <c r="F8" s="11" t="s">
        <v>30</v>
      </c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</row>
    <row r="9" spans="1:59" ht="19.5" customHeight="1" x14ac:dyDescent="0.25">
      <c r="A9" s="32"/>
      <c r="C9" s="33" t="s">
        <v>31</v>
      </c>
      <c r="D9" s="34">
        <f>'Flujo de Caja'!C$6</f>
        <v>1500000</v>
      </c>
      <c r="E9" s="34">
        <f>'Flujo de Caja'!C$15</f>
        <v>8115000</v>
      </c>
      <c r="F9" s="34">
        <f>'Flujo de Caja'!C$21</f>
        <v>2385000</v>
      </c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</row>
    <row r="10" spans="1:59" ht="19.5" customHeight="1" x14ac:dyDescent="0.25">
      <c r="A10" s="32"/>
      <c r="C10" s="33" t="s">
        <v>32</v>
      </c>
      <c r="D10" s="34">
        <f>'Flujo de Caja'!D$6</f>
        <v>0</v>
      </c>
      <c r="E10" s="34">
        <f>'Flujo de Caja'!D$15</f>
        <v>119579.83193277314</v>
      </c>
      <c r="F10" s="34">
        <f>'Flujo de Caja'!D$21</f>
        <v>2265420.1680672267</v>
      </c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</row>
    <row r="11" spans="1:59" ht="19.5" customHeight="1" x14ac:dyDescent="0.25">
      <c r="A11" s="32"/>
      <c r="C11" s="33" t="s">
        <v>33</v>
      </c>
      <c r="D11" s="34">
        <f>'Flujo de Caja'!E$6</f>
        <v>0</v>
      </c>
      <c r="E11" s="34">
        <f>'Flujo de Caja'!E$15</f>
        <v>0</v>
      </c>
      <c r="F11" s="34">
        <f>'Flujo de Caja'!E$21</f>
        <v>2265420.1680672267</v>
      </c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</row>
    <row r="12" spans="1:59" ht="19.5" customHeight="1" x14ac:dyDescent="0.25">
      <c r="A12" s="32"/>
      <c r="C12" s="33" t="s">
        <v>34</v>
      </c>
      <c r="D12" s="34">
        <f>'Flujo de Caja'!F$6</f>
        <v>0</v>
      </c>
      <c r="E12" s="34">
        <f>'Flujo de Caja'!F$15</f>
        <v>0</v>
      </c>
      <c r="F12" s="34">
        <f>'Flujo de Caja'!F$21</f>
        <v>2265420.1680672267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</row>
    <row r="13" spans="1:59" ht="19.5" customHeight="1" x14ac:dyDescent="0.25">
      <c r="A13" s="32"/>
      <c r="C13" s="33" t="s">
        <v>35</v>
      </c>
      <c r="D13" s="34">
        <f>'Flujo de Caja'!G$6</f>
        <v>0</v>
      </c>
      <c r="E13" s="34">
        <f>'Flujo de Caja'!G$15</f>
        <v>0</v>
      </c>
      <c r="F13" s="34">
        <f>'Flujo de Caja'!G$21</f>
        <v>2265420.1680672267</v>
      </c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</row>
    <row r="14" spans="1:59" ht="19.5" customHeight="1" x14ac:dyDescent="0.25">
      <c r="A14" s="32"/>
      <c r="C14" s="33" t="s">
        <v>36</v>
      </c>
      <c r="D14" s="34">
        <f>'Flujo de Caja'!H$6</f>
        <v>0</v>
      </c>
      <c r="E14" s="34">
        <f>'Flujo de Caja'!H$15</f>
        <v>0</v>
      </c>
      <c r="F14" s="34">
        <f>'Flujo de Caja'!H$21</f>
        <v>2265420.1680672267</v>
      </c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</row>
    <row r="15" spans="1:59" ht="19.5" customHeight="1" x14ac:dyDescent="0.25">
      <c r="A15" s="32"/>
      <c r="C15" s="33" t="s">
        <v>37</v>
      </c>
      <c r="D15" s="34">
        <f>'Flujo de Caja'!I$6</f>
        <v>0</v>
      </c>
      <c r="E15" s="34">
        <f>'Flujo de Caja'!I$15</f>
        <v>0</v>
      </c>
      <c r="F15" s="34">
        <f>'Flujo de Caja'!I$21</f>
        <v>2265420.1680672267</v>
      </c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</row>
    <row r="16" spans="1:59" ht="19.5" customHeight="1" x14ac:dyDescent="0.25">
      <c r="A16" s="32"/>
      <c r="C16" s="33" t="s">
        <v>38</v>
      </c>
      <c r="D16" s="34">
        <f>'Flujo de Caja'!J$6</f>
        <v>0</v>
      </c>
      <c r="E16" s="34">
        <f>'Flujo de Caja'!J$15</f>
        <v>0</v>
      </c>
      <c r="F16" s="34">
        <f>'Flujo de Caja'!J$21</f>
        <v>2265420.1680672267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</row>
    <row r="17" spans="1:59" ht="19.5" customHeight="1" x14ac:dyDescent="0.25">
      <c r="A17" s="32"/>
      <c r="C17" s="33" t="s">
        <v>39</v>
      </c>
      <c r="D17" s="34">
        <f>'Flujo de Caja'!K$6</f>
        <v>0</v>
      </c>
      <c r="E17" s="34">
        <f>'Flujo de Caja'!K$15</f>
        <v>0</v>
      </c>
      <c r="F17" s="34">
        <f>'Flujo de Caja'!K$21</f>
        <v>2265420.1680672267</v>
      </c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</row>
    <row r="18" spans="1:59" ht="19.5" customHeight="1" x14ac:dyDescent="0.25">
      <c r="A18" s="32"/>
      <c r="C18" s="33" t="s">
        <v>40</v>
      </c>
      <c r="D18" s="34">
        <f>'Flujo de Caja'!L$6</f>
        <v>0</v>
      </c>
      <c r="E18" s="34">
        <f>'Flujo de Caja'!L$15</f>
        <v>0</v>
      </c>
      <c r="F18" s="34">
        <f>'Flujo de Caja'!L$21</f>
        <v>2265420.1680672267</v>
      </c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</row>
    <row r="19" spans="1:59" ht="19.5" customHeight="1" x14ac:dyDescent="0.25">
      <c r="A19" s="32"/>
      <c r="C19" s="33" t="s">
        <v>41</v>
      </c>
      <c r="D19" s="34">
        <f>'Flujo de Caja'!M$6</f>
        <v>0</v>
      </c>
      <c r="E19" s="34">
        <f>'Flujo de Caja'!M$15</f>
        <v>0</v>
      </c>
      <c r="F19" s="34">
        <f>'Flujo de Caja'!M$21</f>
        <v>2265420.1680672267</v>
      </c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</row>
    <row r="20" spans="1:59" ht="19.5" customHeight="1" x14ac:dyDescent="0.25">
      <c r="A20" s="32"/>
      <c r="C20" s="33" t="s">
        <v>42</v>
      </c>
      <c r="D20" s="34">
        <f>'Flujo de Caja'!N$6</f>
        <v>0</v>
      </c>
      <c r="E20" s="34">
        <f>'Flujo de Caja'!N$15</f>
        <v>0</v>
      </c>
      <c r="F20" s="34">
        <f>'Flujo de Caja'!N$21</f>
        <v>2265420.1680672267</v>
      </c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</row>
    <row r="21" spans="1:59" ht="19.5" customHeight="1" x14ac:dyDescent="0.25">
      <c r="A21" s="32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</row>
    <row r="22" spans="1:59" ht="19.5" customHeight="1" x14ac:dyDescent="0.25">
      <c r="A22" s="32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</row>
    <row r="23" spans="1:59" ht="19.5" customHeight="1" x14ac:dyDescent="0.25">
      <c r="A23" s="32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</row>
    <row r="24" spans="1:59" ht="19.5" customHeight="1" x14ac:dyDescent="0.25">
      <c r="A24" s="32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</row>
    <row r="25" spans="1:59" ht="19.5" customHeight="1" x14ac:dyDescent="0.25">
      <c r="A25" s="32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</row>
    <row r="26" spans="1:59" ht="19.5" customHeight="1" x14ac:dyDescent="0.25">
      <c r="A26" s="32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</row>
    <row r="27" spans="1:59" ht="19.5" customHeight="1" x14ac:dyDescent="0.25">
      <c r="A27" s="32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</row>
    <row r="28" spans="1:59" ht="19.5" customHeight="1" x14ac:dyDescent="0.25">
      <c r="A28" s="32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</row>
    <row r="29" spans="1:59" ht="19.5" customHeight="1" x14ac:dyDescent="0.25">
      <c r="A29" s="32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</row>
    <row r="30" spans="1:59" ht="19.5" customHeight="1" x14ac:dyDescent="0.25">
      <c r="A30" s="32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</row>
    <row r="31" spans="1:59" ht="19.5" customHeight="1" x14ac:dyDescent="0.25">
      <c r="A31" s="32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</row>
    <row r="32" spans="1:59" ht="19.5" customHeight="1" x14ac:dyDescent="0.25">
      <c r="A32" s="32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</row>
    <row r="33" spans="1:58" ht="19.5" customHeight="1" x14ac:dyDescent="0.25">
      <c r="A33" s="32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</row>
    <row r="34" spans="1:58" ht="19.5" customHeight="1" x14ac:dyDescent="0.25">
      <c r="A34" s="32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</row>
    <row r="35" spans="1:58" ht="19.5" customHeight="1" x14ac:dyDescent="0.25">
      <c r="A35" s="32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</row>
    <row r="36" spans="1:58" ht="19.5" customHeight="1" x14ac:dyDescent="0.25">
      <c r="A36" s="32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</row>
    <row r="37" spans="1:58" ht="19.5" customHeight="1" x14ac:dyDescent="0.25">
      <c r="A37" s="32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</row>
    <row r="38" spans="1:58" ht="19.5" customHeight="1" x14ac:dyDescent="0.25">
      <c r="A38" s="32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</row>
    <row r="39" spans="1:58" ht="19.5" customHeight="1" x14ac:dyDescent="0.25">
      <c r="A39" s="32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</row>
    <row r="40" spans="1:58" ht="19.5" customHeight="1" x14ac:dyDescent="0.25">
      <c r="A40" s="32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</row>
    <row r="41" spans="1:58" ht="19.5" customHeight="1" x14ac:dyDescent="0.25">
      <c r="A41" s="32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</row>
    <row r="42" spans="1:58" ht="19.5" customHeight="1" x14ac:dyDescent="0.25">
      <c r="A42" s="32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</row>
    <row r="43" spans="1:58" ht="19.5" customHeight="1" x14ac:dyDescent="0.25">
      <c r="A43" s="32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</row>
    <row r="44" spans="1:58" ht="19.5" customHeight="1" x14ac:dyDescent="0.25">
      <c r="A44" s="32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</row>
    <row r="45" spans="1:58" ht="19.5" customHeight="1" x14ac:dyDescent="0.25">
      <c r="A45" s="32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</row>
    <row r="46" spans="1:58" ht="19.5" customHeight="1" x14ac:dyDescent="0.25">
      <c r="A46" s="32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</row>
    <row r="47" spans="1:58" ht="19.5" customHeight="1" x14ac:dyDescent="0.25">
      <c r="A47" s="32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</row>
    <row r="48" spans="1:58" ht="19.5" customHeight="1" x14ac:dyDescent="0.25">
      <c r="A48" s="32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</row>
    <row r="49" spans="1:58" ht="19.5" customHeight="1" x14ac:dyDescent="0.25">
      <c r="A49" s="32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</row>
    <row r="50" spans="1:58" ht="19.5" customHeight="1" x14ac:dyDescent="0.25">
      <c r="A50" s="32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</row>
    <row r="51" spans="1:58" ht="19.5" customHeight="1" x14ac:dyDescent="0.25">
      <c r="A51" s="32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</row>
    <row r="52" spans="1:58" ht="19.5" customHeight="1" x14ac:dyDescent="0.25">
      <c r="A52" s="32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</row>
    <row r="53" spans="1:58" ht="19.5" customHeight="1" x14ac:dyDescent="0.25">
      <c r="A53" s="32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</row>
    <row r="54" spans="1:58" ht="19.5" customHeight="1" x14ac:dyDescent="0.25">
      <c r="A54" s="32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</row>
    <row r="55" spans="1:58" ht="19.5" customHeight="1" x14ac:dyDescent="0.25">
      <c r="A55" s="32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</row>
    <row r="56" spans="1:58" ht="19.5" customHeight="1" x14ac:dyDescent="0.25">
      <c r="A56" s="32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</row>
    <row r="57" spans="1:58" ht="19.5" customHeight="1" x14ac:dyDescent="0.25">
      <c r="A57" s="32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</row>
    <row r="58" spans="1:58" ht="19.5" customHeight="1" x14ac:dyDescent="0.25">
      <c r="A58" s="32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</row>
    <row r="59" spans="1:58" ht="19.5" customHeight="1" x14ac:dyDescent="0.25">
      <c r="A59" s="32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</row>
    <row r="60" spans="1:58" ht="19.5" customHeight="1" x14ac:dyDescent="0.25">
      <c r="A60" s="32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</row>
    <row r="61" spans="1:58" ht="19.5" customHeight="1" x14ac:dyDescent="0.25">
      <c r="A61" s="32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</row>
    <row r="62" spans="1:58" ht="19.5" customHeight="1" x14ac:dyDescent="0.25">
      <c r="A62" s="32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</row>
    <row r="63" spans="1:58" ht="19.5" customHeight="1" x14ac:dyDescent="0.25">
      <c r="A63" s="32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</row>
    <row r="64" spans="1:58" ht="19.5" customHeight="1" x14ac:dyDescent="0.25">
      <c r="A64" s="32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</row>
    <row r="65" spans="1:58" ht="19.5" customHeight="1" x14ac:dyDescent="0.25">
      <c r="A65" s="32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</row>
    <row r="66" spans="1:58" ht="19.5" customHeight="1" x14ac:dyDescent="0.25">
      <c r="A66" s="32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</row>
    <row r="67" spans="1:58" ht="19.5" customHeight="1" x14ac:dyDescent="0.25">
      <c r="A67" s="32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</row>
    <row r="68" spans="1:58" ht="19.5" customHeight="1" x14ac:dyDescent="0.25">
      <c r="A68" s="32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</row>
    <row r="69" spans="1:58" ht="19.5" customHeight="1" x14ac:dyDescent="0.25">
      <c r="A69" s="32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</row>
    <row r="70" spans="1:58" ht="19.5" customHeight="1" x14ac:dyDescent="0.25">
      <c r="A70" s="32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</row>
    <row r="71" spans="1:58" ht="19.5" customHeight="1" x14ac:dyDescent="0.25">
      <c r="A71" s="32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</row>
    <row r="72" spans="1:58" ht="19.5" customHeight="1" x14ac:dyDescent="0.25">
      <c r="A72" s="32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</row>
    <row r="73" spans="1:58" ht="19.5" customHeight="1" x14ac:dyDescent="0.25">
      <c r="A73" s="32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</row>
    <row r="74" spans="1:58" ht="19.5" customHeight="1" x14ac:dyDescent="0.25">
      <c r="A74" s="32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</row>
    <row r="75" spans="1:58" ht="19.5" customHeight="1" x14ac:dyDescent="0.25">
      <c r="A75" s="32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</row>
    <row r="76" spans="1:58" ht="19.5" customHeight="1" x14ac:dyDescent="0.25">
      <c r="A76" s="32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</row>
    <row r="77" spans="1:58" ht="19.5" customHeight="1" x14ac:dyDescent="0.25">
      <c r="A77" s="32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</row>
    <row r="78" spans="1:58" ht="19.5" customHeight="1" x14ac:dyDescent="0.25">
      <c r="A78" s="32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</row>
    <row r="79" spans="1:58" ht="19.5" customHeight="1" x14ac:dyDescent="0.25">
      <c r="A79" s="32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spans="1:58" ht="19.5" customHeight="1" x14ac:dyDescent="0.25">
      <c r="A80" s="32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spans="1:26" ht="19.5" customHeight="1" x14ac:dyDescent="0.25">
      <c r="A81" s="32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spans="1:26" ht="19.5" customHeight="1" x14ac:dyDescent="0.25">
      <c r="A82" s="32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spans="1:26" ht="19.5" customHeight="1" x14ac:dyDescent="0.25">
      <c r="A83" s="32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spans="1:26" ht="19.5" customHeight="1" x14ac:dyDescent="0.25">
      <c r="A84" s="32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spans="1:26" ht="19.5" customHeight="1" x14ac:dyDescent="0.25">
      <c r="A85" s="32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spans="1:26" ht="15" customHeight="1" x14ac:dyDescent="0.25">
      <c r="A86" s="32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spans="1:26" ht="15" customHeight="1" x14ac:dyDescent="0.25">
      <c r="A87" s="32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spans="1:26" ht="15" customHeight="1" x14ac:dyDescent="0.25">
      <c r="A88" s="32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spans="1:26" ht="15" customHeight="1" x14ac:dyDescent="0.25">
      <c r="A89" s="32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spans="1:26" ht="15" customHeight="1" x14ac:dyDescent="0.25">
      <c r="A90" s="32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spans="1:26" ht="15" customHeight="1" x14ac:dyDescent="0.25">
      <c r="A91" s="32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spans="1:26" ht="15" customHeight="1" x14ac:dyDescent="0.25">
      <c r="A92" s="32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spans="1:26" ht="15" customHeight="1" x14ac:dyDescent="0.25">
      <c r="A93" s="32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spans="1:26" ht="15" customHeight="1" x14ac:dyDescent="0.25">
      <c r="A94" s="32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spans="1:26" ht="15" customHeight="1" x14ac:dyDescent="0.25">
      <c r="A95" s="32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spans="1:26" ht="15" customHeight="1" x14ac:dyDescent="0.25">
      <c r="A96" s="32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spans="1:26" ht="15" customHeight="1" x14ac:dyDescent="0.25">
      <c r="A97" s="32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spans="1:26" ht="15" customHeight="1" x14ac:dyDescent="0.25">
      <c r="A98" s="32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spans="1:26" ht="15" customHeight="1" x14ac:dyDescent="0.25">
      <c r="A99" s="32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spans="1:26" ht="15" customHeight="1" x14ac:dyDescent="0.25">
      <c r="A100" s="32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spans="1:26" ht="15" customHeight="1" x14ac:dyDescent="0.25">
      <c r="A101" s="32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spans="1:26" ht="15" customHeight="1" x14ac:dyDescent="0.25">
      <c r="A102" s="32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spans="1:26" ht="15" customHeight="1" x14ac:dyDescent="0.25">
      <c r="A103" s="32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spans="1:26" ht="15" customHeight="1" x14ac:dyDescent="0.25"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spans="1:26" ht="15" customHeight="1" x14ac:dyDescent="0.25"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spans="1:26" ht="15" customHeight="1" x14ac:dyDescent="0.25"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spans="1:26" ht="15" customHeight="1" x14ac:dyDescent="0.25"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spans="1:26" ht="15" customHeight="1" x14ac:dyDescent="0.25"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spans="1:26" ht="15" customHeight="1" x14ac:dyDescent="0.25"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spans="1:26" ht="15" customHeight="1" x14ac:dyDescent="0.25"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spans="1:26" ht="15" customHeight="1" x14ac:dyDescent="0.25"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spans="1:26" ht="15" customHeight="1" x14ac:dyDescent="0.25"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spans="3:26" ht="15" customHeight="1" x14ac:dyDescent="0.25"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spans="3:26" ht="15" customHeight="1" x14ac:dyDescent="0.25"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spans="3:26" ht="15" customHeight="1" x14ac:dyDescent="0.25"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spans="3:26" ht="15" customHeight="1" x14ac:dyDescent="0.25"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spans="3:26" ht="15" customHeight="1" x14ac:dyDescent="0.25"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spans="3:26" ht="15" customHeight="1" x14ac:dyDescent="0.25"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spans="3:26" ht="15" customHeight="1" x14ac:dyDescent="0.25"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spans="3:26" ht="15" customHeight="1" x14ac:dyDescent="0.25"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spans="3:26" ht="15" customHeight="1" x14ac:dyDescent="0.25"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spans="3:26" ht="15" customHeight="1" x14ac:dyDescent="0.25"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spans="3:26" ht="15" customHeight="1" x14ac:dyDescent="0.25"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spans="3:26" ht="15" customHeight="1" x14ac:dyDescent="0.25"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spans="3:26" ht="15" customHeight="1" x14ac:dyDescent="0.25"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spans="3:26" ht="15" customHeight="1" x14ac:dyDescent="0.25"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spans="3:26" ht="15" customHeight="1" x14ac:dyDescent="0.25"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spans="3:26" ht="15" customHeight="1" x14ac:dyDescent="0.25"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spans="3:26" ht="15" customHeight="1" x14ac:dyDescent="0.25"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spans="3:26" ht="15" customHeight="1" x14ac:dyDescent="0.25"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spans="3:26" ht="15" customHeight="1" x14ac:dyDescent="0.25"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spans="3:26" ht="15" customHeight="1" x14ac:dyDescent="0.25"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spans="3:26" ht="15" customHeight="1" x14ac:dyDescent="0.25"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spans="3:26" ht="15" customHeight="1" x14ac:dyDescent="0.25"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spans="3:26" ht="15" customHeight="1" x14ac:dyDescent="0.25"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spans="3:26" ht="15" customHeight="1" x14ac:dyDescent="0.25"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spans="3:26" ht="15" customHeight="1" x14ac:dyDescent="0.25"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spans="3:26" ht="15" customHeight="1" x14ac:dyDescent="0.25"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spans="3:26" ht="15" customHeight="1" x14ac:dyDescent="0.25"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spans="3:26" ht="15" customHeight="1" x14ac:dyDescent="0.25">
      <c r="C140" s="10"/>
      <c r="D140" s="10"/>
      <c r="E140" s="10"/>
      <c r="F140" s="10"/>
      <c r="G140" s="10"/>
      <c r="H140" s="10"/>
      <c r="I140" s="10"/>
      <c r="J140" s="10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spans="3:26" ht="15" customHeight="1" x14ac:dyDescent="0.25">
      <c r="C141" s="10"/>
      <c r="D141" s="10"/>
      <c r="E141" s="10"/>
      <c r="F141" s="10"/>
      <c r="G141" s="10"/>
      <c r="H141" s="10"/>
      <c r="I141" s="10"/>
      <c r="J141" s="10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spans="3:26" ht="15" customHeight="1" x14ac:dyDescent="0.25">
      <c r="C142" s="10"/>
      <c r="D142" s="10"/>
      <c r="E142" s="10"/>
      <c r="F142" s="10"/>
      <c r="G142" s="10"/>
      <c r="H142" s="10"/>
      <c r="I142" s="10"/>
      <c r="J142" s="10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spans="3:26" ht="15" customHeight="1" x14ac:dyDescent="0.25">
      <c r="C143" s="10"/>
      <c r="D143" s="10"/>
      <c r="E143" s="10"/>
      <c r="F143" s="10"/>
      <c r="G143" s="10"/>
      <c r="H143" s="10"/>
      <c r="I143" s="10"/>
      <c r="J143" s="10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spans="3:26" ht="15" customHeight="1" x14ac:dyDescent="0.25">
      <c r="C144" s="10"/>
      <c r="D144" s="10"/>
      <c r="E144" s="10"/>
      <c r="F144" s="10"/>
      <c r="G144" s="10"/>
      <c r="H144" s="10"/>
      <c r="I144" s="10"/>
      <c r="J144" s="10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spans="3:26" ht="15" customHeight="1" x14ac:dyDescent="0.25">
      <c r="C145" s="10"/>
      <c r="D145" s="10"/>
      <c r="E145" s="10"/>
      <c r="F145" s="10"/>
      <c r="G145" s="10"/>
      <c r="H145" s="10"/>
      <c r="I145" s="10"/>
      <c r="J145" s="10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spans="3:26" ht="15" customHeight="1" x14ac:dyDescent="0.25">
      <c r="C146" s="10"/>
      <c r="D146" s="10"/>
      <c r="E146" s="10"/>
      <c r="F146" s="10"/>
      <c r="G146" s="10"/>
      <c r="H146" s="10"/>
      <c r="I146" s="10"/>
      <c r="J146" s="10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</sheetData>
  <mergeCells count="19">
    <mergeCell ref="A1:A2"/>
    <mergeCell ref="C1:J1"/>
    <mergeCell ref="C2:J2"/>
    <mergeCell ref="C3:D3"/>
    <mergeCell ref="E3:F3"/>
    <mergeCell ref="G3:H3"/>
    <mergeCell ref="I3:J3"/>
    <mergeCell ref="C6:D6"/>
    <mergeCell ref="E6:F6"/>
    <mergeCell ref="G6:H6"/>
    <mergeCell ref="I6:J6"/>
    <mergeCell ref="C4:D4"/>
    <mergeCell ref="E4:F4"/>
    <mergeCell ref="G4:H4"/>
    <mergeCell ref="I4:J4"/>
    <mergeCell ref="C5:D5"/>
    <mergeCell ref="E5:F5"/>
    <mergeCell ref="G5:H5"/>
    <mergeCell ref="I5:J5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0A87D"/>
  </sheetPr>
  <dimension ref="A1:BI149"/>
  <sheetViews>
    <sheetView showGridLines="0" zoomScaleNormal="100" workbookViewId="0">
      <selection activeCell="D16" sqref="D16"/>
    </sheetView>
  </sheetViews>
  <sheetFormatPr baseColWidth="10" defaultColWidth="9.140625" defaultRowHeight="15" x14ac:dyDescent="0.25"/>
  <cols>
    <col min="1" max="1" width="14.28515625" style="27" customWidth="1"/>
    <col min="2" max="2" width="36" style="3" customWidth="1"/>
    <col min="3" max="3" width="22" style="3" customWidth="1"/>
    <col min="4" max="4" width="36" style="3" customWidth="1"/>
    <col min="5" max="7" width="18" style="27" customWidth="1"/>
    <col min="8" max="61" width="9.140625" style="29"/>
  </cols>
  <sheetData>
    <row r="1" spans="1:61" ht="30" customHeight="1" x14ac:dyDescent="0.25">
      <c r="A1" s="72"/>
      <c r="B1" s="73" t="s">
        <v>43</v>
      </c>
      <c r="C1" s="73"/>
      <c r="D1" s="73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</row>
    <row r="2" spans="1:61" ht="21.75" customHeight="1" x14ac:dyDescent="0.25">
      <c r="A2" s="72"/>
      <c r="B2" s="75" t="s">
        <v>44</v>
      </c>
      <c r="C2" s="75"/>
      <c r="D2" s="75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</row>
    <row r="3" spans="1:61" ht="19.5" customHeight="1" x14ac:dyDescent="0.25">
      <c r="A3" s="32"/>
      <c r="B3" s="12" t="s">
        <v>45</v>
      </c>
      <c r="C3" s="12" t="s">
        <v>46</v>
      </c>
      <c r="D3" s="12" t="s">
        <v>47</v>
      </c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</row>
    <row r="4" spans="1:61" ht="19.5" customHeight="1" x14ac:dyDescent="0.25">
      <c r="A4" s="32"/>
      <c r="B4" s="13" t="s">
        <v>48</v>
      </c>
      <c r="C4" s="35" t="s">
        <v>49</v>
      </c>
      <c r="D4" s="13" t="s">
        <v>50</v>
      </c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</row>
    <row r="5" spans="1:61" ht="19.5" customHeight="1" x14ac:dyDescent="0.25">
      <c r="A5" s="32"/>
      <c r="B5" s="13" t="s">
        <v>51</v>
      </c>
      <c r="C5" s="35" t="s">
        <v>52</v>
      </c>
      <c r="D5" s="13" t="s">
        <v>53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</row>
    <row r="6" spans="1:61" ht="19.5" customHeight="1" x14ac:dyDescent="0.25">
      <c r="A6" s="32"/>
      <c r="B6" s="13" t="s">
        <v>54</v>
      </c>
      <c r="C6" s="36">
        <v>2026</v>
      </c>
      <c r="D6" s="13" t="s">
        <v>55</v>
      </c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</row>
    <row r="7" spans="1:61" ht="33.75" customHeight="1" x14ac:dyDescent="0.25">
      <c r="A7" s="32"/>
      <c r="B7" s="13" t="s">
        <v>56</v>
      </c>
      <c r="C7" s="37">
        <v>0.19</v>
      </c>
      <c r="D7" s="13" t="s">
        <v>57</v>
      </c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</row>
    <row r="8" spans="1:61" ht="32.25" customHeight="1" x14ac:dyDescent="0.25">
      <c r="A8" s="32"/>
      <c r="B8" s="13" t="s">
        <v>58</v>
      </c>
      <c r="C8" s="37">
        <v>0.01</v>
      </c>
      <c r="D8" s="13" t="s">
        <v>59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</row>
    <row r="9" spans="1:61" ht="29.25" customHeight="1" x14ac:dyDescent="0.25">
      <c r="A9" s="32"/>
      <c r="B9" s="13" t="s">
        <v>60</v>
      </c>
      <c r="C9" s="36">
        <v>2</v>
      </c>
      <c r="D9" s="13" t="s">
        <v>61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</row>
    <row r="10" spans="1:61" ht="19.5" customHeight="1" x14ac:dyDescent="0.25">
      <c r="A10" s="32"/>
      <c r="B10" s="13" t="s">
        <v>62</v>
      </c>
      <c r="C10" s="38">
        <v>9000000</v>
      </c>
      <c r="D10" s="13" t="s">
        <v>63</v>
      </c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</row>
    <row r="11" spans="1:61" ht="19.5" customHeight="1" x14ac:dyDescent="0.25">
      <c r="A11" s="32"/>
      <c r="B11" s="13" t="s">
        <v>64</v>
      </c>
      <c r="C11" s="36">
        <v>20</v>
      </c>
      <c r="D11" s="13" t="s">
        <v>65</v>
      </c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</row>
    <row r="12" spans="1:61" ht="19.5" customHeight="1" x14ac:dyDescent="0.25">
      <c r="A12" s="32"/>
      <c r="B12" s="13" t="s">
        <v>66</v>
      </c>
      <c r="C12" s="37">
        <v>0.05</v>
      </c>
      <c r="D12" s="13" t="s">
        <v>67</v>
      </c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</row>
    <row r="13" spans="1:61" ht="30" customHeight="1" x14ac:dyDescent="0.25">
      <c r="A13" s="32"/>
      <c r="B13" s="13" t="s">
        <v>68</v>
      </c>
      <c r="C13" s="35" t="s">
        <v>69</v>
      </c>
      <c r="D13" s="13" t="s">
        <v>70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</row>
    <row r="14" spans="1:61" ht="19.5" customHeight="1" x14ac:dyDescent="0.25">
      <c r="A14" s="32"/>
      <c r="B14" s="28"/>
      <c r="C14" s="28"/>
      <c r="D14" s="28"/>
      <c r="E14" s="28"/>
      <c r="F14" s="28"/>
      <c r="G14" s="28"/>
      <c r="H14" s="28"/>
      <c r="I14" s="26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</row>
    <row r="15" spans="1:61" ht="19.5" customHeight="1" x14ac:dyDescent="0.25">
      <c r="A15" s="32"/>
      <c r="B15" s="28"/>
      <c r="C15" s="86" t="s">
        <v>221</v>
      </c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</row>
    <row r="16" spans="1:61" ht="19.5" customHeight="1" x14ac:dyDescent="0.25">
      <c r="A16" s="32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</row>
    <row r="17" spans="1:61" ht="19.5" customHeight="1" x14ac:dyDescent="0.25">
      <c r="A17" s="32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</row>
    <row r="18" spans="1:61" ht="19.5" customHeight="1" x14ac:dyDescent="0.25">
      <c r="A18" s="32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</row>
    <row r="19" spans="1:61" ht="19.5" customHeight="1" x14ac:dyDescent="0.25">
      <c r="A19" s="32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</row>
    <row r="20" spans="1:61" ht="19.5" customHeight="1" x14ac:dyDescent="0.25">
      <c r="A20" s="32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</row>
    <row r="21" spans="1:61" ht="19.5" customHeight="1" x14ac:dyDescent="0.25">
      <c r="A21" s="32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</row>
    <row r="22" spans="1:61" ht="19.5" customHeight="1" x14ac:dyDescent="0.25">
      <c r="A22" s="32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</row>
    <row r="23" spans="1:61" ht="19.5" customHeight="1" x14ac:dyDescent="0.25">
      <c r="A23" s="32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</row>
    <row r="24" spans="1:61" ht="19.5" customHeight="1" x14ac:dyDescent="0.25">
      <c r="A24" s="32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</row>
    <row r="25" spans="1:61" ht="19.5" customHeight="1" x14ac:dyDescent="0.25">
      <c r="A25" s="32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</row>
    <row r="26" spans="1:61" ht="19.5" customHeight="1" x14ac:dyDescent="0.25">
      <c r="A26" s="32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</row>
    <row r="27" spans="1:61" ht="19.5" customHeight="1" x14ac:dyDescent="0.25">
      <c r="A27" s="32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</row>
    <row r="28" spans="1:61" ht="19.5" customHeight="1" x14ac:dyDescent="0.25">
      <c r="A28" s="32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</row>
    <row r="29" spans="1:61" ht="19.5" customHeight="1" x14ac:dyDescent="0.25">
      <c r="A29" s="32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</row>
    <row r="30" spans="1:61" ht="19.5" customHeight="1" x14ac:dyDescent="0.25">
      <c r="A30" s="32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</row>
    <row r="31" spans="1:61" ht="19.5" customHeight="1" x14ac:dyDescent="0.25">
      <c r="A31" s="32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</row>
    <row r="32" spans="1:61" ht="19.5" customHeight="1" x14ac:dyDescent="0.25">
      <c r="A32" s="32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</row>
    <row r="33" spans="1:61" ht="19.5" customHeight="1" x14ac:dyDescent="0.25">
      <c r="A33" s="32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</row>
    <row r="34" spans="1:61" ht="19.5" customHeight="1" x14ac:dyDescent="0.25">
      <c r="A34" s="32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</row>
    <row r="35" spans="1:61" ht="19.5" customHeight="1" x14ac:dyDescent="0.25">
      <c r="A35" s="32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</row>
    <row r="36" spans="1:61" ht="19.5" customHeight="1" x14ac:dyDescent="0.25">
      <c r="A36" s="32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</row>
    <row r="37" spans="1:61" ht="19.5" customHeight="1" x14ac:dyDescent="0.25">
      <c r="A37" s="32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</row>
    <row r="38" spans="1:61" ht="19.5" customHeight="1" x14ac:dyDescent="0.25">
      <c r="A38" s="32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</row>
    <row r="39" spans="1:61" ht="19.5" customHeight="1" x14ac:dyDescent="0.25">
      <c r="A39" s="32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</row>
    <row r="40" spans="1:61" ht="19.5" customHeight="1" x14ac:dyDescent="0.25">
      <c r="A40" s="32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</row>
    <row r="41" spans="1:61" ht="19.5" customHeight="1" x14ac:dyDescent="0.25">
      <c r="A41" s="32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</row>
    <row r="42" spans="1:61" ht="19.5" customHeight="1" x14ac:dyDescent="0.25">
      <c r="A42" s="32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</row>
    <row r="43" spans="1:61" ht="19.5" customHeight="1" x14ac:dyDescent="0.25">
      <c r="A43" s="32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</row>
    <row r="44" spans="1:61" ht="19.5" customHeight="1" x14ac:dyDescent="0.25">
      <c r="A44" s="32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</row>
    <row r="45" spans="1:61" ht="19.5" customHeight="1" x14ac:dyDescent="0.25">
      <c r="A45" s="32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</row>
    <row r="46" spans="1:61" ht="19.5" customHeight="1" x14ac:dyDescent="0.25">
      <c r="A46" s="32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</row>
    <row r="47" spans="1:61" ht="19.5" customHeight="1" x14ac:dyDescent="0.25">
      <c r="A47" s="32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</row>
    <row r="48" spans="1:61" ht="19.5" customHeight="1" x14ac:dyDescent="0.25">
      <c r="A48" s="32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</row>
    <row r="49" spans="1:61" ht="19.5" customHeight="1" x14ac:dyDescent="0.25">
      <c r="A49" s="32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</row>
    <row r="50" spans="1:61" ht="19.5" customHeight="1" x14ac:dyDescent="0.25">
      <c r="A50" s="32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</row>
    <row r="51" spans="1:61" ht="19.5" customHeight="1" x14ac:dyDescent="0.25">
      <c r="A51" s="32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</row>
    <row r="52" spans="1:61" ht="19.5" customHeight="1" x14ac:dyDescent="0.25">
      <c r="A52" s="32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</row>
    <row r="53" spans="1:61" ht="19.5" customHeight="1" x14ac:dyDescent="0.25">
      <c r="A53" s="32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</row>
    <row r="54" spans="1:61" ht="19.5" customHeight="1" x14ac:dyDescent="0.25">
      <c r="A54" s="32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</row>
    <row r="55" spans="1:61" ht="19.5" customHeight="1" x14ac:dyDescent="0.25">
      <c r="A55" s="32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</row>
    <row r="56" spans="1:61" ht="19.5" customHeight="1" x14ac:dyDescent="0.25">
      <c r="A56" s="32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</row>
    <row r="57" spans="1:61" ht="19.5" customHeight="1" x14ac:dyDescent="0.25">
      <c r="A57" s="32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</row>
    <row r="58" spans="1:61" ht="19.5" customHeight="1" x14ac:dyDescent="0.25">
      <c r="A58" s="32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</row>
    <row r="59" spans="1:61" ht="19.5" customHeight="1" x14ac:dyDescent="0.25">
      <c r="A59" s="32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</row>
    <row r="60" spans="1:61" ht="19.5" customHeight="1" x14ac:dyDescent="0.25">
      <c r="A60" s="32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</row>
    <row r="61" spans="1:61" ht="19.5" customHeight="1" x14ac:dyDescent="0.25">
      <c r="A61" s="32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</row>
    <row r="62" spans="1:61" ht="19.5" customHeight="1" x14ac:dyDescent="0.25">
      <c r="A62" s="32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</row>
    <row r="63" spans="1:61" ht="19.5" customHeight="1" x14ac:dyDescent="0.25">
      <c r="A63" s="32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</row>
    <row r="64" spans="1:61" ht="19.5" customHeight="1" x14ac:dyDescent="0.25">
      <c r="A64" s="32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</row>
    <row r="65" spans="1:61" ht="19.5" customHeight="1" x14ac:dyDescent="0.25">
      <c r="A65" s="32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</row>
    <row r="66" spans="1:61" ht="19.5" customHeight="1" x14ac:dyDescent="0.25">
      <c r="A66" s="32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</row>
    <row r="67" spans="1:61" ht="19.5" customHeight="1" x14ac:dyDescent="0.25">
      <c r="A67" s="32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</row>
    <row r="68" spans="1:61" ht="19.5" customHeight="1" x14ac:dyDescent="0.25">
      <c r="A68" s="32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</row>
    <row r="69" spans="1:61" ht="19.5" customHeight="1" x14ac:dyDescent="0.25">
      <c r="A69" s="32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</row>
    <row r="70" spans="1:61" ht="19.5" customHeight="1" x14ac:dyDescent="0.25">
      <c r="A70" s="32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</row>
    <row r="71" spans="1:61" ht="19.5" customHeight="1" x14ac:dyDescent="0.25">
      <c r="A71" s="32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</row>
    <row r="72" spans="1:61" ht="19.5" customHeight="1" x14ac:dyDescent="0.25">
      <c r="A72" s="32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</row>
    <row r="73" spans="1:61" ht="19.5" customHeight="1" x14ac:dyDescent="0.25">
      <c r="A73" s="32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</row>
    <row r="74" spans="1:61" ht="19.5" customHeight="1" x14ac:dyDescent="0.25">
      <c r="A74" s="32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</row>
    <row r="75" spans="1:61" ht="19.5" customHeight="1" x14ac:dyDescent="0.25">
      <c r="A75" s="32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</row>
    <row r="76" spans="1:61" ht="19.5" customHeight="1" x14ac:dyDescent="0.25">
      <c r="A76" s="32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</row>
    <row r="77" spans="1:61" ht="19.5" customHeight="1" x14ac:dyDescent="0.25">
      <c r="A77" s="32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</row>
    <row r="78" spans="1:61" ht="19.5" customHeight="1" x14ac:dyDescent="0.25">
      <c r="A78" s="32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</row>
    <row r="79" spans="1:61" ht="19.5" customHeight="1" x14ac:dyDescent="0.25">
      <c r="A79" s="32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</row>
    <row r="80" spans="1:61" ht="19.5" customHeight="1" x14ac:dyDescent="0.25">
      <c r="A80" s="32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</row>
    <row r="81" spans="1:61" ht="19.5" customHeight="1" x14ac:dyDescent="0.25">
      <c r="A81" s="32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</row>
    <row r="82" spans="1:61" ht="19.5" customHeight="1" x14ac:dyDescent="0.25">
      <c r="A82" s="32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</row>
    <row r="83" spans="1:61" ht="19.5" customHeight="1" x14ac:dyDescent="0.25">
      <c r="A83" s="32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</row>
    <row r="84" spans="1:61" ht="19.5" customHeight="1" x14ac:dyDescent="0.25">
      <c r="A84" s="32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</row>
    <row r="85" spans="1:61" ht="19.5" customHeight="1" x14ac:dyDescent="0.25">
      <c r="A85" s="32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</row>
    <row r="86" spans="1:61" ht="19.5" customHeight="1" x14ac:dyDescent="0.25">
      <c r="A86" s="32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</row>
    <row r="87" spans="1:61" ht="19.5" customHeight="1" x14ac:dyDescent="0.25">
      <c r="A87" s="32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</row>
    <row r="88" spans="1:61" ht="15" customHeight="1" x14ac:dyDescent="0.25">
      <c r="A88" s="32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</row>
    <row r="89" spans="1:61" ht="15" customHeight="1" x14ac:dyDescent="0.25">
      <c r="A89" s="32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</row>
    <row r="90" spans="1:61" ht="15" customHeight="1" x14ac:dyDescent="0.25">
      <c r="A90" s="32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</row>
    <row r="91" spans="1:61" ht="15" customHeight="1" x14ac:dyDescent="0.25">
      <c r="A91" s="32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</row>
    <row r="92" spans="1:61" ht="15" customHeight="1" x14ac:dyDescent="0.25">
      <c r="A92" s="32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</row>
    <row r="93" spans="1:61" ht="15" customHeight="1" x14ac:dyDescent="0.25">
      <c r="A93" s="32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</row>
    <row r="94" spans="1:61" ht="15" customHeight="1" x14ac:dyDescent="0.25">
      <c r="A94" s="32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</row>
    <row r="95" spans="1:61" ht="15" customHeight="1" x14ac:dyDescent="0.25">
      <c r="A95" s="32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</row>
    <row r="96" spans="1:61" ht="15" customHeight="1" x14ac:dyDescent="0.25">
      <c r="A96" s="32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</row>
    <row r="97" spans="1:61" ht="15" customHeight="1" x14ac:dyDescent="0.25">
      <c r="A97" s="32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</row>
    <row r="98" spans="1:61" ht="15" customHeight="1" x14ac:dyDescent="0.25">
      <c r="A98" s="32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</row>
    <row r="99" spans="1:61" ht="15" customHeight="1" x14ac:dyDescent="0.25">
      <c r="A99" s="32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</row>
    <row r="100" spans="1:61" ht="15" customHeight="1" x14ac:dyDescent="0.25">
      <c r="A100" s="32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</row>
    <row r="101" spans="1:61" ht="15" customHeight="1" x14ac:dyDescent="0.25">
      <c r="A101" s="32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</row>
    <row r="102" spans="1:61" ht="15" customHeight="1" x14ac:dyDescent="0.25">
      <c r="A102" s="32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</row>
    <row r="103" spans="1:61" ht="15" customHeight="1" x14ac:dyDescent="0.25">
      <c r="A103" s="32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</row>
    <row r="104" spans="1:61" ht="15" customHeight="1" x14ac:dyDescent="0.25">
      <c r="A104" s="32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</row>
    <row r="105" spans="1:61" ht="15" customHeight="1" x14ac:dyDescent="0.25">
      <c r="A105" s="32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</row>
    <row r="106" spans="1:61" ht="15" customHeight="1" x14ac:dyDescent="0.25">
      <c r="A106" s="32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</row>
    <row r="107" spans="1:61" ht="15" customHeight="1" x14ac:dyDescent="0.25">
      <c r="A107" s="32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</row>
    <row r="108" spans="1:61" ht="15" customHeight="1" x14ac:dyDescent="0.25">
      <c r="A108" s="32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</row>
    <row r="109" spans="1:61" ht="15" customHeight="1" x14ac:dyDescent="0.25">
      <c r="A109" s="32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</row>
    <row r="110" spans="1:61" ht="15" customHeight="1" x14ac:dyDescent="0.25">
      <c r="A110" s="32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</row>
    <row r="111" spans="1:61" ht="15" customHeight="1" x14ac:dyDescent="0.25">
      <c r="A111" s="32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</row>
    <row r="112" spans="1:61" ht="15" customHeight="1" x14ac:dyDescent="0.25">
      <c r="A112" s="32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</row>
    <row r="113" spans="1:61" ht="15" customHeight="1" x14ac:dyDescent="0.25">
      <c r="A113" s="32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</row>
    <row r="114" spans="1:61" ht="15" customHeight="1" x14ac:dyDescent="0.25">
      <c r="A114" s="32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</row>
    <row r="115" spans="1:61" ht="15" customHeight="1" x14ac:dyDescent="0.25">
      <c r="A115" s="32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</row>
    <row r="116" spans="1:61" ht="15" customHeight="1" x14ac:dyDescent="0.25">
      <c r="A116" s="32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</row>
    <row r="117" spans="1:61" ht="15" customHeight="1" x14ac:dyDescent="0.25">
      <c r="A117" s="32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</row>
    <row r="118" spans="1:61" ht="15" customHeight="1" x14ac:dyDescent="0.25">
      <c r="A118" s="32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</row>
    <row r="119" spans="1:61" ht="15" customHeight="1" x14ac:dyDescent="0.25">
      <c r="A119" s="32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</row>
    <row r="120" spans="1:61" ht="15" customHeight="1" x14ac:dyDescent="0.25">
      <c r="A120" s="32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</row>
    <row r="121" spans="1:61" ht="15" customHeight="1" x14ac:dyDescent="0.25">
      <c r="A121" s="32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</row>
    <row r="122" spans="1:61" ht="15" customHeight="1" x14ac:dyDescent="0.25">
      <c r="A122" s="32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</row>
    <row r="123" spans="1:61" ht="15" customHeight="1" x14ac:dyDescent="0.25">
      <c r="A123" s="32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</row>
    <row r="124" spans="1:61" ht="15" customHeight="1" x14ac:dyDescent="0.25">
      <c r="A124" s="32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</row>
    <row r="125" spans="1:61" ht="15" customHeight="1" x14ac:dyDescent="0.25">
      <c r="A125" s="32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</row>
    <row r="126" spans="1:61" ht="15" customHeight="1" x14ac:dyDescent="0.25">
      <c r="A126" s="32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</row>
    <row r="127" spans="1:61" ht="15" customHeight="1" x14ac:dyDescent="0.25">
      <c r="A127" s="32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</row>
    <row r="128" spans="1:61" ht="15" customHeight="1" x14ac:dyDescent="0.25">
      <c r="A128" s="32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</row>
    <row r="129" spans="1:61" ht="15" customHeight="1" x14ac:dyDescent="0.25">
      <c r="A129" s="32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</row>
    <row r="130" spans="1:61" ht="15" customHeight="1" x14ac:dyDescent="0.25">
      <c r="A130" s="32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</row>
    <row r="131" spans="1:61" ht="15" customHeight="1" x14ac:dyDescent="0.25">
      <c r="A131" s="32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</row>
    <row r="132" spans="1:61" ht="15" customHeight="1" x14ac:dyDescent="0.25">
      <c r="A132" s="32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</row>
    <row r="133" spans="1:61" ht="15" customHeight="1" x14ac:dyDescent="0.25">
      <c r="A133" s="32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</row>
    <row r="134" spans="1:61" ht="15" customHeight="1" x14ac:dyDescent="0.25">
      <c r="A134" s="32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  <c r="BI134" s="26"/>
    </row>
    <row r="135" spans="1:61" ht="15" customHeight="1" x14ac:dyDescent="0.25">
      <c r="A135" s="32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  <c r="BI135" s="26"/>
    </row>
    <row r="136" spans="1:61" ht="15" customHeight="1" x14ac:dyDescent="0.25">
      <c r="A136" s="32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26"/>
    </row>
    <row r="137" spans="1:61" ht="15" customHeight="1" x14ac:dyDescent="0.25">
      <c r="A137" s="32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</row>
    <row r="138" spans="1:61" ht="15" customHeight="1" x14ac:dyDescent="0.25">
      <c r="A138" s="32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  <c r="BH138" s="26"/>
      <c r="BI138" s="26"/>
    </row>
    <row r="139" spans="1:61" ht="15" customHeight="1" x14ac:dyDescent="0.25">
      <c r="A139" s="32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</row>
    <row r="140" spans="1:61" ht="15" customHeight="1" x14ac:dyDescent="0.25">
      <c r="A140" s="32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  <c r="BH140" s="26"/>
      <c r="BI140" s="26"/>
    </row>
    <row r="141" spans="1:61" ht="15" customHeight="1" x14ac:dyDescent="0.25">
      <c r="A141" s="32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  <c r="BH141" s="26"/>
      <c r="BI141" s="26"/>
    </row>
    <row r="142" spans="1:61" ht="15" customHeight="1" x14ac:dyDescent="0.25">
      <c r="A142" s="32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26"/>
    </row>
    <row r="143" spans="1:61" ht="15" customHeight="1" x14ac:dyDescent="0.25">
      <c r="A143" s="32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</row>
    <row r="144" spans="1:61" ht="15" customHeight="1" x14ac:dyDescent="0.25">
      <c r="A144" s="32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</row>
    <row r="145" spans="1:61" ht="15" customHeight="1" x14ac:dyDescent="0.25">
      <c r="A145" s="32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  <c r="BH145" s="26"/>
      <c r="BI145" s="26"/>
    </row>
    <row r="146" spans="1:61" ht="15" customHeight="1" x14ac:dyDescent="0.25">
      <c r="A146" s="32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  <c r="BH146" s="26"/>
      <c r="BI146" s="26"/>
    </row>
    <row r="147" spans="1:61" ht="15" customHeight="1" x14ac:dyDescent="0.25">
      <c r="A147" s="32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  <c r="BH147" s="26"/>
      <c r="BI147" s="26"/>
    </row>
    <row r="148" spans="1:61" ht="15" customHeight="1" x14ac:dyDescent="0.25">
      <c r="A148" s="32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  <c r="BH148" s="26"/>
      <c r="BI148" s="26"/>
    </row>
    <row r="149" spans="1:61" ht="15" customHeight="1" x14ac:dyDescent="0.25">
      <c r="A149" s="32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  <c r="BH149" s="26"/>
      <c r="BI149" s="26"/>
    </row>
  </sheetData>
  <mergeCells count="3">
    <mergeCell ref="A1:A2"/>
    <mergeCell ref="B1:D1"/>
    <mergeCell ref="B2:D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287A5"/>
  </sheetPr>
  <dimension ref="A1:BT371"/>
  <sheetViews>
    <sheetView showGridLines="0" zoomScaleNormal="100" workbookViewId="0">
      <selection activeCell="C14" sqref="C14:D14"/>
    </sheetView>
  </sheetViews>
  <sheetFormatPr baseColWidth="10" defaultColWidth="9.140625" defaultRowHeight="15" x14ac:dyDescent="0.25"/>
  <cols>
    <col min="1" max="1" width="15.140625" style="32" customWidth="1"/>
    <col min="2" max="2" width="7.42578125" style="26" customWidth="1"/>
    <col min="3" max="3" width="24" style="3" customWidth="1"/>
    <col min="4" max="4" width="30" style="3" customWidth="1"/>
    <col min="5" max="17" width="13" style="3" customWidth="1"/>
    <col min="18" max="72" width="9.140625" style="29"/>
  </cols>
  <sheetData>
    <row r="1" spans="1:72" ht="36" customHeight="1" x14ac:dyDescent="0.25">
      <c r="A1" s="72"/>
      <c r="B1" s="25"/>
      <c r="C1" s="73" t="s">
        <v>71</v>
      </c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28"/>
      <c r="S1" s="28"/>
      <c r="T1" s="28"/>
      <c r="U1" s="28"/>
      <c r="V1" s="28"/>
      <c r="W1" s="28"/>
      <c r="X1" s="28"/>
      <c r="Y1" s="28"/>
      <c r="Z1" s="28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</row>
    <row r="2" spans="1:72" ht="27" customHeight="1" x14ac:dyDescent="0.25">
      <c r="A2" s="72"/>
      <c r="B2" s="25"/>
      <c r="C2" s="74" t="s">
        <v>72</v>
      </c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28"/>
      <c r="S2" s="28"/>
      <c r="T2" s="28"/>
      <c r="U2" s="28"/>
      <c r="V2" s="28"/>
      <c r="W2" s="28"/>
      <c r="X2" s="28"/>
      <c r="Y2" s="28"/>
      <c r="Z2" s="28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</row>
    <row r="3" spans="1:72" ht="19.5" customHeight="1" x14ac:dyDescent="0.25">
      <c r="C3" s="12" t="s">
        <v>73</v>
      </c>
      <c r="D3" s="12" t="s">
        <v>74</v>
      </c>
      <c r="E3" s="12" t="s">
        <v>31</v>
      </c>
      <c r="F3" s="12" t="s">
        <v>32</v>
      </c>
      <c r="G3" s="12" t="s">
        <v>33</v>
      </c>
      <c r="H3" s="12" t="s">
        <v>34</v>
      </c>
      <c r="I3" s="12" t="s">
        <v>35</v>
      </c>
      <c r="J3" s="12" t="s">
        <v>36</v>
      </c>
      <c r="K3" s="12" t="s">
        <v>37</v>
      </c>
      <c r="L3" s="12" t="s">
        <v>38</v>
      </c>
      <c r="M3" s="12" t="s">
        <v>39</v>
      </c>
      <c r="N3" s="12" t="s">
        <v>40</v>
      </c>
      <c r="O3" s="12" t="s">
        <v>41</v>
      </c>
      <c r="P3" s="12" t="s">
        <v>42</v>
      </c>
      <c r="Q3" s="12" t="s">
        <v>75</v>
      </c>
      <c r="R3" s="28"/>
      <c r="S3" s="28"/>
      <c r="T3" s="28"/>
      <c r="U3" s="28"/>
      <c r="V3" s="28"/>
      <c r="W3" s="28"/>
      <c r="X3" s="28"/>
      <c r="Y3" s="28"/>
      <c r="Z3" s="28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</row>
    <row r="4" spans="1:72" ht="19.5" customHeight="1" x14ac:dyDescent="0.25">
      <c r="C4" s="14" t="s">
        <v>76</v>
      </c>
      <c r="D4" s="40" t="s">
        <v>77</v>
      </c>
      <c r="E4" s="39">
        <v>850000</v>
      </c>
      <c r="F4" s="39">
        <v>0</v>
      </c>
      <c r="G4" s="39">
        <v>0</v>
      </c>
      <c r="H4" s="39">
        <v>0</v>
      </c>
      <c r="I4" s="39">
        <v>0</v>
      </c>
      <c r="J4" s="39">
        <v>0</v>
      </c>
      <c r="K4" s="39">
        <v>0</v>
      </c>
      <c r="L4" s="39">
        <v>0</v>
      </c>
      <c r="M4" s="39">
        <v>0</v>
      </c>
      <c r="N4" s="39">
        <v>0</v>
      </c>
      <c r="O4" s="39">
        <v>0</v>
      </c>
      <c r="P4" s="39">
        <v>0</v>
      </c>
      <c r="Q4" s="15">
        <f t="shared" ref="Q4:Q13" si="0">SUM(E4:P4)</f>
        <v>850000</v>
      </c>
      <c r="R4" s="28"/>
      <c r="S4" s="28"/>
      <c r="T4" s="28"/>
      <c r="U4" s="28"/>
      <c r="V4" s="28"/>
      <c r="W4" s="28"/>
      <c r="X4" s="28"/>
      <c r="Y4" s="28"/>
      <c r="Z4" s="28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</row>
    <row r="5" spans="1:72" ht="19.5" customHeight="1" x14ac:dyDescent="0.25">
      <c r="C5" s="14" t="s">
        <v>76</v>
      </c>
      <c r="D5" s="40" t="s">
        <v>78</v>
      </c>
      <c r="E5" s="39">
        <v>1200000</v>
      </c>
      <c r="F5" s="39">
        <v>0</v>
      </c>
      <c r="G5" s="39">
        <v>0</v>
      </c>
      <c r="H5" s="39">
        <v>0</v>
      </c>
      <c r="I5" s="39">
        <v>0</v>
      </c>
      <c r="J5" s="39">
        <v>0</v>
      </c>
      <c r="K5" s="39">
        <v>0</v>
      </c>
      <c r="L5" s="39">
        <v>0</v>
      </c>
      <c r="M5" s="39">
        <v>0</v>
      </c>
      <c r="N5" s="39">
        <v>0</v>
      </c>
      <c r="O5" s="39">
        <v>0</v>
      </c>
      <c r="P5" s="39">
        <v>0</v>
      </c>
      <c r="Q5" s="15">
        <f t="shared" si="0"/>
        <v>1200000</v>
      </c>
      <c r="R5" s="28"/>
      <c r="S5" s="28"/>
      <c r="T5" s="28"/>
      <c r="U5" s="28"/>
      <c r="V5" s="28"/>
      <c r="W5" s="28"/>
      <c r="X5" s="28"/>
      <c r="Y5" s="28"/>
      <c r="Z5" s="28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</row>
    <row r="6" spans="1:72" ht="19.5" customHeight="1" x14ac:dyDescent="0.25">
      <c r="C6" s="14" t="s">
        <v>79</v>
      </c>
      <c r="D6" s="40" t="s">
        <v>80</v>
      </c>
      <c r="E6" s="39">
        <v>650000</v>
      </c>
      <c r="F6" s="39">
        <v>0</v>
      </c>
      <c r="G6" s="39">
        <v>0</v>
      </c>
      <c r="H6" s="39">
        <v>0</v>
      </c>
      <c r="I6" s="39">
        <v>0</v>
      </c>
      <c r="J6" s="39">
        <v>0</v>
      </c>
      <c r="K6" s="39">
        <v>0</v>
      </c>
      <c r="L6" s="39">
        <v>0</v>
      </c>
      <c r="M6" s="39">
        <v>0</v>
      </c>
      <c r="N6" s="39">
        <v>0</v>
      </c>
      <c r="O6" s="39">
        <v>0</v>
      </c>
      <c r="P6" s="39">
        <v>0</v>
      </c>
      <c r="Q6" s="15">
        <f t="shared" si="0"/>
        <v>650000</v>
      </c>
      <c r="R6" s="28"/>
      <c r="S6" s="28"/>
      <c r="T6" s="28"/>
      <c r="U6" s="28"/>
      <c r="V6" s="28"/>
      <c r="W6" s="28"/>
      <c r="X6" s="28"/>
      <c r="Y6" s="28"/>
      <c r="Z6" s="28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</row>
    <row r="7" spans="1:72" ht="19.5" customHeight="1" x14ac:dyDescent="0.25">
      <c r="C7" s="14" t="s">
        <v>81</v>
      </c>
      <c r="D7" s="40" t="s">
        <v>82</v>
      </c>
      <c r="E7" s="39">
        <v>1800000</v>
      </c>
      <c r="F7" s="39">
        <v>0</v>
      </c>
      <c r="G7" s="39">
        <v>0</v>
      </c>
      <c r="H7" s="39">
        <v>0</v>
      </c>
      <c r="I7" s="39">
        <v>0</v>
      </c>
      <c r="J7" s="39">
        <v>0</v>
      </c>
      <c r="K7" s="39">
        <v>0</v>
      </c>
      <c r="L7" s="39">
        <v>0</v>
      </c>
      <c r="M7" s="39">
        <v>0</v>
      </c>
      <c r="N7" s="39">
        <v>0</v>
      </c>
      <c r="O7" s="39">
        <v>0</v>
      </c>
      <c r="P7" s="39">
        <v>0</v>
      </c>
      <c r="Q7" s="15">
        <f t="shared" si="0"/>
        <v>1800000</v>
      </c>
      <c r="R7" s="28"/>
      <c r="S7" s="28"/>
      <c r="T7" s="28"/>
      <c r="U7" s="28"/>
      <c r="V7" s="28"/>
      <c r="W7" s="28"/>
      <c r="X7" s="28"/>
      <c r="Y7" s="28"/>
      <c r="Z7" s="28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</row>
    <row r="8" spans="1:72" ht="19.5" customHeight="1" x14ac:dyDescent="0.25">
      <c r="C8" s="14" t="s">
        <v>81</v>
      </c>
      <c r="D8" s="40" t="s">
        <v>83</v>
      </c>
      <c r="E8" s="39">
        <v>500000</v>
      </c>
      <c r="F8" s="39">
        <v>0</v>
      </c>
      <c r="G8" s="39">
        <v>0</v>
      </c>
      <c r="H8" s="39">
        <v>0</v>
      </c>
      <c r="I8" s="39">
        <v>0</v>
      </c>
      <c r="J8" s="39">
        <v>0</v>
      </c>
      <c r="K8" s="39">
        <v>0</v>
      </c>
      <c r="L8" s="39">
        <v>0</v>
      </c>
      <c r="M8" s="39">
        <v>0</v>
      </c>
      <c r="N8" s="39">
        <v>0</v>
      </c>
      <c r="O8" s="39">
        <v>0</v>
      </c>
      <c r="P8" s="39">
        <v>0</v>
      </c>
      <c r="Q8" s="15">
        <f t="shared" si="0"/>
        <v>500000</v>
      </c>
      <c r="R8" s="28"/>
      <c r="S8" s="28"/>
      <c r="T8" s="28"/>
      <c r="U8" s="28"/>
      <c r="V8" s="28"/>
      <c r="W8" s="28"/>
      <c r="X8" s="28"/>
      <c r="Y8" s="28"/>
      <c r="Z8" s="28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</row>
    <row r="9" spans="1:72" ht="19.5" customHeight="1" x14ac:dyDescent="0.25">
      <c r="C9" s="14" t="s">
        <v>84</v>
      </c>
      <c r="D9" s="40" t="s">
        <v>85</v>
      </c>
      <c r="E9" s="39">
        <v>250000</v>
      </c>
      <c r="F9" s="39">
        <v>0</v>
      </c>
      <c r="G9" s="39">
        <v>0</v>
      </c>
      <c r="H9" s="39">
        <v>0</v>
      </c>
      <c r="I9" s="39">
        <v>0</v>
      </c>
      <c r="J9" s="39">
        <v>0</v>
      </c>
      <c r="K9" s="39">
        <v>0</v>
      </c>
      <c r="L9" s="39">
        <v>0</v>
      </c>
      <c r="M9" s="39">
        <v>0</v>
      </c>
      <c r="N9" s="39">
        <v>0</v>
      </c>
      <c r="O9" s="39">
        <v>0</v>
      </c>
      <c r="P9" s="39">
        <v>0</v>
      </c>
      <c r="Q9" s="15">
        <f t="shared" si="0"/>
        <v>250000</v>
      </c>
      <c r="R9" s="28"/>
      <c r="S9" s="28"/>
      <c r="T9" s="28"/>
      <c r="U9" s="28"/>
      <c r="V9" s="28"/>
      <c r="W9" s="28"/>
      <c r="X9" s="28"/>
      <c r="Y9" s="28"/>
      <c r="Z9" s="28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</row>
    <row r="10" spans="1:72" ht="19.5" customHeight="1" x14ac:dyDescent="0.25">
      <c r="C10" s="14" t="s">
        <v>84</v>
      </c>
      <c r="D10" s="40" t="s">
        <v>86</v>
      </c>
      <c r="E10" s="39">
        <v>300000</v>
      </c>
      <c r="F10" s="39">
        <v>0</v>
      </c>
      <c r="G10" s="39">
        <v>0</v>
      </c>
      <c r="H10" s="39">
        <v>0</v>
      </c>
      <c r="I10" s="39">
        <v>0</v>
      </c>
      <c r="J10" s="39">
        <v>0</v>
      </c>
      <c r="K10" s="39">
        <v>0</v>
      </c>
      <c r="L10" s="39">
        <v>0</v>
      </c>
      <c r="M10" s="39">
        <v>0</v>
      </c>
      <c r="N10" s="39">
        <v>0</v>
      </c>
      <c r="O10" s="39">
        <v>0</v>
      </c>
      <c r="P10" s="39">
        <v>0</v>
      </c>
      <c r="Q10" s="15">
        <f t="shared" si="0"/>
        <v>300000</v>
      </c>
      <c r="R10" s="28"/>
      <c r="S10" s="28"/>
      <c r="T10" s="28"/>
      <c r="U10" s="28"/>
      <c r="V10" s="28"/>
      <c r="W10" s="28"/>
      <c r="X10" s="28"/>
      <c r="Y10" s="28"/>
      <c r="Z10" s="28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</row>
    <row r="11" spans="1:72" ht="19.5" customHeight="1" x14ac:dyDescent="0.25">
      <c r="C11" s="14" t="s">
        <v>87</v>
      </c>
      <c r="D11" s="40" t="s">
        <v>88</v>
      </c>
      <c r="E11" s="39">
        <v>900000</v>
      </c>
      <c r="F11" s="39">
        <v>0</v>
      </c>
      <c r="G11" s="39">
        <v>0</v>
      </c>
      <c r="H11" s="39">
        <v>0</v>
      </c>
      <c r="I11" s="39">
        <v>0</v>
      </c>
      <c r="J11" s="39">
        <v>0</v>
      </c>
      <c r="K11" s="39">
        <v>0</v>
      </c>
      <c r="L11" s="39">
        <v>0</v>
      </c>
      <c r="M11" s="39">
        <v>0</v>
      </c>
      <c r="N11" s="39">
        <v>0</v>
      </c>
      <c r="O11" s="39">
        <v>0</v>
      </c>
      <c r="P11" s="39">
        <v>0</v>
      </c>
      <c r="Q11" s="15">
        <f t="shared" si="0"/>
        <v>900000</v>
      </c>
      <c r="R11" s="28"/>
      <c r="S11" s="28"/>
      <c r="T11" s="28"/>
      <c r="U11" s="28"/>
      <c r="V11" s="28"/>
      <c r="W11" s="28"/>
      <c r="X11" s="28"/>
      <c r="Y11" s="28"/>
      <c r="Z11" s="28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</row>
    <row r="12" spans="1:72" ht="27" customHeight="1" x14ac:dyDescent="0.25">
      <c r="C12" s="14" t="s">
        <v>89</v>
      </c>
      <c r="D12" s="40" t="s">
        <v>90</v>
      </c>
      <c r="E12" s="39">
        <v>400000</v>
      </c>
      <c r="F12" s="39">
        <v>0</v>
      </c>
      <c r="G12" s="39">
        <v>0</v>
      </c>
      <c r="H12" s="39">
        <v>0</v>
      </c>
      <c r="I12" s="39">
        <v>0</v>
      </c>
      <c r="J12" s="39">
        <v>0</v>
      </c>
      <c r="K12" s="39">
        <v>0</v>
      </c>
      <c r="L12" s="39">
        <v>0</v>
      </c>
      <c r="M12" s="39">
        <v>0</v>
      </c>
      <c r="N12" s="39">
        <v>0</v>
      </c>
      <c r="O12" s="39">
        <v>0</v>
      </c>
      <c r="P12" s="39">
        <v>0</v>
      </c>
      <c r="Q12" s="15">
        <f t="shared" si="0"/>
        <v>400000</v>
      </c>
      <c r="R12" s="28"/>
      <c r="S12" s="28"/>
      <c r="T12" s="28"/>
      <c r="U12" s="28"/>
      <c r="V12" s="28"/>
      <c r="W12" s="28"/>
      <c r="X12" s="28"/>
      <c r="Y12" s="28"/>
      <c r="Z12" s="28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</row>
    <row r="13" spans="1:72" ht="19.5" customHeight="1" x14ac:dyDescent="0.25">
      <c r="C13" s="14" t="s">
        <v>91</v>
      </c>
      <c r="D13" s="40" t="s">
        <v>92</v>
      </c>
      <c r="E13" s="39">
        <v>300000</v>
      </c>
      <c r="F13" s="39">
        <v>0</v>
      </c>
      <c r="G13" s="39">
        <v>0</v>
      </c>
      <c r="H13" s="39">
        <v>0</v>
      </c>
      <c r="I13" s="39">
        <v>0</v>
      </c>
      <c r="J13" s="39">
        <v>0</v>
      </c>
      <c r="K13" s="39">
        <v>0</v>
      </c>
      <c r="L13" s="39">
        <v>0</v>
      </c>
      <c r="M13" s="39">
        <v>0</v>
      </c>
      <c r="N13" s="39">
        <v>0</v>
      </c>
      <c r="O13" s="39">
        <v>0</v>
      </c>
      <c r="P13" s="39">
        <v>0</v>
      </c>
      <c r="Q13" s="15">
        <f t="shared" si="0"/>
        <v>300000</v>
      </c>
      <c r="R13" s="28"/>
      <c r="S13" s="28"/>
      <c r="T13" s="28"/>
      <c r="U13" s="28"/>
      <c r="V13" s="28"/>
      <c r="W13" s="28"/>
      <c r="X13" s="28"/>
      <c r="Y13" s="28"/>
      <c r="Z13" s="28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</row>
    <row r="14" spans="1:72" ht="19.5" customHeight="1" x14ac:dyDescent="0.25">
      <c r="C14" s="87" t="s">
        <v>222</v>
      </c>
      <c r="D14" s="87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</row>
    <row r="15" spans="1:72" ht="19.5" customHeight="1" x14ac:dyDescent="0.25">
      <c r="C15" s="76" t="s">
        <v>93</v>
      </c>
      <c r="D15" s="76"/>
      <c r="E15" s="16">
        <f t="shared" ref="E15:Q15" si="1">SUM(E4:E13)</f>
        <v>7150000</v>
      </c>
      <c r="F15" s="16">
        <f t="shared" si="1"/>
        <v>0</v>
      </c>
      <c r="G15" s="16">
        <f t="shared" si="1"/>
        <v>0</v>
      </c>
      <c r="H15" s="16">
        <f t="shared" si="1"/>
        <v>0</v>
      </c>
      <c r="I15" s="16">
        <f t="shared" si="1"/>
        <v>0</v>
      </c>
      <c r="J15" s="16">
        <f t="shared" si="1"/>
        <v>0</v>
      </c>
      <c r="K15" s="16">
        <f t="shared" si="1"/>
        <v>0</v>
      </c>
      <c r="L15" s="16">
        <f t="shared" si="1"/>
        <v>0</v>
      </c>
      <c r="M15" s="16">
        <f t="shared" si="1"/>
        <v>0</v>
      </c>
      <c r="N15" s="16">
        <f t="shared" si="1"/>
        <v>0</v>
      </c>
      <c r="O15" s="16">
        <f t="shared" si="1"/>
        <v>0</v>
      </c>
      <c r="P15" s="16">
        <f t="shared" si="1"/>
        <v>0</v>
      </c>
      <c r="Q15" s="16">
        <f t="shared" si="1"/>
        <v>7150000</v>
      </c>
      <c r="R15" s="28"/>
      <c r="S15" s="28"/>
      <c r="T15" s="28"/>
      <c r="U15" s="28"/>
      <c r="V15" s="28"/>
      <c r="W15" s="28"/>
      <c r="X15" s="28"/>
      <c r="Y15" s="28"/>
      <c r="Z15" s="28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</row>
    <row r="16" spans="1:72" ht="19.5" customHeight="1" x14ac:dyDescent="0.25"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</row>
    <row r="17" spans="3:72" ht="19.5" customHeight="1" x14ac:dyDescent="0.25"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</row>
    <row r="18" spans="3:72" ht="19.5" customHeight="1" x14ac:dyDescent="0.25"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</row>
    <row r="19" spans="3:72" ht="19.5" customHeight="1" x14ac:dyDescent="0.25"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</row>
    <row r="20" spans="3:72" ht="19.5" customHeight="1" x14ac:dyDescent="0.25"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</row>
    <row r="21" spans="3:72" ht="19.5" customHeight="1" x14ac:dyDescent="0.25"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</row>
    <row r="22" spans="3:72" ht="19.5" customHeight="1" x14ac:dyDescent="0.25"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</row>
    <row r="23" spans="3:72" ht="19.5" customHeight="1" x14ac:dyDescent="0.25"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</row>
    <row r="24" spans="3:72" ht="19.5" customHeight="1" x14ac:dyDescent="0.25"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</row>
    <row r="25" spans="3:72" ht="19.5" customHeight="1" x14ac:dyDescent="0.25"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</row>
    <row r="26" spans="3:72" ht="19.5" customHeight="1" x14ac:dyDescent="0.25"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</row>
    <row r="27" spans="3:72" ht="19.5" customHeight="1" x14ac:dyDescent="0.25"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</row>
    <row r="28" spans="3:72" ht="19.5" customHeight="1" x14ac:dyDescent="0.25"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</row>
    <row r="29" spans="3:72" ht="19.5" customHeight="1" x14ac:dyDescent="0.25"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</row>
    <row r="30" spans="3:72" ht="19.5" customHeight="1" x14ac:dyDescent="0.25"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</row>
    <row r="31" spans="3:72" ht="19.5" customHeight="1" x14ac:dyDescent="0.25"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</row>
    <row r="32" spans="3:72" ht="19.5" customHeight="1" x14ac:dyDescent="0.25"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</row>
    <row r="33" spans="3:72" ht="19.5" customHeight="1" x14ac:dyDescent="0.25"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</row>
    <row r="34" spans="3:72" ht="19.5" customHeight="1" x14ac:dyDescent="0.25"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</row>
    <row r="35" spans="3:72" ht="19.5" customHeight="1" x14ac:dyDescent="0.25"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</row>
    <row r="36" spans="3:72" ht="19.5" customHeight="1" x14ac:dyDescent="0.25"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</row>
    <row r="37" spans="3:72" ht="19.5" customHeight="1" x14ac:dyDescent="0.25"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</row>
    <row r="38" spans="3:72" ht="19.5" customHeight="1" x14ac:dyDescent="0.25"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</row>
    <row r="39" spans="3:72" ht="19.5" customHeight="1" x14ac:dyDescent="0.25"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</row>
    <row r="40" spans="3:72" ht="19.5" customHeight="1" x14ac:dyDescent="0.25"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</row>
    <row r="41" spans="3:72" ht="19.5" customHeight="1" x14ac:dyDescent="0.25"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</row>
    <row r="42" spans="3:72" ht="19.5" customHeight="1" x14ac:dyDescent="0.25"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</row>
    <row r="43" spans="3:72" ht="19.5" customHeight="1" x14ac:dyDescent="0.25"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</row>
    <row r="44" spans="3:72" ht="19.5" customHeight="1" x14ac:dyDescent="0.25"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</row>
    <row r="45" spans="3:72" ht="19.5" customHeight="1" x14ac:dyDescent="0.25"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</row>
    <row r="46" spans="3:72" ht="19.5" customHeight="1" x14ac:dyDescent="0.25"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</row>
    <row r="47" spans="3:72" ht="19.5" customHeight="1" x14ac:dyDescent="0.25"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</row>
    <row r="48" spans="3:72" ht="19.5" customHeight="1" x14ac:dyDescent="0.25"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</row>
    <row r="49" spans="3:72" ht="19.5" customHeight="1" x14ac:dyDescent="0.25"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</row>
    <row r="50" spans="3:72" ht="19.5" customHeight="1" x14ac:dyDescent="0.25"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</row>
    <row r="51" spans="3:72" ht="19.5" customHeight="1" x14ac:dyDescent="0.25"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</row>
    <row r="52" spans="3:72" ht="19.5" customHeight="1" x14ac:dyDescent="0.25"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</row>
    <row r="53" spans="3:72" ht="19.5" customHeight="1" x14ac:dyDescent="0.25"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</row>
    <row r="54" spans="3:72" ht="19.5" customHeight="1" x14ac:dyDescent="0.25"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</row>
    <row r="55" spans="3:72" ht="19.5" customHeight="1" x14ac:dyDescent="0.25"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</row>
    <row r="56" spans="3:72" ht="19.5" customHeight="1" x14ac:dyDescent="0.25"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</row>
    <row r="57" spans="3:72" ht="19.5" customHeight="1" x14ac:dyDescent="0.25"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</row>
    <row r="58" spans="3:72" ht="19.5" customHeight="1" x14ac:dyDescent="0.25"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</row>
    <row r="59" spans="3:72" ht="19.5" customHeight="1" x14ac:dyDescent="0.25"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</row>
    <row r="60" spans="3:72" ht="19.5" customHeight="1" x14ac:dyDescent="0.25"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</row>
    <row r="61" spans="3:72" ht="19.5" customHeight="1" x14ac:dyDescent="0.25"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</row>
    <row r="62" spans="3:72" ht="19.5" customHeight="1" x14ac:dyDescent="0.25"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</row>
    <row r="63" spans="3:72" ht="19.5" customHeight="1" x14ac:dyDescent="0.25"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</row>
    <row r="64" spans="3:72" ht="19.5" customHeight="1" x14ac:dyDescent="0.25"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/>
      <c r="BO64" s="26"/>
      <c r="BP64" s="26"/>
      <c r="BQ64" s="26"/>
      <c r="BR64" s="26"/>
      <c r="BS64" s="26"/>
      <c r="BT64" s="26"/>
    </row>
    <row r="65" spans="3:72" ht="19.5" customHeight="1" x14ac:dyDescent="0.25"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</row>
    <row r="66" spans="3:72" ht="19.5" customHeight="1" x14ac:dyDescent="0.25"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</row>
    <row r="67" spans="3:72" ht="19.5" customHeight="1" x14ac:dyDescent="0.25"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</row>
    <row r="68" spans="3:72" ht="19.5" customHeight="1" x14ac:dyDescent="0.25"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</row>
    <row r="69" spans="3:72" ht="19.5" customHeight="1" x14ac:dyDescent="0.25"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</row>
    <row r="70" spans="3:72" ht="19.5" customHeight="1" x14ac:dyDescent="0.25"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  <c r="BL70" s="26"/>
      <c r="BM70" s="26"/>
      <c r="BN70" s="26"/>
      <c r="BO70" s="26"/>
      <c r="BP70" s="26"/>
      <c r="BQ70" s="26"/>
      <c r="BR70" s="26"/>
      <c r="BS70" s="26"/>
      <c r="BT70" s="26"/>
    </row>
    <row r="71" spans="3:72" ht="19.5" customHeight="1" x14ac:dyDescent="0.25"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</row>
    <row r="72" spans="3:72" ht="19.5" customHeight="1" x14ac:dyDescent="0.25"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</row>
    <row r="73" spans="3:72" ht="19.5" customHeight="1" x14ac:dyDescent="0.25"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</row>
    <row r="74" spans="3:72" ht="19.5" customHeight="1" x14ac:dyDescent="0.25"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</row>
    <row r="75" spans="3:72" ht="19.5" customHeight="1" x14ac:dyDescent="0.25"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</row>
    <row r="76" spans="3:72" ht="19.5" customHeight="1" x14ac:dyDescent="0.25"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</row>
    <row r="77" spans="3:72" ht="19.5" customHeight="1" x14ac:dyDescent="0.25"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26"/>
      <c r="BM77" s="26"/>
      <c r="BN77" s="26"/>
      <c r="BO77" s="26"/>
      <c r="BP77" s="26"/>
      <c r="BQ77" s="26"/>
      <c r="BR77" s="26"/>
      <c r="BS77" s="26"/>
      <c r="BT77" s="26"/>
    </row>
    <row r="78" spans="3:72" ht="19.5" customHeight="1" x14ac:dyDescent="0.25"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  <c r="BL78" s="26"/>
      <c r="BM78" s="26"/>
      <c r="BN78" s="26"/>
      <c r="BO78" s="26"/>
      <c r="BP78" s="26"/>
      <c r="BQ78" s="26"/>
      <c r="BR78" s="26"/>
      <c r="BS78" s="26"/>
      <c r="BT78" s="26"/>
    </row>
    <row r="79" spans="3:72" ht="19.5" customHeight="1" x14ac:dyDescent="0.25"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</row>
    <row r="80" spans="3:72" ht="19.5" customHeight="1" x14ac:dyDescent="0.25"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</row>
    <row r="81" spans="3:72" ht="19.5" customHeight="1" x14ac:dyDescent="0.25"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</row>
    <row r="82" spans="3:72" ht="19.5" customHeight="1" x14ac:dyDescent="0.25"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</row>
    <row r="83" spans="3:72" ht="19.5" customHeight="1" x14ac:dyDescent="0.25"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</row>
    <row r="84" spans="3:72" ht="19.5" customHeight="1" x14ac:dyDescent="0.25"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26"/>
      <c r="BK84" s="26"/>
      <c r="BL84" s="26"/>
      <c r="BM84" s="26"/>
      <c r="BN84" s="26"/>
      <c r="BO84" s="26"/>
      <c r="BP84" s="26"/>
      <c r="BQ84" s="26"/>
      <c r="BR84" s="26"/>
      <c r="BS84" s="26"/>
      <c r="BT84" s="26"/>
    </row>
    <row r="85" spans="3:72" ht="19.5" customHeight="1" x14ac:dyDescent="0.25"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</row>
    <row r="86" spans="3:72" ht="19.5" customHeight="1" x14ac:dyDescent="0.25"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</row>
    <row r="87" spans="3:72" ht="19.5" customHeight="1" x14ac:dyDescent="0.25"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</row>
    <row r="88" spans="3:72" ht="19.5" customHeight="1" x14ac:dyDescent="0.25"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  <c r="BL88" s="26"/>
      <c r="BM88" s="26"/>
      <c r="BN88" s="26"/>
      <c r="BO88" s="26"/>
      <c r="BP88" s="26"/>
      <c r="BQ88" s="26"/>
      <c r="BR88" s="26"/>
      <c r="BS88" s="26"/>
      <c r="BT88" s="26"/>
    </row>
    <row r="89" spans="3:72" ht="15" customHeight="1" x14ac:dyDescent="0.25"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</row>
    <row r="90" spans="3:72" ht="15" customHeight="1" x14ac:dyDescent="0.25"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</row>
    <row r="91" spans="3:72" ht="15" customHeight="1" x14ac:dyDescent="0.25"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</row>
    <row r="92" spans="3:72" ht="15" customHeight="1" x14ac:dyDescent="0.25"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</row>
    <row r="93" spans="3:72" ht="15" customHeight="1" x14ac:dyDescent="0.25"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</row>
    <row r="94" spans="3:72" ht="15" customHeight="1" x14ac:dyDescent="0.25"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</row>
    <row r="95" spans="3:72" ht="15" customHeight="1" x14ac:dyDescent="0.25"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</row>
    <row r="96" spans="3:72" ht="15" customHeight="1" x14ac:dyDescent="0.25"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26"/>
      <c r="BK96" s="26"/>
      <c r="BL96" s="26"/>
      <c r="BM96" s="26"/>
      <c r="BN96" s="26"/>
      <c r="BO96" s="26"/>
      <c r="BP96" s="26"/>
      <c r="BQ96" s="26"/>
      <c r="BR96" s="26"/>
      <c r="BS96" s="26"/>
      <c r="BT96" s="26"/>
    </row>
    <row r="97" spans="3:72" ht="15" customHeight="1" x14ac:dyDescent="0.25"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</row>
    <row r="98" spans="3:72" ht="15" customHeight="1" x14ac:dyDescent="0.25"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</row>
    <row r="99" spans="3:72" ht="15" customHeight="1" x14ac:dyDescent="0.25"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</row>
    <row r="100" spans="3:72" ht="15" customHeight="1" x14ac:dyDescent="0.25"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</row>
    <row r="101" spans="3:72" ht="15" customHeight="1" x14ac:dyDescent="0.25"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</row>
    <row r="102" spans="3:72" ht="15" customHeight="1" x14ac:dyDescent="0.25"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</row>
    <row r="103" spans="3:72" ht="15" customHeight="1" x14ac:dyDescent="0.25"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</row>
    <row r="104" spans="3:72" ht="15" customHeight="1" x14ac:dyDescent="0.25"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</row>
    <row r="105" spans="3:72" ht="15" customHeight="1" x14ac:dyDescent="0.25"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</row>
    <row r="106" spans="3:72" ht="15" customHeight="1" x14ac:dyDescent="0.25"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</row>
    <row r="107" spans="3:72" ht="15" customHeight="1" x14ac:dyDescent="0.25"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</row>
    <row r="108" spans="3:72" ht="15" customHeight="1" x14ac:dyDescent="0.25"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  <c r="BS108" s="26"/>
      <c r="BT108" s="26"/>
    </row>
    <row r="109" spans="3:72" ht="15" customHeight="1" x14ac:dyDescent="0.25"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26"/>
      <c r="BO109" s="26"/>
      <c r="BP109" s="26"/>
      <c r="BQ109" s="26"/>
      <c r="BR109" s="26"/>
      <c r="BS109" s="26"/>
      <c r="BT109" s="26"/>
    </row>
    <row r="110" spans="3:72" ht="15" customHeight="1" x14ac:dyDescent="0.25"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</row>
    <row r="111" spans="3:72" ht="15" customHeight="1" x14ac:dyDescent="0.25"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</row>
    <row r="112" spans="3:72" ht="15" customHeight="1" x14ac:dyDescent="0.25"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</row>
    <row r="113" spans="3:72" ht="15" customHeight="1" x14ac:dyDescent="0.25"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</row>
    <row r="114" spans="3:72" ht="15" customHeight="1" x14ac:dyDescent="0.25"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</row>
    <row r="115" spans="3:72" ht="15" customHeight="1" x14ac:dyDescent="0.25"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  <c r="BK115" s="26"/>
      <c r="BL115" s="26"/>
      <c r="BM115" s="26"/>
      <c r="BN115" s="26"/>
      <c r="BO115" s="26"/>
      <c r="BP115" s="26"/>
      <c r="BQ115" s="26"/>
      <c r="BR115" s="26"/>
      <c r="BS115" s="26"/>
      <c r="BT115" s="26"/>
    </row>
    <row r="116" spans="3:72" ht="15" customHeight="1" x14ac:dyDescent="0.25"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26"/>
      <c r="BO116" s="26"/>
      <c r="BP116" s="26"/>
      <c r="BQ116" s="26"/>
      <c r="BR116" s="26"/>
      <c r="BS116" s="26"/>
      <c r="BT116" s="26"/>
    </row>
    <row r="117" spans="3:72" ht="15" customHeight="1" x14ac:dyDescent="0.25"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26"/>
      <c r="BK117" s="26"/>
      <c r="BL117" s="26"/>
      <c r="BM117" s="26"/>
      <c r="BN117" s="26"/>
      <c r="BO117" s="26"/>
      <c r="BP117" s="26"/>
      <c r="BQ117" s="26"/>
      <c r="BR117" s="26"/>
      <c r="BS117" s="26"/>
      <c r="BT117" s="26"/>
    </row>
    <row r="118" spans="3:72" ht="15" customHeight="1" x14ac:dyDescent="0.25"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  <c r="BL118" s="26"/>
      <c r="BM118" s="26"/>
      <c r="BN118" s="26"/>
      <c r="BO118" s="26"/>
      <c r="BP118" s="26"/>
      <c r="BQ118" s="26"/>
      <c r="BR118" s="26"/>
      <c r="BS118" s="26"/>
      <c r="BT118" s="26"/>
    </row>
    <row r="119" spans="3:72" ht="15" customHeight="1" x14ac:dyDescent="0.25"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26"/>
      <c r="BK119" s="26"/>
      <c r="BL119" s="26"/>
      <c r="BM119" s="26"/>
      <c r="BN119" s="26"/>
      <c r="BO119" s="26"/>
      <c r="BP119" s="26"/>
      <c r="BQ119" s="26"/>
      <c r="BR119" s="26"/>
      <c r="BS119" s="26"/>
      <c r="BT119" s="26"/>
    </row>
    <row r="120" spans="3:72" ht="15" customHeight="1" x14ac:dyDescent="0.25"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  <c r="BL120" s="26"/>
      <c r="BM120" s="26"/>
      <c r="BN120" s="26"/>
      <c r="BO120" s="26"/>
      <c r="BP120" s="26"/>
      <c r="BQ120" s="26"/>
      <c r="BR120" s="26"/>
      <c r="BS120" s="26"/>
      <c r="BT120" s="26"/>
    </row>
    <row r="121" spans="3:72" ht="15" customHeight="1" x14ac:dyDescent="0.25"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  <c r="BK121" s="26"/>
      <c r="BL121" s="26"/>
      <c r="BM121" s="26"/>
      <c r="BN121" s="26"/>
      <c r="BO121" s="26"/>
      <c r="BP121" s="26"/>
      <c r="BQ121" s="26"/>
      <c r="BR121" s="26"/>
      <c r="BS121" s="26"/>
      <c r="BT121" s="26"/>
    </row>
    <row r="122" spans="3:72" ht="15" customHeight="1" x14ac:dyDescent="0.25"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  <c r="BL122" s="26"/>
      <c r="BM122" s="26"/>
      <c r="BN122" s="26"/>
      <c r="BO122" s="26"/>
      <c r="BP122" s="26"/>
      <c r="BQ122" s="26"/>
      <c r="BR122" s="26"/>
      <c r="BS122" s="26"/>
      <c r="BT122" s="26"/>
    </row>
    <row r="123" spans="3:72" ht="15" customHeight="1" x14ac:dyDescent="0.25"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  <c r="BM123" s="26"/>
      <c r="BN123" s="26"/>
      <c r="BO123" s="26"/>
      <c r="BP123" s="26"/>
      <c r="BQ123" s="26"/>
      <c r="BR123" s="26"/>
      <c r="BS123" s="26"/>
      <c r="BT123" s="26"/>
    </row>
    <row r="124" spans="3:72" ht="15" customHeight="1" x14ac:dyDescent="0.25"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26"/>
      <c r="BK124" s="26"/>
      <c r="BL124" s="26"/>
      <c r="BM124" s="26"/>
      <c r="BN124" s="26"/>
      <c r="BO124" s="26"/>
      <c r="BP124" s="26"/>
      <c r="BQ124" s="26"/>
      <c r="BR124" s="26"/>
      <c r="BS124" s="26"/>
      <c r="BT124" s="26"/>
    </row>
    <row r="125" spans="3:72" ht="15" customHeight="1" x14ac:dyDescent="0.25"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26"/>
      <c r="BK125" s="26"/>
      <c r="BL125" s="26"/>
      <c r="BM125" s="26"/>
      <c r="BN125" s="26"/>
      <c r="BO125" s="26"/>
      <c r="BP125" s="26"/>
      <c r="BQ125" s="26"/>
      <c r="BR125" s="26"/>
      <c r="BS125" s="26"/>
      <c r="BT125" s="26"/>
    </row>
    <row r="126" spans="3:72" ht="15" customHeight="1" x14ac:dyDescent="0.25"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  <c r="BK126" s="26"/>
      <c r="BL126" s="26"/>
      <c r="BM126" s="26"/>
      <c r="BN126" s="26"/>
      <c r="BO126" s="26"/>
      <c r="BP126" s="26"/>
      <c r="BQ126" s="26"/>
      <c r="BR126" s="26"/>
      <c r="BS126" s="26"/>
      <c r="BT126" s="26"/>
    </row>
    <row r="127" spans="3:72" ht="15" customHeight="1" x14ac:dyDescent="0.25"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26"/>
      <c r="BK127" s="26"/>
      <c r="BL127" s="26"/>
      <c r="BM127" s="26"/>
      <c r="BN127" s="26"/>
      <c r="BO127" s="26"/>
      <c r="BP127" s="26"/>
      <c r="BQ127" s="26"/>
      <c r="BR127" s="26"/>
      <c r="BS127" s="26"/>
      <c r="BT127" s="26"/>
    </row>
    <row r="128" spans="3:72" ht="15" customHeight="1" x14ac:dyDescent="0.25"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26"/>
      <c r="BK128" s="26"/>
      <c r="BL128" s="26"/>
      <c r="BM128" s="26"/>
      <c r="BN128" s="26"/>
      <c r="BO128" s="26"/>
      <c r="BP128" s="26"/>
      <c r="BQ128" s="26"/>
      <c r="BR128" s="26"/>
      <c r="BS128" s="26"/>
      <c r="BT128" s="26"/>
    </row>
    <row r="129" spans="3:72" ht="15" customHeight="1" x14ac:dyDescent="0.25"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  <c r="BJ129" s="26"/>
      <c r="BK129" s="26"/>
      <c r="BL129" s="26"/>
      <c r="BM129" s="26"/>
      <c r="BN129" s="26"/>
      <c r="BO129" s="26"/>
      <c r="BP129" s="26"/>
      <c r="BQ129" s="26"/>
      <c r="BR129" s="26"/>
      <c r="BS129" s="26"/>
      <c r="BT129" s="26"/>
    </row>
    <row r="130" spans="3:72" ht="15" customHeight="1" x14ac:dyDescent="0.25"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  <c r="BL130" s="26"/>
      <c r="BM130" s="26"/>
      <c r="BN130" s="26"/>
      <c r="BO130" s="26"/>
      <c r="BP130" s="26"/>
      <c r="BQ130" s="26"/>
      <c r="BR130" s="26"/>
      <c r="BS130" s="26"/>
      <c r="BT130" s="26"/>
    </row>
    <row r="131" spans="3:72" ht="15" customHeight="1" x14ac:dyDescent="0.25"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  <c r="BJ131" s="26"/>
      <c r="BK131" s="26"/>
      <c r="BL131" s="26"/>
      <c r="BM131" s="26"/>
      <c r="BN131" s="26"/>
      <c r="BO131" s="26"/>
      <c r="BP131" s="26"/>
      <c r="BQ131" s="26"/>
      <c r="BR131" s="26"/>
      <c r="BS131" s="26"/>
      <c r="BT131" s="26"/>
    </row>
    <row r="132" spans="3:72" ht="15" customHeight="1" x14ac:dyDescent="0.25"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26"/>
      <c r="BK132" s="26"/>
      <c r="BL132" s="26"/>
      <c r="BM132" s="26"/>
      <c r="BN132" s="26"/>
      <c r="BO132" s="26"/>
      <c r="BP132" s="26"/>
      <c r="BQ132" s="26"/>
      <c r="BR132" s="26"/>
      <c r="BS132" s="26"/>
      <c r="BT132" s="26"/>
    </row>
    <row r="133" spans="3:72" ht="15" customHeight="1" x14ac:dyDescent="0.25"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26"/>
      <c r="BK133" s="26"/>
      <c r="BL133" s="26"/>
      <c r="BM133" s="26"/>
      <c r="BN133" s="26"/>
      <c r="BO133" s="26"/>
      <c r="BP133" s="26"/>
      <c r="BQ133" s="26"/>
      <c r="BR133" s="26"/>
      <c r="BS133" s="26"/>
      <c r="BT133" s="26"/>
    </row>
    <row r="134" spans="3:72" ht="15" customHeight="1" x14ac:dyDescent="0.25"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  <c r="BI134" s="26"/>
      <c r="BJ134" s="26"/>
      <c r="BK134" s="26"/>
      <c r="BL134" s="26"/>
      <c r="BM134" s="26"/>
      <c r="BN134" s="26"/>
      <c r="BO134" s="26"/>
      <c r="BP134" s="26"/>
      <c r="BQ134" s="26"/>
      <c r="BR134" s="26"/>
      <c r="BS134" s="26"/>
      <c r="BT134" s="26"/>
    </row>
    <row r="135" spans="3:72" ht="15" customHeight="1" x14ac:dyDescent="0.25"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  <c r="BI135" s="26"/>
      <c r="BJ135" s="26"/>
      <c r="BK135" s="26"/>
      <c r="BL135" s="26"/>
      <c r="BM135" s="26"/>
      <c r="BN135" s="26"/>
      <c r="BO135" s="26"/>
      <c r="BP135" s="26"/>
      <c r="BQ135" s="26"/>
      <c r="BR135" s="26"/>
      <c r="BS135" s="26"/>
      <c r="BT135" s="26"/>
    </row>
    <row r="136" spans="3:72" ht="15" customHeight="1" x14ac:dyDescent="0.25"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26"/>
      <c r="BJ136" s="26"/>
      <c r="BK136" s="26"/>
      <c r="BL136" s="26"/>
      <c r="BM136" s="26"/>
      <c r="BN136" s="26"/>
      <c r="BO136" s="26"/>
      <c r="BP136" s="26"/>
      <c r="BQ136" s="26"/>
      <c r="BR136" s="26"/>
      <c r="BS136" s="26"/>
      <c r="BT136" s="26"/>
    </row>
    <row r="137" spans="3:72" ht="15" customHeight="1" x14ac:dyDescent="0.25"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26"/>
      <c r="BK137" s="26"/>
      <c r="BL137" s="26"/>
      <c r="BM137" s="26"/>
      <c r="BN137" s="26"/>
      <c r="BO137" s="26"/>
      <c r="BP137" s="26"/>
      <c r="BQ137" s="26"/>
      <c r="BR137" s="26"/>
      <c r="BS137" s="26"/>
      <c r="BT137" s="26"/>
    </row>
    <row r="138" spans="3:72" ht="15" customHeight="1" x14ac:dyDescent="0.25"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  <c r="BH138" s="26"/>
      <c r="BI138" s="26"/>
      <c r="BJ138" s="26"/>
      <c r="BK138" s="26"/>
      <c r="BL138" s="26"/>
      <c r="BM138" s="26"/>
      <c r="BN138" s="26"/>
      <c r="BO138" s="26"/>
      <c r="BP138" s="26"/>
      <c r="BQ138" s="26"/>
      <c r="BR138" s="26"/>
      <c r="BS138" s="26"/>
      <c r="BT138" s="26"/>
    </row>
    <row r="139" spans="3:72" ht="15" customHeight="1" x14ac:dyDescent="0.25"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  <c r="BJ139" s="26"/>
      <c r="BK139" s="26"/>
      <c r="BL139" s="26"/>
      <c r="BM139" s="26"/>
      <c r="BN139" s="26"/>
      <c r="BO139" s="26"/>
      <c r="BP139" s="26"/>
      <c r="BQ139" s="26"/>
      <c r="BR139" s="26"/>
      <c r="BS139" s="26"/>
      <c r="BT139" s="26"/>
    </row>
    <row r="140" spans="3:72" ht="15" customHeight="1" x14ac:dyDescent="0.25"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  <c r="BH140" s="26"/>
      <c r="BI140" s="26"/>
      <c r="BJ140" s="26"/>
      <c r="BK140" s="26"/>
      <c r="BL140" s="26"/>
      <c r="BM140" s="26"/>
      <c r="BN140" s="26"/>
      <c r="BO140" s="26"/>
      <c r="BP140" s="26"/>
      <c r="BQ140" s="26"/>
      <c r="BR140" s="26"/>
      <c r="BS140" s="26"/>
      <c r="BT140" s="26"/>
    </row>
    <row r="141" spans="3:72" ht="15" customHeight="1" x14ac:dyDescent="0.25"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  <c r="BH141" s="26"/>
      <c r="BI141" s="26"/>
      <c r="BJ141" s="26"/>
      <c r="BK141" s="26"/>
      <c r="BL141" s="26"/>
      <c r="BM141" s="26"/>
      <c r="BN141" s="26"/>
      <c r="BO141" s="26"/>
      <c r="BP141" s="26"/>
      <c r="BQ141" s="26"/>
      <c r="BR141" s="26"/>
      <c r="BS141" s="26"/>
      <c r="BT141" s="26"/>
    </row>
    <row r="142" spans="3:72" ht="15" customHeight="1" x14ac:dyDescent="0.25"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26"/>
      <c r="BJ142" s="26"/>
      <c r="BK142" s="26"/>
      <c r="BL142" s="26"/>
      <c r="BM142" s="26"/>
      <c r="BN142" s="26"/>
      <c r="BO142" s="26"/>
      <c r="BP142" s="26"/>
      <c r="BQ142" s="26"/>
      <c r="BR142" s="26"/>
      <c r="BS142" s="26"/>
      <c r="BT142" s="26"/>
    </row>
    <row r="143" spans="3:72" ht="15" customHeight="1" x14ac:dyDescent="0.25"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  <c r="BM143" s="26"/>
      <c r="BN143" s="26"/>
      <c r="BO143" s="26"/>
      <c r="BP143" s="26"/>
      <c r="BQ143" s="26"/>
      <c r="BR143" s="26"/>
      <c r="BS143" s="26"/>
      <c r="BT143" s="26"/>
    </row>
    <row r="144" spans="3:72" ht="15" customHeight="1" x14ac:dyDescent="0.25"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26"/>
      <c r="BK144" s="26"/>
      <c r="BL144" s="26"/>
      <c r="BM144" s="26"/>
      <c r="BN144" s="26"/>
      <c r="BO144" s="26"/>
      <c r="BP144" s="26"/>
      <c r="BQ144" s="26"/>
      <c r="BR144" s="26"/>
      <c r="BS144" s="26"/>
      <c r="BT144" s="26"/>
    </row>
    <row r="145" spans="3:72" ht="15" customHeight="1" x14ac:dyDescent="0.25"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  <c r="BH145" s="26"/>
      <c r="BI145" s="26"/>
      <c r="BJ145" s="26"/>
      <c r="BK145" s="26"/>
      <c r="BL145" s="26"/>
      <c r="BM145" s="26"/>
      <c r="BN145" s="26"/>
      <c r="BO145" s="26"/>
      <c r="BP145" s="26"/>
      <c r="BQ145" s="26"/>
      <c r="BR145" s="26"/>
      <c r="BS145" s="26"/>
      <c r="BT145" s="26"/>
    </row>
    <row r="146" spans="3:72" ht="15" customHeight="1" x14ac:dyDescent="0.25"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  <c r="BH146" s="26"/>
      <c r="BI146" s="26"/>
      <c r="BJ146" s="26"/>
      <c r="BK146" s="26"/>
      <c r="BL146" s="26"/>
      <c r="BM146" s="26"/>
      <c r="BN146" s="26"/>
      <c r="BO146" s="26"/>
      <c r="BP146" s="26"/>
      <c r="BQ146" s="26"/>
      <c r="BR146" s="26"/>
      <c r="BS146" s="26"/>
      <c r="BT146" s="26"/>
    </row>
    <row r="147" spans="3:72" ht="15" customHeight="1" x14ac:dyDescent="0.25"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  <c r="BH147" s="26"/>
      <c r="BI147" s="26"/>
      <c r="BJ147" s="26"/>
      <c r="BK147" s="26"/>
      <c r="BL147" s="26"/>
      <c r="BM147" s="26"/>
      <c r="BN147" s="26"/>
      <c r="BO147" s="26"/>
      <c r="BP147" s="26"/>
      <c r="BQ147" s="26"/>
      <c r="BR147" s="26"/>
      <c r="BS147" s="26"/>
      <c r="BT147" s="26"/>
    </row>
    <row r="148" spans="3:72" ht="15" customHeight="1" x14ac:dyDescent="0.25"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  <c r="BH148" s="26"/>
      <c r="BI148" s="26"/>
      <c r="BJ148" s="26"/>
      <c r="BK148" s="26"/>
      <c r="BL148" s="26"/>
      <c r="BM148" s="26"/>
      <c r="BN148" s="26"/>
      <c r="BO148" s="26"/>
      <c r="BP148" s="26"/>
      <c r="BQ148" s="26"/>
      <c r="BR148" s="26"/>
      <c r="BS148" s="26"/>
      <c r="BT148" s="26"/>
    </row>
    <row r="149" spans="3:72" ht="15" customHeight="1" x14ac:dyDescent="0.25"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  <c r="BH149" s="26"/>
      <c r="BI149" s="26"/>
      <c r="BJ149" s="26"/>
      <c r="BK149" s="26"/>
      <c r="BL149" s="26"/>
      <c r="BM149" s="26"/>
      <c r="BN149" s="26"/>
      <c r="BO149" s="26"/>
      <c r="BP149" s="26"/>
      <c r="BQ149" s="26"/>
      <c r="BR149" s="26"/>
      <c r="BS149" s="26"/>
      <c r="BT149" s="26"/>
    </row>
    <row r="150" spans="3:72" ht="15" customHeight="1" x14ac:dyDescent="0.25"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26"/>
      <c r="BH150" s="26"/>
      <c r="BI150" s="26"/>
      <c r="BJ150" s="26"/>
      <c r="BK150" s="26"/>
      <c r="BL150" s="26"/>
      <c r="BM150" s="26"/>
      <c r="BN150" s="26"/>
      <c r="BO150" s="26"/>
      <c r="BP150" s="26"/>
      <c r="BQ150" s="26"/>
      <c r="BR150" s="26"/>
      <c r="BS150" s="26"/>
      <c r="BT150" s="26"/>
    </row>
    <row r="151" spans="3:72" ht="15" customHeight="1" x14ac:dyDescent="0.25"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26"/>
      <c r="BK151" s="26"/>
      <c r="BL151" s="26"/>
      <c r="BM151" s="26"/>
      <c r="BN151" s="26"/>
      <c r="BO151" s="26"/>
      <c r="BP151" s="26"/>
      <c r="BQ151" s="26"/>
      <c r="BR151" s="26"/>
      <c r="BS151" s="26"/>
      <c r="BT151" s="26"/>
    </row>
    <row r="152" spans="3:72" ht="15" customHeight="1" x14ac:dyDescent="0.25"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6"/>
      <c r="AV152" s="26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26"/>
      <c r="BH152" s="26"/>
      <c r="BI152" s="26"/>
      <c r="BJ152" s="26"/>
      <c r="BK152" s="26"/>
      <c r="BL152" s="26"/>
      <c r="BM152" s="26"/>
      <c r="BN152" s="26"/>
      <c r="BO152" s="26"/>
      <c r="BP152" s="26"/>
      <c r="BQ152" s="26"/>
      <c r="BR152" s="26"/>
      <c r="BS152" s="26"/>
      <c r="BT152" s="26"/>
    </row>
    <row r="153" spans="3:72" ht="15" customHeight="1" x14ac:dyDescent="0.25"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  <c r="BH153" s="26"/>
      <c r="BI153" s="26"/>
      <c r="BJ153" s="26"/>
      <c r="BK153" s="26"/>
      <c r="BL153" s="26"/>
      <c r="BM153" s="26"/>
      <c r="BN153" s="26"/>
      <c r="BO153" s="26"/>
      <c r="BP153" s="26"/>
      <c r="BQ153" s="26"/>
      <c r="BR153" s="26"/>
      <c r="BS153" s="26"/>
      <c r="BT153" s="26"/>
    </row>
    <row r="154" spans="3:72" ht="15" customHeight="1" x14ac:dyDescent="0.25"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  <c r="BH154" s="26"/>
      <c r="BI154" s="26"/>
      <c r="BJ154" s="26"/>
      <c r="BK154" s="26"/>
      <c r="BL154" s="26"/>
      <c r="BM154" s="26"/>
      <c r="BN154" s="26"/>
      <c r="BO154" s="26"/>
      <c r="BP154" s="26"/>
      <c r="BQ154" s="26"/>
      <c r="BR154" s="26"/>
      <c r="BS154" s="26"/>
      <c r="BT154" s="26"/>
    </row>
    <row r="155" spans="3:72" ht="15" customHeight="1" x14ac:dyDescent="0.25"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  <c r="BH155" s="26"/>
      <c r="BI155" s="26"/>
      <c r="BJ155" s="26"/>
      <c r="BK155" s="26"/>
      <c r="BL155" s="26"/>
      <c r="BM155" s="26"/>
      <c r="BN155" s="26"/>
      <c r="BO155" s="26"/>
      <c r="BP155" s="26"/>
      <c r="BQ155" s="26"/>
      <c r="BR155" s="26"/>
      <c r="BS155" s="26"/>
      <c r="BT155" s="26"/>
    </row>
    <row r="156" spans="3:72" ht="15" customHeight="1" x14ac:dyDescent="0.25"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  <c r="BH156" s="26"/>
      <c r="BI156" s="26"/>
      <c r="BJ156" s="26"/>
      <c r="BK156" s="26"/>
      <c r="BL156" s="26"/>
      <c r="BM156" s="26"/>
      <c r="BN156" s="26"/>
      <c r="BO156" s="26"/>
      <c r="BP156" s="26"/>
      <c r="BQ156" s="26"/>
      <c r="BR156" s="26"/>
      <c r="BS156" s="26"/>
      <c r="BT156" s="26"/>
    </row>
    <row r="157" spans="3:72" ht="15" customHeight="1" x14ac:dyDescent="0.25"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  <c r="BH157" s="26"/>
      <c r="BI157" s="26"/>
      <c r="BJ157" s="26"/>
      <c r="BK157" s="26"/>
      <c r="BL157" s="26"/>
      <c r="BM157" s="26"/>
      <c r="BN157" s="26"/>
      <c r="BO157" s="26"/>
      <c r="BP157" s="26"/>
      <c r="BQ157" s="26"/>
      <c r="BR157" s="26"/>
      <c r="BS157" s="26"/>
      <c r="BT157" s="26"/>
    </row>
    <row r="158" spans="3:72" ht="15" customHeight="1" x14ac:dyDescent="0.25"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  <c r="BJ158" s="26"/>
      <c r="BK158" s="26"/>
      <c r="BL158" s="26"/>
      <c r="BM158" s="26"/>
      <c r="BN158" s="26"/>
      <c r="BO158" s="26"/>
      <c r="BP158" s="26"/>
      <c r="BQ158" s="26"/>
      <c r="BR158" s="26"/>
      <c r="BS158" s="26"/>
      <c r="BT158" s="26"/>
    </row>
    <row r="159" spans="3:72" ht="15" customHeight="1" x14ac:dyDescent="0.25"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6"/>
      <c r="AV159" s="26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26"/>
      <c r="BH159" s="26"/>
      <c r="BI159" s="26"/>
      <c r="BJ159" s="26"/>
      <c r="BK159" s="26"/>
      <c r="BL159" s="26"/>
      <c r="BM159" s="26"/>
      <c r="BN159" s="26"/>
      <c r="BO159" s="26"/>
      <c r="BP159" s="26"/>
      <c r="BQ159" s="26"/>
      <c r="BR159" s="26"/>
      <c r="BS159" s="26"/>
      <c r="BT159" s="26"/>
    </row>
    <row r="160" spans="3:72" ht="15" customHeight="1" x14ac:dyDescent="0.25"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6"/>
      <c r="AX160" s="26"/>
      <c r="AY160" s="26"/>
      <c r="AZ160" s="26"/>
      <c r="BA160" s="26"/>
      <c r="BB160" s="26"/>
      <c r="BC160" s="26"/>
      <c r="BD160" s="26"/>
      <c r="BE160" s="26"/>
      <c r="BF160" s="26"/>
      <c r="BG160" s="26"/>
      <c r="BH160" s="26"/>
      <c r="BI160" s="26"/>
      <c r="BJ160" s="26"/>
      <c r="BK160" s="26"/>
      <c r="BL160" s="26"/>
      <c r="BM160" s="26"/>
      <c r="BN160" s="26"/>
      <c r="BO160" s="26"/>
      <c r="BP160" s="26"/>
      <c r="BQ160" s="26"/>
      <c r="BR160" s="26"/>
      <c r="BS160" s="26"/>
      <c r="BT160" s="26"/>
    </row>
    <row r="161" spans="3:72" ht="15" customHeight="1" x14ac:dyDescent="0.25"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26"/>
      <c r="BH161" s="26"/>
      <c r="BI161" s="26"/>
      <c r="BJ161" s="26"/>
      <c r="BK161" s="26"/>
      <c r="BL161" s="26"/>
      <c r="BM161" s="26"/>
      <c r="BN161" s="26"/>
      <c r="BO161" s="26"/>
      <c r="BP161" s="26"/>
      <c r="BQ161" s="26"/>
      <c r="BR161" s="26"/>
      <c r="BS161" s="26"/>
      <c r="BT161" s="26"/>
    </row>
    <row r="162" spans="3:72" ht="15" customHeight="1" x14ac:dyDescent="0.25"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  <c r="BH162" s="26"/>
      <c r="BI162" s="26"/>
      <c r="BJ162" s="26"/>
      <c r="BK162" s="26"/>
      <c r="BL162" s="26"/>
      <c r="BM162" s="26"/>
      <c r="BN162" s="26"/>
      <c r="BO162" s="26"/>
      <c r="BP162" s="26"/>
      <c r="BQ162" s="26"/>
      <c r="BR162" s="26"/>
      <c r="BS162" s="26"/>
      <c r="BT162" s="26"/>
    </row>
    <row r="163" spans="3:72" ht="15" customHeight="1" x14ac:dyDescent="0.25"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26"/>
      <c r="BH163" s="26"/>
      <c r="BI163" s="26"/>
      <c r="BJ163" s="26"/>
      <c r="BK163" s="26"/>
      <c r="BL163" s="26"/>
      <c r="BM163" s="26"/>
      <c r="BN163" s="26"/>
      <c r="BO163" s="26"/>
      <c r="BP163" s="26"/>
      <c r="BQ163" s="26"/>
      <c r="BR163" s="26"/>
      <c r="BS163" s="26"/>
      <c r="BT163" s="26"/>
    </row>
    <row r="164" spans="3:72" ht="15" customHeight="1" x14ac:dyDescent="0.25"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26"/>
      <c r="BH164" s="26"/>
      <c r="BI164" s="26"/>
      <c r="BJ164" s="26"/>
      <c r="BK164" s="26"/>
      <c r="BL164" s="26"/>
      <c r="BM164" s="26"/>
      <c r="BN164" s="26"/>
      <c r="BO164" s="26"/>
      <c r="BP164" s="26"/>
      <c r="BQ164" s="26"/>
      <c r="BR164" s="26"/>
      <c r="BS164" s="26"/>
      <c r="BT164" s="26"/>
    </row>
    <row r="165" spans="3:72" ht="15" customHeight="1" x14ac:dyDescent="0.25"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  <c r="BH165" s="26"/>
      <c r="BI165" s="26"/>
      <c r="BJ165" s="26"/>
      <c r="BK165" s="26"/>
      <c r="BL165" s="26"/>
      <c r="BM165" s="26"/>
      <c r="BN165" s="26"/>
      <c r="BO165" s="26"/>
      <c r="BP165" s="26"/>
      <c r="BQ165" s="26"/>
      <c r="BR165" s="26"/>
      <c r="BS165" s="26"/>
      <c r="BT165" s="26"/>
    </row>
    <row r="166" spans="3:72" ht="15" customHeight="1" x14ac:dyDescent="0.25"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26"/>
      <c r="AV166" s="26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G166" s="26"/>
      <c r="BH166" s="26"/>
      <c r="BI166" s="26"/>
      <c r="BJ166" s="26"/>
      <c r="BK166" s="26"/>
      <c r="BL166" s="26"/>
      <c r="BM166" s="26"/>
      <c r="BN166" s="26"/>
      <c r="BO166" s="26"/>
      <c r="BP166" s="26"/>
      <c r="BQ166" s="26"/>
      <c r="BR166" s="26"/>
      <c r="BS166" s="26"/>
      <c r="BT166" s="26"/>
    </row>
    <row r="167" spans="3:72" ht="15" customHeight="1" x14ac:dyDescent="0.25"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  <c r="AQ167" s="26"/>
      <c r="AR167" s="26"/>
      <c r="AS167" s="26"/>
      <c r="AT167" s="26"/>
      <c r="AU167" s="26"/>
      <c r="AV167" s="26"/>
      <c r="AW167" s="26"/>
      <c r="AX167" s="26"/>
      <c r="AY167" s="26"/>
      <c r="AZ167" s="26"/>
      <c r="BA167" s="26"/>
      <c r="BB167" s="26"/>
      <c r="BC167" s="26"/>
      <c r="BD167" s="26"/>
      <c r="BE167" s="26"/>
      <c r="BF167" s="26"/>
      <c r="BG167" s="26"/>
      <c r="BH167" s="26"/>
      <c r="BI167" s="26"/>
      <c r="BJ167" s="26"/>
      <c r="BK167" s="26"/>
      <c r="BL167" s="26"/>
      <c r="BM167" s="26"/>
      <c r="BN167" s="26"/>
      <c r="BO167" s="26"/>
      <c r="BP167" s="26"/>
      <c r="BQ167" s="26"/>
      <c r="BR167" s="26"/>
      <c r="BS167" s="26"/>
      <c r="BT167" s="26"/>
    </row>
    <row r="168" spans="3:72" ht="15" customHeight="1" x14ac:dyDescent="0.25"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26"/>
      <c r="AS168" s="26"/>
      <c r="AT168" s="26"/>
      <c r="AU168" s="26"/>
      <c r="AV168" s="26"/>
      <c r="AW168" s="26"/>
      <c r="AX168" s="26"/>
      <c r="AY168" s="26"/>
      <c r="AZ168" s="26"/>
      <c r="BA168" s="26"/>
      <c r="BB168" s="26"/>
      <c r="BC168" s="26"/>
      <c r="BD168" s="26"/>
      <c r="BE168" s="26"/>
      <c r="BF168" s="26"/>
      <c r="BG168" s="26"/>
      <c r="BH168" s="26"/>
      <c r="BI168" s="26"/>
      <c r="BJ168" s="26"/>
      <c r="BK168" s="26"/>
      <c r="BL168" s="26"/>
      <c r="BM168" s="26"/>
      <c r="BN168" s="26"/>
      <c r="BO168" s="26"/>
      <c r="BP168" s="26"/>
      <c r="BQ168" s="26"/>
      <c r="BR168" s="26"/>
      <c r="BS168" s="26"/>
      <c r="BT168" s="26"/>
    </row>
    <row r="169" spans="3:72" ht="15" customHeight="1" x14ac:dyDescent="0.25"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/>
      <c r="AV169" s="26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26"/>
      <c r="BH169" s="26"/>
      <c r="BI169" s="26"/>
      <c r="BJ169" s="26"/>
      <c r="BK169" s="26"/>
      <c r="BL169" s="26"/>
      <c r="BM169" s="26"/>
      <c r="BN169" s="26"/>
      <c r="BO169" s="26"/>
      <c r="BP169" s="26"/>
      <c r="BQ169" s="26"/>
      <c r="BR169" s="26"/>
      <c r="BS169" s="26"/>
      <c r="BT169" s="26"/>
    </row>
    <row r="170" spans="3:72" ht="15" customHeight="1" x14ac:dyDescent="0.25"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/>
      <c r="AV170" s="26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26"/>
      <c r="BH170" s="26"/>
      <c r="BI170" s="26"/>
      <c r="BJ170" s="26"/>
      <c r="BK170" s="26"/>
      <c r="BL170" s="26"/>
      <c r="BM170" s="26"/>
      <c r="BN170" s="26"/>
      <c r="BO170" s="26"/>
      <c r="BP170" s="26"/>
      <c r="BQ170" s="26"/>
      <c r="BR170" s="26"/>
      <c r="BS170" s="26"/>
      <c r="BT170" s="26"/>
    </row>
    <row r="171" spans="3:72" ht="15" customHeight="1" x14ac:dyDescent="0.25"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  <c r="AU171" s="26"/>
      <c r="AV171" s="26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26"/>
      <c r="BH171" s="26"/>
      <c r="BI171" s="26"/>
      <c r="BJ171" s="26"/>
      <c r="BK171" s="26"/>
      <c r="BL171" s="26"/>
      <c r="BM171" s="26"/>
      <c r="BN171" s="26"/>
      <c r="BO171" s="26"/>
      <c r="BP171" s="26"/>
      <c r="BQ171" s="26"/>
      <c r="BR171" s="26"/>
      <c r="BS171" s="26"/>
      <c r="BT171" s="26"/>
    </row>
    <row r="172" spans="3:72" ht="15" customHeight="1" x14ac:dyDescent="0.25"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  <c r="BH172" s="26"/>
      <c r="BI172" s="26"/>
      <c r="BJ172" s="26"/>
      <c r="BK172" s="26"/>
      <c r="BL172" s="26"/>
      <c r="BM172" s="26"/>
      <c r="BN172" s="26"/>
      <c r="BO172" s="26"/>
      <c r="BP172" s="26"/>
      <c r="BQ172" s="26"/>
      <c r="BR172" s="26"/>
      <c r="BS172" s="26"/>
      <c r="BT172" s="26"/>
    </row>
    <row r="173" spans="3:72" ht="15" customHeight="1" x14ac:dyDescent="0.25"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  <c r="AU173" s="26"/>
      <c r="AV173" s="26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26"/>
      <c r="BH173" s="26"/>
      <c r="BI173" s="26"/>
      <c r="BJ173" s="26"/>
      <c r="BK173" s="26"/>
      <c r="BL173" s="26"/>
      <c r="BM173" s="26"/>
      <c r="BN173" s="26"/>
      <c r="BO173" s="26"/>
      <c r="BP173" s="26"/>
      <c r="BQ173" s="26"/>
      <c r="BR173" s="26"/>
      <c r="BS173" s="26"/>
      <c r="BT173" s="26"/>
    </row>
    <row r="174" spans="3:72" ht="15" customHeight="1" x14ac:dyDescent="0.25"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26"/>
      <c r="AQ174" s="26"/>
      <c r="AR174" s="26"/>
      <c r="AS174" s="26"/>
      <c r="AT174" s="26"/>
      <c r="AU174" s="26"/>
      <c r="AV174" s="26"/>
      <c r="AW174" s="26"/>
      <c r="AX174" s="26"/>
      <c r="AY174" s="26"/>
      <c r="AZ174" s="26"/>
      <c r="BA174" s="26"/>
      <c r="BB174" s="26"/>
      <c r="BC174" s="26"/>
      <c r="BD174" s="26"/>
      <c r="BE174" s="26"/>
      <c r="BF174" s="26"/>
      <c r="BG174" s="26"/>
      <c r="BH174" s="26"/>
      <c r="BI174" s="26"/>
      <c r="BJ174" s="26"/>
      <c r="BK174" s="26"/>
      <c r="BL174" s="26"/>
      <c r="BM174" s="26"/>
      <c r="BN174" s="26"/>
      <c r="BO174" s="26"/>
      <c r="BP174" s="26"/>
      <c r="BQ174" s="26"/>
      <c r="BR174" s="26"/>
      <c r="BS174" s="26"/>
      <c r="BT174" s="26"/>
    </row>
    <row r="175" spans="3:72" ht="15" customHeight="1" x14ac:dyDescent="0.25"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  <c r="AP175" s="26"/>
      <c r="AQ175" s="26"/>
      <c r="AR175" s="26"/>
      <c r="AS175" s="26"/>
      <c r="AT175" s="26"/>
      <c r="AU175" s="26"/>
      <c r="AV175" s="26"/>
      <c r="AW175" s="26"/>
      <c r="AX175" s="26"/>
      <c r="AY175" s="26"/>
      <c r="AZ175" s="26"/>
      <c r="BA175" s="26"/>
      <c r="BB175" s="26"/>
      <c r="BC175" s="26"/>
      <c r="BD175" s="26"/>
      <c r="BE175" s="26"/>
      <c r="BF175" s="26"/>
      <c r="BG175" s="26"/>
      <c r="BH175" s="26"/>
      <c r="BI175" s="26"/>
      <c r="BJ175" s="26"/>
      <c r="BK175" s="26"/>
      <c r="BL175" s="26"/>
      <c r="BM175" s="26"/>
      <c r="BN175" s="26"/>
      <c r="BO175" s="26"/>
      <c r="BP175" s="26"/>
      <c r="BQ175" s="26"/>
      <c r="BR175" s="26"/>
      <c r="BS175" s="26"/>
      <c r="BT175" s="26"/>
    </row>
    <row r="176" spans="3:72" ht="15" customHeight="1" x14ac:dyDescent="0.25"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  <c r="AQ176" s="26"/>
      <c r="AR176" s="26"/>
      <c r="AS176" s="26"/>
      <c r="AT176" s="26"/>
      <c r="AU176" s="26"/>
      <c r="AV176" s="26"/>
      <c r="AW176" s="26"/>
      <c r="AX176" s="26"/>
      <c r="AY176" s="26"/>
      <c r="AZ176" s="26"/>
      <c r="BA176" s="26"/>
      <c r="BB176" s="26"/>
      <c r="BC176" s="26"/>
      <c r="BD176" s="26"/>
      <c r="BE176" s="26"/>
      <c r="BF176" s="26"/>
      <c r="BG176" s="26"/>
      <c r="BH176" s="26"/>
      <c r="BI176" s="26"/>
      <c r="BJ176" s="26"/>
      <c r="BK176" s="26"/>
      <c r="BL176" s="26"/>
      <c r="BM176" s="26"/>
      <c r="BN176" s="26"/>
      <c r="BO176" s="26"/>
      <c r="BP176" s="26"/>
      <c r="BQ176" s="26"/>
      <c r="BR176" s="26"/>
      <c r="BS176" s="26"/>
      <c r="BT176" s="26"/>
    </row>
    <row r="177" spans="3:72" ht="15" customHeight="1" x14ac:dyDescent="0.25"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  <c r="AU177" s="26"/>
      <c r="AV177" s="26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26"/>
      <c r="BH177" s="26"/>
      <c r="BI177" s="26"/>
      <c r="BJ177" s="26"/>
      <c r="BK177" s="26"/>
      <c r="BL177" s="26"/>
      <c r="BM177" s="26"/>
      <c r="BN177" s="26"/>
      <c r="BO177" s="26"/>
      <c r="BP177" s="26"/>
      <c r="BQ177" s="26"/>
      <c r="BR177" s="26"/>
      <c r="BS177" s="26"/>
      <c r="BT177" s="26"/>
    </row>
    <row r="178" spans="3:72" ht="15" customHeight="1" x14ac:dyDescent="0.25"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26"/>
      <c r="BH178" s="26"/>
      <c r="BI178" s="26"/>
      <c r="BJ178" s="26"/>
      <c r="BK178" s="26"/>
      <c r="BL178" s="26"/>
      <c r="BM178" s="26"/>
      <c r="BN178" s="26"/>
      <c r="BO178" s="26"/>
      <c r="BP178" s="26"/>
      <c r="BQ178" s="26"/>
      <c r="BR178" s="26"/>
      <c r="BS178" s="26"/>
      <c r="BT178" s="26"/>
    </row>
    <row r="179" spans="3:72" ht="15" customHeight="1" x14ac:dyDescent="0.25"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  <c r="BH179" s="26"/>
      <c r="BI179" s="26"/>
      <c r="BJ179" s="26"/>
      <c r="BK179" s="26"/>
      <c r="BL179" s="26"/>
      <c r="BM179" s="26"/>
      <c r="BN179" s="26"/>
      <c r="BO179" s="26"/>
      <c r="BP179" s="26"/>
      <c r="BQ179" s="26"/>
      <c r="BR179" s="26"/>
      <c r="BS179" s="26"/>
      <c r="BT179" s="26"/>
    </row>
    <row r="180" spans="3:72" ht="15" customHeight="1" x14ac:dyDescent="0.25"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  <c r="AU180" s="26"/>
      <c r="AV180" s="26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26"/>
      <c r="BH180" s="26"/>
      <c r="BI180" s="26"/>
      <c r="BJ180" s="26"/>
      <c r="BK180" s="26"/>
      <c r="BL180" s="26"/>
      <c r="BM180" s="26"/>
      <c r="BN180" s="26"/>
      <c r="BO180" s="26"/>
      <c r="BP180" s="26"/>
      <c r="BQ180" s="26"/>
      <c r="BR180" s="26"/>
      <c r="BS180" s="26"/>
      <c r="BT180" s="26"/>
    </row>
    <row r="181" spans="3:72" ht="15" customHeight="1" x14ac:dyDescent="0.25"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26"/>
      <c r="BH181" s="26"/>
      <c r="BI181" s="26"/>
      <c r="BJ181" s="26"/>
      <c r="BK181" s="26"/>
      <c r="BL181" s="26"/>
      <c r="BM181" s="26"/>
      <c r="BN181" s="26"/>
      <c r="BO181" s="26"/>
      <c r="BP181" s="26"/>
      <c r="BQ181" s="26"/>
      <c r="BR181" s="26"/>
      <c r="BS181" s="26"/>
      <c r="BT181" s="26"/>
    </row>
    <row r="182" spans="3:72" ht="15" customHeight="1" x14ac:dyDescent="0.25"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  <c r="AP182" s="26"/>
      <c r="AQ182" s="26"/>
      <c r="AR182" s="26"/>
      <c r="AS182" s="26"/>
      <c r="AT182" s="26"/>
      <c r="AU182" s="26"/>
      <c r="AV182" s="26"/>
      <c r="AW182" s="26"/>
      <c r="AX182" s="26"/>
      <c r="AY182" s="26"/>
      <c r="AZ182" s="26"/>
      <c r="BA182" s="26"/>
      <c r="BB182" s="26"/>
      <c r="BC182" s="26"/>
      <c r="BD182" s="26"/>
      <c r="BE182" s="26"/>
      <c r="BF182" s="26"/>
      <c r="BG182" s="26"/>
      <c r="BH182" s="26"/>
      <c r="BI182" s="26"/>
      <c r="BJ182" s="26"/>
      <c r="BK182" s="26"/>
      <c r="BL182" s="26"/>
      <c r="BM182" s="26"/>
      <c r="BN182" s="26"/>
      <c r="BO182" s="26"/>
      <c r="BP182" s="26"/>
      <c r="BQ182" s="26"/>
      <c r="BR182" s="26"/>
      <c r="BS182" s="26"/>
      <c r="BT182" s="26"/>
    </row>
    <row r="183" spans="3:72" ht="15" customHeight="1" x14ac:dyDescent="0.25"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  <c r="AP183" s="26"/>
      <c r="AQ183" s="26"/>
      <c r="AR183" s="26"/>
      <c r="AS183" s="26"/>
      <c r="AT183" s="26"/>
      <c r="AU183" s="26"/>
      <c r="AV183" s="26"/>
      <c r="AW183" s="26"/>
      <c r="AX183" s="26"/>
      <c r="AY183" s="26"/>
      <c r="AZ183" s="26"/>
      <c r="BA183" s="26"/>
      <c r="BB183" s="26"/>
      <c r="BC183" s="26"/>
      <c r="BD183" s="26"/>
      <c r="BE183" s="26"/>
      <c r="BF183" s="26"/>
      <c r="BG183" s="26"/>
      <c r="BH183" s="26"/>
      <c r="BI183" s="26"/>
      <c r="BJ183" s="26"/>
      <c r="BK183" s="26"/>
      <c r="BL183" s="26"/>
      <c r="BM183" s="26"/>
      <c r="BN183" s="26"/>
      <c r="BO183" s="26"/>
      <c r="BP183" s="26"/>
      <c r="BQ183" s="26"/>
      <c r="BR183" s="26"/>
      <c r="BS183" s="26"/>
      <c r="BT183" s="26"/>
    </row>
    <row r="184" spans="3:72" ht="15" customHeight="1" x14ac:dyDescent="0.25"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26"/>
      <c r="AQ184" s="26"/>
      <c r="AR184" s="26"/>
      <c r="AS184" s="26"/>
      <c r="AT184" s="26"/>
      <c r="AU184" s="26"/>
      <c r="AV184" s="26"/>
      <c r="AW184" s="26"/>
      <c r="AX184" s="26"/>
      <c r="AY184" s="26"/>
      <c r="AZ184" s="26"/>
      <c r="BA184" s="26"/>
      <c r="BB184" s="26"/>
      <c r="BC184" s="26"/>
      <c r="BD184" s="26"/>
      <c r="BE184" s="26"/>
      <c r="BF184" s="26"/>
      <c r="BG184" s="26"/>
      <c r="BH184" s="26"/>
      <c r="BI184" s="26"/>
      <c r="BJ184" s="26"/>
      <c r="BK184" s="26"/>
      <c r="BL184" s="26"/>
      <c r="BM184" s="26"/>
      <c r="BN184" s="26"/>
      <c r="BO184" s="26"/>
      <c r="BP184" s="26"/>
      <c r="BQ184" s="26"/>
      <c r="BR184" s="26"/>
      <c r="BS184" s="26"/>
      <c r="BT184" s="26"/>
    </row>
    <row r="185" spans="3:72" ht="15" customHeight="1" x14ac:dyDescent="0.25"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26"/>
      <c r="BH185" s="26"/>
      <c r="BI185" s="26"/>
      <c r="BJ185" s="26"/>
      <c r="BK185" s="26"/>
      <c r="BL185" s="26"/>
      <c r="BM185" s="26"/>
      <c r="BN185" s="26"/>
      <c r="BO185" s="26"/>
      <c r="BP185" s="26"/>
      <c r="BQ185" s="26"/>
      <c r="BR185" s="26"/>
      <c r="BS185" s="26"/>
      <c r="BT185" s="26"/>
    </row>
    <row r="186" spans="3:72" ht="15" customHeight="1" x14ac:dyDescent="0.25"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26"/>
      <c r="BH186" s="26"/>
      <c r="BI186" s="26"/>
      <c r="BJ186" s="26"/>
      <c r="BK186" s="26"/>
      <c r="BL186" s="26"/>
      <c r="BM186" s="26"/>
      <c r="BN186" s="26"/>
      <c r="BO186" s="26"/>
      <c r="BP186" s="26"/>
      <c r="BQ186" s="26"/>
      <c r="BR186" s="26"/>
      <c r="BS186" s="26"/>
      <c r="BT186" s="26"/>
    </row>
    <row r="187" spans="3:72" ht="15" customHeight="1" x14ac:dyDescent="0.25"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26"/>
      <c r="BH187" s="26"/>
      <c r="BI187" s="26"/>
      <c r="BJ187" s="26"/>
      <c r="BK187" s="26"/>
      <c r="BL187" s="26"/>
      <c r="BM187" s="26"/>
      <c r="BN187" s="26"/>
      <c r="BO187" s="26"/>
      <c r="BP187" s="26"/>
      <c r="BQ187" s="26"/>
      <c r="BR187" s="26"/>
      <c r="BS187" s="26"/>
      <c r="BT187" s="26"/>
    </row>
    <row r="188" spans="3:72" ht="15" customHeight="1" x14ac:dyDescent="0.25"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  <c r="AU188" s="26"/>
      <c r="AV188" s="26"/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26"/>
      <c r="BH188" s="26"/>
      <c r="BI188" s="26"/>
      <c r="BJ188" s="26"/>
      <c r="BK188" s="26"/>
      <c r="BL188" s="26"/>
      <c r="BM188" s="26"/>
      <c r="BN188" s="26"/>
      <c r="BO188" s="26"/>
      <c r="BP188" s="26"/>
      <c r="BQ188" s="26"/>
      <c r="BR188" s="26"/>
      <c r="BS188" s="26"/>
      <c r="BT188" s="26"/>
    </row>
    <row r="189" spans="3:72" ht="15" customHeight="1" x14ac:dyDescent="0.25"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  <c r="AX189" s="26"/>
      <c r="AY189" s="26"/>
      <c r="AZ189" s="26"/>
      <c r="BA189" s="26"/>
      <c r="BB189" s="26"/>
      <c r="BC189" s="26"/>
      <c r="BD189" s="26"/>
      <c r="BE189" s="26"/>
      <c r="BF189" s="26"/>
      <c r="BG189" s="26"/>
      <c r="BH189" s="26"/>
      <c r="BI189" s="26"/>
      <c r="BJ189" s="26"/>
      <c r="BK189" s="26"/>
      <c r="BL189" s="26"/>
      <c r="BM189" s="26"/>
      <c r="BN189" s="26"/>
      <c r="BO189" s="26"/>
      <c r="BP189" s="26"/>
      <c r="BQ189" s="26"/>
      <c r="BR189" s="26"/>
      <c r="BS189" s="26"/>
      <c r="BT189" s="26"/>
    </row>
    <row r="190" spans="3:72" ht="15" customHeight="1" x14ac:dyDescent="0.25"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  <c r="AO190" s="26"/>
      <c r="AP190" s="26"/>
      <c r="AQ190" s="26"/>
      <c r="AR190" s="26"/>
      <c r="AS190" s="26"/>
      <c r="AT190" s="26"/>
      <c r="AU190" s="26"/>
      <c r="AV190" s="26"/>
      <c r="AW190" s="26"/>
      <c r="AX190" s="26"/>
      <c r="AY190" s="26"/>
      <c r="AZ190" s="26"/>
      <c r="BA190" s="26"/>
      <c r="BB190" s="26"/>
      <c r="BC190" s="26"/>
      <c r="BD190" s="26"/>
      <c r="BE190" s="26"/>
      <c r="BF190" s="26"/>
      <c r="BG190" s="26"/>
      <c r="BH190" s="26"/>
      <c r="BI190" s="26"/>
      <c r="BJ190" s="26"/>
      <c r="BK190" s="26"/>
      <c r="BL190" s="26"/>
      <c r="BM190" s="26"/>
      <c r="BN190" s="26"/>
      <c r="BO190" s="26"/>
      <c r="BP190" s="26"/>
      <c r="BQ190" s="26"/>
      <c r="BR190" s="26"/>
      <c r="BS190" s="26"/>
      <c r="BT190" s="26"/>
    </row>
    <row r="191" spans="3:72" ht="15" customHeight="1" x14ac:dyDescent="0.25"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  <c r="AO191" s="26"/>
      <c r="AP191" s="26"/>
      <c r="AQ191" s="26"/>
      <c r="AR191" s="26"/>
      <c r="AS191" s="26"/>
      <c r="AT191" s="26"/>
      <c r="AU191" s="26"/>
      <c r="AV191" s="26"/>
      <c r="AW191" s="26"/>
      <c r="AX191" s="26"/>
      <c r="AY191" s="26"/>
      <c r="AZ191" s="26"/>
      <c r="BA191" s="26"/>
      <c r="BB191" s="26"/>
      <c r="BC191" s="26"/>
      <c r="BD191" s="26"/>
      <c r="BE191" s="26"/>
      <c r="BF191" s="26"/>
      <c r="BG191" s="26"/>
      <c r="BH191" s="26"/>
      <c r="BI191" s="26"/>
      <c r="BJ191" s="26"/>
      <c r="BK191" s="26"/>
      <c r="BL191" s="26"/>
      <c r="BM191" s="26"/>
      <c r="BN191" s="26"/>
      <c r="BO191" s="26"/>
      <c r="BP191" s="26"/>
      <c r="BQ191" s="26"/>
      <c r="BR191" s="26"/>
      <c r="BS191" s="26"/>
      <c r="BT191" s="26"/>
    </row>
    <row r="192" spans="3:72" ht="15" customHeight="1" x14ac:dyDescent="0.25"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  <c r="AP192" s="26"/>
      <c r="AQ192" s="26"/>
      <c r="AR192" s="26"/>
      <c r="AS192" s="26"/>
      <c r="AT192" s="26"/>
      <c r="AU192" s="26"/>
      <c r="AV192" s="26"/>
      <c r="AW192" s="26"/>
      <c r="AX192" s="26"/>
      <c r="AY192" s="26"/>
      <c r="AZ192" s="26"/>
      <c r="BA192" s="26"/>
      <c r="BB192" s="26"/>
      <c r="BC192" s="26"/>
      <c r="BD192" s="26"/>
      <c r="BE192" s="26"/>
      <c r="BF192" s="26"/>
      <c r="BG192" s="26"/>
      <c r="BH192" s="26"/>
      <c r="BI192" s="26"/>
      <c r="BJ192" s="26"/>
      <c r="BK192" s="26"/>
      <c r="BL192" s="26"/>
      <c r="BM192" s="26"/>
      <c r="BN192" s="26"/>
      <c r="BO192" s="26"/>
      <c r="BP192" s="26"/>
      <c r="BQ192" s="26"/>
      <c r="BR192" s="26"/>
      <c r="BS192" s="26"/>
      <c r="BT192" s="26"/>
    </row>
    <row r="193" spans="3:72" ht="15" customHeight="1" x14ac:dyDescent="0.25"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26"/>
      <c r="BH193" s="26"/>
      <c r="BI193" s="26"/>
      <c r="BJ193" s="26"/>
      <c r="BK193" s="26"/>
      <c r="BL193" s="26"/>
      <c r="BM193" s="26"/>
      <c r="BN193" s="26"/>
      <c r="BO193" s="26"/>
      <c r="BP193" s="26"/>
      <c r="BQ193" s="26"/>
      <c r="BR193" s="26"/>
      <c r="BS193" s="26"/>
      <c r="BT193" s="26"/>
    </row>
    <row r="194" spans="3:72" ht="15" customHeight="1" x14ac:dyDescent="0.25"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  <c r="AO194" s="26"/>
      <c r="AP194" s="26"/>
      <c r="AQ194" s="26"/>
      <c r="AR194" s="26"/>
      <c r="AS194" s="26"/>
      <c r="AT194" s="26"/>
      <c r="AU194" s="26"/>
      <c r="AV194" s="26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26"/>
      <c r="BH194" s="26"/>
      <c r="BI194" s="26"/>
      <c r="BJ194" s="26"/>
      <c r="BK194" s="26"/>
      <c r="BL194" s="26"/>
      <c r="BM194" s="26"/>
      <c r="BN194" s="26"/>
      <c r="BO194" s="26"/>
      <c r="BP194" s="26"/>
      <c r="BQ194" s="26"/>
      <c r="BR194" s="26"/>
      <c r="BS194" s="26"/>
      <c r="BT194" s="26"/>
    </row>
    <row r="195" spans="3:72" ht="15" customHeight="1" x14ac:dyDescent="0.25"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  <c r="AO195" s="26"/>
      <c r="AP195" s="26"/>
      <c r="AQ195" s="26"/>
      <c r="AR195" s="26"/>
      <c r="AS195" s="26"/>
      <c r="AT195" s="26"/>
      <c r="AU195" s="26"/>
      <c r="AV195" s="26"/>
      <c r="AW195" s="26"/>
      <c r="AX195" s="26"/>
      <c r="AY195" s="26"/>
      <c r="AZ195" s="26"/>
      <c r="BA195" s="26"/>
      <c r="BB195" s="26"/>
      <c r="BC195" s="26"/>
      <c r="BD195" s="26"/>
      <c r="BE195" s="26"/>
      <c r="BF195" s="26"/>
      <c r="BG195" s="26"/>
      <c r="BH195" s="26"/>
      <c r="BI195" s="26"/>
      <c r="BJ195" s="26"/>
      <c r="BK195" s="26"/>
      <c r="BL195" s="26"/>
      <c r="BM195" s="26"/>
      <c r="BN195" s="26"/>
      <c r="BO195" s="26"/>
      <c r="BP195" s="26"/>
      <c r="BQ195" s="26"/>
      <c r="BR195" s="26"/>
      <c r="BS195" s="26"/>
      <c r="BT195" s="26"/>
    </row>
    <row r="196" spans="3:72" ht="15" customHeight="1" x14ac:dyDescent="0.25"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  <c r="AU196" s="26"/>
      <c r="AV196" s="26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26"/>
      <c r="BH196" s="26"/>
      <c r="BI196" s="26"/>
      <c r="BJ196" s="26"/>
      <c r="BK196" s="26"/>
      <c r="BL196" s="26"/>
      <c r="BM196" s="26"/>
      <c r="BN196" s="26"/>
      <c r="BO196" s="26"/>
      <c r="BP196" s="26"/>
      <c r="BQ196" s="26"/>
      <c r="BR196" s="26"/>
      <c r="BS196" s="26"/>
      <c r="BT196" s="26"/>
    </row>
    <row r="197" spans="3:72" ht="15" customHeight="1" x14ac:dyDescent="0.25"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  <c r="AO197" s="26"/>
      <c r="AP197" s="26"/>
      <c r="AQ197" s="26"/>
      <c r="AR197" s="26"/>
      <c r="AS197" s="26"/>
      <c r="AT197" s="26"/>
      <c r="AU197" s="26"/>
      <c r="AV197" s="26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26"/>
      <c r="BH197" s="26"/>
      <c r="BI197" s="26"/>
      <c r="BJ197" s="26"/>
      <c r="BK197" s="26"/>
      <c r="BL197" s="26"/>
      <c r="BM197" s="26"/>
      <c r="BN197" s="26"/>
      <c r="BO197" s="26"/>
      <c r="BP197" s="26"/>
      <c r="BQ197" s="26"/>
      <c r="BR197" s="26"/>
      <c r="BS197" s="26"/>
      <c r="BT197" s="26"/>
    </row>
    <row r="198" spans="3:72" ht="15" customHeight="1" x14ac:dyDescent="0.25"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26"/>
      <c r="AP198" s="26"/>
      <c r="AQ198" s="26"/>
      <c r="AR198" s="26"/>
      <c r="AS198" s="26"/>
      <c r="AT198" s="26"/>
      <c r="AU198" s="26"/>
      <c r="AV198" s="26"/>
      <c r="AW198" s="26"/>
      <c r="AX198" s="26"/>
      <c r="AY198" s="26"/>
      <c r="AZ198" s="26"/>
      <c r="BA198" s="26"/>
      <c r="BB198" s="26"/>
      <c r="BC198" s="26"/>
      <c r="BD198" s="26"/>
      <c r="BE198" s="26"/>
      <c r="BF198" s="26"/>
      <c r="BG198" s="26"/>
      <c r="BH198" s="26"/>
      <c r="BI198" s="26"/>
      <c r="BJ198" s="26"/>
      <c r="BK198" s="26"/>
      <c r="BL198" s="26"/>
      <c r="BM198" s="26"/>
      <c r="BN198" s="26"/>
      <c r="BO198" s="26"/>
      <c r="BP198" s="26"/>
      <c r="BQ198" s="26"/>
      <c r="BR198" s="26"/>
      <c r="BS198" s="26"/>
      <c r="BT198" s="26"/>
    </row>
    <row r="199" spans="3:72" ht="15" customHeight="1" x14ac:dyDescent="0.25"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  <c r="AO199" s="26"/>
      <c r="AP199" s="26"/>
      <c r="AQ199" s="26"/>
      <c r="AR199" s="26"/>
      <c r="AS199" s="26"/>
      <c r="AT199" s="26"/>
      <c r="AU199" s="26"/>
      <c r="AV199" s="26"/>
      <c r="AW199" s="26"/>
      <c r="AX199" s="26"/>
      <c r="AY199" s="26"/>
      <c r="AZ199" s="26"/>
      <c r="BA199" s="26"/>
      <c r="BB199" s="26"/>
      <c r="BC199" s="26"/>
      <c r="BD199" s="26"/>
      <c r="BE199" s="26"/>
      <c r="BF199" s="26"/>
      <c r="BG199" s="26"/>
      <c r="BH199" s="26"/>
      <c r="BI199" s="26"/>
      <c r="BJ199" s="26"/>
      <c r="BK199" s="26"/>
      <c r="BL199" s="26"/>
      <c r="BM199" s="26"/>
      <c r="BN199" s="26"/>
      <c r="BO199" s="26"/>
      <c r="BP199" s="26"/>
      <c r="BQ199" s="26"/>
      <c r="BR199" s="26"/>
      <c r="BS199" s="26"/>
      <c r="BT199" s="26"/>
    </row>
    <row r="200" spans="3:72" ht="15" customHeight="1" x14ac:dyDescent="0.25"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26"/>
      <c r="AP200" s="26"/>
      <c r="AQ200" s="26"/>
      <c r="AR200" s="26"/>
      <c r="AS200" s="26"/>
      <c r="AT200" s="26"/>
      <c r="AU200" s="26"/>
      <c r="AV200" s="26"/>
      <c r="AW200" s="26"/>
      <c r="AX200" s="26"/>
      <c r="AY200" s="26"/>
      <c r="AZ200" s="26"/>
      <c r="BA200" s="26"/>
      <c r="BB200" s="26"/>
      <c r="BC200" s="26"/>
      <c r="BD200" s="26"/>
      <c r="BE200" s="26"/>
      <c r="BF200" s="26"/>
      <c r="BG200" s="26"/>
      <c r="BH200" s="26"/>
      <c r="BI200" s="26"/>
      <c r="BJ200" s="26"/>
      <c r="BK200" s="26"/>
      <c r="BL200" s="26"/>
      <c r="BM200" s="26"/>
      <c r="BN200" s="26"/>
      <c r="BO200" s="26"/>
      <c r="BP200" s="26"/>
      <c r="BQ200" s="26"/>
      <c r="BR200" s="26"/>
      <c r="BS200" s="26"/>
      <c r="BT200" s="26"/>
    </row>
    <row r="201" spans="3:72" ht="15" customHeight="1" x14ac:dyDescent="0.25"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  <c r="AO201" s="26"/>
      <c r="AP201" s="26"/>
      <c r="AQ201" s="26"/>
      <c r="AR201" s="26"/>
      <c r="AS201" s="26"/>
      <c r="AT201" s="26"/>
      <c r="AU201" s="26"/>
      <c r="AV201" s="26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26"/>
      <c r="BH201" s="26"/>
      <c r="BI201" s="26"/>
      <c r="BJ201" s="26"/>
      <c r="BK201" s="26"/>
      <c r="BL201" s="26"/>
      <c r="BM201" s="26"/>
      <c r="BN201" s="26"/>
      <c r="BO201" s="26"/>
      <c r="BP201" s="26"/>
      <c r="BQ201" s="26"/>
      <c r="BR201" s="26"/>
      <c r="BS201" s="26"/>
      <c r="BT201" s="26"/>
    </row>
    <row r="202" spans="3:72" ht="15" customHeight="1" x14ac:dyDescent="0.25"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  <c r="AO202" s="26"/>
      <c r="AP202" s="26"/>
      <c r="AQ202" s="26"/>
      <c r="AR202" s="26"/>
      <c r="AS202" s="26"/>
      <c r="AT202" s="26"/>
      <c r="AU202" s="26"/>
      <c r="AV202" s="26"/>
      <c r="AW202" s="26"/>
      <c r="AX202" s="26"/>
      <c r="AY202" s="26"/>
      <c r="AZ202" s="26"/>
      <c r="BA202" s="26"/>
      <c r="BB202" s="26"/>
      <c r="BC202" s="26"/>
      <c r="BD202" s="26"/>
      <c r="BE202" s="26"/>
      <c r="BF202" s="26"/>
      <c r="BG202" s="26"/>
      <c r="BH202" s="26"/>
      <c r="BI202" s="26"/>
      <c r="BJ202" s="26"/>
      <c r="BK202" s="26"/>
      <c r="BL202" s="26"/>
      <c r="BM202" s="26"/>
      <c r="BN202" s="26"/>
      <c r="BO202" s="26"/>
      <c r="BP202" s="26"/>
      <c r="BQ202" s="26"/>
      <c r="BR202" s="26"/>
      <c r="BS202" s="26"/>
      <c r="BT202" s="26"/>
    </row>
    <row r="203" spans="3:72" ht="15" customHeight="1" x14ac:dyDescent="0.25"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  <c r="AU203" s="26"/>
      <c r="AV203" s="26"/>
      <c r="AW203" s="26"/>
      <c r="AX203" s="26"/>
      <c r="AY203" s="26"/>
      <c r="AZ203" s="26"/>
      <c r="BA203" s="26"/>
      <c r="BB203" s="26"/>
      <c r="BC203" s="26"/>
      <c r="BD203" s="26"/>
      <c r="BE203" s="26"/>
      <c r="BF203" s="26"/>
      <c r="BG203" s="26"/>
      <c r="BH203" s="26"/>
      <c r="BI203" s="26"/>
      <c r="BJ203" s="26"/>
      <c r="BK203" s="26"/>
      <c r="BL203" s="26"/>
      <c r="BM203" s="26"/>
      <c r="BN203" s="26"/>
      <c r="BO203" s="26"/>
      <c r="BP203" s="26"/>
      <c r="BQ203" s="26"/>
      <c r="BR203" s="26"/>
      <c r="BS203" s="26"/>
      <c r="BT203" s="26"/>
    </row>
    <row r="204" spans="3:72" ht="15" customHeight="1" x14ac:dyDescent="0.25"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  <c r="AO204" s="26"/>
      <c r="AP204" s="26"/>
      <c r="AQ204" s="26"/>
      <c r="AR204" s="26"/>
      <c r="AS204" s="26"/>
      <c r="AT204" s="26"/>
      <c r="AU204" s="26"/>
      <c r="AV204" s="26"/>
      <c r="AW204" s="26"/>
      <c r="AX204" s="26"/>
      <c r="AY204" s="26"/>
      <c r="AZ204" s="26"/>
      <c r="BA204" s="26"/>
      <c r="BB204" s="26"/>
      <c r="BC204" s="26"/>
      <c r="BD204" s="26"/>
      <c r="BE204" s="26"/>
      <c r="BF204" s="26"/>
      <c r="BG204" s="26"/>
      <c r="BH204" s="26"/>
      <c r="BI204" s="26"/>
      <c r="BJ204" s="26"/>
      <c r="BK204" s="26"/>
      <c r="BL204" s="26"/>
      <c r="BM204" s="26"/>
      <c r="BN204" s="26"/>
      <c r="BO204" s="26"/>
      <c r="BP204" s="26"/>
      <c r="BQ204" s="26"/>
      <c r="BR204" s="26"/>
      <c r="BS204" s="26"/>
      <c r="BT204" s="26"/>
    </row>
    <row r="205" spans="3:72" ht="15" customHeight="1" x14ac:dyDescent="0.25"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  <c r="AO205" s="26"/>
      <c r="AP205" s="26"/>
      <c r="AQ205" s="26"/>
      <c r="AR205" s="26"/>
      <c r="AS205" s="26"/>
      <c r="AT205" s="26"/>
      <c r="AU205" s="26"/>
      <c r="AV205" s="26"/>
      <c r="AW205" s="26"/>
      <c r="AX205" s="26"/>
      <c r="AY205" s="26"/>
      <c r="AZ205" s="26"/>
      <c r="BA205" s="26"/>
      <c r="BB205" s="26"/>
      <c r="BC205" s="26"/>
      <c r="BD205" s="26"/>
      <c r="BE205" s="26"/>
      <c r="BF205" s="26"/>
      <c r="BG205" s="26"/>
      <c r="BH205" s="26"/>
      <c r="BI205" s="26"/>
      <c r="BJ205" s="26"/>
      <c r="BK205" s="26"/>
      <c r="BL205" s="26"/>
      <c r="BM205" s="26"/>
      <c r="BN205" s="26"/>
      <c r="BO205" s="26"/>
      <c r="BP205" s="26"/>
      <c r="BQ205" s="26"/>
      <c r="BR205" s="26"/>
      <c r="BS205" s="26"/>
      <c r="BT205" s="26"/>
    </row>
    <row r="206" spans="3:72" ht="15" customHeight="1" x14ac:dyDescent="0.25"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  <c r="AO206" s="26"/>
      <c r="AP206" s="26"/>
      <c r="AQ206" s="26"/>
      <c r="AR206" s="26"/>
      <c r="AS206" s="26"/>
      <c r="AT206" s="26"/>
      <c r="AU206" s="26"/>
      <c r="AV206" s="26"/>
      <c r="AW206" s="26"/>
      <c r="AX206" s="26"/>
      <c r="AY206" s="26"/>
      <c r="AZ206" s="26"/>
      <c r="BA206" s="26"/>
      <c r="BB206" s="26"/>
      <c r="BC206" s="26"/>
      <c r="BD206" s="26"/>
      <c r="BE206" s="26"/>
      <c r="BF206" s="26"/>
      <c r="BG206" s="26"/>
      <c r="BH206" s="26"/>
      <c r="BI206" s="26"/>
      <c r="BJ206" s="26"/>
      <c r="BK206" s="26"/>
      <c r="BL206" s="26"/>
      <c r="BM206" s="26"/>
      <c r="BN206" s="26"/>
      <c r="BO206" s="26"/>
      <c r="BP206" s="26"/>
      <c r="BQ206" s="26"/>
      <c r="BR206" s="26"/>
      <c r="BS206" s="26"/>
      <c r="BT206" s="26"/>
    </row>
    <row r="207" spans="3:72" ht="15" customHeight="1" x14ac:dyDescent="0.25"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  <c r="AO207" s="26"/>
      <c r="AP207" s="26"/>
      <c r="AQ207" s="26"/>
      <c r="AR207" s="26"/>
      <c r="AS207" s="26"/>
      <c r="AT207" s="26"/>
      <c r="AU207" s="26"/>
      <c r="AV207" s="26"/>
      <c r="AW207" s="26"/>
      <c r="AX207" s="26"/>
      <c r="AY207" s="26"/>
      <c r="AZ207" s="26"/>
      <c r="BA207" s="26"/>
      <c r="BB207" s="26"/>
      <c r="BC207" s="26"/>
      <c r="BD207" s="26"/>
      <c r="BE207" s="26"/>
      <c r="BF207" s="26"/>
      <c r="BG207" s="26"/>
      <c r="BH207" s="26"/>
      <c r="BI207" s="26"/>
      <c r="BJ207" s="26"/>
      <c r="BK207" s="26"/>
      <c r="BL207" s="26"/>
      <c r="BM207" s="26"/>
      <c r="BN207" s="26"/>
      <c r="BO207" s="26"/>
      <c r="BP207" s="26"/>
      <c r="BQ207" s="26"/>
      <c r="BR207" s="26"/>
      <c r="BS207" s="26"/>
      <c r="BT207" s="26"/>
    </row>
    <row r="208" spans="3:72" ht="15" customHeight="1" x14ac:dyDescent="0.25"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  <c r="AO208" s="26"/>
      <c r="AP208" s="26"/>
      <c r="AQ208" s="26"/>
      <c r="AR208" s="26"/>
      <c r="AS208" s="26"/>
      <c r="AT208" s="26"/>
      <c r="AU208" s="26"/>
      <c r="AV208" s="26"/>
      <c r="AW208" s="26"/>
      <c r="AX208" s="26"/>
      <c r="AY208" s="26"/>
      <c r="AZ208" s="26"/>
      <c r="BA208" s="26"/>
      <c r="BB208" s="26"/>
      <c r="BC208" s="26"/>
      <c r="BD208" s="26"/>
      <c r="BE208" s="26"/>
      <c r="BF208" s="26"/>
      <c r="BG208" s="26"/>
      <c r="BH208" s="26"/>
      <c r="BI208" s="26"/>
      <c r="BJ208" s="26"/>
      <c r="BK208" s="26"/>
      <c r="BL208" s="26"/>
      <c r="BM208" s="26"/>
      <c r="BN208" s="26"/>
      <c r="BO208" s="26"/>
      <c r="BP208" s="26"/>
      <c r="BQ208" s="26"/>
      <c r="BR208" s="26"/>
      <c r="BS208" s="26"/>
      <c r="BT208" s="26"/>
    </row>
    <row r="209" spans="3:72" ht="15" customHeight="1" x14ac:dyDescent="0.25"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  <c r="AO209" s="26"/>
      <c r="AP209" s="26"/>
      <c r="AQ209" s="26"/>
      <c r="AR209" s="26"/>
      <c r="AS209" s="26"/>
      <c r="AT209" s="26"/>
      <c r="AU209" s="26"/>
      <c r="AV209" s="26"/>
      <c r="AW209" s="26"/>
      <c r="AX209" s="26"/>
      <c r="AY209" s="26"/>
      <c r="AZ209" s="26"/>
      <c r="BA209" s="26"/>
      <c r="BB209" s="26"/>
      <c r="BC209" s="26"/>
      <c r="BD209" s="26"/>
      <c r="BE209" s="26"/>
      <c r="BF209" s="26"/>
      <c r="BG209" s="26"/>
      <c r="BH209" s="26"/>
      <c r="BI209" s="26"/>
      <c r="BJ209" s="26"/>
      <c r="BK209" s="26"/>
      <c r="BL209" s="26"/>
      <c r="BM209" s="26"/>
      <c r="BN209" s="26"/>
      <c r="BO209" s="26"/>
      <c r="BP209" s="26"/>
      <c r="BQ209" s="26"/>
      <c r="BR209" s="26"/>
      <c r="BS209" s="26"/>
      <c r="BT209" s="26"/>
    </row>
    <row r="210" spans="3:72" ht="15" customHeight="1" x14ac:dyDescent="0.25"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  <c r="AO210" s="26"/>
      <c r="AP210" s="26"/>
      <c r="AQ210" s="26"/>
      <c r="AR210" s="26"/>
      <c r="AS210" s="26"/>
      <c r="AT210" s="26"/>
      <c r="AU210" s="26"/>
      <c r="AV210" s="26"/>
      <c r="AW210" s="26"/>
      <c r="AX210" s="26"/>
      <c r="AY210" s="26"/>
      <c r="AZ210" s="26"/>
      <c r="BA210" s="26"/>
      <c r="BB210" s="26"/>
      <c r="BC210" s="26"/>
      <c r="BD210" s="26"/>
      <c r="BE210" s="26"/>
      <c r="BF210" s="26"/>
      <c r="BG210" s="26"/>
      <c r="BH210" s="26"/>
      <c r="BI210" s="26"/>
      <c r="BJ210" s="26"/>
      <c r="BK210" s="26"/>
      <c r="BL210" s="26"/>
      <c r="BM210" s="26"/>
      <c r="BN210" s="26"/>
      <c r="BO210" s="26"/>
      <c r="BP210" s="26"/>
      <c r="BQ210" s="26"/>
      <c r="BR210" s="26"/>
      <c r="BS210" s="26"/>
      <c r="BT210" s="26"/>
    </row>
    <row r="211" spans="3:72" ht="15" customHeight="1" x14ac:dyDescent="0.25"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  <c r="AO211" s="26"/>
      <c r="AP211" s="26"/>
      <c r="AQ211" s="26"/>
      <c r="AR211" s="26"/>
      <c r="AS211" s="26"/>
      <c r="AT211" s="26"/>
      <c r="AU211" s="26"/>
      <c r="AV211" s="26"/>
      <c r="AW211" s="26"/>
      <c r="AX211" s="26"/>
      <c r="AY211" s="26"/>
      <c r="AZ211" s="26"/>
      <c r="BA211" s="26"/>
      <c r="BB211" s="26"/>
      <c r="BC211" s="26"/>
      <c r="BD211" s="26"/>
      <c r="BE211" s="26"/>
      <c r="BF211" s="26"/>
      <c r="BG211" s="26"/>
      <c r="BH211" s="26"/>
      <c r="BI211" s="26"/>
      <c r="BJ211" s="26"/>
      <c r="BK211" s="26"/>
      <c r="BL211" s="26"/>
      <c r="BM211" s="26"/>
      <c r="BN211" s="26"/>
      <c r="BO211" s="26"/>
      <c r="BP211" s="26"/>
      <c r="BQ211" s="26"/>
      <c r="BR211" s="26"/>
      <c r="BS211" s="26"/>
      <c r="BT211" s="26"/>
    </row>
    <row r="212" spans="3:72" ht="15" customHeight="1" x14ac:dyDescent="0.25"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  <c r="AO212" s="26"/>
      <c r="AP212" s="26"/>
      <c r="AQ212" s="26"/>
      <c r="AR212" s="26"/>
      <c r="AS212" s="26"/>
      <c r="AT212" s="26"/>
      <c r="AU212" s="26"/>
      <c r="AV212" s="26"/>
      <c r="AW212" s="26"/>
      <c r="AX212" s="26"/>
      <c r="AY212" s="26"/>
      <c r="AZ212" s="26"/>
      <c r="BA212" s="26"/>
      <c r="BB212" s="26"/>
      <c r="BC212" s="26"/>
      <c r="BD212" s="26"/>
      <c r="BE212" s="26"/>
      <c r="BF212" s="26"/>
      <c r="BG212" s="26"/>
      <c r="BH212" s="26"/>
      <c r="BI212" s="26"/>
      <c r="BJ212" s="26"/>
      <c r="BK212" s="26"/>
      <c r="BL212" s="26"/>
      <c r="BM212" s="26"/>
      <c r="BN212" s="26"/>
      <c r="BO212" s="26"/>
      <c r="BP212" s="26"/>
      <c r="BQ212" s="26"/>
      <c r="BR212" s="26"/>
      <c r="BS212" s="26"/>
      <c r="BT212" s="26"/>
    </row>
    <row r="213" spans="3:72" ht="15" customHeight="1" x14ac:dyDescent="0.25"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  <c r="AO213" s="26"/>
      <c r="AP213" s="26"/>
      <c r="AQ213" s="26"/>
      <c r="AR213" s="26"/>
      <c r="AS213" s="26"/>
      <c r="AT213" s="26"/>
      <c r="AU213" s="26"/>
      <c r="AV213" s="26"/>
      <c r="AW213" s="26"/>
      <c r="AX213" s="26"/>
      <c r="AY213" s="26"/>
      <c r="AZ213" s="26"/>
      <c r="BA213" s="26"/>
      <c r="BB213" s="26"/>
      <c r="BC213" s="26"/>
      <c r="BD213" s="26"/>
      <c r="BE213" s="26"/>
      <c r="BF213" s="26"/>
      <c r="BG213" s="26"/>
      <c r="BH213" s="26"/>
      <c r="BI213" s="26"/>
      <c r="BJ213" s="26"/>
      <c r="BK213" s="26"/>
      <c r="BL213" s="26"/>
      <c r="BM213" s="26"/>
      <c r="BN213" s="26"/>
      <c r="BO213" s="26"/>
      <c r="BP213" s="26"/>
      <c r="BQ213" s="26"/>
      <c r="BR213" s="26"/>
      <c r="BS213" s="26"/>
      <c r="BT213" s="26"/>
    </row>
    <row r="214" spans="3:72" ht="15" customHeight="1" x14ac:dyDescent="0.25"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  <c r="AO214" s="26"/>
      <c r="AP214" s="26"/>
      <c r="AQ214" s="26"/>
      <c r="AR214" s="26"/>
      <c r="AS214" s="26"/>
      <c r="AT214" s="26"/>
      <c r="AU214" s="26"/>
      <c r="AV214" s="26"/>
      <c r="AW214" s="26"/>
      <c r="AX214" s="26"/>
      <c r="AY214" s="26"/>
      <c r="AZ214" s="26"/>
      <c r="BA214" s="26"/>
      <c r="BB214" s="26"/>
      <c r="BC214" s="26"/>
      <c r="BD214" s="26"/>
      <c r="BE214" s="26"/>
      <c r="BF214" s="26"/>
      <c r="BG214" s="26"/>
      <c r="BH214" s="26"/>
      <c r="BI214" s="26"/>
      <c r="BJ214" s="26"/>
      <c r="BK214" s="26"/>
      <c r="BL214" s="26"/>
      <c r="BM214" s="26"/>
      <c r="BN214" s="26"/>
      <c r="BO214" s="26"/>
      <c r="BP214" s="26"/>
      <c r="BQ214" s="26"/>
      <c r="BR214" s="26"/>
      <c r="BS214" s="26"/>
      <c r="BT214" s="26"/>
    </row>
    <row r="215" spans="3:72" ht="15" customHeight="1" x14ac:dyDescent="0.25"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  <c r="AO215" s="26"/>
      <c r="AP215" s="26"/>
      <c r="AQ215" s="26"/>
      <c r="AR215" s="26"/>
      <c r="AS215" s="26"/>
      <c r="AT215" s="26"/>
      <c r="AU215" s="26"/>
      <c r="AV215" s="26"/>
      <c r="AW215" s="26"/>
      <c r="AX215" s="26"/>
      <c r="AY215" s="26"/>
      <c r="AZ215" s="26"/>
      <c r="BA215" s="26"/>
      <c r="BB215" s="26"/>
      <c r="BC215" s="26"/>
      <c r="BD215" s="26"/>
      <c r="BE215" s="26"/>
      <c r="BF215" s="26"/>
      <c r="BG215" s="26"/>
      <c r="BH215" s="26"/>
      <c r="BI215" s="26"/>
      <c r="BJ215" s="26"/>
      <c r="BK215" s="26"/>
      <c r="BL215" s="26"/>
      <c r="BM215" s="26"/>
      <c r="BN215" s="26"/>
      <c r="BO215" s="26"/>
      <c r="BP215" s="26"/>
      <c r="BQ215" s="26"/>
      <c r="BR215" s="26"/>
      <c r="BS215" s="26"/>
      <c r="BT215" s="26"/>
    </row>
    <row r="216" spans="3:72" ht="15" customHeight="1" x14ac:dyDescent="0.25"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6"/>
      <c r="AQ216" s="26"/>
      <c r="AR216" s="26"/>
      <c r="AS216" s="26"/>
      <c r="AT216" s="26"/>
      <c r="AU216" s="26"/>
      <c r="AV216" s="26"/>
      <c r="AW216" s="26"/>
      <c r="AX216" s="26"/>
      <c r="AY216" s="26"/>
      <c r="AZ216" s="26"/>
      <c r="BA216" s="26"/>
      <c r="BB216" s="26"/>
      <c r="BC216" s="26"/>
      <c r="BD216" s="26"/>
      <c r="BE216" s="26"/>
      <c r="BF216" s="26"/>
      <c r="BG216" s="26"/>
      <c r="BH216" s="26"/>
      <c r="BI216" s="26"/>
      <c r="BJ216" s="26"/>
      <c r="BK216" s="26"/>
      <c r="BL216" s="26"/>
      <c r="BM216" s="26"/>
      <c r="BN216" s="26"/>
      <c r="BO216" s="26"/>
      <c r="BP216" s="26"/>
      <c r="BQ216" s="26"/>
      <c r="BR216" s="26"/>
      <c r="BS216" s="26"/>
      <c r="BT216" s="26"/>
    </row>
    <row r="217" spans="3:72" ht="15" customHeight="1" x14ac:dyDescent="0.25"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26"/>
      <c r="AT217" s="26"/>
      <c r="AU217" s="26"/>
      <c r="AV217" s="26"/>
      <c r="AW217" s="26"/>
      <c r="AX217" s="26"/>
      <c r="AY217" s="26"/>
      <c r="AZ217" s="26"/>
      <c r="BA217" s="26"/>
      <c r="BB217" s="26"/>
      <c r="BC217" s="26"/>
      <c r="BD217" s="26"/>
      <c r="BE217" s="26"/>
      <c r="BF217" s="26"/>
      <c r="BG217" s="26"/>
      <c r="BH217" s="26"/>
      <c r="BI217" s="26"/>
      <c r="BJ217" s="26"/>
      <c r="BK217" s="26"/>
      <c r="BL217" s="26"/>
      <c r="BM217" s="26"/>
      <c r="BN217" s="26"/>
      <c r="BO217" s="26"/>
      <c r="BP217" s="26"/>
      <c r="BQ217" s="26"/>
      <c r="BR217" s="26"/>
      <c r="BS217" s="26"/>
      <c r="BT217" s="26"/>
    </row>
    <row r="218" spans="3:72" ht="15" customHeight="1" x14ac:dyDescent="0.25"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  <c r="AO218" s="26"/>
      <c r="AP218" s="26"/>
      <c r="AQ218" s="26"/>
      <c r="AR218" s="26"/>
      <c r="AS218" s="26"/>
      <c r="AT218" s="26"/>
      <c r="AU218" s="26"/>
      <c r="AV218" s="26"/>
      <c r="AW218" s="26"/>
      <c r="AX218" s="26"/>
      <c r="AY218" s="26"/>
      <c r="AZ218" s="26"/>
      <c r="BA218" s="26"/>
      <c r="BB218" s="26"/>
      <c r="BC218" s="26"/>
      <c r="BD218" s="26"/>
      <c r="BE218" s="26"/>
      <c r="BF218" s="26"/>
      <c r="BG218" s="26"/>
      <c r="BH218" s="26"/>
      <c r="BI218" s="26"/>
      <c r="BJ218" s="26"/>
      <c r="BK218" s="26"/>
      <c r="BL218" s="26"/>
      <c r="BM218" s="26"/>
      <c r="BN218" s="26"/>
      <c r="BO218" s="26"/>
      <c r="BP218" s="26"/>
      <c r="BQ218" s="26"/>
      <c r="BR218" s="26"/>
      <c r="BS218" s="26"/>
      <c r="BT218" s="26"/>
    </row>
    <row r="219" spans="3:72" ht="15" customHeight="1" x14ac:dyDescent="0.25"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  <c r="AO219" s="26"/>
      <c r="AP219" s="26"/>
      <c r="AQ219" s="26"/>
      <c r="AR219" s="26"/>
      <c r="AS219" s="26"/>
      <c r="AT219" s="26"/>
      <c r="AU219" s="26"/>
      <c r="AV219" s="26"/>
      <c r="AW219" s="26"/>
      <c r="AX219" s="26"/>
      <c r="AY219" s="26"/>
      <c r="AZ219" s="26"/>
      <c r="BA219" s="26"/>
      <c r="BB219" s="26"/>
      <c r="BC219" s="26"/>
      <c r="BD219" s="26"/>
      <c r="BE219" s="26"/>
      <c r="BF219" s="26"/>
      <c r="BG219" s="26"/>
      <c r="BH219" s="26"/>
      <c r="BI219" s="26"/>
      <c r="BJ219" s="26"/>
      <c r="BK219" s="26"/>
      <c r="BL219" s="26"/>
      <c r="BM219" s="26"/>
      <c r="BN219" s="26"/>
      <c r="BO219" s="26"/>
      <c r="BP219" s="26"/>
      <c r="BQ219" s="26"/>
      <c r="BR219" s="26"/>
      <c r="BS219" s="26"/>
      <c r="BT219" s="26"/>
    </row>
    <row r="220" spans="3:72" ht="15" customHeight="1" x14ac:dyDescent="0.25"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  <c r="AO220" s="26"/>
      <c r="AP220" s="26"/>
      <c r="AQ220" s="26"/>
      <c r="AR220" s="26"/>
      <c r="AS220" s="26"/>
      <c r="AT220" s="26"/>
      <c r="AU220" s="26"/>
      <c r="AV220" s="26"/>
      <c r="AW220" s="26"/>
      <c r="AX220" s="26"/>
      <c r="AY220" s="26"/>
      <c r="AZ220" s="26"/>
      <c r="BA220" s="26"/>
      <c r="BB220" s="26"/>
      <c r="BC220" s="26"/>
      <c r="BD220" s="26"/>
      <c r="BE220" s="26"/>
      <c r="BF220" s="26"/>
      <c r="BG220" s="26"/>
      <c r="BH220" s="26"/>
      <c r="BI220" s="26"/>
      <c r="BJ220" s="26"/>
      <c r="BK220" s="26"/>
      <c r="BL220" s="26"/>
      <c r="BM220" s="26"/>
      <c r="BN220" s="26"/>
      <c r="BO220" s="26"/>
      <c r="BP220" s="26"/>
      <c r="BQ220" s="26"/>
      <c r="BR220" s="26"/>
      <c r="BS220" s="26"/>
      <c r="BT220" s="26"/>
    </row>
    <row r="221" spans="3:72" ht="15" customHeight="1" x14ac:dyDescent="0.25"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  <c r="AO221" s="26"/>
      <c r="AP221" s="26"/>
      <c r="AQ221" s="26"/>
      <c r="AR221" s="26"/>
      <c r="AS221" s="26"/>
      <c r="AT221" s="26"/>
      <c r="AU221" s="26"/>
      <c r="AV221" s="26"/>
      <c r="AW221" s="26"/>
      <c r="AX221" s="26"/>
      <c r="AY221" s="26"/>
      <c r="AZ221" s="26"/>
      <c r="BA221" s="26"/>
      <c r="BB221" s="26"/>
      <c r="BC221" s="26"/>
      <c r="BD221" s="26"/>
      <c r="BE221" s="26"/>
      <c r="BF221" s="26"/>
      <c r="BG221" s="26"/>
      <c r="BH221" s="26"/>
      <c r="BI221" s="26"/>
      <c r="BJ221" s="26"/>
      <c r="BK221" s="26"/>
      <c r="BL221" s="26"/>
      <c r="BM221" s="26"/>
      <c r="BN221" s="26"/>
      <c r="BO221" s="26"/>
      <c r="BP221" s="26"/>
      <c r="BQ221" s="26"/>
      <c r="BR221" s="26"/>
      <c r="BS221" s="26"/>
      <c r="BT221" s="26"/>
    </row>
    <row r="222" spans="3:72" ht="15" customHeight="1" x14ac:dyDescent="0.25"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  <c r="AO222" s="26"/>
      <c r="AP222" s="26"/>
      <c r="AQ222" s="26"/>
      <c r="AR222" s="26"/>
      <c r="AS222" s="26"/>
      <c r="AT222" s="26"/>
      <c r="AU222" s="26"/>
      <c r="AV222" s="26"/>
      <c r="AW222" s="26"/>
      <c r="AX222" s="26"/>
      <c r="AY222" s="26"/>
      <c r="AZ222" s="26"/>
      <c r="BA222" s="26"/>
      <c r="BB222" s="26"/>
      <c r="BC222" s="26"/>
      <c r="BD222" s="26"/>
      <c r="BE222" s="26"/>
      <c r="BF222" s="26"/>
      <c r="BG222" s="26"/>
      <c r="BH222" s="26"/>
      <c r="BI222" s="26"/>
      <c r="BJ222" s="26"/>
      <c r="BK222" s="26"/>
      <c r="BL222" s="26"/>
      <c r="BM222" s="26"/>
      <c r="BN222" s="26"/>
      <c r="BO222" s="26"/>
      <c r="BP222" s="26"/>
      <c r="BQ222" s="26"/>
      <c r="BR222" s="26"/>
      <c r="BS222" s="26"/>
      <c r="BT222" s="26"/>
    </row>
    <row r="223" spans="3:72" ht="15" customHeight="1" x14ac:dyDescent="0.25"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  <c r="AO223" s="26"/>
      <c r="AP223" s="26"/>
      <c r="AQ223" s="26"/>
      <c r="AR223" s="26"/>
      <c r="AS223" s="26"/>
      <c r="AT223" s="26"/>
      <c r="AU223" s="26"/>
      <c r="AV223" s="26"/>
      <c r="AW223" s="26"/>
      <c r="AX223" s="26"/>
      <c r="AY223" s="26"/>
      <c r="AZ223" s="26"/>
      <c r="BA223" s="26"/>
      <c r="BB223" s="26"/>
      <c r="BC223" s="26"/>
      <c r="BD223" s="26"/>
      <c r="BE223" s="26"/>
      <c r="BF223" s="26"/>
      <c r="BG223" s="26"/>
      <c r="BH223" s="26"/>
      <c r="BI223" s="26"/>
      <c r="BJ223" s="26"/>
      <c r="BK223" s="26"/>
      <c r="BL223" s="26"/>
      <c r="BM223" s="26"/>
      <c r="BN223" s="26"/>
      <c r="BO223" s="26"/>
      <c r="BP223" s="26"/>
      <c r="BQ223" s="26"/>
      <c r="BR223" s="26"/>
      <c r="BS223" s="26"/>
      <c r="BT223" s="26"/>
    </row>
    <row r="224" spans="3:72" ht="15" customHeight="1" x14ac:dyDescent="0.25"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  <c r="AO224" s="26"/>
      <c r="AP224" s="26"/>
      <c r="AQ224" s="26"/>
      <c r="AR224" s="26"/>
      <c r="AS224" s="26"/>
      <c r="AT224" s="26"/>
      <c r="AU224" s="26"/>
      <c r="AV224" s="26"/>
      <c r="AW224" s="26"/>
      <c r="AX224" s="26"/>
      <c r="AY224" s="26"/>
      <c r="AZ224" s="26"/>
      <c r="BA224" s="26"/>
      <c r="BB224" s="26"/>
      <c r="BC224" s="26"/>
      <c r="BD224" s="26"/>
      <c r="BE224" s="26"/>
      <c r="BF224" s="26"/>
      <c r="BG224" s="26"/>
      <c r="BH224" s="26"/>
      <c r="BI224" s="26"/>
      <c r="BJ224" s="26"/>
      <c r="BK224" s="26"/>
      <c r="BL224" s="26"/>
      <c r="BM224" s="26"/>
      <c r="BN224" s="26"/>
      <c r="BO224" s="26"/>
      <c r="BP224" s="26"/>
      <c r="BQ224" s="26"/>
      <c r="BR224" s="26"/>
      <c r="BS224" s="26"/>
      <c r="BT224" s="26"/>
    </row>
    <row r="225" spans="3:72" ht="15" customHeight="1" x14ac:dyDescent="0.25"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  <c r="AO225" s="26"/>
      <c r="AP225" s="26"/>
      <c r="AQ225" s="26"/>
      <c r="AR225" s="26"/>
      <c r="AS225" s="26"/>
      <c r="AT225" s="26"/>
      <c r="AU225" s="26"/>
      <c r="AV225" s="26"/>
      <c r="AW225" s="26"/>
      <c r="AX225" s="26"/>
      <c r="AY225" s="26"/>
      <c r="AZ225" s="26"/>
      <c r="BA225" s="26"/>
      <c r="BB225" s="26"/>
      <c r="BC225" s="26"/>
      <c r="BD225" s="26"/>
      <c r="BE225" s="26"/>
      <c r="BF225" s="26"/>
      <c r="BG225" s="26"/>
      <c r="BH225" s="26"/>
      <c r="BI225" s="26"/>
      <c r="BJ225" s="26"/>
      <c r="BK225" s="26"/>
      <c r="BL225" s="26"/>
      <c r="BM225" s="26"/>
      <c r="BN225" s="26"/>
      <c r="BO225" s="26"/>
      <c r="BP225" s="26"/>
      <c r="BQ225" s="26"/>
      <c r="BR225" s="26"/>
      <c r="BS225" s="26"/>
      <c r="BT225" s="26"/>
    </row>
    <row r="226" spans="3:72" ht="15" customHeight="1" x14ac:dyDescent="0.25"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  <c r="AO226" s="26"/>
      <c r="AP226" s="26"/>
      <c r="AQ226" s="26"/>
      <c r="AR226" s="26"/>
      <c r="AS226" s="26"/>
      <c r="AT226" s="26"/>
      <c r="AU226" s="26"/>
      <c r="AV226" s="26"/>
      <c r="AW226" s="26"/>
      <c r="AX226" s="26"/>
      <c r="AY226" s="26"/>
      <c r="AZ226" s="26"/>
      <c r="BA226" s="26"/>
      <c r="BB226" s="26"/>
      <c r="BC226" s="26"/>
      <c r="BD226" s="26"/>
      <c r="BE226" s="26"/>
      <c r="BF226" s="26"/>
      <c r="BG226" s="26"/>
      <c r="BH226" s="26"/>
      <c r="BI226" s="26"/>
      <c r="BJ226" s="26"/>
      <c r="BK226" s="26"/>
      <c r="BL226" s="26"/>
      <c r="BM226" s="26"/>
      <c r="BN226" s="26"/>
      <c r="BO226" s="26"/>
      <c r="BP226" s="26"/>
      <c r="BQ226" s="26"/>
      <c r="BR226" s="26"/>
      <c r="BS226" s="26"/>
      <c r="BT226" s="26"/>
    </row>
    <row r="227" spans="3:72" ht="15" customHeight="1" x14ac:dyDescent="0.25"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  <c r="AO227" s="26"/>
      <c r="AP227" s="26"/>
      <c r="AQ227" s="26"/>
      <c r="AR227" s="26"/>
      <c r="AS227" s="26"/>
      <c r="AT227" s="26"/>
      <c r="AU227" s="26"/>
      <c r="AV227" s="26"/>
      <c r="AW227" s="26"/>
      <c r="AX227" s="26"/>
      <c r="AY227" s="26"/>
      <c r="AZ227" s="26"/>
      <c r="BA227" s="26"/>
      <c r="BB227" s="26"/>
      <c r="BC227" s="26"/>
      <c r="BD227" s="26"/>
      <c r="BE227" s="26"/>
      <c r="BF227" s="26"/>
      <c r="BG227" s="26"/>
      <c r="BH227" s="26"/>
      <c r="BI227" s="26"/>
      <c r="BJ227" s="26"/>
      <c r="BK227" s="26"/>
      <c r="BL227" s="26"/>
      <c r="BM227" s="26"/>
      <c r="BN227" s="26"/>
      <c r="BO227" s="26"/>
      <c r="BP227" s="26"/>
      <c r="BQ227" s="26"/>
      <c r="BR227" s="26"/>
      <c r="BS227" s="26"/>
      <c r="BT227" s="26"/>
    </row>
    <row r="228" spans="3:72" ht="15" customHeight="1" x14ac:dyDescent="0.25"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  <c r="AO228" s="26"/>
      <c r="AP228" s="26"/>
      <c r="AQ228" s="26"/>
      <c r="AR228" s="26"/>
      <c r="AS228" s="26"/>
      <c r="AT228" s="26"/>
      <c r="AU228" s="26"/>
      <c r="AV228" s="26"/>
      <c r="AW228" s="26"/>
      <c r="AX228" s="26"/>
      <c r="AY228" s="26"/>
      <c r="AZ228" s="26"/>
      <c r="BA228" s="26"/>
      <c r="BB228" s="26"/>
      <c r="BC228" s="26"/>
      <c r="BD228" s="26"/>
      <c r="BE228" s="26"/>
      <c r="BF228" s="26"/>
      <c r="BG228" s="26"/>
      <c r="BH228" s="26"/>
      <c r="BI228" s="26"/>
      <c r="BJ228" s="26"/>
      <c r="BK228" s="26"/>
      <c r="BL228" s="26"/>
      <c r="BM228" s="26"/>
      <c r="BN228" s="26"/>
      <c r="BO228" s="26"/>
      <c r="BP228" s="26"/>
      <c r="BQ228" s="26"/>
      <c r="BR228" s="26"/>
      <c r="BS228" s="26"/>
      <c r="BT228" s="26"/>
    </row>
    <row r="229" spans="3:72" ht="15" customHeight="1" x14ac:dyDescent="0.25"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  <c r="AO229" s="26"/>
      <c r="AP229" s="26"/>
      <c r="AQ229" s="26"/>
      <c r="AR229" s="26"/>
      <c r="AS229" s="26"/>
      <c r="AT229" s="26"/>
      <c r="AU229" s="26"/>
      <c r="AV229" s="26"/>
      <c r="AW229" s="26"/>
      <c r="AX229" s="26"/>
      <c r="AY229" s="26"/>
      <c r="AZ229" s="26"/>
      <c r="BA229" s="26"/>
      <c r="BB229" s="26"/>
      <c r="BC229" s="26"/>
      <c r="BD229" s="26"/>
      <c r="BE229" s="26"/>
      <c r="BF229" s="26"/>
      <c r="BG229" s="26"/>
      <c r="BH229" s="26"/>
      <c r="BI229" s="26"/>
      <c r="BJ229" s="26"/>
      <c r="BK229" s="26"/>
      <c r="BL229" s="26"/>
      <c r="BM229" s="26"/>
      <c r="BN229" s="26"/>
      <c r="BO229" s="26"/>
      <c r="BP229" s="26"/>
      <c r="BQ229" s="26"/>
      <c r="BR229" s="26"/>
      <c r="BS229" s="26"/>
      <c r="BT229" s="26"/>
    </row>
    <row r="230" spans="3:72" ht="15" customHeight="1" x14ac:dyDescent="0.25"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  <c r="AO230" s="26"/>
      <c r="AP230" s="26"/>
      <c r="AQ230" s="26"/>
      <c r="AR230" s="26"/>
      <c r="AS230" s="26"/>
      <c r="AT230" s="26"/>
      <c r="AU230" s="26"/>
      <c r="AV230" s="26"/>
      <c r="AW230" s="26"/>
      <c r="AX230" s="26"/>
      <c r="AY230" s="26"/>
      <c r="AZ230" s="26"/>
      <c r="BA230" s="26"/>
      <c r="BB230" s="26"/>
      <c r="BC230" s="26"/>
      <c r="BD230" s="26"/>
      <c r="BE230" s="26"/>
      <c r="BF230" s="26"/>
      <c r="BG230" s="26"/>
      <c r="BH230" s="26"/>
      <c r="BI230" s="26"/>
      <c r="BJ230" s="26"/>
      <c r="BK230" s="26"/>
      <c r="BL230" s="26"/>
      <c r="BM230" s="26"/>
      <c r="BN230" s="26"/>
      <c r="BO230" s="26"/>
      <c r="BP230" s="26"/>
      <c r="BQ230" s="26"/>
      <c r="BR230" s="26"/>
      <c r="BS230" s="26"/>
      <c r="BT230" s="26"/>
    </row>
    <row r="231" spans="3:72" ht="15" customHeight="1" x14ac:dyDescent="0.25"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  <c r="AO231" s="26"/>
      <c r="AP231" s="26"/>
      <c r="AQ231" s="26"/>
      <c r="AR231" s="26"/>
      <c r="AS231" s="26"/>
      <c r="AT231" s="26"/>
      <c r="AU231" s="26"/>
      <c r="AV231" s="26"/>
      <c r="AW231" s="26"/>
      <c r="AX231" s="26"/>
      <c r="AY231" s="26"/>
      <c r="AZ231" s="26"/>
      <c r="BA231" s="26"/>
      <c r="BB231" s="26"/>
      <c r="BC231" s="26"/>
      <c r="BD231" s="26"/>
      <c r="BE231" s="26"/>
      <c r="BF231" s="26"/>
      <c r="BG231" s="26"/>
      <c r="BH231" s="26"/>
      <c r="BI231" s="26"/>
      <c r="BJ231" s="26"/>
      <c r="BK231" s="26"/>
      <c r="BL231" s="26"/>
      <c r="BM231" s="26"/>
      <c r="BN231" s="26"/>
      <c r="BO231" s="26"/>
      <c r="BP231" s="26"/>
      <c r="BQ231" s="26"/>
      <c r="BR231" s="26"/>
      <c r="BS231" s="26"/>
      <c r="BT231" s="26"/>
    </row>
    <row r="232" spans="3:72" ht="15" customHeight="1" x14ac:dyDescent="0.25"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  <c r="AO232" s="26"/>
      <c r="AP232" s="26"/>
      <c r="AQ232" s="26"/>
      <c r="AR232" s="26"/>
      <c r="AS232" s="26"/>
      <c r="AT232" s="26"/>
      <c r="AU232" s="26"/>
      <c r="AV232" s="26"/>
      <c r="AW232" s="26"/>
      <c r="AX232" s="26"/>
      <c r="AY232" s="26"/>
      <c r="AZ232" s="26"/>
      <c r="BA232" s="26"/>
      <c r="BB232" s="26"/>
      <c r="BC232" s="26"/>
      <c r="BD232" s="26"/>
      <c r="BE232" s="26"/>
      <c r="BF232" s="26"/>
      <c r="BG232" s="26"/>
      <c r="BH232" s="26"/>
      <c r="BI232" s="26"/>
      <c r="BJ232" s="26"/>
      <c r="BK232" s="26"/>
      <c r="BL232" s="26"/>
      <c r="BM232" s="26"/>
      <c r="BN232" s="26"/>
      <c r="BO232" s="26"/>
      <c r="BP232" s="26"/>
      <c r="BQ232" s="26"/>
      <c r="BR232" s="26"/>
      <c r="BS232" s="26"/>
      <c r="BT232" s="26"/>
    </row>
    <row r="233" spans="3:72" ht="15" customHeight="1" x14ac:dyDescent="0.25"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  <c r="AO233" s="26"/>
      <c r="AP233" s="26"/>
      <c r="AQ233" s="26"/>
      <c r="AR233" s="26"/>
      <c r="AS233" s="26"/>
      <c r="AT233" s="26"/>
      <c r="AU233" s="26"/>
      <c r="AV233" s="26"/>
      <c r="AW233" s="26"/>
      <c r="AX233" s="26"/>
      <c r="AY233" s="26"/>
      <c r="AZ233" s="26"/>
      <c r="BA233" s="26"/>
      <c r="BB233" s="26"/>
      <c r="BC233" s="26"/>
      <c r="BD233" s="26"/>
      <c r="BE233" s="26"/>
      <c r="BF233" s="26"/>
      <c r="BG233" s="26"/>
      <c r="BH233" s="26"/>
      <c r="BI233" s="26"/>
      <c r="BJ233" s="26"/>
      <c r="BK233" s="26"/>
      <c r="BL233" s="26"/>
      <c r="BM233" s="26"/>
      <c r="BN233" s="26"/>
      <c r="BO233" s="26"/>
      <c r="BP233" s="26"/>
      <c r="BQ233" s="26"/>
      <c r="BR233" s="26"/>
      <c r="BS233" s="26"/>
      <c r="BT233" s="26"/>
    </row>
    <row r="234" spans="3:72" ht="15" customHeight="1" x14ac:dyDescent="0.25"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  <c r="AO234" s="26"/>
      <c r="AP234" s="26"/>
      <c r="AQ234" s="26"/>
      <c r="AR234" s="26"/>
      <c r="AS234" s="26"/>
      <c r="AT234" s="26"/>
      <c r="AU234" s="26"/>
      <c r="AV234" s="26"/>
      <c r="AW234" s="26"/>
      <c r="AX234" s="26"/>
      <c r="AY234" s="26"/>
      <c r="AZ234" s="26"/>
      <c r="BA234" s="26"/>
      <c r="BB234" s="26"/>
      <c r="BC234" s="26"/>
      <c r="BD234" s="26"/>
      <c r="BE234" s="26"/>
      <c r="BF234" s="26"/>
      <c r="BG234" s="26"/>
      <c r="BH234" s="26"/>
      <c r="BI234" s="26"/>
      <c r="BJ234" s="26"/>
      <c r="BK234" s="26"/>
      <c r="BL234" s="26"/>
      <c r="BM234" s="26"/>
      <c r="BN234" s="26"/>
      <c r="BO234" s="26"/>
      <c r="BP234" s="26"/>
      <c r="BQ234" s="26"/>
      <c r="BR234" s="26"/>
      <c r="BS234" s="26"/>
      <c r="BT234" s="26"/>
    </row>
    <row r="235" spans="3:72" ht="15" customHeight="1" x14ac:dyDescent="0.25"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  <c r="AO235" s="26"/>
      <c r="AP235" s="26"/>
      <c r="AQ235" s="26"/>
      <c r="AR235" s="26"/>
      <c r="AS235" s="26"/>
      <c r="AT235" s="26"/>
      <c r="AU235" s="26"/>
      <c r="AV235" s="26"/>
      <c r="AW235" s="26"/>
      <c r="AX235" s="26"/>
      <c r="AY235" s="26"/>
      <c r="AZ235" s="26"/>
      <c r="BA235" s="26"/>
      <c r="BB235" s="26"/>
      <c r="BC235" s="26"/>
      <c r="BD235" s="26"/>
      <c r="BE235" s="26"/>
      <c r="BF235" s="26"/>
      <c r="BG235" s="26"/>
      <c r="BH235" s="26"/>
      <c r="BI235" s="26"/>
      <c r="BJ235" s="26"/>
      <c r="BK235" s="26"/>
      <c r="BL235" s="26"/>
      <c r="BM235" s="26"/>
      <c r="BN235" s="26"/>
      <c r="BO235" s="26"/>
      <c r="BP235" s="26"/>
      <c r="BQ235" s="26"/>
      <c r="BR235" s="26"/>
      <c r="BS235" s="26"/>
      <c r="BT235" s="26"/>
    </row>
    <row r="236" spans="3:72" ht="15" customHeight="1" x14ac:dyDescent="0.25"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  <c r="AO236" s="26"/>
      <c r="AP236" s="26"/>
      <c r="AQ236" s="26"/>
      <c r="AR236" s="26"/>
      <c r="AS236" s="26"/>
      <c r="AT236" s="26"/>
      <c r="AU236" s="26"/>
      <c r="AV236" s="26"/>
      <c r="AW236" s="26"/>
      <c r="AX236" s="26"/>
      <c r="AY236" s="26"/>
      <c r="AZ236" s="26"/>
      <c r="BA236" s="26"/>
      <c r="BB236" s="26"/>
      <c r="BC236" s="26"/>
      <c r="BD236" s="26"/>
      <c r="BE236" s="26"/>
      <c r="BF236" s="26"/>
      <c r="BG236" s="26"/>
      <c r="BH236" s="26"/>
      <c r="BI236" s="26"/>
      <c r="BJ236" s="26"/>
      <c r="BK236" s="26"/>
      <c r="BL236" s="26"/>
      <c r="BM236" s="26"/>
      <c r="BN236" s="26"/>
      <c r="BO236" s="26"/>
      <c r="BP236" s="26"/>
      <c r="BQ236" s="26"/>
      <c r="BR236" s="26"/>
      <c r="BS236" s="26"/>
      <c r="BT236" s="26"/>
    </row>
    <row r="237" spans="3:72" ht="15" customHeight="1" x14ac:dyDescent="0.25"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  <c r="AO237" s="26"/>
      <c r="AP237" s="26"/>
      <c r="AQ237" s="26"/>
      <c r="AR237" s="26"/>
      <c r="AS237" s="26"/>
      <c r="AT237" s="26"/>
      <c r="AU237" s="26"/>
      <c r="AV237" s="26"/>
      <c r="AW237" s="26"/>
      <c r="AX237" s="26"/>
      <c r="AY237" s="26"/>
      <c r="AZ237" s="26"/>
      <c r="BA237" s="26"/>
      <c r="BB237" s="26"/>
      <c r="BC237" s="26"/>
      <c r="BD237" s="26"/>
      <c r="BE237" s="26"/>
      <c r="BF237" s="26"/>
      <c r="BG237" s="26"/>
      <c r="BH237" s="26"/>
      <c r="BI237" s="26"/>
      <c r="BJ237" s="26"/>
      <c r="BK237" s="26"/>
      <c r="BL237" s="26"/>
      <c r="BM237" s="26"/>
      <c r="BN237" s="26"/>
      <c r="BO237" s="26"/>
      <c r="BP237" s="26"/>
      <c r="BQ237" s="26"/>
      <c r="BR237" s="26"/>
      <c r="BS237" s="26"/>
      <c r="BT237" s="26"/>
    </row>
    <row r="238" spans="3:72" ht="15" customHeight="1" x14ac:dyDescent="0.25"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  <c r="AO238" s="26"/>
      <c r="AP238" s="26"/>
      <c r="AQ238" s="26"/>
      <c r="AR238" s="26"/>
      <c r="AS238" s="26"/>
      <c r="AT238" s="26"/>
      <c r="AU238" s="26"/>
      <c r="AV238" s="26"/>
      <c r="AW238" s="26"/>
      <c r="AX238" s="26"/>
      <c r="AY238" s="26"/>
      <c r="AZ238" s="26"/>
      <c r="BA238" s="26"/>
      <c r="BB238" s="26"/>
      <c r="BC238" s="26"/>
      <c r="BD238" s="26"/>
      <c r="BE238" s="26"/>
      <c r="BF238" s="26"/>
      <c r="BG238" s="26"/>
      <c r="BH238" s="26"/>
      <c r="BI238" s="26"/>
      <c r="BJ238" s="26"/>
      <c r="BK238" s="26"/>
      <c r="BL238" s="26"/>
      <c r="BM238" s="26"/>
      <c r="BN238" s="26"/>
      <c r="BO238" s="26"/>
      <c r="BP238" s="26"/>
      <c r="BQ238" s="26"/>
      <c r="BR238" s="26"/>
      <c r="BS238" s="26"/>
      <c r="BT238" s="26"/>
    </row>
    <row r="239" spans="3:72" ht="15" customHeight="1" x14ac:dyDescent="0.25"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  <c r="AO239" s="26"/>
      <c r="AP239" s="26"/>
      <c r="AQ239" s="26"/>
      <c r="AR239" s="26"/>
      <c r="AS239" s="26"/>
      <c r="AT239" s="26"/>
      <c r="AU239" s="26"/>
      <c r="AV239" s="26"/>
      <c r="AW239" s="26"/>
      <c r="AX239" s="26"/>
      <c r="AY239" s="26"/>
      <c r="AZ239" s="26"/>
      <c r="BA239" s="26"/>
      <c r="BB239" s="26"/>
      <c r="BC239" s="26"/>
      <c r="BD239" s="26"/>
      <c r="BE239" s="26"/>
      <c r="BF239" s="26"/>
      <c r="BG239" s="26"/>
      <c r="BH239" s="26"/>
      <c r="BI239" s="26"/>
      <c r="BJ239" s="26"/>
      <c r="BK239" s="26"/>
      <c r="BL239" s="26"/>
      <c r="BM239" s="26"/>
      <c r="BN239" s="26"/>
      <c r="BO239" s="26"/>
      <c r="BP239" s="26"/>
      <c r="BQ239" s="26"/>
      <c r="BR239" s="26"/>
      <c r="BS239" s="26"/>
      <c r="BT239" s="26"/>
    </row>
    <row r="240" spans="3:72" ht="15" customHeight="1" x14ac:dyDescent="0.25"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  <c r="AO240" s="26"/>
      <c r="AP240" s="26"/>
      <c r="AQ240" s="26"/>
      <c r="AR240" s="26"/>
      <c r="AS240" s="26"/>
      <c r="AT240" s="26"/>
      <c r="AU240" s="26"/>
      <c r="AV240" s="26"/>
      <c r="AW240" s="26"/>
      <c r="AX240" s="26"/>
      <c r="AY240" s="26"/>
      <c r="AZ240" s="26"/>
      <c r="BA240" s="26"/>
      <c r="BB240" s="26"/>
      <c r="BC240" s="26"/>
      <c r="BD240" s="26"/>
      <c r="BE240" s="26"/>
      <c r="BF240" s="26"/>
      <c r="BG240" s="26"/>
      <c r="BH240" s="26"/>
      <c r="BI240" s="26"/>
      <c r="BJ240" s="26"/>
      <c r="BK240" s="26"/>
      <c r="BL240" s="26"/>
      <c r="BM240" s="26"/>
      <c r="BN240" s="26"/>
      <c r="BO240" s="26"/>
      <c r="BP240" s="26"/>
      <c r="BQ240" s="26"/>
      <c r="BR240" s="26"/>
      <c r="BS240" s="26"/>
      <c r="BT240" s="26"/>
    </row>
    <row r="241" spans="3:72" ht="15" customHeight="1" x14ac:dyDescent="0.25"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  <c r="AO241" s="26"/>
      <c r="AP241" s="26"/>
      <c r="AQ241" s="26"/>
      <c r="AR241" s="26"/>
      <c r="AS241" s="26"/>
      <c r="AT241" s="26"/>
      <c r="AU241" s="26"/>
      <c r="AV241" s="26"/>
      <c r="AW241" s="26"/>
      <c r="AX241" s="26"/>
      <c r="AY241" s="26"/>
      <c r="AZ241" s="26"/>
      <c r="BA241" s="26"/>
      <c r="BB241" s="26"/>
      <c r="BC241" s="26"/>
      <c r="BD241" s="26"/>
      <c r="BE241" s="26"/>
      <c r="BF241" s="26"/>
      <c r="BG241" s="26"/>
      <c r="BH241" s="26"/>
      <c r="BI241" s="26"/>
      <c r="BJ241" s="26"/>
      <c r="BK241" s="26"/>
      <c r="BL241" s="26"/>
      <c r="BM241" s="26"/>
      <c r="BN241" s="26"/>
      <c r="BO241" s="26"/>
      <c r="BP241" s="26"/>
      <c r="BQ241" s="26"/>
      <c r="BR241" s="26"/>
      <c r="BS241" s="26"/>
      <c r="BT241" s="26"/>
    </row>
    <row r="242" spans="3:72" ht="15" customHeight="1" x14ac:dyDescent="0.25"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6"/>
      <c r="AQ242" s="26"/>
      <c r="AR242" s="26"/>
      <c r="AS242" s="26"/>
      <c r="AT242" s="26"/>
      <c r="AU242" s="26"/>
      <c r="AV242" s="26"/>
      <c r="AW242" s="26"/>
      <c r="AX242" s="26"/>
      <c r="AY242" s="26"/>
      <c r="AZ242" s="26"/>
      <c r="BA242" s="26"/>
      <c r="BB242" s="26"/>
      <c r="BC242" s="26"/>
      <c r="BD242" s="26"/>
      <c r="BE242" s="26"/>
      <c r="BF242" s="26"/>
      <c r="BG242" s="26"/>
      <c r="BH242" s="26"/>
      <c r="BI242" s="26"/>
      <c r="BJ242" s="26"/>
      <c r="BK242" s="26"/>
      <c r="BL242" s="26"/>
      <c r="BM242" s="26"/>
      <c r="BN242" s="26"/>
      <c r="BO242" s="26"/>
      <c r="BP242" s="26"/>
      <c r="BQ242" s="26"/>
      <c r="BR242" s="26"/>
      <c r="BS242" s="26"/>
      <c r="BT242" s="26"/>
    </row>
    <row r="243" spans="3:72" ht="15" customHeight="1" x14ac:dyDescent="0.25"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6"/>
      <c r="AR243" s="26"/>
      <c r="AS243" s="26"/>
      <c r="AT243" s="26"/>
      <c r="AU243" s="26"/>
      <c r="AV243" s="26"/>
      <c r="AW243" s="26"/>
      <c r="AX243" s="26"/>
      <c r="AY243" s="26"/>
      <c r="AZ243" s="26"/>
      <c r="BA243" s="26"/>
      <c r="BB243" s="26"/>
      <c r="BC243" s="26"/>
      <c r="BD243" s="26"/>
      <c r="BE243" s="26"/>
      <c r="BF243" s="26"/>
      <c r="BG243" s="26"/>
      <c r="BH243" s="26"/>
      <c r="BI243" s="26"/>
      <c r="BJ243" s="26"/>
      <c r="BK243" s="26"/>
      <c r="BL243" s="26"/>
      <c r="BM243" s="26"/>
      <c r="BN243" s="26"/>
      <c r="BO243" s="26"/>
      <c r="BP243" s="26"/>
      <c r="BQ243" s="26"/>
      <c r="BR243" s="26"/>
      <c r="BS243" s="26"/>
      <c r="BT243" s="26"/>
    </row>
    <row r="244" spans="3:72" ht="15" customHeight="1" x14ac:dyDescent="0.25"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  <c r="AP244" s="26"/>
      <c r="AQ244" s="26"/>
      <c r="AR244" s="26"/>
      <c r="AS244" s="26"/>
      <c r="AT244" s="26"/>
      <c r="AU244" s="26"/>
      <c r="AV244" s="26"/>
      <c r="AW244" s="26"/>
      <c r="AX244" s="26"/>
      <c r="AY244" s="26"/>
      <c r="AZ244" s="26"/>
      <c r="BA244" s="26"/>
      <c r="BB244" s="26"/>
      <c r="BC244" s="26"/>
      <c r="BD244" s="26"/>
      <c r="BE244" s="26"/>
      <c r="BF244" s="26"/>
      <c r="BG244" s="26"/>
      <c r="BH244" s="26"/>
      <c r="BI244" s="26"/>
      <c r="BJ244" s="26"/>
      <c r="BK244" s="26"/>
      <c r="BL244" s="26"/>
      <c r="BM244" s="26"/>
      <c r="BN244" s="26"/>
      <c r="BO244" s="26"/>
      <c r="BP244" s="26"/>
      <c r="BQ244" s="26"/>
      <c r="BR244" s="26"/>
      <c r="BS244" s="26"/>
      <c r="BT244" s="26"/>
    </row>
    <row r="245" spans="3:72" ht="15" customHeight="1" x14ac:dyDescent="0.25"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  <c r="AO245" s="26"/>
      <c r="AP245" s="26"/>
      <c r="AQ245" s="26"/>
      <c r="AR245" s="26"/>
      <c r="AS245" s="26"/>
      <c r="AT245" s="26"/>
      <c r="AU245" s="26"/>
      <c r="AV245" s="26"/>
      <c r="AW245" s="26"/>
      <c r="AX245" s="26"/>
      <c r="AY245" s="26"/>
      <c r="AZ245" s="26"/>
      <c r="BA245" s="26"/>
      <c r="BB245" s="26"/>
      <c r="BC245" s="26"/>
      <c r="BD245" s="26"/>
      <c r="BE245" s="26"/>
      <c r="BF245" s="26"/>
      <c r="BG245" s="26"/>
      <c r="BH245" s="26"/>
      <c r="BI245" s="26"/>
      <c r="BJ245" s="26"/>
      <c r="BK245" s="26"/>
      <c r="BL245" s="26"/>
      <c r="BM245" s="26"/>
      <c r="BN245" s="26"/>
      <c r="BO245" s="26"/>
      <c r="BP245" s="26"/>
      <c r="BQ245" s="26"/>
      <c r="BR245" s="26"/>
      <c r="BS245" s="26"/>
      <c r="BT245" s="26"/>
    </row>
    <row r="246" spans="3:72" ht="15" customHeight="1" x14ac:dyDescent="0.25"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  <c r="AO246" s="26"/>
      <c r="AP246" s="26"/>
      <c r="AQ246" s="26"/>
      <c r="AR246" s="26"/>
      <c r="AS246" s="26"/>
      <c r="AT246" s="26"/>
      <c r="AU246" s="26"/>
      <c r="AV246" s="26"/>
      <c r="AW246" s="26"/>
      <c r="AX246" s="26"/>
      <c r="AY246" s="26"/>
      <c r="AZ246" s="26"/>
      <c r="BA246" s="26"/>
      <c r="BB246" s="26"/>
      <c r="BC246" s="26"/>
      <c r="BD246" s="26"/>
      <c r="BE246" s="26"/>
      <c r="BF246" s="26"/>
      <c r="BG246" s="26"/>
      <c r="BH246" s="26"/>
      <c r="BI246" s="26"/>
      <c r="BJ246" s="26"/>
      <c r="BK246" s="26"/>
      <c r="BL246" s="26"/>
      <c r="BM246" s="26"/>
      <c r="BN246" s="26"/>
      <c r="BO246" s="26"/>
      <c r="BP246" s="26"/>
      <c r="BQ246" s="26"/>
      <c r="BR246" s="26"/>
      <c r="BS246" s="26"/>
      <c r="BT246" s="26"/>
    </row>
    <row r="247" spans="3:72" ht="15" customHeight="1" x14ac:dyDescent="0.25"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  <c r="AO247" s="26"/>
      <c r="AP247" s="26"/>
      <c r="AQ247" s="26"/>
      <c r="AR247" s="26"/>
      <c r="AS247" s="26"/>
      <c r="AT247" s="26"/>
      <c r="AU247" s="26"/>
      <c r="AV247" s="26"/>
      <c r="AW247" s="26"/>
      <c r="AX247" s="26"/>
      <c r="AY247" s="26"/>
      <c r="AZ247" s="26"/>
      <c r="BA247" s="26"/>
      <c r="BB247" s="26"/>
      <c r="BC247" s="26"/>
      <c r="BD247" s="26"/>
      <c r="BE247" s="26"/>
      <c r="BF247" s="26"/>
      <c r="BG247" s="26"/>
      <c r="BH247" s="26"/>
      <c r="BI247" s="26"/>
      <c r="BJ247" s="26"/>
      <c r="BK247" s="26"/>
      <c r="BL247" s="26"/>
      <c r="BM247" s="26"/>
      <c r="BN247" s="26"/>
      <c r="BO247" s="26"/>
      <c r="BP247" s="26"/>
      <c r="BQ247" s="26"/>
      <c r="BR247" s="26"/>
      <c r="BS247" s="26"/>
      <c r="BT247" s="26"/>
    </row>
    <row r="248" spans="3:72" ht="15" customHeight="1" x14ac:dyDescent="0.25"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  <c r="AO248" s="26"/>
      <c r="AP248" s="26"/>
      <c r="AQ248" s="26"/>
      <c r="AR248" s="26"/>
      <c r="AS248" s="26"/>
      <c r="AT248" s="26"/>
      <c r="AU248" s="26"/>
      <c r="AV248" s="26"/>
      <c r="AW248" s="26"/>
      <c r="AX248" s="26"/>
      <c r="AY248" s="26"/>
      <c r="AZ248" s="26"/>
      <c r="BA248" s="26"/>
      <c r="BB248" s="26"/>
      <c r="BC248" s="26"/>
      <c r="BD248" s="26"/>
      <c r="BE248" s="26"/>
      <c r="BF248" s="26"/>
      <c r="BG248" s="26"/>
      <c r="BH248" s="26"/>
      <c r="BI248" s="26"/>
      <c r="BJ248" s="26"/>
      <c r="BK248" s="26"/>
      <c r="BL248" s="26"/>
      <c r="BM248" s="26"/>
      <c r="BN248" s="26"/>
      <c r="BO248" s="26"/>
      <c r="BP248" s="26"/>
      <c r="BQ248" s="26"/>
      <c r="BR248" s="26"/>
      <c r="BS248" s="26"/>
      <c r="BT248" s="26"/>
    </row>
    <row r="249" spans="3:72" ht="15" customHeight="1" x14ac:dyDescent="0.25"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  <c r="AO249" s="26"/>
      <c r="AP249" s="26"/>
      <c r="AQ249" s="26"/>
      <c r="AR249" s="26"/>
      <c r="AS249" s="26"/>
      <c r="AT249" s="26"/>
      <c r="AU249" s="26"/>
      <c r="AV249" s="26"/>
      <c r="AW249" s="26"/>
      <c r="AX249" s="26"/>
      <c r="AY249" s="26"/>
      <c r="AZ249" s="26"/>
      <c r="BA249" s="26"/>
      <c r="BB249" s="26"/>
      <c r="BC249" s="26"/>
      <c r="BD249" s="26"/>
      <c r="BE249" s="26"/>
      <c r="BF249" s="26"/>
      <c r="BG249" s="26"/>
      <c r="BH249" s="26"/>
      <c r="BI249" s="26"/>
      <c r="BJ249" s="26"/>
      <c r="BK249" s="26"/>
      <c r="BL249" s="26"/>
      <c r="BM249" s="26"/>
      <c r="BN249" s="26"/>
      <c r="BO249" s="26"/>
      <c r="BP249" s="26"/>
      <c r="BQ249" s="26"/>
      <c r="BR249" s="26"/>
      <c r="BS249" s="26"/>
      <c r="BT249" s="26"/>
    </row>
    <row r="250" spans="3:72" ht="15" customHeight="1" x14ac:dyDescent="0.25"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  <c r="AO250" s="26"/>
      <c r="AP250" s="26"/>
      <c r="AQ250" s="26"/>
      <c r="AR250" s="26"/>
      <c r="AS250" s="26"/>
      <c r="AT250" s="26"/>
      <c r="AU250" s="26"/>
      <c r="AV250" s="26"/>
      <c r="AW250" s="26"/>
      <c r="AX250" s="26"/>
      <c r="AY250" s="26"/>
      <c r="AZ250" s="26"/>
      <c r="BA250" s="26"/>
      <c r="BB250" s="26"/>
      <c r="BC250" s="26"/>
      <c r="BD250" s="26"/>
      <c r="BE250" s="26"/>
      <c r="BF250" s="26"/>
      <c r="BG250" s="26"/>
      <c r="BH250" s="26"/>
      <c r="BI250" s="26"/>
      <c r="BJ250" s="26"/>
      <c r="BK250" s="26"/>
      <c r="BL250" s="26"/>
      <c r="BM250" s="26"/>
      <c r="BN250" s="26"/>
      <c r="BO250" s="26"/>
      <c r="BP250" s="26"/>
      <c r="BQ250" s="26"/>
      <c r="BR250" s="26"/>
      <c r="BS250" s="26"/>
      <c r="BT250" s="26"/>
    </row>
    <row r="251" spans="3:72" ht="15" customHeight="1" x14ac:dyDescent="0.25"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  <c r="AO251" s="26"/>
      <c r="AP251" s="26"/>
      <c r="AQ251" s="26"/>
      <c r="AR251" s="26"/>
      <c r="AS251" s="26"/>
      <c r="AT251" s="26"/>
      <c r="AU251" s="26"/>
      <c r="AV251" s="26"/>
      <c r="AW251" s="26"/>
      <c r="AX251" s="26"/>
      <c r="AY251" s="26"/>
      <c r="AZ251" s="26"/>
      <c r="BA251" s="26"/>
      <c r="BB251" s="26"/>
      <c r="BC251" s="26"/>
      <c r="BD251" s="26"/>
      <c r="BE251" s="26"/>
      <c r="BF251" s="26"/>
      <c r="BG251" s="26"/>
      <c r="BH251" s="26"/>
      <c r="BI251" s="26"/>
      <c r="BJ251" s="26"/>
      <c r="BK251" s="26"/>
      <c r="BL251" s="26"/>
      <c r="BM251" s="26"/>
      <c r="BN251" s="26"/>
      <c r="BO251" s="26"/>
      <c r="BP251" s="26"/>
      <c r="BQ251" s="26"/>
      <c r="BR251" s="26"/>
      <c r="BS251" s="26"/>
      <c r="BT251" s="26"/>
    </row>
    <row r="252" spans="3:72" ht="15" customHeight="1" x14ac:dyDescent="0.25"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  <c r="AP252" s="26"/>
      <c r="AQ252" s="26"/>
      <c r="AR252" s="26"/>
      <c r="AS252" s="26"/>
      <c r="AT252" s="26"/>
      <c r="AU252" s="26"/>
      <c r="AV252" s="26"/>
      <c r="AW252" s="26"/>
      <c r="AX252" s="26"/>
      <c r="AY252" s="26"/>
      <c r="AZ252" s="26"/>
      <c r="BA252" s="26"/>
      <c r="BB252" s="26"/>
      <c r="BC252" s="26"/>
      <c r="BD252" s="26"/>
      <c r="BE252" s="26"/>
      <c r="BF252" s="26"/>
      <c r="BG252" s="26"/>
      <c r="BH252" s="26"/>
      <c r="BI252" s="26"/>
      <c r="BJ252" s="26"/>
      <c r="BK252" s="26"/>
      <c r="BL252" s="26"/>
      <c r="BM252" s="26"/>
      <c r="BN252" s="26"/>
      <c r="BO252" s="26"/>
      <c r="BP252" s="26"/>
      <c r="BQ252" s="26"/>
      <c r="BR252" s="26"/>
      <c r="BS252" s="26"/>
      <c r="BT252" s="26"/>
    </row>
    <row r="253" spans="3:72" ht="15" customHeight="1" x14ac:dyDescent="0.25"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  <c r="AP253" s="26"/>
      <c r="AQ253" s="26"/>
      <c r="AR253" s="26"/>
      <c r="AS253" s="26"/>
      <c r="AT253" s="26"/>
      <c r="AU253" s="26"/>
      <c r="AV253" s="26"/>
      <c r="AW253" s="26"/>
      <c r="AX253" s="26"/>
      <c r="AY253" s="26"/>
      <c r="AZ253" s="26"/>
      <c r="BA253" s="26"/>
      <c r="BB253" s="26"/>
      <c r="BC253" s="26"/>
      <c r="BD253" s="26"/>
      <c r="BE253" s="26"/>
      <c r="BF253" s="26"/>
      <c r="BG253" s="26"/>
      <c r="BH253" s="26"/>
      <c r="BI253" s="26"/>
      <c r="BJ253" s="26"/>
      <c r="BK253" s="26"/>
      <c r="BL253" s="26"/>
      <c r="BM253" s="26"/>
      <c r="BN253" s="26"/>
      <c r="BO253" s="26"/>
      <c r="BP253" s="26"/>
      <c r="BQ253" s="26"/>
      <c r="BR253" s="26"/>
      <c r="BS253" s="26"/>
      <c r="BT253" s="26"/>
    </row>
    <row r="254" spans="3:72" ht="15" customHeight="1" x14ac:dyDescent="0.25"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  <c r="AO254" s="26"/>
      <c r="AP254" s="26"/>
      <c r="AQ254" s="26"/>
      <c r="AR254" s="26"/>
      <c r="AS254" s="26"/>
      <c r="AT254" s="26"/>
      <c r="AU254" s="26"/>
      <c r="AV254" s="26"/>
      <c r="AW254" s="26"/>
      <c r="AX254" s="26"/>
      <c r="AY254" s="26"/>
      <c r="AZ254" s="26"/>
      <c r="BA254" s="26"/>
      <c r="BB254" s="26"/>
      <c r="BC254" s="26"/>
      <c r="BD254" s="26"/>
      <c r="BE254" s="26"/>
      <c r="BF254" s="26"/>
      <c r="BG254" s="26"/>
      <c r="BH254" s="26"/>
      <c r="BI254" s="26"/>
      <c r="BJ254" s="26"/>
      <c r="BK254" s="26"/>
      <c r="BL254" s="26"/>
      <c r="BM254" s="26"/>
      <c r="BN254" s="26"/>
      <c r="BO254" s="26"/>
      <c r="BP254" s="26"/>
      <c r="BQ254" s="26"/>
      <c r="BR254" s="26"/>
      <c r="BS254" s="26"/>
      <c r="BT254" s="26"/>
    </row>
    <row r="255" spans="3:72" ht="15" customHeight="1" x14ac:dyDescent="0.25"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  <c r="AO255" s="26"/>
      <c r="AP255" s="26"/>
      <c r="AQ255" s="26"/>
      <c r="AR255" s="26"/>
      <c r="AS255" s="26"/>
      <c r="AT255" s="26"/>
      <c r="AU255" s="26"/>
      <c r="AV255" s="26"/>
      <c r="AW255" s="26"/>
      <c r="AX255" s="26"/>
      <c r="AY255" s="26"/>
      <c r="AZ255" s="26"/>
      <c r="BA255" s="26"/>
      <c r="BB255" s="26"/>
      <c r="BC255" s="26"/>
      <c r="BD255" s="26"/>
      <c r="BE255" s="26"/>
      <c r="BF255" s="26"/>
      <c r="BG255" s="26"/>
      <c r="BH255" s="26"/>
      <c r="BI255" s="26"/>
      <c r="BJ255" s="26"/>
      <c r="BK255" s="26"/>
      <c r="BL255" s="26"/>
      <c r="BM255" s="26"/>
      <c r="BN255" s="26"/>
      <c r="BO255" s="26"/>
      <c r="BP255" s="26"/>
      <c r="BQ255" s="26"/>
      <c r="BR255" s="26"/>
      <c r="BS255" s="26"/>
      <c r="BT255" s="26"/>
    </row>
    <row r="256" spans="3:72" ht="15" customHeight="1" x14ac:dyDescent="0.25"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  <c r="AO256" s="26"/>
      <c r="AP256" s="26"/>
      <c r="AQ256" s="26"/>
      <c r="AR256" s="26"/>
      <c r="AS256" s="26"/>
      <c r="AT256" s="26"/>
      <c r="AU256" s="26"/>
      <c r="AV256" s="26"/>
      <c r="AW256" s="26"/>
      <c r="AX256" s="26"/>
      <c r="AY256" s="26"/>
      <c r="AZ256" s="26"/>
      <c r="BA256" s="26"/>
      <c r="BB256" s="26"/>
      <c r="BC256" s="26"/>
      <c r="BD256" s="26"/>
      <c r="BE256" s="26"/>
      <c r="BF256" s="26"/>
      <c r="BG256" s="26"/>
      <c r="BH256" s="26"/>
      <c r="BI256" s="26"/>
      <c r="BJ256" s="26"/>
      <c r="BK256" s="26"/>
      <c r="BL256" s="26"/>
      <c r="BM256" s="26"/>
      <c r="BN256" s="26"/>
      <c r="BO256" s="26"/>
      <c r="BP256" s="26"/>
      <c r="BQ256" s="26"/>
      <c r="BR256" s="26"/>
      <c r="BS256" s="26"/>
      <c r="BT256" s="26"/>
    </row>
    <row r="257" spans="3:72" ht="15" customHeight="1" x14ac:dyDescent="0.25"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  <c r="AO257" s="26"/>
      <c r="AP257" s="26"/>
      <c r="AQ257" s="26"/>
      <c r="AR257" s="26"/>
      <c r="AS257" s="26"/>
      <c r="AT257" s="26"/>
      <c r="AU257" s="26"/>
      <c r="AV257" s="26"/>
      <c r="AW257" s="26"/>
      <c r="AX257" s="26"/>
      <c r="AY257" s="26"/>
      <c r="AZ257" s="26"/>
      <c r="BA257" s="26"/>
      <c r="BB257" s="26"/>
      <c r="BC257" s="26"/>
      <c r="BD257" s="26"/>
      <c r="BE257" s="26"/>
      <c r="BF257" s="26"/>
      <c r="BG257" s="26"/>
      <c r="BH257" s="26"/>
      <c r="BI257" s="26"/>
      <c r="BJ257" s="26"/>
      <c r="BK257" s="26"/>
      <c r="BL257" s="26"/>
      <c r="BM257" s="26"/>
      <c r="BN257" s="26"/>
      <c r="BO257" s="26"/>
      <c r="BP257" s="26"/>
      <c r="BQ257" s="26"/>
      <c r="BR257" s="26"/>
      <c r="BS257" s="26"/>
      <c r="BT257" s="26"/>
    </row>
    <row r="258" spans="3:72" ht="15" customHeight="1" x14ac:dyDescent="0.25"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  <c r="AP258" s="26"/>
      <c r="AQ258" s="26"/>
      <c r="AR258" s="26"/>
      <c r="AS258" s="26"/>
      <c r="AT258" s="26"/>
      <c r="AU258" s="26"/>
      <c r="AV258" s="26"/>
      <c r="AW258" s="26"/>
      <c r="AX258" s="26"/>
      <c r="AY258" s="26"/>
      <c r="AZ258" s="26"/>
      <c r="BA258" s="26"/>
      <c r="BB258" s="26"/>
      <c r="BC258" s="26"/>
      <c r="BD258" s="26"/>
      <c r="BE258" s="26"/>
      <c r="BF258" s="26"/>
      <c r="BG258" s="26"/>
      <c r="BH258" s="26"/>
      <c r="BI258" s="26"/>
      <c r="BJ258" s="26"/>
      <c r="BK258" s="26"/>
      <c r="BL258" s="26"/>
      <c r="BM258" s="26"/>
      <c r="BN258" s="26"/>
      <c r="BO258" s="26"/>
      <c r="BP258" s="26"/>
      <c r="BQ258" s="26"/>
      <c r="BR258" s="26"/>
      <c r="BS258" s="26"/>
      <c r="BT258" s="26"/>
    </row>
    <row r="259" spans="3:72" ht="15" customHeight="1" x14ac:dyDescent="0.25"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  <c r="AP259" s="26"/>
      <c r="AQ259" s="26"/>
      <c r="AR259" s="26"/>
      <c r="AS259" s="26"/>
      <c r="AT259" s="26"/>
      <c r="AU259" s="26"/>
      <c r="AV259" s="26"/>
      <c r="AW259" s="26"/>
      <c r="AX259" s="26"/>
      <c r="AY259" s="26"/>
      <c r="AZ259" s="26"/>
      <c r="BA259" s="26"/>
      <c r="BB259" s="26"/>
      <c r="BC259" s="26"/>
      <c r="BD259" s="26"/>
      <c r="BE259" s="26"/>
      <c r="BF259" s="26"/>
      <c r="BG259" s="26"/>
      <c r="BH259" s="26"/>
      <c r="BI259" s="26"/>
      <c r="BJ259" s="26"/>
      <c r="BK259" s="26"/>
      <c r="BL259" s="26"/>
      <c r="BM259" s="26"/>
      <c r="BN259" s="26"/>
      <c r="BO259" s="26"/>
      <c r="BP259" s="26"/>
      <c r="BQ259" s="26"/>
      <c r="BR259" s="26"/>
      <c r="BS259" s="26"/>
      <c r="BT259" s="26"/>
    </row>
    <row r="260" spans="3:72" ht="15" customHeight="1" x14ac:dyDescent="0.25"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  <c r="AO260" s="26"/>
      <c r="AP260" s="26"/>
      <c r="AQ260" s="26"/>
      <c r="AR260" s="26"/>
      <c r="AS260" s="26"/>
      <c r="AT260" s="26"/>
      <c r="AU260" s="26"/>
      <c r="AV260" s="26"/>
      <c r="AW260" s="26"/>
      <c r="AX260" s="26"/>
      <c r="AY260" s="26"/>
      <c r="AZ260" s="26"/>
      <c r="BA260" s="26"/>
      <c r="BB260" s="26"/>
      <c r="BC260" s="26"/>
      <c r="BD260" s="26"/>
      <c r="BE260" s="26"/>
      <c r="BF260" s="26"/>
      <c r="BG260" s="26"/>
      <c r="BH260" s="26"/>
      <c r="BI260" s="26"/>
      <c r="BJ260" s="26"/>
      <c r="BK260" s="26"/>
      <c r="BL260" s="26"/>
      <c r="BM260" s="26"/>
      <c r="BN260" s="26"/>
      <c r="BO260" s="26"/>
      <c r="BP260" s="26"/>
      <c r="BQ260" s="26"/>
      <c r="BR260" s="26"/>
      <c r="BS260" s="26"/>
      <c r="BT260" s="26"/>
    </row>
    <row r="261" spans="3:72" ht="15" customHeight="1" x14ac:dyDescent="0.25"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  <c r="AP261" s="26"/>
      <c r="AQ261" s="26"/>
      <c r="AR261" s="26"/>
      <c r="AS261" s="26"/>
      <c r="AT261" s="26"/>
      <c r="AU261" s="26"/>
      <c r="AV261" s="26"/>
      <c r="AW261" s="26"/>
      <c r="AX261" s="26"/>
      <c r="AY261" s="26"/>
      <c r="AZ261" s="26"/>
      <c r="BA261" s="26"/>
      <c r="BB261" s="26"/>
      <c r="BC261" s="26"/>
      <c r="BD261" s="26"/>
      <c r="BE261" s="26"/>
      <c r="BF261" s="26"/>
      <c r="BG261" s="26"/>
      <c r="BH261" s="26"/>
      <c r="BI261" s="26"/>
      <c r="BJ261" s="26"/>
      <c r="BK261" s="26"/>
      <c r="BL261" s="26"/>
      <c r="BM261" s="26"/>
      <c r="BN261" s="26"/>
      <c r="BO261" s="26"/>
      <c r="BP261" s="26"/>
      <c r="BQ261" s="26"/>
      <c r="BR261" s="26"/>
      <c r="BS261" s="26"/>
      <c r="BT261" s="26"/>
    </row>
    <row r="262" spans="3:72" ht="15" customHeight="1" x14ac:dyDescent="0.25"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  <c r="AP262" s="26"/>
      <c r="AQ262" s="26"/>
      <c r="AR262" s="26"/>
      <c r="AS262" s="26"/>
      <c r="AT262" s="26"/>
      <c r="AU262" s="26"/>
      <c r="AV262" s="26"/>
      <c r="AW262" s="26"/>
      <c r="AX262" s="26"/>
      <c r="AY262" s="26"/>
      <c r="AZ262" s="26"/>
      <c r="BA262" s="26"/>
      <c r="BB262" s="26"/>
      <c r="BC262" s="26"/>
      <c r="BD262" s="26"/>
      <c r="BE262" s="26"/>
      <c r="BF262" s="26"/>
      <c r="BG262" s="26"/>
      <c r="BH262" s="26"/>
      <c r="BI262" s="26"/>
      <c r="BJ262" s="26"/>
      <c r="BK262" s="26"/>
      <c r="BL262" s="26"/>
      <c r="BM262" s="26"/>
      <c r="BN262" s="26"/>
      <c r="BO262" s="26"/>
      <c r="BP262" s="26"/>
      <c r="BQ262" s="26"/>
      <c r="BR262" s="26"/>
      <c r="BS262" s="26"/>
      <c r="BT262" s="26"/>
    </row>
    <row r="263" spans="3:72" ht="15" customHeight="1" x14ac:dyDescent="0.25"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  <c r="AP263" s="26"/>
      <c r="AQ263" s="26"/>
      <c r="AR263" s="26"/>
      <c r="AS263" s="26"/>
      <c r="AT263" s="26"/>
      <c r="AU263" s="26"/>
      <c r="AV263" s="26"/>
      <c r="AW263" s="26"/>
      <c r="AX263" s="26"/>
      <c r="AY263" s="26"/>
      <c r="AZ263" s="26"/>
      <c r="BA263" s="26"/>
      <c r="BB263" s="26"/>
      <c r="BC263" s="26"/>
      <c r="BD263" s="26"/>
      <c r="BE263" s="26"/>
      <c r="BF263" s="26"/>
      <c r="BG263" s="26"/>
      <c r="BH263" s="26"/>
      <c r="BI263" s="26"/>
      <c r="BJ263" s="26"/>
      <c r="BK263" s="26"/>
      <c r="BL263" s="26"/>
      <c r="BM263" s="26"/>
      <c r="BN263" s="26"/>
      <c r="BO263" s="26"/>
      <c r="BP263" s="26"/>
      <c r="BQ263" s="26"/>
      <c r="BR263" s="26"/>
      <c r="BS263" s="26"/>
      <c r="BT263" s="26"/>
    </row>
    <row r="264" spans="3:72" ht="15" customHeight="1" x14ac:dyDescent="0.25"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  <c r="AP264" s="26"/>
      <c r="AQ264" s="26"/>
      <c r="AR264" s="26"/>
      <c r="AS264" s="26"/>
      <c r="AT264" s="26"/>
      <c r="AU264" s="26"/>
      <c r="AV264" s="26"/>
      <c r="AW264" s="26"/>
      <c r="AX264" s="26"/>
      <c r="AY264" s="26"/>
      <c r="AZ264" s="26"/>
      <c r="BA264" s="26"/>
      <c r="BB264" s="26"/>
      <c r="BC264" s="26"/>
      <c r="BD264" s="26"/>
      <c r="BE264" s="26"/>
      <c r="BF264" s="26"/>
      <c r="BG264" s="26"/>
      <c r="BH264" s="26"/>
      <c r="BI264" s="26"/>
      <c r="BJ264" s="26"/>
      <c r="BK264" s="26"/>
      <c r="BL264" s="26"/>
      <c r="BM264" s="26"/>
      <c r="BN264" s="26"/>
      <c r="BO264" s="26"/>
      <c r="BP264" s="26"/>
      <c r="BQ264" s="26"/>
      <c r="BR264" s="26"/>
      <c r="BS264" s="26"/>
      <c r="BT264" s="26"/>
    </row>
    <row r="265" spans="3:72" ht="15" customHeight="1" x14ac:dyDescent="0.25"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  <c r="AN265" s="26"/>
      <c r="AO265" s="26"/>
      <c r="AP265" s="26"/>
      <c r="AQ265" s="26"/>
      <c r="AR265" s="26"/>
      <c r="AS265" s="26"/>
      <c r="AT265" s="26"/>
      <c r="AU265" s="26"/>
      <c r="AV265" s="26"/>
      <c r="AW265" s="26"/>
      <c r="AX265" s="26"/>
      <c r="AY265" s="26"/>
      <c r="AZ265" s="26"/>
      <c r="BA265" s="26"/>
      <c r="BB265" s="26"/>
      <c r="BC265" s="26"/>
      <c r="BD265" s="26"/>
      <c r="BE265" s="26"/>
      <c r="BF265" s="26"/>
      <c r="BG265" s="26"/>
      <c r="BH265" s="26"/>
      <c r="BI265" s="26"/>
      <c r="BJ265" s="26"/>
      <c r="BK265" s="26"/>
      <c r="BL265" s="26"/>
      <c r="BM265" s="26"/>
      <c r="BN265" s="26"/>
      <c r="BO265" s="26"/>
      <c r="BP265" s="26"/>
      <c r="BQ265" s="26"/>
      <c r="BR265" s="26"/>
      <c r="BS265" s="26"/>
      <c r="BT265" s="26"/>
    </row>
    <row r="266" spans="3:72" ht="15" customHeight="1" x14ac:dyDescent="0.25"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/>
      <c r="AO266" s="26"/>
      <c r="AP266" s="26"/>
      <c r="AQ266" s="26"/>
      <c r="AR266" s="26"/>
      <c r="AS266" s="26"/>
      <c r="AT266" s="26"/>
      <c r="AU266" s="26"/>
      <c r="AV266" s="26"/>
      <c r="AW266" s="26"/>
      <c r="AX266" s="26"/>
      <c r="AY266" s="26"/>
      <c r="AZ266" s="26"/>
      <c r="BA266" s="26"/>
      <c r="BB266" s="26"/>
      <c r="BC266" s="26"/>
      <c r="BD266" s="26"/>
      <c r="BE266" s="26"/>
      <c r="BF266" s="26"/>
      <c r="BG266" s="26"/>
      <c r="BH266" s="26"/>
      <c r="BI266" s="26"/>
      <c r="BJ266" s="26"/>
      <c r="BK266" s="26"/>
      <c r="BL266" s="26"/>
      <c r="BM266" s="26"/>
      <c r="BN266" s="26"/>
      <c r="BO266" s="26"/>
      <c r="BP266" s="26"/>
      <c r="BQ266" s="26"/>
      <c r="BR266" s="26"/>
      <c r="BS266" s="26"/>
      <c r="BT266" s="26"/>
    </row>
    <row r="267" spans="3:72" ht="15" customHeight="1" x14ac:dyDescent="0.25"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  <c r="AO267" s="26"/>
      <c r="AP267" s="26"/>
      <c r="AQ267" s="26"/>
      <c r="AR267" s="26"/>
      <c r="AS267" s="26"/>
      <c r="AT267" s="26"/>
      <c r="AU267" s="26"/>
      <c r="AV267" s="26"/>
      <c r="AW267" s="26"/>
      <c r="AX267" s="26"/>
      <c r="AY267" s="26"/>
      <c r="AZ267" s="26"/>
      <c r="BA267" s="26"/>
      <c r="BB267" s="26"/>
      <c r="BC267" s="26"/>
      <c r="BD267" s="26"/>
      <c r="BE267" s="26"/>
      <c r="BF267" s="26"/>
      <c r="BG267" s="26"/>
      <c r="BH267" s="26"/>
      <c r="BI267" s="26"/>
      <c r="BJ267" s="26"/>
      <c r="BK267" s="26"/>
      <c r="BL267" s="26"/>
      <c r="BM267" s="26"/>
      <c r="BN267" s="26"/>
      <c r="BO267" s="26"/>
      <c r="BP267" s="26"/>
      <c r="BQ267" s="26"/>
      <c r="BR267" s="26"/>
      <c r="BS267" s="26"/>
      <c r="BT267" s="26"/>
    </row>
    <row r="268" spans="3:72" ht="15" customHeight="1" x14ac:dyDescent="0.25"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  <c r="AN268" s="26"/>
      <c r="AO268" s="26"/>
      <c r="AP268" s="26"/>
      <c r="AQ268" s="26"/>
      <c r="AR268" s="26"/>
      <c r="AS268" s="26"/>
      <c r="AT268" s="26"/>
      <c r="AU268" s="26"/>
      <c r="AV268" s="26"/>
      <c r="AW268" s="26"/>
      <c r="AX268" s="26"/>
      <c r="AY268" s="26"/>
      <c r="AZ268" s="26"/>
      <c r="BA268" s="26"/>
      <c r="BB268" s="26"/>
      <c r="BC268" s="26"/>
      <c r="BD268" s="26"/>
      <c r="BE268" s="26"/>
      <c r="BF268" s="26"/>
      <c r="BG268" s="26"/>
      <c r="BH268" s="26"/>
      <c r="BI268" s="26"/>
      <c r="BJ268" s="26"/>
      <c r="BK268" s="26"/>
      <c r="BL268" s="26"/>
      <c r="BM268" s="26"/>
      <c r="BN268" s="26"/>
      <c r="BO268" s="26"/>
      <c r="BP268" s="26"/>
      <c r="BQ268" s="26"/>
      <c r="BR268" s="26"/>
      <c r="BS268" s="26"/>
      <c r="BT268" s="26"/>
    </row>
    <row r="269" spans="3:72" ht="15" customHeight="1" x14ac:dyDescent="0.25"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  <c r="AO269" s="26"/>
      <c r="AP269" s="26"/>
      <c r="AQ269" s="26"/>
      <c r="AR269" s="26"/>
      <c r="AS269" s="26"/>
      <c r="AT269" s="26"/>
      <c r="AU269" s="26"/>
      <c r="AV269" s="26"/>
      <c r="AW269" s="26"/>
      <c r="AX269" s="26"/>
      <c r="AY269" s="26"/>
      <c r="AZ269" s="26"/>
      <c r="BA269" s="26"/>
      <c r="BB269" s="26"/>
      <c r="BC269" s="26"/>
      <c r="BD269" s="26"/>
      <c r="BE269" s="26"/>
      <c r="BF269" s="26"/>
      <c r="BG269" s="26"/>
      <c r="BH269" s="26"/>
      <c r="BI269" s="26"/>
      <c r="BJ269" s="26"/>
      <c r="BK269" s="26"/>
      <c r="BL269" s="26"/>
      <c r="BM269" s="26"/>
      <c r="BN269" s="26"/>
      <c r="BO269" s="26"/>
      <c r="BP269" s="26"/>
      <c r="BQ269" s="26"/>
      <c r="BR269" s="26"/>
      <c r="BS269" s="26"/>
      <c r="BT269" s="26"/>
    </row>
    <row r="270" spans="3:72" ht="15" customHeight="1" x14ac:dyDescent="0.25"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  <c r="AN270" s="26"/>
      <c r="AO270" s="26"/>
      <c r="AP270" s="26"/>
      <c r="AQ270" s="26"/>
      <c r="AR270" s="26"/>
      <c r="AS270" s="26"/>
      <c r="AT270" s="26"/>
      <c r="AU270" s="26"/>
      <c r="AV270" s="26"/>
      <c r="AW270" s="26"/>
      <c r="AX270" s="26"/>
      <c r="AY270" s="26"/>
      <c r="AZ270" s="26"/>
      <c r="BA270" s="26"/>
      <c r="BB270" s="26"/>
      <c r="BC270" s="26"/>
      <c r="BD270" s="26"/>
      <c r="BE270" s="26"/>
      <c r="BF270" s="26"/>
      <c r="BG270" s="26"/>
      <c r="BH270" s="26"/>
      <c r="BI270" s="26"/>
      <c r="BJ270" s="26"/>
      <c r="BK270" s="26"/>
      <c r="BL270" s="26"/>
      <c r="BM270" s="26"/>
      <c r="BN270" s="26"/>
      <c r="BO270" s="26"/>
      <c r="BP270" s="26"/>
      <c r="BQ270" s="26"/>
      <c r="BR270" s="26"/>
      <c r="BS270" s="26"/>
      <c r="BT270" s="26"/>
    </row>
    <row r="271" spans="3:72" ht="15" customHeight="1" x14ac:dyDescent="0.25"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  <c r="AN271" s="26"/>
      <c r="AO271" s="26"/>
      <c r="AP271" s="26"/>
      <c r="AQ271" s="26"/>
      <c r="AR271" s="26"/>
      <c r="AS271" s="26"/>
      <c r="AT271" s="26"/>
      <c r="AU271" s="26"/>
      <c r="AV271" s="26"/>
      <c r="AW271" s="26"/>
      <c r="AX271" s="26"/>
      <c r="AY271" s="26"/>
      <c r="AZ271" s="26"/>
      <c r="BA271" s="26"/>
      <c r="BB271" s="26"/>
      <c r="BC271" s="26"/>
      <c r="BD271" s="26"/>
      <c r="BE271" s="26"/>
      <c r="BF271" s="26"/>
      <c r="BG271" s="26"/>
      <c r="BH271" s="26"/>
      <c r="BI271" s="26"/>
      <c r="BJ271" s="26"/>
      <c r="BK271" s="26"/>
      <c r="BL271" s="26"/>
      <c r="BM271" s="26"/>
      <c r="BN271" s="26"/>
      <c r="BO271" s="26"/>
      <c r="BP271" s="26"/>
      <c r="BQ271" s="26"/>
      <c r="BR271" s="26"/>
      <c r="BS271" s="26"/>
      <c r="BT271" s="26"/>
    </row>
    <row r="272" spans="3:72" ht="15" customHeight="1" x14ac:dyDescent="0.25"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  <c r="AO272" s="26"/>
      <c r="AP272" s="26"/>
      <c r="AQ272" s="26"/>
      <c r="AR272" s="26"/>
      <c r="AS272" s="26"/>
      <c r="AT272" s="26"/>
      <c r="AU272" s="26"/>
      <c r="AV272" s="26"/>
      <c r="AW272" s="26"/>
      <c r="AX272" s="26"/>
      <c r="AY272" s="26"/>
      <c r="AZ272" s="26"/>
      <c r="BA272" s="26"/>
      <c r="BB272" s="26"/>
      <c r="BC272" s="26"/>
      <c r="BD272" s="26"/>
      <c r="BE272" s="26"/>
      <c r="BF272" s="26"/>
      <c r="BG272" s="26"/>
      <c r="BH272" s="26"/>
      <c r="BI272" s="26"/>
      <c r="BJ272" s="26"/>
      <c r="BK272" s="26"/>
      <c r="BL272" s="26"/>
      <c r="BM272" s="26"/>
      <c r="BN272" s="26"/>
      <c r="BO272" s="26"/>
      <c r="BP272" s="26"/>
      <c r="BQ272" s="26"/>
      <c r="BR272" s="26"/>
      <c r="BS272" s="26"/>
      <c r="BT272" s="26"/>
    </row>
    <row r="273" spans="3:72" ht="15" customHeight="1" x14ac:dyDescent="0.25"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  <c r="AO273" s="26"/>
      <c r="AP273" s="26"/>
      <c r="AQ273" s="26"/>
      <c r="AR273" s="26"/>
      <c r="AS273" s="26"/>
      <c r="AT273" s="26"/>
      <c r="AU273" s="26"/>
      <c r="AV273" s="26"/>
      <c r="AW273" s="26"/>
      <c r="AX273" s="26"/>
      <c r="AY273" s="26"/>
      <c r="AZ273" s="26"/>
      <c r="BA273" s="26"/>
      <c r="BB273" s="26"/>
      <c r="BC273" s="26"/>
      <c r="BD273" s="26"/>
      <c r="BE273" s="26"/>
      <c r="BF273" s="26"/>
      <c r="BG273" s="26"/>
      <c r="BH273" s="26"/>
      <c r="BI273" s="26"/>
      <c r="BJ273" s="26"/>
      <c r="BK273" s="26"/>
      <c r="BL273" s="26"/>
      <c r="BM273" s="26"/>
      <c r="BN273" s="26"/>
      <c r="BO273" s="26"/>
      <c r="BP273" s="26"/>
      <c r="BQ273" s="26"/>
      <c r="BR273" s="26"/>
      <c r="BS273" s="26"/>
      <c r="BT273" s="26"/>
    </row>
    <row r="274" spans="3:72" ht="15" customHeight="1" x14ac:dyDescent="0.25"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26"/>
      <c r="AO274" s="26"/>
      <c r="AP274" s="26"/>
      <c r="AQ274" s="26"/>
      <c r="AR274" s="26"/>
      <c r="AS274" s="26"/>
      <c r="AT274" s="26"/>
      <c r="AU274" s="26"/>
      <c r="AV274" s="26"/>
      <c r="AW274" s="26"/>
      <c r="AX274" s="26"/>
      <c r="AY274" s="26"/>
      <c r="AZ274" s="26"/>
      <c r="BA274" s="26"/>
      <c r="BB274" s="26"/>
      <c r="BC274" s="26"/>
      <c r="BD274" s="26"/>
      <c r="BE274" s="26"/>
      <c r="BF274" s="26"/>
      <c r="BG274" s="26"/>
      <c r="BH274" s="26"/>
      <c r="BI274" s="26"/>
      <c r="BJ274" s="26"/>
      <c r="BK274" s="26"/>
      <c r="BL274" s="26"/>
      <c r="BM274" s="26"/>
      <c r="BN274" s="26"/>
      <c r="BO274" s="26"/>
      <c r="BP274" s="26"/>
      <c r="BQ274" s="26"/>
      <c r="BR274" s="26"/>
      <c r="BS274" s="26"/>
      <c r="BT274" s="26"/>
    </row>
    <row r="275" spans="3:72" ht="15" customHeight="1" x14ac:dyDescent="0.25"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26"/>
      <c r="AO275" s="26"/>
      <c r="AP275" s="26"/>
      <c r="AQ275" s="26"/>
      <c r="AR275" s="26"/>
      <c r="AS275" s="26"/>
      <c r="AT275" s="26"/>
      <c r="AU275" s="26"/>
      <c r="AV275" s="26"/>
      <c r="AW275" s="26"/>
      <c r="AX275" s="26"/>
      <c r="AY275" s="26"/>
      <c r="AZ275" s="26"/>
      <c r="BA275" s="26"/>
      <c r="BB275" s="26"/>
      <c r="BC275" s="26"/>
      <c r="BD275" s="26"/>
      <c r="BE275" s="26"/>
      <c r="BF275" s="26"/>
      <c r="BG275" s="26"/>
      <c r="BH275" s="26"/>
      <c r="BI275" s="26"/>
      <c r="BJ275" s="26"/>
      <c r="BK275" s="26"/>
      <c r="BL275" s="26"/>
      <c r="BM275" s="26"/>
      <c r="BN275" s="26"/>
      <c r="BO275" s="26"/>
      <c r="BP275" s="26"/>
      <c r="BQ275" s="26"/>
      <c r="BR275" s="26"/>
      <c r="BS275" s="26"/>
      <c r="BT275" s="26"/>
    </row>
    <row r="276" spans="3:72" ht="15" customHeight="1" x14ac:dyDescent="0.25"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  <c r="AO276" s="26"/>
      <c r="AP276" s="26"/>
      <c r="AQ276" s="26"/>
      <c r="AR276" s="26"/>
      <c r="AS276" s="26"/>
      <c r="AT276" s="26"/>
      <c r="AU276" s="26"/>
      <c r="AV276" s="26"/>
      <c r="AW276" s="26"/>
      <c r="AX276" s="26"/>
      <c r="AY276" s="26"/>
      <c r="AZ276" s="26"/>
      <c r="BA276" s="26"/>
      <c r="BB276" s="26"/>
      <c r="BC276" s="26"/>
      <c r="BD276" s="26"/>
      <c r="BE276" s="26"/>
      <c r="BF276" s="26"/>
      <c r="BG276" s="26"/>
      <c r="BH276" s="26"/>
      <c r="BI276" s="26"/>
      <c r="BJ276" s="26"/>
      <c r="BK276" s="26"/>
      <c r="BL276" s="26"/>
      <c r="BM276" s="26"/>
      <c r="BN276" s="26"/>
      <c r="BO276" s="26"/>
      <c r="BP276" s="26"/>
      <c r="BQ276" s="26"/>
      <c r="BR276" s="26"/>
      <c r="BS276" s="26"/>
      <c r="BT276" s="26"/>
    </row>
    <row r="277" spans="3:72" ht="15" customHeight="1" x14ac:dyDescent="0.25"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  <c r="AN277" s="26"/>
      <c r="AO277" s="26"/>
      <c r="AP277" s="26"/>
      <c r="AQ277" s="26"/>
      <c r="AR277" s="26"/>
      <c r="AS277" s="26"/>
      <c r="AT277" s="26"/>
      <c r="AU277" s="26"/>
      <c r="AV277" s="26"/>
      <c r="AW277" s="26"/>
      <c r="AX277" s="26"/>
      <c r="AY277" s="26"/>
      <c r="AZ277" s="26"/>
      <c r="BA277" s="26"/>
      <c r="BB277" s="26"/>
      <c r="BC277" s="26"/>
      <c r="BD277" s="26"/>
      <c r="BE277" s="26"/>
      <c r="BF277" s="26"/>
      <c r="BG277" s="26"/>
      <c r="BH277" s="26"/>
      <c r="BI277" s="26"/>
      <c r="BJ277" s="26"/>
      <c r="BK277" s="26"/>
      <c r="BL277" s="26"/>
      <c r="BM277" s="26"/>
      <c r="BN277" s="26"/>
      <c r="BO277" s="26"/>
      <c r="BP277" s="26"/>
      <c r="BQ277" s="26"/>
      <c r="BR277" s="26"/>
      <c r="BS277" s="26"/>
      <c r="BT277" s="26"/>
    </row>
    <row r="278" spans="3:72" ht="15" customHeight="1" x14ac:dyDescent="0.25"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  <c r="AN278" s="26"/>
      <c r="AO278" s="26"/>
      <c r="AP278" s="26"/>
      <c r="AQ278" s="26"/>
      <c r="AR278" s="26"/>
      <c r="AS278" s="26"/>
      <c r="AT278" s="26"/>
      <c r="AU278" s="26"/>
      <c r="AV278" s="26"/>
      <c r="AW278" s="26"/>
      <c r="AX278" s="26"/>
      <c r="AY278" s="26"/>
      <c r="AZ278" s="26"/>
      <c r="BA278" s="26"/>
      <c r="BB278" s="26"/>
      <c r="BC278" s="26"/>
      <c r="BD278" s="26"/>
      <c r="BE278" s="26"/>
      <c r="BF278" s="26"/>
      <c r="BG278" s="26"/>
      <c r="BH278" s="26"/>
      <c r="BI278" s="26"/>
      <c r="BJ278" s="26"/>
      <c r="BK278" s="26"/>
      <c r="BL278" s="26"/>
      <c r="BM278" s="26"/>
      <c r="BN278" s="26"/>
      <c r="BO278" s="26"/>
      <c r="BP278" s="26"/>
      <c r="BQ278" s="26"/>
      <c r="BR278" s="26"/>
      <c r="BS278" s="26"/>
      <c r="BT278" s="26"/>
    </row>
    <row r="279" spans="3:72" ht="15" customHeight="1" x14ac:dyDescent="0.25"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  <c r="AN279" s="26"/>
      <c r="AO279" s="26"/>
      <c r="AP279" s="26"/>
      <c r="AQ279" s="26"/>
      <c r="AR279" s="26"/>
      <c r="AS279" s="26"/>
      <c r="AT279" s="26"/>
      <c r="AU279" s="26"/>
      <c r="AV279" s="26"/>
      <c r="AW279" s="26"/>
      <c r="AX279" s="26"/>
      <c r="AY279" s="26"/>
      <c r="AZ279" s="26"/>
      <c r="BA279" s="26"/>
      <c r="BB279" s="26"/>
      <c r="BC279" s="26"/>
      <c r="BD279" s="26"/>
      <c r="BE279" s="26"/>
      <c r="BF279" s="26"/>
      <c r="BG279" s="26"/>
      <c r="BH279" s="26"/>
      <c r="BI279" s="26"/>
      <c r="BJ279" s="26"/>
      <c r="BK279" s="26"/>
      <c r="BL279" s="26"/>
      <c r="BM279" s="26"/>
      <c r="BN279" s="26"/>
      <c r="BO279" s="26"/>
      <c r="BP279" s="26"/>
      <c r="BQ279" s="26"/>
      <c r="BR279" s="26"/>
      <c r="BS279" s="26"/>
      <c r="BT279" s="26"/>
    </row>
    <row r="280" spans="3:72" ht="15" customHeight="1" x14ac:dyDescent="0.25"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  <c r="AN280" s="26"/>
      <c r="AO280" s="26"/>
      <c r="AP280" s="26"/>
      <c r="AQ280" s="26"/>
      <c r="AR280" s="26"/>
      <c r="AS280" s="26"/>
      <c r="AT280" s="26"/>
      <c r="AU280" s="26"/>
      <c r="AV280" s="26"/>
      <c r="AW280" s="26"/>
      <c r="AX280" s="26"/>
      <c r="AY280" s="26"/>
      <c r="AZ280" s="26"/>
      <c r="BA280" s="26"/>
      <c r="BB280" s="26"/>
      <c r="BC280" s="26"/>
      <c r="BD280" s="26"/>
      <c r="BE280" s="26"/>
      <c r="BF280" s="26"/>
      <c r="BG280" s="26"/>
      <c r="BH280" s="26"/>
      <c r="BI280" s="26"/>
      <c r="BJ280" s="26"/>
      <c r="BK280" s="26"/>
      <c r="BL280" s="26"/>
      <c r="BM280" s="26"/>
      <c r="BN280" s="26"/>
      <c r="BO280" s="26"/>
      <c r="BP280" s="26"/>
      <c r="BQ280" s="26"/>
      <c r="BR280" s="26"/>
      <c r="BS280" s="26"/>
      <c r="BT280" s="26"/>
    </row>
    <row r="281" spans="3:72" ht="15" customHeight="1" x14ac:dyDescent="0.25"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  <c r="AO281" s="26"/>
      <c r="AP281" s="26"/>
      <c r="AQ281" s="26"/>
      <c r="AR281" s="26"/>
      <c r="AS281" s="26"/>
      <c r="AT281" s="26"/>
      <c r="AU281" s="26"/>
      <c r="AV281" s="26"/>
      <c r="AW281" s="26"/>
      <c r="AX281" s="26"/>
      <c r="AY281" s="26"/>
      <c r="AZ281" s="26"/>
      <c r="BA281" s="26"/>
      <c r="BB281" s="26"/>
      <c r="BC281" s="26"/>
      <c r="BD281" s="26"/>
      <c r="BE281" s="26"/>
      <c r="BF281" s="26"/>
      <c r="BG281" s="26"/>
      <c r="BH281" s="26"/>
      <c r="BI281" s="26"/>
      <c r="BJ281" s="26"/>
      <c r="BK281" s="26"/>
      <c r="BL281" s="26"/>
      <c r="BM281" s="26"/>
      <c r="BN281" s="26"/>
      <c r="BO281" s="26"/>
      <c r="BP281" s="26"/>
      <c r="BQ281" s="26"/>
      <c r="BR281" s="26"/>
      <c r="BS281" s="26"/>
      <c r="BT281" s="26"/>
    </row>
    <row r="282" spans="3:72" ht="15" customHeight="1" x14ac:dyDescent="0.25"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  <c r="AN282" s="26"/>
      <c r="AO282" s="26"/>
      <c r="AP282" s="26"/>
      <c r="AQ282" s="26"/>
      <c r="AR282" s="26"/>
      <c r="AS282" s="26"/>
      <c r="AT282" s="26"/>
      <c r="AU282" s="26"/>
      <c r="AV282" s="26"/>
      <c r="AW282" s="26"/>
      <c r="AX282" s="26"/>
      <c r="AY282" s="26"/>
      <c r="AZ282" s="26"/>
      <c r="BA282" s="26"/>
      <c r="BB282" s="26"/>
      <c r="BC282" s="26"/>
      <c r="BD282" s="26"/>
      <c r="BE282" s="26"/>
      <c r="BF282" s="26"/>
      <c r="BG282" s="26"/>
      <c r="BH282" s="26"/>
      <c r="BI282" s="26"/>
      <c r="BJ282" s="26"/>
      <c r="BK282" s="26"/>
      <c r="BL282" s="26"/>
      <c r="BM282" s="26"/>
      <c r="BN282" s="26"/>
      <c r="BO282" s="26"/>
      <c r="BP282" s="26"/>
      <c r="BQ282" s="26"/>
      <c r="BR282" s="26"/>
      <c r="BS282" s="26"/>
      <c r="BT282" s="26"/>
    </row>
    <row r="283" spans="3:72" ht="15" customHeight="1" x14ac:dyDescent="0.25"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  <c r="AN283" s="26"/>
      <c r="AO283" s="26"/>
      <c r="AP283" s="26"/>
      <c r="AQ283" s="26"/>
      <c r="AR283" s="26"/>
      <c r="AS283" s="26"/>
      <c r="AT283" s="26"/>
      <c r="AU283" s="26"/>
      <c r="AV283" s="26"/>
      <c r="AW283" s="26"/>
      <c r="AX283" s="26"/>
      <c r="AY283" s="26"/>
      <c r="AZ283" s="26"/>
      <c r="BA283" s="26"/>
      <c r="BB283" s="26"/>
      <c r="BC283" s="26"/>
      <c r="BD283" s="26"/>
      <c r="BE283" s="26"/>
      <c r="BF283" s="26"/>
      <c r="BG283" s="26"/>
      <c r="BH283" s="26"/>
      <c r="BI283" s="26"/>
      <c r="BJ283" s="26"/>
      <c r="BK283" s="26"/>
      <c r="BL283" s="26"/>
      <c r="BM283" s="26"/>
      <c r="BN283" s="26"/>
      <c r="BO283" s="26"/>
      <c r="BP283" s="26"/>
      <c r="BQ283" s="26"/>
      <c r="BR283" s="26"/>
      <c r="BS283" s="26"/>
      <c r="BT283" s="26"/>
    </row>
    <row r="284" spans="3:72" ht="15" customHeight="1" x14ac:dyDescent="0.25"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  <c r="AN284" s="26"/>
      <c r="AO284" s="26"/>
      <c r="AP284" s="26"/>
      <c r="AQ284" s="26"/>
      <c r="AR284" s="26"/>
      <c r="AS284" s="26"/>
      <c r="AT284" s="26"/>
      <c r="AU284" s="26"/>
      <c r="AV284" s="26"/>
      <c r="AW284" s="26"/>
      <c r="AX284" s="26"/>
      <c r="AY284" s="26"/>
      <c r="AZ284" s="26"/>
      <c r="BA284" s="26"/>
      <c r="BB284" s="26"/>
      <c r="BC284" s="26"/>
      <c r="BD284" s="26"/>
      <c r="BE284" s="26"/>
      <c r="BF284" s="26"/>
      <c r="BG284" s="26"/>
      <c r="BH284" s="26"/>
      <c r="BI284" s="26"/>
      <c r="BJ284" s="26"/>
      <c r="BK284" s="26"/>
      <c r="BL284" s="26"/>
      <c r="BM284" s="26"/>
      <c r="BN284" s="26"/>
      <c r="BO284" s="26"/>
      <c r="BP284" s="26"/>
      <c r="BQ284" s="26"/>
      <c r="BR284" s="26"/>
      <c r="BS284" s="26"/>
      <c r="BT284" s="26"/>
    </row>
    <row r="285" spans="3:72" ht="15" customHeight="1" x14ac:dyDescent="0.25"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  <c r="AN285" s="26"/>
      <c r="AO285" s="26"/>
      <c r="AP285" s="26"/>
      <c r="AQ285" s="26"/>
      <c r="AR285" s="26"/>
      <c r="AS285" s="26"/>
      <c r="AT285" s="26"/>
      <c r="AU285" s="26"/>
      <c r="AV285" s="26"/>
      <c r="AW285" s="26"/>
      <c r="AX285" s="26"/>
      <c r="AY285" s="26"/>
      <c r="AZ285" s="26"/>
      <c r="BA285" s="26"/>
      <c r="BB285" s="26"/>
      <c r="BC285" s="26"/>
      <c r="BD285" s="26"/>
      <c r="BE285" s="26"/>
      <c r="BF285" s="26"/>
      <c r="BG285" s="26"/>
      <c r="BH285" s="26"/>
      <c r="BI285" s="26"/>
      <c r="BJ285" s="26"/>
      <c r="BK285" s="26"/>
      <c r="BL285" s="26"/>
      <c r="BM285" s="26"/>
      <c r="BN285" s="26"/>
      <c r="BO285" s="26"/>
      <c r="BP285" s="26"/>
      <c r="BQ285" s="26"/>
      <c r="BR285" s="26"/>
      <c r="BS285" s="26"/>
      <c r="BT285" s="26"/>
    </row>
    <row r="286" spans="3:72" ht="15" customHeight="1" x14ac:dyDescent="0.25"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  <c r="AN286" s="26"/>
      <c r="AO286" s="26"/>
      <c r="AP286" s="26"/>
      <c r="AQ286" s="26"/>
      <c r="AR286" s="26"/>
      <c r="AS286" s="26"/>
      <c r="AT286" s="26"/>
      <c r="AU286" s="26"/>
      <c r="AV286" s="26"/>
      <c r="AW286" s="26"/>
      <c r="AX286" s="26"/>
      <c r="AY286" s="26"/>
      <c r="AZ286" s="26"/>
      <c r="BA286" s="26"/>
      <c r="BB286" s="26"/>
      <c r="BC286" s="26"/>
      <c r="BD286" s="26"/>
      <c r="BE286" s="26"/>
      <c r="BF286" s="26"/>
      <c r="BG286" s="26"/>
      <c r="BH286" s="26"/>
      <c r="BI286" s="26"/>
      <c r="BJ286" s="26"/>
      <c r="BK286" s="26"/>
      <c r="BL286" s="26"/>
      <c r="BM286" s="26"/>
      <c r="BN286" s="26"/>
      <c r="BO286" s="26"/>
      <c r="BP286" s="26"/>
      <c r="BQ286" s="26"/>
      <c r="BR286" s="26"/>
      <c r="BS286" s="26"/>
      <c r="BT286" s="26"/>
    </row>
    <row r="287" spans="3:72" ht="15" customHeight="1" x14ac:dyDescent="0.25"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  <c r="AN287" s="26"/>
      <c r="AO287" s="26"/>
      <c r="AP287" s="26"/>
      <c r="AQ287" s="26"/>
      <c r="AR287" s="26"/>
      <c r="AS287" s="26"/>
      <c r="AT287" s="26"/>
      <c r="AU287" s="26"/>
      <c r="AV287" s="26"/>
      <c r="AW287" s="26"/>
      <c r="AX287" s="26"/>
      <c r="AY287" s="26"/>
      <c r="AZ287" s="26"/>
      <c r="BA287" s="26"/>
      <c r="BB287" s="26"/>
      <c r="BC287" s="26"/>
      <c r="BD287" s="26"/>
      <c r="BE287" s="26"/>
      <c r="BF287" s="26"/>
      <c r="BG287" s="26"/>
      <c r="BH287" s="26"/>
      <c r="BI287" s="26"/>
      <c r="BJ287" s="26"/>
      <c r="BK287" s="26"/>
      <c r="BL287" s="26"/>
      <c r="BM287" s="26"/>
      <c r="BN287" s="26"/>
      <c r="BO287" s="26"/>
      <c r="BP287" s="26"/>
      <c r="BQ287" s="26"/>
      <c r="BR287" s="26"/>
      <c r="BS287" s="26"/>
      <c r="BT287" s="26"/>
    </row>
    <row r="288" spans="3:72" ht="15" customHeight="1" x14ac:dyDescent="0.25"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  <c r="AN288" s="26"/>
      <c r="AO288" s="26"/>
      <c r="AP288" s="26"/>
      <c r="AQ288" s="26"/>
      <c r="AR288" s="26"/>
      <c r="AS288" s="26"/>
      <c r="AT288" s="26"/>
      <c r="AU288" s="26"/>
      <c r="AV288" s="26"/>
      <c r="AW288" s="26"/>
      <c r="AX288" s="26"/>
      <c r="AY288" s="26"/>
      <c r="AZ288" s="26"/>
      <c r="BA288" s="26"/>
      <c r="BB288" s="26"/>
      <c r="BC288" s="26"/>
      <c r="BD288" s="26"/>
      <c r="BE288" s="26"/>
      <c r="BF288" s="26"/>
      <c r="BG288" s="26"/>
      <c r="BH288" s="26"/>
      <c r="BI288" s="26"/>
      <c r="BJ288" s="26"/>
      <c r="BK288" s="26"/>
      <c r="BL288" s="26"/>
      <c r="BM288" s="26"/>
      <c r="BN288" s="26"/>
      <c r="BO288" s="26"/>
      <c r="BP288" s="26"/>
      <c r="BQ288" s="26"/>
      <c r="BR288" s="26"/>
      <c r="BS288" s="26"/>
      <c r="BT288" s="26"/>
    </row>
    <row r="289" spans="3:72" ht="15" customHeight="1" x14ac:dyDescent="0.25"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  <c r="AN289" s="26"/>
      <c r="AO289" s="26"/>
      <c r="AP289" s="26"/>
      <c r="AQ289" s="26"/>
      <c r="AR289" s="26"/>
      <c r="AS289" s="26"/>
      <c r="AT289" s="26"/>
      <c r="AU289" s="26"/>
      <c r="AV289" s="26"/>
      <c r="AW289" s="26"/>
      <c r="AX289" s="26"/>
      <c r="AY289" s="26"/>
      <c r="AZ289" s="26"/>
      <c r="BA289" s="26"/>
      <c r="BB289" s="26"/>
      <c r="BC289" s="26"/>
      <c r="BD289" s="26"/>
      <c r="BE289" s="26"/>
      <c r="BF289" s="26"/>
      <c r="BG289" s="26"/>
      <c r="BH289" s="26"/>
      <c r="BI289" s="26"/>
      <c r="BJ289" s="26"/>
      <c r="BK289" s="26"/>
      <c r="BL289" s="26"/>
      <c r="BM289" s="26"/>
      <c r="BN289" s="26"/>
      <c r="BO289" s="26"/>
      <c r="BP289" s="26"/>
      <c r="BQ289" s="26"/>
      <c r="BR289" s="26"/>
      <c r="BS289" s="26"/>
      <c r="BT289" s="26"/>
    </row>
    <row r="290" spans="3:72" ht="15" customHeight="1" x14ac:dyDescent="0.25"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  <c r="AN290" s="26"/>
      <c r="AO290" s="26"/>
      <c r="AP290" s="26"/>
      <c r="AQ290" s="26"/>
      <c r="AR290" s="26"/>
      <c r="AS290" s="26"/>
      <c r="AT290" s="26"/>
      <c r="AU290" s="26"/>
      <c r="AV290" s="26"/>
      <c r="AW290" s="26"/>
      <c r="AX290" s="26"/>
      <c r="AY290" s="26"/>
      <c r="AZ290" s="26"/>
      <c r="BA290" s="26"/>
      <c r="BB290" s="26"/>
      <c r="BC290" s="26"/>
      <c r="BD290" s="26"/>
      <c r="BE290" s="26"/>
      <c r="BF290" s="26"/>
      <c r="BG290" s="26"/>
      <c r="BH290" s="26"/>
      <c r="BI290" s="26"/>
      <c r="BJ290" s="26"/>
      <c r="BK290" s="26"/>
      <c r="BL290" s="26"/>
      <c r="BM290" s="26"/>
      <c r="BN290" s="26"/>
      <c r="BO290" s="26"/>
      <c r="BP290" s="26"/>
      <c r="BQ290" s="26"/>
      <c r="BR290" s="26"/>
      <c r="BS290" s="26"/>
      <c r="BT290" s="26"/>
    </row>
    <row r="291" spans="3:72" ht="15" customHeight="1" x14ac:dyDescent="0.25"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  <c r="AN291" s="26"/>
      <c r="AO291" s="26"/>
      <c r="AP291" s="26"/>
      <c r="AQ291" s="26"/>
      <c r="AR291" s="26"/>
      <c r="AS291" s="26"/>
      <c r="AT291" s="26"/>
      <c r="AU291" s="26"/>
      <c r="AV291" s="26"/>
      <c r="AW291" s="26"/>
      <c r="AX291" s="26"/>
      <c r="AY291" s="26"/>
      <c r="AZ291" s="26"/>
      <c r="BA291" s="26"/>
      <c r="BB291" s="26"/>
      <c r="BC291" s="26"/>
      <c r="BD291" s="26"/>
      <c r="BE291" s="26"/>
      <c r="BF291" s="26"/>
      <c r="BG291" s="26"/>
      <c r="BH291" s="26"/>
      <c r="BI291" s="26"/>
      <c r="BJ291" s="26"/>
      <c r="BK291" s="26"/>
      <c r="BL291" s="26"/>
      <c r="BM291" s="26"/>
      <c r="BN291" s="26"/>
      <c r="BO291" s="26"/>
      <c r="BP291" s="26"/>
      <c r="BQ291" s="26"/>
      <c r="BR291" s="26"/>
      <c r="BS291" s="26"/>
      <c r="BT291" s="26"/>
    </row>
    <row r="292" spans="3:72" ht="15" customHeight="1" x14ac:dyDescent="0.25"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  <c r="AN292" s="26"/>
      <c r="AO292" s="26"/>
      <c r="AP292" s="26"/>
      <c r="AQ292" s="26"/>
      <c r="AR292" s="26"/>
      <c r="AS292" s="26"/>
      <c r="AT292" s="26"/>
      <c r="AU292" s="26"/>
      <c r="AV292" s="26"/>
      <c r="AW292" s="26"/>
      <c r="AX292" s="26"/>
      <c r="AY292" s="26"/>
      <c r="AZ292" s="26"/>
      <c r="BA292" s="26"/>
      <c r="BB292" s="26"/>
      <c r="BC292" s="26"/>
      <c r="BD292" s="26"/>
      <c r="BE292" s="26"/>
      <c r="BF292" s="26"/>
      <c r="BG292" s="26"/>
      <c r="BH292" s="26"/>
      <c r="BI292" s="26"/>
      <c r="BJ292" s="26"/>
      <c r="BK292" s="26"/>
      <c r="BL292" s="26"/>
      <c r="BM292" s="26"/>
      <c r="BN292" s="26"/>
      <c r="BO292" s="26"/>
      <c r="BP292" s="26"/>
      <c r="BQ292" s="26"/>
      <c r="BR292" s="26"/>
      <c r="BS292" s="26"/>
      <c r="BT292" s="26"/>
    </row>
    <row r="293" spans="3:72" ht="15" customHeight="1" x14ac:dyDescent="0.25"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  <c r="AN293" s="26"/>
      <c r="AO293" s="26"/>
      <c r="AP293" s="26"/>
      <c r="AQ293" s="26"/>
      <c r="AR293" s="26"/>
      <c r="AS293" s="26"/>
      <c r="AT293" s="26"/>
      <c r="AU293" s="26"/>
      <c r="AV293" s="26"/>
      <c r="AW293" s="26"/>
      <c r="AX293" s="26"/>
      <c r="AY293" s="26"/>
      <c r="AZ293" s="26"/>
      <c r="BA293" s="26"/>
      <c r="BB293" s="26"/>
      <c r="BC293" s="26"/>
      <c r="BD293" s="26"/>
      <c r="BE293" s="26"/>
      <c r="BF293" s="26"/>
      <c r="BG293" s="26"/>
      <c r="BH293" s="26"/>
      <c r="BI293" s="26"/>
      <c r="BJ293" s="26"/>
      <c r="BK293" s="26"/>
      <c r="BL293" s="26"/>
      <c r="BM293" s="26"/>
      <c r="BN293" s="26"/>
      <c r="BO293" s="26"/>
      <c r="BP293" s="26"/>
      <c r="BQ293" s="26"/>
      <c r="BR293" s="26"/>
      <c r="BS293" s="26"/>
      <c r="BT293" s="26"/>
    </row>
    <row r="294" spans="3:72" ht="15" customHeight="1" x14ac:dyDescent="0.25"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  <c r="AN294" s="26"/>
      <c r="AO294" s="26"/>
      <c r="AP294" s="26"/>
      <c r="AQ294" s="26"/>
      <c r="AR294" s="26"/>
      <c r="AS294" s="26"/>
      <c r="AT294" s="26"/>
      <c r="AU294" s="26"/>
      <c r="AV294" s="26"/>
      <c r="AW294" s="26"/>
      <c r="AX294" s="26"/>
      <c r="AY294" s="26"/>
      <c r="AZ294" s="26"/>
      <c r="BA294" s="26"/>
      <c r="BB294" s="26"/>
      <c r="BC294" s="26"/>
      <c r="BD294" s="26"/>
      <c r="BE294" s="26"/>
      <c r="BF294" s="26"/>
      <c r="BG294" s="26"/>
      <c r="BH294" s="26"/>
      <c r="BI294" s="26"/>
      <c r="BJ294" s="26"/>
      <c r="BK294" s="26"/>
      <c r="BL294" s="26"/>
      <c r="BM294" s="26"/>
      <c r="BN294" s="26"/>
      <c r="BO294" s="26"/>
      <c r="BP294" s="26"/>
      <c r="BQ294" s="26"/>
      <c r="BR294" s="26"/>
      <c r="BS294" s="26"/>
      <c r="BT294" s="26"/>
    </row>
    <row r="295" spans="3:72" ht="15" customHeight="1" x14ac:dyDescent="0.25"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  <c r="AJ295" s="26"/>
      <c r="AK295" s="26"/>
      <c r="AL295" s="26"/>
      <c r="AM295" s="26"/>
      <c r="AN295" s="26"/>
      <c r="AO295" s="26"/>
      <c r="AP295" s="26"/>
      <c r="AQ295" s="26"/>
      <c r="AR295" s="26"/>
      <c r="AS295" s="26"/>
      <c r="AT295" s="26"/>
      <c r="AU295" s="26"/>
      <c r="AV295" s="26"/>
      <c r="AW295" s="26"/>
      <c r="AX295" s="26"/>
      <c r="AY295" s="26"/>
      <c r="AZ295" s="26"/>
      <c r="BA295" s="26"/>
      <c r="BB295" s="26"/>
      <c r="BC295" s="26"/>
      <c r="BD295" s="26"/>
      <c r="BE295" s="26"/>
      <c r="BF295" s="26"/>
      <c r="BG295" s="26"/>
      <c r="BH295" s="26"/>
      <c r="BI295" s="26"/>
      <c r="BJ295" s="26"/>
      <c r="BK295" s="26"/>
      <c r="BL295" s="26"/>
      <c r="BM295" s="26"/>
      <c r="BN295" s="26"/>
      <c r="BO295" s="26"/>
      <c r="BP295" s="26"/>
      <c r="BQ295" s="26"/>
      <c r="BR295" s="26"/>
      <c r="BS295" s="26"/>
      <c r="BT295" s="26"/>
    </row>
    <row r="296" spans="3:72" ht="15" customHeight="1" x14ac:dyDescent="0.25"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  <c r="AN296" s="26"/>
      <c r="AO296" s="26"/>
      <c r="AP296" s="26"/>
      <c r="AQ296" s="26"/>
      <c r="AR296" s="26"/>
      <c r="AS296" s="26"/>
      <c r="AT296" s="26"/>
      <c r="AU296" s="26"/>
      <c r="AV296" s="26"/>
      <c r="AW296" s="26"/>
      <c r="AX296" s="26"/>
      <c r="AY296" s="26"/>
      <c r="AZ296" s="26"/>
      <c r="BA296" s="26"/>
      <c r="BB296" s="26"/>
      <c r="BC296" s="26"/>
      <c r="BD296" s="26"/>
      <c r="BE296" s="26"/>
      <c r="BF296" s="26"/>
      <c r="BG296" s="26"/>
      <c r="BH296" s="26"/>
      <c r="BI296" s="26"/>
      <c r="BJ296" s="26"/>
      <c r="BK296" s="26"/>
      <c r="BL296" s="26"/>
      <c r="BM296" s="26"/>
      <c r="BN296" s="26"/>
      <c r="BO296" s="26"/>
      <c r="BP296" s="26"/>
      <c r="BQ296" s="26"/>
      <c r="BR296" s="26"/>
      <c r="BS296" s="26"/>
      <c r="BT296" s="26"/>
    </row>
    <row r="297" spans="3:72" ht="15" customHeight="1" x14ac:dyDescent="0.25"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  <c r="AN297" s="26"/>
      <c r="AO297" s="26"/>
      <c r="AP297" s="26"/>
      <c r="AQ297" s="26"/>
      <c r="AR297" s="26"/>
      <c r="AS297" s="26"/>
      <c r="AT297" s="26"/>
      <c r="AU297" s="26"/>
      <c r="AV297" s="26"/>
      <c r="AW297" s="26"/>
      <c r="AX297" s="26"/>
      <c r="AY297" s="26"/>
      <c r="AZ297" s="26"/>
      <c r="BA297" s="26"/>
      <c r="BB297" s="26"/>
      <c r="BC297" s="26"/>
      <c r="BD297" s="26"/>
      <c r="BE297" s="26"/>
      <c r="BF297" s="26"/>
      <c r="BG297" s="26"/>
      <c r="BH297" s="26"/>
      <c r="BI297" s="26"/>
      <c r="BJ297" s="26"/>
      <c r="BK297" s="26"/>
      <c r="BL297" s="26"/>
      <c r="BM297" s="26"/>
      <c r="BN297" s="26"/>
      <c r="BO297" s="26"/>
      <c r="BP297" s="26"/>
      <c r="BQ297" s="26"/>
      <c r="BR297" s="26"/>
      <c r="BS297" s="26"/>
      <c r="BT297" s="26"/>
    </row>
    <row r="298" spans="3:72" ht="15" customHeight="1" x14ac:dyDescent="0.25"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  <c r="AJ298" s="26"/>
      <c r="AK298" s="26"/>
      <c r="AL298" s="26"/>
      <c r="AM298" s="26"/>
      <c r="AN298" s="26"/>
      <c r="AO298" s="26"/>
      <c r="AP298" s="26"/>
      <c r="AQ298" s="26"/>
      <c r="AR298" s="26"/>
      <c r="AS298" s="26"/>
      <c r="AT298" s="26"/>
      <c r="AU298" s="26"/>
      <c r="AV298" s="26"/>
      <c r="AW298" s="26"/>
      <c r="AX298" s="26"/>
      <c r="AY298" s="26"/>
      <c r="AZ298" s="26"/>
      <c r="BA298" s="26"/>
      <c r="BB298" s="26"/>
      <c r="BC298" s="26"/>
      <c r="BD298" s="26"/>
      <c r="BE298" s="26"/>
      <c r="BF298" s="26"/>
      <c r="BG298" s="26"/>
      <c r="BH298" s="26"/>
      <c r="BI298" s="26"/>
      <c r="BJ298" s="26"/>
      <c r="BK298" s="26"/>
      <c r="BL298" s="26"/>
      <c r="BM298" s="26"/>
      <c r="BN298" s="26"/>
      <c r="BO298" s="26"/>
      <c r="BP298" s="26"/>
      <c r="BQ298" s="26"/>
      <c r="BR298" s="26"/>
      <c r="BS298" s="26"/>
      <c r="BT298" s="26"/>
    </row>
    <row r="299" spans="3:72" ht="15" customHeight="1" x14ac:dyDescent="0.25"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  <c r="AN299" s="26"/>
      <c r="AO299" s="26"/>
      <c r="AP299" s="26"/>
      <c r="AQ299" s="26"/>
      <c r="AR299" s="26"/>
      <c r="AS299" s="26"/>
      <c r="AT299" s="26"/>
      <c r="AU299" s="26"/>
      <c r="AV299" s="26"/>
      <c r="AW299" s="26"/>
      <c r="AX299" s="26"/>
      <c r="AY299" s="26"/>
      <c r="AZ299" s="26"/>
      <c r="BA299" s="26"/>
      <c r="BB299" s="26"/>
      <c r="BC299" s="26"/>
      <c r="BD299" s="26"/>
      <c r="BE299" s="26"/>
      <c r="BF299" s="26"/>
      <c r="BG299" s="26"/>
      <c r="BH299" s="26"/>
      <c r="BI299" s="26"/>
      <c r="BJ299" s="26"/>
      <c r="BK299" s="26"/>
      <c r="BL299" s="26"/>
      <c r="BM299" s="26"/>
      <c r="BN299" s="26"/>
      <c r="BO299" s="26"/>
      <c r="BP299" s="26"/>
      <c r="BQ299" s="26"/>
      <c r="BR299" s="26"/>
      <c r="BS299" s="26"/>
      <c r="BT299" s="26"/>
    </row>
    <row r="300" spans="3:72" ht="15" customHeight="1" x14ac:dyDescent="0.25"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  <c r="AN300" s="26"/>
      <c r="AO300" s="26"/>
      <c r="AP300" s="26"/>
      <c r="AQ300" s="26"/>
      <c r="AR300" s="26"/>
      <c r="AS300" s="26"/>
      <c r="AT300" s="26"/>
      <c r="AU300" s="26"/>
      <c r="AV300" s="26"/>
      <c r="AW300" s="26"/>
      <c r="AX300" s="26"/>
      <c r="AY300" s="26"/>
      <c r="AZ300" s="26"/>
      <c r="BA300" s="26"/>
      <c r="BB300" s="26"/>
      <c r="BC300" s="26"/>
      <c r="BD300" s="26"/>
      <c r="BE300" s="26"/>
      <c r="BF300" s="26"/>
      <c r="BG300" s="26"/>
      <c r="BH300" s="26"/>
      <c r="BI300" s="26"/>
      <c r="BJ300" s="26"/>
      <c r="BK300" s="26"/>
      <c r="BL300" s="26"/>
      <c r="BM300" s="26"/>
      <c r="BN300" s="26"/>
      <c r="BO300" s="26"/>
      <c r="BP300" s="26"/>
      <c r="BQ300" s="26"/>
      <c r="BR300" s="26"/>
      <c r="BS300" s="26"/>
      <c r="BT300" s="26"/>
    </row>
    <row r="301" spans="3:72" ht="15" customHeight="1" x14ac:dyDescent="0.25"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  <c r="AN301" s="26"/>
      <c r="AO301" s="26"/>
      <c r="AP301" s="26"/>
      <c r="AQ301" s="26"/>
      <c r="AR301" s="26"/>
      <c r="AS301" s="26"/>
      <c r="AT301" s="26"/>
      <c r="AU301" s="26"/>
      <c r="AV301" s="26"/>
      <c r="AW301" s="26"/>
      <c r="AX301" s="26"/>
      <c r="AY301" s="26"/>
      <c r="AZ301" s="26"/>
      <c r="BA301" s="26"/>
      <c r="BB301" s="26"/>
      <c r="BC301" s="26"/>
      <c r="BD301" s="26"/>
      <c r="BE301" s="26"/>
      <c r="BF301" s="26"/>
      <c r="BG301" s="26"/>
      <c r="BH301" s="26"/>
      <c r="BI301" s="26"/>
      <c r="BJ301" s="26"/>
      <c r="BK301" s="26"/>
      <c r="BL301" s="26"/>
      <c r="BM301" s="26"/>
      <c r="BN301" s="26"/>
      <c r="BO301" s="26"/>
      <c r="BP301" s="26"/>
      <c r="BQ301" s="26"/>
      <c r="BR301" s="26"/>
      <c r="BS301" s="26"/>
      <c r="BT301" s="26"/>
    </row>
    <row r="302" spans="3:72" ht="15" customHeight="1" x14ac:dyDescent="0.25"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  <c r="AJ302" s="26"/>
      <c r="AK302" s="26"/>
      <c r="AL302" s="26"/>
      <c r="AM302" s="26"/>
      <c r="AN302" s="26"/>
      <c r="AO302" s="26"/>
      <c r="AP302" s="26"/>
      <c r="AQ302" s="26"/>
      <c r="AR302" s="26"/>
      <c r="AS302" s="26"/>
      <c r="AT302" s="26"/>
      <c r="AU302" s="26"/>
      <c r="AV302" s="26"/>
      <c r="AW302" s="26"/>
      <c r="AX302" s="26"/>
      <c r="AY302" s="26"/>
      <c r="AZ302" s="26"/>
      <c r="BA302" s="26"/>
      <c r="BB302" s="26"/>
      <c r="BC302" s="26"/>
      <c r="BD302" s="26"/>
      <c r="BE302" s="26"/>
      <c r="BF302" s="26"/>
      <c r="BG302" s="26"/>
      <c r="BH302" s="26"/>
      <c r="BI302" s="26"/>
      <c r="BJ302" s="26"/>
      <c r="BK302" s="26"/>
      <c r="BL302" s="26"/>
      <c r="BM302" s="26"/>
      <c r="BN302" s="26"/>
      <c r="BO302" s="26"/>
      <c r="BP302" s="26"/>
      <c r="BQ302" s="26"/>
      <c r="BR302" s="26"/>
      <c r="BS302" s="26"/>
      <c r="BT302" s="26"/>
    </row>
    <row r="303" spans="3:72" ht="15" customHeight="1" x14ac:dyDescent="0.25"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  <c r="AN303" s="26"/>
      <c r="AO303" s="26"/>
      <c r="AP303" s="26"/>
      <c r="AQ303" s="26"/>
      <c r="AR303" s="26"/>
      <c r="AS303" s="26"/>
      <c r="AT303" s="26"/>
      <c r="AU303" s="26"/>
      <c r="AV303" s="26"/>
      <c r="AW303" s="26"/>
      <c r="AX303" s="26"/>
      <c r="AY303" s="26"/>
      <c r="AZ303" s="26"/>
      <c r="BA303" s="26"/>
      <c r="BB303" s="26"/>
      <c r="BC303" s="26"/>
      <c r="BD303" s="26"/>
      <c r="BE303" s="26"/>
      <c r="BF303" s="26"/>
      <c r="BG303" s="26"/>
      <c r="BH303" s="26"/>
      <c r="BI303" s="26"/>
      <c r="BJ303" s="26"/>
      <c r="BK303" s="26"/>
      <c r="BL303" s="26"/>
      <c r="BM303" s="26"/>
      <c r="BN303" s="26"/>
      <c r="BO303" s="26"/>
      <c r="BP303" s="26"/>
      <c r="BQ303" s="26"/>
      <c r="BR303" s="26"/>
      <c r="BS303" s="26"/>
      <c r="BT303" s="26"/>
    </row>
    <row r="304" spans="3:72" ht="15" customHeight="1" x14ac:dyDescent="0.25"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  <c r="AK304" s="26"/>
      <c r="AL304" s="26"/>
      <c r="AM304" s="26"/>
      <c r="AN304" s="26"/>
      <c r="AO304" s="26"/>
      <c r="AP304" s="26"/>
      <c r="AQ304" s="26"/>
      <c r="AR304" s="26"/>
      <c r="AS304" s="26"/>
      <c r="AT304" s="26"/>
      <c r="AU304" s="26"/>
      <c r="AV304" s="26"/>
      <c r="AW304" s="26"/>
      <c r="AX304" s="26"/>
      <c r="AY304" s="26"/>
      <c r="AZ304" s="26"/>
      <c r="BA304" s="26"/>
      <c r="BB304" s="26"/>
      <c r="BC304" s="26"/>
      <c r="BD304" s="26"/>
      <c r="BE304" s="26"/>
      <c r="BF304" s="26"/>
      <c r="BG304" s="26"/>
      <c r="BH304" s="26"/>
      <c r="BI304" s="26"/>
      <c r="BJ304" s="26"/>
      <c r="BK304" s="26"/>
      <c r="BL304" s="26"/>
      <c r="BM304" s="26"/>
      <c r="BN304" s="26"/>
      <c r="BO304" s="26"/>
      <c r="BP304" s="26"/>
      <c r="BQ304" s="26"/>
      <c r="BR304" s="26"/>
      <c r="BS304" s="26"/>
      <c r="BT304" s="26"/>
    </row>
    <row r="305" spans="3:72" ht="15" customHeight="1" x14ac:dyDescent="0.25"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  <c r="AP305" s="26"/>
      <c r="AQ305" s="26"/>
      <c r="AR305" s="26"/>
      <c r="AS305" s="26"/>
      <c r="AT305" s="26"/>
      <c r="AU305" s="26"/>
      <c r="AV305" s="26"/>
      <c r="AW305" s="26"/>
      <c r="AX305" s="26"/>
      <c r="AY305" s="26"/>
      <c r="AZ305" s="26"/>
      <c r="BA305" s="26"/>
      <c r="BB305" s="26"/>
      <c r="BC305" s="26"/>
      <c r="BD305" s="26"/>
      <c r="BE305" s="26"/>
      <c r="BF305" s="26"/>
      <c r="BG305" s="26"/>
      <c r="BH305" s="26"/>
      <c r="BI305" s="26"/>
      <c r="BJ305" s="26"/>
      <c r="BK305" s="26"/>
      <c r="BL305" s="26"/>
      <c r="BM305" s="26"/>
      <c r="BN305" s="26"/>
      <c r="BO305" s="26"/>
      <c r="BP305" s="26"/>
      <c r="BQ305" s="26"/>
      <c r="BR305" s="26"/>
      <c r="BS305" s="26"/>
      <c r="BT305" s="26"/>
    </row>
    <row r="306" spans="3:72" ht="15" customHeight="1" x14ac:dyDescent="0.25"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  <c r="AP306" s="26"/>
      <c r="AQ306" s="26"/>
      <c r="AR306" s="26"/>
      <c r="AS306" s="26"/>
      <c r="AT306" s="26"/>
      <c r="AU306" s="26"/>
      <c r="AV306" s="26"/>
      <c r="AW306" s="26"/>
      <c r="AX306" s="26"/>
      <c r="AY306" s="26"/>
      <c r="AZ306" s="26"/>
      <c r="BA306" s="26"/>
      <c r="BB306" s="26"/>
      <c r="BC306" s="26"/>
      <c r="BD306" s="26"/>
      <c r="BE306" s="26"/>
      <c r="BF306" s="26"/>
      <c r="BG306" s="26"/>
      <c r="BH306" s="26"/>
      <c r="BI306" s="26"/>
      <c r="BJ306" s="26"/>
      <c r="BK306" s="26"/>
      <c r="BL306" s="26"/>
      <c r="BM306" s="26"/>
      <c r="BN306" s="26"/>
      <c r="BO306" s="26"/>
      <c r="BP306" s="26"/>
      <c r="BQ306" s="26"/>
      <c r="BR306" s="26"/>
      <c r="BS306" s="26"/>
      <c r="BT306" s="26"/>
    </row>
    <row r="307" spans="3:72" ht="15" customHeight="1" x14ac:dyDescent="0.25"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  <c r="AJ307" s="26"/>
      <c r="AK307" s="26"/>
      <c r="AL307" s="26"/>
      <c r="AM307" s="26"/>
      <c r="AN307" s="26"/>
      <c r="AO307" s="26"/>
      <c r="AP307" s="26"/>
      <c r="AQ307" s="26"/>
      <c r="AR307" s="26"/>
      <c r="AS307" s="26"/>
      <c r="AT307" s="26"/>
      <c r="AU307" s="26"/>
      <c r="AV307" s="26"/>
      <c r="AW307" s="26"/>
      <c r="AX307" s="26"/>
      <c r="AY307" s="26"/>
      <c r="AZ307" s="26"/>
      <c r="BA307" s="26"/>
      <c r="BB307" s="26"/>
      <c r="BC307" s="26"/>
      <c r="BD307" s="26"/>
      <c r="BE307" s="26"/>
      <c r="BF307" s="26"/>
      <c r="BG307" s="26"/>
      <c r="BH307" s="26"/>
      <c r="BI307" s="26"/>
      <c r="BJ307" s="26"/>
      <c r="BK307" s="26"/>
      <c r="BL307" s="26"/>
      <c r="BM307" s="26"/>
      <c r="BN307" s="26"/>
      <c r="BO307" s="26"/>
      <c r="BP307" s="26"/>
      <c r="BQ307" s="26"/>
      <c r="BR307" s="26"/>
      <c r="BS307" s="26"/>
      <c r="BT307" s="26"/>
    </row>
    <row r="308" spans="3:72" ht="15" customHeight="1" x14ac:dyDescent="0.25"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  <c r="AJ308" s="26"/>
      <c r="AK308" s="26"/>
      <c r="AL308" s="26"/>
      <c r="AM308" s="26"/>
      <c r="AN308" s="26"/>
      <c r="AO308" s="26"/>
      <c r="AP308" s="26"/>
      <c r="AQ308" s="26"/>
      <c r="AR308" s="26"/>
      <c r="AS308" s="26"/>
      <c r="AT308" s="26"/>
      <c r="AU308" s="26"/>
      <c r="AV308" s="26"/>
      <c r="AW308" s="26"/>
      <c r="AX308" s="26"/>
      <c r="AY308" s="26"/>
      <c r="AZ308" s="26"/>
      <c r="BA308" s="26"/>
      <c r="BB308" s="26"/>
      <c r="BC308" s="26"/>
      <c r="BD308" s="26"/>
      <c r="BE308" s="26"/>
      <c r="BF308" s="26"/>
      <c r="BG308" s="26"/>
      <c r="BH308" s="26"/>
      <c r="BI308" s="26"/>
      <c r="BJ308" s="26"/>
      <c r="BK308" s="26"/>
      <c r="BL308" s="26"/>
      <c r="BM308" s="26"/>
      <c r="BN308" s="26"/>
      <c r="BO308" s="26"/>
      <c r="BP308" s="26"/>
      <c r="BQ308" s="26"/>
      <c r="BR308" s="26"/>
      <c r="BS308" s="26"/>
      <c r="BT308" s="26"/>
    </row>
    <row r="309" spans="3:72" ht="15" customHeight="1" x14ac:dyDescent="0.25"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/>
      <c r="AN309" s="26"/>
      <c r="AO309" s="26"/>
      <c r="AP309" s="26"/>
      <c r="AQ309" s="26"/>
      <c r="AR309" s="26"/>
      <c r="AS309" s="26"/>
      <c r="AT309" s="26"/>
      <c r="AU309" s="26"/>
      <c r="AV309" s="26"/>
      <c r="AW309" s="26"/>
      <c r="AX309" s="26"/>
      <c r="AY309" s="26"/>
      <c r="AZ309" s="26"/>
      <c r="BA309" s="26"/>
      <c r="BB309" s="26"/>
      <c r="BC309" s="26"/>
      <c r="BD309" s="26"/>
      <c r="BE309" s="26"/>
      <c r="BF309" s="26"/>
      <c r="BG309" s="26"/>
      <c r="BH309" s="26"/>
      <c r="BI309" s="26"/>
      <c r="BJ309" s="26"/>
      <c r="BK309" s="26"/>
      <c r="BL309" s="26"/>
      <c r="BM309" s="26"/>
      <c r="BN309" s="26"/>
      <c r="BO309" s="26"/>
      <c r="BP309" s="26"/>
      <c r="BQ309" s="26"/>
      <c r="BR309" s="26"/>
      <c r="BS309" s="26"/>
      <c r="BT309" s="26"/>
    </row>
    <row r="310" spans="3:72" ht="15" customHeight="1" x14ac:dyDescent="0.25"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  <c r="AJ310" s="26"/>
      <c r="AK310" s="26"/>
      <c r="AL310" s="26"/>
      <c r="AM310" s="26"/>
      <c r="AN310" s="26"/>
      <c r="AO310" s="26"/>
      <c r="AP310" s="26"/>
      <c r="AQ310" s="26"/>
      <c r="AR310" s="26"/>
      <c r="AS310" s="26"/>
      <c r="AT310" s="26"/>
      <c r="AU310" s="26"/>
      <c r="AV310" s="26"/>
      <c r="AW310" s="26"/>
      <c r="AX310" s="26"/>
      <c r="AY310" s="26"/>
      <c r="AZ310" s="26"/>
      <c r="BA310" s="26"/>
      <c r="BB310" s="26"/>
      <c r="BC310" s="26"/>
      <c r="BD310" s="26"/>
      <c r="BE310" s="26"/>
      <c r="BF310" s="26"/>
      <c r="BG310" s="26"/>
      <c r="BH310" s="26"/>
      <c r="BI310" s="26"/>
      <c r="BJ310" s="26"/>
      <c r="BK310" s="26"/>
      <c r="BL310" s="26"/>
      <c r="BM310" s="26"/>
      <c r="BN310" s="26"/>
      <c r="BO310" s="26"/>
      <c r="BP310" s="26"/>
      <c r="BQ310" s="26"/>
      <c r="BR310" s="26"/>
      <c r="BS310" s="26"/>
      <c r="BT310" s="26"/>
    </row>
    <row r="311" spans="3:72" ht="15" customHeight="1" x14ac:dyDescent="0.25"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  <c r="AJ311" s="26"/>
      <c r="AK311" s="26"/>
      <c r="AL311" s="26"/>
      <c r="AM311" s="26"/>
      <c r="AN311" s="26"/>
      <c r="AO311" s="26"/>
      <c r="AP311" s="26"/>
      <c r="AQ311" s="26"/>
      <c r="AR311" s="26"/>
      <c r="AS311" s="26"/>
      <c r="AT311" s="26"/>
      <c r="AU311" s="26"/>
      <c r="AV311" s="26"/>
      <c r="AW311" s="26"/>
      <c r="AX311" s="26"/>
      <c r="AY311" s="26"/>
      <c r="AZ311" s="26"/>
      <c r="BA311" s="26"/>
      <c r="BB311" s="26"/>
      <c r="BC311" s="26"/>
      <c r="BD311" s="26"/>
      <c r="BE311" s="26"/>
      <c r="BF311" s="26"/>
      <c r="BG311" s="26"/>
      <c r="BH311" s="26"/>
      <c r="BI311" s="26"/>
      <c r="BJ311" s="26"/>
      <c r="BK311" s="26"/>
      <c r="BL311" s="26"/>
      <c r="BM311" s="26"/>
      <c r="BN311" s="26"/>
      <c r="BO311" s="26"/>
      <c r="BP311" s="26"/>
      <c r="BQ311" s="26"/>
      <c r="BR311" s="26"/>
      <c r="BS311" s="26"/>
      <c r="BT311" s="26"/>
    </row>
    <row r="312" spans="3:72" ht="15" customHeight="1" x14ac:dyDescent="0.25"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  <c r="AJ312" s="26"/>
      <c r="AK312" s="26"/>
      <c r="AL312" s="26"/>
      <c r="AM312" s="26"/>
      <c r="AN312" s="26"/>
      <c r="AO312" s="26"/>
      <c r="AP312" s="26"/>
      <c r="AQ312" s="26"/>
      <c r="AR312" s="26"/>
      <c r="AS312" s="26"/>
      <c r="AT312" s="26"/>
      <c r="AU312" s="26"/>
      <c r="AV312" s="26"/>
      <c r="AW312" s="26"/>
      <c r="AX312" s="26"/>
      <c r="AY312" s="26"/>
      <c r="AZ312" s="26"/>
      <c r="BA312" s="26"/>
      <c r="BB312" s="26"/>
      <c r="BC312" s="26"/>
      <c r="BD312" s="26"/>
      <c r="BE312" s="26"/>
      <c r="BF312" s="26"/>
      <c r="BG312" s="26"/>
      <c r="BH312" s="26"/>
      <c r="BI312" s="26"/>
      <c r="BJ312" s="26"/>
      <c r="BK312" s="26"/>
      <c r="BL312" s="26"/>
      <c r="BM312" s="26"/>
      <c r="BN312" s="26"/>
      <c r="BO312" s="26"/>
      <c r="BP312" s="26"/>
      <c r="BQ312" s="26"/>
      <c r="BR312" s="26"/>
      <c r="BS312" s="26"/>
      <c r="BT312" s="26"/>
    </row>
    <row r="313" spans="3:72" ht="15" customHeight="1" x14ac:dyDescent="0.25"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  <c r="AI313" s="26"/>
      <c r="AJ313" s="26"/>
      <c r="AK313" s="26"/>
      <c r="AL313" s="26"/>
      <c r="AM313" s="26"/>
      <c r="AN313" s="26"/>
      <c r="AO313" s="26"/>
      <c r="AP313" s="26"/>
      <c r="AQ313" s="26"/>
      <c r="AR313" s="26"/>
      <c r="AS313" s="26"/>
      <c r="AT313" s="26"/>
      <c r="AU313" s="26"/>
      <c r="AV313" s="26"/>
      <c r="AW313" s="26"/>
      <c r="AX313" s="26"/>
      <c r="AY313" s="26"/>
      <c r="AZ313" s="26"/>
      <c r="BA313" s="26"/>
      <c r="BB313" s="26"/>
      <c r="BC313" s="26"/>
      <c r="BD313" s="26"/>
      <c r="BE313" s="26"/>
      <c r="BF313" s="26"/>
      <c r="BG313" s="26"/>
      <c r="BH313" s="26"/>
      <c r="BI313" s="26"/>
      <c r="BJ313" s="26"/>
      <c r="BK313" s="26"/>
      <c r="BL313" s="26"/>
      <c r="BM313" s="26"/>
      <c r="BN313" s="26"/>
      <c r="BO313" s="26"/>
      <c r="BP313" s="26"/>
      <c r="BQ313" s="26"/>
      <c r="BR313" s="26"/>
      <c r="BS313" s="26"/>
      <c r="BT313" s="26"/>
    </row>
    <row r="314" spans="3:72" ht="15" customHeight="1" x14ac:dyDescent="0.25"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  <c r="AO314" s="26"/>
      <c r="AP314" s="26"/>
      <c r="AQ314" s="26"/>
      <c r="AR314" s="26"/>
      <c r="AS314" s="26"/>
      <c r="AT314" s="26"/>
      <c r="AU314" s="26"/>
      <c r="AV314" s="26"/>
      <c r="AW314" s="26"/>
      <c r="AX314" s="26"/>
      <c r="AY314" s="26"/>
      <c r="AZ314" s="26"/>
      <c r="BA314" s="26"/>
      <c r="BB314" s="26"/>
      <c r="BC314" s="26"/>
      <c r="BD314" s="26"/>
      <c r="BE314" s="26"/>
      <c r="BF314" s="26"/>
      <c r="BG314" s="26"/>
      <c r="BH314" s="26"/>
      <c r="BI314" s="26"/>
      <c r="BJ314" s="26"/>
      <c r="BK314" s="26"/>
      <c r="BL314" s="26"/>
      <c r="BM314" s="26"/>
      <c r="BN314" s="26"/>
      <c r="BO314" s="26"/>
      <c r="BP314" s="26"/>
      <c r="BQ314" s="26"/>
      <c r="BR314" s="26"/>
      <c r="BS314" s="26"/>
      <c r="BT314" s="26"/>
    </row>
    <row r="315" spans="3:72" ht="15" customHeight="1" x14ac:dyDescent="0.25"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6"/>
      <c r="AO315" s="26"/>
      <c r="AP315" s="26"/>
      <c r="AQ315" s="26"/>
      <c r="AR315" s="26"/>
      <c r="AS315" s="26"/>
      <c r="AT315" s="26"/>
      <c r="AU315" s="26"/>
      <c r="AV315" s="26"/>
      <c r="AW315" s="26"/>
      <c r="AX315" s="26"/>
      <c r="AY315" s="26"/>
      <c r="AZ315" s="26"/>
      <c r="BA315" s="26"/>
      <c r="BB315" s="26"/>
      <c r="BC315" s="26"/>
      <c r="BD315" s="26"/>
      <c r="BE315" s="26"/>
      <c r="BF315" s="26"/>
      <c r="BG315" s="26"/>
      <c r="BH315" s="26"/>
      <c r="BI315" s="26"/>
      <c r="BJ315" s="26"/>
      <c r="BK315" s="26"/>
      <c r="BL315" s="26"/>
      <c r="BM315" s="26"/>
      <c r="BN315" s="26"/>
      <c r="BO315" s="26"/>
      <c r="BP315" s="26"/>
      <c r="BQ315" s="26"/>
      <c r="BR315" s="26"/>
      <c r="BS315" s="26"/>
      <c r="BT315" s="26"/>
    </row>
    <row r="316" spans="3:72" ht="15" customHeight="1" x14ac:dyDescent="0.25"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  <c r="AN316" s="26"/>
      <c r="AO316" s="26"/>
      <c r="AP316" s="26"/>
      <c r="AQ316" s="26"/>
      <c r="AR316" s="26"/>
      <c r="AS316" s="26"/>
      <c r="AT316" s="26"/>
      <c r="AU316" s="26"/>
      <c r="AV316" s="26"/>
      <c r="AW316" s="26"/>
      <c r="AX316" s="26"/>
      <c r="AY316" s="26"/>
      <c r="AZ316" s="26"/>
      <c r="BA316" s="26"/>
      <c r="BB316" s="26"/>
      <c r="BC316" s="26"/>
      <c r="BD316" s="26"/>
      <c r="BE316" s="26"/>
      <c r="BF316" s="26"/>
      <c r="BG316" s="26"/>
      <c r="BH316" s="26"/>
      <c r="BI316" s="26"/>
      <c r="BJ316" s="26"/>
      <c r="BK316" s="26"/>
      <c r="BL316" s="26"/>
      <c r="BM316" s="26"/>
      <c r="BN316" s="26"/>
      <c r="BO316" s="26"/>
      <c r="BP316" s="26"/>
      <c r="BQ316" s="26"/>
      <c r="BR316" s="26"/>
      <c r="BS316" s="26"/>
      <c r="BT316" s="26"/>
    </row>
    <row r="317" spans="3:72" ht="15" customHeight="1" x14ac:dyDescent="0.25"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  <c r="AJ317" s="26"/>
      <c r="AK317" s="26"/>
      <c r="AL317" s="26"/>
      <c r="AM317" s="26"/>
      <c r="AN317" s="26"/>
      <c r="AO317" s="26"/>
      <c r="AP317" s="26"/>
      <c r="AQ317" s="26"/>
      <c r="AR317" s="26"/>
      <c r="AS317" s="26"/>
      <c r="AT317" s="26"/>
      <c r="AU317" s="26"/>
      <c r="AV317" s="26"/>
      <c r="AW317" s="26"/>
      <c r="AX317" s="26"/>
      <c r="AY317" s="26"/>
      <c r="AZ317" s="26"/>
      <c r="BA317" s="26"/>
      <c r="BB317" s="26"/>
      <c r="BC317" s="26"/>
      <c r="BD317" s="26"/>
      <c r="BE317" s="26"/>
      <c r="BF317" s="26"/>
      <c r="BG317" s="26"/>
      <c r="BH317" s="26"/>
      <c r="BI317" s="26"/>
      <c r="BJ317" s="26"/>
      <c r="BK317" s="26"/>
      <c r="BL317" s="26"/>
      <c r="BM317" s="26"/>
      <c r="BN317" s="26"/>
      <c r="BO317" s="26"/>
      <c r="BP317" s="26"/>
      <c r="BQ317" s="26"/>
      <c r="BR317" s="26"/>
      <c r="BS317" s="26"/>
      <c r="BT317" s="26"/>
    </row>
    <row r="318" spans="3:72" ht="15" customHeight="1" x14ac:dyDescent="0.25"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  <c r="AN318" s="26"/>
      <c r="AO318" s="26"/>
      <c r="AP318" s="26"/>
      <c r="AQ318" s="26"/>
      <c r="AR318" s="26"/>
      <c r="AS318" s="26"/>
      <c r="AT318" s="26"/>
      <c r="AU318" s="26"/>
      <c r="AV318" s="26"/>
      <c r="AW318" s="26"/>
      <c r="AX318" s="26"/>
      <c r="AY318" s="26"/>
      <c r="AZ318" s="26"/>
      <c r="BA318" s="26"/>
      <c r="BB318" s="26"/>
      <c r="BC318" s="26"/>
      <c r="BD318" s="26"/>
      <c r="BE318" s="26"/>
      <c r="BF318" s="26"/>
      <c r="BG318" s="26"/>
      <c r="BH318" s="26"/>
      <c r="BI318" s="26"/>
      <c r="BJ318" s="26"/>
      <c r="BK318" s="26"/>
      <c r="BL318" s="26"/>
      <c r="BM318" s="26"/>
      <c r="BN318" s="26"/>
      <c r="BO318" s="26"/>
      <c r="BP318" s="26"/>
      <c r="BQ318" s="26"/>
      <c r="BR318" s="26"/>
      <c r="BS318" s="26"/>
      <c r="BT318" s="26"/>
    </row>
    <row r="319" spans="3:72" ht="15" customHeight="1" x14ac:dyDescent="0.25"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  <c r="AJ319" s="26"/>
      <c r="AK319" s="26"/>
      <c r="AL319" s="26"/>
      <c r="AM319" s="26"/>
      <c r="AN319" s="26"/>
      <c r="AO319" s="26"/>
      <c r="AP319" s="26"/>
      <c r="AQ319" s="26"/>
      <c r="AR319" s="26"/>
      <c r="AS319" s="26"/>
      <c r="AT319" s="26"/>
      <c r="AU319" s="26"/>
      <c r="AV319" s="26"/>
      <c r="AW319" s="26"/>
      <c r="AX319" s="26"/>
      <c r="AY319" s="26"/>
      <c r="AZ319" s="26"/>
      <c r="BA319" s="26"/>
      <c r="BB319" s="26"/>
      <c r="BC319" s="26"/>
      <c r="BD319" s="26"/>
      <c r="BE319" s="26"/>
      <c r="BF319" s="26"/>
      <c r="BG319" s="26"/>
      <c r="BH319" s="26"/>
      <c r="BI319" s="26"/>
      <c r="BJ319" s="26"/>
      <c r="BK319" s="26"/>
      <c r="BL319" s="26"/>
      <c r="BM319" s="26"/>
      <c r="BN319" s="26"/>
      <c r="BO319" s="26"/>
      <c r="BP319" s="26"/>
      <c r="BQ319" s="26"/>
      <c r="BR319" s="26"/>
      <c r="BS319" s="26"/>
      <c r="BT319" s="26"/>
    </row>
    <row r="320" spans="3:72" ht="15" customHeight="1" x14ac:dyDescent="0.25"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  <c r="AM320" s="26"/>
      <c r="AN320" s="26"/>
      <c r="AO320" s="26"/>
      <c r="AP320" s="26"/>
      <c r="AQ320" s="26"/>
      <c r="AR320" s="26"/>
      <c r="AS320" s="26"/>
      <c r="AT320" s="26"/>
      <c r="AU320" s="26"/>
      <c r="AV320" s="26"/>
      <c r="AW320" s="26"/>
      <c r="AX320" s="26"/>
      <c r="AY320" s="26"/>
      <c r="AZ320" s="26"/>
      <c r="BA320" s="26"/>
      <c r="BB320" s="26"/>
      <c r="BC320" s="26"/>
      <c r="BD320" s="26"/>
      <c r="BE320" s="26"/>
      <c r="BF320" s="26"/>
      <c r="BG320" s="26"/>
      <c r="BH320" s="26"/>
      <c r="BI320" s="26"/>
      <c r="BJ320" s="26"/>
      <c r="BK320" s="26"/>
      <c r="BL320" s="26"/>
      <c r="BM320" s="26"/>
      <c r="BN320" s="26"/>
      <c r="BO320" s="26"/>
      <c r="BP320" s="26"/>
      <c r="BQ320" s="26"/>
      <c r="BR320" s="26"/>
      <c r="BS320" s="26"/>
      <c r="BT320" s="26"/>
    </row>
    <row r="321" spans="3:72" ht="15" customHeight="1" x14ac:dyDescent="0.25"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26"/>
      <c r="AL321" s="26"/>
      <c r="AM321" s="26"/>
      <c r="AN321" s="26"/>
      <c r="AO321" s="26"/>
      <c r="AP321" s="26"/>
      <c r="AQ321" s="26"/>
      <c r="AR321" s="26"/>
      <c r="AS321" s="26"/>
      <c r="AT321" s="26"/>
      <c r="AU321" s="26"/>
      <c r="AV321" s="26"/>
      <c r="AW321" s="26"/>
      <c r="AX321" s="26"/>
      <c r="AY321" s="26"/>
      <c r="AZ321" s="26"/>
      <c r="BA321" s="26"/>
      <c r="BB321" s="26"/>
      <c r="BC321" s="26"/>
      <c r="BD321" s="26"/>
      <c r="BE321" s="26"/>
      <c r="BF321" s="26"/>
      <c r="BG321" s="26"/>
      <c r="BH321" s="26"/>
      <c r="BI321" s="26"/>
      <c r="BJ321" s="26"/>
      <c r="BK321" s="26"/>
      <c r="BL321" s="26"/>
      <c r="BM321" s="26"/>
      <c r="BN321" s="26"/>
      <c r="BO321" s="26"/>
      <c r="BP321" s="26"/>
      <c r="BQ321" s="26"/>
      <c r="BR321" s="26"/>
      <c r="BS321" s="26"/>
      <c r="BT321" s="26"/>
    </row>
    <row r="322" spans="3:72" ht="15" customHeight="1" x14ac:dyDescent="0.25"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26"/>
      <c r="AL322" s="26"/>
      <c r="AM322" s="26"/>
      <c r="AN322" s="26"/>
      <c r="AO322" s="26"/>
      <c r="AP322" s="26"/>
      <c r="AQ322" s="26"/>
      <c r="AR322" s="26"/>
      <c r="AS322" s="26"/>
      <c r="AT322" s="26"/>
      <c r="AU322" s="26"/>
      <c r="AV322" s="26"/>
      <c r="AW322" s="26"/>
      <c r="AX322" s="26"/>
      <c r="AY322" s="26"/>
      <c r="AZ322" s="26"/>
      <c r="BA322" s="26"/>
      <c r="BB322" s="26"/>
      <c r="BC322" s="26"/>
      <c r="BD322" s="26"/>
      <c r="BE322" s="26"/>
      <c r="BF322" s="26"/>
      <c r="BG322" s="26"/>
      <c r="BH322" s="26"/>
      <c r="BI322" s="26"/>
      <c r="BJ322" s="26"/>
      <c r="BK322" s="26"/>
      <c r="BL322" s="26"/>
      <c r="BM322" s="26"/>
      <c r="BN322" s="26"/>
      <c r="BO322" s="26"/>
      <c r="BP322" s="26"/>
      <c r="BQ322" s="26"/>
      <c r="BR322" s="26"/>
      <c r="BS322" s="26"/>
      <c r="BT322" s="26"/>
    </row>
    <row r="323" spans="3:72" ht="15" customHeight="1" x14ac:dyDescent="0.25"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  <c r="AN323" s="26"/>
      <c r="AO323" s="26"/>
      <c r="AP323" s="26"/>
      <c r="AQ323" s="26"/>
      <c r="AR323" s="26"/>
      <c r="AS323" s="26"/>
      <c r="AT323" s="26"/>
      <c r="AU323" s="26"/>
      <c r="AV323" s="26"/>
      <c r="AW323" s="26"/>
      <c r="AX323" s="26"/>
      <c r="AY323" s="26"/>
      <c r="AZ323" s="26"/>
      <c r="BA323" s="26"/>
      <c r="BB323" s="26"/>
      <c r="BC323" s="26"/>
      <c r="BD323" s="26"/>
      <c r="BE323" s="26"/>
      <c r="BF323" s="26"/>
      <c r="BG323" s="26"/>
      <c r="BH323" s="26"/>
      <c r="BI323" s="26"/>
      <c r="BJ323" s="26"/>
      <c r="BK323" s="26"/>
      <c r="BL323" s="26"/>
      <c r="BM323" s="26"/>
      <c r="BN323" s="26"/>
      <c r="BO323" s="26"/>
      <c r="BP323" s="26"/>
      <c r="BQ323" s="26"/>
      <c r="BR323" s="26"/>
      <c r="BS323" s="26"/>
      <c r="BT323" s="26"/>
    </row>
    <row r="324" spans="3:72" ht="15" customHeight="1" x14ac:dyDescent="0.25"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  <c r="AK324" s="26"/>
      <c r="AL324" s="26"/>
      <c r="AM324" s="26"/>
      <c r="AN324" s="26"/>
      <c r="AO324" s="26"/>
      <c r="AP324" s="26"/>
      <c r="AQ324" s="26"/>
      <c r="AR324" s="26"/>
      <c r="AS324" s="26"/>
      <c r="AT324" s="26"/>
      <c r="AU324" s="26"/>
      <c r="AV324" s="26"/>
      <c r="AW324" s="26"/>
      <c r="AX324" s="26"/>
      <c r="AY324" s="26"/>
      <c r="AZ324" s="26"/>
      <c r="BA324" s="26"/>
      <c r="BB324" s="26"/>
      <c r="BC324" s="26"/>
      <c r="BD324" s="26"/>
      <c r="BE324" s="26"/>
      <c r="BF324" s="26"/>
      <c r="BG324" s="26"/>
      <c r="BH324" s="26"/>
      <c r="BI324" s="26"/>
      <c r="BJ324" s="26"/>
      <c r="BK324" s="26"/>
      <c r="BL324" s="26"/>
      <c r="BM324" s="26"/>
      <c r="BN324" s="26"/>
      <c r="BO324" s="26"/>
      <c r="BP324" s="26"/>
      <c r="BQ324" s="26"/>
      <c r="BR324" s="26"/>
      <c r="BS324" s="26"/>
      <c r="BT324" s="26"/>
    </row>
    <row r="325" spans="3:72" ht="15" customHeight="1" x14ac:dyDescent="0.25"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  <c r="AM325" s="26"/>
      <c r="AN325" s="26"/>
      <c r="AO325" s="26"/>
      <c r="AP325" s="26"/>
      <c r="AQ325" s="26"/>
      <c r="AR325" s="26"/>
      <c r="AS325" s="26"/>
      <c r="AT325" s="26"/>
      <c r="AU325" s="26"/>
      <c r="AV325" s="26"/>
      <c r="AW325" s="26"/>
      <c r="AX325" s="26"/>
      <c r="AY325" s="26"/>
      <c r="AZ325" s="26"/>
      <c r="BA325" s="26"/>
      <c r="BB325" s="26"/>
      <c r="BC325" s="26"/>
      <c r="BD325" s="26"/>
      <c r="BE325" s="26"/>
      <c r="BF325" s="26"/>
      <c r="BG325" s="26"/>
      <c r="BH325" s="26"/>
      <c r="BI325" s="26"/>
      <c r="BJ325" s="26"/>
      <c r="BK325" s="26"/>
      <c r="BL325" s="26"/>
      <c r="BM325" s="26"/>
      <c r="BN325" s="26"/>
      <c r="BO325" s="26"/>
      <c r="BP325" s="26"/>
      <c r="BQ325" s="26"/>
      <c r="BR325" s="26"/>
      <c r="BS325" s="26"/>
      <c r="BT325" s="26"/>
    </row>
    <row r="326" spans="3:72" ht="15" customHeight="1" x14ac:dyDescent="0.25"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  <c r="AO326" s="26"/>
      <c r="AP326" s="26"/>
      <c r="AQ326" s="26"/>
      <c r="AR326" s="26"/>
      <c r="AS326" s="26"/>
      <c r="AT326" s="26"/>
      <c r="AU326" s="26"/>
      <c r="AV326" s="26"/>
      <c r="AW326" s="26"/>
      <c r="AX326" s="26"/>
      <c r="AY326" s="26"/>
      <c r="AZ326" s="26"/>
      <c r="BA326" s="26"/>
      <c r="BB326" s="26"/>
      <c r="BC326" s="26"/>
      <c r="BD326" s="26"/>
      <c r="BE326" s="26"/>
      <c r="BF326" s="26"/>
      <c r="BG326" s="26"/>
      <c r="BH326" s="26"/>
      <c r="BI326" s="26"/>
      <c r="BJ326" s="26"/>
      <c r="BK326" s="26"/>
      <c r="BL326" s="26"/>
      <c r="BM326" s="26"/>
      <c r="BN326" s="26"/>
      <c r="BO326" s="26"/>
      <c r="BP326" s="26"/>
      <c r="BQ326" s="26"/>
      <c r="BR326" s="26"/>
      <c r="BS326" s="26"/>
      <c r="BT326" s="26"/>
    </row>
    <row r="327" spans="3:72" ht="15" customHeight="1" x14ac:dyDescent="0.25"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  <c r="AJ327" s="26"/>
      <c r="AK327" s="26"/>
      <c r="AL327" s="26"/>
      <c r="AM327" s="26"/>
      <c r="AN327" s="26"/>
      <c r="AO327" s="26"/>
      <c r="AP327" s="26"/>
      <c r="AQ327" s="26"/>
      <c r="AR327" s="26"/>
      <c r="AS327" s="26"/>
      <c r="AT327" s="26"/>
      <c r="AU327" s="26"/>
      <c r="AV327" s="26"/>
      <c r="AW327" s="26"/>
      <c r="AX327" s="26"/>
      <c r="AY327" s="26"/>
      <c r="AZ327" s="26"/>
      <c r="BA327" s="26"/>
      <c r="BB327" s="26"/>
      <c r="BC327" s="26"/>
      <c r="BD327" s="26"/>
      <c r="BE327" s="26"/>
      <c r="BF327" s="26"/>
      <c r="BG327" s="26"/>
      <c r="BH327" s="26"/>
      <c r="BI327" s="26"/>
      <c r="BJ327" s="26"/>
      <c r="BK327" s="26"/>
      <c r="BL327" s="26"/>
      <c r="BM327" s="26"/>
      <c r="BN327" s="26"/>
      <c r="BO327" s="26"/>
      <c r="BP327" s="26"/>
      <c r="BQ327" s="26"/>
      <c r="BR327" s="26"/>
      <c r="BS327" s="26"/>
      <c r="BT327" s="26"/>
    </row>
    <row r="328" spans="3:72" ht="15" customHeight="1" x14ac:dyDescent="0.25"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  <c r="AJ328" s="26"/>
      <c r="AK328" s="26"/>
      <c r="AL328" s="26"/>
      <c r="AM328" s="26"/>
      <c r="AN328" s="26"/>
      <c r="AO328" s="26"/>
      <c r="AP328" s="26"/>
      <c r="AQ328" s="26"/>
      <c r="AR328" s="26"/>
      <c r="AS328" s="26"/>
      <c r="AT328" s="26"/>
      <c r="AU328" s="26"/>
      <c r="AV328" s="26"/>
      <c r="AW328" s="26"/>
      <c r="AX328" s="26"/>
      <c r="AY328" s="26"/>
      <c r="AZ328" s="26"/>
      <c r="BA328" s="26"/>
      <c r="BB328" s="26"/>
      <c r="BC328" s="26"/>
      <c r="BD328" s="26"/>
      <c r="BE328" s="26"/>
      <c r="BF328" s="26"/>
      <c r="BG328" s="26"/>
      <c r="BH328" s="26"/>
      <c r="BI328" s="26"/>
      <c r="BJ328" s="26"/>
      <c r="BK328" s="26"/>
      <c r="BL328" s="26"/>
      <c r="BM328" s="26"/>
      <c r="BN328" s="26"/>
      <c r="BO328" s="26"/>
      <c r="BP328" s="26"/>
      <c r="BQ328" s="26"/>
      <c r="BR328" s="26"/>
      <c r="BS328" s="26"/>
      <c r="BT328" s="26"/>
    </row>
    <row r="329" spans="3:72" ht="15" customHeight="1" x14ac:dyDescent="0.25"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  <c r="AJ329" s="26"/>
      <c r="AK329" s="26"/>
      <c r="AL329" s="26"/>
      <c r="AM329" s="26"/>
      <c r="AN329" s="26"/>
      <c r="AO329" s="26"/>
      <c r="AP329" s="26"/>
      <c r="AQ329" s="26"/>
      <c r="AR329" s="26"/>
      <c r="AS329" s="26"/>
      <c r="AT329" s="26"/>
      <c r="AU329" s="26"/>
      <c r="AV329" s="26"/>
      <c r="AW329" s="26"/>
      <c r="AX329" s="26"/>
      <c r="AY329" s="26"/>
      <c r="AZ329" s="26"/>
      <c r="BA329" s="26"/>
      <c r="BB329" s="26"/>
      <c r="BC329" s="26"/>
      <c r="BD329" s="26"/>
      <c r="BE329" s="26"/>
      <c r="BF329" s="26"/>
      <c r="BG329" s="26"/>
      <c r="BH329" s="26"/>
      <c r="BI329" s="26"/>
      <c r="BJ329" s="26"/>
      <c r="BK329" s="26"/>
      <c r="BL329" s="26"/>
      <c r="BM329" s="26"/>
      <c r="BN329" s="26"/>
      <c r="BO329" s="26"/>
      <c r="BP329" s="26"/>
      <c r="BQ329" s="26"/>
      <c r="BR329" s="26"/>
      <c r="BS329" s="26"/>
      <c r="BT329" s="26"/>
    </row>
    <row r="330" spans="3:72" ht="15" customHeight="1" x14ac:dyDescent="0.25"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/>
      <c r="AL330" s="26"/>
      <c r="AM330" s="26"/>
      <c r="AN330" s="26"/>
      <c r="AO330" s="26"/>
      <c r="AP330" s="26"/>
      <c r="AQ330" s="26"/>
      <c r="AR330" s="26"/>
      <c r="AS330" s="26"/>
      <c r="AT330" s="26"/>
      <c r="AU330" s="26"/>
      <c r="AV330" s="26"/>
      <c r="AW330" s="26"/>
      <c r="AX330" s="26"/>
      <c r="AY330" s="26"/>
      <c r="AZ330" s="26"/>
      <c r="BA330" s="26"/>
      <c r="BB330" s="26"/>
      <c r="BC330" s="26"/>
      <c r="BD330" s="26"/>
      <c r="BE330" s="26"/>
      <c r="BF330" s="26"/>
      <c r="BG330" s="26"/>
      <c r="BH330" s="26"/>
      <c r="BI330" s="26"/>
      <c r="BJ330" s="26"/>
      <c r="BK330" s="26"/>
      <c r="BL330" s="26"/>
      <c r="BM330" s="26"/>
      <c r="BN330" s="26"/>
      <c r="BO330" s="26"/>
      <c r="BP330" s="26"/>
      <c r="BQ330" s="26"/>
      <c r="BR330" s="26"/>
      <c r="BS330" s="26"/>
      <c r="BT330" s="26"/>
    </row>
    <row r="331" spans="3:72" ht="15" customHeight="1" x14ac:dyDescent="0.25"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  <c r="AJ331" s="26"/>
      <c r="AK331" s="26"/>
      <c r="AL331" s="26"/>
      <c r="AM331" s="26"/>
      <c r="AN331" s="26"/>
      <c r="AO331" s="26"/>
      <c r="AP331" s="26"/>
      <c r="AQ331" s="26"/>
      <c r="AR331" s="26"/>
      <c r="AS331" s="26"/>
      <c r="AT331" s="26"/>
      <c r="AU331" s="26"/>
      <c r="AV331" s="26"/>
      <c r="AW331" s="26"/>
      <c r="AX331" s="26"/>
      <c r="AY331" s="26"/>
      <c r="AZ331" s="26"/>
      <c r="BA331" s="26"/>
      <c r="BB331" s="26"/>
      <c r="BC331" s="26"/>
      <c r="BD331" s="26"/>
      <c r="BE331" s="26"/>
      <c r="BF331" s="26"/>
      <c r="BG331" s="26"/>
      <c r="BH331" s="26"/>
      <c r="BI331" s="26"/>
      <c r="BJ331" s="26"/>
      <c r="BK331" s="26"/>
      <c r="BL331" s="26"/>
      <c r="BM331" s="26"/>
      <c r="BN331" s="26"/>
      <c r="BO331" s="26"/>
      <c r="BP331" s="26"/>
      <c r="BQ331" s="26"/>
      <c r="BR331" s="26"/>
      <c r="BS331" s="26"/>
      <c r="BT331" s="26"/>
    </row>
    <row r="332" spans="3:72" ht="15" customHeight="1" x14ac:dyDescent="0.25"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  <c r="AO332" s="26"/>
      <c r="AP332" s="26"/>
      <c r="AQ332" s="26"/>
      <c r="AR332" s="26"/>
      <c r="AS332" s="26"/>
      <c r="AT332" s="26"/>
      <c r="AU332" s="26"/>
      <c r="AV332" s="26"/>
      <c r="AW332" s="26"/>
      <c r="AX332" s="26"/>
      <c r="AY332" s="26"/>
      <c r="AZ332" s="26"/>
      <c r="BA332" s="26"/>
      <c r="BB332" s="26"/>
      <c r="BC332" s="26"/>
      <c r="BD332" s="26"/>
      <c r="BE332" s="26"/>
      <c r="BF332" s="26"/>
      <c r="BG332" s="26"/>
      <c r="BH332" s="26"/>
      <c r="BI332" s="26"/>
      <c r="BJ332" s="26"/>
      <c r="BK332" s="26"/>
      <c r="BL332" s="26"/>
      <c r="BM332" s="26"/>
      <c r="BN332" s="26"/>
      <c r="BO332" s="26"/>
      <c r="BP332" s="26"/>
      <c r="BQ332" s="26"/>
      <c r="BR332" s="26"/>
      <c r="BS332" s="26"/>
      <c r="BT332" s="26"/>
    </row>
    <row r="333" spans="3:72" ht="15" customHeight="1" x14ac:dyDescent="0.25"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  <c r="AJ333" s="26"/>
      <c r="AK333" s="26"/>
      <c r="AL333" s="26"/>
      <c r="AM333" s="26"/>
      <c r="AN333" s="26"/>
      <c r="AO333" s="26"/>
      <c r="AP333" s="26"/>
      <c r="AQ333" s="26"/>
      <c r="AR333" s="26"/>
      <c r="AS333" s="26"/>
      <c r="AT333" s="26"/>
      <c r="AU333" s="26"/>
      <c r="AV333" s="26"/>
      <c r="AW333" s="26"/>
      <c r="AX333" s="26"/>
      <c r="AY333" s="26"/>
      <c r="AZ333" s="26"/>
      <c r="BA333" s="26"/>
      <c r="BB333" s="26"/>
      <c r="BC333" s="26"/>
      <c r="BD333" s="26"/>
      <c r="BE333" s="26"/>
      <c r="BF333" s="26"/>
      <c r="BG333" s="26"/>
      <c r="BH333" s="26"/>
      <c r="BI333" s="26"/>
      <c r="BJ333" s="26"/>
      <c r="BK333" s="26"/>
      <c r="BL333" s="26"/>
      <c r="BM333" s="26"/>
      <c r="BN333" s="26"/>
      <c r="BO333" s="26"/>
      <c r="BP333" s="26"/>
      <c r="BQ333" s="26"/>
      <c r="BR333" s="26"/>
      <c r="BS333" s="26"/>
      <c r="BT333" s="26"/>
    </row>
    <row r="334" spans="3:72" ht="15" customHeight="1" x14ac:dyDescent="0.25"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  <c r="AN334" s="26"/>
      <c r="AO334" s="26"/>
      <c r="AP334" s="26"/>
      <c r="AQ334" s="26"/>
      <c r="AR334" s="26"/>
      <c r="AS334" s="26"/>
      <c r="AT334" s="26"/>
      <c r="AU334" s="26"/>
      <c r="AV334" s="26"/>
      <c r="AW334" s="26"/>
      <c r="AX334" s="26"/>
      <c r="AY334" s="26"/>
      <c r="AZ334" s="26"/>
      <c r="BA334" s="26"/>
      <c r="BB334" s="26"/>
      <c r="BC334" s="26"/>
      <c r="BD334" s="26"/>
      <c r="BE334" s="26"/>
      <c r="BF334" s="26"/>
      <c r="BG334" s="26"/>
      <c r="BH334" s="26"/>
      <c r="BI334" s="26"/>
      <c r="BJ334" s="26"/>
      <c r="BK334" s="26"/>
      <c r="BL334" s="26"/>
      <c r="BM334" s="26"/>
      <c r="BN334" s="26"/>
      <c r="BO334" s="26"/>
      <c r="BP334" s="26"/>
      <c r="BQ334" s="26"/>
      <c r="BR334" s="26"/>
      <c r="BS334" s="26"/>
      <c r="BT334" s="26"/>
    </row>
    <row r="335" spans="3:72" ht="15" customHeight="1" x14ac:dyDescent="0.25"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  <c r="AO335" s="26"/>
      <c r="AP335" s="26"/>
      <c r="AQ335" s="26"/>
      <c r="AR335" s="26"/>
      <c r="AS335" s="26"/>
      <c r="AT335" s="26"/>
      <c r="AU335" s="26"/>
      <c r="AV335" s="26"/>
      <c r="AW335" s="26"/>
      <c r="AX335" s="26"/>
      <c r="AY335" s="26"/>
      <c r="AZ335" s="26"/>
      <c r="BA335" s="26"/>
      <c r="BB335" s="26"/>
      <c r="BC335" s="26"/>
      <c r="BD335" s="26"/>
      <c r="BE335" s="26"/>
      <c r="BF335" s="26"/>
      <c r="BG335" s="26"/>
      <c r="BH335" s="26"/>
      <c r="BI335" s="26"/>
      <c r="BJ335" s="26"/>
      <c r="BK335" s="26"/>
      <c r="BL335" s="26"/>
      <c r="BM335" s="26"/>
      <c r="BN335" s="26"/>
      <c r="BO335" s="26"/>
      <c r="BP335" s="26"/>
      <c r="BQ335" s="26"/>
      <c r="BR335" s="26"/>
      <c r="BS335" s="26"/>
      <c r="BT335" s="26"/>
    </row>
    <row r="336" spans="3:72" ht="15" customHeight="1" x14ac:dyDescent="0.25"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  <c r="AO336" s="26"/>
      <c r="AP336" s="26"/>
      <c r="AQ336" s="26"/>
      <c r="AR336" s="26"/>
      <c r="AS336" s="26"/>
      <c r="AT336" s="26"/>
      <c r="AU336" s="26"/>
      <c r="AV336" s="26"/>
      <c r="AW336" s="26"/>
      <c r="AX336" s="26"/>
      <c r="AY336" s="26"/>
      <c r="AZ336" s="26"/>
      <c r="BA336" s="26"/>
      <c r="BB336" s="26"/>
      <c r="BC336" s="26"/>
      <c r="BD336" s="26"/>
      <c r="BE336" s="26"/>
      <c r="BF336" s="26"/>
      <c r="BG336" s="26"/>
      <c r="BH336" s="26"/>
      <c r="BI336" s="26"/>
      <c r="BJ336" s="26"/>
      <c r="BK336" s="26"/>
      <c r="BL336" s="26"/>
      <c r="BM336" s="26"/>
      <c r="BN336" s="26"/>
      <c r="BO336" s="26"/>
      <c r="BP336" s="26"/>
      <c r="BQ336" s="26"/>
      <c r="BR336" s="26"/>
      <c r="BS336" s="26"/>
      <c r="BT336" s="26"/>
    </row>
    <row r="337" spans="3:72" ht="15" customHeight="1" x14ac:dyDescent="0.25"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  <c r="AO337" s="26"/>
      <c r="AP337" s="26"/>
      <c r="AQ337" s="26"/>
      <c r="AR337" s="26"/>
      <c r="AS337" s="26"/>
      <c r="AT337" s="26"/>
      <c r="AU337" s="26"/>
      <c r="AV337" s="26"/>
      <c r="AW337" s="26"/>
      <c r="AX337" s="26"/>
      <c r="AY337" s="26"/>
      <c r="AZ337" s="26"/>
      <c r="BA337" s="26"/>
      <c r="BB337" s="26"/>
      <c r="BC337" s="26"/>
      <c r="BD337" s="26"/>
      <c r="BE337" s="26"/>
      <c r="BF337" s="26"/>
      <c r="BG337" s="26"/>
      <c r="BH337" s="26"/>
      <c r="BI337" s="26"/>
      <c r="BJ337" s="26"/>
      <c r="BK337" s="26"/>
      <c r="BL337" s="26"/>
      <c r="BM337" s="26"/>
      <c r="BN337" s="26"/>
      <c r="BO337" s="26"/>
      <c r="BP337" s="26"/>
      <c r="BQ337" s="26"/>
      <c r="BR337" s="26"/>
      <c r="BS337" s="26"/>
      <c r="BT337" s="26"/>
    </row>
    <row r="338" spans="3:72" ht="15" customHeight="1" x14ac:dyDescent="0.25"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  <c r="AN338" s="26"/>
      <c r="AO338" s="26"/>
      <c r="AP338" s="26"/>
      <c r="AQ338" s="26"/>
      <c r="AR338" s="26"/>
      <c r="AS338" s="26"/>
      <c r="AT338" s="26"/>
      <c r="AU338" s="26"/>
      <c r="AV338" s="26"/>
      <c r="AW338" s="26"/>
      <c r="AX338" s="26"/>
      <c r="AY338" s="26"/>
      <c r="AZ338" s="26"/>
      <c r="BA338" s="26"/>
      <c r="BB338" s="26"/>
      <c r="BC338" s="26"/>
      <c r="BD338" s="26"/>
      <c r="BE338" s="26"/>
      <c r="BF338" s="26"/>
      <c r="BG338" s="26"/>
      <c r="BH338" s="26"/>
      <c r="BI338" s="26"/>
      <c r="BJ338" s="26"/>
      <c r="BK338" s="26"/>
      <c r="BL338" s="26"/>
      <c r="BM338" s="26"/>
      <c r="BN338" s="26"/>
      <c r="BO338" s="26"/>
      <c r="BP338" s="26"/>
      <c r="BQ338" s="26"/>
      <c r="BR338" s="26"/>
      <c r="BS338" s="26"/>
      <c r="BT338" s="26"/>
    </row>
    <row r="339" spans="3:72" ht="15" customHeight="1" x14ac:dyDescent="0.25"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  <c r="AN339" s="26"/>
      <c r="AO339" s="26"/>
      <c r="AP339" s="26"/>
      <c r="AQ339" s="26"/>
      <c r="AR339" s="26"/>
      <c r="AS339" s="26"/>
      <c r="AT339" s="26"/>
      <c r="AU339" s="26"/>
      <c r="AV339" s="26"/>
      <c r="AW339" s="26"/>
      <c r="AX339" s="26"/>
      <c r="AY339" s="26"/>
      <c r="AZ339" s="26"/>
      <c r="BA339" s="26"/>
      <c r="BB339" s="26"/>
      <c r="BC339" s="26"/>
      <c r="BD339" s="26"/>
      <c r="BE339" s="26"/>
      <c r="BF339" s="26"/>
      <c r="BG339" s="26"/>
      <c r="BH339" s="26"/>
      <c r="BI339" s="26"/>
      <c r="BJ339" s="26"/>
      <c r="BK339" s="26"/>
      <c r="BL339" s="26"/>
      <c r="BM339" s="26"/>
      <c r="BN339" s="26"/>
      <c r="BO339" s="26"/>
      <c r="BP339" s="26"/>
      <c r="BQ339" s="26"/>
      <c r="BR339" s="26"/>
      <c r="BS339" s="26"/>
      <c r="BT339" s="26"/>
    </row>
    <row r="340" spans="3:72" ht="15" customHeight="1" x14ac:dyDescent="0.25"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  <c r="AN340" s="26"/>
      <c r="AO340" s="26"/>
      <c r="AP340" s="26"/>
      <c r="AQ340" s="26"/>
      <c r="AR340" s="26"/>
      <c r="AS340" s="26"/>
      <c r="AT340" s="26"/>
      <c r="AU340" s="26"/>
      <c r="AV340" s="26"/>
      <c r="AW340" s="26"/>
      <c r="AX340" s="26"/>
      <c r="AY340" s="26"/>
      <c r="AZ340" s="26"/>
      <c r="BA340" s="26"/>
      <c r="BB340" s="26"/>
      <c r="BC340" s="26"/>
      <c r="BD340" s="26"/>
      <c r="BE340" s="26"/>
      <c r="BF340" s="26"/>
      <c r="BG340" s="26"/>
      <c r="BH340" s="26"/>
      <c r="BI340" s="26"/>
      <c r="BJ340" s="26"/>
      <c r="BK340" s="26"/>
      <c r="BL340" s="26"/>
      <c r="BM340" s="26"/>
      <c r="BN340" s="26"/>
      <c r="BO340" s="26"/>
      <c r="BP340" s="26"/>
      <c r="BQ340" s="26"/>
      <c r="BR340" s="26"/>
      <c r="BS340" s="26"/>
      <c r="BT340" s="26"/>
    </row>
    <row r="341" spans="3:72" ht="15" customHeight="1" x14ac:dyDescent="0.25"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  <c r="AJ341" s="26"/>
      <c r="AK341" s="26"/>
      <c r="AL341" s="26"/>
      <c r="AM341" s="26"/>
      <c r="AN341" s="26"/>
      <c r="AO341" s="26"/>
      <c r="AP341" s="26"/>
      <c r="AQ341" s="26"/>
      <c r="AR341" s="26"/>
      <c r="AS341" s="26"/>
      <c r="AT341" s="26"/>
      <c r="AU341" s="26"/>
      <c r="AV341" s="26"/>
      <c r="AW341" s="26"/>
      <c r="AX341" s="26"/>
      <c r="AY341" s="26"/>
      <c r="AZ341" s="26"/>
      <c r="BA341" s="26"/>
      <c r="BB341" s="26"/>
      <c r="BC341" s="26"/>
      <c r="BD341" s="26"/>
      <c r="BE341" s="26"/>
      <c r="BF341" s="26"/>
      <c r="BG341" s="26"/>
      <c r="BH341" s="26"/>
      <c r="BI341" s="26"/>
      <c r="BJ341" s="26"/>
      <c r="BK341" s="26"/>
      <c r="BL341" s="26"/>
      <c r="BM341" s="26"/>
      <c r="BN341" s="26"/>
      <c r="BO341" s="26"/>
      <c r="BP341" s="26"/>
      <c r="BQ341" s="26"/>
      <c r="BR341" s="26"/>
      <c r="BS341" s="26"/>
      <c r="BT341" s="26"/>
    </row>
    <row r="342" spans="3:72" ht="15" customHeight="1" x14ac:dyDescent="0.25"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  <c r="AJ342" s="26"/>
      <c r="AK342" s="26"/>
      <c r="AL342" s="26"/>
      <c r="AM342" s="26"/>
      <c r="AN342" s="26"/>
      <c r="AO342" s="26"/>
      <c r="AP342" s="26"/>
      <c r="AQ342" s="26"/>
      <c r="AR342" s="26"/>
      <c r="AS342" s="26"/>
      <c r="AT342" s="26"/>
      <c r="AU342" s="26"/>
      <c r="AV342" s="26"/>
      <c r="AW342" s="26"/>
      <c r="AX342" s="26"/>
      <c r="AY342" s="26"/>
      <c r="AZ342" s="26"/>
      <c r="BA342" s="26"/>
      <c r="BB342" s="26"/>
      <c r="BC342" s="26"/>
      <c r="BD342" s="26"/>
      <c r="BE342" s="26"/>
      <c r="BF342" s="26"/>
      <c r="BG342" s="26"/>
      <c r="BH342" s="26"/>
      <c r="BI342" s="26"/>
      <c r="BJ342" s="26"/>
      <c r="BK342" s="26"/>
      <c r="BL342" s="26"/>
      <c r="BM342" s="26"/>
      <c r="BN342" s="26"/>
      <c r="BO342" s="26"/>
      <c r="BP342" s="26"/>
      <c r="BQ342" s="26"/>
      <c r="BR342" s="26"/>
      <c r="BS342" s="26"/>
      <c r="BT342" s="26"/>
    </row>
    <row r="343" spans="3:72" ht="15" customHeight="1" x14ac:dyDescent="0.25"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  <c r="AJ343" s="26"/>
      <c r="AK343" s="26"/>
      <c r="AL343" s="26"/>
      <c r="AM343" s="26"/>
      <c r="AN343" s="26"/>
      <c r="AO343" s="26"/>
      <c r="AP343" s="26"/>
      <c r="AQ343" s="26"/>
      <c r="AR343" s="26"/>
      <c r="AS343" s="26"/>
      <c r="AT343" s="26"/>
      <c r="AU343" s="26"/>
      <c r="AV343" s="26"/>
      <c r="AW343" s="26"/>
      <c r="AX343" s="26"/>
      <c r="AY343" s="26"/>
      <c r="AZ343" s="26"/>
      <c r="BA343" s="26"/>
      <c r="BB343" s="26"/>
      <c r="BC343" s="26"/>
      <c r="BD343" s="26"/>
      <c r="BE343" s="26"/>
      <c r="BF343" s="26"/>
      <c r="BG343" s="26"/>
      <c r="BH343" s="26"/>
      <c r="BI343" s="26"/>
      <c r="BJ343" s="26"/>
      <c r="BK343" s="26"/>
      <c r="BL343" s="26"/>
      <c r="BM343" s="26"/>
      <c r="BN343" s="26"/>
      <c r="BO343" s="26"/>
      <c r="BP343" s="26"/>
      <c r="BQ343" s="26"/>
      <c r="BR343" s="26"/>
      <c r="BS343" s="26"/>
      <c r="BT343" s="26"/>
    </row>
    <row r="344" spans="3:72" ht="15" customHeight="1" x14ac:dyDescent="0.25"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  <c r="AJ344" s="26"/>
      <c r="AK344" s="26"/>
      <c r="AL344" s="26"/>
      <c r="AM344" s="26"/>
      <c r="AN344" s="26"/>
      <c r="AO344" s="26"/>
      <c r="AP344" s="26"/>
      <c r="AQ344" s="26"/>
      <c r="AR344" s="26"/>
      <c r="AS344" s="26"/>
      <c r="AT344" s="26"/>
      <c r="AU344" s="26"/>
      <c r="AV344" s="26"/>
      <c r="AW344" s="26"/>
      <c r="AX344" s="26"/>
      <c r="AY344" s="26"/>
      <c r="AZ344" s="26"/>
      <c r="BA344" s="26"/>
      <c r="BB344" s="26"/>
      <c r="BC344" s="26"/>
      <c r="BD344" s="26"/>
      <c r="BE344" s="26"/>
      <c r="BF344" s="26"/>
      <c r="BG344" s="26"/>
      <c r="BH344" s="26"/>
      <c r="BI344" s="26"/>
      <c r="BJ344" s="26"/>
      <c r="BK344" s="26"/>
      <c r="BL344" s="26"/>
      <c r="BM344" s="26"/>
      <c r="BN344" s="26"/>
      <c r="BO344" s="26"/>
      <c r="BP344" s="26"/>
      <c r="BQ344" s="26"/>
      <c r="BR344" s="26"/>
      <c r="BS344" s="26"/>
      <c r="BT344" s="26"/>
    </row>
    <row r="345" spans="3:72" ht="15" customHeight="1" x14ac:dyDescent="0.25"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  <c r="AH345" s="26"/>
      <c r="AI345" s="26"/>
      <c r="AJ345" s="26"/>
      <c r="AK345" s="26"/>
      <c r="AL345" s="26"/>
      <c r="AM345" s="26"/>
      <c r="AN345" s="26"/>
      <c r="AO345" s="26"/>
      <c r="AP345" s="26"/>
      <c r="AQ345" s="26"/>
      <c r="AR345" s="26"/>
      <c r="AS345" s="26"/>
      <c r="AT345" s="26"/>
      <c r="AU345" s="26"/>
      <c r="AV345" s="26"/>
      <c r="AW345" s="26"/>
      <c r="AX345" s="26"/>
      <c r="AY345" s="26"/>
      <c r="AZ345" s="26"/>
      <c r="BA345" s="26"/>
      <c r="BB345" s="26"/>
      <c r="BC345" s="26"/>
      <c r="BD345" s="26"/>
      <c r="BE345" s="26"/>
      <c r="BF345" s="26"/>
      <c r="BG345" s="26"/>
      <c r="BH345" s="26"/>
      <c r="BI345" s="26"/>
      <c r="BJ345" s="26"/>
      <c r="BK345" s="26"/>
      <c r="BL345" s="26"/>
      <c r="BM345" s="26"/>
      <c r="BN345" s="26"/>
      <c r="BO345" s="26"/>
      <c r="BP345" s="26"/>
      <c r="BQ345" s="26"/>
      <c r="BR345" s="26"/>
      <c r="BS345" s="26"/>
      <c r="BT345" s="26"/>
    </row>
    <row r="346" spans="3:72" ht="15" customHeight="1" x14ac:dyDescent="0.25"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  <c r="AI346" s="26"/>
      <c r="AJ346" s="26"/>
      <c r="AK346" s="26"/>
      <c r="AL346" s="26"/>
      <c r="AM346" s="26"/>
      <c r="AN346" s="26"/>
      <c r="AO346" s="26"/>
      <c r="AP346" s="26"/>
      <c r="AQ346" s="26"/>
      <c r="AR346" s="26"/>
      <c r="AS346" s="26"/>
      <c r="AT346" s="26"/>
      <c r="AU346" s="26"/>
      <c r="AV346" s="26"/>
      <c r="AW346" s="26"/>
      <c r="AX346" s="26"/>
      <c r="AY346" s="26"/>
      <c r="AZ346" s="26"/>
      <c r="BA346" s="26"/>
      <c r="BB346" s="26"/>
      <c r="BC346" s="26"/>
      <c r="BD346" s="26"/>
      <c r="BE346" s="26"/>
      <c r="BF346" s="26"/>
      <c r="BG346" s="26"/>
      <c r="BH346" s="26"/>
      <c r="BI346" s="26"/>
      <c r="BJ346" s="26"/>
      <c r="BK346" s="26"/>
      <c r="BL346" s="26"/>
      <c r="BM346" s="26"/>
      <c r="BN346" s="26"/>
      <c r="BO346" s="26"/>
      <c r="BP346" s="26"/>
      <c r="BQ346" s="26"/>
      <c r="BR346" s="26"/>
      <c r="BS346" s="26"/>
      <c r="BT346" s="26"/>
    </row>
    <row r="347" spans="3:72" ht="15" customHeight="1" x14ac:dyDescent="0.25"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/>
      <c r="AN347" s="26"/>
      <c r="AO347" s="26"/>
      <c r="AP347" s="26"/>
      <c r="AQ347" s="26"/>
      <c r="AR347" s="26"/>
      <c r="AS347" s="26"/>
      <c r="AT347" s="26"/>
      <c r="AU347" s="26"/>
      <c r="AV347" s="26"/>
      <c r="AW347" s="26"/>
      <c r="AX347" s="26"/>
      <c r="AY347" s="26"/>
      <c r="AZ347" s="26"/>
      <c r="BA347" s="26"/>
      <c r="BB347" s="26"/>
      <c r="BC347" s="26"/>
      <c r="BD347" s="26"/>
      <c r="BE347" s="26"/>
      <c r="BF347" s="26"/>
      <c r="BG347" s="26"/>
      <c r="BH347" s="26"/>
      <c r="BI347" s="26"/>
      <c r="BJ347" s="26"/>
      <c r="BK347" s="26"/>
      <c r="BL347" s="26"/>
      <c r="BM347" s="26"/>
      <c r="BN347" s="26"/>
      <c r="BO347" s="26"/>
      <c r="BP347" s="26"/>
      <c r="BQ347" s="26"/>
      <c r="BR347" s="26"/>
      <c r="BS347" s="26"/>
      <c r="BT347" s="26"/>
    </row>
    <row r="348" spans="3:72" ht="15" customHeight="1" x14ac:dyDescent="0.25"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  <c r="AM348" s="26"/>
      <c r="AN348" s="26"/>
      <c r="AO348" s="26"/>
      <c r="AP348" s="26"/>
      <c r="AQ348" s="26"/>
      <c r="AR348" s="26"/>
      <c r="AS348" s="26"/>
      <c r="AT348" s="26"/>
      <c r="AU348" s="26"/>
      <c r="AV348" s="26"/>
      <c r="AW348" s="26"/>
      <c r="AX348" s="26"/>
      <c r="AY348" s="26"/>
      <c r="AZ348" s="26"/>
      <c r="BA348" s="26"/>
      <c r="BB348" s="26"/>
      <c r="BC348" s="26"/>
      <c r="BD348" s="26"/>
      <c r="BE348" s="26"/>
      <c r="BF348" s="26"/>
      <c r="BG348" s="26"/>
      <c r="BH348" s="26"/>
      <c r="BI348" s="26"/>
      <c r="BJ348" s="26"/>
      <c r="BK348" s="26"/>
      <c r="BL348" s="26"/>
      <c r="BM348" s="26"/>
      <c r="BN348" s="26"/>
      <c r="BO348" s="26"/>
      <c r="BP348" s="26"/>
      <c r="BQ348" s="26"/>
      <c r="BR348" s="26"/>
      <c r="BS348" s="26"/>
      <c r="BT348" s="26"/>
    </row>
    <row r="349" spans="3:72" ht="15" customHeight="1" x14ac:dyDescent="0.25"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  <c r="AM349" s="26"/>
      <c r="AN349" s="26"/>
      <c r="AO349" s="26"/>
      <c r="AP349" s="26"/>
      <c r="AQ349" s="26"/>
      <c r="AR349" s="26"/>
      <c r="AS349" s="26"/>
      <c r="AT349" s="26"/>
      <c r="AU349" s="26"/>
      <c r="AV349" s="26"/>
      <c r="AW349" s="26"/>
      <c r="AX349" s="26"/>
      <c r="AY349" s="26"/>
      <c r="AZ349" s="26"/>
      <c r="BA349" s="26"/>
      <c r="BB349" s="26"/>
      <c r="BC349" s="26"/>
      <c r="BD349" s="26"/>
      <c r="BE349" s="26"/>
      <c r="BF349" s="26"/>
      <c r="BG349" s="26"/>
      <c r="BH349" s="26"/>
      <c r="BI349" s="26"/>
      <c r="BJ349" s="26"/>
      <c r="BK349" s="26"/>
      <c r="BL349" s="26"/>
      <c r="BM349" s="26"/>
      <c r="BN349" s="26"/>
      <c r="BO349" s="26"/>
      <c r="BP349" s="26"/>
      <c r="BQ349" s="26"/>
      <c r="BR349" s="26"/>
      <c r="BS349" s="26"/>
      <c r="BT349" s="26"/>
    </row>
    <row r="350" spans="3:72" ht="15" customHeight="1" x14ac:dyDescent="0.25"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  <c r="AJ350" s="26"/>
      <c r="AK350" s="26"/>
      <c r="AL350" s="26"/>
      <c r="AM350" s="26"/>
      <c r="AN350" s="26"/>
      <c r="AO350" s="26"/>
      <c r="AP350" s="26"/>
      <c r="AQ350" s="26"/>
      <c r="AR350" s="26"/>
      <c r="AS350" s="26"/>
      <c r="AT350" s="26"/>
      <c r="AU350" s="26"/>
      <c r="AV350" s="26"/>
      <c r="AW350" s="26"/>
      <c r="AX350" s="26"/>
      <c r="AY350" s="26"/>
      <c r="AZ350" s="26"/>
      <c r="BA350" s="26"/>
      <c r="BB350" s="26"/>
      <c r="BC350" s="26"/>
      <c r="BD350" s="26"/>
      <c r="BE350" s="26"/>
      <c r="BF350" s="26"/>
      <c r="BG350" s="26"/>
      <c r="BH350" s="26"/>
      <c r="BI350" s="26"/>
      <c r="BJ350" s="26"/>
      <c r="BK350" s="26"/>
      <c r="BL350" s="26"/>
      <c r="BM350" s="26"/>
      <c r="BN350" s="26"/>
      <c r="BO350" s="26"/>
      <c r="BP350" s="26"/>
      <c r="BQ350" s="26"/>
      <c r="BR350" s="26"/>
      <c r="BS350" s="26"/>
      <c r="BT350" s="26"/>
    </row>
    <row r="351" spans="3:72" ht="15" customHeight="1" x14ac:dyDescent="0.25"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  <c r="AJ351" s="26"/>
      <c r="AK351" s="26"/>
      <c r="AL351" s="26"/>
      <c r="AM351" s="26"/>
      <c r="AN351" s="26"/>
      <c r="AO351" s="26"/>
      <c r="AP351" s="26"/>
      <c r="AQ351" s="26"/>
      <c r="AR351" s="26"/>
      <c r="AS351" s="26"/>
      <c r="AT351" s="26"/>
      <c r="AU351" s="26"/>
      <c r="AV351" s="26"/>
      <c r="AW351" s="26"/>
      <c r="AX351" s="26"/>
      <c r="AY351" s="26"/>
      <c r="AZ351" s="26"/>
      <c r="BA351" s="26"/>
      <c r="BB351" s="26"/>
      <c r="BC351" s="26"/>
      <c r="BD351" s="26"/>
      <c r="BE351" s="26"/>
      <c r="BF351" s="26"/>
      <c r="BG351" s="26"/>
      <c r="BH351" s="26"/>
      <c r="BI351" s="26"/>
      <c r="BJ351" s="26"/>
      <c r="BK351" s="26"/>
      <c r="BL351" s="26"/>
      <c r="BM351" s="26"/>
      <c r="BN351" s="26"/>
      <c r="BO351" s="26"/>
      <c r="BP351" s="26"/>
      <c r="BQ351" s="26"/>
      <c r="BR351" s="26"/>
      <c r="BS351" s="26"/>
      <c r="BT351" s="26"/>
    </row>
    <row r="352" spans="3:72" ht="15" customHeight="1" x14ac:dyDescent="0.25"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  <c r="AJ352" s="26"/>
      <c r="AK352" s="26"/>
      <c r="AL352" s="26"/>
      <c r="AM352" s="26"/>
      <c r="AN352" s="26"/>
      <c r="AO352" s="26"/>
      <c r="AP352" s="26"/>
      <c r="AQ352" s="26"/>
      <c r="AR352" s="26"/>
      <c r="AS352" s="26"/>
      <c r="AT352" s="26"/>
      <c r="AU352" s="26"/>
      <c r="AV352" s="26"/>
      <c r="AW352" s="26"/>
      <c r="AX352" s="26"/>
      <c r="AY352" s="26"/>
      <c r="AZ352" s="26"/>
      <c r="BA352" s="26"/>
      <c r="BB352" s="26"/>
      <c r="BC352" s="26"/>
      <c r="BD352" s="26"/>
      <c r="BE352" s="26"/>
      <c r="BF352" s="26"/>
      <c r="BG352" s="26"/>
      <c r="BH352" s="26"/>
      <c r="BI352" s="26"/>
      <c r="BJ352" s="26"/>
      <c r="BK352" s="26"/>
      <c r="BL352" s="26"/>
      <c r="BM352" s="26"/>
      <c r="BN352" s="26"/>
      <c r="BO352" s="26"/>
      <c r="BP352" s="26"/>
      <c r="BQ352" s="26"/>
      <c r="BR352" s="26"/>
      <c r="BS352" s="26"/>
      <c r="BT352" s="26"/>
    </row>
    <row r="353" spans="3:72" ht="15" customHeight="1" x14ac:dyDescent="0.25"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  <c r="AO353" s="26"/>
      <c r="AP353" s="26"/>
      <c r="AQ353" s="26"/>
      <c r="AR353" s="26"/>
      <c r="AS353" s="26"/>
      <c r="AT353" s="26"/>
      <c r="AU353" s="26"/>
      <c r="AV353" s="26"/>
      <c r="AW353" s="26"/>
      <c r="AX353" s="26"/>
      <c r="AY353" s="26"/>
      <c r="AZ353" s="26"/>
      <c r="BA353" s="26"/>
      <c r="BB353" s="26"/>
      <c r="BC353" s="26"/>
      <c r="BD353" s="26"/>
      <c r="BE353" s="26"/>
      <c r="BF353" s="26"/>
      <c r="BG353" s="26"/>
      <c r="BH353" s="26"/>
      <c r="BI353" s="26"/>
      <c r="BJ353" s="26"/>
      <c r="BK353" s="26"/>
      <c r="BL353" s="26"/>
      <c r="BM353" s="26"/>
      <c r="BN353" s="26"/>
      <c r="BO353" s="26"/>
      <c r="BP353" s="26"/>
      <c r="BQ353" s="26"/>
      <c r="BR353" s="26"/>
      <c r="BS353" s="26"/>
      <c r="BT353" s="26"/>
    </row>
    <row r="354" spans="3:72" ht="15" customHeight="1" x14ac:dyDescent="0.25"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  <c r="AP354" s="26"/>
      <c r="AQ354" s="26"/>
      <c r="AR354" s="26"/>
      <c r="AS354" s="26"/>
      <c r="AT354" s="26"/>
      <c r="AU354" s="26"/>
      <c r="AV354" s="26"/>
      <c r="AW354" s="26"/>
      <c r="AX354" s="26"/>
      <c r="AY354" s="26"/>
      <c r="AZ354" s="26"/>
      <c r="BA354" s="26"/>
      <c r="BB354" s="26"/>
      <c r="BC354" s="26"/>
      <c r="BD354" s="26"/>
      <c r="BE354" s="26"/>
      <c r="BF354" s="26"/>
      <c r="BG354" s="26"/>
      <c r="BH354" s="26"/>
      <c r="BI354" s="26"/>
      <c r="BJ354" s="26"/>
      <c r="BK354" s="26"/>
      <c r="BL354" s="26"/>
      <c r="BM354" s="26"/>
      <c r="BN354" s="26"/>
      <c r="BO354" s="26"/>
      <c r="BP354" s="26"/>
      <c r="BQ354" s="26"/>
      <c r="BR354" s="26"/>
      <c r="BS354" s="26"/>
      <c r="BT354" s="26"/>
    </row>
    <row r="355" spans="3:72" ht="15" customHeight="1" x14ac:dyDescent="0.25"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  <c r="AO355" s="26"/>
      <c r="AP355" s="26"/>
      <c r="AQ355" s="26"/>
      <c r="AR355" s="26"/>
      <c r="AS355" s="26"/>
      <c r="AT355" s="26"/>
      <c r="AU355" s="26"/>
      <c r="AV355" s="26"/>
      <c r="AW355" s="26"/>
      <c r="AX355" s="26"/>
      <c r="AY355" s="26"/>
      <c r="AZ355" s="26"/>
      <c r="BA355" s="26"/>
      <c r="BB355" s="26"/>
      <c r="BC355" s="26"/>
      <c r="BD355" s="26"/>
      <c r="BE355" s="26"/>
      <c r="BF355" s="26"/>
      <c r="BG355" s="26"/>
      <c r="BH355" s="26"/>
      <c r="BI355" s="26"/>
      <c r="BJ355" s="26"/>
      <c r="BK355" s="26"/>
      <c r="BL355" s="26"/>
      <c r="BM355" s="26"/>
      <c r="BN355" s="26"/>
      <c r="BO355" s="26"/>
      <c r="BP355" s="26"/>
      <c r="BQ355" s="26"/>
      <c r="BR355" s="26"/>
      <c r="BS355" s="26"/>
      <c r="BT355" s="26"/>
    </row>
    <row r="356" spans="3:72" ht="15" customHeight="1" x14ac:dyDescent="0.25"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  <c r="AM356" s="26"/>
      <c r="AN356" s="26"/>
      <c r="AO356" s="26"/>
      <c r="AP356" s="26"/>
      <c r="AQ356" s="26"/>
      <c r="AR356" s="26"/>
      <c r="AS356" s="26"/>
      <c r="AT356" s="26"/>
      <c r="AU356" s="26"/>
      <c r="AV356" s="26"/>
      <c r="AW356" s="26"/>
      <c r="AX356" s="26"/>
      <c r="AY356" s="26"/>
      <c r="AZ356" s="26"/>
      <c r="BA356" s="26"/>
      <c r="BB356" s="26"/>
      <c r="BC356" s="26"/>
      <c r="BD356" s="26"/>
      <c r="BE356" s="26"/>
      <c r="BF356" s="26"/>
      <c r="BG356" s="26"/>
      <c r="BH356" s="26"/>
      <c r="BI356" s="26"/>
      <c r="BJ356" s="26"/>
      <c r="BK356" s="26"/>
      <c r="BL356" s="26"/>
      <c r="BM356" s="26"/>
      <c r="BN356" s="26"/>
      <c r="BO356" s="26"/>
      <c r="BP356" s="26"/>
      <c r="BQ356" s="26"/>
      <c r="BR356" s="26"/>
      <c r="BS356" s="26"/>
      <c r="BT356" s="26"/>
    </row>
    <row r="357" spans="3:72" ht="15" customHeight="1" x14ac:dyDescent="0.25"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  <c r="AH357" s="26"/>
      <c r="AI357" s="26"/>
      <c r="AJ357" s="26"/>
      <c r="AK357" s="26"/>
      <c r="AL357" s="26"/>
      <c r="AM357" s="26"/>
      <c r="AN357" s="26"/>
      <c r="AO357" s="26"/>
      <c r="AP357" s="26"/>
      <c r="AQ357" s="26"/>
      <c r="AR357" s="26"/>
      <c r="AS357" s="26"/>
      <c r="AT357" s="26"/>
      <c r="AU357" s="26"/>
      <c r="AV357" s="26"/>
      <c r="AW357" s="26"/>
      <c r="AX357" s="26"/>
      <c r="AY357" s="26"/>
      <c r="AZ357" s="26"/>
      <c r="BA357" s="26"/>
      <c r="BB357" s="26"/>
      <c r="BC357" s="26"/>
      <c r="BD357" s="26"/>
      <c r="BE357" s="26"/>
      <c r="BF357" s="26"/>
      <c r="BG357" s="26"/>
      <c r="BH357" s="26"/>
      <c r="BI357" s="26"/>
      <c r="BJ357" s="26"/>
      <c r="BK357" s="26"/>
      <c r="BL357" s="26"/>
      <c r="BM357" s="26"/>
      <c r="BN357" s="26"/>
      <c r="BO357" s="26"/>
      <c r="BP357" s="26"/>
      <c r="BQ357" s="26"/>
      <c r="BR357" s="26"/>
      <c r="BS357" s="26"/>
      <c r="BT357" s="26"/>
    </row>
    <row r="358" spans="3:72" ht="15" customHeight="1" x14ac:dyDescent="0.25"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  <c r="AJ358" s="26"/>
      <c r="AK358" s="26"/>
      <c r="AL358" s="26"/>
      <c r="AM358" s="26"/>
      <c r="AN358" s="26"/>
      <c r="AO358" s="26"/>
      <c r="AP358" s="26"/>
      <c r="AQ358" s="26"/>
      <c r="AR358" s="26"/>
      <c r="AS358" s="26"/>
      <c r="AT358" s="26"/>
      <c r="AU358" s="26"/>
      <c r="AV358" s="26"/>
      <c r="AW358" s="26"/>
      <c r="AX358" s="26"/>
      <c r="AY358" s="26"/>
      <c r="AZ358" s="26"/>
      <c r="BA358" s="26"/>
      <c r="BB358" s="26"/>
      <c r="BC358" s="26"/>
      <c r="BD358" s="26"/>
      <c r="BE358" s="26"/>
      <c r="BF358" s="26"/>
      <c r="BG358" s="26"/>
      <c r="BH358" s="26"/>
      <c r="BI358" s="26"/>
      <c r="BJ358" s="26"/>
      <c r="BK358" s="26"/>
      <c r="BL358" s="26"/>
      <c r="BM358" s="26"/>
      <c r="BN358" s="26"/>
      <c r="BO358" s="26"/>
      <c r="BP358" s="26"/>
      <c r="BQ358" s="26"/>
      <c r="BR358" s="26"/>
      <c r="BS358" s="26"/>
      <c r="BT358" s="26"/>
    </row>
    <row r="359" spans="3:72" ht="15" customHeight="1" x14ac:dyDescent="0.25"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  <c r="AJ359" s="26"/>
      <c r="AK359" s="26"/>
      <c r="AL359" s="26"/>
      <c r="AM359" s="26"/>
      <c r="AN359" s="26"/>
      <c r="AO359" s="26"/>
      <c r="AP359" s="26"/>
      <c r="AQ359" s="26"/>
      <c r="AR359" s="26"/>
      <c r="AS359" s="26"/>
      <c r="AT359" s="26"/>
      <c r="AU359" s="26"/>
      <c r="AV359" s="26"/>
      <c r="AW359" s="26"/>
      <c r="AX359" s="26"/>
      <c r="AY359" s="26"/>
      <c r="AZ359" s="26"/>
      <c r="BA359" s="26"/>
      <c r="BB359" s="26"/>
      <c r="BC359" s="26"/>
      <c r="BD359" s="26"/>
      <c r="BE359" s="26"/>
      <c r="BF359" s="26"/>
      <c r="BG359" s="26"/>
      <c r="BH359" s="26"/>
      <c r="BI359" s="26"/>
      <c r="BJ359" s="26"/>
      <c r="BK359" s="26"/>
      <c r="BL359" s="26"/>
      <c r="BM359" s="26"/>
      <c r="BN359" s="26"/>
      <c r="BO359" s="26"/>
      <c r="BP359" s="26"/>
      <c r="BQ359" s="26"/>
      <c r="BR359" s="26"/>
      <c r="BS359" s="26"/>
      <c r="BT359" s="26"/>
    </row>
    <row r="360" spans="3:72" ht="15" customHeight="1" x14ac:dyDescent="0.25"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  <c r="AJ360" s="26"/>
      <c r="AK360" s="26"/>
      <c r="AL360" s="26"/>
      <c r="AM360" s="26"/>
      <c r="AN360" s="26"/>
      <c r="AO360" s="26"/>
      <c r="AP360" s="26"/>
      <c r="AQ360" s="26"/>
      <c r="AR360" s="26"/>
      <c r="AS360" s="26"/>
      <c r="AT360" s="26"/>
      <c r="AU360" s="26"/>
      <c r="AV360" s="26"/>
      <c r="AW360" s="26"/>
      <c r="AX360" s="26"/>
      <c r="AY360" s="26"/>
      <c r="AZ360" s="26"/>
      <c r="BA360" s="26"/>
      <c r="BB360" s="26"/>
      <c r="BC360" s="26"/>
      <c r="BD360" s="26"/>
      <c r="BE360" s="26"/>
      <c r="BF360" s="26"/>
      <c r="BG360" s="26"/>
      <c r="BH360" s="26"/>
      <c r="BI360" s="26"/>
      <c r="BJ360" s="26"/>
      <c r="BK360" s="26"/>
      <c r="BL360" s="26"/>
      <c r="BM360" s="26"/>
      <c r="BN360" s="26"/>
      <c r="BO360" s="26"/>
      <c r="BP360" s="26"/>
      <c r="BQ360" s="26"/>
      <c r="BR360" s="26"/>
      <c r="BS360" s="26"/>
      <c r="BT360" s="26"/>
    </row>
    <row r="361" spans="3:72" ht="15" customHeight="1" x14ac:dyDescent="0.25"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  <c r="AJ361" s="26"/>
      <c r="AK361" s="26"/>
      <c r="AL361" s="26"/>
      <c r="AM361" s="26"/>
      <c r="AN361" s="26"/>
      <c r="AO361" s="26"/>
      <c r="AP361" s="26"/>
      <c r="AQ361" s="26"/>
      <c r="AR361" s="26"/>
      <c r="AS361" s="26"/>
      <c r="AT361" s="26"/>
      <c r="AU361" s="26"/>
      <c r="AV361" s="26"/>
      <c r="AW361" s="26"/>
      <c r="AX361" s="26"/>
      <c r="AY361" s="26"/>
      <c r="AZ361" s="26"/>
      <c r="BA361" s="26"/>
      <c r="BB361" s="26"/>
      <c r="BC361" s="26"/>
      <c r="BD361" s="26"/>
      <c r="BE361" s="26"/>
      <c r="BF361" s="26"/>
      <c r="BG361" s="26"/>
      <c r="BH361" s="26"/>
      <c r="BI361" s="26"/>
      <c r="BJ361" s="26"/>
      <c r="BK361" s="26"/>
      <c r="BL361" s="26"/>
      <c r="BM361" s="26"/>
      <c r="BN361" s="26"/>
      <c r="BO361" s="26"/>
      <c r="BP361" s="26"/>
      <c r="BQ361" s="26"/>
      <c r="BR361" s="26"/>
      <c r="BS361" s="26"/>
      <c r="BT361" s="26"/>
    </row>
    <row r="362" spans="3:72" ht="15" customHeight="1" x14ac:dyDescent="0.25"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/>
      <c r="AI362" s="26"/>
      <c r="AJ362" s="26"/>
      <c r="AK362" s="26"/>
      <c r="AL362" s="26"/>
      <c r="AM362" s="26"/>
      <c r="AN362" s="26"/>
      <c r="AO362" s="26"/>
      <c r="AP362" s="26"/>
      <c r="AQ362" s="26"/>
      <c r="AR362" s="26"/>
      <c r="AS362" s="26"/>
      <c r="AT362" s="26"/>
      <c r="AU362" s="26"/>
      <c r="AV362" s="26"/>
      <c r="AW362" s="26"/>
      <c r="AX362" s="26"/>
      <c r="AY362" s="26"/>
      <c r="AZ362" s="26"/>
      <c r="BA362" s="26"/>
      <c r="BB362" s="26"/>
      <c r="BC362" s="26"/>
      <c r="BD362" s="26"/>
      <c r="BE362" s="26"/>
      <c r="BF362" s="26"/>
      <c r="BG362" s="26"/>
      <c r="BH362" s="26"/>
      <c r="BI362" s="26"/>
      <c r="BJ362" s="26"/>
      <c r="BK362" s="26"/>
      <c r="BL362" s="26"/>
      <c r="BM362" s="26"/>
      <c r="BN362" s="26"/>
      <c r="BO362" s="26"/>
      <c r="BP362" s="26"/>
      <c r="BQ362" s="26"/>
      <c r="BR362" s="26"/>
      <c r="BS362" s="26"/>
      <c r="BT362" s="26"/>
    </row>
    <row r="363" spans="3:72" ht="15" customHeight="1" x14ac:dyDescent="0.25"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  <c r="AH363" s="26"/>
      <c r="AI363" s="26"/>
      <c r="AJ363" s="26"/>
      <c r="AK363" s="26"/>
      <c r="AL363" s="26"/>
      <c r="AM363" s="26"/>
      <c r="AN363" s="26"/>
      <c r="AO363" s="26"/>
      <c r="AP363" s="26"/>
      <c r="AQ363" s="26"/>
      <c r="AR363" s="26"/>
      <c r="AS363" s="26"/>
      <c r="AT363" s="26"/>
      <c r="AU363" s="26"/>
      <c r="AV363" s="26"/>
      <c r="AW363" s="26"/>
      <c r="AX363" s="26"/>
      <c r="AY363" s="26"/>
      <c r="AZ363" s="26"/>
      <c r="BA363" s="26"/>
      <c r="BB363" s="26"/>
      <c r="BC363" s="26"/>
      <c r="BD363" s="26"/>
      <c r="BE363" s="26"/>
      <c r="BF363" s="26"/>
      <c r="BG363" s="26"/>
      <c r="BH363" s="26"/>
      <c r="BI363" s="26"/>
      <c r="BJ363" s="26"/>
      <c r="BK363" s="26"/>
      <c r="BL363" s="26"/>
      <c r="BM363" s="26"/>
      <c r="BN363" s="26"/>
      <c r="BO363" s="26"/>
      <c r="BP363" s="26"/>
      <c r="BQ363" s="26"/>
      <c r="BR363" s="26"/>
      <c r="BS363" s="26"/>
      <c r="BT363" s="26"/>
    </row>
    <row r="364" spans="3:72" ht="15" customHeight="1" x14ac:dyDescent="0.25"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  <c r="AI364" s="26"/>
      <c r="AJ364" s="26"/>
      <c r="AK364" s="26"/>
      <c r="AL364" s="26"/>
      <c r="AM364" s="26"/>
      <c r="AN364" s="26"/>
      <c r="AO364" s="26"/>
      <c r="AP364" s="26"/>
      <c r="AQ364" s="26"/>
      <c r="AR364" s="26"/>
      <c r="AS364" s="26"/>
      <c r="AT364" s="26"/>
      <c r="AU364" s="26"/>
      <c r="AV364" s="26"/>
      <c r="AW364" s="26"/>
      <c r="AX364" s="26"/>
      <c r="AY364" s="26"/>
      <c r="AZ364" s="26"/>
      <c r="BA364" s="26"/>
      <c r="BB364" s="26"/>
      <c r="BC364" s="26"/>
      <c r="BD364" s="26"/>
      <c r="BE364" s="26"/>
      <c r="BF364" s="26"/>
      <c r="BG364" s="26"/>
      <c r="BH364" s="26"/>
      <c r="BI364" s="26"/>
      <c r="BJ364" s="26"/>
      <c r="BK364" s="26"/>
      <c r="BL364" s="26"/>
      <c r="BM364" s="26"/>
      <c r="BN364" s="26"/>
      <c r="BO364" s="26"/>
      <c r="BP364" s="26"/>
      <c r="BQ364" s="26"/>
      <c r="BR364" s="26"/>
      <c r="BS364" s="26"/>
      <c r="BT364" s="26"/>
    </row>
    <row r="365" spans="3:72" ht="15" customHeight="1" x14ac:dyDescent="0.25"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  <c r="AJ365" s="26"/>
      <c r="AK365" s="26"/>
      <c r="AL365" s="26"/>
      <c r="AM365" s="26"/>
      <c r="AN365" s="26"/>
      <c r="AO365" s="26"/>
      <c r="AP365" s="26"/>
      <c r="AQ365" s="26"/>
      <c r="AR365" s="26"/>
      <c r="AS365" s="26"/>
      <c r="AT365" s="26"/>
      <c r="AU365" s="26"/>
      <c r="AV365" s="26"/>
      <c r="AW365" s="26"/>
      <c r="AX365" s="26"/>
      <c r="AY365" s="26"/>
      <c r="AZ365" s="26"/>
      <c r="BA365" s="26"/>
      <c r="BB365" s="26"/>
      <c r="BC365" s="26"/>
      <c r="BD365" s="26"/>
      <c r="BE365" s="26"/>
      <c r="BF365" s="26"/>
      <c r="BG365" s="26"/>
      <c r="BH365" s="26"/>
      <c r="BI365" s="26"/>
      <c r="BJ365" s="26"/>
      <c r="BK365" s="26"/>
      <c r="BL365" s="26"/>
      <c r="BM365" s="26"/>
      <c r="BN365" s="26"/>
      <c r="BO365" s="26"/>
      <c r="BP365" s="26"/>
      <c r="BQ365" s="26"/>
      <c r="BR365" s="26"/>
      <c r="BS365" s="26"/>
      <c r="BT365" s="26"/>
    </row>
    <row r="366" spans="3:72" ht="15" customHeight="1" x14ac:dyDescent="0.25"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26"/>
      <c r="AL366" s="26"/>
      <c r="AM366" s="26"/>
      <c r="AN366" s="26"/>
      <c r="AO366" s="26"/>
      <c r="AP366" s="26"/>
      <c r="AQ366" s="26"/>
      <c r="AR366" s="26"/>
      <c r="AS366" s="26"/>
      <c r="AT366" s="26"/>
      <c r="AU366" s="26"/>
      <c r="AV366" s="26"/>
      <c r="AW366" s="26"/>
      <c r="AX366" s="26"/>
      <c r="AY366" s="26"/>
      <c r="AZ366" s="26"/>
      <c r="BA366" s="26"/>
      <c r="BB366" s="26"/>
      <c r="BC366" s="26"/>
      <c r="BD366" s="26"/>
      <c r="BE366" s="26"/>
      <c r="BF366" s="26"/>
      <c r="BG366" s="26"/>
      <c r="BH366" s="26"/>
      <c r="BI366" s="26"/>
      <c r="BJ366" s="26"/>
      <c r="BK366" s="26"/>
      <c r="BL366" s="26"/>
      <c r="BM366" s="26"/>
      <c r="BN366" s="26"/>
      <c r="BO366" s="26"/>
      <c r="BP366" s="26"/>
      <c r="BQ366" s="26"/>
      <c r="BR366" s="26"/>
      <c r="BS366" s="26"/>
      <c r="BT366" s="26"/>
    </row>
    <row r="367" spans="3:72" ht="15" customHeight="1" x14ac:dyDescent="0.25"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  <c r="AK367" s="26"/>
      <c r="AL367" s="26"/>
      <c r="AM367" s="26"/>
      <c r="AN367" s="26"/>
      <c r="AO367" s="26"/>
      <c r="AP367" s="26"/>
      <c r="AQ367" s="26"/>
      <c r="AR367" s="26"/>
      <c r="AS367" s="26"/>
      <c r="AT367" s="26"/>
      <c r="AU367" s="26"/>
      <c r="AV367" s="26"/>
      <c r="AW367" s="26"/>
      <c r="AX367" s="26"/>
      <c r="AY367" s="26"/>
      <c r="AZ367" s="26"/>
      <c r="BA367" s="26"/>
      <c r="BB367" s="26"/>
      <c r="BC367" s="26"/>
      <c r="BD367" s="26"/>
      <c r="BE367" s="26"/>
      <c r="BF367" s="26"/>
      <c r="BG367" s="26"/>
      <c r="BH367" s="26"/>
      <c r="BI367" s="26"/>
      <c r="BJ367" s="26"/>
      <c r="BK367" s="26"/>
      <c r="BL367" s="26"/>
      <c r="BM367" s="26"/>
      <c r="BN367" s="26"/>
      <c r="BO367" s="26"/>
      <c r="BP367" s="26"/>
      <c r="BQ367" s="26"/>
      <c r="BR367" s="26"/>
      <c r="BS367" s="26"/>
      <c r="BT367" s="26"/>
    </row>
    <row r="368" spans="3:72" ht="15" customHeight="1" x14ac:dyDescent="0.25"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  <c r="AN368" s="26"/>
      <c r="AO368" s="26"/>
      <c r="AP368" s="26"/>
      <c r="AQ368" s="26"/>
      <c r="AR368" s="26"/>
      <c r="AS368" s="26"/>
      <c r="AT368" s="26"/>
      <c r="AU368" s="26"/>
      <c r="AV368" s="26"/>
      <c r="AW368" s="26"/>
      <c r="AX368" s="26"/>
      <c r="AY368" s="26"/>
      <c r="AZ368" s="26"/>
      <c r="BA368" s="26"/>
      <c r="BB368" s="26"/>
      <c r="BC368" s="26"/>
      <c r="BD368" s="26"/>
      <c r="BE368" s="26"/>
      <c r="BF368" s="26"/>
      <c r="BG368" s="26"/>
      <c r="BH368" s="26"/>
      <c r="BI368" s="26"/>
      <c r="BJ368" s="26"/>
      <c r="BK368" s="26"/>
      <c r="BL368" s="26"/>
      <c r="BM368" s="26"/>
      <c r="BN368" s="26"/>
      <c r="BO368" s="26"/>
      <c r="BP368" s="26"/>
      <c r="BQ368" s="26"/>
      <c r="BR368" s="26"/>
      <c r="BS368" s="26"/>
      <c r="BT368" s="26"/>
    </row>
    <row r="369" spans="3:72" ht="15" customHeight="1" x14ac:dyDescent="0.25"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  <c r="AK369" s="26"/>
      <c r="AL369" s="26"/>
      <c r="AM369" s="26"/>
      <c r="AN369" s="26"/>
      <c r="AO369" s="26"/>
      <c r="AP369" s="26"/>
      <c r="AQ369" s="26"/>
      <c r="AR369" s="26"/>
      <c r="AS369" s="26"/>
      <c r="AT369" s="26"/>
      <c r="AU369" s="26"/>
      <c r="AV369" s="26"/>
      <c r="AW369" s="26"/>
      <c r="AX369" s="26"/>
      <c r="AY369" s="26"/>
      <c r="AZ369" s="26"/>
      <c r="BA369" s="26"/>
      <c r="BB369" s="26"/>
      <c r="BC369" s="26"/>
      <c r="BD369" s="26"/>
      <c r="BE369" s="26"/>
      <c r="BF369" s="26"/>
      <c r="BG369" s="26"/>
      <c r="BH369" s="26"/>
      <c r="BI369" s="26"/>
      <c r="BJ369" s="26"/>
      <c r="BK369" s="26"/>
      <c r="BL369" s="26"/>
      <c r="BM369" s="26"/>
      <c r="BN369" s="26"/>
      <c r="BO369" s="26"/>
      <c r="BP369" s="26"/>
      <c r="BQ369" s="26"/>
      <c r="BR369" s="26"/>
      <c r="BS369" s="26"/>
      <c r="BT369" s="26"/>
    </row>
    <row r="370" spans="3:72" ht="15" customHeight="1" x14ac:dyDescent="0.25"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  <c r="AK370" s="26"/>
      <c r="AL370" s="26"/>
      <c r="AM370" s="26"/>
      <c r="AN370" s="26"/>
      <c r="AO370" s="26"/>
      <c r="AP370" s="26"/>
      <c r="AQ370" s="26"/>
      <c r="AR370" s="26"/>
      <c r="AS370" s="26"/>
      <c r="AT370" s="26"/>
      <c r="AU370" s="26"/>
      <c r="AV370" s="26"/>
      <c r="AW370" s="26"/>
      <c r="AX370" s="26"/>
      <c r="AY370" s="26"/>
      <c r="AZ370" s="26"/>
      <c r="BA370" s="26"/>
      <c r="BB370" s="26"/>
      <c r="BC370" s="26"/>
      <c r="BD370" s="26"/>
      <c r="BE370" s="26"/>
      <c r="BF370" s="26"/>
      <c r="BG370" s="26"/>
      <c r="BH370" s="26"/>
      <c r="BI370" s="26"/>
      <c r="BJ370" s="26"/>
      <c r="BK370" s="26"/>
      <c r="BL370" s="26"/>
      <c r="BM370" s="26"/>
      <c r="BN370" s="26"/>
      <c r="BO370" s="26"/>
      <c r="BP370" s="26"/>
      <c r="BQ370" s="26"/>
      <c r="BR370" s="26"/>
      <c r="BS370" s="26"/>
      <c r="BT370" s="26"/>
    </row>
    <row r="371" spans="3:72" ht="15" customHeight="1" x14ac:dyDescent="0.25"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  <c r="AJ371" s="26"/>
      <c r="AK371" s="26"/>
      <c r="AL371" s="26"/>
      <c r="AM371" s="26"/>
      <c r="AN371" s="26"/>
      <c r="AO371" s="26"/>
      <c r="AP371" s="26"/>
      <c r="AQ371" s="26"/>
      <c r="AR371" s="26"/>
      <c r="AS371" s="26"/>
      <c r="AT371" s="26"/>
      <c r="AU371" s="26"/>
      <c r="AV371" s="26"/>
      <c r="AW371" s="26"/>
      <c r="AX371" s="26"/>
      <c r="AY371" s="26"/>
      <c r="AZ371" s="26"/>
      <c r="BA371" s="26"/>
      <c r="BB371" s="26"/>
      <c r="BC371" s="26"/>
      <c r="BD371" s="26"/>
      <c r="BE371" s="26"/>
      <c r="BF371" s="26"/>
      <c r="BG371" s="26"/>
      <c r="BH371" s="26"/>
      <c r="BI371" s="26"/>
      <c r="BJ371" s="26"/>
      <c r="BK371" s="26"/>
      <c r="BL371" s="26"/>
      <c r="BM371" s="26"/>
      <c r="BN371" s="26"/>
      <c r="BO371" s="26"/>
      <c r="BP371" s="26"/>
      <c r="BQ371" s="26"/>
      <c r="BR371" s="26"/>
      <c r="BS371" s="26"/>
      <c r="BT371" s="26"/>
    </row>
  </sheetData>
  <mergeCells count="5">
    <mergeCell ref="A1:A2"/>
    <mergeCell ref="C1:Q1"/>
    <mergeCell ref="C2:Q2"/>
    <mergeCell ref="C15:D15"/>
    <mergeCell ref="C14:D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0A87D"/>
  </sheetPr>
  <dimension ref="A1:BW163"/>
  <sheetViews>
    <sheetView showGridLines="0" zoomScaleNormal="100" workbookViewId="0">
      <selection activeCell="C20" sqref="C20"/>
    </sheetView>
  </sheetViews>
  <sheetFormatPr baseColWidth="10" defaultColWidth="9.140625" defaultRowHeight="15" x14ac:dyDescent="0.25"/>
  <cols>
    <col min="1" max="1" width="11" style="32" customWidth="1"/>
    <col min="2" max="2" width="28" style="3" customWidth="1"/>
    <col min="3" max="3" width="16" style="3" customWidth="1"/>
    <col min="4" max="16" width="12" style="3" customWidth="1"/>
    <col min="17" max="75" width="9.140625" style="29"/>
  </cols>
  <sheetData>
    <row r="1" spans="1:75" ht="31.5" customHeight="1" x14ac:dyDescent="0.25">
      <c r="A1" s="78"/>
      <c r="B1" s="73" t="s">
        <v>94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28"/>
      <c r="R1" s="28"/>
      <c r="S1" s="28"/>
      <c r="T1" s="28"/>
      <c r="U1" s="28"/>
      <c r="V1" s="28"/>
      <c r="W1" s="28"/>
      <c r="X1" s="28"/>
      <c r="Y1" s="28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</row>
    <row r="2" spans="1:75" ht="25.5" customHeight="1" x14ac:dyDescent="0.25">
      <c r="A2" s="78"/>
      <c r="B2" s="74" t="s">
        <v>95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28"/>
      <c r="R2" s="28"/>
      <c r="S2" s="28"/>
      <c r="T2" s="28"/>
      <c r="U2" s="28"/>
      <c r="V2" s="28"/>
      <c r="W2" s="28"/>
      <c r="X2" s="28"/>
      <c r="Y2" s="28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</row>
    <row r="3" spans="1:75" ht="30" customHeight="1" x14ac:dyDescent="0.25">
      <c r="B3" s="12" t="s">
        <v>96</v>
      </c>
      <c r="C3" s="12" t="s">
        <v>97</v>
      </c>
      <c r="D3" s="12" t="s">
        <v>31</v>
      </c>
      <c r="E3" s="12" t="s">
        <v>32</v>
      </c>
      <c r="F3" s="12" t="s">
        <v>33</v>
      </c>
      <c r="G3" s="12" t="s">
        <v>34</v>
      </c>
      <c r="H3" s="12" t="s">
        <v>35</v>
      </c>
      <c r="I3" s="12" t="s">
        <v>36</v>
      </c>
      <c r="J3" s="12" t="s">
        <v>37</v>
      </c>
      <c r="K3" s="12" t="s">
        <v>38</v>
      </c>
      <c r="L3" s="12" t="s">
        <v>39</v>
      </c>
      <c r="M3" s="12" t="s">
        <v>40</v>
      </c>
      <c r="N3" s="12" t="s">
        <v>41</v>
      </c>
      <c r="O3" s="12" t="s">
        <v>42</v>
      </c>
      <c r="P3" s="12" t="s">
        <v>98</v>
      </c>
      <c r="Q3" s="28"/>
      <c r="R3" s="28"/>
      <c r="S3" s="28"/>
      <c r="T3" s="28"/>
      <c r="U3" s="28"/>
      <c r="V3" s="28"/>
      <c r="W3" s="28"/>
      <c r="X3" s="28"/>
      <c r="Y3" s="28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</row>
    <row r="4" spans="1:75" ht="19.5" customHeight="1" x14ac:dyDescent="0.25">
      <c r="B4" s="42" t="s">
        <v>99</v>
      </c>
      <c r="C4" s="39">
        <v>15000</v>
      </c>
      <c r="D4" s="41">
        <v>100</v>
      </c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15">
        <f>C4*SUM(D4:O4)</f>
        <v>1500000</v>
      </c>
      <c r="Q4" s="28"/>
      <c r="R4" s="28"/>
      <c r="S4" s="28"/>
      <c r="T4" s="28"/>
      <c r="U4" s="28"/>
      <c r="V4" s="28"/>
      <c r="W4" s="28"/>
      <c r="X4" s="28"/>
      <c r="Y4" s="28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</row>
    <row r="5" spans="1:75" ht="19.5" customHeight="1" x14ac:dyDescent="0.25">
      <c r="B5" s="42" t="s">
        <v>100</v>
      </c>
      <c r="C5" s="39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15">
        <f>C5*SUM(D5:O5)</f>
        <v>0</v>
      </c>
      <c r="Q5" s="28"/>
      <c r="R5" s="28"/>
      <c r="S5" s="28"/>
      <c r="T5" s="28"/>
      <c r="U5" s="28"/>
      <c r="V5" s="28"/>
      <c r="W5" s="28"/>
      <c r="X5" s="28"/>
      <c r="Y5" s="28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</row>
    <row r="6" spans="1:75" ht="19.5" customHeight="1" x14ac:dyDescent="0.25">
      <c r="B6" s="42" t="s">
        <v>101</v>
      </c>
      <c r="C6" s="39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15">
        <f>C6*SUM(D6:O6)</f>
        <v>0</v>
      </c>
      <c r="Q6" s="28"/>
      <c r="R6" s="28"/>
      <c r="S6" s="28"/>
      <c r="T6" s="28"/>
      <c r="U6" s="28"/>
      <c r="V6" s="28"/>
      <c r="W6" s="28"/>
      <c r="X6" s="28"/>
      <c r="Y6" s="28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</row>
    <row r="7" spans="1:75" ht="19.5" customHeight="1" x14ac:dyDescent="0.25">
      <c r="B7" s="42" t="s">
        <v>102</v>
      </c>
      <c r="C7" s="39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15">
        <f>C7*SUM(D7:O7)</f>
        <v>0</v>
      </c>
      <c r="Q7" s="28"/>
      <c r="R7" s="28"/>
      <c r="S7" s="28"/>
      <c r="T7" s="28"/>
      <c r="U7" s="28"/>
      <c r="V7" s="28"/>
      <c r="W7" s="28"/>
      <c r="X7" s="28"/>
      <c r="Y7" s="28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</row>
    <row r="8" spans="1:75" ht="19.5" customHeight="1" x14ac:dyDescent="0.25">
      <c r="B8" s="42" t="s">
        <v>103</v>
      </c>
      <c r="C8" s="39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15">
        <f>C8*SUM(D8:O8)</f>
        <v>0</v>
      </c>
      <c r="Q8" s="28"/>
      <c r="R8" s="28"/>
      <c r="S8" s="28"/>
      <c r="T8" s="28"/>
      <c r="U8" s="28"/>
      <c r="V8" s="28"/>
      <c r="W8" s="28"/>
      <c r="X8" s="28"/>
      <c r="Y8" s="28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</row>
    <row r="9" spans="1:75" ht="19.5" customHeight="1" x14ac:dyDescent="0.25">
      <c r="B9" s="86" t="s">
        <v>223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</row>
    <row r="10" spans="1:75" ht="19.5" customHeight="1" x14ac:dyDescent="0.25">
      <c r="B10" s="76" t="s">
        <v>104</v>
      </c>
      <c r="C10" s="76"/>
      <c r="D10" s="16">
        <f t="shared" ref="D10:O10" si="0">SUMPRODUCT($C$4:$C$8,D$4:D$8)</f>
        <v>1500000</v>
      </c>
      <c r="E10" s="16">
        <f t="shared" si="0"/>
        <v>0</v>
      </c>
      <c r="F10" s="16">
        <f t="shared" si="0"/>
        <v>0</v>
      </c>
      <c r="G10" s="16">
        <f t="shared" si="0"/>
        <v>0</v>
      </c>
      <c r="H10" s="16">
        <f t="shared" si="0"/>
        <v>0</v>
      </c>
      <c r="I10" s="16">
        <f t="shared" si="0"/>
        <v>0</v>
      </c>
      <c r="J10" s="16">
        <f t="shared" si="0"/>
        <v>0</v>
      </c>
      <c r="K10" s="16">
        <f t="shared" si="0"/>
        <v>0</v>
      </c>
      <c r="L10" s="16">
        <f t="shared" si="0"/>
        <v>0</v>
      </c>
      <c r="M10" s="16">
        <f t="shared" si="0"/>
        <v>0</v>
      </c>
      <c r="N10" s="16">
        <f t="shared" si="0"/>
        <v>0</v>
      </c>
      <c r="O10" s="16">
        <f t="shared" si="0"/>
        <v>0</v>
      </c>
      <c r="P10" s="16">
        <f>SUM(P4:P8)</f>
        <v>1500000</v>
      </c>
      <c r="Q10" s="28"/>
      <c r="R10" s="28"/>
      <c r="S10" s="28"/>
      <c r="T10" s="28"/>
      <c r="U10" s="28"/>
      <c r="V10" s="28"/>
      <c r="W10" s="28"/>
      <c r="X10" s="28"/>
      <c r="Y10" s="28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</row>
    <row r="11" spans="1:75" s="29" customFormat="1" ht="19.5" customHeight="1" x14ac:dyDescent="0.25">
      <c r="A11" s="32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</row>
    <row r="12" spans="1:75" ht="27.75" customHeight="1" x14ac:dyDescent="0.25">
      <c r="B12" s="79" t="s">
        <v>105</v>
      </c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28"/>
      <c r="R12" s="28"/>
      <c r="S12" s="28"/>
      <c r="T12" s="28"/>
      <c r="U12" s="28"/>
      <c r="V12" s="28"/>
      <c r="W12" s="28"/>
      <c r="X12" s="28"/>
      <c r="Y12" s="28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</row>
    <row r="13" spans="1:75" ht="19.5" customHeight="1" x14ac:dyDescent="0.25">
      <c r="B13" s="77" t="s">
        <v>106</v>
      </c>
      <c r="C13" s="77"/>
      <c r="D13" s="43">
        <v>0</v>
      </c>
      <c r="E13" s="43">
        <v>0</v>
      </c>
      <c r="F13" s="43">
        <v>0</v>
      </c>
      <c r="G13" s="43">
        <v>0</v>
      </c>
      <c r="H13" s="43">
        <v>0</v>
      </c>
      <c r="I13" s="43">
        <v>0</v>
      </c>
      <c r="J13" s="43">
        <v>0</v>
      </c>
      <c r="K13" s="43">
        <v>0</v>
      </c>
      <c r="L13" s="43">
        <v>0</v>
      </c>
      <c r="M13" s="43">
        <v>0</v>
      </c>
      <c r="N13" s="43">
        <v>0</v>
      </c>
      <c r="O13" s="43">
        <v>0</v>
      </c>
      <c r="P13" s="15">
        <f>SUM(D13:O13)</f>
        <v>0</v>
      </c>
      <c r="Q13" s="28"/>
      <c r="R13" s="28"/>
      <c r="S13" s="28"/>
      <c r="T13" s="28"/>
      <c r="U13" s="28"/>
      <c r="V13" s="28"/>
      <c r="W13" s="28"/>
      <c r="X13" s="28"/>
      <c r="Y13" s="28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</row>
    <row r="14" spans="1:75" s="29" customFormat="1" ht="19.5" customHeight="1" x14ac:dyDescent="0.25">
      <c r="A14" s="32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</row>
    <row r="15" spans="1:75" ht="19.5" customHeight="1" x14ac:dyDescent="0.25">
      <c r="B15" s="76" t="s">
        <v>107</v>
      </c>
      <c r="C15" s="76"/>
      <c r="D15" s="16">
        <f t="shared" ref="D15:P15" si="1">D10+D13</f>
        <v>1500000</v>
      </c>
      <c r="E15" s="16">
        <f t="shared" si="1"/>
        <v>0</v>
      </c>
      <c r="F15" s="16">
        <f t="shared" si="1"/>
        <v>0</v>
      </c>
      <c r="G15" s="16">
        <f t="shared" si="1"/>
        <v>0</v>
      </c>
      <c r="H15" s="16">
        <f t="shared" si="1"/>
        <v>0</v>
      </c>
      <c r="I15" s="16">
        <f t="shared" si="1"/>
        <v>0</v>
      </c>
      <c r="J15" s="16">
        <f t="shared" si="1"/>
        <v>0</v>
      </c>
      <c r="K15" s="16">
        <f t="shared" si="1"/>
        <v>0</v>
      </c>
      <c r="L15" s="16">
        <f t="shared" si="1"/>
        <v>0</v>
      </c>
      <c r="M15" s="16">
        <f t="shared" si="1"/>
        <v>0</v>
      </c>
      <c r="N15" s="16">
        <f t="shared" si="1"/>
        <v>0</v>
      </c>
      <c r="O15" s="16">
        <f t="shared" si="1"/>
        <v>0</v>
      </c>
      <c r="P15" s="16">
        <f t="shared" si="1"/>
        <v>1500000</v>
      </c>
      <c r="Q15" s="28"/>
      <c r="R15" s="28"/>
      <c r="S15" s="28"/>
      <c r="T15" s="28"/>
      <c r="U15" s="28"/>
      <c r="V15" s="28"/>
      <c r="W15" s="28"/>
      <c r="X15" s="28"/>
      <c r="Y15" s="28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</row>
    <row r="16" spans="1:75" s="29" customFormat="1" ht="19.5" customHeight="1" x14ac:dyDescent="0.25">
      <c r="A16" s="32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</row>
    <row r="17" spans="1:75" s="29" customFormat="1" ht="19.5" customHeight="1" x14ac:dyDescent="0.25">
      <c r="A17" s="32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</row>
    <row r="18" spans="1:75" s="29" customFormat="1" ht="19.5" customHeight="1" x14ac:dyDescent="0.25">
      <c r="A18" s="32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</row>
    <row r="19" spans="1:75" s="29" customFormat="1" ht="19.5" customHeight="1" x14ac:dyDescent="0.25">
      <c r="A19" s="32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</row>
    <row r="20" spans="1:75" s="29" customFormat="1" ht="19.5" customHeight="1" x14ac:dyDescent="0.25">
      <c r="A20" s="32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</row>
    <row r="21" spans="1:75" s="29" customFormat="1" ht="19.5" customHeight="1" x14ac:dyDescent="0.25">
      <c r="A21" s="32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</row>
    <row r="22" spans="1:75" s="29" customFormat="1" ht="19.5" customHeight="1" x14ac:dyDescent="0.25">
      <c r="A22" s="32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</row>
    <row r="23" spans="1:75" s="29" customFormat="1" ht="19.5" customHeight="1" x14ac:dyDescent="0.25">
      <c r="A23" s="32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</row>
    <row r="24" spans="1:75" s="29" customFormat="1" ht="19.5" customHeight="1" x14ac:dyDescent="0.25">
      <c r="A24" s="32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</row>
    <row r="25" spans="1:75" s="29" customFormat="1" ht="19.5" customHeight="1" x14ac:dyDescent="0.25">
      <c r="A25" s="32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</row>
    <row r="26" spans="1:75" s="29" customFormat="1" ht="19.5" customHeight="1" x14ac:dyDescent="0.25">
      <c r="A26" s="32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</row>
    <row r="27" spans="1:75" s="29" customFormat="1" ht="19.5" customHeight="1" x14ac:dyDescent="0.25">
      <c r="A27" s="32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</row>
    <row r="28" spans="1:75" s="29" customFormat="1" ht="19.5" customHeight="1" x14ac:dyDescent="0.25">
      <c r="A28" s="32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</row>
    <row r="29" spans="1:75" s="29" customFormat="1" ht="19.5" customHeight="1" x14ac:dyDescent="0.25">
      <c r="A29" s="32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</row>
    <row r="30" spans="1:75" s="29" customFormat="1" ht="19.5" customHeight="1" x14ac:dyDescent="0.25">
      <c r="A30" s="32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</row>
    <row r="31" spans="1:75" s="29" customFormat="1" ht="19.5" customHeight="1" x14ac:dyDescent="0.25">
      <c r="A31" s="32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</row>
    <row r="32" spans="1:75" s="29" customFormat="1" ht="19.5" customHeight="1" x14ac:dyDescent="0.25">
      <c r="A32" s="32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</row>
    <row r="33" spans="1:75" s="29" customFormat="1" ht="19.5" customHeight="1" x14ac:dyDescent="0.25">
      <c r="A33" s="32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</row>
    <row r="34" spans="1:75" s="29" customFormat="1" ht="19.5" customHeight="1" x14ac:dyDescent="0.25">
      <c r="A34" s="32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</row>
    <row r="35" spans="1:75" s="29" customFormat="1" ht="19.5" customHeight="1" x14ac:dyDescent="0.25">
      <c r="A35" s="32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</row>
    <row r="36" spans="1:75" s="29" customFormat="1" ht="19.5" customHeight="1" x14ac:dyDescent="0.25">
      <c r="A36" s="32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</row>
    <row r="37" spans="1:75" s="29" customFormat="1" ht="19.5" customHeight="1" x14ac:dyDescent="0.25">
      <c r="A37" s="32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</row>
    <row r="38" spans="1:75" s="29" customFormat="1" ht="19.5" customHeight="1" x14ac:dyDescent="0.25">
      <c r="A38" s="32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</row>
    <row r="39" spans="1:75" s="29" customFormat="1" ht="19.5" customHeight="1" x14ac:dyDescent="0.25">
      <c r="A39" s="32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</row>
    <row r="40" spans="1:75" s="29" customFormat="1" ht="19.5" customHeight="1" x14ac:dyDescent="0.25">
      <c r="A40" s="32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</row>
    <row r="41" spans="1:75" s="29" customFormat="1" ht="19.5" customHeight="1" x14ac:dyDescent="0.25">
      <c r="A41" s="32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</row>
    <row r="42" spans="1:75" s="29" customFormat="1" ht="19.5" customHeight="1" x14ac:dyDescent="0.25">
      <c r="A42" s="32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</row>
    <row r="43" spans="1:75" s="29" customFormat="1" ht="19.5" customHeight="1" x14ac:dyDescent="0.25">
      <c r="A43" s="32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</row>
    <row r="44" spans="1:75" s="29" customFormat="1" ht="19.5" customHeight="1" x14ac:dyDescent="0.25">
      <c r="A44" s="32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</row>
    <row r="45" spans="1:75" s="29" customFormat="1" ht="19.5" customHeight="1" x14ac:dyDescent="0.25">
      <c r="A45" s="32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</row>
    <row r="46" spans="1:75" s="29" customFormat="1" ht="19.5" customHeight="1" x14ac:dyDescent="0.25">
      <c r="A46" s="32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</row>
    <row r="47" spans="1:75" s="29" customFormat="1" ht="19.5" customHeight="1" x14ac:dyDescent="0.25">
      <c r="A47" s="32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</row>
    <row r="48" spans="1:75" s="29" customFormat="1" ht="19.5" customHeight="1" x14ac:dyDescent="0.25">
      <c r="A48" s="32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</row>
    <row r="49" spans="1:75" s="29" customFormat="1" ht="19.5" customHeight="1" x14ac:dyDescent="0.25">
      <c r="A49" s="32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</row>
    <row r="50" spans="1:75" s="29" customFormat="1" ht="19.5" customHeight="1" x14ac:dyDescent="0.25">
      <c r="A50" s="32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</row>
    <row r="51" spans="1:75" s="29" customFormat="1" ht="19.5" customHeight="1" x14ac:dyDescent="0.25">
      <c r="A51" s="32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</row>
    <row r="52" spans="1:75" s="29" customFormat="1" ht="19.5" customHeight="1" x14ac:dyDescent="0.25">
      <c r="A52" s="32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</row>
    <row r="53" spans="1:75" s="29" customFormat="1" ht="19.5" customHeight="1" x14ac:dyDescent="0.25">
      <c r="A53" s="32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</row>
    <row r="54" spans="1:75" s="29" customFormat="1" ht="19.5" customHeight="1" x14ac:dyDescent="0.25">
      <c r="A54" s="32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</row>
    <row r="55" spans="1:75" s="29" customFormat="1" ht="19.5" customHeight="1" x14ac:dyDescent="0.25">
      <c r="A55" s="32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</row>
    <row r="56" spans="1:75" s="29" customFormat="1" ht="19.5" customHeight="1" x14ac:dyDescent="0.25">
      <c r="A56" s="32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</row>
    <row r="57" spans="1:75" s="29" customFormat="1" ht="19.5" customHeight="1" x14ac:dyDescent="0.25">
      <c r="A57" s="32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6"/>
      <c r="BW57" s="26"/>
    </row>
    <row r="58" spans="1:75" s="29" customFormat="1" ht="19.5" customHeight="1" x14ac:dyDescent="0.25">
      <c r="A58" s="32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</row>
    <row r="59" spans="1:75" s="29" customFormat="1" ht="19.5" customHeight="1" x14ac:dyDescent="0.25">
      <c r="A59" s="32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</row>
    <row r="60" spans="1:75" s="29" customFormat="1" ht="19.5" customHeight="1" x14ac:dyDescent="0.25">
      <c r="A60" s="32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</row>
    <row r="61" spans="1:75" s="29" customFormat="1" ht="19.5" customHeight="1" x14ac:dyDescent="0.25">
      <c r="A61" s="32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</row>
    <row r="62" spans="1:75" s="29" customFormat="1" ht="19.5" customHeight="1" x14ac:dyDescent="0.25">
      <c r="A62" s="32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</row>
    <row r="63" spans="1:75" s="29" customFormat="1" ht="19.5" customHeight="1" x14ac:dyDescent="0.25">
      <c r="A63" s="32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</row>
    <row r="64" spans="1:75" s="29" customFormat="1" ht="19.5" customHeight="1" x14ac:dyDescent="0.25">
      <c r="A64" s="32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/>
      <c r="BO64" s="26"/>
      <c r="BP64" s="26"/>
      <c r="BQ64" s="26"/>
      <c r="BR64" s="26"/>
      <c r="BS64" s="26"/>
      <c r="BT64" s="26"/>
      <c r="BU64" s="26"/>
      <c r="BV64" s="26"/>
      <c r="BW64" s="26"/>
    </row>
    <row r="65" spans="1:75" s="29" customFormat="1" ht="19.5" customHeight="1" x14ac:dyDescent="0.25">
      <c r="A65" s="32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</row>
    <row r="66" spans="1:75" s="29" customFormat="1" ht="19.5" customHeight="1" x14ac:dyDescent="0.25">
      <c r="A66" s="32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</row>
    <row r="67" spans="1:75" s="29" customFormat="1" ht="19.5" customHeight="1" x14ac:dyDescent="0.25">
      <c r="A67" s="32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</row>
    <row r="68" spans="1:75" s="29" customFormat="1" ht="19.5" customHeight="1" x14ac:dyDescent="0.25">
      <c r="A68" s="32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</row>
    <row r="69" spans="1:75" s="29" customFormat="1" ht="19.5" customHeight="1" x14ac:dyDescent="0.25">
      <c r="A69" s="32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</row>
    <row r="70" spans="1:75" s="29" customFormat="1" ht="19.5" customHeight="1" x14ac:dyDescent="0.25">
      <c r="A70" s="32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  <c r="BL70" s="26"/>
      <c r="BM70" s="26"/>
      <c r="BN70" s="26"/>
      <c r="BO70" s="26"/>
      <c r="BP70" s="26"/>
      <c r="BQ70" s="26"/>
      <c r="BR70" s="26"/>
      <c r="BS70" s="26"/>
      <c r="BT70" s="26"/>
      <c r="BU70" s="26"/>
      <c r="BV70" s="26"/>
      <c r="BW70" s="26"/>
    </row>
    <row r="71" spans="1:75" s="29" customFormat="1" ht="19.5" customHeight="1" x14ac:dyDescent="0.25">
      <c r="A71" s="32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</row>
    <row r="72" spans="1:75" s="29" customFormat="1" ht="19.5" customHeight="1" x14ac:dyDescent="0.25">
      <c r="A72" s="32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</row>
    <row r="73" spans="1:75" s="29" customFormat="1" ht="19.5" customHeight="1" x14ac:dyDescent="0.25">
      <c r="A73" s="32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</row>
    <row r="74" spans="1:75" s="29" customFormat="1" ht="19.5" customHeight="1" x14ac:dyDescent="0.25">
      <c r="A74" s="32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</row>
    <row r="75" spans="1:75" s="29" customFormat="1" ht="19.5" customHeight="1" x14ac:dyDescent="0.25">
      <c r="A75" s="32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</row>
    <row r="76" spans="1:75" s="29" customFormat="1" ht="19.5" customHeight="1" x14ac:dyDescent="0.25">
      <c r="A76" s="32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</row>
    <row r="77" spans="1:75" s="29" customFormat="1" ht="19.5" customHeight="1" x14ac:dyDescent="0.25">
      <c r="A77" s="32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26"/>
      <c r="BM77" s="26"/>
      <c r="BN77" s="26"/>
      <c r="BO77" s="26"/>
      <c r="BP77" s="26"/>
      <c r="BQ77" s="26"/>
      <c r="BR77" s="26"/>
      <c r="BS77" s="26"/>
      <c r="BT77" s="26"/>
      <c r="BU77" s="26"/>
      <c r="BV77" s="26"/>
      <c r="BW77" s="26"/>
    </row>
    <row r="78" spans="1:75" s="29" customFormat="1" ht="19.5" customHeight="1" x14ac:dyDescent="0.25">
      <c r="A78" s="32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  <c r="BL78" s="26"/>
      <c r="BM78" s="26"/>
      <c r="BN78" s="26"/>
      <c r="BO78" s="26"/>
      <c r="BP78" s="26"/>
      <c r="BQ78" s="26"/>
      <c r="BR78" s="26"/>
      <c r="BS78" s="26"/>
      <c r="BT78" s="26"/>
      <c r="BU78" s="26"/>
      <c r="BV78" s="26"/>
      <c r="BW78" s="26"/>
    </row>
    <row r="79" spans="1:75" s="29" customFormat="1" ht="19.5" customHeight="1" x14ac:dyDescent="0.25">
      <c r="A79" s="32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  <c r="BW79" s="26"/>
    </row>
    <row r="80" spans="1:75" s="29" customFormat="1" ht="19.5" customHeight="1" x14ac:dyDescent="0.25">
      <c r="A80" s="32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</row>
    <row r="81" spans="1:75" s="29" customFormat="1" ht="19.5" customHeight="1" x14ac:dyDescent="0.25">
      <c r="A81" s="32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</row>
    <row r="82" spans="1:75" s="29" customFormat="1" ht="19.5" customHeight="1" x14ac:dyDescent="0.25">
      <c r="A82" s="32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</row>
    <row r="83" spans="1:75" s="29" customFormat="1" ht="19.5" customHeight="1" x14ac:dyDescent="0.25">
      <c r="A83" s="32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  <c r="BW83" s="26"/>
    </row>
    <row r="84" spans="1:75" s="29" customFormat="1" ht="19.5" customHeight="1" x14ac:dyDescent="0.25">
      <c r="A84" s="32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26"/>
      <c r="BK84" s="26"/>
      <c r="BL84" s="26"/>
      <c r="BM84" s="26"/>
      <c r="BN84" s="26"/>
      <c r="BO84" s="26"/>
      <c r="BP84" s="26"/>
      <c r="BQ84" s="26"/>
      <c r="BR84" s="26"/>
      <c r="BS84" s="26"/>
      <c r="BT84" s="26"/>
      <c r="BU84" s="26"/>
      <c r="BV84" s="26"/>
      <c r="BW84" s="26"/>
    </row>
    <row r="85" spans="1:75" s="29" customFormat="1" ht="19.5" customHeight="1" x14ac:dyDescent="0.25">
      <c r="A85" s="32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</row>
    <row r="86" spans="1:75" s="29" customFormat="1" ht="19.5" customHeight="1" x14ac:dyDescent="0.25">
      <c r="A86" s="32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</row>
    <row r="87" spans="1:75" s="29" customFormat="1" ht="19.5" customHeight="1" x14ac:dyDescent="0.25">
      <c r="A87" s="32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</row>
    <row r="88" spans="1:75" s="29" customFormat="1" ht="15" customHeight="1" x14ac:dyDescent="0.25">
      <c r="A88" s="32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  <c r="BL88" s="26"/>
      <c r="BM88" s="26"/>
      <c r="BN88" s="26"/>
      <c r="BO88" s="26"/>
      <c r="BP88" s="26"/>
      <c r="BQ88" s="26"/>
      <c r="BR88" s="26"/>
      <c r="BS88" s="26"/>
      <c r="BT88" s="26"/>
      <c r="BU88" s="26"/>
      <c r="BV88" s="26"/>
      <c r="BW88" s="26"/>
    </row>
    <row r="89" spans="1:75" s="29" customFormat="1" ht="15" customHeight="1" x14ac:dyDescent="0.25">
      <c r="A89" s="32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</row>
    <row r="90" spans="1:75" s="29" customFormat="1" ht="15" customHeight="1" x14ac:dyDescent="0.25">
      <c r="A90" s="32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</row>
    <row r="91" spans="1:75" s="29" customFormat="1" ht="15" customHeight="1" x14ac:dyDescent="0.25">
      <c r="A91" s="32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</row>
    <row r="92" spans="1:75" s="29" customFormat="1" ht="15" customHeight="1" x14ac:dyDescent="0.25">
      <c r="A92" s="32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</row>
    <row r="93" spans="1:75" s="29" customFormat="1" ht="15" customHeight="1" x14ac:dyDescent="0.25">
      <c r="A93" s="32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</row>
    <row r="94" spans="1:75" s="29" customFormat="1" ht="15" customHeight="1" x14ac:dyDescent="0.25">
      <c r="A94" s="32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</row>
    <row r="95" spans="1:75" s="29" customFormat="1" ht="15" customHeight="1" x14ac:dyDescent="0.25">
      <c r="A95" s="32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</row>
    <row r="96" spans="1:75" s="29" customFormat="1" ht="15" customHeight="1" x14ac:dyDescent="0.25">
      <c r="A96" s="32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26"/>
      <c r="BK96" s="26"/>
      <c r="BL96" s="26"/>
      <c r="BM96" s="26"/>
      <c r="BN96" s="26"/>
      <c r="BO96" s="26"/>
      <c r="BP96" s="26"/>
      <c r="BQ96" s="26"/>
      <c r="BR96" s="26"/>
      <c r="BS96" s="26"/>
      <c r="BT96" s="26"/>
      <c r="BU96" s="26"/>
      <c r="BV96" s="26"/>
      <c r="BW96" s="26"/>
    </row>
    <row r="97" spans="1:75" s="29" customFormat="1" ht="15" customHeight="1" x14ac:dyDescent="0.25">
      <c r="A97" s="32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</row>
    <row r="98" spans="1:75" s="29" customFormat="1" ht="15" customHeight="1" x14ac:dyDescent="0.25">
      <c r="A98" s="32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</row>
    <row r="99" spans="1:75" s="29" customFormat="1" ht="15" customHeight="1" x14ac:dyDescent="0.25">
      <c r="A99" s="32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</row>
    <row r="100" spans="1:75" s="29" customFormat="1" ht="15" customHeight="1" x14ac:dyDescent="0.25">
      <c r="A100" s="32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</row>
    <row r="101" spans="1:75" s="29" customFormat="1" ht="15" customHeight="1" x14ac:dyDescent="0.25">
      <c r="A101" s="32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</row>
    <row r="102" spans="1:75" s="29" customFormat="1" ht="15" customHeight="1" x14ac:dyDescent="0.25">
      <c r="A102" s="32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</row>
    <row r="103" spans="1:75" s="29" customFormat="1" ht="15" customHeight="1" x14ac:dyDescent="0.25">
      <c r="A103" s="32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</row>
    <row r="104" spans="1:75" s="29" customFormat="1" ht="15" customHeight="1" x14ac:dyDescent="0.25">
      <c r="A104" s="32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</row>
    <row r="105" spans="1:75" s="29" customFormat="1" ht="15" customHeight="1" x14ac:dyDescent="0.25">
      <c r="A105" s="32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</row>
    <row r="106" spans="1:75" s="29" customFormat="1" ht="15" customHeight="1" x14ac:dyDescent="0.25">
      <c r="A106" s="32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</row>
    <row r="107" spans="1:75" s="29" customFormat="1" ht="15" customHeight="1" x14ac:dyDescent="0.25">
      <c r="A107" s="32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</row>
    <row r="108" spans="1:75" s="29" customFormat="1" ht="15" customHeight="1" x14ac:dyDescent="0.25">
      <c r="A108" s="32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  <c r="BS108" s="26"/>
      <c r="BT108" s="26"/>
      <c r="BU108" s="26"/>
      <c r="BV108" s="26"/>
      <c r="BW108" s="26"/>
    </row>
    <row r="109" spans="1:75" s="29" customFormat="1" ht="15" customHeight="1" x14ac:dyDescent="0.25">
      <c r="A109" s="32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26"/>
      <c r="BO109" s="26"/>
      <c r="BP109" s="26"/>
      <c r="BQ109" s="26"/>
      <c r="BR109" s="26"/>
      <c r="BS109" s="26"/>
      <c r="BT109" s="26"/>
      <c r="BU109" s="26"/>
      <c r="BV109" s="26"/>
      <c r="BW109" s="26"/>
    </row>
    <row r="110" spans="1:75" s="29" customFormat="1" ht="15" customHeight="1" x14ac:dyDescent="0.25">
      <c r="A110" s="32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</row>
    <row r="111" spans="1:75" s="29" customFormat="1" ht="15" customHeight="1" x14ac:dyDescent="0.25">
      <c r="A111" s="32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</row>
    <row r="112" spans="1:75" s="29" customFormat="1" ht="15" customHeight="1" x14ac:dyDescent="0.25">
      <c r="A112" s="32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</row>
    <row r="113" spans="1:75" s="29" customFormat="1" ht="15" customHeight="1" x14ac:dyDescent="0.25">
      <c r="A113" s="32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</row>
    <row r="114" spans="1:75" s="29" customFormat="1" ht="15" customHeight="1" x14ac:dyDescent="0.25">
      <c r="A114" s="32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</row>
    <row r="115" spans="1:75" s="29" customFormat="1" ht="15" customHeight="1" x14ac:dyDescent="0.25">
      <c r="A115" s="32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  <c r="BK115" s="26"/>
      <c r="BL115" s="26"/>
      <c r="BM115" s="26"/>
      <c r="BN115" s="26"/>
      <c r="BO115" s="26"/>
      <c r="BP115" s="26"/>
      <c r="BQ115" s="26"/>
      <c r="BR115" s="26"/>
      <c r="BS115" s="26"/>
      <c r="BT115" s="26"/>
      <c r="BU115" s="26"/>
      <c r="BV115" s="26"/>
      <c r="BW115" s="26"/>
    </row>
    <row r="116" spans="1:75" s="29" customFormat="1" ht="15" customHeight="1" x14ac:dyDescent="0.25">
      <c r="A116" s="32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26"/>
      <c r="BO116" s="26"/>
      <c r="BP116" s="26"/>
      <c r="BQ116" s="26"/>
      <c r="BR116" s="26"/>
      <c r="BS116" s="26"/>
      <c r="BT116" s="26"/>
      <c r="BU116" s="26"/>
      <c r="BV116" s="26"/>
      <c r="BW116" s="26"/>
    </row>
    <row r="117" spans="1:75" s="29" customFormat="1" ht="15" customHeight="1" x14ac:dyDescent="0.25">
      <c r="A117" s="32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26"/>
      <c r="BK117" s="26"/>
      <c r="BL117" s="26"/>
      <c r="BM117" s="26"/>
      <c r="BN117" s="26"/>
      <c r="BO117" s="26"/>
      <c r="BP117" s="26"/>
      <c r="BQ117" s="26"/>
      <c r="BR117" s="26"/>
      <c r="BS117" s="26"/>
      <c r="BT117" s="26"/>
      <c r="BU117" s="26"/>
      <c r="BV117" s="26"/>
      <c r="BW117" s="26"/>
    </row>
    <row r="118" spans="1:75" s="29" customFormat="1" ht="15" customHeight="1" x14ac:dyDescent="0.25">
      <c r="A118" s="32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  <c r="BL118" s="26"/>
      <c r="BM118" s="26"/>
      <c r="BN118" s="26"/>
      <c r="BO118" s="26"/>
      <c r="BP118" s="26"/>
      <c r="BQ118" s="26"/>
      <c r="BR118" s="26"/>
      <c r="BS118" s="26"/>
      <c r="BT118" s="26"/>
      <c r="BU118" s="26"/>
      <c r="BV118" s="26"/>
      <c r="BW118" s="26"/>
    </row>
    <row r="119" spans="1:75" s="29" customFormat="1" ht="15" customHeight="1" x14ac:dyDescent="0.25">
      <c r="A119" s="32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26"/>
      <c r="BK119" s="26"/>
      <c r="BL119" s="26"/>
      <c r="BM119" s="26"/>
      <c r="BN119" s="26"/>
      <c r="BO119" s="26"/>
      <c r="BP119" s="26"/>
      <c r="BQ119" s="26"/>
      <c r="BR119" s="26"/>
      <c r="BS119" s="26"/>
      <c r="BT119" s="26"/>
      <c r="BU119" s="26"/>
      <c r="BV119" s="26"/>
      <c r="BW119" s="26"/>
    </row>
    <row r="120" spans="1:75" s="29" customFormat="1" ht="15" customHeight="1" x14ac:dyDescent="0.25">
      <c r="A120" s="32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  <c r="BL120" s="26"/>
      <c r="BM120" s="26"/>
      <c r="BN120" s="26"/>
      <c r="BO120" s="26"/>
      <c r="BP120" s="26"/>
      <c r="BQ120" s="26"/>
      <c r="BR120" s="26"/>
      <c r="BS120" s="26"/>
      <c r="BT120" s="26"/>
      <c r="BU120" s="26"/>
      <c r="BV120" s="26"/>
      <c r="BW120" s="26"/>
    </row>
    <row r="121" spans="1:75" s="29" customFormat="1" ht="15" customHeight="1" x14ac:dyDescent="0.25">
      <c r="A121" s="32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  <c r="BK121" s="26"/>
      <c r="BL121" s="26"/>
      <c r="BM121" s="26"/>
      <c r="BN121" s="26"/>
      <c r="BO121" s="26"/>
      <c r="BP121" s="26"/>
      <c r="BQ121" s="26"/>
      <c r="BR121" s="26"/>
      <c r="BS121" s="26"/>
      <c r="BT121" s="26"/>
      <c r="BU121" s="26"/>
      <c r="BV121" s="26"/>
      <c r="BW121" s="26"/>
    </row>
    <row r="122" spans="1:75" s="29" customFormat="1" ht="15" customHeight="1" x14ac:dyDescent="0.25">
      <c r="A122" s="32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  <c r="BL122" s="26"/>
      <c r="BM122" s="26"/>
      <c r="BN122" s="26"/>
      <c r="BO122" s="26"/>
      <c r="BP122" s="26"/>
      <c r="BQ122" s="26"/>
      <c r="BR122" s="26"/>
      <c r="BS122" s="26"/>
      <c r="BT122" s="26"/>
      <c r="BU122" s="26"/>
      <c r="BV122" s="26"/>
      <c r="BW122" s="26"/>
    </row>
    <row r="123" spans="1:75" s="29" customFormat="1" ht="15" customHeight="1" x14ac:dyDescent="0.25">
      <c r="A123" s="32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  <c r="BM123" s="26"/>
      <c r="BN123" s="26"/>
      <c r="BO123" s="26"/>
      <c r="BP123" s="26"/>
      <c r="BQ123" s="26"/>
      <c r="BR123" s="26"/>
      <c r="BS123" s="26"/>
      <c r="BT123" s="26"/>
      <c r="BU123" s="26"/>
      <c r="BV123" s="26"/>
      <c r="BW123" s="26"/>
    </row>
    <row r="124" spans="1:75" s="29" customFormat="1" ht="15" customHeight="1" x14ac:dyDescent="0.25">
      <c r="A124" s="32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26"/>
      <c r="BK124" s="26"/>
      <c r="BL124" s="26"/>
      <c r="BM124" s="26"/>
      <c r="BN124" s="26"/>
      <c r="BO124" s="26"/>
      <c r="BP124" s="26"/>
      <c r="BQ124" s="26"/>
      <c r="BR124" s="26"/>
      <c r="BS124" s="26"/>
      <c r="BT124" s="26"/>
      <c r="BU124" s="26"/>
      <c r="BV124" s="26"/>
      <c r="BW124" s="26"/>
    </row>
    <row r="125" spans="1:75" s="29" customFormat="1" ht="15" customHeight="1" x14ac:dyDescent="0.25">
      <c r="A125" s="32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26"/>
      <c r="BK125" s="26"/>
      <c r="BL125" s="26"/>
      <c r="BM125" s="26"/>
      <c r="BN125" s="26"/>
      <c r="BO125" s="26"/>
      <c r="BP125" s="26"/>
      <c r="BQ125" s="26"/>
      <c r="BR125" s="26"/>
      <c r="BS125" s="26"/>
      <c r="BT125" s="26"/>
      <c r="BU125" s="26"/>
      <c r="BV125" s="26"/>
      <c r="BW125" s="26"/>
    </row>
    <row r="126" spans="1:75" s="29" customFormat="1" ht="15" customHeight="1" x14ac:dyDescent="0.25">
      <c r="A126" s="32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  <c r="BK126" s="26"/>
      <c r="BL126" s="26"/>
      <c r="BM126" s="26"/>
      <c r="BN126" s="26"/>
      <c r="BO126" s="26"/>
      <c r="BP126" s="26"/>
      <c r="BQ126" s="26"/>
      <c r="BR126" s="26"/>
      <c r="BS126" s="26"/>
      <c r="BT126" s="26"/>
      <c r="BU126" s="26"/>
      <c r="BV126" s="26"/>
      <c r="BW126" s="26"/>
    </row>
    <row r="127" spans="1:75" s="29" customFormat="1" ht="15" customHeight="1" x14ac:dyDescent="0.25">
      <c r="A127" s="32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26"/>
      <c r="BK127" s="26"/>
      <c r="BL127" s="26"/>
      <c r="BM127" s="26"/>
      <c r="BN127" s="26"/>
      <c r="BO127" s="26"/>
      <c r="BP127" s="26"/>
      <c r="BQ127" s="26"/>
      <c r="BR127" s="26"/>
      <c r="BS127" s="26"/>
      <c r="BT127" s="26"/>
      <c r="BU127" s="26"/>
      <c r="BV127" s="26"/>
      <c r="BW127" s="26"/>
    </row>
    <row r="128" spans="1:75" s="29" customFormat="1" ht="15" customHeight="1" x14ac:dyDescent="0.25">
      <c r="A128" s="32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26"/>
      <c r="BK128" s="26"/>
      <c r="BL128" s="26"/>
      <c r="BM128" s="26"/>
      <c r="BN128" s="26"/>
      <c r="BO128" s="26"/>
      <c r="BP128" s="26"/>
      <c r="BQ128" s="26"/>
      <c r="BR128" s="26"/>
      <c r="BS128" s="26"/>
      <c r="BT128" s="26"/>
      <c r="BU128" s="26"/>
      <c r="BV128" s="26"/>
      <c r="BW128" s="26"/>
    </row>
    <row r="129" spans="1:75" s="29" customFormat="1" ht="15" customHeight="1" x14ac:dyDescent="0.25">
      <c r="A129" s="32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  <c r="BJ129" s="26"/>
      <c r="BK129" s="26"/>
      <c r="BL129" s="26"/>
      <c r="BM129" s="26"/>
      <c r="BN129" s="26"/>
      <c r="BO129" s="26"/>
      <c r="BP129" s="26"/>
      <c r="BQ129" s="26"/>
      <c r="BR129" s="26"/>
      <c r="BS129" s="26"/>
      <c r="BT129" s="26"/>
      <c r="BU129" s="26"/>
      <c r="BV129" s="26"/>
      <c r="BW129" s="26"/>
    </row>
    <row r="130" spans="1:75" s="29" customFormat="1" ht="15" customHeight="1" x14ac:dyDescent="0.25">
      <c r="A130" s="32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  <c r="BL130" s="26"/>
      <c r="BM130" s="26"/>
      <c r="BN130" s="26"/>
      <c r="BO130" s="26"/>
      <c r="BP130" s="26"/>
      <c r="BQ130" s="26"/>
      <c r="BR130" s="26"/>
      <c r="BS130" s="26"/>
      <c r="BT130" s="26"/>
      <c r="BU130" s="26"/>
      <c r="BV130" s="26"/>
      <c r="BW130" s="26"/>
    </row>
    <row r="131" spans="1:75" s="29" customFormat="1" ht="15" customHeight="1" x14ac:dyDescent="0.25">
      <c r="A131" s="32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  <c r="BJ131" s="26"/>
      <c r="BK131" s="26"/>
      <c r="BL131" s="26"/>
      <c r="BM131" s="26"/>
      <c r="BN131" s="26"/>
      <c r="BO131" s="26"/>
      <c r="BP131" s="26"/>
      <c r="BQ131" s="26"/>
      <c r="BR131" s="26"/>
      <c r="BS131" s="26"/>
      <c r="BT131" s="26"/>
      <c r="BU131" s="26"/>
      <c r="BV131" s="26"/>
      <c r="BW131" s="26"/>
    </row>
    <row r="132" spans="1:75" s="29" customFormat="1" ht="15" customHeight="1" x14ac:dyDescent="0.25">
      <c r="A132" s="32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26"/>
      <c r="BK132" s="26"/>
      <c r="BL132" s="26"/>
      <c r="BM132" s="26"/>
      <c r="BN132" s="26"/>
      <c r="BO132" s="26"/>
      <c r="BP132" s="26"/>
      <c r="BQ132" s="26"/>
      <c r="BR132" s="26"/>
      <c r="BS132" s="26"/>
      <c r="BT132" s="26"/>
      <c r="BU132" s="26"/>
      <c r="BV132" s="26"/>
      <c r="BW132" s="26"/>
    </row>
    <row r="133" spans="1:75" s="29" customFormat="1" ht="15" customHeight="1" x14ac:dyDescent="0.25">
      <c r="A133" s="32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26"/>
      <c r="BK133" s="26"/>
      <c r="BL133" s="26"/>
      <c r="BM133" s="26"/>
      <c r="BN133" s="26"/>
      <c r="BO133" s="26"/>
      <c r="BP133" s="26"/>
      <c r="BQ133" s="26"/>
      <c r="BR133" s="26"/>
      <c r="BS133" s="26"/>
      <c r="BT133" s="26"/>
      <c r="BU133" s="26"/>
      <c r="BV133" s="26"/>
      <c r="BW133" s="26"/>
    </row>
    <row r="134" spans="1:75" s="29" customFormat="1" ht="15" customHeight="1" x14ac:dyDescent="0.25">
      <c r="A134" s="32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  <c r="BI134" s="26"/>
      <c r="BJ134" s="26"/>
      <c r="BK134" s="26"/>
      <c r="BL134" s="26"/>
      <c r="BM134" s="26"/>
      <c r="BN134" s="26"/>
      <c r="BO134" s="26"/>
      <c r="BP134" s="26"/>
      <c r="BQ134" s="26"/>
      <c r="BR134" s="26"/>
      <c r="BS134" s="26"/>
      <c r="BT134" s="26"/>
      <c r="BU134" s="26"/>
      <c r="BV134" s="26"/>
      <c r="BW134" s="26"/>
    </row>
    <row r="135" spans="1:75" s="29" customFormat="1" ht="15" customHeight="1" x14ac:dyDescent="0.25">
      <c r="A135" s="32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  <c r="BI135" s="26"/>
      <c r="BJ135" s="26"/>
      <c r="BK135" s="26"/>
      <c r="BL135" s="26"/>
      <c r="BM135" s="26"/>
      <c r="BN135" s="26"/>
      <c r="BO135" s="26"/>
      <c r="BP135" s="26"/>
      <c r="BQ135" s="26"/>
      <c r="BR135" s="26"/>
      <c r="BS135" s="26"/>
      <c r="BT135" s="26"/>
      <c r="BU135" s="26"/>
      <c r="BV135" s="26"/>
      <c r="BW135" s="26"/>
    </row>
    <row r="136" spans="1:75" s="29" customFormat="1" ht="15" customHeight="1" x14ac:dyDescent="0.25">
      <c r="A136" s="32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26"/>
      <c r="BJ136" s="26"/>
      <c r="BK136" s="26"/>
      <c r="BL136" s="26"/>
      <c r="BM136" s="26"/>
      <c r="BN136" s="26"/>
      <c r="BO136" s="26"/>
      <c r="BP136" s="26"/>
      <c r="BQ136" s="26"/>
      <c r="BR136" s="26"/>
      <c r="BS136" s="26"/>
      <c r="BT136" s="26"/>
      <c r="BU136" s="26"/>
      <c r="BV136" s="26"/>
      <c r="BW136" s="26"/>
    </row>
    <row r="137" spans="1:75" s="29" customFormat="1" ht="15" customHeight="1" x14ac:dyDescent="0.25">
      <c r="A137" s="32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26"/>
      <c r="BK137" s="26"/>
      <c r="BL137" s="26"/>
      <c r="BM137" s="26"/>
      <c r="BN137" s="26"/>
      <c r="BO137" s="26"/>
      <c r="BP137" s="26"/>
      <c r="BQ137" s="26"/>
      <c r="BR137" s="26"/>
      <c r="BS137" s="26"/>
      <c r="BT137" s="26"/>
      <c r="BU137" s="26"/>
      <c r="BV137" s="26"/>
      <c r="BW137" s="26"/>
    </row>
    <row r="138" spans="1:75" s="29" customFormat="1" ht="15" customHeight="1" x14ac:dyDescent="0.25">
      <c r="A138" s="32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  <c r="BH138" s="26"/>
      <c r="BI138" s="26"/>
      <c r="BJ138" s="26"/>
      <c r="BK138" s="26"/>
      <c r="BL138" s="26"/>
      <c r="BM138" s="26"/>
      <c r="BN138" s="26"/>
      <c r="BO138" s="26"/>
      <c r="BP138" s="26"/>
      <c r="BQ138" s="26"/>
      <c r="BR138" s="26"/>
      <c r="BS138" s="26"/>
      <c r="BT138" s="26"/>
      <c r="BU138" s="26"/>
      <c r="BV138" s="26"/>
      <c r="BW138" s="26"/>
    </row>
    <row r="139" spans="1:75" s="29" customFormat="1" ht="15" customHeight="1" x14ac:dyDescent="0.25">
      <c r="A139" s="32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  <c r="BJ139" s="26"/>
      <c r="BK139" s="26"/>
      <c r="BL139" s="26"/>
      <c r="BM139" s="26"/>
      <c r="BN139" s="26"/>
      <c r="BO139" s="26"/>
      <c r="BP139" s="26"/>
      <c r="BQ139" s="26"/>
      <c r="BR139" s="26"/>
      <c r="BS139" s="26"/>
      <c r="BT139" s="26"/>
      <c r="BU139" s="26"/>
      <c r="BV139" s="26"/>
      <c r="BW139" s="26"/>
    </row>
    <row r="140" spans="1:75" s="29" customFormat="1" ht="15" customHeight="1" x14ac:dyDescent="0.25">
      <c r="A140" s="32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  <c r="BH140" s="26"/>
      <c r="BI140" s="26"/>
      <c r="BJ140" s="26"/>
      <c r="BK140" s="26"/>
      <c r="BL140" s="26"/>
      <c r="BM140" s="26"/>
      <c r="BN140" s="26"/>
      <c r="BO140" s="26"/>
      <c r="BP140" s="26"/>
      <c r="BQ140" s="26"/>
      <c r="BR140" s="26"/>
      <c r="BS140" s="26"/>
      <c r="BT140" s="26"/>
      <c r="BU140" s="26"/>
      <c r="BV140" s="26"/>
      <c r="BW140" s="26"/>
    </row>
    <row r="141" spans="1:75" s="29" customFormat="1" ht="15" customHeight="1" x14ac:dyDescent="0.25">
      <c r="A141" s="32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  <c r="BH141" s="26"/>
      <c r="BI141" s="26"/>
      <c r="BJ141" s="26"/>
      <c r="BK141" s="26"/>
      <c r="BL141" s="26"/>
      <c r="BM141" s="26"/>
      <c r="BN141" s="26"/>
      <c r="BO141" s="26"/>
      <c r="BP141" s="26"/>
      <c r="BQ141" s="26"/>
      <c r="BR141" s="26"/>
      <c r="BS141" s="26"/>
      <c r="BT141" s="26"/>
      <c r="BU141" s="26"/>
      <c r="BV141" s="26"/>
      <c r="BW141" s="26"/>
    </row>
    <row r="142" spans="1:75" s="29" customFormat="1" ht="15" customHeight="1" x14ac:dyDescent="0.25">
      <c r="A142" s="32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26"/>
      <c r="BJ142" s="26"/>
      <c r="BK142" s="26"/>
      <c r="BL142" s="26"/>
      <c r="BM142" s="26"/>
      <c r="BN142" s="26"/>
      <c r="BO142" s="26"/>
      <c r="BP142" s="26"/>
      <c r="BQ142" s="26"/>
      <c r="BR142" s="26"/>
      <c r="BS142" s="26"/>
      <c r="BT142" s="26"/>
      <c r="BU142" s="26"/>
      <c r="BV142" s="26"/>
      <c r="BW142" s="26"/>
    </row>
    <row r="143" spans="1:75" s="29" customFormat="1" ht="15" customHeight="1" x14ac:dyDescent="0.25">
      <c r="A143" s="32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  <c r="BM143" s="26"/>
      <c r="BN143" s="26"/>
      <c r="BO143" s="26"/>
      <c r="BP143" s="26"/>
      <c r="BQ143" s="26"/>
      <c r="BR143" s="26"/>
      <c r="BS143" s="26"/>
      <c r="BT143" s="26"/>
      <c r="BU143" s="26"/>
      <c r="BV143" s="26"/>
      <c r="BW143" s="26"/>
    </row>
    <row r="144" spans="1:75" s="29" customFormat="1" ht="15" customHeight="1" x14ac:dyDescent="0.25">
      <c r="A144" s="32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26"/>
      <c r="BK144" s="26"/>
      <c r="BL144" s="26"/>
      <c r="BM144" s="26"/>
      <c r="BN144" s="26"/>
      <c r="BO144" s="26"/>
      <c r="BP144" s="26"/>
      <c r="BQ144" s="26"/>
      <c r="BR144" s="26"/>
      <c r="BS144" s="26"/>
      <c r="BT144" s="26"/>
      <c r="BU144" s="26"/>
      <c r="BV144" s="26"/>
      <c r="BW144" s="26"/>
    </row>
    <row r="145" spans="1:75" s="29" customFormat="1" ht="15" customHeight="1" x14ac:dyDescent="0.25">
      <c r="A145" s="32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  <c r="BH145" s="26"/>
      <c r="BI145" s="26"/>
      <c r="BJ145" s="26"/>
      <c r="BK145" s="26"/>
      <c r="BL145" s="26"/>
      <c r="BM145" s="26"/>
      <c r="BN145" s="26"/>
      <c r="BO145" s="26"/>
      <c r="BP145" s="26"/>
      <c r="BQ145" s="26"/>
      <c r="BR145" s="26"/>
      <c r="BS145" s="26"/>
      <c r="BT145" s="26"/>
      <c r="BU145" s="26"/>
      <c r="BV145" s="26"/>
      <c r="BW145" s="26"/>
    </row>
    <row r="146" spans="1:75" s="29" customFormat="1" ht="15" customHeight="1" x14ac:dyDescent="0.25">
      <c r="A146" s="32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  <c r="BH146" s="26"/>
      <c r="BI146" s="26"/>
      <c r="BJ146" s="26"/>
      <c r="BK146" s="26"/>
      <c r="BL146" s="26"/>
      <c r="BM146" s="26"/>
      <c r="BN146" s="26"/>
      <c r="BO146" s="26"/>
      <c r="BP146" s="26"/>
      <c r="BQ146" s="26"/>
      <c r="BR146" s="26"/>
      <c r="BS146" s="26"/>
      <c r="BT146" s="26"/>
      <c r="BU146" s="26"/>
      <c r="BV146" s="26"/>
      <c r="BW146" s="26"/>
    </row>
    <row r="147" spans="1:75" s="29" customFormat="1" ht="15" customHeight="1" x14ac:dyDescent="0.25">
      <c r="A147" s="32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  <c r="BH147" s="26"/>
      <c r="BI147" s="26"/>
      <c r="BJ147" s="26"/>
      <c r="BK147" s="26"/>
      <c r="BL147" s="26"/>
      <c r="BM147" s="26"/>
      <c r="BN147" s="26"/>
      <c r="BO147" s="26"/>
      <c r="BP147" s="26"/>
      <c r="BQ147" s="26"/>
      <c r="BR147" s="26"/>
      <c r="BS147" s="26"/>
      <c r="BT147" s="26"/>
      <c r="BU147" s="26"/>
      <c r="BV147" s="26"/>
      <c r="BW147" s="26"/>
    </row>
    <row r="148" spans="1:75" s="29" customFormat="1" ht="15" customHeight="1" x14ac:dyDescent="0.25">
      <c r="A148" s="32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  <c r="BH148" s="26"/>
      <c r="BI148" s="26"/>
      <c r="BJ148" s="26"/>
      <c r="BK148" s="26"/>
      <c r="BL148" s="26"/>
      <c r="BM148" s="26"/>
      <c r="BN148" s="26"/>
      <c r="BO148" s="26"/>
      <c r="BP148" s="26"/>
      <c r="BQ148" s="26"/>
      <c r="BR148" s="26"/>
      <c r="BS148" s="26"/>
      <c r="BT148" s="26"/>
      <c r="BU148" s="26"/>
      <c r="BV148" s="26"/>
      <c r="BW148" s="26"/>
    </row>
    <row r="149" spans="1:75" s="29" customFormat="1" ht="15" customHeight="1" x14ac:dyDescent="0.25">
      <c r="A149" s="32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  <c r="BH149" s="26"/>
      <c r="BI149" s="26"/>
      <c r="BJ149" s="26"/>
      <c r="BK149" s="26"/>
      <c r="BL149" s="26"/>
      <c r="BM149" s="26"/>
      <c r="BN149" s="26"/>
      <c r="BO149" s="26"/>
      <c r="BP149" s="26"/>
      <c r="BQ149" s="26"/>
      <c r="BR149" s="26"/>
      <c r="BS149" s="26"/>
      <c r="BT149" s="26"/>
      <c r="BU149" s="26"/>
      <c r="BV149" s="26"/>
      <c r="BW149" s="26"/>
    </row>
    <row r="150" spans="1:75" s="29" customFormat="1" ht="15" customHeight="1" x14ac:dyDescent="0.25">
      <c r="A150" s="32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26"/>
      <c r="BH150" s="26"/>
      <c r="BI150" s="26"/>
      <c r="BJ150" s="26"/>
      <c r="BK150" s="26"/>
      <c r="BL150" s="26"/>
      <c r="BM150" s="26"/>
      <c r="BN150" s="26"/>
      <c r="BO150" s="26"/>
      <c r="BP150" s="26"/>
      <c r="BQ150" s="26"/>
      <c r="BR150" s="26"/>
      <c r="BS150" s="26"/>
      <c r="BT150" s="26"/>
      <c r="BU150" s="26"/>
      <c r="BV150" s="26"/>
      <c r="BW150" s="26"/>
    </row>
    <row r="151" spans="1:75" s="29" customFormat="1" ht="15" customHeight="1" x14ac:dyDescent="0.25">
      <c r="A151" s="32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26"/>
      <c r="BK151" s="26"/>
      <c r="BL151" s="26"/>
      <c r="BM151" s="26"/>
      <c r="BN151" s="26"/>
      <c r="BO151" s="26"/>
      <c r="BP151" s="26"/>
      <c r="BQ151" s="26"/>
      <c r="BR151" s="26"/>
      <c r="BS151" s="26"/>
      <c r="BT151" s="26"/>
      <c r="BU151" s="26"/>
      <c r="BV151" s="26"/>
      <c r="BW151" s="26"/>
    </row>
    <row r="152" spans="1:75" s="29" customFormat="1" ht="15" customHeight="1" x14ac:dyDescent="0.25">
      <c r="A152" s="32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6"/>
      <c r="AV152" s="26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26"/>
      <c r="BH152" s="26"/>
      <c r="BI152" s="26"/>
      <c r="BJ152" s="26"/>
      <c r="BK152" s="26"/>
      <c r="BL152" s="26"/>
      <c r="BM152" s="26"/>
      <c r="BN152" s="26"/>
      <c r="BO152" s="26"/>
      <c r="BP152" s="26"/>
      <c r="BQ152" s="26"/>
      <c r="BR152" s="26"/>
      <c r="BS152" s="26"/>
      <c r="BT152" s="26"/>
      <c r="BU152" s="26"/>
      <c r="BV152" s="26"/>
      <c r="BW152" s="26"/>
    </row>
    <row r="153" spans="1:75" s="29" customFormat="1" ht="15" customHeight="1" x14ac:dyDescent="0.25">
      <c r="A153" s="32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  <c r="BH153" s="26"/>
      <c r="BI153" s="26"/>
      <c r="BJ153" s="26"/>
      <c r="BK153" s="26"/>
      <c r="BL153" s="26"/>
      <c r="BM153" s="26"/>
      <c r="BN153" s="26"/>
      <c r="BO153" s="26"/>
      <c r="BP153" s="26"/>
      <c r="BQ153" s="26"/>
      <c r="BR153" s="26"/>
      <c r="BS153" s="26"/>
      <c r="BT153" s="26"/>
      <c r="BU153" s="26"/>
      <c r="BV153" s="26"/>
      <c r="BW153" s="26"/>
    </row>
    <row r="154" spans="1:75" s="29" customFormat="1" ht="15" customHeight="1" x14ac:dyDescent="0.25">
      <c r="A154" s="32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  <c r="BH154" s="26"/>
      <c r="BI154" s="26"/>
      <c r="BJ154" s="26"/>
      <c r="BK154" s="26"/>
      <c r="BL154" s="26"/>
      <c r="BM154" s="26"/>
      <c r="BN154" s="26"/>
      <c r="BO154" s="26"/>
      <c r="BP154" s="26"/>
      <c r="BQ154" s="26"/>
      <c r="BR154" s="26"/>
      <c r="BS154" s="26"/>
      <c r="BT154" s="26"/>
      <c r="BU154" s="26"/>
      <c r="BV154" s="26"/>
      <c r="BW154" s="26"/>
    </row>
    <row r="155" spans="1:75" s="29" customFormat="1" ht="15" customHeight="1" x14ac:dyDescent="0.25">
      <c r="A155" s="32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  <c r="BH155" s="26"/>
      <c r="BI155" s="26"/>
      <c r="BJ155" s="26"/>
      <c r="BK155" s="26"/>
      <c r="BL155" s="26"/>
      <c r="BM155" s="26"/>
      <c r="BN155" s="26"/>
      <c r="BO155" s="26"/>
      <c r="BP155" s="26"/>
      <c r="BQ155" s="26"/>
      <c r="BR155" s="26"/>
      <c r="BS155" s="26"/>
      <c r="BT155" s="26"/>
      <c r="BU155" s="26"/>
      <c r="BV155" s="26"/>
      <c r="BW155" s="26"/>
    </row>
    <row r="156" spans="1:75" s="29" customFormat="1" ht="15" customHeight="1" x14ac:dyDescent="0.25">
      <c r="A156" s="32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  <c r="BH156" s="26"/>
      <c r="BI156" s="26"/>
      <c r="BJ156" s="26"/>
      <c r="BK156" s="26"/>
      <c r="BL156" s="26"/>
      <c r="BM156" s="26"/>
      <c r="BN156" s="26"/>
      <c r="BO156" s="26"/>
      <c r="BP156" s="26"/>
      <c r="BQ156" s="26"/>
      <c r="BR156" s="26"/>
      <c r="BS156" s="26"/>
      <c r="BT156" s="26"/>
      <c r="BU156" s="26"/>
      <c r="BV156" s="26"/>
      <c r="BW156" s="26"/>
    </row>
    <row r="157" spans="1:75" s="29" customFormat="1" ht="15" customHeight="1" x14ac:dyDescent="0.25">
      <c r="A157" s="32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  <c r="BH157" s="26"/>
      <c r="BI157" s="26"/>
      <c r="BJ157" s="26"/>
      <c r="BK157" s="26"/>
      <c r="BL157" s="26"/>
      <c r="BM157" s="26"/>
      <c r="BN157" s="26"/>
      <c r="BO157" s="26"/>
      <c r="BP157" s="26"/>
      <c r="BQ157" s="26"/>
      <c r="BR157" s="26"/>
      <c r="BS157" s="26"/>
      <c r="BT157" s="26"/>
      <c r="BU157" s="26"/>
      <c r="BV157" s="26"/>
      <c r="BW157" s="26"/>
    </row>
    <row r="158" spans="1:75" s="29" customFormat="1" ht="15" customHeight="1" x14ac:dyDescent="0.25">
      <c r="A158" s="32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  <c r="BJ158" s="26"/>
      <c r="BK158" s="26"/>
      <c r="BL158" s="26"/>
      <c r="BM158" s="26"/>
      <c r="BN158" s="26"/>
      <c r="BO158" s="26"/>
      <c r="BP158" s="26"/>
      <c r="BQ158" s="26"/>
      <c r="BR158" s="26"/>
      <c r="BS158" s="26"/>
      <c r="BT158" s="26"/>
      <c r="BU158" s="26"/>
      <c r="BV158" s="26"/>
      <c r="BW158" s="26"/>
    </row>
    <row r="159" spans="1:75" s="29" customFormat="1" ht="15" customHeight="1" x14ac:dyDescent="0.25">
      <c r="A159" s="32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6"/>
      <c r="AV159" s="26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26"/>
      <c r="BH159" s="26"/>
      <c r="BI159" s="26"/>
      <c r="BJ159" s="26"/>
      <c r="BK159" s="26"/>
      <c r="BL159" s="26"/>
      <c r="BM159" s="26"/>
      <c r="BN159" s="26"/>
      <c r="BO159" s="26"/>
      <c r="BP159" s="26"/>
      <c r="BQ159" s="26"/>
      <c r="BR159" s="26"/>
      <c r="BS159" s="26"/>
      <c r="BT159" s="26"/>
      <c r="BU159" s="26"/>
      <c r="BV159" s="26"/>
      <c r="BW159" s="26"/>
    </row>
    <row r="160" spans="1:75" s="29" customFormat="1" ht="15" customHeight="1" x14ac:dyDescent="0.25">
      <c r="A160" s="32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6"/>
      <c r="AX160" s="26"/>
      <c r="AY160" s="26"/>
      <c r="AZ160" s="26"/>
      <c r="BA160" s="26"/>
      <c r="BB160" s="26"/>
      <c r="BC160" s="26"/>
      <c r="BD160" s="26"/>
      <c r="BE160" s="26"/>
      <c r="BF160" s="26"/>
      <c r="BG160" s="26"/>
      <c r="BH160" s="26"/>
      <c r="BI160" s="26"/>
      <c r="BJ160" s="26"/>
      <c r="BK160" s="26"/>
      <c r="BL160" s="26"/>
      <c r="BM160" s="26"/>
      <c r="BN160" s="26"/>
      <c r="BO160" s="26"/>
      <c r="BP160" s="26"/>
      <c r="BQ160" s="26"/>
      <c r="BR160" s="26"/>
      <c r="BS160" s="26"/>
      <c r="BT160" s="26"/>
      <c r="BU160" s="26"/>
      <c r="BV160" s="26"/>
      <c r="BW160" s="26"/>
    </row>
    <row r="161" spans="1:75" s="29" customFormat="1" ht="15" customHeight="1" x14ac:dyDescent="0.25">
      <c r="A161" s="32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26"/>
      <c r="BH161" s="26"/>
      <c r="BI161" s="26"/>
      <c r="BJ161" s="26"/>
      <c r="BK161" s="26"/>
      <c r="BL161" s="26"/>
      <c r="BM161" s="26"/>
      <c r="BN161" s="26"/>
      <c r="BO161" s="26"/>
      <c r="BP161" s="26"/>
      <c r="BQ161" s="26"/>
      <c r="BR161" s="26"/>
      <c r="BS161" s="26"/>
      <c r="BT161" s="26"/>
      <c r="BU161" s="26"/>
      <c r="BV161" s="26"/>
      <c r="BW161" s="26"/>
    </row>
    <row r="162" spans="1:75" s="29" customFormat="1" ht="15" customHeight="1" x14ac:dyDescent="0.25">
      <c r="A162" s="32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  <c r="BH162" s="26"/>
      <c r="BI162" s="26"/>
      <c r="BJ162" s="26"/>
      <c r="BK162" s="26"/>
      <c r="BL162" s="26"/>
      <c r="BM162" s="26"/>
      <c r="BN162" s="26"/>
      <c r="BO162" s="26"/>
      <c r="BP162" s="26"/>
      <c r="BQ162" s="26"/>
      <c r="BR162" s="26"/>
      <c r="BS162" s="26"/>
      <c r="BT162" s="26"/>
      <c r="BU162" s="26"/>
      <c r="BV162" s="26"/>
      <c r="BW162" s="26"/>
    </row>
    <row r="163" spans="1:75" s="29" customFormat="1" ht="15" customHeight="1" x14ac:dyDescent="0.25">
      <c r="A163" s="32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26"/>
      <c r="BH163" s="26"/>
      <c r="BI163" s="26"/>
      <c r="BJ163" s="26"/>
      <c r="BK163" s="26"/>
      <c r="BL163" s="26"/>
      <c r="BM163" s="26"/>
      <c r="BN163" s="26"/>
      <c r="BO163" s="26"/>
      <c r="BP163" s="26"/>
      <c r="BQ163" s="26"/>
      <c r="BR163" s="26"/>
      <c r="BS163" s="26"/>
      <c r="BT163" s="26"/>
      <c r="BU163" s="26"/>
      <c r="BV163" s="26"/>
      <c r="BW163" s="26"/>
    </row>
  </sheetData>
  <mergeCells count="7">
    <mergeCell ref="B13:C13"/>
    <mergeCell ref="B15:C15"/>
    <mergeCell ref="A1:A2"/>
    <mergeCell ref="B1:P1"/>
    <mergeCell ref="B2:P2"/>
    <mergeCell ref="B10:C10"/>
    <mergeCell ref="B12:P1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287A5"/>
  </sheetPr>
  <dimension ref="A1:CO156"/>
  <sheetViews>
    <sheetView showGridLines="0" zoomScaleNormal="100" workbookViewId="0">
      <selection activeCell="A11" sqref="A11"/>
    </sheetView>
  </sheetViews>
  <sheetFormatPr baseColWidth="10" defaultColWidth="9.140625" defaultRowHeight="15" x14ac:dyDescent="0.25"/>
  <cols>
    <col min="1" max="1" width="13" style="32" customWidth="1"/>
    <col min="2" max="2" width="30" style="3" customWidth="1"/>
    <col min="3" max="3" width="16" style="3" customWidth="1"/>
    <col min="4" max="15" width="12" style="3" customWidth="1"/>
    <col min="16" max="16" width="14.42578125" style="3" customWidth="1"/>
    <col min="17" max="93" width="9.140625" style="29"/>
  </cols>
  <sheetData>
    <row r="1" spans="1:93" ht="35.25" customHeight="1" x14ac:dyDescent="0.25">
      <c r="A1" s="81"/>
      <c r="B1" s="73" t="s">
        <v>108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28"/>
      <c r="R1" s="28"/>
      <c r="S1" s="28"/>
      <c r="T1" s="28"/>
      <c r="U1" s="28"/>
      <c r="V1" s="28"/>
      <c r="W1" s="28"/>
      <c r="X1" s="28"/>
      <c r="Y1" s="28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</row>
    <row r="2" spans="1:93" ht="26.25" customHeight="1" x14ac:dyDescent="0.25">
      <c r="A2" s="81"/>
      <c r="B2" s="74" t="s">
        <v>109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28"/>
      <c r="R2" s="28"/>
      <c r="S2" s="28"/>
      <c r="T2" s="28"/>
      <c r="U2" s="28"/>
      <c r="V2" s="28"/>
      <c r="W2" s="28"/>
      <c r="X2" s="28"/>
      <c r="Y2" s="28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</row>
    <row r="3" spans="1:93" ht="19.5" customHeight="1" x14ac:dyDescent="0.25">
      <c r="B3" s="12" t="s">
        <v>110</v>
      </c>
      <c r="C3" s="12" t="s">
        <v>111</v>
      </c>
      <c r="D3" s="12" t="s">
        <v>31</v>
      </c>
      <c r="E3" s="12" t="s">
        <v>32</v>
      </c>
      <c r="F3" s="12" t="s">
        <v>33</v>
      </c>
      <c r="G3" s="12" t="s">
        <v>34</v>
      </c>
      <c r="H3" s="12" t="s">
        <v>35</v>
      </c>
      <c r="I3" s="12" t="s">
        <v>36</v>
      </c>
      <c r="J3" s="12" t="s">
        <v>37</v>
      </c>
      <c r="K3" s="12" t="s">
        <v>38</v>
      </c>
      <c r="L3" s="12" t="s">
        <v>39</v>
      </c>
      <c r="M3" s="12" t="s">
        <v>40</v>
      </c>
      <c r="N3" s="12" t="s">
        <v>41</v>
      </c>
      <c r="O3" s="12" t="s">
        <v>42</v>
      </c>
      <c r="P3" s="12" t="s">
        <v>75</v>
      </c>
      <c r="Q3" s="28"/>
      <c r="R3" s="28"/>
      <c r="S3" s="28"/>
      <c r="T3" s="28"/>
      <c r="U3" s="28"/>
      <c r="V3" s="28"/>
      <c r="W3" s="28"/>
      <c r="X3" s="28"/>
      <c r="Y3" s="28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</row>
    <row r="4" spans="1:93" ht="19.5" customHeight="1" x14ac:dyDescent="0.25">
      <c r="B4" s="44" t="s">
        <v>112</v>
      </c>
      <c r="C4" s="17">
        <v>8000</v>
      </c>
      <c r="D4" s="48">
        <f>Ventas!D4</f>
        <v>100</v>
      </c>
      <c r="E4" s="48">
        <f>Ventas!E4</f>
        <v>0</v>
      </c>
      <c r="F4" s="48">
        <f>Ventas!F4</f>
        <v>0</v>
      </c>
      <c r="G4" s="48">
        <f>Ventas!G4</f>
        <v>0</v>
      </c>
      <c r="H4" s="48">
        <f>Ventas!H4</f>
        <v>0</v>
      </c>
      <c r="I4" s="48">
        <f>Ventas!I4</f>
        <v>0</v>
      </c>
      <c r="J4" s="48">
        <f>Ventas!J4</f>
        <v>0</v>
      </c>
      <c r="K4" s="48">
        <f>Ventas!K4</f>
        <v>0</v>
      </c>
      <c r="L4" s="48">
        <f>Ventas!L4</f>
        <v>0</v>
      </c>
      <c r="M4" s="48">
        <f>Ventas!M4</f>
        <v>0</v>
      </c>
      <c r="N4" s="48">
        <f>Ventas!N4</f>
        <v>0</v>
      </c>
      <c r="O4" s="48">
        <f>Ventas!O4</f>
        <v>0</v>
      </c>
      <c r="P4" s="15">
        <f>C4*SUM(D4:O4)</f>
        <v>800000</v>
      </c>
      <c r="Q4" s="28"/>
      <c r="R4" s="28"/>
      <c r="S4" s="28"/>
      <c r="T4" s="28"/>
      <c r="U4" s="28"/>
      <c r="V4" s="28"/>
      <c r="W4" s="28"/>
      <c r="X4" s="28"/>
      <c r="Y4" s="28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</row>
    <row r="5" spans="1:93" ht="19.5" customHeight="1" x14ac:dyDescent="0.25">
      <c r="B5" s="44" t="s">
        <v>113</v>
      </c>
      <c r="C5" s="17">
        <v>14000</v>
      </c>
      <c r="D5" s="48">
        <f>Ventas!D5</f>
        <v>0</v>
      </c>
      <c r="E5" s="48">
        <f>Ventas!E5</f>
        <v>0</v>
      </c>
      <c r="F5" s="48">
        <f>Ventas!F5</f>
        <v>0</v>
      </c>
      <c r="G5" s="48">
        <f>Ventas!G5</f>
        <v>0</v>
      </c>
      <c r="H5" s="48">
        <f>Ventas!H5</f>
        <v>0</v>
      </c>
      <c r="I5" s="48">
        <f>Ventas!I5</f>
        <v>0</v>
      </c>
      <c r="J5" s="48">
        <f>Ventas!J5</f>
        <v>0</v>
      </c>
      <c r="K5" s="48">
        <f>Ventas!K5</f>
        <v>0</v>
      </c>
      <c r="L5" s="48">
        <f>Ventas!L5</f>
        <v>0</v>
      </c>
      <c r="M5" s="48">
        <f>Ventas!M5</f>
        <v>0</v>
      </c>
      <c r="N5" s="48">
        <f>Ventas!N5</f>
        <v>0</v>
      </c>
      <c r="O5" s="48">
        <f>Ventas!O5</f>
        <v>0</v>
      </c>
      <c r="P5" s="15">
        <f>C5*SUM(D5:O5)</f>
        <v>0</v>
      </c>
      <c r="Q5" s="28"/>
      <c r="R5" s="28"/>
      <c r="S5" s="28"/>
      <c r="T5" s="28"/>
      <c r="U5" s="28"/>
      <c r="V5" s="28"/>
      <c r="W5" s="28"/>
      <c r="X5" s="28"/>
      <c r="Y5" s="28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</row>
    <row r="6" spans="1:93" ht="19.5" customHeight="1" x14ac:dyDescent="0.25">
      <c r="B6" s="45" t="s">
        <v>114</v>
      </c>
      <c r="C6" s="17">
        <v>21000</v>
      </c>
      <c r="D6" s="48">
        <f>Ventas!D6</f>
        <v>0</v>
      </c>
      <c r="E6" s="48">
        <f>Ventas!E6</f>
        <v>0</v>
      </c>
      <c r="F6" s="48">
        <f>Ventas!F6</f>
        <v>0</v>
      </c>
      <c r="G6" s="48">
        <f>Ventas!G6</f>
        <v>0</v>
      </c>
      <c r="H6" s="48">
        <f>Ventas!H6</f>
        <v>0</v>
      </c>
      <c r="I6" s="48">
        <f>Ventas!I6</f>
        <v>0</v>
      </c>
      <c r="J6" s="48">
        <f>Ventas!J6</f>
        <v>0</v>
      </c>
      <c r="K6" s="48">
        <f>Ventas!K6</f>
        <v>0</v>
      </c>
      <c r="L6" s="48">
        <f>Ventas!L6</f>
        <v>0</v>
      </c>
      <c r="M6" s="48">
        <f>Ventas!M6</f>
        <v>0</v>
      </c>
      <c r="N6" s="48">
        <f>Ventas!N6</f>
        <v>0</v>
      </c>
      <c r="O6" s="48">
        <f>Ventas!O6</f>
        <v>0</v>
      </c>
      <c r="P6" s="15">
        <f>C6*SUM(D6:O6)</f>
        <v>0</v>
      </c>
      <c r="Q6" s="28"/>
      <c r="R6" s="28"/>
      <c r="S6" s="28"/>
      <c r="T6" s="28"/>
      <c r="U6" s="28"/>
      <c r="V6" s="28"/>
      <c r="W6" s="28"/>
      <c r="X6" s="28"/>
      <c r="Y6" s="28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</row>
    <row r="7" spans="1:93" ht="27.75" customHeight="1" x14ac:dyDescent="0.25">
      <c r="B7" s="45" t="s">
        <v>230</v>
      </c>
      <c r="C7" s="17">
        <v>15000</v>
      </c>
      <c r="D7" s="48">
        <f>Ventas!D7</f>
        <v>0</v>
      </c>
      <c r="E7" s="48">
        <f>Ventas!E7</f>
        <v>0</v>
      </c>
      <c r="F7" s="48">
        <f>Ventas!F7</f>
        <v>0</v>
      </c>
      <c r="G7" s="48">
        <f>Ventas!G7</f>
        <v>0</v>
      </c>
      <c r="H7" s="48">
        <f>Ventas!H7</f>
        <v>0</v>
      </c>
      <c r="I7" s="48">
        <f>Ventas!I7</f>
        <v>0</v>
      </c>
      <c r="J7" s="48">
        <f>Ventas!J7</f>
        <v>0</v>
      </c>
      <c r="K7" s="48">
        <f>Ventas!K7</f>
        <v>0</v>
      </c>
      <c r="L7" s="48">
        <f>Ventas!L7</f>
        <v>0</v>
      </c>
      <c r="M7" s="48">
        <f>Ventas!M7</f>
        <v>0</v>
      </c>
      <c r="N7" s="48">
        <f>Ventas!N7</f>
        <v>0</v>
      </c>
      <c r="O7" s="48">
        <f>Ventas!O7</f>
        <v>0</v>
      </c>
      <c r="P7" s="15">
        <f>C7*SUM(D7:O7)</f>
        <v>0</v>
      </c>
      <c r="Q7" s="28"/>
      <c r="R7" s="28"/>
      <c r="S7" s="28"/>
      <c r="T7" s="28"/>
      <c r="U7" s="28"/>
      <c r="V7" s="28"/>
      <c r="W7" s="28"/>
      <c r="X7" s="28"/>
      <c r="Y7" s="28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</row>
    <row r="8" spans="1:93" ht="19.5" customHeight="1" x14ac:dyDescent="0.25">
      <c r="B8" s="45" t="s">
        <v>115</v>
      </c>
      <c r="C8" s="17">
        <v>3000</v>
      </c>
      <c r="D8" s="48">
        <f>Ventas!D8</f>
        <v>0</v>
      </c>
      <c r="E8" s="48">
        <f>Ventas!E8</f>
        <v>0</v>
      </c>
      <c r="F8" s="48">
        <f>Ventas!F8</f>
        <v>0</v>
      </c>
      <c r="G8" s="48">
        <f>Ventas!G8</f>
        <v>0</v>
      </c>
      <c r="H8" s="48">
        <f>Ventas!H8</f>
        <v>0</v>
      </c>
      <c r="I8" s="48">
        <f>Ventas!I8</f>
        <v>0</v>
      </c>
      <c r="J8" s="48">
        <f>Ventas!J8</f>
        <v>0</v>
      </c>
      <c r="K8" s="48">
        <f>Ventas!K8</f>
        <v>0</v>
      </c>
      <c r="L8" s="48">
        <f>Ventas!L8</f>
        <v>0</v>
      </c>
      <c r="M8" s="48">
        <f>Ventas!M8</f>
        <v>0</v>
      </c>
      <c r="N8" s="48">
        <f>Ventas!N8</f>
        <v>0</v>
      </c>
      <c r="O8" s="48">
        <f>Ventas!O8</f>
        <v>0</v>
      </c>
      <c r="P8" s="15">
        <f>C8*SUM(D8:O8)</f>
        <v>0</v>
      </c>
      <c r="Q8" s="28"/>
      <c r="R8" s="28"/>
      <c r="S8" s="28"/>
      <c r="T8" s="28"/>
      <c r="U8" s="28"/>
      <c r="V8" s="28"/>
      <c r="W8" s="28"/>
      <c r="X8" s="28"/>
      <c r="Y8" s="28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</row>
    <row r="9" spans="1:93" s="29" customFormat="1" ht="19.5" customHeight="1" x14ac:dyDescent="0.25">
      <c r="A9" s="32"/>
      <c r="B9" s="28"/>
      <c r="C9" s="28"/>
      <c r="D9" s="28"/>
      <c r="E9" s="28"/>
      <c r="F9" s="28"/>
      <c r="G9" s="87" t="s">
        <v>224</v>
      </c>
      <c r="H9" s="87"/>
      <c r="I9" s="87"/>
      <c r="J9" s="87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</row>
    <row r="10" spans="1:93" ht="19.5" customHeight="1" x14ac:dyDescent="0.25">
      <c r="B10" s="76" t="s">
        <v>116</v>
      </c>
      <c r="C10" s="76"/>
      <c r="D10" s="16">
        <f t="shared" ref="D10:O10" si="0">SUMPRODUCT($C$4:$C$8,D$4:D$8)</f>
        <v>800000</v>
      </c>
      <c r="E10" s="16">
        <f t="shared" si="0"/>
        <v>0</v>
      </c>
      <c r="F10" s="16">
        <f t="shared" si="0"/>
        <v>0</v>
      </c>
      <c r="G10" s="16">
        <f t="shared" si="0"/>
        <v>0</v>
      </c>
      <c r="H10" s="16">
        <f t="shared" si="0"/>
        <v>0</v>
      </c>
      <c r="I10" s="16">
        <f t="shared" si="0"/>
        <v>0</v>
      </c>
      <c r="J10" s="16">
        <f t="shared" si="0"/>
        <v>0</v>
      </c>
      <c r="K10" s="16">
        <f t="shared" si="0"/>
        <v>0</v>
      </c>
      <c r="L10" s="16">
        <f t="shared" si="0"/>
        <v>0</v>
      </c>
      <c r="M10" s="16">
        <f t="shared" si="0"/>
        <v>0</v>
      </c>
      <c r="N10" s="16">
        <f t="shared" si="0"/>
        <v>0</v>
      </c>
      <c r="O10" s="16">
        <f t="shared" si="0"/>
        <v>0</v>
      </c>
      <c r="P10" s="16">
        <f>SUM(P4:P8)</f>
        <v>800000</v>
      </c>
      <c r="Q10" s="28"/>
      <c r="R10" s="28"/>
      <c r="S10" s="28"/>
      <c r="T10" s="28"/>
      <c r="U10" s="28"/>
      <c r="V10" s="28"/>
      <c r="W10" s="28"/>
      <c r="X10" s="28"/>
      <c r="Y10" s="28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</row>
    <row r="11" spans="1:93" s="29" customFormat="1" ht="19.5" customHeight="1" x14ac:dyDescent="0.25">
      <c r="A11" s="32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</row>
    <row r="12" spans="1:93" ht="19.5" customHeight="1" x14ac:dyDescent="0.25">
      <c r="B12" s="82" t="s">
        <v>117</v>
      </c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28"/>
      <c r="R12" s="28"/>
      <c r="S12" s="28"/>
      <c r="T12" s="28"/>
      <c r="U12" s="28"/>
      <c r="V12" s="28"/>
      <c r="W12" s="28"/>
      <c r="X12" s="28"/>
      <c r="Y12" s="28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</row>
    <row r="13" spans="1:93" ht="28.5" customHeight="1" x14ac:dyDescent="0.25">
      <c r="B13" s="45" t="s">
        <v>227</v>
      </c>
      <c r="C13" s="18">
        <v>0.03</v>
      </c>
      <c r="D13" s="19">
        <f>Ventas!D$15*$C$13</f>
        <v>45000</v>
      </c>
      <c r="E13" s="19">
        <f>Ventas!E$15*$C$13</f>
        <v>0</v>
      </c>
      <c r="F13" s="19">
        <f>Ventas!F$15*$C$13</f>
        <v>0</v>
      </c>
      <c r="G13" s="19">
        <f>Ventas!G$15*$C$13</f>
        <v>0</v>
      </c>
      <c r="H13" s="19">
        <f>Ventas!H$15*$C$13</f>
        <v>0</v>
      </c>
      <c r="I13" s="19">
        <f>Ventas!I$15*$C$13</f>
        <v>0</v>
      </c>
      <c r="J13" s="19">
        <f>Ventas!J$15*$C$13</f>
        <v>0</v>
      </c>
      <c r="K13" s="19">
        <f>Ventas!K$15*$C$13</f>
        <v>0</v>
      </c>
      <c r="L13" s="19">
        <f>Ventas!L$15*$C$13</f>
        <v>0</v>
      </c>
      <c r="M13" s="19">
        <f>Ventas!M$15*$C$13</f>
        <v>0</v>
      </c>
      <c r="N13" s="19">
        <f>Ventas!N$15*$C$13</f>
        <v>0</v>
      </c>
      <c r="O13" s="19">
        <f>Ventas!O$15*$C$13</f>
        <v>0</v>
      </c>
      <c r="P13" s="19">
        <f>SUM(D13:O13)</f>
        <v>45000</v>
      </c>
      <c r="Q13" s="28"/>
      <c r="R13" s="28"/>
      <c r="S13" s="28"/>
      <c r="T13" s="28"/>
      <c r="U13" s="28"/>
      <c r="V13" s="28"/>
      <c r="W13" s="28"/>
      <c r="X13" s="28"/>
      <c r="Y13" s="28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</row>
    <row r="14" spans="1:93" ht="19.5" customHeight="1" x14ac:dyDescent="0.25">
      <c r="B14" s="80" t="s">
        <v>226</v>
      </c>
      <c r="C14" s="80"/>
      <c r="D14" s="39">
        <v>0</v>
      </c>
      <c r="E14" s="39">
        <v>0</v>
      </c>
      <c r="F14" s="39">
        <v>0</v>
      </c>
      <c r="G14" s="39">
        <v>0</v>
      </c>
      <c r="H14" s="39">
        <v>0</v>
      </c>
      <c r="I14" s="39">
        <v>0</v>
      </c>
      <c r="J14" s="39">
        <v>0</v>
      </c>
      <c r="K14" s="39">
        <v>0</v>
      </c>
      <c r="L14" s="39">
        <v>0</v>
      </c>
      <c r="M14" s="39">
        <v>0</v>
      </c>
      <c r="N14" s="39">
        <v>0</v>
      </c>
      <c r="O14" s="39">
        <v>0</v>
      </c>
      <c r="P14" s="19">
        <f>SUM(D14:O14)</f>
        <v>0</v>
      </c>
      <c r="Q14" s="28"/>
      <c r="R14" s="28"/>
      <c r="S14" s="28"/>
      <c r="T14" s="28"/>
      <c r="U14" s="28"/>
      <c r="V14" s="28"/>
      <c r="W14" s="28"/>
      <c r="X14" s="28"/>
      <c r="Y14" s="28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</row>
    <row r="15" spans="1:93" ht="19.5" customHeight="1" x14ac:dyDescent="0.25">
      <c r="B15" s="80" t="s">
        <v>228</v>
      </c>
      <c r="C15" s="80"/>
      <c r="D15" s="39">
        <v>0</v>
      </c>
      <c r="E15" s="39">
        <v>0</v>
      </c>
      <c r="F15" s="39">
        <v>0</v>
      </c>
      <c r="G15" s="39">
        <v>0</v>
      </c>
      <c r="H15" s="39">
        <v>0</v>
      </c>
      <c r="I15" s="39">
        <v>0</v>
      </c>
      <c r="J15" s="39">
        <v>0</v>
      </c>
      <c r="K15" s="39">
        <v>0</v>
      </c>
      <c r="L15" s="39">
        <v>0</v>
      </c>
      <c r="M15" s="39">
        <v>0</v>
      </c>
      <c r="N15" s="39">
        <v>0</v>
      </c>
      <c r="O15" s="39">
        <v>0</v>
      </c>
      <c r="P15" s="19">
        <f>SUM(D15:O15)</f>
        <v>0</v>
      </c>
      <c r="Q15" s="28"/>
      <c r="R15" s="28"/>
      <c r="S15" s="28"/>
      <c r="T15" s="28"/>
      <c r="U15" s="28"/>
      <c r="V15" s="28"/>
      <c r="W15" s="28"/>
      <c r="X15" s="28"/>
      <c r="Y15" s="28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</row>
    <row r="16" spans="1:93" ht="19.5" customHeight="1" x14ac:dyDescent="0.25">
      <c r="B16" s="80" t="s">
        <v>229</v>
      </c>
      <c r="C16" s="80"/>
      <c r="D16" s="39">
        <v>0</v>
      </c>
      <c r="E16" s="39">
        <v>0</v>
      </c>
      <c r="F16" s="39">
        <v>0</v>
      </c>
      <c r="G16" s="39">
        <v>0</v>
      </c>
      <c r="H16" s="39">
        <v>0</v>
      </c>
      <c r="I16" s="39">
        <v>0</v>
      </c>
      <c r="J16" s="39">
        <v>0</v>
      </c>
      <c r="K16" s="39">
        <v>0</v>
      </c>
      <c r="L16" s="39">
        <v>0</v>
      </c>
      <c r="M16" s="39">
        <v>0</v>
      </c>
      <c r="N16" s="39">
        <v>0</v>
      </c>
      <c r="O16" s="39">
        <v>0</v>
      </c>
      <c r="P16" s="19">
        <f>SUM(D16:O16)</f>
        <v>0</v>
      </c>
      <c r="Q16" s="28"/>
      <c r="R16" s="28"/>
      <c r="S16" s="28"/>
      <c r="T16" s="28"/>
      <c r="U16" s="28"/>
      <c r="V16" s="28"/>
      <c r="W16" s="28"/>
      <c r="X16" s="28"/>
      <c r="Y16" s="28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</row>
    <row r="17" spans="1:93" s="29" customFormat="1" ht="19.5" customHeight="1" x14ac:dyDescent="0.25">
      <c r="A17" s="32"/>
      <c r="B17" s="28"/>
      <c r="C17" s="28"/>
      <c r="D17" s="28"/>
      <c r="E17" s="28"/>
      <c r="F17" s="28"/>
      <c r="G17" s="87" t="s">
        <v>225</v>
      </c>
      <c r="H17" s="87"/>
      <c r="I17" s="87"/>
      <c r="J17" s="87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</row>
    <row r="18" spans="1:93" ht="19.5" customHeight="1" x14ac:dyDescent="0.25">
      <c r="B18" s="76" t="s">
        <v>118</v>
      </c>
      <c r="C18" s="76"/>
      <c r="D18" s="16">
        <f t="shared" ref="D18:P18" si="1">D10+SUM(D13:D16)</f>
        <v>845000</v>
      </c>
      <c r="E18" s="16">
        <f t="shared" si="1"/>
        <v>0</v>
      </c>
      <c r="F18" s="16">
        <f t="shared" si="1"/>
        <v>0</v>
      </c>
      <c r="G18" s="16">
        <f t="shared" si="1"/>
        <v>0</v>
      </c>
      <c r="H18" s="16">
        <f t="shared" si="1"/>
        <v>0</v>
      </c>
      <c r="I18" s="16">
        <f t="shared" si="1"/>
        <v>0</v>
      </c>
      <c r="J18" s="16">
        <f t="shared" si="1"/>
        <v>0</v>
      </c>
      <c r="K18" s="16">
        <f t="shared" si="1"/>
        <v>0</v>
      </c>
      <c r="L18" s="16">
        <f t="shared" si="1"/>
        <v>0</v>
      </c>
      <c r="M18" s="16">
        <f t="shared" si="1"/>
        <v>0</v>
      </c>
      <c r="N18" s="16">
        <f t="shared" si="1"/>
        <v>0</v>
      </c>
      <c r="O18" s="16">
        <f t="shared" si="1"/>
        <v>0</v>
      </c>
      <c r="P18" s="16">
        <f t="shared" si="1"/>
        <v>845000</v>
      </c>
      <c r="Q18" s="28"/>
      <c r="R18" s="28"/>
      <c r="S18" s="28"/>
      <c r="T18" s="28"/>
      <c r="U18" s="28"/>
      <c r="V18" s="28"/>
      <c r="W18" s="28"/>
      <c r="X18" s="28"/>
      <c r="Y18" s="28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</row>
    <row r="19" spans="1:93" s="29" customFormat="1" ht="19.5" customHeight="1" x14ac:dyDescent="0.25">
      <c r="A19" s="32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</row>
    <row r="20" spans="1:93" s="29" customFormat="1" ht="19.5" customHeight="1" x14ac:dyDescent="0.25">
      <c r="A20" s="32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</row>
    <row r="21" spans="1:93" s="29" customFormat="1" ht="19.5" customHeight="1" x14ac:dyDescent="0.25">
      <c r="A21" s="32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</row>
    <row r="22" spans="1:93" s="29" customFormat="1" ht="19.5" customHeight="1" x14ac:dyDescent="0.25">
      <c r="A22" s="32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</row>
    <row r="23" spans="1:93" s="29" customFormat="1" ht="19.5" customHeight="1" x14ac:dyDescent="0.25">
      <c r="A23" s="32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</row>
    <row r="24" spans="1:93" s="29" customFormat="1" ht="19.5" customHeight="1" x14ac:dyDescent="0.25">
      <c r="A24" s="32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</row>
    <row r="25" spans="1:93" s="29" customFormat="1" ht="19.5" customHeight="1" x14ac:dyDescent="0.25">
      <c r="A25" s="32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</row>
    <row r="26" spans="1:93" s="29" customFormat="1" ht="19.5" customHeight="1" x14ac:dyDescent="0.25">
      <c r="A26" s="32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</row>
    <row r="27" spans="1:93" s="29" customFormat="1" ht="19.5" customHeight="1" x14ac:dyDescent="0.25">
      <c r="A27" s="32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</row>
    <row r="28" spans="1:93" s="29" customFormat="1" ht="19.5" customHeight="1" x14ac:dyDescent="0.25">
      <c r="A28" s="32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</row>
    <row r="29" spans="1:93" s="29" customFormat="1" ht="19.5" customHeight="1" x14ac:dyDescent="0.25">
      <c r="A29" s="32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</row>
    <row r="30" spans="1:93" s="29" customFormat="1" ht="19.5" customHeight="1" x14ac:dyDescent="0.25">
      <c r="A30" s="32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</row>
    <row r="31" spans="1:93" s="29" customFormat="1" ht="19.5" customHeight="1" x14ac:dyDescent="0.25">
      <c r="A31" s="32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  <c r="CO31" s="26"/>
    </row>
    <row r="32" spans="1:93" s="29" customFormat="1" ht="19.5" customHeight="1" x14ac:dyDescent="0.25">
      <c r="A32" s="32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</row>
    <row r="33" spans="1:93" s="29" customFormat="1" ht="19.5" customHeight="1" x14ac:dyDescent="0.25">
      <c r="A33" s="32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</row>
    <row r="34" spans="1:93" s="29" customFormat="1" ht="19.5" customHeight="1" x14ac:dyDescent="0.25">
      <c r="A34" s="32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26"/>
    </row>
    <row r="35" spans="1:93" s="29" customFormat="1" ht="19.5" customHeight="1" x14ac:dyDescent="0.25">
      <c r="A35" s="32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</row>
    <row r="36" spans="1:93" s="29" customFormat="1" ht="19.5" customHeight="1" x14ac:dyDescent="0.25">
      <c r="A36" s="32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  <c r="CO36" s="26"/>
    </row>
    <row r="37" spans="1:93" s="29" customFormat="1" ht="19.5" customHeight="1" x14ac:dyDescent="0.25">
      <c r="A37" s="32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  <c r="CO37" s="26"/>
    </row>
    <row r="38" spans="1:93" s="29" customFormat="1" ht="19.5" customHeight="1" x14ac:dyDescent="0.25">
      <c r="A38" s="32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  <c r="CO38" s="26"/>
    </row>
    <row r="39" spans="1:93" s="29" customFormat="1" ht="19.5" customHeight="1" x14ac:dyDescent="0.25">
      <c r="A39" s="32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6"/>
    </row>
    <row r="40" spans="1:93" s="29" customFormat="1" ht="19.5" customHeight="1" x14ac:dyDescent="0.25">
      <c r="A40" s="32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</row>
    <row r="41" spans="1:93" s="29" customFormat="1" ht="19.5" customHeight="1" x14ac:dyDescent="0.25">
      <c r="A41" s="32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</row>
    <row r="42" spans="1:93" s="29" customFormat="1" ht="19.5" customHeight="1" x14ac:dyDescent="0.25">
      <c r="A42" s="32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</row>
    <row r="43" spans="1:93" s="29" customFormat="1" ht="19.5" customHeight="1" x14ac:dyDescent="0.25">
      <c r="A43" s="32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</row>
    <row r="44" spans="1:93" s="29" customFormat="1" ht="19.5" customHeight="1" x14ac:dyDescent="0.25">
      <c r="A44" s="32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</row>
    <row r="45" spans="1:93" s="29" customFormat="1" ht="19.5" customHeight="1" x14ac:dyDescent="0.25">
      <c r="A45" s="32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</row>
    <row r="46" spans="1:93" s="29" customFormat="1" ht="19.5" customHeight="1" x14ac:dyDescent="0.25">
      <c r="A46" s="32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</row>
    <row r="47" spans="1:93" s="29" customFormat="1" ht="19.5" customHeight="1" x14ac:dyDescent="0.25">
      <c r="A47" s="32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</row>
    <row r="48" spans="1:93" s="29" customFormat="1" ht="19.5" customHeight="1" x14ac:dyDescent="0.25">
      <c r="A48" s="32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</row>
    <row r="49" spans="1:93" s="29" customFormat="1" ht="19.5" customHeight="1" x14ac:dyDescent="0.25">
      <c r="A49" s="32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  <c r="CO49" s="26"/>
    </row>
    <row r="50" spans="1:93" s="29" customFormat="1" ht="19.5" customHeight="1" x14ac:dyDescent="0.25">
      <c r="A50" s="32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</row>
    <row r="51" spans="1:93" s="29" customFormat="1" ht="19.5" customHeight="1" x14ac:dyDescent="0.25">
      <c r="A51" s="32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</row>
    <row r="52" spans="1:93" s="29" customFormat="1" ht="19.5" customHeight="1" x14ac:dyDescent="0.25">
      <c r="A52" s="32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</row>
    <row r="53" spans="1:93" s="29" customFormat="1" ht="19.5" customHeight="1" x14ac:dyDescent="0.25">
      <c r="A53" s="32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</row>
    <row r="54" spans="1:93" s="29" customFormat="1" ht="19.5" customHeight="1" x14ac:dyDescent="0.25">
      <c r="A54" s="32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</row>
    <row r="55" spans="1:93" s="29" customFormat="1" ht="19.5" customHeight="1" x14ac:dyDescent="0.25">
      <c r="A55" s="32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</row>
    <row r="56" spans="1:93" s="29" customFormat="1" ht="19.5" customHeight="1" x14ac:dyDescent="0.25">
      <c r="A56" s="32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</row>
    <row r="57" spans="1:93" s="29" customFormat="1" ht="19.5" customHeight="1" x14ac:dyDescent="0.25">
      <c r="A57" s="32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  <c r="CO57" s="26"/>
    </row>
    <row r="58" spans="1:93" s="29" customFormat="1" ht="19.5" customHeight="1" x14ac:dyDescent="0.25">
      <c r="A58" s="32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</row>
    <row r="59" spans="1:93" s="29" customFormat="1" ht="19.5" customHeight="1" x14ac:dyDescent="0.25">
      <c r="A59" s="32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</row>
    <row r="60" spans="1:93" s="29" customFormat="1" ht="19.5" customHeight="1" x14ac:dyDescent="0.25">
      <c r="A60" s="32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</row>
    <row r="61" spans="1:93" s="29" customFormat="1" ht="19.5" customHeight="1" x14ac:dyDescent="0.25">
      <c r="A61" s="32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</row>
    <row r="62" spans="1:93" s="29" customFormat="1" ht="19.5" customHeight="1" x14ac:dyDescent="0.25">
      <c r="A62" s="32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</row>
    <row r="63" spans="1:93" s="29" customFormat="1" ht="19.5" customHeight="1" x14ac:dyDescent="0.25">
      <c r="A63" s="32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</row>
    <row r="64" spans="1:93" s="29" customFormat="1" ht="19.5" customHeight="1" x14ac:dyDescent="0.25">
      <c r="A64" s="32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/>
      <c r="BO64" s="26"/>
      <c r="BP64" s="26"/>
      <c r="BQ64" s="26"/>
      <c r="BR64" s="26"/>
      <c r="BS64" s="26"/>
      <c r="BT64" s="26"/>
      <c r="BU64" s="26"/>
      <c r="BV64" s="26"/>
      <c r="BW64" s="26"/>
      <c r="BX64" s="26"/>
      <c r="BY64" s="26"/>
      <c r="BZ64" s="26"/>
      <c r="CA64" s="26"/>
      <c r="CB64" s="26"/>
      <c r="CC64" s="26"/>
      <c r="CD64" s="26"/>
      <c r="CE64" s="26"/>
      <c r="CF64" s="26"/>
      <c r="CG64" s="26"/>
      <c r="CH64" s="26"/>
      <c r="CI64" s="26"/>
      <c r="CJ64" s="26"/>
      <c r="CK64" s="26"/>
      <c r="CL64" s="26"/>
      <c r="CM64" s="26"/>
      <c r="CN64" s="26"/>
      <c r="CO64" s="26"/>
    </row>
    <row r="65" spans="1:93" s="29" customFormat="1" ht="19.5" customHeight="1" x14ac:dyDescent="0.25">
      <c r="A65" s="32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</row>
    <row r="66" spans="1:93" s="29" customFormat="1" ht="19.5" customHeight="1" x14ac:dyDescent="0.25">
      <c r="A66" s="32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</row>
    <row r="67" spans="1:93" s="29" customFormat="1" ht="19.5" customHeight="1" x14ac:dyDescent="0.25">
      <c r="A67" s="32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</row>
    <row r="68" spans="1:93" s="29" customFormat="1" ht="19.5" customHeight="1" x14ac:dyDescent="0.25">
      <c r="A68" s="32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</row>
    <row r="69" spans="1:93" s="29" customFormat="1" ht="19.5" customHeight="1" x14ac:dyDescent="0.25">
      <c r="A69" s="32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</row>
    <row r="70" spans="1:93" s="29" customFormat="1" ht="19.5" customHeight="1" x14ac:dyDescent="0.25">
      <c r="A70" s="32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  <c r="BL70" s="26"/>
      <c r="BM70" s="26"/>
      <c r="BN70" s="26"/>
      <c r="BO70" s="26"/>
      <c r="BP70" s="26"/>
      <c r="BQ70" s="26"/>
      <c r="BR70" s="26"/>
      <c r="BS70" s="26"/>
      <c r="BT70" s="26"/>
      <c r="BU70" s="26"/>
      <c r="BV70" s="26"/>
      <c r="BW70" s="26"/>
      <c r="BX70" s="26"/>
      <c r="BY70" s="26"/>
      <c r="BZ70" s="26"/>
      <c r="CA70" s="26"/>
      <c r="CB70" s="26"/>
      <c r="CC70" s="26"/>
      <c r="CD70" s="26"/>
      <c r="CE70" s="26"/>
      <c r="CF70" s="26"/>
      <c r="CG70" s="26"/>
      <c r="CH70" s="26"/>
      <c r="CI70" s="26"/>
      <c r="CJ70" s="26"/>
      <c r="CK70" s="26"/>
      <c r="CL70" s="26"/>
      <c r="CM70" s="26"/>
      <c r="CN70" s="26"/>
      <c r="CO70" s="26"/>
    </row>
    <row r="71" spans="1:93" s="29" customFormat="1" ht="19.5" customHeight="1" x14ac:dyDescent="0.25">
      <c r="A71" s="32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  <c r="CO71" s="26"/>
    </row>
    <row r="72" spans="1:93" s="29" customFormat="1" ht="19.5" customHeight="1" x14ac:dyDescent="0.25">
      <c r="A72" s="32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</row>
    <row r="73" spans="1:93" s="29" customFormat="1" ht="19.5" customHeight="1" x14ac:dyDescent="0.25">
      <c r="A73" s="32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</row>
    <row r="74" spans="1:93" s="29" customFormat="1" ht="19.5" customHeight="1" x14ac:dyDescent="0.25">
      <c r="A74" s="32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</row>
    <row r="75" spans="1:93" s="29" customFormat="1" ht="19.5" customHeight="1" x14ac:dyDescent="0.25">
      <c r="A75" s="32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  <c r="CO75" s="26"/>
    </row>
    <row r="76" spans="1:93" s="29" customFormat="1" ht="19.5" customHeight="1" x14ac:dyDescent="0.25">
      <c r="A76" s="32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  <c r="CO76" s="26"/>
    </row>
    <row r="77" spans="1:93" s="29" customFormat="1" ht="19.5" customHeight="1" x14ac:dyDescent="0.25">
      <c r="A77" s="32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26"/>
      <c r="BM77" s="26"/>
      <c r="BN77" s="26"/>
      <c r="BO77" s="26"/>
      <c r="BP77" s="26"/>
      <c r="BQ77" s="26"/>
      <c r="BR77" s="26"/>
      <c r="BS77" s="26"/>
      <c r="BT77" s="26"/>
      <c r="BU77" s="26"/>
      <c r="BV77" s="26"/>
      <c r="BW77" s="26"/>
      <c r="BX77" s="26"/>
      <c r="BY77" s="26"/>
      <c r="BZ77" s="26"/>
      <c r="CA77" s="26"/>
      <c r="CB77" s="26"/>
      <c r="CC77" s="26"/>
      <c r="CD77" s="26"/>
      <c r="CE77" s="26"/>
      <c r="CF77" s="26"/>
      <c r="CG77" s="26"/>
      <c r="CH77" s="26"/>
      <c r="CI77" s="26"/>
      <c r="CJ77" s="26"/>
      <c r="CK77" s="26"/>
      <c r="CL77" s="26"/>
      <c r="CM77" s="26"/>
      <c r="CN77" s="26"/>
      <c r="CO77" s="26"/>
    </row>
    <row r="78" spans="1:93" s="29" customFormat="1" ht="19.5" customHeight="1" x14ac:dyDescent="0.25">
      <c r="A78" s="32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  <c r="BL78" s="26"/>
      <c r="BM78" s="26"/>
      <c r="BN78" s="26"/>
      <c r="BO78" s="26"/>
      <c r="BP78" s="26"/>
      <c r="BQ78" s="26"/>
      <c r="BR78" s="26"/>
      <c r="BS78" s="26"/>
      <c r="BT78" s="26"/>
      <c r="BU78" s="26"/>
      <c r="BV78" s="26"/>
      <c r="BW78" s="26"/>
      <c r="BX78" s="26"/>
      <c r="BY78" s="26"/>
      <c r="BZ78" s="26"/>
      <c r="CA78" s="26"/>
      <c r="CB78" s="26"/>
      <c r="CC78" s="26"/>
      <c r="CD78" s="26"/>
      <c r="CE78" s="26"/>
      <c r="CF78" s="26"/>
      <c r="CG78" s="26"/>
      <c r="CH78" s="26"/>
      <c r="CI78" s="26"/>
      <c r="CJ78" s="26"/>
      <c r="CK78" s="26"/>
      <c r="CL78" s="26"/>
      <c r="CM78" s="26"/>
      <c r="CN78" s="26"/>
      <c r="CO78" s="26"/>
    </row>
    <row r="79" spans="1:93" s="29" customFormat="1" ht="19.5" customHeight="1" x14ac:dyDescent="0.25">
      <c r="A79" s="32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  <c r="CO79" s="26"/>
    </row>
    <row r="80" spans="1:93" s="29" customFormat="1" ht="19.5" customHeight="1" x14ac:dyDescent="0.25">
      <c r="A80" s="32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  <c r="CO80" s="26"/>
    </row>
    <row r="81" spans="1:93" s="29" customFormat="1" ht="19.5" customHeight="1" x14ac:dyDescent="0.25">
      <c r="A81" s="32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</row>
    <row r="82" spans="1:93" s="29" customFormat="1" ht="19.5" customHeight="1" x14ac:dyDescent="0.25">
      <c r="A82" s="32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</row>
    <row r="83" spans="1:93" s="29" customFormat="1" ht="19.5" customHeight="1" x14ac:dyDescent="0.25">
      <c r="A83" s="32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  <c r="CO83" s="26"/>
    </row>
    <row r="84" spans="1:93" s="29" customFormat="1" ht="19.5" customHeight="1" x14ac:dyDescent="0.25">
      <c r="A84" s="32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26"/>
      <c r="BK84" s="26"/>
      <c r="BL84" s="26"/>
      <c r="BM84" s="26"/>
      <c r="BN84" s="26"/>
      <c r="BO84" s="26"/>
      <c r="BP84" s="26"/>
      <c r="BQ84" s="26"/>
      <c r="BR84" s="26"/>
      <c r="BS84" s="26"/>
      <c r="BT84" s="26"/>
      <c r="BU84" s="26"/>
      <c r="BV84" s="26"/>
      <c r="BW84" s="26"/>
      <c r="BX84" s="26"/>
      <c r="BY84" s="26"/>
      <c r="BZ84" s="26"/>
      <c r="CA84" s="26"/>
      <c r="CB84" s="26"/>
      <c r="CC84" s="26"/>
      <c r="CD84" s="26"/>
      <c r="CE84" s="26"/>
      <c r="CF84" s="26"/>
      <c r="CG84" s="26"/>
      <c r="CH84" s="26"/>
      <c r="CI84" s="26"/>
      <c r="CJ84" s="26"/>
      <c r="CK84" s="26"/>
      <c r="CL84" s="26"/>
      <c r="CM84" s="26"/>
      <c r="CN84" s="26"/>
      <c r="CO84" s="26"/>
    </row>
    <row r="85" spans="1:93" s="29" customFormat="1" ht="19.5" customHeight="1" x14ac:dyDescent="0.25">
      <c r="A85" s="32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  <c r="CO85" s="26"/>
    </row>
    <row r="86" spans="1:93" s="29" customFormat="1" ht="19.5" customHeight="1" x14ac:dyDescent="0.25">
      <c r="A86" s="32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  <c r="CO86" s="26"/>
    </row>
    <row r="87" spans="1:93" s="29" customFormat="1" ht="19.5" customHeight="1" x14ac:dyDescent="0.25">
      <c r="A87" s="32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</row>
    <row r="88" spans="1:93" s="29" customFormat="1" ht="15" customHeight="1" x14ac:dyDescent="0.25">
      <c r="A88" s="32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  <c r="BL88" s="26"/>
      <c r="BM88" s="26"/>
      <c r="BN88" s="26"/>
      <c r="BO88" s="26"/>
      <c r="BP88" s="26"/>
      <c r="BQ88" s="26"/>
      <c r="BR88" s="26"/>
      <c r="BS88" s="26"/>
      <c r="BT88" s="26"/>
      <c r="BU88" s="26"/>
      <c r="BV88" s="26"/>
      <c r="BW88" s="26"/>
      <c r="BX88" s="26"/>
      <c r="BY88" s="26"/>
      <c r="BZ88" s="26"/>
      <c r="CA88" s="26"/>
      <c r="CB88" s="26"/>
      <c r="CC88" s="26"/>
      <c r="CD88" s="26"/>
      <c r="CE88" s="26"/>
      <c r="CF88" s="26"/>
      <c r="CG88" s="26"/>
      <c r="CH88" s="26"/>
      <c r="CI88" s="26"/>
      <c r="CJ88" s="26"/>
      <c r="CK88" s="26"/>
      <c r="CL88" s="26"/>
      <c r="CM88" s="26"/>
      <c r="CN88" s="26"/>
      <c r="CO88" s="26"/>
    </row>
    <row r="89" spans="1:93" s="29" customFormat="1" ht="15" customHeight="1" x14ac:dyDescent="0.25">
      <c r="A89" s="32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</row>
    <row r="90" spans="1:93" s="29" customFormat="1" ht="15" customHeight="1" x14ac:dyDescent="0.25">
      <c r="A90" s="32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</row>
    <row r="91" spans="1:93" s="29" customFormat="1" ht="15" customHeight="1" x14ac:dyDescent="0.25">
      <c r="A91" s="32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  <c r="CO91" s="26"/>
    </row>
    <row r="92" spans="1:93" s="29" customFormat="1" ht="15" customHeight="1" x14ac:dyDescent="0.25">
      <c r="A92" s="32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</row>
    <row r="93" spans="1:93" s="29" customFormat="1" ht="15" customHeight="1" x14ac:dyDescent="0.25">
      <c r="A93" s="32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</row>
    <row r="94" spans="1:93" s="29" customFormat="1" ht="15" customHeight="1" x14ac:dyDescent="0.25">
      <c r="A94" s="32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  <c r="CO94" s="26"/>
    </row>
    <row r="95" spans="1:93" s="29" customFormat="1" ht="15" customHeight="1" x14ac:dyDescent="0.25">
      <c r="A95" s="32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</row>
    <row r="96" spans="1:93" s="29" customFormat="1" ht="15" customHeight="1" x14ac:dyDescent="0.25">
      <c r="A96" s="32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26"/>
      <c r="BK96" s="26"/>
      <c r="BL96" s="26"/>
      <c r="BM96" s="26"/>
      <c r="BN96" s="26"/>
      <c r="BO96" s="26"/>
      <c r="BP96" s="26"/>
      <c r="BQ96" s="26"/>
      <c r="BR96" s="26"/>
      <c r="BS96" s="26"/>
      <c r="BT96" s="26"/>
      <c r="BU96" s="26"/>
      <c r="BV96" s="26"/>
      <c r="BW96" s="26"/>
      <c r="BX96" s="26"/>
      <c r="BY96" s="26"/>
      <c r="BZ96" s="26"/>
      <c r="CA96" s="26"/>
      <c r="CB96" s="26"/>
      <c r="CC96" s="26"/>
      <c r="CD96" s="26"/>
      <c r="CE96" s="26"/>
      <c r="CF96" s="26"/>
      <c r="CG96" s="26"/>
      <c r="CH96" s="26"/>
      <c r="CI96" s="26"/>
      <c r="CJ96" s="26"/>
      <c r="CK96" s="26"/>
      <c r="CL96" s="26"/>
      <c r="CM96" s="26"/>
      <c r="CN96" s="26"/>
      <c r="CO96" s="26"/>
    </row>
    <row r="97" spans="1:93" s="29" customFormat="1" ht="15" customHeight="1" x14ac:dyDescent="0.25">
      <c r="A97" s="32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</row>
    <row r="98" spans="1:93" s="29" customFormat="1" ht="15" customHeight="1" x14ac:dyDescent="0.25">
      <c r="A98" s="32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</row>
    <row r="99" spans="1:93" s="29" customFormat="1" ht="15" customHeight="1" x14ac:dyDescent="0.25">
      <c r="A99" s="32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</row>
    <row r="100" spans="1:93" s="29" customFormat="1" ht="15" customHeight="1" x14ac:dyDescent="0.25">
      <c r="A100" s="32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</row>
    <row r="101" spans="1:93" s="29" customFormat="1" ht="15" customHeight="1" x14ac:dyDescent="0.25">
      <c r="A101" s="32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</row>
    <row r="102" spans="1:93" s="29" customFormat="1" ht="15" customHeight="1" x14ac:dyDescent="0.25">
      <c r="A102" s="32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</row>
    <row r="103" spans="1:93" s="29" customFormat="1" ht="15" customHeight="1" x14ac:dyDescent="0.25">
      <c r="A103" s="32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</row>
    <row r="104" spans="1:93" s="29" customFormat="1" ht="15" customHeight="1" x14ac:dyDescent="0.25">
      <c r="A104" s="32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</row>
    <row r="105" spans="1:93" s="29" customFormat="1" ht="15" customHeight="1" x14ac:dyDescent="0.25">
      <c r="A105" s="32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</row>
    <row r="106" spans="1:93" s="29" customFormat="1" ht="15" customHeight="1" x14ac:dyDescent="0.25">
      <c r="A106" s="32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</row>
    <row r="107" spans="1:93" s="29" customFormat="1" ht="15" customHeight="1" x14ac:dyDescent="0.25">
      <c r="A107" s="32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</row>
    <row r="108" spans="1:93" s="29" customFormat="1" ht="15" customHeight="1" x14ac:dyDescent="0.25">
      <c r="A108" s="32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  <c r="BS108" s="26"/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  <c r="CO108" s="26"/>
    </row>
    <row r="109" spans="1:93" s="29" customFormat="1" ht="15" customHeight="1" x14ac:dyDescent="0.25">
      <c r="A109" s="32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26"/>
      <c r="BO109" s="26"/>
      <c r="BP109" s="26"/>
      <c r="BQ109" s="26"/>
      <c r="BR109" s="26"/>
      <c r="BS109" s="26"/>
      <c r="BT109" s="26"/>
      <c r="BU109" s="26"/>
      <c r="BV109" s="26"/>
      <c r="BW109" s="26"/>
      <c r="BX109" s="26"/>
      <c r="BY109" s="26"/>
      <c r="BZ109" s="26"/>
      <c r="CA109" s="26"/>
      <c r="CB109" s="26"/>
      <c r="CC109" s="26"/>
      <c r="CD109" s="26"/>
      <c r="CE109" s="26"/>
      <c r="CF109" s="26"/>
      <c r="CG109" s="26"/>
      <c r="CH109" s="26"/>
      <c r="CI109" s="26"/>
      <c r="CJ109" s="26"/>
      <c r="CK109" s="26"/>
      <c r="CL109" s="26"/>
      <c r="CM109" s="26"/>
      <c r="CN109" s="26"/>
      <c r="CO109" s="26"/>
    </row>
    <row r="110" spans="1:93" s="29" customFormat="1" ht="15" customHeight="1" x14ac:dyDescent="0.25">
      <c r="A110" s="32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</row>
    <row r="111" spans="1:93" s="29" customFormat="1" ht="15" customHeight="1" x14ac:dyDescent="0.25">
      <c r="A111" s="32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  <c r="CO111" s="26"/>
    </row>
    <row r="112" spans="1:93" s="29" customFormat="1" ht="15" customHeight="1" x14ac:dyDescent="0.25">
      <c r="A112" s="32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</row>
    <row r="113" spans="1:93" s="29" customFormat="1" ht="15" customHeight="1" x14ac:dyDescent="0.25">
      <c r="A113" s="32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</row>
    <row r="114" spans="1:93" s="29" customFormat="1" ht="15" customHeight="1" x14ac:dyDescent="0.25">
      <c r="A114" s="32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  <c r="CO114" s="26"/>
    </row>
    <row r="115" spans="1:93" s="29" customFormat="1" ht="15" customHeight="1" x14ac:dyDescent="0.25">
      <c r="A115" s="32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  <c r="BK115" s="26"/>
      <c r="BL115" s="26"/>
      <c r="BM115" s="26"/>
      <c r="BN115" s="26"/>
      <c r="BO115" s="26"/>
      <c r="BP115" s="26"/>
      <c r="BQ115" s="26"/>
      <c r="BR115" s="26"/>
      <c r="BS115" s="26"/>
      <c r="BT115" s="26"/>
      <c r="BU115" s="26"/>
      <c r="BV115" s="26"/>
      <c r="BW115" s="26"/>
      <c r="BX115" s="26"/>
      <c r="BY115" s="26"/>
      <c r="BZ115" s="26"/>
      <c r="CA115" s="26"/>
      <c r="CB115" s="26"/>
      <c r="CC115" s="26"/>
      <c r="CD115" s="26"/>
      <c r="CE115" s="26"/>
      <c r="CF115" s="26"/>
      <c r="CG115" s="26"/>
      <c r="CH115" s="26"/>
      <c r="CI115" s="26"/>
      <c r="CJ115" s="26"/>
      <c r="CK115" s="26"/>
      <c r="CL115" s="26"/>
      <c r="CM115" s="26"/>
      <c r="CN115" s="26"/>
      <c r="CO115" s="26"/>
    </row>
    <row r="116" spans="1:93" s="29" customFormat="1" ht="15" customHeight="1" x14ac:dyDescent="0.25">
      <c r="A116" s="32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26"/>
      <c r="BO116" s="26"/>
      <c r="BP116" s="26"/>
      <c r="BQ116" s="26"/>
      <c r="BR116" s="26"/>
      <c r="BS116" s="26"/>
      <c r="BT116" s="26"/>
      <c r="BU116" s="26"/>
      <c r="BV116" s="26"/>
      <c r="BW116" s="26"/>
      <c r="BX116" s="26"/>
      <c r="BY116" s="26"/>
      <c r="BZ116" s="26"/>
      <c r="CA116" s="26"/>
      <c r="CB116" s="26"/>
      <c r="CC116" s="26"/>
      <c r="CD116" s="26"/>
      <c r="CE116" s="26"/>
      <c r="CF116" s="26"/>
      <c r="CG116" s="26"/>
      <c r="CH116" s="26"/>
      <c r="CI116" s="26"/>
      <c r="CJ116" s="26"/>
      <c r="CK116" s="26"/>
      <c r="CL116" s="26"/>
      <c r="CM116" s="26"/>
      <c r="CN116" s="26"/>
      <c r="CO116" s="26"/>
    </row>
    <row r="117" spans="1:93" s="29" customFormat="1" ht="15" customHeight="1" x14ac:dyDescent="0.25">
      <c r="A117" s="32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26"/>
      <c r="BK117" s="26"/>
      <c r="BL117" s="26"/>
      <c r="BM117" s="26"/>
      <c r="BN117" s="26"/>
      <c r="BO117" s="26"/>
      <c r="BP117" s="26"/>
      <c r="BQ117" s="26"/>
      <c r="BR117" s="26"/>
      <c r="BS117" s="26"/>
      <c r="BT117" s="26"/>
      <c r="BU117" s="26"/>
      <c r="BV117" s="26"/>
      <c r="BW117" s="26"/>
      <c r="BX117" s="26"/>
      <c r="BY117" s="26"/>
      <c r="BZ117" s="26"/>
      <c r="CA117" s="26"/>
      <c r="CB117" s="26"/>
      <c r="CC117" s="26"/>
      <c r="CD117" s="26"/>
      <c r="CE117" s="26"/>
      <c r="CF117" s="26"/>
      <c r="CG117" s="26"/>
      <c r="CH117" s="26"/>
      <c r="CI117" s="26"/>
      <c r="CJ117" s="26"/>
      <c r="CK117" s="26"/>
      <c r="CL117" s="26"/>
      <c r="CM117" s="26"/>
      <c r="CN117" s="26"/>
      <c r="CO117" s="26"/>
    </row>
    <row r="118" spans="1:93" s="29" customFormat="1" ht="15" customHeight="1" x14ac:dyDescent="0.25">
      <c r="A118" s="32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  <c r="BL118" s="26"/>
      <c r="BM118" s="26"/>
      <c r="BN118" s="26"/>
      <c r="BO118" s="26"/>
      <c r="BP118" s="26"/>
      <c r="BQ118" s="26"/>
      <c r="BR118" s="26"/>
      <c r="BS118" s="26"/>
      <c r="BT118" s="26"/>
      <c r="BU118" s="26"/>
      <c r="BV118" s="26"/>
      <c r="BW118" s="26"/>
      <c r="BX118" s="26"/>
      <c r="BY118" s="26"/>
      <c r="BZ118" s="26"/>
      <c r="CA118" s="26"/>
      <c r="CB118" s="26"/>
      <c r="CC118" s="26"/>
      <c r="CD118" s="26"/>
      <c r="CE118" s="26"/>
      <c r="CF118" s="26"/>
      <c r="CG118" s="26"/>
      <c r="CH118" s="26"/>
      <c r="CI118" s="26"/>
      <c r="CJ118" s="26"/>
      <c r="CK118" s="26"/>
      <c r="CL118" s="26"/>
      <c r="CM118" s="26"/>
      <c r="CN118" s="26"/>
      <c r="CO118" s="26"/>
    </row>
    <row r="119" spans="1:93" s="29" customFormat="1" ht="15" customHeight="1" x14ac:dyDescent="0.25">
      <c r="A119" s="32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26"/>
      <c r="BK119" s="26"/>
      <c r="BL119" s="26"/>
      <c r="BM119" s="26"/>
      <c r="BN119" s="26"/>
      <c r="BO119" s="26"/>
      <c r="BP119" s="26"/>
      <c r="BQ119" s="26"/>
      <c r="BR119" s="26"/>
      <c r="BS119" s="26"/>
      <c r="BT119" s="26"/>
      <c r="BU119" s="26"/>
      <c r="BV119" s="26"/>
      <c r="BW119" s="26"/>
      <c r="BX119" s="26"/>
      <c r="BY119" s="26"/>
      <c r="BZ119" s="26"/>
      <c r="CA119" s="26"/>
      <c r="CB119" s="26"/>
      <c r="CC119" s="26"/>
      <c r="CD119" s="26"/>
      <c r="CE119" s="26"/>
      <c r="CF119" s="26"/>
      <c r="CG119" s="26"/>
      <c r="CH119" s="26"/>
      <c r="CI119" s="26"/>
      <c r="CJ119" s="26"/>
      <c r="CK119" s="26"/>
      <c r="CL119" s="26"/>
      <c r="CM119" s="26"/>
      <c r="CN119" s="26"/>
      <c r="CO119" s="26"/>
    </row>
    <row r="120" spans="1:93" s="29" customFormat="1" ht="15" customHeight="1" x14ac:dyDescent="0.25">
      <c r="A120" s="32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  <c r="BL120" s="26"/>
      <c r="BM120" s="26"/>
      <c r="BN120" s="26"/>
      <c r="BO120" s="26"/>
      <c r="BP120" s="26"/>
      <c r="BQ120" s="26"/>
      <c r="BR120" s="26"/>
      <c r="BS120" s="26"/>
      <c r="BT120" s="26"/>
      <c r="BU120" s="26"/>
      <c r="BV120" s="26"/>
      <c r="BW120" s="26"/>
      <c r="BX120" s="26"/>
      <c r="BY120" s="26"/>
      <c r="BZ120" s="26"/>
      <c r="CA120" s="26"/>
      <c r="CB120" s="26"/>
      <c r="CC120" s="26"/>
      <c r="CD120" s="26"/>
      <c r="CE120" s="26"/>
      <c r="CF120" s="26"/>
      <c r="CG120" s="26"/>
      <c r="CH120" s="26"/>
      <c r="CI120" s="26"/>
      <c r="CJ120" s="26"/>
      <c r="CK120" s="26"/>
      <c r="CL120" s="26"/>
      <c r="CM120" s="26"/>
      <c r="CN120" s="26"/>
      <c r="CO120" s="26"/>
    </row>
    <row r="121" spans="1:93" s="29" customFormat="1" ht="15" customHeight="1" x14ac:dyDescent="0.25">
      <c r="A121" s="32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  <c r="BK121" s="26"/>
      <c r="BL121" s="26"/>
      <c r="BM121" s="26"/>
      <c r="BN121" s="26"/>
      <c r="BO121" s="26"/>
      <c r="BP121" s="26"/>
      <c r="BQ121" s="26"/>
      <c r="BR121" s="26"/>
      <c r="BS121" s="26"/>
      <c r="BT121" s="26"/>
      <c r="BU121" s="26"/>
      <c r="BV121" s="26"/>
      <c r="BW121" s="26"/>
      <c r="BX121" s="26"/>
      <c r="BY121" s="26"/>
      <c r="BZ121" s="26"/>
      <c r="CA121" s="26"/>
      <c r="CB121" s="26"/>
      <c r="CC121" s="26"/>
      <c r="CD121" s="26"/>
      <c r="CE121" s="26"/>
      <c r="CF121" s="26"/>
      <c r="CG121" s="26"/>
      <c r="CH121" s="26"/>
      <c r="CI121" s="26"/>
      <c r="CJ121" s="26"/>
      <c r="CK121" s="26"/>
      <c r="CL121" s="26"/>
      <c r="CM121" s="26"/>
      <c r="CN121" s="26"/>
      <c r="CO121" s="26"/>
    </row>
    <row r="122" spans="1:93" s="29" customFormat="1" ht="15" customHeight="1" x14ac:dyDescent="0.25">
      <c r="A122" s="32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  <c r="BL122" s="26"/>
      <c r="BM122" s="26"/>
      <c r="BN122" s="26"/>
      <c r="BO122" s="26"/>
      <c r="BP122" s="26"/>
      <c r="BQ122" s="26"/>
      <c r="BR122" s="26"/>
      <c r="BS122" s="26"/>
      <c r="BT122" s="26"/>
      <c r="BU122" s="26"/>
      <c r="BV122" s="26"/>
      <c r="BW122" s="26"/>
      <c r="BX122" s="26"/>
      <c r="BY122" s="26"/>
      <c r="BZ122" s="26"/>
      <c r="CA122" s="26"/>
      <c r="CB122" s="26"/>
      <c r="CC122" s="26"/>
      <c r="CD122" s="26"/>
      <c r="CE122" s="26"/>
      <c r="CF122" s="26"/>
      <c r="CG122" s="26"/>
      <c r="CH122" s="26"/>
      <c r="CI122" s="26"/>
      <c r="CJ122" s="26"/>
      <c r="CK122" s="26"/>
      <c r="CL122" s="26"/>
      <c r="CM122" s="26"/>
      <c r="CN122" s="26"/>
      <c r="CO122" s="26"/>
    </row>
    <row r="123" spans="1:93" s="29" customFormat="1" ht="15" customHeight="1" x14ac:dyDescent="0.25">
      <c r="A123" s="32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  <c r="BM123" s="26"/>
      <c r="BN123" s="26"/>
      <c r="BO123" s="26"/>
      <c r="BP123" s="26"/>
      <c r="BQ123" s="26"/>
      <c r="BR123" s="26"/>
      <c r="BS123" s="26"/>
      <c r="BT123" s="26"/>
      <c r="BU123" s="26"/>
      <c r="BV123" s="26"/>
      <c r="BW123" s="26"/>
      <c r="BX123" s="26"/>
      <c r="BY123" s="26"/>
      <c r="BZ123" s="26"/>
      <c r="CA123" s="26"/>
      <c r="CB123" s="26"/>
      <c r="CC123" s="26"/>
      <c r="CD123" s="26"/>
      <c r="CE123" s="26"/>
      <c r="CF123" s="26"/>
      <c r="CG123" s="26"/>
      <c r="CH123" s="26"/>
      <c r="CI123" s="26"/>
      <c r="CJ123" s="26"/>
      <c r="CK123" s="26"/>
      <c r="CL123" s="26"/>
      <c r="CM123" s="26"/>
      <c r="CN123" s="26"/>
      <c r="CO123" s="26"/>
    </row>
    <row r="124" spans="1:93" s="29" customFormat="1" ht="15" customHeight="1" x14ac:dyDescent="0.25">
      <c r="A124" s="32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26"/>
      <c r="BK124" s="26"/>
      <c r="BL124" s="26"/>
      <c r="BM124" s="26"/>
      <c r="BN124" s="26"/>
      <c r="BO124" s="26"/>
      <c r="BP124" s="26"/>
      <c r="BQ124" s="26"/>
      <c r="BR124" s="26"/>
      <c r="BS124" s="26"/>
      <c r="BT124" s="26"/>
      <c r="BU124" s="26"/>
      <c r="BV124" s="26"/>
      <c r="BW124" s="26"/>
      <c r="BX124" s="26"/>
      <c r="BY124" s="26"/>
      <c r="BZ124" s="26"/>
      <c r="CA124" s="26"/>
      <c r="CB124" s="26"/>
      <c r="CC124" s="26"/>
      <c r="CD124" s="26"/>
      <c r="CE124" s="26"/>
      <c r="CF124" s="26"/>
      <c r="CG124" s="26"/>
      <c r="CH124" s="26"/>
      <c r="CI124" s="26"/>
      <c r="CJ124" s="26"/>
      <c r="CK124" s="26"/>
      <c r="CL124" s="26"/>
      <c r="CM124" s="26"/>
      <c r="CN124" s="26"/>
      <c r="CO124" s="26"/>
    </row>
    <row r="125" spans="1:93" s="29" customFormat="1" ht="15" customHeight="1" x14ac:dyDescent="0.25">
      <c r="A125" s="32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26"/>
      <c r="BK125" s="26"/>
      <c r="BL125" s="26"/>
      <c r="BM125" s="26"/>
      <c r="BN125" s="26"/>
      <c r="BO125" s="26"/>
      <c r="BP125" s="26"/>
      <c r="BQ125" s="26"/>
      <c r="BR125" s="26"/>
      <c r="BS125" s="26"/>
      <c r="BT125" s="26"/>
      <c r="BU125" s="26"/>
      <c r="BV125" s="26"/>
      <c r="BW125" s="26"/>
      <c r="BX125" s="26"/>
      <c r="BY125" s="26"/>
      <c r="BZ125" s="26"/>
      <c r="CA125" s="26"/>
      <c r="CB125" s="26"/>
      <c r="CC125" s="26"/>
      <c r="CD125" s="26"/>
      <c r="CE125" s="26"/>
      <c r="CF125" s="26"/>
      <c r="CG125" s="26"/>
      <c r="CH125" s="26"/>
      <c r="CI125" s="26"/>
      <c r="CJ125" s="26"/>
      <c r="CK125" s="26"/>
      <c r="CL125" s="26"/>
      <c r="CM125" s="26"/>
      <c r="CN125" s="26"/>
      <c r="CO125" s="26"/>
    </row>
    <row r="126" spans="1:93" s="29" customFormat="1" ht="15" customHeight="1" x14ac:dyDescent="0.25">
      <c r="A126" s="32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  <c r="BK126" s="26"/>
      <c r="BL126" s="26"/>
      <c r="BM126" s="26"/>
      <c r="BN126" s="26"/>
      <c r="BO126" s="26"/>
      <c r="BP126" s="26"/>
      <c r="BQ126" s="26"/>
      <c r="BR126" s="26"/>
      <c r="BS126" s="26"/>
      <c r="BT126" s="26"/>
      <c r="BU126" s="26"/>
      <c r="BV126" s="26"/>
      <c r="BW126" s="26"/>
      <c r="BX126" s="26"/>
      <c r="BY126" s="26"/>
      <c r="BZ126" s="26"/>
      <c r="CA126" s="26"/>
      <c r="CB126" s="26"/>
      <c r="CC126" s="26"/>
      <c r="CD126" s="26"/>
      <c r="CE126" s="26"/>
      <c r="CF126" s="26"/>
      <c r="CG126" s="26"/>
      <c r="CH126" s="26"/>
      <c r="CI126" s="26"/>
      <c r="CJ126" s="26"/>
      <c r="CK126" s="26"/>
      <c r="CL126" s="26"/>
      <c r="CM126" s="26"/>
      <c r="CN126" s="26"/>
      <c r="CO126" s="26"/>
    </row>
    <row r="127" spans="1:93" s="29" customFormat="1" ht="15" customHeight="1" x14ac:dyDescent="0.25">
      <c r="A127" s="32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26"/>
      <c r="BK127" s="26"/>
      <c r="BL127" s="26"/>
      <c r="BM127" s="26"/>
      <c r="BN127" s="26"/>
      <c r="BO127" s="26"/>
      <c r="BP127" s="26"/>
      <c r="BQ127" s="26"/>
      <c r="BR127" s="26"/>
      <c r="BS127" s="26"/>
      <c r="BT127" s="26"/>
      <c r="BU127" s="26"/>
      <c r="BV127" s="26"/>
      <c r="BW127" s="26"/>
      <c r="BX127" s="26"/>
      <c r="BY127" s="26"/>
      <c r="BZ127" s="26"/>
      <c r="CA127" s="26"/>
      <c r="CB127" s="26"/>
      <c r="CC127" s="26"/>
      <c r="CD127" s="26"/>
      <c r="CE127" s="26"/>
      <c r="CF127" s="26"/>
      <c r="CG127" s="26"/>
      <c r="CH127" s="26"/>
      <c r="CI127" s="26"/>
      <c r="CJ127" s="26"/>
      <c r="CK127" s="26"/>
      <c r="CL127" s="26"/>
      <c r="CM127" s="26"/>
      <c r="CN127" s="26"/>
      <c r="CO127" s="26"/>
    </row>
    <row r="128" spans="1:93" s="29" customFormat="1" ht="15" customHeight="1" x14ac:dyDescent="0.25">
      <c r="A128" s="32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26"/>
      <c r="BK128" s="26"/>
      <c r="BL128" s="26"/>
      <c r="BM128" s="26"/>
      <c r="BN128" s="26"/>
      <c r="BO128" s="26"/>
      <c r="BP128" s="26"/>
      <c r="BQ128" s="26"/>
      <c r="BR128" s="26"/>
      <c r="BS128" s="26"/>
      <c r="BT128" s="26"/>
      <c r="BU128" s="26"/>
      <c r="BV128" s="26"/>
      <c r="BW128" s="26"/>
      <c r="BX128" s="26"/>
      <c r="BY128" s="26"/>
      <c r="BZ128" s="26"/>
      <c r="CA128" s="26"/>
      <c r="CB128" s="26"/>
      <c r="CC128" s="26"/>
      <c r="CD128" s="26"/>
      <c r="CE128" s="26"/>
      <c r="CF128" s="26"/>
      <c r="CG128" s="26"/>
      <c r="CH128" s="26"/>
      <c r="CI128" s="26"/>
      <c r="CJ128" s="26"/>
      <c r="CK128" s="26"/>
      <c r="CL128" s="26"/>
      <c r="CM128" s="26"/>
      <c r="CN128" s="26"/>
      <c r="CO128" s="26"/>
    </row>
    <row r="129" spans="1:93" s="29" customFormat="1" ht="15" customHeight="1" x14ac:dyDescent="0.25">
      <c r="A129" s="32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  <c r="BJ129" s="26"/>
      <c r="BK129" s="26"/>
      <c r="BL129" s="26"/>
      <c r="BM129" s="26"/>
      <c r="BN129" s="26"/>
      <c r="BO129" s="26"/>
      <c r="BP129" s="26"/>
      <c r="BQ129" s="26"/>
      <c r="BR129" s="26"/>
      <c r="BS129" s="26"/>
      <c r="BT129" s="26"/>
      <c r="BU129" s="26"/>
      <c r="BV129" s="26"/>
      <c r="BW129" s="26"/>
      <c r="BX129" s="26"/>
      <c r="BY129" s="26"/>
      <c r="BZ129" s="26"/>
      <c r="CA129" s="26"/>
      <c r="CB129" s="26"/>
      <c r="CC129" s="26"/>
      <c r="CD129" s="26"/>
      <c r="CE129" s="26"/>
      <c r="CF129" s="26"/>
      <c r="CG129" s="26"/>
      <c r="CH129" s="26"/>
      <c r="CI129" s="26"/>
      <c r="CJ129" s="26"/>
      <c r="CK129" s="26"/>
      <c r="CL129" s="26"/>
      <c r="CM129" s="26"/>
      <c r="CN129" s="26"/>
      <c r="CO129" s="26"/>
    </row>
    <row r="130" spans="1:93" s="29" customFormat="1" ht="15" customHeight="1" x14ac:dyDescent="0.25">
      <c r="A130" s="32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  <c r="BL130" s="26"/>
      <c r="BM130" s="26"/>
      <c r="BN130" s="26"/>
      <c r="BO130" s="26"/>
      <c r="BP130" s="26"/>
      <c r="BQ130" s="26"/>
      <c r="BR130" s="26"/>
      <c r="BS130" s="26"/>
      <c r="BT130" s="26"/>
      <c r="BU130" s="26"/>
      <c r="BV130" s="26"/>
      <c r="BW130" s="26"/>
      <c r="BX130" s="26"/>
      <c r="BY130" s="26"/>
      <c r="BZ130" s="26"/>
      <c r="CA130" s="26"/>
      <c r="CB130" s="26"/>
      <c r="CC130" s="26"/>
      <c r="CD130" s="26"/>
      <c r="CE130" s="26"/>
      <c r="CF130" s="26"/>
      <c r="CG130" s="26"/>
      <c r="CH130" s="26"/>
      <c r="CI130" s="26"/>
      <c r="CJ130" s="26"/>
      <c r="CK130" s="26"/>
      <c r="CL130" s="26"/>
      <c r="CM130" s="26"/>
      <c r="CN130" s="26"/>
      <c r="CO130" s="26"/>
    </row>
    <row r="131" spans="1:93" s="29" customFormat="1" ht="15" customHeight="1" x14ac:dyDescent="0.25">
      <c r="A131" s="32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  <c r="BJ131" s="26"/>
      <c r="BK131" s="26"/>
      <c r="BL131" s="26"/>
      <c r="BM131" s="26"/>
      <c r="BN131" s="26"/>
      <c r="BO131" s="26"/>
      <c r="BP131" s="26"/>
      <c r="BQ131" s="26"/>
      <c r="BR131" s="26"/>
      <c r="BS131" s="26"/>
      <c r="BT131" s="26"/>
      <c r="BU131" s="26"/>
      <c r="BV131" s="26"/>
      <c r="BW131" s="26"/>
      <c r="BX131" s="26"/>
      <c r="BY131" s="26"/>
      <c r="BZ131" s="26"/>
      <c r="CA131" s="26"/>
      <c r="CB131" s="26"/>
      <c r="CC131" s="26"/>
      <c r="CD131" s="26"/>
      <c r="CE131" s="26"/>
      <c r="CF131" s="26"/>
      <c r="CG131" s="26"/>
      <c r="CH131" s="26"/>
      <c r="CI131" s="26"/>
      <c r="CJ131" s="26"/>
      <c r="CK131" s="26"/>
      <c r="CL131" s="26"/>
      <c r="CM131" s="26"/>
      <c r="CN131" s="26"/>
      <c r="CO131" s="26"/>
    </row>
    <row r="132" spans="1:93" s="29" customFormat="1" ht="15" customHeight="1" x14ac:dyDescent="0.25">
      <c r="A132" s="32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26"/>
      <c r="BK132" s="26"/>
      <c r="BL132" s="26"/>
      <c r="BM132" s="26"/>
      <c r="BN132" s="26"/>
      <c r="BO132" s="26"/>
      <c r="BP132" s="26"/>
      <c r="BQ132" s="26"/>
      <c r="BR132" s="26"/>
      <c r="BS132" s="26"/>
      <c r="BT132" s="26"/>
      <c r="BU132" s="26"/>
      <c r="BV132" s="26"/>
      <c r="BW132" s="26"/>
      <c r="BX132" s="26"/>
      <c r="BY132" s="26"/>
      <c r="BZ132" s="26"/>
      <c r="CA132" s="26"/>
      <c r="CB132" s="26"/>
      <c r="CC132" s="26"/>
      <c r="CD132" s="26"/>
      <c r="CE132" s="26"/>
      <c r="CF132" s="26"/>
      <c r="CG132" s="26"/>
      <c r="CH132" s="26"/>
      <c r="CI132" s="26"/>
      <c r="CJ132" s="26"/>
      <c r="CK132" s="26"/>
      <c r="CL132" s="26"/>
      <c r="CM132" s="26"/>
      <c r="CN132" s="26"/>
      <c r="CO132" s="26"/>
    </row>
    <row r="133" spans="1:93" s="29" customFormat="1" ht="15" customHeight="1" x14ac:dyDescent="0.25">
      <c r="A133" s="32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26"/>
      <c r="BK133" s="26"/>
      <c r="BL133" s="26"/>
      <c r="BM133" s="26"/>
      <c r="BN133" s="26"/>
      <c r="BO133" s="26"/>
      <c r="BP133" s="26"/>
      <c r="BQ133" s="26"/>
      <c r="BR133" s="26"/>
      <c r="BS133" s="26"/>
      <c r="BT133" s="26"/>
      <c r="BU133" s="26"/>
      <c r="BV133" s="26"/>
      <c r="BW133" s="26"/>
      <c r="BX133" s="26"/>
      <c r="BY133" s="26"/>
      <c r="BZ133" s="26"/>
      <c r="CA133" s="26"/>
      <c r="CB133" s="26"/>
      <c r="CC133" s="26"/>
      <c r="CD133" s="26"/>
      <c r="CE133" s="26"/>
      <c r="CF133" s="26"/>
      <c r="CG133" s="26"/>
      <c r="CH133" s="26"/>
      <c r="CI133" s="26"/>
      <c r="CJ133" s="26"/>
      <c r="CK133" s="26"/>
      <c r="CL133" s="26"/>
      <c r="CM133" s="26"/>
      <c r="CN133" s="26"/>
      <c r="CO133" s="26"/>
    </row>
    <row r="134" spans="1:93" s="29" customFormat="1" ht="15" customHeight="1" x14ac:dyDescent="0.25">
      <c r="A134" s="32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  <c r="BI134" s="26"/>
      <c r="BJ134" s="26"/>
      <c r="BK134" s="26"/>
      <c r="BL134" s="26"/>
      <c r="BM134" s="26"/>
      <c r="BN134" s="26"/>
      <c r="BO134" s="26"/>
      <c r="BP134" s="26"/>
      <c r="BQ134" s="26"/>
      <c r="BR134" s="26"/>
      <c r="BS134" s="26"/>
      <c r="BT134" s="26"/>
      <c r="BU134" s="26"/>
      <c r="BV134" s="26"/>
      <c r="BW134" s="26"/>
      <c r="BX134" s="26"/>
      <c r="BY134" s="26"/>
      <c r="BZ134" s="26"/>
      <c r="CA134" s="26"/>
      <c r="CB134" s="26"/>
      <c r="CC134" s="26"/>
      <c r="CD134" s="26"/>
      <c r="CE134" s="26"/>
      <c r="CF134" s="26"/>
      <c r="CG134" s="26"/>
      <c r="CH134" s="26"/>
      <c r="CI134" s="26"/>
      <c r="CJ134" s="26"/>
      <c r="CK134" s="26"/>
      <c r="CL134" s="26"/>
      <c r="CM134" s="26"/>
      <c r="CN134" s="26"/>
      <c r="CO134" s="26"/>
    </row>
    <row r="135" spans="1:93" s="29" customFormat="1" ht="15" customHeight="1" x14ac:dyDescent="0.25">
      <c r="A135" s="32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  <c r="BI135" s="26"/>
      <c r="BJ135" s="26"/>
      <c r="BK135" s="26"/>
      <c r="BL135" s="26"/>
      <c r="BM135" s="26"/>
      <c r="BN135" s="26"/>
      <c r="BO135" s="26"/>
      <c r="BP135" s="26"/>
      <c r="BQ135" s="26"/>
      <c r="BR135" s="26"/>
      <c r="BS135" s="26"/>
      <c r="BT135" s="26"/>
      <c r="BU135" s="26"/>
      <c r="BV135" s="26"/>
      <c r="BW135" s="26"/>
      <c r="BX135" s="26"/>
      <c r="BY135" s="26"/>
      <c r="BZ135" s="26"/>
      <c r="CA135" s="26"/>
      <c r="CB135" s="26"/>
      <c r="CC135" s="26"/>
      <c r="CD135" s="26"/>
      <c r="CE135" s="26"/>
      <c r="CF135" s="26"/>
      <c r="CG135" s="26"/>
      <c r="CH135" s="26"/>
      <c r="CI135" s="26"/>
      <c r="CJ135" s="26"/>
      <c r="CK135" s="26"/>
      <c r="CL135" s="26"/>
      <c r="CM135" s="26"/>
      <c r="CN135" s="26"/>
      <c r="CO135" s="26"/>
    </row>
    <row r="136" spans="1:93" s="29" customFormat="1" ht="15" customHeight="1" x14ac:dyDescent="0.25">
      <c r="A136" s="32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26"/>
      <c r="BJ136" s="26"/>
      <c r="BK136" s="26"/>
      <c r="BL136" s="26"/>
      <c r="BM136" s="26"/>
      <c r="BN136" s="26"/>
      <c r="BO136" s="26"/>
      <c r="BP136" s="26"/>
      <c r="BQ136" s="26"/>
      <c r="BR136" s="26"/>
      <c r="BS136" s="26"/>
      <c r="BT136" s="26"/>
      <c r="BU136" s="26"/>
      <c r="BV136" s="26"/>
      <c r="BW136" s="26"/>
      <c r="BX136" s="26"/>
      <c r="BY136" s="26"/>
      <c r="BZ136" s="26"/>
      <c r="CA136" s="26"/>
      <c r="CB136" s="26"/>
      <c r="CC136" s="26"/>
      <c r="CD136" s="26"/>
      <c r="CE136" s="26"/>
      <c r="CF136" s="26"/>
      <c r="CG136" s="26"/>
      <c r="CH136" s="26"/>
      <c r="CI136" s="26"/>
      <c r="CJ136" s="26"/>
      <c r="CK136" s="26"/>
      <c r="CL136" s="26"/>
      <c r="CM136" s="26"/>
      <c r="CN136" s="26"/>
      <c r="CO136" s="26"/>
    </row>
    <row r="137" spans="1:93" s="29" customFormat="1" ht="15" customHeight="1" x14ac:dyDescent="0.25">
      <c r="A137" s="32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26"/>
      <c r="BK137" s="26"/>
      <c r="BL137" s="26"/>
      <c r="BM137" s="26"/>
      <c r="BN137" s="26"/>
      <c r="BO137" s="26"/>
      <c r="BP137" s="26"/>
      <c r="BQ137" s="26"/>
      <c r="BR137" s="26"/>
      <c r="BS137" s="26"/>
      <c r="BT137" s="26"/>
      <c r="BU137" s="26"/>
      <c r="BV137" s="26"/>
      <c r="BW137" s="26"/>
      <c r="BX137" s="26"/>
      <c r="BY137" s="26"/>
      <c r="BZ137" s="26"/>
      <c r="CA137" s="26"/>
      <c r="CB137" s="26"/>
      <c r="CC137" s="26"/>
      <c r="CD137" s="26"/>
      <c r="CE137" s="26"/>
      <c r="CF137" s="26"/>
      <c r="CG137" s="26"/>
      <c r="CH137" s="26"/>
      <c r="CI137" s="26"/>
      <c r="CJ137" s="26"/>
      <c r="CK137" s="26"/>
      <c r="CL137" s="26"/>
      <c r="CM137" s="26"/>
      <c r="CN137" s="26"/>
      <c r="CO137" s="26"/>
    </row>
    <row r="138" spans="1:93" s="29" customFormat="1" ht="15" customHeight="1" x14ac:dyDescent="0.25">
      <c r="A138" s="32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  <c r="BH138" s="26"/>
      <c r="BI138" s="26"/>
      <c r="BJ138" s="26"/>
      <c r="BK138" s="26"/>
      <c r="BL138" s="26"/>
      <c r="BM138" s="26"/>
      <c r="BN138" s="26"/>
      <c r="BO138" s="26"/>
      <c r="BP138" s="26"/>
      <c r="BQ138" s="26"/>
      <c r="BR138" s="26"/>
      <c r="BS138" s="26"/>
      <c r="BT138" s="26"/>
      <c r="BU138" s="26"/>
      <c r="BV138" s="26"/>
      <c r="BW138" s="26"/>
      <c r="BX138" s="26"/>
      <c r="BY138" s="26"/>
      <c r="BZ138" s="26"/>
      <c r="CA138" s="26"/>
      <c r="CB138" s="26"/>
      <c r="CC138" s="26"/>
      <c r="CD138" s="26"/>
      <c r="CE138" s="26"/>
      <c r="CF138" s="26"/>
      <c r="CG138" s="26"/>
      <c r="CH138" s="26"/>
      <c r="CI138" s="26"/>
      <c r="CJ138" s="26"/>
      <c r="CK138" s="26"/>
      <c r="CL138" s="26"/>
      <c r="CM138" s="26"/>
      <c r="CN138" s="26"/>
      <c r="CO138" s="26"/>
    </row>
    <row r="139" spans="1:93" s="29" customFormat="1" ht="15" customHeight="1" x14ac:dyDescent="0.25">
      <c r="A139" s="32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  <c r="BJ139" s="26"/>
      <c r="BK139" s="26"/>
      <c r="BL139" s="26"/>
      <c r="BM139" s="26"/>
      <c r="BN139" s="26"/>
      <c r="BO139" s="26"/>
      <c r="BP139" s="26"/>
      <c r="BQ139" s="26"/>
      <c r="BR139" s="26"/>
      <c r="BS139" s="26"/>
      <c r="BT139" s="26"/>
      <c r="BU139" s="26"/>
      <c r="BV139" s="26"/>
      <c r="BW139" s="26"/>
      <c r="BX139" s="26"/>
      <c r="BY139" s="26"/>
      <c r="BZ139" s="26"/>
      <c r="CA139" s="26"/>
      <c r="CB139" s="26"/>
      <c r="CC139" s="26"/>
      <c r="CD139" s="26"/>
      <c r="CE139" s="26"/>
      <c r="CF139" s="26"/>
      <c r="CG139" s="26"/>
      <c r="CH139" s="26"/>
      <c r="CI139" s="26"/>
      <c r="CJ139" s="26"/>
      <c r="CK139" s="26"/>
      <c r="CL139" s="26"/>
      <c r="CM139" s="26"/>
      <c r="CN139" s="26"/>
      <c r="CO139" s="26"/>
    </row>
    <row r="140" spans="1:93" s="29" customFormat="1" ht="15" customHeight="1" x14ac:dyDescent="0.25">
      <c r="A140" s="32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  <c r="BH140" s="26"/>
      <c r="BI140" s="26"/>
      <c r="BJ140" s="26"/>
      <c r="BK140" s="26"/>
      <c r="BL140" s="26"/>
      <c r="BM140" s="26"/>
      <c r="BN140" s="26"/>
      <c r="BO140" s="26"/>
      <c r="BP140" s="26"/>
      <c r="BQ140" s="26"/>
      <c r="BR140" s="26"/>
      <c r="BS140" s="26"/>
      <c r="BT140" s="26"/>
      <c r="BU140" s="26"/>
      <c r="BV140" s="26"/>
      <c r="BW140" s="26"/>
      <c r="BX140" s="26"/>
      <c r="BY140" s="26"/>
      <c r="BZ140" s="26"/>
      <c r="CA140" s="26"/>
      <c r="CB140" s="26"/>
      <c r="CC140" s="26"/>
      <c r="CD140" s="26"/>
      <c r="CE140" s="26"/>
      <c r="CF140" s="26"/>
      <c r="CG140" s="26"/>
      <c r="CH140" s="26"/>
      <c r="CI140" s="26"/>
      <c r="CJ140" s="26"/>
      <c r="CK140" s="26"/>
      <c r="CL140" s="26"/>
      <c r="CM140" s="26"/>
      <c r="CN140" s="26"/>
      <c r="CO140" s="26"/>
    </row>
    <row r="141" spans="1:93" s="29" customFormat="1" ht="15" customHeight="1" x14ac:dyDescent="0.25">
      <c r="A141" s="32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  <c r="BH141" s="26"/>
      <c r="BI141" s="26"/>
      <c r="BJ141" s="26"/>
      <c r="BK141" s="26"/>
      <c r="BL141" s="26"/>
      <c r="BM141" s="26"/>
      <c r="BN141" s="26"/>
      <c r="BO141" s="26"/>
      <c r="BP141" s="26"/>
      <c r="BQ141" s="26"/>
      <c r="BR141" s="26"/>
      <c r="BS141" s="26"/>
      <c r="BT141" s="26"/>
      <c r="BU141" s="26"/>
      <c r="BV141" s="26"/>
      <c r="BW141" s="26"/>
      <c r="BX141" s="26"/>
      <c r="BY141" s="26"/>
      <c r="BZ141" s="26"/>
      <c r="CA141" s="26"/>
      <c r="CB141" s="26"/>
      <c r="CC141" s="26"/>
      <c r="CD141" s="26"/>
      <c r="CE141" s="26"/>
      <c r="CF141" s="26"/>
      <c r="CG141" s="26"/>
      <c r="CH141" s="26"/>
      <c r="CI141" s="26"/>
      <c r="CJ141" s="26"/>
      <c r="CK141" s="26"/>
      <c r="CL141" s="26"/>
      <c r="CM141" s="26"/>
      <c r="CN141" s="26"/>
      <c r="CO141" s="26"/>
    </row>
    <row r="142" spans="1:93" s="29" customFormat="1" ht="15" customHeight="1" x14ac:dyDescent="0.25">
      <c r="A142" s="32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26"/>
      <c r="BJ142" s="26"/>
      <c r="BK142" s="26"/>
      <c r="BL142" s="26"/>
      <c r="BM142" s="26"/>
      <c r="BN142" s="26"/>
      <c r="BO142" s="26"/>
      <c r="BP142" s="26"/>
      <c r="BQ142" s="26"/>
      <c r="BR142" s="26"/>
      <c r="BS142" s="26"/>
      <c r="BT142" s="26"/>
      <c r="BU142" s="26"/>
      <c r="BV142" s="26"/>
      <c r="BW142" s="26"/>
      <c r="BX142" s="26"/>
      <c r="BY142" s="26"/>
      <c r="BZ142" s="26"/>
      <c r="CA142" s="26"/>
      <c r="CB142" s="26"/>
      <c r="CC142" s="26"/>
      <c r="CD142" s="26"/>
      <c r="CE142" s="26"/>
      <c r="CF142" s="26"/>
      <c r="CG142" s="26"/>
      <c r="CH142" s="26"/>
      <c r="CI142" s="26"/>
      <c r="CJ142" s="26"/>
      <c r="CK142" s="26"/>
      <c r="CL142" s="26"/>
      <c r="CM142" s="26"/>
      <c r="CN142" s="26"/>
      <c r="CO142" s="26"/>
    </row>
    <row r="143" spans="1:93" s="29" customFormat="1" ht="15" customHeight="1" x14ac:dyDescent="0.25">
      <c r="A143" s="32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  <c r="BM143" s="26"/>
      <c r="BN143" s="26"/>
      <c r="BO143" s="26"/>
      <c r="BP143" s="26"/>
      <c r="BQ143" s="26"/>
      <c r="BR143" s="26"/>
      <c r="BS143" s="26"/>
      <c r="BT143" s="26"/>
      <c r="BU143" s="26"/>
      <c r="BV143" s="26"/>
      <c r="BW143" s="26"/>
      <c r="BX143" s="26"/>
      <c r="BY143" s="26"/>
      <c r="BZ143" s="26"/>
      <c r="CA143" s="26"/>
      <c r="CB143" s="26"/>
      <c r="CC143" s="26"/>
      <c r="CD143" s="26"/>
      <c r="CE143" s="26"/>
      <c r="CF143" s="26"/>
      <c r="CG143" s="26"/>
      <c r="CH143" s="26"/>
      <c r="CI143" s="26"/>
      <c r="CJ143" s="26"/>
      <c r="CK143" s="26"/>
      <c r="CL143" s="26"/>
      <c r="CM143" s="26"/>
      <c r="CN143" s="26"/>
      <c r="CO143" s="26"/>
    </row>
    <row r="144" spans="1:93" s="29" customFormat="1" ht="15" customHeight="1" x14ac:dyDescent="0.25">
      <c r="A144" s="32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26"/>
      <c r="BK144" s="26"/>
      <c r="BL144" s="26"/>
      <c r="BM144" s="26"/>
      <c r="BN144" s="26"/>
      <c r="BO144" s="26"/>
      <c r="BP144" s="26"/>
      <c r="BQ144" s="26"/>
      <c r="BR144" s="26"/>
      <c r="BS144" s="26"/>
      <c r="BT144" s="26"/>
      <c r="BU144" s="26"/>
      <c r="BV144" s="26"/>
      <c r="BW144" s="26"/>
      <c r="BX144" s="26"/>
      <c r="BY144" s="26"/>
      <c r="BZ144" s="26"/>
      <c r="CA144" s="26"/>
      <c r="CB144" s="26"/>
      <c r="CC144" s="26"/>
      <c r="CD144" s="26"/>
      <c r="CE144" s="26"/>
      <c r="CF144" s="26"/>
      <c r="CG144" s="26"/>
      <c r="CH144" s="26"/>
      <c r="CI144" s="26"/>
      <c r="CJ144" s="26"/>
      <c r="CK144" s="26"/>
      <c r="CL144" s="26"/>
      <c r="CM144" s="26"/>
      <c r="CN144" s="26"/>
      <c r="CO144" s="26"/>
    </row>
    <row r="145" spans="1:93" s="29" customFormat="1" ht="15" customHeight="1" x14ac:dyDescent="0.25">
      <c r="A145" s="32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  <c r="BH145" s="26"/>
      <c r="BI145" s="26"/>
      <c r="BJ145" s="26"/>
      <c r="BK145" s="26"/>
      <c r="BL145" s="26"/>
      <c r="BM145" s="26"/>
      <c r="BN145" s="26"/>
      <c r="BO145" s="26"/>
      <c r="BP145" s="26"/>
      <c r="BQ145" s="26"/>
      <c r="BR145" s="26"/>
      <c r="BS145" s="26"/>
      <c r="BT145" s="26"/>
      <c r="BU145" s="26"/>
      <c r="BV145" s="26"/>
      <c r="BW145" s="26"/>
      <c r="BX145" s="26"/>
      <c r="BY145" s="26"/>
      <c r="BZ145" s="26"/>
      <c r="CA145" s="26"/>
      <c r="CB145" s="26"/>
      <c r="CC145" s="26"/>
      <c r="CD145" s="26"/>
      <c r="CE145" s="26"/>
      <c r="CF145" s="26"/>
      <c r="CG145" s="26"/>
      <c r="CH145" s="26"/>
      <c r="CI145" s="26"/>
      <c r="CJ145" s="26"/>
      <c r="CK145" s="26"/>
      <c r="CL145" s="26"/>
      <c r="CM145" s="26"/>
      <c r="CN145" s="26"/>
      <c r="CO145" s="26"/>
    </row>
    <row r="146" spans="1:93" s="29" customFormat="1" ht="15" customHeight="1" x14ac:dyDescent="0.25">
      <c r="A146" s="32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  <c r="BH146" s="26"/>
      <c r="BI146" s="26"/>
      <c r="BJ146" s="26"/>
      <c r="BK146" s="26"/>
      <c r="BL146" s="26"/>
      <c r="BM146" s="26"/>
      <c r="BN146" s="26"/>
      <c r="BO146" s="26"/>
      <c r="BP146" s="26"/>
      <c r="BQ146" s="26"/>
      <c r="BR146" s="26"/>
      <c r="BS146" s="26"/>
      <c r="BT146" s="26"/>
      <c r="BU146" s="26"/>
      <c r="BV146" s="26"/>
      <c r="BW146" s="26"/>
      <c r="BX146" s="26"/>
      <c r="BY146" s="26"/>
      <c r="BZ146" s="26"/>
      <c r="CA146" s="26"/>
      <c r="CB146" s="26"/>
      <c r="CC146" s="26"/>
      <c r="CD146" s="26"/>
      <c r="CE146" s="26"/>
      <c r="CF146" s="26"/>
      <c r="CG146" s="26"/>
      <c r="CH146" s="26"/>
      <c r="CI146" s="26"/>
      <c r="CJ146" s="26"/>
      <c r="CK146" s="26"/>
      <c r="CL146" s="26"/>
      <c r="CM146" s="26"/>
      <c r="CN146" s="26"/>
      <c r="CO146" s="26"/>
    </row>
    <row r="147" spans="1:93" s="29" customFormat="1" ht="15" customHeight="1" x14ac:dyDescent="0.25">
      <c r="A147" s="32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  <c r="BH147" s="26"/>
      <c r="BI147" s="26"/>
      <c r="BJ147" s="26"/>
      <c r="BK147" s="26"/>
      <c r="BL147" s="26"/>
      <c r="BM147" s="26"/>
      <c r="BN147" s="26"/>
      <c r="BO147" s="26"/>
      <c r="BP147" s="26"/>
      <c r="BQ147" s="26"/>
      <c r="BR147" s="26"/>
      <c r="BS147" s="26"/>
      <c r="BT147" s="26"/>
      <c r="BU147" s="26"/>
      <c r="BV147" s="26"/>
      <c r="BW147" s="26"/>
      <c r="BX147" s="26"/>
      <c r="BY147" s="26"/>
      <c r="BZ147" s="26"/>
      <c r="CA147" s="26"/>
      <c r="CB147" s="26"/>
      <c r="CC147" s="26"/>
      <c r="CD147" s="26"/>
      <c r="CE147" s="26"/>
      <c r="CF147" s="26"/>
      <c r="CG147" s="26"/>
      <c r="CH147" s="26"/>
      <c r="CI147" s="26"/>
      <c r="CJ147" s="26"/>
      <c r="CK147" s="26"/>
      <c r="CL147" s="26"/>
      <c r="CM147" s="26"/>
      <c r="CN147" s="26"/>
      <c r="CO147" s="26"/>
    </row>
    <row r="148" spans="1:93" s="29" customFormat="1" ht="15" customHeight="1" x14ac:dyDescent="0.25">
      <c r="A148" s="32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  <c r="BH148" s="26"/>
      <c r="BI148" s="26"/>
      <c r="BJ148" s="26"/>
      <c r="BK148" s="26"/>
      <c r="BL148" s="26"/>
      <c r="BM148" s="26"/>
      <c r="BN148" s="26"/>
      <c r="BO148" s="26"/>
      <c r="BP148" s="26"/>
      <c r="BQ148" s="26"/>
      <c r="BR148" s="26"/>
      <c r="BS148" s="26"/>
      <c r="BT148" s="26"/>
      <c r="BU148" s="26"/>
      <c r="BV148" s="26"/>
      <c r="BW148" s="26"/>
      <c r="BX148" s="26"/>
      <c r="BY148" s="26"/>
      <c r="BZ148" s="26"/>
      <c r="CA148" s="26"/>
      <c r="CB148" s="26"/>
      <c r="CC148" s="26"/>
      <c r="CD148" s="26"/>
      <c r="CE148" s="26"/>
      <c r="CF148" s="26"/>
      <c r="CG148" s="26"/>
      <c r="CH148" s="26"/>
      <c r="CI148" s="26"/>
      <c r="CJ148" s="26"/>
      <c r="CK148" s="26"/>
      <c r="CL148" s="26"/>
      <c r="CM148" s="26"/>
      <c r="CN148" s="26"/>
      <c r="CO148" s="26"/>
    </row>
    <row r="149" spans="1:93" s="29" customFormat="1" ht="15" customHeight="1" x14ac:dyDescent="0.25">
      <c r="A149" s="32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  <c r="BH149" s="26"/>
      <c r="BI149" s="26"/>
      <c r="BJ149" s="26"/>
      <c r="BK149" s="26"/>
      <c r="BL149" s="26"/>
      <c r="BM149" s="26"/>
      <c r="BN149" s="26"/>
      <c r="BO149" s="26"/>
      <c r="BP149" s="26"/>
      <c r="BQ149" s="26"/>
      <c r="BR149" s="26"/>
      <c r="BS149" s="26"/>
      <c r="BT149" s="26"/>
      <c r="BU149" s="26"/>
      <c r="BV149" s="26"/>
      <c r="BW149" s="26"/>
      <c r="BX149" s="26"/>
      <c r="BY149" s="26"/>
      <c r="BZ149" s="26"/>
      <c r="CA149" s="26"/>
      <c r="CB149" s="26"/>
      <c r="CC149" s="26"/>
      <c r="CD149" s="26"/>
      <c r="CE149" s="26"/>
      <c r="CF149" s="26"/>
      <c r="CG149" s="26"/>
      <c r="CH149" s="26"/>
      <c r="CI149" s="26"/>
      <c r="CJ149" s="26"/>
      <c r="CK149" s="26"/>
      <c r="CL149" s="26"/>
      <c r="CM149" s="26"/>
      <c r="CN149" s="26"/>
      <c r="CO149" s="26"/>
    </row>
    <row r="150" spans="1:93" s="29" customFormat="1" ht="15" customHeight="1" x14ac:dyDescent="0.25">
      <c r="A150" s="32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26"/>
      <c r="BH150" s="26"/>
      <c r="BI150" s="26"/>
      <c r="BJ150" s="26"/>
      <c r="BK150" s="26"/>
      <c r="BL150" s="26"/>
      <c r="BM150" s="26"/>
      <c r="BN150" s="26"/>
      <c r="BO150" s="26"/>
      <c r="BP150" s="26"/>
      <c r="BQ150" s="26"/>
      <c r="BR150" s="26"/>
      <c r="BS150" s="26"/>
      <c r="BT150" s="26"/>
      <c r="BU150" s="26"/>
      <c r="BV150" s="26"/>
      <c r="BW150" s="26"/>
      <c r="BX150" s="26"/>
      <c r="BY150" s="26"/>
      <c r="BZ150" s="26"/>
      <c r="CA150" s="26"/>
      <c r="CB150" s="26"/>
      <c r="CC150" s="26"/>
      <c r="CD150" s="26"/>
      <c r="CE150" s="26"/>
      <c r="CF150" s="26"/>
      <c r="CG150" s="26"/>
      <c r="CH150" s="26"/>
      <c r="CI150" s="26"/>
      <c r="CJ150" s="26"/>
      <c r="CK150" s="26"/>
      <c r="CL150" s="26"/>
      <c r="CM150" s="26"/>
      <c r="CN150" s="26"/>
      <c r="CO150" s="26"/>
    </row>
    <row r="151" spans="1:93" s="29" customFormat="1" ht="15" customHeight="1" x14ac:dyDescent="0.25">
      <c r="A151" s="32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26"/>
      <c r="BK151" s="26"/>
      <c r="BL151" s="26"/>
      <c r="BM151" s="26"/>
      <c r="BN151" s="26"/>
      <c r="BO151" s="26"/>
      <c r="BP151" s="26"/>
      <c r="BQ151" s="26"/>
      <c r="BR151" s="26"/>
      <c r="BS151" s="26"/>
      <c r="BT151" s="26"/>
      <c r="BU151" s="26"/>
      <c r="BV151" s="26"/>
      <c r="BW151" s="26"/>
      <c r="BX151" s="26"/>
      <c r="BY151" s="26"/>
      <c r="BZ151" s="26"/>
      <c r="CA151" s="26"/>
      <c r="CB151" s="26"/>
      <c r="CC151" s="26"/>
      <c r="CD151" s="26"/>
      <c r="CE151" s="26"/>
      <c r="CF151" s="26"/>
      <c r="CG151" s="26"/>
      <c r="CH151" s="26"/>
      <c r="CI151" s="26"/>
      <c r="CJ151" s="26"/>
      <c r="CK151" s="26"/>
      <c r="CL151" s="26"/>
      <c r="CM151" s="26"/>
      <c r="CN151" s="26"/>
      <c r="CO151" s="26"/>
    </row>
    <row r="152" spans="1:93" s="29" customFormat="1" ht="15" customHeight="1" x14ac:dyDescent="0.25">
      <c r="A152" s="32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6"/>
      <c r="AV152" s="26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26"/>
      <c r="BH152" s="26"/>
      <c r="BI152" s="26"/>
      <c r="BJ152" s="26"/>
      <c r="BK152" s="26"/>
      <c r="BL152" s="26"/>
      <c r="BM152" s="26"/>
      <c r="BN152" s="26"/>
      <c r="BO152" s="26"/>
      <c r="BP152" s="26"/>
      <c r="BQ152" s="26"/>
      <c r="BR152" s="26"/>
      <c r="BS152" s="26"/>
      <c r="BT152" s="26"/>
      <c r="BU152" s="26"/>
      <c r="BV152" s="26"/>
      <c r="BW152" s="26"/>
      <c r="BX152" s="26"/>
      <c r="BY152" s="26"/>
      <c r="BZ152" s="26"/>
      <c r="CA152" s="26"/>
      <c r="CB152" s="26"/>
      <c r="CC152" s="26"/>
      <c r="CD152" s="26"/>
      <c r="CE152" s="26"/>
      <c r="CF152" s="26"/>
      <c r="CG152" s="26"/>
      <c r="CH152" s="26"/>
      <c r="CI152" s="26"/>
      <c r="CJ152" s="26"/>
      <c r="CK152" s="26"/>
      <c r="CL152" s="26"/>
      <c r="CM152" s="26"/>
      <c r="CN152" s="26"/>
      <c r="CO152" s="26"/>
    </row>
    <row r="153" spans="1:93" s="29" customFormat="1" ht="15" customHeight="1" x14ac:dyDescent="0.25">
      <c r="A153" s="32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  <c r="BH153" s="26"/>
      <c r="BI153" s="26"/>
      <c r="BJ153" s="26"/>
      <c r="BK153" s="26"/>
      <c r="BL153" s="26"/>
      <c r="BM153" s="26"/>
      <c r="BN153" s="26"/>
      <c r="BO153" s="26"/>
      <c r="BP153" s="26"/>
      <c r="BQ153" s="26"/>
      <c r="BR153" s="26"/>
      <c r="BS153" s="26"/>
      <c r="BT153" s="26"/>
      <c r="BU153" s="26"/>
      <c r="BV153" s="26"/>
      <c r="BW153" s="26"/>
      <c r="BX153" s="26"/>
      <c r="BY153" s="26"/>
      <c r="BZ153" s="26"/>
      <c r="CA153" s="26"/>
      <c r="CB153" s="26"/>
      <c r="CC153" s="26"/>
      <c r="CD153" s="26"/>
      <c r="CE153" s="26"/>
      <c r="CF153" s="26"/>
      <c r="CG153" s="26"/>
      <c r="CH153" s="26"/>
      <c r="CI153" s="26"/>
      <c r="CJ153" s="26"/>
      <c r="CK153" s="26"/>
      <c r="CL153" s="26"/>
      <c r="CM153" s="26"/>
      <c r="CN153" s="26"/>
      <c r="CO153" s="26"/>
    </row>
    <row r="154" spans="1:93" s="29" customFormat="1" ht="15" customHeight="1" x14ac:dyDescent="0.25">
      <c r="A154" s="32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  <c r="BH154" s="26"/>
      <c r="BI154" s="26"/>
      <c r="BJ154" s="26"/>
      <c r="BK154" s="26"/>
      <c r="BL154" s="26"/>
      <c r="BM154" s="26"/>
      <c r="BN154" s="26"/>
      <c r="BO154" s="26"/>
      <c r="BP154" s="26"/>
      <c r="BQ154" s="26"/>
      <c r="BR154" s="26"/>
      <c r="BS154" s="26"/>
      <c r="BT154" s="26"/>
      <c r="BU154" s="26"/>
      <c r="BV154" s="26"/>
      <c r="BW154" s="26"/>
      <c r="BX154" s="26"/>
      <c r="BY154" s="26"/>
      <c r="BZ154" s="26"/>
      <c r="CA154" s="26"/>
      <c r="CB154" s="26"/>
      <c r="CC154" s="26"/>
      <c r="CD154" s="26"/>
      <c r="CE154" s="26"/>
      <c r="CF154" s="26"/>
      <c r="CG154" s="26"/>
      <c r="CH154" s="26"/>
      <c r="CI154" s="26"/>
      <c r="CJ154" s="26"/>
      <c r="CK154" s="26"/>
      <c r="CL154" s="26"/>
      <c r="CM154" s="26"/>
      <c r="CN154" s="26"/>
      <c r="CO154" s="26"/>
    </row>
    <row r="155" spans="1:93" s="29" customFormat="1" ht="15" customHeight="1" x14ac:dyDescent="0.25">
      <c r="A155" s="32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  <c r="BH155" s="26"/>
      <c r="BI155" s="26"/>
      <c r="BJ155" s="26"/>
      <c r="BK155" s="26"/>
      <c r="BL155" s="26"/>
      <c r="BM155" s="26"/>
      <c r="BN155" s="26"/>
      <c r="BO155" s="26"/>
      <c r="BP155" s="26"/>
      <c r="BQ155" s="26"/>
      <c r="BR155" s="26"/>
      <c r="BS155" s="26"/>
      <c r="BT155" s="26"/>
      <c r="BU155" s="26"/>
      <c r="BV155" s="26"/>
      <c r="BW155" s="26"/>
      <c r="BX155" s="26"/>
      <c r="BY155" s="26"/>
      <c r="BZ155" s="26"/>
      <c r="CA155" s="26"/>
      <c r="CB155" s="26"/>
      <c r="CC155" s="26"/>
      <c r="CD155" s="26"/>
      <c r="CE155" s="26"/>
      <c r="CF155" s="26"/>
      <c r="CG155" s="26"/>
      <c r="CH155" s="26"/>
      <c r="CI155" s="26"/>
      <c r="CJ155" s="26"/>
      <c r="CK155" s="26"/>
      <c r="CL155" s="26"/>
      <c r="CM155" s="26"/>
      <c r="CN155" s="26"/>
      <c r="CO155" s="26"/>
    </row>
    <row r="156" spans="1:93" s="29" customFormat="1" ht="15" customHeight="1" x14ac:dyDescent="0.25">
      <c r="A156" s="32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  <c r="BH156" s="26"/>
      <c r="BI156" s="26"/>
      <c r="BJ156" s="26"/>
      <c r="BK156" s="26"/>
      <c r="BL156" s="26"/>
      <c r="BM156" s="26"/>
      <c r="BN156" s="26"/>
      <c r="BO156" s="26"/>
      <c r="BP156" s="26"/>
      <c r="BQ156" s="26"/>
      <c r="BR156" s="26"/>
      <c r="BS156" s="26"/>
      <c r="BT156" s="26"/>
      <c r="BU156" s="26"/>
      <c r="BV156" s="26"/>
      <c r="BW156" s="26"/>
      <c r="BX156" s="26"/>
      <c r="BY156" s="26"/>
      <c r="BZ156" s="26"/>
      <c r="CA156" s="26"/>
      <c r="CB156" s="26"/>
      <c r="CC156" s="26"/>
      <c r="CD156" s="26"/>
      <c r="CE156" s="26"/>
      <c r="CF156" s="26"/>
      <c r="CG156" s="26"/>
      <c r="CH156" s="26"/>
      <c r="CI156" s="26"/>
      <c r="CJ156" s="26"/>
      <c r="CK156" s="26"/>
      <c r="CL156" s="26"/>
      <c r="CM156" s="26"/>
      <c r="CN156" s="26"/>
      <c r="CO156" s="26"/>
    </row>
  </sheetData>
  <mergeCells count="11">
    <mergeCell ref="G9:J9"/>
    <mergeCell ref="G17:J17"/>
    <mergeCell ref="B14:C14"/>
    <mergeCell ref="B15:C15"/>
    <mergeCell ref="B16:C16"/>
    <mergeCell ref="B18:C18"/>
    <mergeCell ref="A1:A2"/>
    <mergeCell ref="B1:P1"/>
    <mergeCell ref="B2:P2"/>
    <mergeCell ref="B10:C10"/>
    <mergeCell ref="B12:P1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287A5"/>
  </sheetPr>
  <dimension ref="A1:CQ559"/>
  <sheetViews>
    <sheetView showGridLines="0" zoomScaleNormal="100" workbookViewId="0">
      <selection activeCell="H22" sqref="H22"/>
    </sheetView>
  </sheetViews>
  <sheetFormatPr baseColWidth="10" defaultColWidth="9.140625" defaultRowHeight="15" x14ac:dyDescent="0.25"/>
  <cols>
    <col min="1" max="1" width="12.28515625" style="32" customWidth="1"/>
    <col min="2" max="2" width="24" style="3" customWidth="1"/>
    <col min="3" max="3" width="30" style="3" customWidth="1"/>
    <col min="4" max="16" width="12" style="3" customWidth="1"/>
    <col min="17" max="95" width="9.140625" style="29"/>
  </cols>
  <sheetData>
    <row r="1" spans="1:95" ht="32.25" customHeight="1" x14ac:dyDescent="0.25">
      <c r="A1" s="83"/>
      <c r="B1" s="73" t="s">
        <v>119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28"/>
      <c r="R1" s="28"/>
      <c r="S1" s="28"/>
      <c r="T1" s="28"/>
      <c r="U1" s="28"/>
      <c r="V1" s="28"/>
      <c r="W1" s="28"/>
      <c r="X1" s="28"/>
      <c r="Y1" s="28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</row>
    <row r="2" spans="1:95" ht="23.25" customHeight="1" x14ac:dyDescent="0.25">
      <c r="A2" s="83"/>
      <c r="B2" s="74" t="s">
        <v>120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28"/>
      <c r="R2" s="28"/>
      <c r="S2" s="28"/>
      <c r="T2" s="28"/>
      <c r="U2" s="28"/>
      <c r="V2" s="28"/>
      <c r="W2" s="28"/>
      <c r="X2" s="28"/>
      <c r="Y2" s="28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</row>
    <row r="3" spans="1:95" ht="19.5" customHeight="1" x14ac:dyDescent="0.25">
      <c r="B3" s="12" t="s">
        <v>73</v>
      </c>
      <c r="C3" s="12" t="s">
        <v>74</v>
      </c>
      <c r="D3" s="12" t="s">
        <v>31</v>
      </c>
      <c r="E3" s="12" t="s">
        <v>32</v>
      </c>
      <c r="F3" s="12" t="s">
        <v>33</v>
      </c>
      <c r="G3" s="12" t="s">
        <v>34</v>
      </c>
      <c r="H3" s="12" t="s">
        <v>35</v>
      </c>
      <c r="I3" s="12" t="s">
        <v>36</v>
      </c>
      <c r="J3" s="12" t="s">
        <v>37</v>
      </c>
      <c r="K3" s="12" t="s">
        <v>38</v>
      </c>
      <c r="L3" s="12" t="s">
        <v>39</v>
      </c>
      <c r="M3" s="12" t="s">
        <v>40</v>
      </c>
      <c r="N3" s="12" t="s">
        <v>41</v>
      </c>
      <c r="O3" s="12" t="s">
        <v>42</v>
      </c>
      <c r="P3" s="12" t="s">
        <v>75</v>
      </c>
      <c r="Q3" s="28"/>
      <c r="R3" s="28"/>
      <c r="S3" s="28"/>
      <c r="T3" s="28"/>
      <c r="U3" s="28"/>
      <c r="V3" s="28"/>
      <c r="W3" s="28"/>
      <c r="X3" s="28"/>
      <c r="Y3" s="28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</row>
    <row r="4" spans="1:95" ht="19.5" customHeight="1" x14ac:dyDescent="0.25">
      <c r="B4" s="46" t="s">
        <v>121</v>
      </c>
      <c r="C4" s="46" t="s">
        <v>122</v>
      </c>
      <c r="D4" s="39">
        <v>120000</v>
      </c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15">
        <f t="shared" ref="P4:P18" si="0">SUM(D4:O4)</f>
        <v>120000</v>
      </c>
      <c r="Q4" s="28"/>
      <c r="R4" s="28"/>
      <c r="S4" s="28"/>
      <c r="T4" s="28"/>
      <c r="U4" s="28"/>
      <c r="V4" s="28"/>
      <c r="W4" s="28"/>
      <c r="X4" s="28"/>
      <c r="Y4" s="28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</row>
    <row r="5" spans="1:95" ht="19.5" customHeight="1" x14ac:dyDescent="0.25">
      <c r="B5" s="46" t="s">
        <v>121</v>
      </c>
      <c r="C5" s="46" t="s">
        <v>123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15">
        <f t="shared" si="0"/>
        <v>0</v>
      </c>
      <c r="Q5" s="28"/>
      <c r="R5" s="28"/>
      <c r="S5" s="28"/>
      <c r="T5" s="28"/>
      <c r="U5" s="28"/>
      <c r="V5" s="28"/>
      <c r="W5" s="28"/>
      <c r="X5" s="28"/>
      <c r="Y5" s="28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</row>
    <row r="6" spans="1:95" ht="19.5" customHeight="1" x14ac:dyDescent="0.25">
      <c r="B6" s="46" t="s">
        <v>124</v>
      </c>
      <c r="C6" s="46" t="s">
        <v>125</v>
      </c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15">
        <f t="shared" si="0"/>
        <v>0</v>
      </c>
      <c r="Q6" s="28"/>
      <c r="R6" s="28"/>
      <c r="S6" s="28"/>
      <c r="T6" s="28"/>
      <c r="U6" s="28"/>
      <c r="V6" s="28"/>
      <c r="W6" s="28"/>
      <c r="X6" s="28"/>
      <c r="Y6" s="28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</row>
    <row r="7" spans="1:95" ht="19.5" customHeight="1" x14ac:dyDescent="0.25">
      <c r="B7" s="46" t="s">
        <v>124</v>
      </c>
      <c r="C7" s="46" t="s">
        <v>126</v>
      </c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15">
        <f t="shared" si="0"/>
        <v>0</v>
      </c>
      <c r="Q7" s="28"/>
      <c r="R7" s="28"/>
      <c r="S7" s="28"/>
      <c r="T7" s="28"/>
      <c r="U7" s="28"/>
      <c r="V7" s="28"/>
      <c r="W7" s="28"/>
      <c r="X7" s="28"/>
      <c r="Y7" s="28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</row>
    <row r="8" spans="1:95" ht="19.5" customHeight="1" x14ac:dyDescent="0.25">
      <c r="B8" s="46" t="s">
        <v>124</v>
      </c>
      <c r="C8" s="46" t="s">
        <v>127</v>
      </c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15">
        <f t="shared" si="0"/>
        <v>0</v>
      </c>
      <c r="Q8" s="28"/>
      <c r="R8" s="28"/>
      <c r="S8" s="28"/>
      <c r="T8" s="28"/>
      <c r="U8" s="28"/>
      <c r="V8" s="28"/>
      <c r="W8" s="28"/>
      <c r="X8" s="28"/>
      <c r="Y8" s="28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</row>
    <row r="9" spans="1:95" ht="19.5" customHeight="1" x14ac:dyDescent="0.25">
      <c r="B9" s="46" t="s">
        <v>124</v>
      </c>
      <c r="C9" s="46" t="s">
        <v>128</v>
      </c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15">
        <f t="shared" si="0"/>
        <v>0</v>
      </c>
      <c r="Q9" s="28"/>
      <c r="R9" s="28"/>
      <c r="S9" s="28"/>
      <c r="T9" s="28"/>
      <c r="U9" s="28"/>
      <c r="V9" s="28"/>
      <c r="W9" s="28"/>
      <c r="X9" s="28"/>
      <c r="Y9" s="28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</row>
    <row r="10" spans="1:95" ht="19.5" customHeight="1" x14ac:dyDescent="0.25">
      <c r="B10" s="46" t="s">
        <v>129</v>
      </c>
      <c r="C10" s="46" t="s">
        <v>130</v>
      </c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15">
        <f t="shared" si="0"/>
        <v>0</v>
      </c>
      <c r="Q10" s="28"/>
      <c r="R10" s="28"/>
      <c r="S10" s="28"/>
      <c r="T10" s="28"/>
      <c r="U10" s="28"/>
      <c r="V10" s="28"/>
      <c r="W10" s="28"/>
      <c r="X10" s="28"/>
      <c r="Y10" s="28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</row>
    <row r="11" spans="1:95" ht="19.5" customHeight="1" x14ac:dyDescent="0.25">
      <c r="B11" s="46" t="s">
        <v>129</v>
      </c>
      <c r="C11" s="46" t="s">
        <v>131</v>
      </c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15">
        <f t="shared" si="0"/>
        <v>0</v>
      </c>
      <c r="Q11" s="28"/>
      <c r="R11" s="28"/>
      <c r="S11" s="28"/>
      <c r="T11" s="28"/>
      <c r="U11" s="28"/>
      <c r="V11" s="28"/>
      <c r="W11" s="28"/>
      <c r="X11" s="28"/>
      <c r="Y11" s="28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</row>
    <row r="12" spans="1:95" ht="19.5" customHeight="1" x14ac:dyDescent="0.25">
      <c r="B12" s="46" t="s">
        <v>132</v>
      </c>
      <c r="C12" s="46" t="s">
        <v>133</v>
      </c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>
        <v>0</v>
      </c>
      <c r="P12" s="15">
        <f t="shared" si="0"/>
        <v>0</v>
      </c>
      <c r="Q12" s="28"/>
      <c r="R12" s="28"/>
      <c r="S12" s="28"/>
      <c r="T12" s="28"/>
      <c r="U12" s="28"/>
      <c r="V12" s="28"/>
      <c r="W12" s="28"/>
      <c r="X12" s="28"/>
      <c r="Y12" s="28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</row>
    <row r="13" spans="1:95" ht="19.5" customHeight="1" x14ac:dyDescent="0.25">
      <c r="B13" s="46" t="s">
        <v>132</v>
      </c>
      <c r="C13" s="46" t="s">
        <v>134</v>
      </c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15">
        <f t="shared" si="0"/>
        <v>0</v>
      </c>
      <c r="Q13" s="28"/>
      <c r="R13" s="28"/>
      <c r="S13" s="28"/>
      <c r="T13" s="28"/>
      <c r="U13" s="28"/>
      <c r="V13" s="28"/>
      <c r="W13" s="28"/>
      <c r="X13" s="28"/>
      <c r="Y13" s="28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</row>
    <row r="14" spans="1:95" ht="19.5" customHeight="1" x14ac:dyDescent="0.25">
      <c r="B14" s="46" t="s">
        <v>135</v>
      </c>
      <c r="C14" s="46" t="s">
        <v>136</v>
      </c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15">
        <f t="shared" si="0"/>
        <v>0</v>
      </c>
      <c r="Q14" s="28"/>
      <c r="R14" s="28"/>
      <c r="S14" s="28"/>
      <c r="T14" s="28"/>
      <c r="U14" s="28"/>
      <c r="V14" s="28"/>
      <c r="W14" s="28"/>
      <c r="X14" s="28"/>
      <c r="Y14" s="28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</row>
    <row r="15" spans="1:95" ht="19.5" customHeight="1" x14ac:dyDescent="0.25">
      <c r="B15" s="46" t="s">
        <v>137</v>
      </c>
      <c r="C15" s="46" t="s">
        <v>138</v>
      </c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15">
        <f t="shared" si="0"/>
        <v>0</v>
      </c>
      <c r="Q15" s="28"/>
      <c r="R15" s="28"/>
      <c r="S15" s="28"/>
      <c r="T15" s="28"/>
      <c r="U15" s="28"/>
      <c r="V15" s="28"/>
      <c r="W15" s="28"/>
      <c r="X15" s="28"/>
      <c r="Y15" s="28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</row>
    <row r="16" spans="1:95" ht="19.5" customHeight="1" x14ac:dyDescent="0.25">
      <c r="B16" s="46" t="s">
        <v>137</v>
      </c>
      <c r="C16" s="46" t="s">
        <v>139</v>
      </c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15">
        <f t="shared" si="0"/>
        <v>0</v>
      </c>
      <c r="Q16" s="28"/>
      <c r="R16" s="28"/>
      <c r="S16" s="28"/>
      <c r="T16" s="28"/>
      <c r="U16" s="28"/>
      <c r="V16" s="28"/>
      <c r="W16" s="28"/>
      <c r="X16" s="28"/>
      <c r="Y16" s="28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</row>
    <row r="17" spans="1:95" ht="19.5" customHeight="1" x14ac:dyDescent="0.25">
      <c r="B17" s="46" t="s">
        <v>140</v>
      </c>
      <c r="C17" s="46" t="s">
        <v>141</v>
      </c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15">
        <f t="shared" si="0"/>
        <v>0</v>
      </c>
      <c r="Q17" s="28"/>
      <c r="R17" s="28"/>
      <c r="S17" s="28"/>
      <c r="T17" s="28"/>
      <c r="U17" s="28"/>
      <c r="V17" s="28"/>
      <c r="W17" s="28"/>
      <c r="X17" s="28"/>
      <c r="Y17" s="28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</row>
    <row r="18" spans="1:95" ht="19.5" customHeight="1" x14ac:dyDescent="0.25">
      <c r="B18" s="46" t="s">
        <v>91</v>
      </c>
      <c r="C18" s="46" t="s">
        <v>142</v>
      </c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15">
        <f t="shared" si="0"/>
        <v>0</v>
      </c>
      <c r="Q18" s="28"/>
      <c r="R18" s="28"/>
      <c r="S18" s="28"/>
      <c r="T18" s="28"/>
      <c r="U18" s="28"/>
      <c r="V18" s="28"/>
      <c r="W18" s="28"/>
      <c r="X18" s="28"/>
      <c r="Y18" s="28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</row>
    <row r="19" spans="1:95" s="29" customFormat="1" ht="19.5" customHeight="1" x14ac:dyDescent="0.25">
      <c r="A19" s="32"/>
      <c r="B19" s="87" t="s">
        <v>222</v>
      </c>
      <c r="C19" s="87"/>
      <c r="D19" s="28"/>
      <c r="E19" s="28"/>
      <c r="F19" s="28"/>
      <c r="G19" s="28"/>
      <c r="H19" s="87" t="s">
        <v>231</v>
      </c>
      <c r="I19" s="87"/>
      <c r="J19" s="87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</row>
    <row r="20" spans="1:95" ht="19.5" customHeight="1" x14ac:dyDescent="0.25">
      <c r="B20" s="76" t="s">
        <v>143</v>
      </c>
      <c r="C20" s="76"/>
      <c r="D20" s="16">
        <f t="shared" ref="D20:P20" si="1">SUM(D4:D18)</f>
        <v>120000</v>
      </c>
      <c r="E20" s="16">
        <f t="shared" si="1"/>
        <v>0</v>
      </c>
      <c r="F20" s="16">
        <f t="shared" si="1"/>
        <v>0</v>
      </c>
      <c r="G20" s="16">
        <f t="shared" si="1"/>
        <v>0</v>
      </c>
      <c r="H20" s="16">
        <f t="shared" si="1"/>
        <v>0</v>
      </c>
      <c r="I20" s="16">
        <f t="shared" si="1"/>
        <v>0</v>
      </c>
      <c r="J20" s="16">
        <f t="shared" si="1"/>
        <v>0</v>
      </c>
      <c r="K20" s="16">
        <f t="shared" si="1"/>
        <v>0</v>
      </c>
      <c r="L20" s="16">
        <f t="shared" si="1"/>
        <v>0</v>
      </c>
      <c r="M20" s="16">
        <f t="shared" si="1"/>
        <v>0</v>
      </c>
      <c r="N20" s="16">
        <f t="shared" si="1"/>
        <v>0</v>
      </c>
      <c r="O20" s="16">
        <f t="shared" si="1"/>
        <v>0</v>
      </c>
      <c r="P20" s="16">
        <f t="shared" si="1"/>
        <v>120000</v>
      </c>
      <c r="Q20" s="28"/>
      <c r="R20" s="28"/>
      <c r="S20" s="28"/>
      <c r="T20" s="28"/>
      <c r="U20" s="28"/>
      <c r="V20" s="28"/>
      <c r="W20" s="28"/>
      <c r="X20" s="28"/>
      <c r="Y20" s="28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</row>
    <row r="21" spans="1:95" s="29" customFormat="1" ht="19.5" customHeight="1" x14ac:dyDescent="0.25">
      <c r="A21" s="32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</row>
    <row r="22" spans="1:95" s="29" customFormat="1" ht="19.5" customHeight="1" x14ac:dyDescent="0.25">
      <c r="A22" s="32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</row>
    <row r="23" spans="1:95" s="29" customFormat="1" ht="19.5" customHeight="1" x14ac:dyDescent="0.25">
      <c r="A23" s="32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</row>
    <row r="24" spans="1:95" s="29" customFormat="1" ht="19.5" customHeight="1" x14ac:dyDescent="0.25">
      <c r="A24" s="32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</row>
    <row r="25" spans="1:95" s="29" customFormat="1" ht="19.5" customHeight="1" x14ac:dyDescent="0.25">
      <c r="A25" s="32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</row>
    <row r="26" spans="1:95" s="29" customFormat="1" ht="19.5" customHeight="1" x14ac:dyDescent="0.25">
      <c r="A26" s="32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</row>
    <row r="27" spans="1:95" s="29" customFormat="1" ht="19.5" customHeight="1" x14ac:dyDescent="0.25">
      <c r="A27" s="32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</row>
    <row r="28" spans="1:95" s="29" customFormat="1" ht="19.5" customHeight="1" x14ac:dyDescent="0.25">
      <c r="A28" s="32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</row>
    <row r="29" spans="1:95" s="29" customFormat="1" ht="19.5" customHeight="1" x14ac:dyDescent="0.25">
      <c r="A29" s="32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</row>
    <row r="30" spans="1:95" s="29" customFormat="1" ht="19.5" customHeight="1" x14ac:dyDescent="0.25">
      <c r="A30" s="32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</row>
    <row r="31" spans="1:95" s="29" customFormat="1" ht="19.5" customHeight="1" x14ac:dyDescent="0.25">
      <c r="A31" s="32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  <c r="CO31" s="26"/>
      <c r="CP31" s="26"/>
      <c r="CQ31" s="26"/>
    </row>
    <row r="32" spans="1:95" s="29" customFormat="1" ht="19.5" customHeight="1" x14ac:dyDescent="0.25">
      <c r="A32" s="32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</row>
    <row r="33" spans="1:95" s="29" customFormat="1" ht="19.5" customHeight="1" x14ac:dyDescent="0.25">
      <c r="A33" s="32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</row>
    <row r="34" spans="1:95" s="29" customFormat="1" ht="19.5" customHeight="1" x14ac:dyDescent="0.25">
      <c r="A34" s="32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6"/>
    </row>
    <row r="35" spans="1:95" s="29" customFormat="1" ht="19.5" customHeight="1" x14ac:dyDescent="0.25">
      <c r="A35" s="32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</row>
    <row r="36" spans="1:95" s="29" customFormat="1" ht="19.5" customHeight="1" x14ac:dyDescent="0.25">
      <c r="A36" s="32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  <c r="CO36" s="26"/>
      <c r="CP36" s="26"/>
      <c r="CQ36" s="26"/>
    </row>
    <row r="37" spans="1:95" s="29" customFormat="1" ht="19.5" customHeight="1" x14ac:dyDescent="0.25">
      <c r="A37" s="32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  <c r="CO37" s="26"/>
      <c r="CP37" s="26"/>
      <c r="CQ37" s="26"/>
    </row>
    <row r="38" spans="1:95" s="29" customFormat="1" ht="19.5" customHeight="1" x14ac:dyDescent="0.25">
      <c r="A38" s="32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  <c r="CO38" s="26"/>
      <c r="CP38" s="26"/>
      <c r="CQ38" s="26"/>
    </row>
    <row r="39" spans="1:95" s="29" customFormat="1" ht="19.5" customHeight="1" x14ac:dyDescent="0.25">
      <c r="A39" s="32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</row>
    <row r="40" spans="1:95" s="29" customFormat="1" ht="19.5" customHeight="1" x14ac:dyDescent="0.25">
      <c r="A40" s="32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</row>
    <row r="41" spans="1:95" s="29" customFormat="1" ht="19.5" customHeight="1" x14ac:dyDescent="0.25">
      <c r="A41" s="32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</row>
    <row r="42" spans="1:95" s="29" customFormat="1" ht="19.5" customHeight="1" x14ac:dyDescent="0.25">
      <c r="A42" s="32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</row>
    <row r="43" spans="1:95" s="29" customFormat="1" ht="19.5" customHeight="1" x14ac:dyDescent="0.25">
      <c r="A43" s="32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</row>
    <row r="44" spans="1:95" s="29" customFormat="1" ht="19.5" customHeight="1" x14ac:dyDescent="0.25">
      <c r="A44" s="32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</row>
    <row r="45" spans="1:95" s="29" customFormat="1" ht="19.5" customHeight="1" x14ac:dyDescent="0.25">
      <c r="A45" s="32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</row>
    <row r="46" spans="1:95" s="29" customFormat="1" ht="19.5" customHeight="1" x14ac:dyDescent="0.25">
      <c r="A46" s="32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</row>
    <row r="47" spans="1:95" s="29" customFormat="1" ht="19.5" customHeight="1" x14ac:dyDescent="0.25">
      <c r="A47" s="32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</row>
    <row r="48" spans="1:95" s="29" customFormat="1" ht="19.5" customHeight="1" x14ac:dyDescent="0.25">
      <c r="A48" s="32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</row>
    <row r="49" spans="1:95" s="29" customFormat="1" ht="19.5" customHeight="1" x14ac:dyDescent="0.25">
      <c r="A49" s="32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  <c r="CO49" s="26"/>
      <c r="CP49" s="26"/>
      <c r="CQ49" s="26"/>
    </row>
    <row r="50" spans="1:95" s="29" customFormat="1" ht="19.5" customHeight="1" x14ac:dyDescent="0.25">
      <c r="A50" s="32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</row>
    <row r="51" spans="1:95" s="29" customFormat="1" ht="19.5" customHeight="1" x14ac:dyDescent="0.25">
      <c r="A51" s="32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</row>
    <row r="52" spans="1:95" s="29" customFormat="1" ht="19.5" customHeight="1" x14ac:dyDescent="0.25">
      <c r="A52" s="32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</row>
    <row r="53" spans="1:95" s="29" customFormat="1" ht="19.5" customHeight="1" x14ac:dyDescent="0.25">
      <c r="A53" s="32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</row>
    <row r="54" spans="1:95" s="29" customFormat="1" ht="19.5" customHeight="1" x14ac:dyDescent="0.25">
      <c r="A54" s="32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</row>
    <row r="55" spans="1:95" s="29" customFormat="1" ht="19.5" customHeight="1" x14ac:dyDescent="0.25">
      <c r="A55" s="32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</row>
    <row r="56" spans="1:95" s="29" customFormat="1" ht="19.5" customHeight="1" x14ac:dyDescent="0.25">
      <c r="A56" s="32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</row>
    <row r="57" spans="1:95" s="29" customFormat="1" ht="19.5" customHeight="1" x14ac:dyDescent="0.25">
      <c r="A57" s="32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  <c r="CO57" s="26"/>
      <c r="CP57" s="26"/>
      <c r="CQ57" s="26"/>
    </row>
    <row r="58" spans="1:95" s="29" customFormat="1" ht="19.5" customHeight="1" x14ac:dyDescent="0.25">
      <c r="A58" s="32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</row>
    <row r="59" spans="1:95" s="29" customFormat="1" ht="19.5" customHeight="1" x14ac:dyDescent="0.25">
      <c r="A59" s="32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</row>
    <row r="60" spans="1:95" s="29" customFormat="1" ht="19.5" customHeight="1" x14ac:dyDescent="0.25">
      <c r="A60" s="32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</row>
    <row r="61" spans="1:95" s="29" customFormat="1" ht="19.5" customHeight="1" x14ac:dyDescent="0.25">
      <c r="A61" s="32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</row>
    <row r="62" spans="1:95" s="29" customFormat="1" ht="19.5" customHeight="1" x14ac:dyDescent="0.25">
      <c r="A62" s="32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</row>
    <row r="63" spans="1:95" s="29" customFormat="1" ht="19.5" customHeight="1" x14ac:dyDescent="0.25">
      <c r="A63" s="32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</row>
    <row r="64" spans="1:95" s="29" customFormat="1" ht="19.5" customHeight="1" x14ac:dyDescent="0.25">
      <c r="A64" s="32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/>
      <c r="BO64" s="26"/>
      <c r="BP64" s="26"/>
      <c r="BQ64" s="26"/>
      <c r="BR64" s="26"/>
      <c r="BS64" s="26"/>
      <c r="BT64" s="26"/>
      <c r="BU64" s="26"/>
      <c r="BV64" s="26"/>
      <c r="BW64" s="26"/>
      <c r="BX64" s="26"/>
      <c r="BY64" s="26"/>
      <c r="BZ64" s="26"/>
      <c r="CA64" s="26"/>
      <c r="CB64" s="26"/>
      <c r="CC64" s="26"/>
      <c r="CD64" s="26"/>
      <c r="CE64" s="26"/>
      <c r="CF64" s="26"/>
      <c r="CG64" s="26"/>
      <c r="CH64" s="26"/>
      <c r="CI64" s="26"/>
      <c r="CJ64" s="26"/>
      <c r="CK64" s="26"/>
      <c r="CL64" s="26"/>
      <c r="CM64" s="26"/>
      <c r="CN64" s="26"/>
      <c r="CO64" s="26"/>
      <c r="CP64" s="26"/>
      <c r="CQ64" s="26"/>
    </row>
    <row r="65" spans="1:95" s="29" customFormat="1" ht="19.5" customHeight="1" x14ac:dyDescent="0.25">
      <c r="A65" s="32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</row>
    <row r="66" spans="1:95" s="29" customFormat="1" ht="19.5" customHeight="1" x14ac:dyDescent="0.25">
      <c r="A66" s="32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</row>
    <row r="67" spans="1:95" s="29" customFormat="1" ht="19.5" customHeight="1" x14ac:dyDescent="0.25">
      <c r="A67" s="32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</row>
    <row r="68" spans="1:95" s="29" customFormat="1" ht="19.5" customHeight="1" x14ac:dyDescent="0.25">
      <c r="A68" s="32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</row>
    <row r="69" spans="1:95" s="29" customFormat="1" ht="19.5" customHeight="1" x14ac:dyDescent="0.25">
      <c r="A69" s="32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</row>
    <row r="70" spans="1:95" s="29" customFormat="1" ht="19.5" customHeight="1" x14ac:dyDescent="0.25">
      <c r="A70" s="32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  <c r="BL70" s="26"/>
      <c r="BM70" s="26"/>
      <c r="BN70" s="26"/>
      <c r="BO70" s="26"/>
      <c r="BP70" s="26"/>
      <c r="BQ70" s="26"/>
      <c r="BR70" s="26"/>
      <c r="BS70" s="26"/>
      <c r="BT70" s="26"/>
      <c r="BU70" s="26"/>
      <c r="BV70" s="26"/>
      <c r="BW70" s="26"/>
      <c r="BX70" s="26"/>
      <c r="BY70" s="26"/>
      <c r="BZ70" s="26"/>
      <c r="CA70" s="26"/>
      <c r="CB70" s="26"/>
      <c r="CC70" s="26"/>
      <c r="CD70" s="26"/>
      <c r="CE70" s="26"/>
      <c r="CF70" s="26"/>
      <c r="CG70" s="26"/>
      <c r="CH70" s="26"/>
      <c r="CI70" s="26"/>
      <c r="CJ70" s="26"/>
      <c r="CK70" s="26"/>
      <c r="CL70" s="26"/>
      <c r="CM70" s="26"/>
      <c r="CN70" s="26"/>
      <c r="CO70" s="26"/>
      <c r="CP70" s="26"/>
      <c r="CQ70" s="26"/>
    </row>
    <row r="71" spans="1:95" s="29" customFormat="1" ht="19.5" customHeight="1" x14ac:dyDescent="0.25">
      <c r="A71" s="32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  <c r="CO71" s="26"/>
      <c r="CP71" s="26"/>
      <c r="CQ71" s="26"/>
    </row>
    <row r="72" spans="1:95" s="29" customFormat="1" ht="19.5" customHeight="1" x14ac:dyDescent="0.25">
      <c r="A72" s="32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</row>
    <row r="73" spans="1:95" s="29" customFormat="1" ht="19.5" customHeight="1" x14ac:dyDescent="0.25">
      <c r="A73" s="32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</row>
    <row r="74" spans="1:95" s="29" customFormat="1" ht="19.5" customHeight="1" x14ac:dyDescent="0.25">
      <c r="A74" s="32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</row>
    <row r="75" spans="1:95" s="29" customFormat="1" ht="19.5" customHeight="1" x14ac:dyDescent="0.25">
      <c r="A75" s="32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</row>
    <row r="76" spans="1:95" s="29" customFormat="1" ht="19.5" customHeight="1" x14ac:dyDescent="0.25">
      <c r="A76" s="32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</row>
    <row r="77" spans="1:95" s="29" customFormat="1" ht="19.5" customHeight="1" x14ac:dyDescent="0.25">
      <c r="A77" s="32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26"/>
      <c r="BM77" s="26"/>
      <c r="BN77" s="26"/>
      <c r="BO77" s="26"/>
      <c r="BP77" s="26"/>
      <c r="BQ77" s="26"/>
      <c r="BR77" s="26"/>
      <c r="BS77" s="26"/>
      <c r="BT77" s="26"/>
      <c r="BU77" s="26"/>
      <c r="BV77" s="26"/>
      <c r="BW77" s="26"/>
      <c r="BX77" s="26"/>
      <c r="BY77" s="26"/>
      <c r="BZ77" s="26"/>
      <c r="CA77" s="26"/>
      <c r="CB77" s="26"/>
      <c r="CC77" s="26"/>
      <c r="CD77" s="26"/>
      <c r="CE77" s="26"/>
      <c r="CF77" s="26"/>
      <c r="CG77" s="26"/>
      <c r="CH77" s="26"/>
      <c r="CI77" s="26"/>
      <c r="CJ77" s="26"/>
      <c r="CK77" s="26"/>
      <c r="CL77" s="26"/>
      <c r="CM77" s="26"/>
      <c r="CN77" s="26"/>
      <c r="CO77" s="26"/>
      <c r="CP77" s="26"/>
      <c r="CQ77" s="26"/>
    </row>
    <row r="78" spans="1:95" s="29" customFormat="1" ht="19.5" customHeight="1" x14ac:dyDescent="0.25">
      <c r="A78" s="32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  <c r="BL78" s="26"/>
      <c r="BM78" s="26"/>
      <c r="BN78" s="26"/>
      <c r="BO78" s="26"/>
      <c r="BP78" s="26"/>
      <c r="BQ78" s="26"/>
      <c r="BR78" s="26"/>
      <c r="BS78" s="26"/>
      <c r="BT78" s="26"/>
      <c r="BU78" s="26"/>
      <c r="BV78" s="26"/>
      <c r="BW78" s="26"/>
      <c r="BX78" s="26"/>
      <c r="BY78" s="26"/>
      <c r="BZ78" s="26"/>
      <c r="CA78" s="26"/>
      <c r="CB78" s="26"/>
      <c r="CC78" s="26"/>
      <c r="CD78" s="26"/>
      <c r="CE78" s="26"/>
      <c r="CF78" s="26"/>
      <c r="CG78" s="26"/>
      <c r="CH78" s="26"/>
      <c r="CI78" s="26"/>
      <c r="CJ78" s="26"/>
      <c r="CK78" s="26"/>
      <c r="CL78" s="26"/>
      <c r="CM78" s="26"/>
      <c r="CN78" s="26"/>
      <c r="CO78" s="26"/>
      <c r="CP78" s="26"/>
      <c r="CQ78" s="26"/>
    </row>
    <row r="79" spans="1:95" s="29" customFormat="1" ht="19.5" customHeight="1" x14ac:dyDescent="0.25">
      <c r="A79" s="32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  <c r="CO79" s="26"/>
      <c r="CP79" s="26"/>
      <c r="CQ79" s="26"/>
    </row>
    <row r="80" spans="1:95" s="29" customFormat="1" ht="19.5" customHeight="1" x14ac:dyDescent="0.25">
      <c r="A80" s="32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</row>
    <row r="81" spans="1:95" s="29" customFormat="1" ht="19.5" customHeight="1" x14ac:dyDescent="0.25">
      <c r="A81" s="32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</row>
    <row r="82" spans="1:95" s="29" customFormat="1" ht="19.5" customHeight="1" x14ac:dyDescent="0.25">
      <c r="A82" s="32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</row>
    <row r="83" spans="1:95" s="29" customFormat="1" ht="19.5" customHeight="1" x14ac:dyDescent="0.25">
      <c r="A83" s="32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  <c r="CO83" s="26"/>
      <c r="CP83" s="26"/>
      <c r="CQ83" s="26"/>
    </row>
    <row r="84" spans="1:95" s="29" customFormat="1" ht="19.5" customHeight="1" x14ac:dyDescent="0.25">
      <c r="A84" s="32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26"/>
      <c r="BK84" s="26"/>
      <c r="BL84" s="26"/>
      <c r="BM84" s="26"/>
      <c r="BN84" s="26"/>
      <c r="BO84" s="26"/>
      <c r="BP84" s="26"/>
      <c r="BQ84" s="26"/>
      <c r="BR84" s="26"/>
      <c r="BS84" s="26"/>
      <c r="BT84" s="26"/>
      <c r="BU84" s="26"/>
      <c r="BV84" s="26"/>
      <c r="BW84" s="26"/>
      <c r="BX84" s="26"/>
      <c r="BY84" s="26"/>
      <c r="BZ84" s="26"/>
      <c r="CA84" s="26"/>
      <c r="CB84" s="26"/>
      <c r="CC84" s="26"/>
      <c r="CD84" s="26"/>
      <c r="CE84" s="26"/>
      <c r="CF84" s="26"/>
      <c r="CG84" s="26"/>
      <c r="CH84" s="26"/>
      <c r="CI84" s="26"/>
      <c r="CJ84" s="26"/>
      <c r="CK84" s="26"/>
      <c r="CL84" s="26"/>
      <c r="CM84" s="26"/>
      <c r="CN84" s="26"/>
      <c r="CO84" s="26"/>
      <c r="CP84" s="26"/>
      <c r="CQ84" s="26"/>
    </row>
    <row r="85" spans="1:95" s="29" customFormat="1" ht="19.5" customHeight="1" x14ac:dyDescent="0.25">
      <c r="A85" s="32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  <c r="CO85" s="26"/>
      <c r="CP85" s="26"/>
      <c r="CQ85" s="26"/>
    </row>
    <row r="86" spans="1:95" s="29" customFormat="1" ht="19.5" customHeight="1" x14ac:dyDescent="0.25">
      <c r="A86" s="32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  <c r="CO86" s="26"/>
      <c r="CP86" s="26"/>
      <c r="CQ86" s="26"/>
    </row>
    <row r="87" spans="1:95" s="29" customFormat="1" ht="19.5" customHeight="1" x14ac:dyDescent="0.25">
      <c r="A87" s="32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</row>
    <row r="88" spans="1:95" s="29" customFormat="1" ht="19.5" customHeight="1" x14ac:dyDescent="0.25">
      <c r="A88" s="32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  <c r="BL88" s="26"/>
      <c r="BM88" s="26"/>
      <c r="BN88" s="26"/>
      <c r="BO88" s="26"/>
      <c r="BP88" s="26"/>
      <c r="BQ88" s="26"/>
      <c r="BR88" s="26"/>
      <c r="BS88" s="26"/>
      <c r="BT88" s="26"/>
      <c r="BU88" s="26"/>
      <c r="BV88" s="26"/>
      <c r="BW88" s="26"/>
      <c r="BX88" s="26"/>
      <c r="BY88" s="26"/>
      <c r="BZ88" s="26"/>
      <c r="CA88" s="26"/>
      <c r="CB88" s="26"/>
      <c r="CC88" s="26"/>
      <c r="CD88" s="26"/>
      <c r="CE88" s="26"/>
      <c r="CF88" s="26"/>
      <c r="CG88" s="26"/>
      <c r="CH88" s="26"/>
      <c r="CI88" s="26"/>
      <c r="CJ88" s="26"/>
      <c r="CK88" s="26"/>
      <c r="CL88" s="26"/>
      <c r="CM88" s="26"/>
      <c r="CN88" s="26"/>
      <c r="CO88" s="26"/>
      <c r="CP88" s="26"/>
      <c r="CQ88" s="26"/>
    </row>
    <row r="89" spans="1:95" s="29" customFormat="1" ht="15" customHeight="1" x14ac:dyDescent="0.25">
      <c r="A89" s="32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</row>
    <row r="90" spans="1:95" s="29" customFormat="1" ht="15" customHeight="1" x14ac:dyDescent="0.25">
      <c r="A90" s="32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</row>
    <row r="91" spans="1:95" s="29" customFormat="1" ht="15" customHeight="1" x14ac:dyDescent="0.25">
      <c r="A91" s="32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  <c r="CO91" s="26"/>
      <c r="CP91" s="26"/>
      <c r="CQ91" s="26"/>
    </row>
    <row r="92" spans="1:95" s="29" customFormat="1" ht="15" customHeight="1" x14ac:dyDescent="0.25">
      <c r="A92" s="32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</row>
    <row r="93" spans="1:95" s="29" customFormat="1" ht="15" customHeight="1" x14ac:dyDescent="0.25">
      <c r="A93" s="32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  <c r="CP93" s="26"/>
      <c r="CQ93" s="26"/>
    </row>
    <row r="94" spans="1:95" s="29" customFormat="1" ht="15" customHeight="1" x14ac:dyDescent="0.25">
      <c r="A94" s="32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  <c r="CO94" s="26"/>
      <c r="CP94" s="26"/>
      <c r="CQ94" s="26"/>
    </row>
    <row r="95" spans="1:95" s="29" customFormat="1" ht="15" customHeight="1" x14ac:dyDescent="0.25">
      <c r="A95" s="32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</row>
    <row r="96" spans="1:95" s="29" customFormat="1" ht="15" customHeight="1" x14ac:dyDescent="0.25">
      <c r="A96" s="32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26"/>
      <c r="BK96" s="26"/>
      <c r="BL96" s="26"/>
      <c r="BM96" s="26"/>
      <c r="BN96" s="26"/>
      <c r="BO96" s="26"/>
      <c r="BP96" s="26"/>
      <c r="BQ96" s="26"/>
      <c r="BR96" s="26"/>
      <c r="BS96" s="26"/>
      <c r="BT96" s="26"/>
      <c r="BU96" s="26"/>
      <c r="BV96" s="26"/>
      <c r="BW96" s="26"/>
      <c r="BX96" s="26"/>
      <c r="BY96" s="26"/>
      <c r="BZ96" s="26"/>
      <c r="CA96" s="26"/>
      <c r="CB96" s="26"/>
      <c r="CC96" s="26"/>
      <c r="CD96" s="26"/>
      <c r="CE96" s="26"/>
      <c r="CF96" s="26"/>
      <c r="CG96" s="26"/>
      <c r="CH96" s="26"/>
      <c r="CI96" s="26"/>
      <c r="CJ96" s="26"/>
      <c r="CK96" s="26"/>
      <c r="CL96" s="26"/>
      <c r="CM96" s="26"/>
      <c r="CN96" s="26"/>
      <c r="CO96" s="26"/>
      <c r="CP96" s="26"/>
      <c r="CQ96" s="26"/>
    </row>
    <row r="97" spans="1:95" s="29" customFormat="1" ht="15" customHeight="1" x14ac:dyDescent="0.25">
      <c r="A97" s="32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</row>
    <row r="98" spans="1:95" s="29" customFormat="1" ht="15" customHeight="1" x14ac:dyDescent="0.25">
      <c r="A98" s="32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</row>
    <row r="99" spans="1:95" s="29" customFormat="1" ht="15" customHeight="1" x14ac:dyDescent="0.25">
      <c r="A99" s="32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</row>
    <row r="100" spans="1:95" s="29" customFormat="1" ht="15" customHeight="1" x14ac:dyDescent="0.25">
      <c r="A100" s="32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</row>
    <row r="101" spans="1:95" s="29" customFormat="1" ht="15" customHeight="1" x14ac:dyDescent="0.25">
      <c r="A101" s="32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</row>
    <row r="102" spans="1:95" s="29" customFormat="1" ht="15" customHeight="1" x14ac:dyDescent="0.25">
      <c r="A102" s="32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</row>
    <row r="103" spans="1:95" s="29" customFormat="1" ht="15" customHeight="1" x14ac:dyDescent="0.25">
      <c r="A103" s="32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</row>
    <row r="104" spans="1:95" s="29" customFormat="1" ht="15" customHeight="1" x14ac:dyDescent="0.25">
      <c r="A104" s="32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</row>
    <row r="105" spans="1:95" s="29" customFormat="1" ht="15" customHeight="1" x14ac:dyDescent="0.25">
      <c r="A105" s="32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</row>
    <row r="106" spans="1:95" s="29" customFormat="1" ht="15" customHeight="1" x14ac:dyDescent="0.25">
      <c r="A106" s="32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</row>
    <row r="107" spans="1:95" s="29" customFormat="1" ht="15" customHeight="1" x14ac:dyDescent="0.25">
      <c r="A107" s="32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</row>
    <row r="108" spans="1:95" s="29" customFormat="1" ht="15" customHeight="1" x14ac:dyDescent="0.25">
      <c r="A108" s="32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  <c r="BS108" s="26"/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  <c r="CO108" s="26"/>
      <c r="CP108" s="26"/>
      <c r="CQ108" s="26"/>
    </row>
    <row r="109" spans="1:95" s="29" customFormat="1" ht="15" customHeight="1" x14ac:dyDescent="0.25">
      <c r="A109" s="32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26"/>
      <c r="BO109" s="26"/>
      <c r="BP109" s="26"/>
      <c r="BQ109" s="26"/>
      <c r="BR109" s="26"/>
      <c r="BS109" s="26"/>
      <c r="BT109" s="26"/>
      <c r="BU109" s="26"/>
      <c r="BV109" s="26"/>
      <c r="BW109" s="26"/>
      <c r="BX109" s="26"/>
      <c r="BY109" s="26"/>
      <c r="BZ109" s="26"/>
      <c r="CA109" s="26"/>
      <c r="CB109" s="26"/>
      <c r="CC109" s="26"/>
      <c r="CD109" s="26"/>
      <c r="CE109" s="26"/>
      <c r="CF109" s="26"/>
      <c r="CG109" s="26"/>
      <c r="CH109" s="26"/>
      <c r="CI109" s="26"/>
      <c r="CJ109" s="26"/>
      <c r="CK109" s="26"/>
      <c r="CL109" s="26"/>
      <c r="CM109" s="26"/>
      <c r="CN109" s="26"/>
      <c r="CO109" s="26"/>
      <c r="CP109" s="26"/>
      <c r="CQ109" s="26"/>
    </row>
    <row r="110" spans="1:95" s="29" customFormat="1" ht="15" customHeight="1" x14ac:dyDescent="0.25">
      <c r="A110" s="32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</row>
    <row r="111" spans="1:95" s="29" customFormat="1" ht="15" customHeight="1" x14ac:dyDescent="0.25">
      <c r="A111" s="32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</row>
    <row r="112" spans="1:95" s="29" customFormat="1" ht="15" customHeight="1" x14ac:dyDescent="0.25">
      <c r="A112" s="32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</row>
    <row r="113" spans="1:95" s="29" customFormat="1" ht="15" customHeight="1" x14ac:dyDescent="0.25">
      <c r="A113" s="32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</row>
    <row r="114" spans="1:95" s="29" customFormat="1" ht="15" customHeight="1" x14ac:dyDescent="0.25">
      <c r="A114" s="32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  <c r="CO114" s="26"/>
      <c r="CP114" s="26"/>
      <c r="CQ114" s="26"/>
    </row>
    <row r="115" spans="1:95" s="29" customFormat="1" ht="15" customHeight="1" x14ac:dyDescent="0.25">
      <c r="A115" s="32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  <c r="BK115" s="26"/>
      <c r="BL115" s="26"/>
      <c r="BM115" s="26"/>
      <c r="BN115" s="26"/>
      <c r="BO115" s="26"/>
      <c r="BP115" s="26"/>
      <c r="BQ115" s="26"/>
      <c r="BR115" s="26"/>
      <c r="BS115" s="26"/>
      <c r="BT115" s="26"/>
      <c r="BU115" s="26"/>
      <c r="BV115" s="26"/>
      <c r="BW115" s="26"/>
      <c r="BX115" s="26"/>
      <c r="BY115" s="26"/>
      <c r="BZ115" s="26"/>
      <c r="CA115" s="26"/>
      <c r="CB115" s="26"/>
      <c r="CC115" s="26"/>
      <c r="CD115" s="26"/>
      <c r="CE115" s="26"/>
      <c r="CF115" s="26"/>
      <c r="CG115" s="26"/>
      <c r="CH115" s="26"/>
      <c r="CI115" s="26"/>
      <c r="CJ115" s="26"/>
      <c r="CK115" s="26"/>
      <c r="CL115" s="26"/>
      <c r="CM115" s="26"/>
      <c r="CN115" s="26"/>
      <c r="CO115" s="26"/>
      <c r="CP115" s="26"/>
      <c r="CQ115" s="26"/>
    </row>
    <row r="116" spans="1:95" s="29" customFormat="1" ht="15" customHeight="1" x14ac:dyDescent="0.25">
      <c r="A116" s="32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26"/>
      <c r="BO116" s="26"/>
      <c r="BP116" s="26"/>
      <c r="BQ116" s="26"/>
      <c r="BR116" s="26"/>
      <c r="BS116" s="26"/>
      <c r="BT116" s="26"/>
      <c r="BU116" s="26"/>
      <c r="BV116" s="26"/>
      <c r="BW116" s="26"/>
      <c r="BX116" s="26"/>
      <c r="BY116" s="26"/>
      <c r="BZ116" s="26"/>
      <c r="CA116" s="26"/>
      <c r="CB116" s="26"/>
      <c r="CC116" s="26"/>
      <c r="CD116" s="26"/>
      <c r="CE116" s="26"/>
      <c r="CF116" s="26"/>
      <c r="CG116" s="26"/>
      <c r="CH116" s="26"/>
      <c r="CI116" s="26"/>
      <c r="CJ116" s="26"/>
      <c r="CK116" s="26"/>
      <c r="CL116" s="26"/>
      <c r="CM116" s="26"/>
      <c r="CN116" s="26"/>
      <c r="CO116" s="26"/>
      <c r="CP116" s="26"/>
      <c r="CQ116" s="26"/>
    </row>
    <row r="117" spans="1:95" s="29" customFormat="1" ht="15" customHeight="1" x14ac:dyDescent="0.25">
      <c r="A117" s="32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26"/>
      <c r="BK117" s="26"/>
      <c r="BL117" s="26"/>
      <c r="BM117" s="26"/>
      <c r="BN117" s="26"/>
      <c r="BO117" s="26"/>
      <c r="BP117" s="26"/>
      <c r="BQ117" s="26"/>
      <c r="BR117" s="26"/>
      <c r="BS117" s="26"/>
      <c r="BT117" s="26"/>
      <c r="BU117" s="26"/>
      <c r="BV117" s="26"/>
      <c r="BW117" s="26"/>
      <c r="BX117" s="26"/>
      <c r="BY117" s="26"/>
      <c r="BZ117" s="26"/>
      <c r="CA117" s="26"/>
      <c r="CB117" s="26"/>
      <c r="CC117" s="26"/>
      <c r="CD117" s="26"/>
      <c r="CE117" s="26"/>
      <c r="CF117" s="26"/>
      <c r="CG117" s="26"/>
      <c r="CH117" s="26"/>
      <c r="CI117" s="26"/>
      <c r="CJ117" s="26"/>
      <c r="CK117" s="26"/>
      <c r="CL117" s="26"/>
      <c r="CM117" s="26"/>
      <c r="CN117" s="26"/>
      <c r="CO117" s="26"/>
      <c r="CP117" s="26"/>
      <c r="CQ117" s="26"/>
    </row>
    <row r="118" spans="1:95" s="29" customFormat="1" ht="15" customHeight="1" x14ac:dyDescent="0.25">
      <c r="A118" s="32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  <c r="BL118" s="26"/>
      <c r="BM118" s="26"/>
      <c r="BN118" s="26"/>
      <c r="BO118" s="26"/>
      <c r="BP118" s="26"/>
      <c r="BQ118" s="26"/>
      <c r="BR118" s="26"/>
      <c r="BS118" s="26"/>
      <c r="BT118" s="26"/>
      <c r="BU118" s="26"/>
      <c r="BV118" s="26"/>
      <c r="BW118" s="26"/>
      <c r="BX118" s="26"/>
      <c r="BY118" s="26"/>
      <c r="BZ118" s="26"/>
      <c r="CA118" s="26"/>
      <c r="CB118" s="26"/>
      <c r="CC118" s="26"/>
      <c r="CD118" s="26"/>
      <c r="CE118" s="26"/>
      <c r="CF118" s="26"/>
      <c r="CG118" s="26"/>
      <c r="CH118" s="26"/>
      <c r="CI118" s="26"/>
      <c r="CJ118" s="26"/>
      <c r="CK118" s="26"/>
      <c r="CL118" s="26"/>
      <c r="CM118" s="26"/>
      <c r="CN118" s="26"/>
      <c r="CO118" s="26"/>
      <c r="CP118" s="26"/>
      <c r="CQ118" s="26"/>
    </row>
    <row r="119" spans="1:95" s="29" customFormat="1" ht="15" customHeight="1" x14ac:dyDescent="0.25">
      <c r="A119" s="32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26"/>
      <c r="BK119" s="26"/>
      <c r="BL119" s="26"/>
      <c r="BM119" s="26"/>
      <c r="BN119" s="26"/>
      <c r="BO119" s="26"/>
      <c r="BP119" s="26"/>
      <c r="BQ119" s="26"/>
      <c r="BR119" s="26"/>
      <c r="BS119" s="26"/>
      <c r="BT119" s="26"/>
      <c r="BU119" s="26"/>
      <c r="BV119" s="26"/>
      <c r="BW119" s="26"/>
      <c r="BX119" s="26"/>
      <c r="BY119" s="26"/>
      <c r="BZ119" s="26"/>
      <c r="CA119" s="26"/>
      <c r="CB119" s="26"/>
      <c r="CC119" s="26"/>
      <c r="CD119" s="26"/>
      <c r="CE119" s="26"/>
      <c r="CF119" s="26"/>
      <c r="CG119" s="26"/>
      <c r="CH119" s="26"/>
      <c r="CI119" s="26"/>
      <c r="CJ119" s="26"/>
      <c r="CK119" s="26"/>
      <c r="CL119" s="26"/>
      <c r="CM119" s="26"/>
      <c r="CN119" s="26"/>
      <c r="CO119" s="26"/>
      <c r="CP119" s="26"/>
      <c r="CQ119" s="26"/>
    </row>
    <row r="120" spans="1:95" s="29" customFormat="1" ht="15" customHeight="1" x14ac:dyDescent="0.25">
      <c r="A120" s="32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  <c r="BL120" s="26"/>
      <c r="BM120" s="26"/>
      <c r="BN120" s="26"/>
      <c r="BO120" s="26"/>
      <c r="BP120" s="26"/>
      <c r="BQ120" s="26"/>
      <c r="BR120" s="26"/>
      <c r="BS120" s="26"/>
      <c r="BT120" s="26"/>
      <c r="BU120" s="26"/>
      <c r="BV120" s="26"/>
      <c r="BW120" s="26"/>
      <c r="BX120" s="26"/>
      <c r="BY120" s="26"/>
      <c r="BZ120" s="26"/>
      <c r="CA120" s="26"/>
      <c r="CB120" s="26"/>
      <c r="CC120" s="26"/>
      <c r="CD120" s="26"/>
      <c r="CE120" s="26"/>
      <c r="CF120" s="26"/>
      <c r="CG120" s="26"/>
      <c r="CH120" s="26"/>
      <c r="CI120" s="26"/>
      <c r="CJ120" s="26"/>
      <c r="CK120" s="26"/>
      <c r="CL120" s="26"/>
      <c r="CM120" s="26"/>
      <c r="CN120" s="26"/>
      <c r="CO120" s="26"/>
      <c r="CP120" s="26"/>
      <c r="CQ120" s="26"/>
    </row>
    <row r="121" spans="1:95" s="29" customFormat="1" ht="15" customHeight="1" x14ac:dyDescent="0.25">
      <c r="A121" s="32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  <c r="BK121" s="26"/>
      <c r="BL121" s="26"/>
      <c r="BM121" s="26"/>
      <c r="BN121" s="26"/>
      <c r="BO121" s="26"/>
      <c r="BP121" s="26"/>
      <c r="BQ121" s="26"/>
      <c r="BR121" s="26"/>
      <c r="BS121" s="26"/>
      <c r="BT121" s="26"/>
      <c r="BU121" s="26"/>
      <c r="BV121" s="26"/>
      <c r="BW121" s="26"/>
      <c r="BX121" s="26"/>
      <c r="BY121" s="26"/>
      <c r="BZ121" s="26"/>
      <c r="CA121" s="26"/>
      <c r="CB121" s="26"/>
      <c r="CC121" s="26"/>
      <c r="CD121" s="26"/>
      <c r="CE121" s="26"/>
      <c r="CF121" s="26"/>
      <c r="CG121" s="26"/>
      <c r="CH121" s="26"/>
      <c r="CI121" s="26"/>
      <c r="CJ121" s="26"/>
      <c r="CK121" s="26"/>
      <c r="CL121" s="26"/>
      <c r="CM121" s="26"/>
      <c r="CN121" s="26"/>
      <c r="CO121" s="26"/>
      <c r="CP121" s="26"/>
      <c r="CQ121" s="26"/>
    </row>
    <row r="122" spans="1:95" s="29" customFormat="1" ht="15" customHeight="1" x14ac:dyDescent="0.25">
      <c r="A122" s="32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  <c r="BL122" s="26"/>
      <c r="BM122" s="26"/>
      <c r="BN122" s="26"/>
      <c r="BO122" s="26"/>
      <c r="BP122" s="26"/>
      <c r="BQ122" s="26"/>
      <c r="BR122" s="26"/>
      <c r="BS122" s="26"/>
      <c r="BT122" s="26"/>
      <c r="BU122" s="26"/>
      <c r="BV122" s="26"/>
      <c r="BW122" s="26"/>
      <c r="BX122" s="26"/>
      <c r="BY122" s="26"/>
      <c r="BZ122" s="26"/>
      <c r="CA122" s="26"/>
      <c r="CB122" s="26"/>
      <c r="CC122" s="26"/>
      <c r="CD122" s="26"/>
      <c r="CE122" s="26"/>
      <c r="CF122" s="26"/>
      <c r="CG122" s="26"/>
      <c r="CH122" s="26"/>
      <c r="CI122" s="26"/>
      <c r="CJ122" s="26"/>
      <c r="CK122" s="26"/>
      <c r="CL122" s="26"/>
      <c r="CM122" s="26"/>
      <c r="CN122" s="26"/>
      <c r="CO122" s="26"/>
      <c r="CP122" s="26"/>
      <c r="CQ122" s="26"/>
    </row>
    <row r="123" spans="1:95" s="29" customFormat="1" ht="15" customHeight="1" x14ac:dyDescent="0.25">
      <c r="A123" s="32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  <c r="BM123" s="26"/>
      <c r="BN123" s="26"/>
      <c r="BO123" s="26"/>
      <c r="BP123" s="26"/>
      <c r="BQ123" s="26"/>
      <c r="BR123" s="26"/>
      <c r="BS123" s="26"/>
      <c r="BT123" s="26"/>
      <c r="BU123" s="26"/>
      <c r="BV123" s="26"/>
      <c r="BW123" s="26"/>
      <c r="BX123" s="26"/>
      <c r="BY123" s="26"/>
      <c r="BZ123" s="26"/>
      <c r="CA123" s="26"/>
      <c r="CB123" s="26"/>
      <c r="CC123" s="26"/>
      <c r="CD123" s="26"/>
      <c r="CE123" s="26"/>
      <c r="CF123" s="26"/>
      <c r="CG123" s="26"/>
      <c r="CH123" s="26"/>
      <c r="CI123" s="26"/>
      <c r="CJ123" s="26"/>
      <c r="CK123" s="26"/>
      <c r="CL123" s="26"/>
      <c r="CM123" s="26"/>
      <c r="CN123" s="26"/>
      <c r="CO123" s="26"/>
      <c r="CP123" s="26"/>
      <c r="CQ123" s="26"/>
    </row>
    <row r="124" spans="1:95" s="29" customFormat="1" ht="15" customHeight="1" x14ac:dyDescent="0.25">
      <c r="A124" s="32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26"/>
      <c r="BK124" s="26"/>
      <c r="BL124" s="26"/>
      <c r="BM124" s="26"/>
      <c r="BN124" s="26"/>
      <c r="BO124" s="26"/>
      <c r="BP124" s="26"/>
      <c r="BQ124" s="26"/>
      <c r="BR124" s="26"/>
      <c r="BS124" s="26"/>
      <c r="BT124" s="26"/>
      <c r="BU124" s="26"/>
      <c r="BV124" s="26"/>
      <c r="BW124" s="26"/>
      <c r="BX124" s="26"/>
      <c r="BY124" s="26"/>
      <c r="BZ124" s="26"/>
      <c r="CA124" s="26"/>
      <c r="CB124" s="26"/>
      <c r="CC124" s="26"/>
      <c r="CD124" s="26"/>
      <c r="CE124" s="26"/>
      <c r="CF124" s="26"/>
      <c r="CG124" s="26"/>
      <c r="CH124" s="26"/>
      <c r="CI124" s="26"/>
      <c r="CJ124" s="26"/>
      <c r="CK124" s="26"/>
      <c r="CL124" s="26"/>
      <c r="CM124" s="26"/>
      <c r="CN124" s="26"/>
      <c r="CO124" s="26"/>
      <c r="CP124" s="26"/>
      <c r="CQ124" s="26"/>
    </row>
    <row r="125" spans="1:95" s="29" customFormat="1" ht="15" customHeight="1" x14ac:dyDescent="0.25">
      <c r="A125" s="32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26"/>
      <c r="BK125" s="26"/>
      <c r="BL125" s="26"/>
      <c r="BM125" s="26"/>
      <c r="BN125" s="26"/>
      <c r="BO125" s="26"/>
      <c r="BP125" s="26"/>
      <c r="BQ125" s="26"/>
      <c r="BR125" s="26"/>
      <c r="BS125" s="26"/>
      <c r="BT125" s="26"/>
      <c r="BU125" s="26"/>
      <c r="BV125" s="26"/>
      <c r="BW125" s="26"/>
      <c r="BX125" s="26"/>
      <c r="BY125" s="26"/>
      <c r="BZ125" s="26"/>
      <c r="CA125" s="26"/>
      <c r="CB125" s="26"/>
      <c r="CC125" s="26"/>
      <c r="CD125" s="26"/>
      <c r="CE125" s="26"/>
      <c r="CF125" s="26"/>
      <c r="CG125" s="26"/>
      <c r="CH125" s="26"/>
      <c r="CI125" s="26"/>
      <c r="CJ125" s="26"/>
      <c r="CK125" s="26"/>
      <c r="CL125" s="26"/>
      <c r="CM125" s="26"/>
      <c r="CN125" s="26"/>
      <c r="CO125" s="26"/>
      <c r="CP125" s="26"/>
      <c r="CQ125" s="26"/>
    </row>
    <row r="126" spans="1:95" s="29" customFormat="1" ht="15" customHeight="1" x14ac:dyDescent="0.25">
      <c r="A126" s="32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  <c r="BK126" s="26"/>
      <c r="BL126" s="26"/>
      <c r="BM126" s="26"/>
      <c r="BN126" s="26"/>
      <c r="BO126" s="26"/>
      <c r="BP126" s="26"/>
      <c r="BQ126" s="26"/>
      <c r="BR126" s="26"/>
      <c r="BS126" s="26"/>
      <c r="BT126" s="26"/>
      <c r="BU126" s="26"/>
      <c r="BV126" s="26"/>
      <c r="BW126" s="26"/>
      <c r="BX126" s="26"/>
      <c r="BY126" s="26"/>
      <c r="BZ126" s="26"/>
      <c r="CA126" s="26"/>
      <c r="CB126" s="26"/>
      <c r="CC126" s="26"/>
      <c r="CD126" s="26"/>
      <c r="CE126" s="26"/>
      <c r="CF126" s="26"/>
      <c r="CG126" s="26"/>
      <c r="CH126" s="26"/>
      <c r="CI126" s="26"/>
      <c r="CJ126" s="26"/>
      <c r="CK126" s="26"/>
      <c r="CL126" s="26"/>
      <c r="CM126" s="26"/>
      <c r="CN126" s="26"/>
      <c r="CO126" s="26"/>
      <c r="CP126" s="26"/>
      <c r="CQ126" s="26"/>
    </row>
    <row r="127" spans="1:95" s="29" customFormat="1" ht="15" customHeight="1" x14ac:dyDescent="0.25">
      <c r="A127" s="32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26"/>
      <c r="BK127" s="26"/>
      <c r="BL127" s="26"/>
      <c r="BM127" s="26"/>
      <c r="BN127" s="26"/>
      <c r="BO127" s="26"/>
      <c r="BP127" s="26"/>
      <c r="BQ127" s="26"/>
      <c r="BR127" s="26"/>
      <c r="BS127" s="26"/>
      <c r="BT127" s="26"/>
      <c r="BU127" s="26"/>
      <c r="BV127" s="26"/>
      <c r="BW127" s="26"/>
      <c r="BX127" s="26"/>
      <c r="BY127" s="26"/>
      <c r="BZ127" s="26"/>
      <c r="CA127" s="26"/>
      <c r="CB127" s="26"/>
      <c r="CC127" s="26"/>
      <c r="CD127" s="26"/>
      <c r="CE127" s="26"/>
      <c r="CF127" s="26"/>
      <c r="CG127" s="26"/>
      <c r="CH127" s="26"/>
      <c r="CI127" s="26"/>
      <c r="CJ127" s="26"/>
      <c r="CK127" s="26"/>
      <c r="CL127" s="26"/>
      <c r="CM127" s="26"/>
      <c r="CN127" s="26"/>
      <c r="CO127" s="26"/>
      <c r="CP127" s="26"/>
      <c r="CQ127" s="26"/>
    </row>
    <row r="128" spans="1:95" s="29" customFormat="1" ht="15" customHeight="1" x14ac:dyDescent="0.25">
      <c r="A128" s="32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26"/>
      <c r="BK128" s="26"/>
      <c r="BL128" s="26"/>
      <c r="BM128" s="26"/>
      <c r="BN128" s="26"/>
      <c r="BO128" s="26"/>
      <c r="BP128" s="26"/>
      <c r="BQ128" s="26"/>
      <c r="BR128" s="26"/>
      <c r="BS128" s="26"/>
      <c r="BT128" s="26"/>
      <c r="BU128" s="26"/>
      <c r="BV128" s="26"/>
      <c r="BW128" s="26"/>
      <c r="BX128" s="26"/>
      <c r="BY128" s="26"/>
      <c r="BZ128" s="26"/>
      <c r="CA128" s="26"/>
      <c r="CB128" s="26"/>
      <c r="CC128" s="26"/>
      <c r="CD128" s="26"/>
      <c r="CE128" s="26"/>
      <c r="CF128" s="26"/>
      <c r="CG128" s="26"/>
      <c r="CH128" s="26"/>
      <c r="CI128" s="26"/>
      <c r="CJ128" s="26"/>
      <c r="CK128" s="26"/>
      <c r="CL128" s="26"/>
      <c r="CM128" s="26"/>
      <c r="CN128" s="26"/>
      <c r="CO128" s="26"/>
      <c r="CP128" s="26"/>
      <c r="CQ128" s="26"/>
    </row>
    <row r="129" spans="1:95" s="29" customFormat="1" ht="15" customHeight="1" x14ac:dyDescent="0.25">
      <c r="A129" s="32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  <c r="BJ129" s="26"/>
      <c r="BK129" s="26"/>
      <c r="BL129" s="26"/>
      <c r="BM129" s="26"/>
      <c r="BN129" s="26"/>
      <c r="BO129" s="26"/>
      <c r="BP129" s="26"/>
      <c r="BQ129" s="26"/>
      <c r="BR129" s="26"/>
      <c r="BS129" s="26"/>
      <c r="BT129" s="26"/>
      <c r="BU129" s="26"/>
      <c r="BV129" s="26"/>
      <c r="BW129" s="26"/>
      <c r="BX129" s="26"/>
      <c r="BY129" s="26"/>
      <c r="BZ129" s="26"/>
      <c r="CA129" s="26"/>
      <c r="CB129" s="26"/>
      <c r="CC129" s="26"/>
      <c r="CD129" s="26"/>
      <c r="CE129" s="26"/>
      <c r="CF129" s="26"/>
      <c r="CG129" s="26"/>
      <c r="CH129" s="26"/>
      <c r="CI129" s="26"/>
      <c r="CJ129" s="26"/>
      <c r="CK129" s="26"/>
      <c r="CL129" s="26"/>
      <c r="CM129" s="26"/>
      <c r="CN129" s="26"/>
      <c r="CO129" s="26"/>
      <c r="CP129" s="26"/>
      <c r="CQ129" s="26"/>
    </row>
    <row r="130" spans="1:95" s="29" customFormat="1" ht="15" customHeight="1" x14ac:dyDescent="0.25">
      <c r="A130" s="32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  <c r="BL130" s="26"/>
      <c r="BM130" s="26"/>
      <c r="BN130" s="26"/>
      <c r="BO130" s="26"/>
      <c r="BP130" s="26"/>
      <c r="BQ130" s="26"/>
      <c r="BR130" s="26"/>
      <c r="BS130" s="26"/>
      <c r="BT130" s="26"/>
      <c r="BU130" s="26"/>
      <c r="BV130" s="26"/>
      <c r="BW130" s="26"/>
      <c r="BX130" s="26"/>
      <c r="BY130" s="26"/>
      <c r="BZ130" s="26"/>
      <c r="CA130" s="26"/>
      <c r="CB130" s="26"/>
      <c r="CC130" s="26"/>
      <c r="CD130" s="26"/>
      <c r="CE130" s="26"/>
      <c r="CF130" s="26"/>
      <c r="CG130" s="26"/>
      <c r="CH130" s="26"/>
      <c r="CI130" s="26"/>
      <c r="CJ130" s="26"/>
      <c r="CK130" s="26"/>
      <c r="CL130" s="26"/>
      <c r="CM130" s="26"/>
      <c r="CN130" s="26"/>
      <c r="CO130" s="26"/>
      <c r="CP130" s="26"/>
      <c r="CQ130" s="26"/>
    </row>
    <row r="131" spans="1:95" s="29" customFormat="1" ht="15" customHeight="1" x14ac:dyDescent="0.25">
      <c r="A131" s="32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  <c r="BJ131" s="26"/>
      <c r="BK131" s="26"/>
      <c r="BL131" s="26"/>
      <c r="BM131" s="26"/>
      <c r="BN131" s="26"/>
      <c r="BO131" s="26"/>
      <c r="BP131" s="26"/>
      <c r="BQ131" s="26"/>
      <c r="BR131" s="26"/>
      <c r="BS131" s="26"/>
      <c r="BT131" s="26"/>
      <c r="BU131" s="26"/>
      <c r="BV131" s="26"/>
      <c r="BW131" s="26"/>
      <c r="BX131" s="26"/>
      <c r="BY131" s="26"/>
      <c r="BZ131" s="26"/>
      <c r="CA131" s="26"/>
      <c r="CB131" s="26"/>
      <c r="CC131" s="26"/>
      <c r="CD131" s="26"/>
      <c r="CE131" s="26"/>
      <c r="CF131" s="26"/>
      <c r="CG131" s="26"/>
      <c r="CH131" s="26"/>
      <c r="CI131" s="26"/>
      <c r="CJ131" s="26"/>
      <c r="CK131" s="26"/>
      <c r="CL131" s="26"/>
      <c r="CM131" s="26"/>
      <c r="CN131" s="26"/>
      <c r="CO131" s="26"/>
      <c r="CP131" s="26"/>
      <c r="CQ131" s="26"/>
    </row>
    <row r="132" spans="1:95" s="29" customFormat="1" ht="15" customHeight="1" x14ac:dyDescent="0.25">
      <c r="A132" s="32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26"/>
      <c r="BK132" s="26"/>
      <c r="BL132" s="26"/>
      <c r="BM132" s="26"/>
      <c r="BN132" s="26"/>
      <c r="BO132" s="26"/>
      <c r="BP132" s="26"/>
      <c r="BQ132" s="26"/>
      <c r="BR132" s="26"/>
      <c r="BS132" s="26"/>
      <c r="BT132" s="26"/>
      <c r="BU132" s="26"/>
      <c r="BV132" s="26"/>
      <c r="BW132" s="26"/>
      <c r="BX132" s="26"/>
      <c r="BY132" s="26"/>
      <c r="BZ132" s="26"/>
      <c r="CA132" s="26"/>
      <c r="CB132" s="26"/>
      <c r="CC132" s="26"/>
      <c r="CD132" s="26"/>
      <c r="CE132" s="26"/>
      <c r="CF132" s="26"/>
      <c r="CG132" s="26"/>
      <c r="CH132" s="26"/>
      <c r="CI132" s="26"/>
      <c r="CJ132" s="26"/>
      <c r="CK132" s="26"/>
      <c r="CL132" s="26"/>
      <c r="CM132" s="26"/>
      <c r="CN132" s="26"/>
      <c r="CO132" s="26"/>
      <c r="CP132" s="26"/>
      <c r="CQ132" s="26"/>
    </row>
    <row r="133" spans="1:95" s="29" customFormat="1" ht="15" customHeight="1" x14ac:dyDescent="0.25">
      <c r="A133" s="32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26"/>
      <c r="BK133" s="26"/>
      <c r="BL133" s="26"/>
      <c r="BM133" s="26"/>
      <c r="BN133" s="26"/>
      <c r="BO133" s="26"/>
      <c r="BP133" s="26"/>
      <c r="BQ133" s="26"/>
      <c r="BR133" s="26"/>
      <c r="BS133" s="26"/>
      <c r="BT133" s="26"/>
      <c r="BU133" s="26"/>
      <c r="BV133" s="26"/>
      <c r="BW133" s="26"/>
      <c r="BX133" s="26"/>
      <c r="BY133" s="26"/>
      <c r="BZ133" s="26"/>
      <c r="CA133" s="26"/>
      <c r="CB133" s="26"/>
      <c r="CC133" s="26"/>
      <c r="CD133" s="26"/>
      <c r="CE133" s="26"/>
      <c r="CF133" s="26"/>
      <c r="CG133" s="26"/>
      <c r="CH133" s="26"/>
      <c r="CI133" s="26"/>
      <c r="CJ133" s="26"/>
      <c r="CK133" s="26"/>
      <c r="CL133" s="26"/>
      <c r="CM133" s="26"/>
      <c r="CN133" s="26"/>
      <c r="CO133" s="26"/>
      <c r="CP133" s="26"/>
      <c r="CQ133" s="26"/>
    </row>
    <row r="134" spans="1:95" s="29" customFormat="1" ht="15" customHeight="1" x14ac:dyDescent="0.25">
      <c r="A134" s="32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  <c r="BI134" s="26"/>
      <c r="BJ134" s="26"/>
      <c r="BK134" s="26"/>
      <c r="BL134" s="26"/>
      <c r="BM134" s="26"/>
      <c r="BN134" s="26"/>
      <c r="BO134" s="26"/>
      <c r="BP134" s="26"/>
      <c r="BQ134" s="26"/>
      <c r="BR134" s="26"/>
      <c r="BS134" s="26"/>
      <c r="BT134" s="26"/>
      <c r="BU134" s="26"/>
      <c r="BV134" s="26"/>
      <c r="BW134" s="26"/>
      <c r="BX134" s="26"/>
      <c r="BY134" s="26"/>
      <c r="BZ134" s="26"/>
      <c r="CA134" s="26"/>
      <c r="CB134" s="26"/>
      <c r="CC134" s="26"/>
      <c r="CD134" s="26"/>
      <c r="CE134" s="26"/>
      <c r="CF134" s="26"/>
      <c r="CG134" s="26"/>
      <c r="CH134" s="26"/>
      <c r="CI134" s="26"/>
      <c r="CJ134" s="26"/>
      <c r="CK134" s="26"/>
      <c r="CL134" s="26"/>
      <c r="CM134" s="26"/>
      <c r="CN134" s="26"/>
      <c r="CO134" s="26"/>
      <c r="CP134" s="26"/>
      <c r="CQ134" s="26"/>
    </row>
    <row r="135" spans="1:95" s="29" customFormat="1" ht="15" customHeight="1" x14ac:dyDescent="0.25">
      <c r="A135" s="32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  <c r="BI135" s="26"/>
      <c r="BJ135" s="26"/>
      <c r="BK135" s="26"/>
      <c r="BL135" s="26"/>
      <c r="BM135" s="26"/>
      <c r="BN135" s="26"/>
      <c r="BO135" s="26"/>
      <c r="BP135" s="26"/>
      <c r="BQ135" s="26"/>
      <c r="BR135" s="26"/>
      <c r="BS135" s="26"/>
      <c r="BT135" s="26"/>
      <c r="BU135" s="26"/>
      <c r="BV135" s="26"/>
      <c r="BW135" s="26"/>
      <c r="BX135" s="26"/>
      <c r="BY135" s="26"/>
      <c r="BZ135" s="26"/>
      <c r="CA135" s="26"/>
      <c r="CB135" s="26"/>
      <c r="CC135" s="26"/>
      <c r="CD135" s="26"/>
      <c r="CE135" s="26"/>
      <c r="CF135" s="26"/>
      <c r="CG135" s="26"/>
      <c r="CH135" s="26"/>
      <c r="CI135" s="26"/>
      <c r="CJ135" s="26"/>
      <c r="CK135" s="26"/>
      <c r="CL135" s="26"/>
      <c r="CM135" s="26"/>
      <c r="CN135" s="26"/>
      <c r="CO135" s="26"/>
      <c r="CP135" s="26"/>
      <c r="CQ135" s="26"/>
    </row>
    <row r="136" spans="1:95" s="29" customFormat="1" ht="15" customHeight="1" x14ac:dyDescent="0.25">
      <c r="A136" s="32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26"/>
      <c r="BJ136" s="26"/>
      <c r="BK136" s="26"/>
      <c r="BL136" s="26"/>
      <c r="BM136" s="26"/>
      <c r="BN136" s="26"/>
      <c r="BO136" s="26"/>
      <c r="BP136" s="26"/>
      <c r="BQ136" s="26"/>
      <c r="BR136" s="26"/>
      <c r="BS136" s="26"/>
      <c r="BT136" s="26"/>
      <c r="BU136" s="26"/>
      <c r="BV136" s="26"/>
      <c r="BW136" s="26"/>
      <c r="BX136" s="26"/>
      <c r="BY136" s="26"/>
      <c r="BZ136" s="26"/>
      <c r="CA136" s="26"/>
      <c r="CB136" s="26"/>
      <c r="CC136" s="26"/>
      <c r="CD136" s="26"/>
      <c r="CE136" s="26"/>
      <c r="CF136" s="26"/>
      <c r="CG136" s="26"/>
      <c r="CH136" s="26"/>
      <c r="CI136" s="26"/>
      <c r="CJ136" s="26"/>
      <c r="CK136" s="26"/>
      <c r="CL136" s="26"/>
      <c r="CM136" s="26"/>
      <c r="CN136" s="26"/>
      <c r="CO136" s="26"/>
      <c r="CP136" s="26"/>
      <c r="CQ136" s="26"/>
    </row>
    <row r="137" spans="1:95" s="29" customFormat="1" ht="15" customHeight="1" x14ac:dyDescent="0.25">
      <c r="A137" s="32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26"/>
      <c r="BK137" s="26"/>
      <c r="BL137" s="26"/>
      <c r="BM137" s="26"/>
      <c r="BN137" s="26"/>
      <c r="BO137" s="26"/>
      <c r="BP137" s="26"/>
      <c r="BQ137" s="26"/>
      <c r="BR137" s="26"/>
      <c r="BS137" s="26"/>
      <c r="BT137" s="26"/>
      <c r="BU137" s="26"/>
      <c r="BV137" s="26"/>
      <c r="BW137" s="26"/>
      <c r="BX137" s="26"/>
      <c r="BY137" s="26"/>
      <c r="BZ137" s="26"/>
      <c r="CA137" s="26"/>
      <c r="CB137" s="26"/>
      <c r="CC137" s="26"/>
      <c r="CD137" s="26"/>
      <c r="CE137" s="26"/>
      <c r="CF137" s="26"/>
      <c r="CG137" s="26"/>
      <c r="CH137" s="26"/>
      <c r="CI137" s="26"/>
      <c r="CJ137" s="26"/>
      <c r="CK137" s="26"/>
      <c r="CL137" s="26"/>
      <c r="CM137" s="26"/>
      <c r="CN137" s="26"/>
      <c r="CO137" s="26"/>
      <c r="CP137" s="26"/>
      <c r="CQ137" s="26"/>
    </row>
    <row r="138" spans="1:95" s="29" customFormat="1" ht="15" customHeight="1" x14ac:dyDescent="0.25">
      <c r="A138" s="32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  <c r="BH138" s="26"/>
      <c r="BI138" s="26"/>
      <c r="BJ138" s="26"/>
      <c r="BK138" s="26"/>
      <c r="BL138" s="26"/>
      <c r="BM138" s="26"/>
      <c r="BN138" s="26"/>
      <c r="BO138" s="26"/>
      <c r="BP138" s="26"/>
      <c r="BQ138" s="26"/>
      <c r="BR138" s="26"/>
      <c r="BS138" s="26"/>
      <c r="BT138" s="26"/>
      <c r="BU138" s="26"/>
      <c r="BV138" s="26"/>
      <c r="BW138" s="26"/>
      <c r="BX138" s="26"/>
      <c r="BY138" s="26"/>
      <c r="BZ138" s="26"/>
      <c r="CA138" s="26"/>
      <c r="CB138" s="26"/>
      <c r="CC138" s="26"/>
      <c r="CD138" s="26"/>
      <c r="CE138" s="26"/>
      <c r="CF138" s="26"/>
      <c r="CG138" s="26"/>
      <c r="CH138" s="26"/>
      <c r="CI138" s="26"/>
      <c r="CJ138" s="26"/>
      <c r="CK138" s="26"/>
      <c r="CL138" s="26"/>
      <c r="CM138" s="26"/>
      <c r="CN138" s="26"/>
      <c r="CO138" s="26"/>
      <c r="CP138" s="26"/>
      <c r="CQ138" s="26"/>
    </row>
    <row r="139" spans="1:95" s="29" customFormat="1" ht="15" customHeight="1" x14ac:dyDescent="0.25">
      <c r="A139" s="32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  <c r="BJ139" s="26"/>
      <c r="BK139" s="26"/>
      <c r="BL139" s="26"/>
      <c r="BM139" s="26"/>
      <c r="BN139" s="26"/>
      <c r="BO139" s="26"/>
      <c r="BP139" s="26"/>
      <c r="BQ139" s="26"/>
      <c r="BR139" s="26"/>
      <c r="BS139" s="26"/>
      <c r="BT139" s="26"/>
      <c r="BU139" s="26"/>
      <c r="BV139" s="26"/>
      <c r="BW139" s="26"/>
      <c r="BX139" s="26"/>
      <c r="BY139" s="26"/>
      <c r="BZ139" s="26"/>
      <c r="CA139" s="26"/>
      <c r="CB139" s="26"/>
      <c r="CC139" s="26"/>
      <c r="CD139" s="26"/>
      <c r="CE139" s="26"/>
      <c r="CF139" s="26"/>
      <c r="CG139" s="26"/>
      <c r="CH139" s="26"/>
      <c r="CI139" s="26"/>
      <c r="CJ139" s="26"/>
      <c r="CK139" s="26"/>
      <c r="CL139" s="26"/>
      <c r="CM139" s="26"/>
      <c r="CN139" s="26"/>
      <c r="CO139" s="26"/>
      <c r="CP139" s="26"/>
      <c r="CQ139" s="26"/>
    </row>
    <row r="140" spans="1:95" s="29" customFormat="1" ht="15" customHeight="1" x14ac:dyDescent="0.25">
      <c r="A140" s="32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  <c r="BH140" s="26"/>
      <c r="BI140" s="26"/>
      <c r="BJ140" s="26"/>
      <c r="BK140" s="26"/>
      <c r="BL140" s="26"/>
      <c r="BM140" s="26"/>
      <c r="BN140" s="26"/>
      <c r="BO140" s="26"/>
      <c r="BP140" s="26"/>
      <c r="BQ140" s="26"/>
      <c r="BR140" s="26"/>
      <c r="BS140" s="26"/>
      <c r="BT140" s="26"/>
      <c r="BU140" s="26"/>
      <c r="BV140" s="26"/>
      <c r="BW140" s="26"/>
      <c r="BX140" s="26"/>
      <c r="BY140" s="26"/>
      <c r="BZ140" s="26"/>
      <c r="CA140" s="26"/>
      <c r="CB140" s="26"/>
      <c r="CC140" s="26"/>
      <c r="CD140" s="26"/>
      <c r="CE140" s="26"/>
      <c r="CF140" s="26"/>
      <c r="CG140" s="26"/>
      <c r="CH140" s="26"/>
      <c r="CI140" s="26"/>
      <c r="CJ140" s="26"/>
      <c r="CK140" s="26"/>
      <c r="CL140" s="26"/>
      <c r="CM140" s="26"/>
      <c r="CN140" s="26"/>
      <c r="CO140" s="26"/>
      <c r="CP140" s="26"/>
      <c r="CQ140" s="26"/>
    </row>
    <row r="141" spans="1:95" s="29" customFormat="1" ht="15" customHeight="1" x14ac:dyDescent="0.25">
      <c r="A141" s="32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  <c r="BH141" s="26"/>
      <c r="BI141" s="26"/>
      <c r="BJ141" s="26"/>
      <c r="BK141" s="26"/>
      <c r="BL141" s="26"/>
      <c r="BM141" s="26"/>
      <c r="BN141" s="26"/>
      <c r="BO141" s="26"/>
      <c r="BP141" s="26"/>
      <c r="BQ141" s="26"/>
      <c r="BR141" s="26"/>
      <c r="BS141" s="26"/>
      <c r="BT141" s="26"/>
      <c r="BU141" s="26"/>
      <c r="BV141" s="26"/>
      <c r="BW141" s="26"/>
      <c r="BX141" s="26"/>
      <c r="BY141" s="26"/>
      <c r="BZ141" s="26"/>
      <c r="CA141" s="26"/>
      <c r="CB141" s="26"/>
      <c r="CC141" s="26"/>
      <c r="CD141" s="26"/>
      <c r="CE141" s="26"/>
      <c r="CF141" s="26"/>
      <c r="CG141" s="26"/>
      <c r="CH141" s="26"/>
      <c r="CI141" s="26"/>
      <c r="CJ141" s="26"/>
      <c r="CK141" s="26"/>
      <c r="CL141" s="26"/>
      <c r="CM141" s="26"/>
      <c r="CN141" s="26"/>
      <c r="CO141" s="26"/>
      <c r="CP141" s="26"/>
      <c r="CQ141" s="26"/>
    </row>
    <row r="142" spans="1:95" s="29" customFormat="1" ht="15" customHeight="1" x14ac:dyDescent="0.25">
      <c r="A142" s="32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26"/>
      <c r="BJ142" s="26"/>
      <c r="BK142" s="26"/>
      <c r="BL142" s="26"/>
      <c r="BM142" s="26"/>
      <c r="BN142" s="26"/>
      <c r="BO142" s="26"/>
      <c r="BP142" s="26"/>
      <c r="BQ142" s="26"/>
      <c r="BR142" s="26"/>
      <c r="BS142" s="26"/>
      <c r="BT142" s="26"/>
      <c r="BU142" s="26"/>
      <c r="BV142" s="26"/>
      <c r="BW142" s="26"/>
      <c r="BX142" s="26"/>
      <c r="BY142" s="26"/>
      <c r="BZ142" s="26"/>
      <c r="CA142" s="26"/>
      <c r="CB142" s="26"/>
      <c r="CC142" s="26"/>
      <c r="CD142" s="26"/>
      <c r="CE142" s="26"/>
      <c r="CF142" s="26"/>
      <c r="CG142" s="26"/>
      <c r="CH142" s="26"/>
      <c r="CI142" s="26"/>
      <c r="CJ142" s="26"/>
      <c r="CK142" s="26"/>
      <c r="CL142" s="26"/>
      <c r="CM142" s="26"/>
      <c r="CN142" s="26"/>
      <c r="CO142" s="26"/>
      <c r="CP142" s="26"/>
      <c r="CQ142" s="26"/>
    </row>
    <row r="143" spans="1:95" s="29" customFormat="1" ht="15" customHeight="1" x14ac:dyDescent="0.25">
      <c r="A143" s="32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  <c r="BM143" s="26"/>
      <c r="BN143" s="26"/>
      <c r="BO143" s="26"/>
      <c r="BP143" s="26"/>
      <c r="BQ143" s="26"/>
      <c r="BR143" s="26"/>
      <c r="BS143" s="26"/>
      <c r="BT143" s="26"/>
      <c r="BU143" s="26"/>
      <c r="BV143" s="26"/>
      <c r="BW143" s="26"/>
      <c r="BX143" s="26"/>
      <c r="BY143" s="26"/>
      <c r="BZ143" s="26"/>
      <c r="CA143" s="26"/>
      <c r="CB143" s="26"/>
      <c r="CC143" s="26"/>
      <c r="CD143" s="26"/>
      <c r="CE143" s="26"/>
      <c r="CF143" s="26"/>
      <c r="CG143" s="26"/>
      <c r="CH143" s="26"/>
      <c r="CI143" s="26"/>
      <c r="CJ143" s="26"/>
      <c r="CK143" s="26"/>
      <c r="CL143" s="26"/>
      <c r="CM143" s="26"/>
      <c r="CN143" s="26"/>
      <c r="CO143" s="26"/>
      <c r="CP143" s="26"/>
      <c r="CQ143" s="26"/>
    </row>
    <row r="144" spans="1:95" s="29" customFormat="1" ht="15" customHeight="1" x14ac:dyDescent="0.25">
      <c r="A144" s="32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26"/>
      <c r="BK144" s="26"/>
      <c r="BL144" s="26"/>
      <c r="BM144" s="26"/>
      <c r="BN144" s="26"/>
      <c r="BO144" s="26"/>
      <c r="BP144" s="26"/>
      <c r="BQ144" s="26"/>
      <c r="BR144" s="26"/>
      <c r="BS144" s="26"/>
      <c r="BT144" s="26"/>
      <c r="BU144" s="26"/>
      <c r="BV144" s="26"/>
      <c r="BW144" s="26"/>
      <c r="BX144" s="26"/>
      <c r="BY144" s="26"/>
      <c r="BZ144" s="26"/>
      <c r="CA144" s="26"/>
      <c r="CB144" s="26"/>
      <c r="CC144" s="26"/>
      <c r="CD144" s="26"/>
      <c r="CE144" s="26"/>
      <c r="CF144" s="26"/>
      <c r="CG144" s="26"/>
      <c r="CH144" s="26"/>
      <c r="CI144" s="26"/>
      <c r="CJ144" s="26"/>
      <c r="CK144" s="26"/>
      <c r="CL144" s="26"/>
      <c r="CM144" s="26"/>
      <c r="CN144" s="26"/>
      <c r="CO144" s="26"/>
      <c r="CP144" s="26"/>
      <c r="CQ144" s="26"/>
    </row>
    <row r="145" spans="1:95" s="29" customFormat="1" ht="15" customHeight="1" x14ac:dyDescent="0.25">
      <c r="A145" s="32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  <c r="BH145" s="26"/>
      <c r="BI145" s="26"/>
      <c r="BJ145" s="26"/>
      <c r="BK145" s="26"/>
      <c r="BL145" s="26"/>
      <c r="BM145" s="26"/>
      <c r="BN145" s="26"/>
      <c r="BO145" s="26"/>
      <c r="BP145" s="26"/>
      <c r="BQ145" s="26"/>
      <c r="BR145" s="26"/>
      <c r="BS145" s="26"/>
      <c r="BT145" s="26"/>
      <c r="BU145" s="26"/>
      <c r="BV145" s="26"/>
      <c r="BW145" s="26"/>
      <c r="BX145" s="26"/>
      <c r="BY145" s="26"/>
      <c r="BZ145" s="26"/>
      <c r="CA145" s="26"/>
      <c r="CB145" s="26"/>
      <c r="CC145" s="26"/>
      <c r="CD145" s="26"/>
      <c r="CE145" s="26"/>
      <c r="CF145" s="26"/>
      <c r="CG145" s="26"/>
      <c r="CH145" s="26"/>
      <c r="CI145" s="26"/>
      <c r="CJ145" s="26"/>
      <c r="CK145" s="26"/>
      <c r="CL145" s="26"/>
      <c r="CM145" s="26"/>
      <c r="CN145" s="26"/>
      <c r="CO145" s="26"/>
      <c r="CP145" s="26"/>
      <c r="CQ145" s="26"/>
    </row>
    <row r="146" spans="1:95" s="29" customFormat="1" ht="15" customHeight="1" x14ac:dyDescent="0.25">
      <c r="A146" s="32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  <c r="BH146" s="26"/>
      <c r="BI146" s="26"/>
      <c r="BJ146" s="26"/>
      <c r="BK146" s="26"/>
      <c r="BL146" s="26"/>
      <c r="BM146" s="26"/>
      <c r="BN146" s="26"/>
      <c r="BO146" s="26"/>
      <c r="BP146" s="26"/>
      <c r="BQ146" s="26"/>
      <c r="BR146" s="26"/>
      <c r="BS146" s="26"/>
      <c r="BT146" s="26"/>
      <c r="BU146" s="26"/>
      <c r="BV146" s="26"/>
      <c r="BW146" s="26"/>
      <c r="BX146" s="26"/>
      <c r="BY146" s="26"/>
      <c r="BZ146" s="26"/>
      <c r="CA146" s="26"/>
      <c r="CB146" s="26"/>
      <c r="CC146" s="26"/>
      <c r="CD146" s="26"/>
      <c r="CE146" s="26"/>
      <c r="CF146" s="26"/>
      <c r="CG146" s="26"/>
      <c r="CH146" s="26"/>
      <c r="CI146" s="26"/>
      <c r="CJ146" s="26"/>
      <c r="CK146" s="26"/>
      <c r="CL146" s="26"/>
      <c r="CM146" s="26"/>
      <c r="CN146" s="26"/>
      <c r="CO146" s="26"/>
      <c r="CP146" s="26"/>
      <c r="CQ146" s="26"/>
    </row>
    <row r="147" spans="1:95" s="29" customFormat="1" ht="15" customHeight="1" x14ac:dyDescent="0.25">
      <c r="A147" s="32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  <c r="BH147" s="26"/>
      <c r="BI147" s="26"/>
      <c r="BJ147" s="26"/>
      <c r="BK147" s="26"/>
      <c r="BL147" s="26"/>
      <c r="BM147" s="26"/>
      <c r="BN147" s="26"/>
      <c r="BO147" s="26"/>
      <c r="BP147" s="26"/>
      <c r="BQ147" s="26"/>
      <c r="BR147" s="26"/>
      <c r="BS147" s="26"/>
      <c r="BT147" s="26"/>
      <c r="BU147" s="26"/>
      <c r="BV147" s="26"/>
      <c r="BW147" s="26"/>
      <c r="BX147" s="26"/>
      <c r="BY147" s="26"/>
      <c r="BZ147" s="26"/>
      <c r="CA147" s="26"/>
      <c r="CB147" s="26"/>
      <c r="CC147" s="26"/>
      <c r="CD147" s="26"/>
      <c r="CE147" s="26"/>
      <c r="CF147" s="26"/>
      <c r="CG147" s="26"/>
      <c r="CH147" s="26"/>
      <c r="CI147" s="26"/>
      <c r="CJ147" s="26"/>
      <c r="CK147" s="26"/>
      <c r="CL147" s="26"/>
      <c r="CM147" s="26"/>
      <c r="CN147" s="26"/>
      <c r="CO147" s="26"/>
      <c r="CP147" s="26"/>
      <c r="CQ147" s="26"/>
    </row>
    <row r="148" spans="1:95" s="29" customFormat="1" ht="15" customHeight="1" x14ac:dyDescent="0.25">
      <c r="A148" s="32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  <c r="BH148" s="26"/>
      <c r="BI148" s="26"/>
      <c r="BJ148" s="26"/>
      <c r="BK148" s="26"/>
      <c r="BL148" s="26"/>
      <c r="BM148" s="26"/>
      <c r="BN148" s="26"/>
      <c r="BO148" s="26"/>
      <c r="BP148" s="26"/>
      <c r="BQ148" s="26"/>
      <c r="BR148" s="26"/>
      <c r="BS148" s="26"/>
      <c r="BT148" s="26"/>
      <c r="BU148" s="26"/>
      <c r="BV148" s="26"/>
      <c r="BW148" s="26"/>
      <c r="BX148" s="26"/>
      <c r="BY148" s="26"/>
      <c r="BZ148" s="26"/>
      <c r="CA148" s="26"/>
      <c r="CB148" s="26"/>
      <c r="CC148" s="26"/>
      <c r="CD148" s="26"/>
      <c r="CE148" s="26"/>
      <c r="CF148" s="26"/>
      <c r="CG148" s="26"/>
      <c r="CH148" s="26"/>
      <c r="CI148" s="26"/>
      <c r="CJ148" s="26"/>
      <c r="CK148" s="26"/>
      <c r="CL148" s="26"/>
      <c r="CM148" s="26"/>
      <c r="CN148" s="26"/>
      <c r="CO148" s="26"/>
      <c r="CP148" s="26"/>
      <c r="CQ148" s="26"/>
    </row>
    <row r="149" spans="1:95" s="29" customFormat="1" ht="15" customHeight="1" x14ac:dyDescent="0.25">
      <c r="A149" s="32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  <c r="BH149" s="26"/>
      <c r="BI149" s="26"/>
      <c r="BJ149" s="26"/>
      <c r="BK149" s="26"/>
      <c r="BL149" s="26"/>
      <c r="BM149" s="26"/>
      <c r="BN149" s="26"/>
      <c r="BO149" s="26"/>
      <c r="BP149" s="26"/>
      <c r="BQ149" s="26"/>
      <c r="BR149" s="26"/>
      <c r="BS149" s="26"/>
      <c r="BT149" s="26"/>
      <c r="BU149" s="26"/>
      <c r="BV149" s="26"/>
      <c r="BW149" s="26"/>
      <c r="BX149" s="26"/>
      <c r="BY149" s="26"/>
      <c r="BZ149" s="26"/>
      <c r="CA149" s="26"/>
      <c r="CB149" s="26"/>
      <c r="CC149" s="26"/>
      <c r="CD149" s="26"/>
      <c r="CE149" s="26"/>
      <c r="CF149" s="26"/>
      <c r="CG149" s="26"/>
      <c r="CH149" s="26"/>
      <c r="CI149" s="26"/>
      <c r="CJ149" s="26"/>
      <c r="CK149" s="26"/>
      <c r="CL149" s="26"/>
      <c r="CM149" s="26"/>
      <c r="CN149" s="26"/>
      <c r="CO149" s="26"/>
      <c r="CP149" s="26"/>
      <c r="CQ149" s="26"/>
    </row>
    <row r="150" spans="1:95" s="29" customFormat="1" ht="15" customHeight="1" x14ac:dyDescent="0.25">
      <c r="A150" s="32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26"/>
      <c r="BH150" s="26"/>
      <c r="BI150" s="26"/>
      <c r="BJ150" s="26"/>
      <c r="BK150" s="26"/>
      <c r="BL150" s="26"/>
      <c r="BM150" s="26"/>
      <c r="BN150" s="26"/>
      <c r="BO150" s="26"/>
      <c r="BP150" s="26"/>
      <c r="BQ150" s="26"/>
      <c r="BR150" s="26"/>
      <c r="BS150" s="26"/>
      <c r="BT150" s="26"/>
      <c r="BU150" s="26"/>
      <c r="BV150" s="26"/>
      <c r="BW150" s="26"/>
      <c r="BX150" s="26"/>
      <c r="BY150" s="26"/>
      <c r="BZ150" s="26"/>
      <c r="CA150" s="26"/>
      <c r="CB150" s="26"/>
      <c r="CC150" s="26"/>
      <c r="CD150" s="26"/>
      <c r="CE150" s="26"/>
      <c r="CF150" s="26"/>
      <c r="CG150" s="26"/>
      <c r="CH150" s="26"/>
      <c r="CI150" s="26"/>
      <c r="CJ150" s="26"/>
      <c r="CK150" s="26"/>
      <c r="CL150" s="26"/>
      <c r="CM150" s="26"/>
      <c r="CN150" s="26"/>
      <c r="CO150" s="26"/>
      <c r="CP150" s="26"/>
      <c r="CQ150" s="26"/>
    </row>
    <row r="151" spans="1:95" s="29" customFormat="1" ht="15" customHeight="1" x14ac:dyDescent="0.25">
      <c r="A151" s="32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26"/>
      <c r="BK151" s="26"/>
      <c r="BL151" s="26"/>
      <c r="BM151" s="26"/>
      <c r="BN151" s="26"/>
      <c r="BO151" s="26"/>
      <c r="BP151" s="26"/>
      <c r="BQ151" s="26"/>
      <c r="BR151" s="26"/>
      <c r="BS151" s="26"/>
      <c r="BT151" s="26"/>
      <c r="BU151" s="26"/>
      <c r="BV151" s="26"/>
      <c r="BW151" s="26"/>
      <c r="BX151" s="26"/>
      <c r="BY151" s="26"/>
      <c r="BZ151" s="26"/>
      <c r="CA151" s="26"/>
      <c r="CB151" s="26"/>
      <c r="CC151" s="26"/>
      <c r="CD151" s="26"/>
      <c r="CE151" s="26"/>
      <c r="CF151" s="26"/>
      <c r="CG151" s="26"/>
      <c r="CH151" s="26"/>
      <c r="CI151" s="26"/>
      <c r="CJ151" s="26"/>
      <c r="CK151" s="26"/>
      <c r="CL151" s="26"/>
      <c r="CM151" s="26"/>
      <c r="CN151" s="26"/>
      <c r="CO151" s="26"/>
      <c r="CP151" s="26"/>
      <c r="CQ151" s="26"/>
    </row>
    <row r="152" spans="1:95" s="29" customFormat="1" ht="15" customHeight="1" x14ac:dyDescent="0.25">
      <c r="A152" s="32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6"/>
      <c r="AV152" s="26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26"/>
      <c r="BH152" s="26"/>
      <c r="BI152" s="26"/>
      <c r="BJ152" s="26"/>
      <c r="BK152" s="26"/>
      <c r="BL152" s="26"/>
      <c r="BM152" s="26"/>
      <c r="BN152" s="26"/>
      <c r="BO152" s="26"/>
      <c r="BP152" s="26"/>
      <c r="BQ152" s="26"/>
      <c r="BR152" s="26"/>
      <c r="BS152" s="26"/>
      <c r="BT152" s="26"/>
      <c r="BU152" s="26"/>
      <c r="BV152" s="26"/>
      <c r="BW152" s="26"/>
      <c r="BX152" s="26"/>
      <c r="BY152" s="26"/>
      <c r="BZ152" s="26"/>
      <c r="CA152" s="26"/>
      <c r="CB152" s="26"/>
      <c r="CC152" s="26"/>
      <c r="CD152" s="26"/>
      <c r="CE152" s="26"/>
      <c r="CF152" s="26"/>
      <c r="CG152" s="26"/>
      <c r="CH152" s="26"/>
      <c r="CI152" s="26"/>
      <c r="CJ152" s="26"/>
      <c r="CK152" s="26"/>
      <c r="CL152" s="26"/>
      <c r="CM152" s="26"/>
      <c r="CN152" s="26"/>
      <c r="CO152" s="26"/>
      <c r="CP152" s="26"/>
      <c r="CQ152" s="26"/>
    </row>
    <row r="153" spans="1:95" s="29" customFormat="1" ht="15" customHeight="1" x14ac:dyDescent="0.25">
      <c r="A153" s="32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  <c r="BH153" s="26"/>
      <c r="BI153" s="26"/>
      <c r="BJ153" s="26"/>
      <c r="BK153" s="26"/>
      <c r="BL153" s="26"/>
      <c r="BM153" s="26"/>
      <c r="BN153" s="26"/>
      <c r="BO153" s="26"/>
      <c r="BP153" s="26"/>
      <c r="BQ153" s="26"/>
      <c r="BR153" s="26"/>
      <c r="BS153" s="26"/>
      <c r="BT153" s="26"/>
      <c r="BU153" s="26"/>
      <c r="BV153" s="26"/>
      <c r="BW153" s="26"/>
      <c r="BX153" s="26"/>
      <c r="BY153" s="26"/>
      <c r="BZ153" s="26"/>
      <c r="CA153" s="26"/>
      <c r="CB153" s="26"/>
      <c r="CC153" s="26"/>
      <c r="CD153" s="26"/>
      <c r="CE153" s="26"/>
      <c r="CF153" s="26"/>
      <c r="CG153" s="26"/>
      <c r="CH153" s="26"/>
      <c r="CI153" s="26"/>
      <c r="CJ153" s="26"/>
      <c r="CK153" s="26"/>
      <c r="CL153" s="26"/>
      <c r="CM153" s="26"/>
      <c r="CN153" s="26"/>
      <c r="CO153" s="26"/>
      <c r="CP153" s="26"/>
      <c r="CQ153" s="26"/>
    </row>
    <row r="154" spans="1:95" s="29" customFormat="1" ht="15" customHeight="1" x14ac:dyDescent="0.25">
      <c r="A154" s="32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  <c r="BH154" s="26"/>
      <c r="BI154" s="26"/>
      <c r="BJ154" s="26"/>
      <c r="BK154" s="26"/>
      <c r="BL154" s="26"/>
      <c r="BM154" s="26"/>
      <c r="BN154" s="26"/>
      <c r="BO154" s="26"/>
      <c r="BP154" s="26"/>
      <c r="BQ154" s="26"/>
      <c r="BR154" s="26"/>
      <c r="BS154" s="26"/>
      <c r="BT154" s="26"/>
      <c r="BU154" s="26"/>
      <c r="BV154" s="26"/>
      <c r="BW154" s="26"/>
      <c r="BX154" s="26"/>
      <c r="BY154" s="26"/>
      <c r="BZ154" s="26"/>
      <c r="CA154" s="26"/>
      <c r="CB154" s="26"/>
      <c r="CC154" s="26"/>
      <c r="CD154" s="26"/>
      <c r="CE154" s="26"/>
      <c r="CF154" s="26"/>
      <c r="CG154" s="26"/>
      <c r="CH154" s="26"/>
      <c r="CI154" s="26"/>
      <c r="CJ154" s="26"/>
      <c r="CK154" s="26"/>
      <c r="CL154" s="26"/>
      <c r="CM154" s="26"/>
      <c r="CN154" s="26"/>
      <c r="CO154" s="26"/>
      <c r="CP154" s="26"/>
      <c r="CQ154" s="26"/>
    </row>
    <row r="155" spans="1:95" s="29" customFormat="1" ht="15" customHeight="1" x14ac:dyDescent="0.25">
      <c r="A155" s="32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  <c r="BH155" s="26"/>
      <c r="BI155" s="26"/>
      <c r="BJ155" s="26"/>
      <c r="BK155" s="26"/>
      <c r="BL155" s="26"/>
      <c r="BM155" s="26"/>
      <c r="BN155" s="26"/>
      <c r="BO155" s="26"/>
      <c r="BP155" s="26"/>
      <c r="BQ155" s="26"/>
      <c r="BR155" s="26"/>
      <c r="BS155" s="26"/>
      <c r="BT155" s="26"/>
      <c r="BU155" s="26"/>
      <c r="BV155" s="26"/>
      <c r="BW155" s="26"/>
      <c r="BX155" s="26"/>
      <c r="BY155" s="26"/>
      <c r="BZ155" s="26"/>
      <c r="CA155" s="26"/>
      <c r="CB155" s="26"/>
      <c r="CC155" s="26"/>
      <c r="CD155" s="26"/>
      <c r="CE155" s="26"/>
      <c r="CF155" s="26"/>
      <c r="CG155" s="26"/>
      <c r="CH155" s="26"/>
      <c r="CI155" s="26"/>
      <c r="CJ155" s="26"/>
      <c r="CK155" s="26"/>
      <c r="CL155" s="26"/>
      <c r="CM155" s="26"/>
      <c r="CN155" s="26"/>
      <c r="CO155" s="26"/>
      <c r="CP155" s="26"/>
      <c r="CQ155" s="26"/>
    </row>
    <row r="156" spans="1:95" s="29" customFormat="1" ht="15" customHeight="1" x14ac:dyDescent="0.25">
      <c r="A156" s="32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  <c r="BH156" s="26"/>
      <c r="BI156" s="26"/>
      <c r="BJ156" s="26"/>
      <c r="BK156" s="26"/>
      <c r="BL156" s="26"/>
      <c r="BM156" s="26"/>
      <c r="BN156" s="26"/>
      <c r="BO156" s="26"/>
      <c r="BP156" s="26"/>
      <c r="BQ156" s="26"/>
      <c r="BR156" s="26"/>
      <c r="BS156" s="26"/>
      <c r="BT156" s="26"/>
      <c r="BU156" s="26"/>
      <c r="BV156" s="26"/>
      <c r="BW156" s="26"/>
      <c r="BX156" s="26"/>
      <c r="BY156" s="26"/>
      <c r="BZ156" s="26"/>
      <c r="CA156" s="26"/>
      <c r="CB156" s="26"/>
      <c r="CC156" s="26"/>
      <c r="CD156" s="26"/>
      <c r="CE156" s="26"/>
      <c r="CF156" s="26"/>
      <c r="CG156" s="26"/>
      <c r="CH156" s="26"/>
      <c r="CI156" s="26"/>
      <c r="CJ156" s="26"/>
      <c r="CK156" s="26"/>
      <c r="CL156" s="26"/>
      <c r="CM156" s="26"/>
      <c r="CN156" s="26"/>
      <c r="CO156" s="26"/>
      <c r="CP156" s="26"/>
      <c r="CQ156" s="26"/>
    </row>
    <row r="157" spans="1:95" s="29" customFormat="1" ht="15" customHeight="1" x14ac:dyDescent="0.25">
      <c r="A157" s="32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  <c r="BH157" s="26"/>
      <c r="BI157" s="26"/>
      <c r="BJ157" s="26"/>
      <c r="BK157" s="26"/>
      <c r="BL157" s="26"/>
      <c r="BM157" s="26"/>
      <c r="BN157" s="26"/>
      <c r="BO157" s="26"/>
      <c r="BP157" s="26"/>
      <c r="BQ157" s="26"/>
      <c r="BR157" s="26"/>
      <c r="BS157" s="26"/>
      <c r="BT157" s="26"/>
      <c r="BU157" s="26"/>
      <c r="BV157" s="26"/>
      <c r="BW157" s="26"/>
      <c r="BX157" s="26"/>
      <c r="BY157" s="26"/>
      <c r="BZ157" s="26"/>
      <c r="CA157" s="26"/>
      <c r="CB157" s="26"/>
      <c r="CC157" s="26"/>
      <c r="CD157" s="26"/>
      <c r="CE157" s="26"/>
      <c r="CF157" s="26"/>
      <c r="CG157" s="26"/>
      <c r="CH157" s="26"/>
      <c r="CI157" s="26"/>
      <c r="CJ157" s="26"/>
      <c r="CK157" s="26"/>
      <c r="CL157" s="26"/>
      <c r="CM157" s="26"/>
      <c r="CN157" s="26"/>
      <c r="CO157" s="26"/>
      <c r="CP157" s="26"/>
      <c r="CQ157" s="26"/>
    </row>
    <row r="158" spans="1:95" s="29" customFormat="1" ht="15" customHeight="1" x14ac:dyDescent="0.25">
      <c r="A158" s="32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  <c r="BJ158" s="26"/>
      <c r="BK158" s="26"/>
      <c r="BL158" s="26"/>
      <c r="BM158" s="26"/>
      <c r="BN158" s="26"/>
      <c r="BO158" s="26"/>
      <c r="BP158" s="26"/>
      <c r="BQ158" s="26"/>
      <c r="BR158" s="26"/>
      <c r="BS158" s="26"/>
      <c r="BT158" s="26"/>
      <c r="BU158" s="26"/>
      <c r="BV158" s="26"/>
      <c r="BW158" s="26"/>
      <c r="BX158" s="26"/>
      <c r="BY158" s="26"/>
      <c r="BZ158" s="26"/>
      <c r="CA158" s="26"/>
      <c r="CB158" s="26"/>
      <c r="CC158" s="26"/>
      <c r="CD158" s="26"/>
      <c r="CE158" s="26"/>
      <c r="CF158" s="26"/>
      <c r="CG158" s="26"/>
      <c r="CH158" s="26"/>
      <c r="CI158" s="26"/>
      <c r="CJ158" s="26"/>
      <c r="CK158" s="26"/>
      <c r="CL158" s="26"/>
      <c r="CM158" s="26"/>
      <c r="CN158" s="26"/>
      <c r="CO158" s="26"/>
      <c r="CP158" s="26"/>
      <c r="CQ158" s="26"/>
    </row>
    <row r="159" spans="1:95" s="29" customFormat="1" ht="15" customHeight="1" x14ac:dyDescent="0.25">
      <c r="A159" s="32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6"/>
      <c r="AV159" s="26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26"/>
      <c r="BH159" s="26"/>
      <c r="BI159" s="26"/>
      <c r="BJ159" s="26"/>
      <c r="BK159" s="26"/>
      <c r="BL159" s="26"/>
      <c r="BM159" s="26"/>
      <c r="BN159" s="26"/>
      <c r="BO159" s="26"/>
      <c r="BP159" s="26"/>
      <c r="BQ159" s="26"/>
      <c r="BR159" s="26"/>
      <c r="BS159" s="26"/>
      <c r="BT159" s="26"/>
      <c r="BU159" s="26"/>
      <c r="BV159" s="26"/>
      <c r="BW159" s="26"/>
      <c r="BX159" s="26"/>
      <c r="BY159" s="26"/>
      <c r="BZ159" s="26"/>
      <c r="CA159" s="26"/>
      <c r="CB159" s="26"/>
      <c r="CC159" s="26"/>
      <c r="CD159" s="26"/>
      <c r="CE159" s="26"/>
      <c r="CF159" s="26"/>
      <c r="CG159" s="26"/>
      <c r="CH159" s="26"/>
      <c r="CI159" s="26"/>
      <c r="CJ159" s="26"/>
      <c r="CK159" s="26"/>
      <c r="CL159" s="26"/>
      <c r="CM159" s="26"/>
      <c r="CN159" s="26"/>
      <c r="CO159" s="26"/>
      <c r="CP159" s="26"/>
      <c r="CQ159" s="26"/>
    </row>
    <row r="160" spans="1:95" s="29" customFormat="1" ht="15" customHeight="1" x14ac:dyDescent="0.25">
      <c r="A160" s="32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6"/>
      <c r="AX160" s="26"/>
      <c r="AY160" s="26"/>
      <c r="AZ160" s="26"/>
      <c r="BA160" s="26"/>
      <c r="BB160" s="26"/>
      <c r="BC160" s="26"/>
      <c r="BD160" s="26"/>
      <c r="BE160" s="26"/>
      <c r="BF160" s="26"/>
      <c r="BG160" s="26"/>
      <c r="BH160" s="26"/>
      <c r="BI160" s="26"/>
      <c r="BJ160" s="26"/>
      <c r="BK160" s="26"/>
      <c r="BL160" s="26"/>
      <c r="BM160" s="26"/>
      <c r="BN160" s="26"/>
      <c r="BO160" s="26"/>
      <c r="BP160" s="26"/>
      <c r="BQ160" s="26"/>
      <c r="BR160" s="26"/>
      <c r="BS160" s="26"/>
      <c r="BT160" s="26"/>
      <c r="BU160" s="26"/>
      <c r="BV160" s="26"/>
      <c r="BW160" s="26"/>
      <c r="BX160" s="26"/>
      <c r="BY160" s="26"/>
      <c r="BZ160" s="26"/>
      <c r="CA160" s="26"/>
      <c r="CB160" s="26"/>
      <c r="CC160" s="26"/>
      <c r="CD160" s="26"/>
      <c r="CE160" s="26"/>
      <c r="CF160" s="26"/>
      <c r="CG160" s="26"/>
      <c r="CH160" s="26"/>
      <c r="CI160" s="26"/>
      <c r="CJ160" s="26"/>
      <c r="CK160" s="26"/>
      <c r="CL160" s="26"/>
      <c r="CM160" s="26"/>
      <c r="CN160" s="26"/>
      <c r="CO160" s="26"/>
      <c r="CP160" s="26"/>
      <c r="CQ160" s="26"/>
    </row>
    <row r="161" spans="1:95" s="29" customFormat="1" ht="15" customHeight="1" x14ac:dyDescent="0.25">
      <c r="A161" s="32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26"/>
      <c r="BH161" s="26"/>
      <c r="BI161" s="26"/>
      <c r="BJ161" s="26"/>
      <c r="BK161" s="26"/>
      <c r="BL161" s="26"/>
      <c r="BM161" s="26"/>
      <c r="BN161" s="26"/>
      <c r="BO161" s="26"/>
      <c r="BP161" s="26"/>
      <c r="BQ161" s="26"/>
      <c r="BR161" s="26"/>
      <c r="BS161" s="26"/>
      <c r="BT161" s="26"/>
      <c r="BU161" s="26"/>
      <c r="BV161" s="26"/>
      <c r="BW161" s="26"/>
      <c r="BX161" s="26"/>
      <c r="BY161" s="26"/>
      <c r="BZ161" s="26"/>
      <c r="CA161" s="26"/>
      <c r="CB161" s="26"/>
      <c r="CC161" s="26"/>
      <c r="CD161" s="26"/>
      <c r="CE161" s="26"/>
      <c r="CF161" s="26"/>
      <c r="CG161" s="26"/>
      <c r="CH161" s="26"/>
      <c r="CI161" s="26"/>
      <c r="CJ161" s="26"/>
      <c r="CK161" s="26"/>
      <c r="CL161" s="26"/>
      <c r="CM161" s="26"/>
      <c r="CN161" s="26"/>
      <c r="CO161" s="26"/>
      <c r="CP161" s="26"/>
      <c r="CQ161" s="26"/>
    </row>
    <row r="162" spans="1:95" s="29" customFormat="1" ht="15" customHeight="1" x14ac:dyDescent="0.25">
      <c r="A162" s="32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  <c r="BH162" s="26"/>
      <c r="BI162" s="26"/>
      <c r="BJ162" s="26"/>
      <c r="BK162" s="26"/>
      <c r="BL162" s="26"/>
      <c r="BM162" s="26"/>
      <c r="BN162" s="26"/>
      <c r="BO162" s="26"/>
      <c r="BP162" s="26"/>
      <c r="BQ162" s="26"/>
      <c r="BR162" s="26"/>
      <c r="BS162" s="26"/>
      <c r="BT162" s="26"/>
      <c r="BU162" s="26"/>
      <c r="BV162" s="26"/>
      <c r="BW162" s="26"/>
      <c r="BX162" s="26"/>
      <c r="BY162" s="26"/>
      <c r="BZ162" s="26"/>
      <c r="CA162" s="26"/>
      <c r="CB162" s="26"/>
      <c r="CC162" s="26"/>
      <c r="CD162" s="26"/>
      <c r="CE162" s="26"/>
      <c r="CF162" s="26"/>
      <c r="CG162" s="26"/>
      <c r="CH162" s="26"/>
      <c r="CI162" s="26"/>
      <c r="CJ162" s="26"/>
      <c r="CK162" s="26"/>
      <c r="CL162" s="26"/>
      <c r="CM162" s="26"/>
      <c r="CN162" s="26"/>
      <c r="CO162" s="26"/>
      <c r="CP162" s="26"/>
      <c r="CQ162" s="26"/>
    </row>
    <row r="163" spans="1:95" s="29" customFormat="1" ht="15" customHeight="1" x14ac:dyDescent="0.25">
      <c r="A163" s="32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26"/>
      <c r="BH163" s="26"/>
      <c r="BI163" s="26"/>
      <c r="BJ163" s="26"/>
      <c r="BK163" s="26"/>
      <c r="BL163" s="26"/>
      <c r="BM163" s="26"/>
      <c r="BN163" s="26"/>
      <c r="BO163" s="26"/>
      <c r="BP163" s="26"/>
      <c r="BQ163" s="26"/>
      <c r="BR163" s="26"/>
      <c r="BS163" s="26"/>
      <c r="BT163" s="26"/>
      <c r="BU163" s="26"/>
      <c r="BV163" s="26"/>
      <c r="BW163" s="26"/>
      <c r="BX163" s="26"/>
      <c r="BY163" s="26"/>
      <c r="BZ163" s="26"/>
      <c r="CA163" s="26"/>
      <c r="CB163" s="26"/>
      <c r="CC163" s="26"/>
      <c r="CD163" s="26"/>
      <c r="CE163" s="26"/>
      <c r="CF163" s="26"/>
      <c r="CG163" s="26"/>
      <c r="CH163" s="26"/>
      <c r="CI163" s="26"/>
      <c r="CJ163" s="26"/>
      <c r="CK163" s="26"/>
      <c r="CL163" s="26"/>
      <c r="CM163" s="26"/>
      <c r="CN163" s="26"/>
      <c r="CO163" s="26"/>
      <c r="CP163" s="26"/>
      <c r="CQ163" s="26"/>
    </row>
    <row r="164" spans="1:95" s="29" customFormat="1" ht="15" customHeight="1" x14ac:dyDescent="0.25">
      <c r="A164" s="32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26"/>
      <c r="BH164" s="26"/>
      <c r="BI164" s="26"/>
      <c r="BJ164" s="26"/>
      <c r="BK164" s="26"/>
      <c r="BL164" s="26"/>
      <c r="BM164" s="26"/>
      <c r="BN164" s="26"/>
      <c r="BO164" s="26"/>
      <c r="BP164" s="26"/>
      <c r="BQ164" s="26"/>
      <c r="BR164" s="26"/>
      <c r="BS164" s="26"/>
      <c r="BT164" s="26"/>
      <c r="BU164" s="26"/>
      <c r="BV164" s="26"/>
      <c r="BW164" s="26"/>
      <c r="BX164" s="26"/>
      <c r="BY164" s="26"/>
      <c r="BZ164" s="26"/>
      <c r="CA164" s="26"/>
      <c r="CB164" s="26"/>
      <c r="CC164" s="26"/>
      <c r="CD164" s="26"/>
      <c r="CE164" s="26"/>
      <c r="CF164" s="26"/>
      <c r="CG164" s="26"/>
      <c r="CH164" s="26"/>
      <c r="CI164" s="26"/>
      <c r="CJ164" s="26"/>
      <c r="CK164" s="26"/>
      <c r="CL164" s="26"/>
      <c r="CM164" s="26"/>
      <c r="CN164" s="26"/>
      <c r="CO164" s="26"/>
      <c r="CP164" s="26"/>
      <c r="CQ164" s="26"/>
    </row>
    <row r="165" spans="1:95" s="29" customFormat="1" ht="15" customHeight="1" x14ac:dyDescent="0.25">
      <c r="A165" s="32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  <c r="BH165" s="26"/>
      <c r="BI165" s="26"/>
      <c r="BJ165" s="26"/>
      <c r="BK165" s="26"/>
      <c r="BL165" s="26"/>
      <c r="BM165" s="26"/>
      <c r="BN165" s="26"/>
      <c r="BO165" s="26"/>
      <c r="BP165" s="26"/>
      <c r="BQ165" s="26"/>
      <c r="BR165" s="26"/>
      <c r="BS165" s="26"/>
      <c r="BT165" s="26"/>
      <c r="BU165" s="26"/>
      <c r="BV165" s="26"/>
      <c r="BW165" s="26"/>
      <c r="BX165" s="26"/>
      <c r="BY165" s="26"/>
      <c r="BZ165" s="26"/>
      <c r="CA165" s="26"/>
      <c r="CB165" s="26"/>
      <c r="CC165" s="26"/>
      <c r="CD165" s="26"/>
      <c r="CE165" s="26"/>
      <c r="CF165" s="26"/>
      <c r="CG165" s="26"/>
      <c r="CH165" s="26"/>
      <c r="CI165" s="26"/>
      <c r="CJ165" s="26"/>
      <c r="CK165" s="26"/>
      <c r="CL165" s="26"/>
      <c r="CM165" s="26"/>
      <c r="CN165" s="26"/>
      <c r="CO165" s="26"/>
      <c r="CP165" s="26"/>
      <c r="CQ165" s="26"/>
    </row>
    <row r="166" spans="1:95" s="29" customFormat="1" ht="15" customHeight="1" x14ac:dyDescent="0.25">
      <c r="A166" s="32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26"/>
      <c r="AV166" s="26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G166" s="26"/>
      <c r="BH166" s="26"/>
      <c r="BI166" s="26"/>
      <c r="BJ166" s="26"/>
      <c r="BK166" s="26"/>
      <c r="BL166" s="26"/>
      <c r="BM166" s="26"/>
      <c r="BN166" s="26"/>
      <c r="BO166" s="26"/>
      <c r="BP166" s="26"/>
      <c r="BQ166" s="26"/>
      <c r="BR166" s="26"/>
      <c r="BS166" s="26"/>
      <c r="BT166" s="26"/>
      <c r="BU166" s="26"/>
      <c r="BV166" s="26"/>
      <c r="BW166" s="26"/>
      <c r="BX166" s="26"/>
      <c r="BY166" s="26"/>
      <c r="BZ166" s="26"/>
      <c r="CA166" s="26"/>
      <c r="CB166" s="26"/>
      <c r="CC166" s="26"/>
      <c r="CD166" s="26"/>
      <c r="CE166" s="26"/>
      <c r="CF166" s="26"/>
      <c r="CG166" s="26"/>
      <c r="CH166" s="26"/>
      <c r="CI166" s="26"/>
      <c r="CJ166" s="26"/>
      <c r="CK166" s="26"/>
      <c r="CL166" s="26"/>
      <c r="CM166" s="26"/>
      <c r="CN166" s="26"/>
      <c r="CO166" s="26"/>
      <c r="CP166" s="26"/>
      <c r="CQ166" s="26"/>
    </row>
    <row r="167" spans="1:95" s="29" customFormat="1" ht="15" customHeight="1" x14ac:dyDescent="0.25">
      <c r="A167" s="32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  <c r="AQ167" s="26"/>
      <c r="AR167" s="26"/>
      <c r="AS167" s="26"/>
      <c r="AT167" s="26"/>
      <c r="AU167" s="26"/>
      <c r="AV167" s="26"/>
      <c r="AW167" s="26"/>
      <c r="AX167" s="26"/>
      <c r="AY167" s="26"/>
      <c r="AZ167" s="26"/>
      <c r="BA167" s="26"/>
      <c r="BB167" s="26"/>
      <c r="BC167" s="26"/>
      <c r="BD167" s="26"/>
      <c r="BE167" s="26"/>
      <c r="BF167" s="26"/>
      <c r="BG167" s="26"/>
      <c r="BH167" s="26"/>
      <c r="BI167" s="26"/>
      <c r="BJ167" s="26"/>
      <c r="BK167" s="26"/>
      <c r="BL167" s="26"/>
      <c r="BM167" s="26"/>
      <c r="BN167" s="26"/>
      <c r="BO167" s="26"/>
      <c r="BP167" s="26"/>
      <c r="BQ167" s="26"/>
      <c r="BR167" s="26"/>
      <c r="BS167" s="26"/>
      <c r="BT167" s="26"/>
      <c r="BU167" s="26"/>
      <c r="BV167" s="26"/>
      <c r="BW167" s="26"/>
      <c r="BX167" s="26"/>
      <c r="BY167" s="26"/>
      <c r="BZ167" s="26"/>
      <c r="CA167" s="26"/>
      <c r="CB167" s="26"/>
      <c r="CC167" s="26"/>
      <c r="CD167" s="26"/>
      <c r="CE167" s="26"/>
      <c r="CF167" s="26"/>
      <c r="CG167" s="26"/>
      <c r="CH167" s="26"/>
      <c r="CI167" s="26"/>
      <c r="CJ167" s="26"/>
      <c r="CK167" s="26"/>
      <c r="CL167" s="26"/>
      <c r="CM167" s="26"/>
      <c r="CN167" s="26"/>
      <c r="CO167" s="26"/>
      <c r="CP167" s="26"/>
      <c r="CQ167" s="26"/>
    </row>
    <row r="168" spans="1:95" s="29" customFormat="1" ht="15" customHeight="1" x14ac:dyDescent="0.25">
      <c r="A168" s="32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26"/>
      <c r="AS168" s="26"/>
      <c r="AT168" s="26"/>
      <c r="AU168" s="26"/>
      <c r="AV168" s="26"/>
      <c r="AW168" s="26"/>
      <c r="AX168" s="26"/>
      <c r="AY168" s="26"/>
      <c r="AZ168" s="26"/>
      <c r="BA168" s="26"/>
      <c r="BB168" s="26"/>
      <c r="BC168" s="26"/>
      <c r="BD168" s="26"/>
      <c r="BE168" s="26"/>
      <c r="BF168" s="26"/>
      <c r="BG168" s="26"/>
      <c r="BH168" s="26"/>
      <c r="BI168" s="26"/>
      <c r="BJ168" s="26"/>
      <c r="BK168" s="26"/>
      <c r="BL168" s="26"/>
      <c r="BM168" s="26"/>
      <c r="BN168" s="26"/>
      <c r="BO168" s="26"/>
      <c r="BP168" s="26"/>
      <c r="BQ168" s="26"/>
      <c r="BR168" s="26"/>
      <c r="BS168" s="26"/>
      <c r="BT168" s="26"/>
      <c r="BU168" s="26"/>
      <c r="BV168" s="26"/>
      <c r="BW168" s="26"/>
      <c r="BX168" s="26"/>
      <c r="BY168" s="26"/>
      <c r="BZ168" s="26"/>
      <c r="CA168" s="26"/>
      <c r="CB168" s="26"/>
      <c r="CC168" s="26"/>
      <c r="CD168" s="26"/>
      <c r="CE168" s="26"/>
      <c r="CF168" s="26"/>
      <c r="CG168" s="26"/>
      <c r="CH168" s="26"/>
      <c r="CI168" s="26"/>
      <c r="CJ168" s="26"/>
      <c r="CK168" s="26"/>
      <c r="CL168" s="26"/>
      <c r="CM168" s="26"/>
      <c r="CN168" s="26"/>
      <c r="CO168" s="26"/>
      <c r="CP168" s="26"/>
      <c r="CQ168" s="26"/>
    </row>
    <row r="169" spans="1:95" s="29" customFormat="1" ht="15" customHeight="1" x14ac:dyDescent="0.25">
      <c r="A169" s="32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/>
      <c r="AV169" s="26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26"/>
      <c r="BH169" s="26"/>
      <c r="BI169" s="26"/>
      <c r="BJ169" s="26"/>
      <c r="BK169" s="26"/>
      <c r="BL169" s="26"/>
      <c r="BM169" s="26"/>
      <c r="BN169" s="26"/>
      <c r="BO169" s="26"/>
      <c r="BP169" s="26"/>
      <c r="BQ169" s="26"/>
      <c r="BR169" s="26"/>
      <c r="BS169" s="26"/>
      <c r="BT169" s="26"/>
      <c r="BU169" s="26"/>
      <c r="BV169" s="26"/>
      <c r="BW169" s="26"/>
      <c r="BX169" s="26"/>
      <c r="BY169" s="26"/>
      <c r="BZ169" s="26"/>
      <c r="CA169" s="26"/>
      <c r="CB169" s="26"/>
      <c r="CC169" s="26"/>
      <c r="CD169" s="26"/>
      <c r="CE169" s="26"/>
      <c r="CF169" s="26"/>
      <c r="CG169" s="26"/>
      <c r="CH169" s="26"/>
      <c r="CI169" s="26"/>
      <c r="CJ169" s="26"/>
      <c r="CK169" s="26"/>
      <c r="CL169" s="26"/>
      <c r="CM169" s="26"/>
      <c r="CN169" s="26"/>
      <c r="CO169" s="26"/>
      <c r="CP169" s="26"/>
      <c r="CQ169" s="26"/>
    </row>
    <row r="170" spans="1:95" s="29" customFormat="1" ht="15" customHeight="1" x14ac:dyDescent="0.25">
      <c r="A170" s="32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/>
      <c r="AV170" s="26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26"/>
      <c r="BH170" s="26"/>
      <c r="BI170" s="26"/>
      <c r="BJ170" s="26"/>
      <c r="BK170" s="26"/>
      <c r="BL170" s="26"/>
      <c r="BM170" s="26"/>
      <c r="BN170" s="26"/>
      <c r="BO170" s="26"/>
      <c r="BP170" s="26"/>
      <c r="BQ170" s="26"/>
      <c r="BR170" s="26"/>
      <c r="BS170" s="26"/>
      <c r="BT170" s="26"/>
      <c r="BU170" s="26"/>
      <c r="BV170" s="26"/>
      <c r="BW170" s="26"/>
      <c r="BX170" s="26"/>
      <c r="BY170" s="26"/>
      <c r="BZ170" s="26"/>
      <c r="CA170" s="26"/>
      <c r="CB170" s="26"/>
      <c r="CC170" s="26"/>
      <c r="CD170" s="26"/>
      <c r="CE170" s="26"/>
      <c r="CF170" s="26"/>
      <c r="CG170" s="26"/>
      <c r="CH170" s="26"/>
      <c r="CI170" s="26"/>
      <c r="CJ170" s="26"/>
      <c r="CK170" s="26"/>
      <c r="CL170" s="26"/>
      <c r="CM170" s="26"/>
      <c r="CN170" s="26"/>
      <c r="CO170" s="26"/>
      <c r="CP170" s="26"/>
      <c r="CQ170" s="26"/>
    </row>
    <row r="171" spans="1:95" s="29" customFormat="1" ht="15" customHeight="1" x14ac:dyDescent="0.25">
      <c r="A171" s="32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  <c r="AU171" s="26"/>
      <c r="AV171" s="26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26"/>
      <c r="BH171" s="26"/>
      <c r="BI171" s="26"/>
      <c r="BJ171" s="26"/>
      <c r="BK171" s="26"/>
      <c r="BL171" s="26"/>
      <c r="BM171" s="26"/>
      <c r="BN171" s="26"/>
      <c r="BO171" s="26"/>
      <c r="BP171" s="26"/>
      <c r="BQ171" s="26"/>
      <c r="BR171" s="26"/>
      <c r="BS171" s="26"/>
      <c r="BT171" s="26"/>
      <c r="BU171" s="26"/>
      <c r="BV171" s="26"/>
      <c r="BW171" s="26"/>
      <c r="BX171" s="26"/>
      <c r="BY171" s="26"/>
      <c r="BZ171" s="26"/>
      <c r="CA171" s="26"/>
      <c r="CB171" s="26"/>
      <c r="CC171" s="26"/>
      <c r="CD171" s="26"/>
      <c r="CE171" s="26"/>
      <c r="CF171" s="26"/>
      <c r="CG171" s="26"/>
      <c r="CH171" s="26"/>
      <c r="CI171" s="26"/>
      <c r="CJ171" s="26"/>
      <c r="CK171" s="26"/>
      <c r="CL171" s="26"/>
      <c r="CM171" s="26"/>
      <c r="CN171" s="26"/>
      <c r="CO171" s="26"/>
      <c r="CP171" s="26"/>
      <c r="CQ171" s="26"/>
    </row>
    <row r="172" spans="1:95" s="29" customFormat="1" ht="15" customHeight="1" x14ac:dyDescent="0.25">
      <c r="A172" s="32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  <c r="BH172" s="26"/>
      <c r="BI172" s="26"/>
      <c r="BJ172" s="26"/>
      <c r="BK172" s="26"/>
      <c r="BL172" s="26"/>
      <c r="BM172" s="26"/>
      <c r="BN172" s="26"/>
      <c r="BO172" s="26"/>
      <c r="BP172" s="26"/>
      <c r="BQ172" s="26"/>
      <c r="BR172" s="26"/>
      <c r="BS172" s="26"/>
      <c r="BT172" s="26"/>
      <c r="BU172" s="26"/>
      <c r="BV172" s="26"/>
      <c r="BW172" s="26"/>
      <c r="BX172" s="26"/>
      <c r="BY172" s="26"/>
      <c r="BZ172" s="26"/>
      <c r="CA172" s="26"/>
      <c r="CB172" s="26"/>
      <c r="CC172" s="26"/>
      <c r="CD172" s="26"/>
      <c r="CE172" s="26"/>
      <c r="CF172" s="26"/>
      <c r="CG172" s="26"/>
      <c r="CH172" s="26"/>
      <c r="CI172" s="26"/>
      <c r="CJ172" s="26"/>
      <c r="CK172" s="26"/>
      <c r="CL172" s="26"/>
      <c r="CM172" s="26"/>
      <c r="CN172" s="26"/>
      <c r="CO172" s="26"/>
      <c r="CP172" s="26"/>
      <c r="CQ172" s="26"/>
    </row>
    <row r="173" spans="1:95" s="29" customFormat="1" ht="15" customHeight="1" x14ac:dyDescent="0.25">
      <c r="A173" s="32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  <c r="AU173" s="26"/>
      <c r="AV173" s="26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26"/>
      <c r="BH173" s="26"/>
      <c r="BI173" s="26"/>
      <c r="BJ173" s="26"/>
      <c r="BK173" s="26"/>
      <c r="BL173" s="26"/>
      <c r="BM173" s="26"/>
      <c r="BN173" s="26"/>
      <c r="BO173" s="26"/>
      <c r="BP173" s="26"/>
      <c r="BQ173" s="26"/>
      <c r="BR173" s="26"/>
      <c r="BS173" s="26"/>
      <c r="BT173" s="26"/>
      <c r="BU173" s="26"/>
      <c r="BV173" s="26"/>
      <c r="BW173" s="26"/>
      <c r="BX173" s="26"/>
      <c r="BY173" s="26"/>
      <c r="BZ173" s="26"/>
      <c r="CA173" s="26"/>
      <c r="CB173" s="26"/>
      <c r="CC173" s="26"/>
      <c r="CD173" s="26"/>
      <c r="CE173" s="26"/>
      <c r="CF173" s="26"/>
      <c r="CG173" s="26"/>
      <c r="CH173" s="26"/>
      <c r="CI173" s="26"/>
      <c r="CJ173" s="26"/>
      <c r="CK173" s="26"/>
      <c r="CL173" s="26"/>
      <c r="CM173" s="26"/>
      <c r="CN173" s="26"/>
      <c r="CO173" s="26"/>
      <c r="CP173" s="26"/>
      <c r="CQ173" s="26"/>
    </row>
    <row r="174" spans="1:95" s="29" customFormat="1" ht="15" customHeight="1" x14ac:dyDescent="0.25">
      <c r="A174" s="32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26"/>
      <c r="AQ174" s="26"/>
      <c r="AR174" s="26"/>
      <c r="AS174" s="26"/>
      <c r="AT174" s="26"/>
      <c r="AU174" s="26"/>
      <c r="AV174" s="26"/>
      <c r="AW174" s="26"/>
      <c r="AX174" s="26"/>
      <c r="AY174" s="26"/>
      <c r="AZ174" s="26"/>
      <c r="BA174" s="26"/>
      <c r="BB174" s="26"/>
      <c r="BC174" s="26"/>
      <c r="BD174" s="26"/>
      <c r="BE174" s="26"/>
      <c r="BF174" s="26"/>
      <c r="BG174" s="26"/>
      <c r="BH174" s="26"/>
      <c r="BI174" s="26"/>
      <c r="BJ174" s="26"/>
      <c r="BK174" s="26"/>
      <c r="BL174" s="26"/>
      <c r="BM174" s="26"/>
      <c r="BN174" s="26"/>
      <c r="BO174" s="26"/>
      <c r="BP174" s="26"/>
      <c r="BQ174" s="26"/>
      <c r="BR174" s="26"/>
      <c r="BS174" s="26"/>
      <c r="BT174" s="26"/>
      <c r="BU174" s="26"/>
      <c r="BV174" s="26"/>
      <c r="BW174" s="26"/>
      <c r="BX174" s="26"/>
      <c r="BY174" s="26"/>
      <c r="BZ174" s="26"/>
      <c r="CA174" s="26"/>
      <c r="CB174" s="26"/>
      <c r="CC174" s="26"/>
      <c r="CD174" s="26"/>
      <c r="CE174" s="26"/>
      <c r="CF174" s="26"/>
      <c r="CG174" s="26"/>
      <c r="CH174" s="26"/>
      <c r="CI174" s="26"/>
      <c r="CJ174" s="26"/>
      <c r="CK174" s="26"/>
      <c r="CL174" s="26"/>
      <c r="CM174" s="26"/>
      <c r="CN174" s="26"/>
      <c r="CO174" s="26"/>
      <c r="CP174" s="26"/>
      <c r="CQ174" s="26"/>
    </row>
    <row r="175" spans="1:95" s="29" customFormat="1" ht="15" customHeight="1" x14ac:dyDescent="0.25">
      <c r="A175" s="32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  <c r="AP175" s="26"/>
      <c r="AQ175" s="26"/>
      <c r="AR175" s="26"/>
      <c r="AS175" s="26"/>
      <c r="AT175" s="26"/>
      <c r="AU175" s="26"/>
      <c r="AV175" s="26"/>
      <c r="AW175" s="26"/>
      <c r="AX175" s="26"/>
      <c r="AY175" s="26"/>
      <c r="AZ175" s="26"/>
      <c r="BA175" s="26"/>
      <c r="BB175" s="26"/>
      <c r="BC175" s="26"/>
      <c r="BD175" s="26"/>
      <c r="BE175" s="26"/>
      <c r="BF175" s="26"/>
      <c r="BG175" s="26"/>
      <c r="BH175" s="26"/>
      <c r="BI175" s="26"/>
      <c r="BJ175" s="26"/>
      <c r="BK175" s="26"/>
      <c r="BL175" s="26"/>
      <c r="BM175" s="26"/>
      <c r="BN175" s="26"/>
      <c r="BO175" s="26"/>
      <c r="BP175" s="26"/>
      <c r="BQ175" s="26"/>
      <c r="BR175" s="26"/>
      <c r="BS175" s="26"/>
      <c r="BT175" s="26"/>
      <c r="BU175" s="26"/>
      <c r="BV175" s="26"/>
      <c r="BW175" s="26"/>
      <c r="BX175" s="26"/>
      <c r="BY175" s="26"/>
      <c r="BZ175" s="26"/>
      <c r="CA175" s="26"/>
      <c r="CB175" s="26"/>
      <c r="CC175" s="26"/>
      <c r="CD175" s="26"/>
      <c r="CE175" s="26"/>
      <c r="CF175" s="26"/>
      <c r="CG175" s="26"/>
      <c r="CH175" s="26"/>
      <c r="CI175" s="26"/>
      <c r="CJ175" s="26"/>
      <c r="CK175" s="26"/>
      <c r="CL175" s="26"/>
      <c r="CM175" s="26"/>
      <c r="CN175" s="26"/>
      <c r="CO175" s="26"/>
      <c r="CP175" s="26"/>
      <c r="CQ175" s="26"/>
    </row>
    <row r="176" spans="1:95" s="29" customFormat="1" ht="15" customHeight="1" x14ac:dyDescent="0.25">
      <c r="A176" s="32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  <c r="AQ176" s="26"/>
      <c r="AR176" s="26"/>
      <c r="AS176" s="26"/>
      <c r="AT176" s="26"/>
      <c r="AU176" s="26"/>
      <c r="AV176" s="26"/>
      <c r="AW176" s="26"/>
      <c r="AX176" s="26"/>
      <c r="AY176" s="26"/>
      <c r="AZ176" s="26"/>
      <c r="BA176" s="26"/>
      <c r="BB176" s="26"/>
      <c r="BC176" s="26"/>
      <c r="BD176" s="26"/>
      <c r="BE176" s="26"/>
      <c r="BF176" s="26"/>
      <c r="BG176" s="26"/>
      <c r="BH176" s="26"/>
      <c r="BI176" s="26"/>
      <c r="BJ176" s="26"/>
      <c r="BK176" s="26"/>
      <c r="BL176" s="26"/>
      <c r="BM176" s="26"/>
      <c r="BN176" s="26"/>
      <c r="BO176" s="26"/>
      <c r="BP176" s="26"/>
      <c r="BQ176" s="26"/>
      <c r="BR176" s="26"/>
      <c r="BS176" s="26"/>
      <c r="BT176" s="26"/>
      <c r="BU176" s="26"/>
      <c r="BV176" s="26"/>
      <c r="BW176" s="26"/>
      <c r="BX176" s="26"/>
      <c r="BY176" s="26"/>
      <c r="BZ176" s="26"/>
      <c r="CA176" s="26"/>
      <c r="CB176" s="26"/>
      <c r="CC176" s="26"/>
      <c r="CD176" s="26"/>
      <c r="CE176" s="26"/>
      <c r="CF176" s="26"/>
      <c r="CG176" s="26"/>
      <c r="CH176" s="26"/>
      <c r="CI176" s="26"/>
      <c r="CJ176" s="26"/>
      <c r="CK176" s="26"/>
      <c r="CL176" s="26"/>
      <c r="CM176" s="26"/>
      <c r="CN176" s="26"/>
      <c r="CO176" s="26"/>
      <c r="CP176" s="26"/>
      <c r="CQ176" s="26"/>
    </row>
    <row r="177" spans="1:95" s="29" customFormat="1" ht="15" customHeight="1" x14ac:dyDescent="0.25">
      <c r="A177" s="32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  <c r="AU177" s="26"/>
      <c r="AV177" s="26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26"/>
      <c r="BH177" s="26"/>
      <c r="BI177" s="26"/>
      <c r="BJ177" s="26"/>
      <c r="BK177" s="26"/>
      <c r="BL177" s="26"/>
      <c r="BM177" s="26"/>
      <c r="BN177" s="26"/>
      <c r="BO177" s="26"/>
      <c r="BP177" s="26"/>
      <c r="BQ177" s="26"/>
      <c r="BR177" s="26"/>
      <c r="BS177" s="26"/>
      <c r="BT177" s="26"/>
      <c r="BU177" s="26"/>
      <c r="BV177" s="26"/>
      <c r="BW177" s="26"/>
      <c r="BX177" s="26"/>
      <c r="BY177" s="26"/>
      <c r="BZ177" s="26"/>
      <c r="CA177" s="26"/>
      <c r="CB177" s="26"/>
      <c r="CC177" s="26"/>
      <c r="CD177" s="26"/>
      <c r="CE177" s="26"/>
      <c r="CF177" s="26"/>
      <c r="CG177" s="26"/>
      <c r="CH177" s="26"/>
      <c r="CI177" s="26"/>
      <c r="CJ177" s="26"/>
      <c r="CK177" s="26"/>
      <c r="CL177" s="26"/>
      <c r="CM177" s="26"/>
      <c r="CN177" s="26"/>
      <c r="CO177" s="26"/>
      <c r="CP177" s="26"/>
      <c r="CQ177" s="26"/>
    </row>
    <row r="178" spans="1:95" s="29" customFormat="1" ht="15" customHeight="1" x14ac:dyDescent="0.25">
      <c r="A178" s="32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26"/>
      <c r="BH178" s="26"/>
      <c r="BI178" s="26"/>
      <c r="BJ178" s="26"/>
      <c r="BK178" s="26"/>
      <c r="BL178" s="26"/>
      <c r="BM178" s="26"/>
      <c r="BN178" s="26"/>
      <c r="BO178" s="26"/>
      <c r="BP178" s="26"/>
      <c r="BQ178" s="26"/>
      <c r="BR178" s="26"/>
      <c r="BS178" s="26"/>
      <c r="BT178" s="26"/>
      <c r="BU178" s="26"/>
      <c r="BV178" s="26"/>
      <c r="BW178" s="26"/>
      <c r="BX178" s="26"/>
      <c r="BY178" s="26"/>
      <c r="BZ178" s="26"/>
      <c r="CA178" s="26"/>
      <c r="CB178" s="26"/>
      <c r="CC178" s="26"/>
      <c r="CD178" s="26"/>
      <c r="CE178" s="26"/>
      <c r="CF178" s="26"/>
      <c r="CG178" s="26"/>
      <c r="CH178" s="26"/>
      <c r="CI178" s="26"/>
      <c r="CJ178" s="26"/>
      <c r="CK178" s="26"/>
      <c r="CL178" s="26"/>
      <c r="CM178" s="26"/>
      <c r="CN178" s="26"/>
      <c r="CO178" s="26"/>
      <c r="CP178" s="26"/>
      <c r="CQ178" s="26"/>
    </row>
    <row r="179" spans="1:95" s="29" customFormat="1" ht="15" customHeight="1" x14ac:dyDescent="0.25">
      <c r="A179" s="32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  <c r="BH179" s="26"/>
      <c r="BI179" s="26"/>
      <c r="BJ179" s="26"/>
      <c r="BK179" s="26"/>
      <c r="BL179" s="26"/>
      <c r="BM179" s="26"/>
      <c r="BN179" s="26"/>
      <c r="BO179" s="26"/>
      <c r="BP179" s="26"/>
      <c r="BQ179" s="26"/>
      <c r="BR179" s="26"/>
      <c r="BS179" s="26"/>
      <c r="BT179" s="26"/>
      <c r="BU179" s="26"/>
      <c r="BV179" s="26"/>
      <c r="BW179" s="26"/>
      <c r="BX179" s="26"/>
      <c r="BY179" s="26"/>
      <c r="BZ179" s="26"/>
      <c r="CA179" s="26"/>
      <c r="CB179" s="26"/>
      <c r="CC179" s="26"/>
      <c r="CD179" s="26"/>
      <c r="CE179" s="26"/>
      <c r="CF179" s="26"/>
      <c r="CG179" s="26"/>
      <c r="CH179" s="26"/>
      <c r="CI179" s="26"/>
      <c r="CJ179" s="26"/>
      <c r="CK179" s="26"/>
      <c r="CL179" s="26"/>
      <c r="CM179" s="26"/>
      <c r="CN179" s="26"/>
      <c r="CO179" s="26"/>
      <c r="CP179" s="26"/>
      <c r="CQ179" s="26"/>
    </row>
    <row r="180" spans="1:95" s="29" customFormat="1" ht="15" customHeight="1" x14ac:dyDescent="0.25">
      <c r="A180" s="32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  <c r="AU180" s="26"/>
      <c r="AV180" s="26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26"/>
      <c r="BH180" s="26"/>
      <c r="BI180" s="26"/>
      <c r="BJ180" s="26"/>
      <c r="BK180" s="26"/>
      <c r="BL180" s="26"/>
      <c r="BM180" s="26"/>
      <c r="BN180" s="26"/>
      <c r="BO180" s="26"/>
      <c r="BP180" s="26"/>
      <c r="BQ180" s="26"/>
      <c r="BR180" s="26"/>
      <c r="BS180" s="26"/>
      <c r="BT180" s="26"/>
      <c r="BU180" s="26"/>
      <c r="BV180" s="26"/>
      <c r="BW180" s="26"/>
      <c r="BX180" s="26"/>
      <c r="BY180" s="26"/>
      <c r="BZ180" s="26"/>
      <c r="CA180" s="26"/>
      <c r="CB180" s="26"/>
      <c r="CC180" s="26"/>
      <c r="CD180" s="26"/>
      <c r="CE180" s="26"/>
      <c r="CF180" s="26"/>
      <c r="CG180" s="26"/>
      <c r="CH180" s="26"/>
      <c r="CI180" s="26"/>
      <c r="CJ180" s="26"/>
      <c r="CK180" s="26"/>
      <c r="CL180" s="26"/>
      <c r="CM180" s="26"/>
      <c r="CN180" s="26"/>
      <c r="CO180" s="26"/>
      <c r="CP180" s="26"/>
      <c r="CQ180" s="26"/>
    </row>
    <row r="181" spans="1:95" s="29" customFormat="1" ht="15" customHeight="1" x14ac:dyDescent="0.25">
      <c r="A181" s="32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26"/>
      <c r="BH181" s="26"/>
      <c r="BI181" s="26"/>
      <c r="BJ181" s="26"/>
      <c r="BK181" s="26"/>
      <c r="BL181" s="26"/>
      <c r="BM181" s="26"/>
      <c r="BN181" s="26"/>
      <c r="BO181" s="26"/>
      <c r="BP181" s="26"/>
      <c r="BQ181" s="26"/>
      <c r="BR181" s="26"/>
      <c r="BS181" s="26"/>
      <c r="BT181" s="26"/>
      <c r="BU181" s="26"/>
      <c r="BV181" s="26"/>
      <c r="BW181" s="26"/>
      <c r="BX181" s="26"/>
      <c r="BY181" s="26"/>
      <c r="BZ181" s="26"/>
      <c r="CA181" s="26"/>
      <c r="CB181" s="26"/>
      <c r="CC181" s="26"/>
      <c r="CD181" s="26"/>
      <c r="CE181" s="26"/>
      <c r="CF181" s="26"/>
      <c r="CG181" s="26"/>
      <c r="CH181" s="26"/>
      <c r="CI181" s="26"/>
      <c r="CJ181" s="26"/>
      <c r="CK181" s="26"/>
      <c r="CL181" s="26"/>
      <c r="CM181" s="26"/>
      <c r="CN181" s="26"/>
      <c r="CO181" s="26"/>
      <c r="CP181" s="26"/>
      <c r="CQ181" s="26"/>
    </row>
    <row r="182" spans="1:95" s="29" customFormat="1" ht="15" customHeight="1" x14ac:dyDescent="0.25">
      <c r="A182" s="32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  <c r="AP182" s="26"/>
      <c r="AQ182" s="26"/>
      <c r="AR182" s="26"/>
      <c r="AS182" s="26"/>
      <c r="AT182" s="26"/>
      <c r="AU182" s="26"/>
      <c r="AV182" s="26"/>
      <c r="AW182" s="26"/>
      <c r="AX182" s="26"/>
      <c r="AY182" s="26"/>
      <c r="AZ182" s="26"/>
      <c r="BA182" s="26"/>
      <c r="BB182" s="26"/>
      <c r="BC182" s="26"/>
      <c r="BD182" s="26"/>
      <c r="BE182" s="26"/>
      <c r="BF182" s="26"/>
      <c r="BG182" s="26"/>
      <c r="BH182" s="26"/>
      <c r="BI182" s="26"/>
      <c r="BJ182" s="26"/>
      <c r="BK182" s="26"/>
      <c r="BL182" s="26"/>
      <c r="BM182" s="26"/>
      <c r="BN182" s="26"/>
      <c r="BO182" s="26"/>
      <c r="BP182" s="26"/>
      <c r="BQ182" s="26"/>
      <c r="BR182" s="26"/>
      <c r="BS182" s="26"/>
      <c r="BT182" s="26"/>
      <c r="BU182" s="26"/>
      <c r="BV182" s="26"/>
      <c r="BW182" s="26"/>
      <c r="BX182" s="26"/>
      <c r="BY182" s="26"/>
      <c r="BZ182" s="26"/>
      <c r="CA182" s="26"/>
      <c r="CB182" s="26"/>
      <c r="CC182" s="26"/>
      <c r="CD182" s="26"/>
      <c r="CE182" s="26"/>
      <c r="CF182" s="26"/>
      <c r="CG182" s="26"/>
      <c r="CH182" s="26"/>
      <c r="CI182" s="26"/>
      <c r="CJ182" s="26"/>
      <c r="CK182" s="26"/>
      <c r="CL182" s="26"/>
      <c r="CM182" s="26"/>
      <c r="CN182" s="26"/>
      <c r="CO182" s="26"/>
      <c r="CP182" s="26"/>
      <c r="CQ182" s="26"/>
    </row>
    <row r="183" spans="1:95" s="29" customFormat="1" ht="15" customHeight="1" x14ac:dyDescent="0.25">
      <c r="A183" s="32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  <c r="AP183" s="26"/>
      <c r="AQ183" s="26"/>
      <c r="AR183" s="26"/>
      <c r="AS183" s="26"/>
      <c r="AT183" s="26"/>
      <c r="AU183" s="26"/>
      <c r="AV183" s="26"/>
      <c r="AW183" s="26"/>
      <c r="AX183" s="26"/>
      <c r="AY183" s="26"/>
      <c r="AZ183" s="26"/>
      <c r="BA183" s="26"/>
      <c r="BB183" s="26"/>
      <c r="BC183" s="26"/>
      <c r="BD183" s="26"/>
      <c r="BE183" s="26"/>
      <c r="BF183" s="26"/>
      <c r="BG183" s="26"/>
      <c r="BH183" s="26"/>
      <c r="BI183" s="26"/>
      <c r="BJ183" s="26"/>
      <c r="BK183" s="26"/>
      <c r="BL183" s="26"/>
      <c r="BM183" s="26"/>
      <c r="BN183" s="26"/>
      <c r="BO183" s="26"/>
      <c r="BP183" s="26"/>
      <c r="BQ183" s="26"/>
      <c r="BR183" s="26"/>
      <c r="BS183" s="26"/>
      <c r="BT183" s="26"/>
      <c r="BU183" s="26"/>
      <c r="BV183" s="26"/>
      <c r="BW183" s="26"/>
      <c r="BX183" s="26"/>
      <c r="BY183" s="26"/>
      <c r="BZ183" s="26"/>
      <c r="CA183" s="26"/>
      <c r="CB183" s="26"/>
      <c r="CC183" s="26"/>
      <c r="CD183" s="26"/>
      <c r="CE183" s="26"/>
      <c r="CF183" s="26"/>
      <c r="CG183" s="26"/>
      <c r="CH183" s="26"/>
      <c r="CI183" s="26"/>
      <c r="CJ183" s="26"/>
      <c r="CK183" s="26"/>
      <c r="CL183" s="26"/>
      <c r="CM183" s="26"/>
      <c r="CN183" s="26"/>
      <c r="CO183" s="26"/>
      <c r="CP183" s="26"/>
      <c r="CQ183" s="26"/>
    </row>
    <row r="184" spans="1:95" s="29" customFormat="1" ht="15" customHeight="1" x14ac:dyDescent="0.25">
      <c r="A184" s="32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26"/>
      <c r="AQ184" s="26"/>
      <c r="AR184" s="26"/>
      <c r="AS184" s="26"/>
      <c r="AT184" s="26"/>
      <c r="AU184" s="26"/>
      <c r="AV184" s="26"/>
      <c r="AW184" s="26"/>
      <c r="AX184" s="26"/>
      <c r="AY184" s="26"/>
      <c r="AZ184" s="26"/>
      <c r="BA184" s="26"/>
      <c r="BB184" s="26"/>
      <c r="BC184" s="26"/>
      <c r="BD184" s="26"/>
      <c r="BE184" s="26"/>
      <c r="BF184" s="26"/>
      <c r="BG184" s="26"/>
      <c r="BH184" s="26"/>
      <c r="BI184" s="26"/>
      <c r="BJ184" s="26"/>
      <c r="BK184" s="26"/>
      <c r="BL184" s="26"/>
      <c r="BM184" s="26"/>
      <c r="BN184" s="26"/>
      <c r="BO184" s="26"/>
      <c r="BP184" s="26"/>
      <c r="BQ184" s="26"/>
      <c r="BR184" s="26"/>
      <c r="BS184" s="26"/>
      <c r="BT184" s="26"/>
      <c r="BU184" s="26"/>
      <c r="BV184" s="26"/>
      <c r="BW184" s="26"/>
      <c r="BX184" s="26"/>
      <c r="BY184" s="26"/>
      <c r="BZ184" s="26"/>
      <c r="CA184" s="26"/>
      <c r="CB184" s="26"/>
      <c r="CC184" s="26"/>
      <c r="CD184" s="26"/>
      <c r="CE184" s="26"/>
      <c r="CF184" s="26"/>
      <c r="CG184" s="26"/>
      <c r="CH184" s="26"/>
      <c r="CI184" s="26"/>
      <c r="CJ184" s="26"/>
      <c r="CK184" s="26"/>
      <c r="CL184" s="26"/>
      <c r="CM184" s="26"/>
      <c r="CN184" s="26"/>
      <c r="CO184" s="26"/>
      <c r="CP184" s="26"/>
      <c r="CQ184" s="26"/>
    </row>
    <row r="185" spans="1:95" s="29" customFormat="1" ht="15" customHeight="1" x14ac:dyDescent="0.25">
      <c r="A185" s="32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26"/>
      <c r="BH185" s="26"/>
      <c r="BI185" s="26"/>
      <c r="BJ185" s="26"/>
      <c r="BK185" s="26"/>
      <c r="BL185" s="26"/>
      <c r="BM185" s="26"/>
      <c r="BN185" s="26"/>
      <c r="BO185" s="26"/>
      <c r="BP185" s="26"/>
      <c r="BQ185" s="26"/>
      <c r="BR185" s="26"/>
      <c r="BS185" s="26"/>
      <c r="BT185" s="26"/>
      <c r="BU185" s="26"/>
      <c r="BV185" s="26"/>
      <c r="BW185" s="26"/>
      <c r="BX185" s="26"/>
      <c r="BY185" s="26"/>
      <c r="BZ185" s="26"/>
      <c r="CA185" s="26"/>
      <c r="CB185" s="26"/>
      <c r="CC185" s="26"/>
      <c r="CD185" s="26"/>
      <c r="CE185" s="26"/>
      <c r="CF185" s="26"/>
      <c r="CG185" s="26"/>
      <c r="CH185" s="26"/>
      <c r="CI185" s="26"/>
      <c r="CJ185" s="26"/>
      <c r="CK185" s="26"/>
      <c r="CL185" s="26"/>
      <c r="CM185" s="26"/>
      <c r="CN185" s="26"/>
      <c r="CO185" s="26"/>
      <c r="CP185" s="26"/>
      <c r="CQ185" s="26"/>
    </row>
    <row r="186" spans="1:95" s="29" customFormat="1" ht="15" customHeight="1" x14ac:dyDescent="0.25">
      <c r="A186" s="32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26"/>
      <c r="BH186" s="26"/>
      <c r="BI186" s="26"/>
      <c r="BJ186" s="26"/>
      <c r="BK186" s="26"/>
      <c r="BL186" s="26"/>
      <c r="BM186" s="26"/>
      <c r="BN186" s="26"/>
      <c r="BO186" s="26"/>
      <c r="BP186" s="26"/>
      <c r="BQ186" s="26"/>
      <c r="BR186" s="26"/>
      <c r="BS186" s="26"/>
      <c r="BT186" s="26"/>
      <c r="BU186" s="26"/>
      <c r="BV186" s="26"/>
      <c r="BW186" s="26"/>
      <c r="BX186" s="26"/>
      <c r="BY186" s="26"/>
      <c r="BZ186" s="26"/>
      <c r="CA186" s="26"/>
      <c r="CB186" s="26"/>
      <c r="CC186" s="26"/>
      <c r="CD186" s="26"/>
      <c r="CE186" s="26"/>
      <c r="CF186" s="26"/>
      <c r="CG186" s="26"/>
      <c r="CH186" s="26"/>
      <c r="CI186" s="26"/>
      <c r="CJ186" s="26"/>
      <c r="CK186" s="26"/>
      <c r="CL186" s="26"/>
      <c r="CM186" s="26"/>
      <c r="CN186" s="26"/>
      <c r="CO186" s="26"/>
      <c r="CP186" s="26"/>
      <c r="CQ186" s="26"/>
    </row>
    <row r="187" spans="1:95" s="29" customFormat="1" ht="15" customHeight="1" x14ac:dyDescent="0.25">
      <c r="A187" s="32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26"/>
      <c r="BH187" s="26"/>
      <c r="BI187" s="26"/>
      <c r="BJ187" s="26"/>
      <c r="BK187" s="26"/>
      <c r="BL187" s="26"/>
      <c r="BM187" s="26"/>
      <c r="BN187" s="26"/>
      <c r="BO187" s="26"/>
      <c r="BP187" s="26"/>
      <c r="BQ187" s="26"/>
      <c r="BR187" s="26"/>
      <c r="BS187" s="26"/>
      <c r="BT187" s="26"/>
      <c r="BU187" s="26"/>
      <c r="BV187" s="26"/>
      <c r="BW187" s="26"/>
      <c r="BX187" s="26"/>
      <c r="BY187" s="26"/>
      <c r="BZ187" s="26"/>
      <c r="CA187" s="26"/>
      <c r="CB187" s="26"/>
      <c r="CC187" s="26"/>
      <c r="CD187" s="26"/>
      <c r="CE187" s="26"/>
      <c r="CF187" s="26"/>
      <c r="CG187" s="26"/>
      <c r="CH187" s="26"/>
      <c r="CI187" s="26"/>
      <c r="CJ187" s="26"/>
      <c r="CK187" s="26"/>
      <c r="CL187" s="26"/>
      <c r="CM187" s="26"/>
      <c r="CN187" s="26"/>
      <c r="CO187" s="26"/>
      <c r="CP187" s="26"/>
      <c r="CQ187" s="26"/>
    </row>
    <row r="188" spans="1:95" s="29" customFormat="1" ht="15" customHeight="1" x14ac:dyDescent="0.25">
      <c r="A188" s="32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  <c r="AU188" s="26"/>
      <c r="AV188" s="26"/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26"/>
      <c r="BH188" s="26"/>
      <c r="BI188" s="26"/>
      <c r="BJ188" s="26"/>
      <c r="BK188" s="26"/>
      <c r="BL188" s="26"/>
      <c r="BM188" s="26"/>
      <c r="BN188" s="26"/>
      <c r="BO188" s="26"/>
      <c r="BP188" s="26"/>
      <c r="BQ188" s="26"/>
      <c r="BR188" s="26"/>
      <c r="BS188" s="26"/>
      <c r="BT188" s="26"/>
      <c r="BU188" s="26"/>
      <c r="BV188" s="26"/>
      <c r="BW188" s="26"/>
      <c r="BX188" s="26"/>
      <c r="BY188" s="26"/>
      <c r="BZ188" s="26"/>
      <c r="CA188" s="26"/>
      <c r="CB188" s="26"/>
      <c r="CC188" s="26"/>
      <c r="CD188" s="26"/>
      <c r="CE188" s="26"/>
      <c r="CF188" s="26"/>
      <c r="CG188" s="26"/>
      <c r="CH188" s="26"/>
      <c r="CI188" s="26"/>
      <c r="CJ188" s="26"/>
      <c r="CK188" s="26"/>
      <c r="CL188" s="26"/>
      <c r="CM188" s="26"/>
      <c r="CN188" s="26"/>
      <c r="CO188" s="26"/>
      <c r="CP188" s="26"/>
      <c r="CQ188" s="26"/>
    </row>
    <row r="189" spans="1:95" s="29" customFormat="1" ht="15" customHeight="1" x14ac:dyDescent="0.25">
      <c r="A189" s="32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  <c r="AX189" s="26"/>
      <c r="AY189" s="26"/>
      <c r="AZ189" s="26"/>
      <c r="BA189" s="26"/>
      <c r="BB189" s="26"/>
      <c r="BC189" s="26"/>
      <c r="BD189" s="26"/>
      <c r="BE189" s="26"/>
      <c r="BF189" s="26"/>
      <c r="BG189" s="26"/>
      <c r="BH189" s="26"/>
      <c r="BI189" s="26"/>
      <c r="BJ189" s="26"/>
      <c r="BK189" s="26"/>
      <c r="BL189" s="26"/>
      <c r="BM189" s="26"/>
      <c r="BN189" s="26"/>
      <c r="BO189" s="26"/>
      <c r="BP189" s="26"/>
      <c r="BQ189" s="26"/>
      <c r="BR189" s="26"/>
      <c r="BS189" s="26"/>
      <c r="BT189" s="26"/>
      <c r="BU189" s="26"/>
      <c r="BV189" s="26"/>
      <c r="BW189" s="26"/>
      <c r="BX189" s="26"/>
      <c r="BY189" s="26"/>
      <c r="BZ189" s="26"/>
      <c r="CA189" s="26"/>
      <c r="CB189" s="26"/>
      <c r="CC189" s="26"/>
      <c r="CD189" s="26"/>
      <c r="CE189" s="26"/>
      <c r="CF189" s="26"/>
      <c r="CG189" s="26"/>
      <c r="CH189" s="26"/>
      <c r="CI189" s="26"/>
      <c r="CJ189" s="26"/>
      <c r="CK189" s="26"/>
      <c r="CL189" s="26"/>
      <c r="CM189" s="26"/>
      <c r="CN189" s="26"/>
      <c r="CO189" s="26"/>
      <c r="CP189" s="26"/>
      <c r="CQ189" s="26"/>
    </row>
    <row r="190" spans="1:95" s="29" customFormat="1" ht="15" customHeight="1" x14ac:dyDescent="0.25">
      <c r="A190" s="32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  <c r="AO190" s="26"/>
      <c r="AP190" s="26"/>
      <c r="AQ190" s="26"/>
      <c r="AR190" s="26"/>
      <c r="AS190" s="26"/>
      <c r="AT190" s="26"/>
      <c r="AU190" s="26"/>
      <c r="AV190" s="26"/>
      <c r="AW190" s="26"/>
      <c r="AX190" s="26"/>
      <c r="AY190" s="26"/>
      <c r="AZ190" s="26"/>
      <c r="BA190" s="26"/>
      <c r="BB190" s="26"/>
      <c r="BC190" s="26"/>
      <c r="BD190" s="26"/>
      <c r="BE190" s="26"/>
      <c r="BF190" s="26"/>
      <c r="BG190" s="26"/>
      <c r="BH190" s="26"/>
      <c r="BI190" s="26"/>
      <c r="BJ190" s="26"/>
      <c r="BK190" s="26"/>
      <c r="BL190" s="26"/>
      <c r="BM190" s="26"/>
      <c r="BN190" s="26"/>
      <c r="BO190" s="26"/>
      <c r="BP190" s="26"/>
      <c r="BQ190" s="26"/>
      <c r="BR190" s="26"/>
      <c r="BS190" s="26"/>
      <c r="BT190" s="26"/>
      <c r="BU190" s="26"/>
      <c r="BV190" s="26"/>
      <c r="BW190" s="26"/>
      <c r="BX190" s="26"/>
      <c r="BY190" s="26"/>
      <c r="BZ190" s="26"/>
      <c r="CA190" s="26"/>
      <c r="CB190" s="26"/>
      <c r="CC190" s="26"/>
      <c r="CD190" s="26"/>
      <c r="CE190" s="26"/>
      <c r="CF190" s="26"/>
      <c r="CG190" s="26"/>
      <c r="CH190" s="26"/>
      <c r="CI190" s="26"/>
      <c r="CJ190" s="26"/>
      <c r="CK190" s="26"/>
      <c r="CL190" s="26"/>
      <c r="CM190" s="26"/>
      <c r="CN190" s="26"/>
      <c r="CO190" s="26"/>
      <c r="CP190" s="26"/>
      <c r="CQ190" s="26"/>
    </row>
    <row r="191" spans="1:95" s="29" customFormat="1" ht="15" customHeight="1" x14ac:dyDescent="0.25">
      <c r="A191" s="32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  <c r="AO191" s="26"/>
      <c r="AP191" s="26"/>
      <c r="AQ191" s="26"/>
      <c r="AR191" s="26"/>
      <c r="AS191" s="26"/>
      <c r="AT191" s="26"/>
      <c r="AU191" s="26"/>
      <c r="AV191" s="26"/>
      <c r="AW191" s="26"/>
      <c r="AX191" s="26"/>
      <c r="AY191" s="26"/>
      <c r="AZ191" s="26"/>
      <c r="BA191" s="26"/>
      <c r="BB191" s="26"/>
      <c r="BC191" s="26"/>
      <c r="BD191" s="26"/>
      <c r="BE191" s="26"/>
      <c r="BF191" s="26"/>
      <c r="BG191" s="26"/>
      <c r="BH191" s="26"/>
      <c r="BI191" s="26"/>
      <c r="BJ191" s="26"/>
      <c r="BK191" s="26"/>
      <c r="BL191" s="26"/>
      <c r="BM191" s="26"/>
      <c r="BN191" s="26"/>
      <c r="BO191" s="26"/>
      <c r="BP191" s="26"/>
      <c r="BQ191" s="26"/>
      <c r="BR191" s="26"/>
      <c r="BS191" s="26"/>
      <c r="BT191" s="26"/>
      <c r="BU191" s="26"/>
      <c r="BV191" s="26"/>
      <c r="BW191" s="26"/>
      <c r="BX191" s="26"/>
      <c r="BY191" s="26"/>
      <c r="BZ191" s="26"/>
      <c r="CA191" s="26"/>
      <c r="CB191" s="26"/>
      <c r="CC191" s="26"/>
      <c r="CD191" s="26"/>
      <c r="CE191" s="26"/>
      <c r="CF191" s="26"/>
      <c r="CG191" s="26"/>
      <c r="CH191" s="26"/>
      <c r="CI191" s="26"/>
      <c r="CJ191" s="26"/>
      <c r="CK191" s="26"/>
      <c r="CL191" s="26"/>
      <c r="CM191" s="26"/>
      <c r="CN191" s="26"/>
      <c r="CO191" s="26"/>
      <c r="CP191" s="26"/>
      <c r="CQ191" s="26"/>
    </row>
    <row r="192" spans="1:95" s="29" customFormat="1" ht="15" customHeight="1" x14ac:dyDescent="0.25">
      <c r="A192" s="32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  <c r="AP192" s="26"/>
      <c r="AQ192" s="26"/>
      <c r="AR192" s="26"/>
      <c r="AS192" s="26"/>
      <c r="AT192" s="26"/>
      <c r="AU192" s="26"/>
      <c r="AV192" s="26"/>
      <c r="AW192" s="26"/>
      <c r="AX192" s="26"/>
      <c r="AY192" s="26"/>
      <c r="AZ192" s="26"/>
      <c r="BA192" s="26"/>
      <c r="BB192" s="26"/>
      <c r="BC192" s="26"/>
      <c r="BD192" s="26"/>
      <c r="BE192" s="26"/>
      <c r="BF192" s="26"/>
      <c r="BG192" s="26"/>
      <c r="BH192" s="26"/>
      <c r="BI192" s="26"/>
      <c r="BJ192" s="26"/>
      <c r="BK192" s="26"/>
      <c r="BL192" s="26"/>
      <c r="BM192" s="26"/>
      <c r="BN192" s="26"/>
      <c r="BO192" s="26"/>
      <c r="BP192" s="26"/>
      <c r="BQ192" s="26"/>
      <c r="BR192" s="26"/>
      <c r="BS192" s="26"/>
      <c r="BT192" s="26"/>
      <c r="BU192" s="26"/>
      <c r="BV192" s="26"/>
      <c r="BW192" s="26"/>
      <c r="BX192" s="26"/>
      <c r="BY192" s="26"/>
      <c r="BZ192" s="26"/>
      <c r="CA192" s="26"/>
      <c r="CB192" s="26"/>
      <c r="CC192" s="26"/>
      <c r="CD192" s="26"/>
      <c r="CE192" s="26"/>
      <c r="CF192" s="26"/>
      <c r="CG192" s="26"/>
      <c r="CH192" s="26"/>
      <c r="CI192" s="26"/>
      <c r="CJ192" s="26"/>
      <c r="CK192" s="26"/>
      <c r="CL192" s="26"/>
      <c r="CM192" s="26"/>
      <c r="CN192" s="26"/>
      <c r="CO192" s="26"/>
      <c r="CP192" s="26"/>
      <c r="CQ192" s="26"/>
    </row>
    <row r="193" spans="1:95" s="29" customFormat="1" ht="15" customHeight="1" x14ac:dyDescent="0.25">
      <c r="A193" s="32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26"/>
      <c r="BH193" s="26"/>
      <c r="BI193" s="26"/>
      <c r="BJ193" s="26"/>
      <c r="BK193" s="26"/>
      <c r="BL193" s="26"/>
      <c r="BM193" s="26"/>
      <c r="BN193" s="26"/>
      <c r="BO193" s="26"/>
      <c r="BP193" s="26"/>
      <c r="BQ193" s="26"/>
      <c r="BR193" s="26"/>
      <c r="BS193" s="26"/>
      <c r="BT193" s="26"/>
      <c r="BU193" s="26"/>
      <c r="BV193" s="26"/>
      <c r="BW193" s="26"/>
      <c r="BX193" s="26"/>
      <c r="BY193" s="26"/>
      <c r="BZ193" s="26"/>
      <c r="CA193" s="26"/>
      <c r="CB193" s="26"/>
      <c r="CC193" s="26"/>
      <c r="CD193" s="26"/>
      <c r="CE193" s="26"/>
      <c r="CF193" s="26"/>
      <c r="CG193" s="26"/>
      <c r="CH193" s="26"/>
      <c r="CI193" s="26"/>
      <c r="CJ193" s="26"/>
      <c r="CK193" s="26"/>
      <c r="CL193" s="26"/>
      <c r="CM193" s="26"/>
      <c r="CN193" s="26"/>
      <c r="CO193" s="26"/>
      <c r="CP193" s="26"/>
      <c r="CQ193" s="26"/>
    </row>
    <row r="194" spans="1:95" s="29" customFormat="1" ht="15" customHeight="1" x14ac:dyDescent="0.25">
      <c r="A194" s="32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  <c r="AO194" s="26"/>
      <c r="AP194" s="26"/>
      <c r="AQ194" s="26"/>
      <c r="AR194" s="26"/>
      <c r="AS194" s="26"/>
      <c r="AT194" s="26"/>
      <c r="AU194" s="26"/>
      <c r="AV194" s="26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26"/>
      <c r="BH194" s="26"/>
      <c r="BI194" s="26"/>
      <c r="BJ194" s="26"/>
      <c r="BK194" s="26"/>
      <c r="BL194" s="26"/>
      <c r="BM194" s="26"/>
      <c r="BN194" s="26"/>
      <c r="BO194" s="26"/>
      <c r="BP194" s="26"/>
      <c r="BQ194" s="26"/>
      <c r="BR194" s="26"/>
      <c r="BS194" s="26"/>
      <c r="BT194" s="26"/>
      <c r="BU194" s="26"/>
      <c r="BV194" s="26"/>
      <c r="BW194" s="26"/>
      <c r="BX194" s="26"/>
      <c r="BY194" s="26"/>
      <c r="BZ194" s="26"/>
      <c r="CA194" s="26"/>
      <c r="CB194" s="26"/>
      <c r="CC194" s="26"/>
      <c r="CD194" s="26"/>
      <c r="CE194" s="26"/>
      <c r="CF194" s="26"/>
      <c r="CG194" s="26"/>
      <c r="CH194" s="26"/>
      <c r="CI194" s="26"/>
      <c r="CJ194" s="26"/>
      <c r="CK194" s="26"/>
      <c r="CL194" s="26"/>
      <c r="CM194" s="26"/>
      <c r="CN194" s="26"/>
      <c r="CO194" s="26"/>
      <c r="CP194" s="26"/>
      <c r="CQ194" s="26"/>
    </row>
    <row r="195" spans="1:95" s="29" customFormat="1" ht="15" customHeight="1" x14ac:dyDescent="0.25">
      <c r="A195" s="32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  <c r="AO195" s="26"/>
      <c r="AP195" s="26"/>
      <c r="AQ195" s="26"/>
      <c r="AR195" s="26"/>
      <c r="AS195" s="26"/>
      <c r="AT195" s="26"/>
      <c r="AU195" s="26"/>
      <c r="AV195" s="26"/>
      <c r="AW195" s="26"/>
      <c r="AX195" s="26"/>
      <c r="AY195" s="26"/>
      <c r="AZ195" s="26"/>
      <c r="BA195" s="26"/>
      <c r="BB195" s="26"/>
      <c r="BC195" s="26"/>
      <c r="BD195" s="26"/>
      <c r="BE195" s="26"/>
      <c r="BF195" s="26"/>
      <c r="BG195" s="26"/>
      <c r="BH195" s="26"/>
      <c r="BI195" s="26"/>
      <c r="BJ195" s="26"/>
      <c r="BK195" s="26"/>
      <c r="BL195" s="26"/>
      <c r="BM195" s="26"/>
      <c r="BN195" s="26"/>
      <c r="BO195" s="26"/>
      <c r="BP195" s="26"/>
      <c r="BQ195" s="26"/>
      <c r="BR195" s="26"/>
      <c r="BS195" s="26"/>
      <c r="BT195" s="26"/>
      <c r="BU195" s="26"/>
      <c r="BV195" s="26"/>
      <c r="BW195" s="26"/>
      <c r="BX195" s="26"/>
      <c r="BY195" s="26"/>
      <c r="BZ195" s="26"/>
      <c r="CA195" s="26"/>
      <c r="CB195" s="26"/>
      <c r="CC195" s="26"/>
      <c r="CD195" s="26"/>
      <c r="CE195" s="26"/>
      <c r="CF195" s="26"/>
      <c r="CG195" s="26"/>
      <c r="CH195" s="26"/>
      <c r="CI195" s="26"/>
      <c r="CJ195" s="26"/>
      <c r="CK195" s="26"/>
      <c r="CL195" s="26"/>
      <c r="CM195" s="26"/>
      <c r="CN195" s="26"/>
      <c r="CO195" s="26"/>
      <c r="CP195" s="26"/>
      <c r="CQ195" s="26"/>
    </row>
    <row r="196" spans="1:95" s="29" customFormat="1" ht="15" customHeight="1" x14ac:dyDescent="0.25">
      <c r="A196" s="32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  <c r="AU196" s="26"/>
      <c r="AV196" s="26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26"/>
      <c r="BH196" s="26"/>
      <c r="BI196" s="26"/>
      <c r="BJ196" s="26"/>
      <c r="BK196" s="26"/>
      <c r="BL196" s="26"/>
      <c r="BM196" s="26"/>
      <c r="BN196" s="26"/>
      <c r="BO196" s="26"/>
      <c r="BP196" s="26"/>
      <c r="BQ196" s="26"/>
      <c r="BR196" s="26"/>
      <c r="BS196" s="26"/>
      <c r="BT196" s="26"/>
      <c r="BU196" s="26"/>
      <c r="BV196" s="26"/>
      <c r="BW196" s="26"/>
      <c r="BX196" s="26"/>
      <c r="BY196" s="26"/>
      <c r="BZ196" s="26"/>
      <c r="CA196" s="26"/>
      <c r="CB196" s="26"/>
      <c r="CC196" s="26"/>
      <c r="CD196" s="26"/>
      <c r="CE196" s="26"/>
      <c r="CF196" s="26"/>
      <c r="CG196" s="26"/>
      <c r="CH196" s="26"/>
      <c r="CI196" s="26"/>
      <c r="CJ196" s="26"/>
      <c r="CK196" s="26"/>
      <c r="CL196" s="26"/>
      <c r="CM196" s="26"/>
      <c r="CN196" s="26"/>
      <c r="CO196" s="26"/>
      <c r="CP196" s="26"/>
      <c r="CQ196" s="26"/>
    </row>
    <row r="197" spans="1:95" s="29" customFormat="1" ht="15" customHeight="1" x14ac:dyDescent="0.25">
      <c r="A197" s="32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  <c r="AO197" s="26"/>
      <c r="AP197" s="26"/>
      <c r="AQ197" s="26"/>
      <c r="AR197" s="26"/>
      <c r="AS197" s="26"/>
      <c r="AT197" s="26"/>
      <c r="AU197" s="26"/>
      <c r="AV197" s="26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26"/>
      <c r="BH197" s="26"/>
      <c r="BI197" s="26"/>
      <c r="BJ197" s="26"/>
      <c r="BK197" s="26"/>
      <c r="BL197" s="26"/>
      <c r="BM197" s="26"/>
      <c r="BN197" s="26"/>
      <c r="BO197" s="26"/>
      <c r="BP197" s="26"/>
      <c r="BQ197" s="26"/>
      <c r="BR197" s="26"/>
      <c r="BS197" s="26"/>
      <c r="BT197" s="26"/>
      <c r="BU197" s="26"/>
      <c r="BV197" s="26"/>
      <c r="BW197" s="26"/>
      <c r="BX197" s="26"/>
      <c r="BY197" s="26"/>
      <c r="BZ197" s="26"/>
      <c r="CA197" s="26"/>
      <c r="CB197" s="26"/>
      <c r="CC197" s="26"/>
      <c r="CD197" s="26"/>
      <c r="CE197" s="26"/>
      <c r="CF197" s="26"/>
      <c r="CG197" s="26"/>
      <c r="CH197" s="26"/>
      <c r="CI197" s="26"/>
      <c r="CJ197" s="26"/>
      <c r="CK197" s="26"/>
      <c r="CL197" s="26"/>
      <c r="CM197" s="26"/>
      <c r="CN197" s="26"/>
      <c r="CO197" s="26"/>
      <c r="CP197" s="26"/>
      <c r="CQ197" s="26"/>
    </row>
    <row r="198" spans="1:95" s="29" customFormat="1" ht="15" customHeight="1" x14ac:dyDescent="0.25">
      <c r="A198" s="32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26"/>
      <c r="AP198" s="26"/>
      <c r="AQ198" s="26"/>
      <c r="AR198" s="26"/>
      <c r="AS198" s="26"/>
      <c r="AT198" s="26"/>
      <c r="AU198" s="26"/>
      <c r="AV198" s="26"/>
      <c r="AW198" s="26"/>
      <c r="AX198" s="26"/>
      <c r="AY198" s="26"/>
      <c r="AZ198" s="26"/>
      <c r="BA198" s="26"/>
      <c r="BB198" s="26"/>
      <c r="BC198" s="26"/>
      <c r="BD198" s="26"/>
      <c r="BE198" s="26"/>
      <c r="BF198" s="26"/>
      <c r="BG198" s="26"/>
      <c r="BH198" s="26"/>
      <c r="BI198" s="26"/>
      <c r="BJ198" s="26"/>
      <c r="BK198" s="26"/>
      <c r="BL198" s="26"/>
      <c r="BM198" s="26"/>
      <c r="BN198" s="26"/>
      <c r="BO198" s="26"/>
      <c r="BP198" s="26"/>
      <c r="BQ198" s="26"/>
      <c r="BR198" s="26"/>
      <c r="BS198" s="26"/>
      <c r="BT198" s="26"/>
      <c r="BU198" s="26"/>
      <c r="BV198" s="26"/>
      <c r="BW198" s="26"/>
      <c r="BX198" s="26"/>
      <c r="BY198" s="26"/>
      <c r="BZ198" s="26"/>
      <c r="CA198" s="26"/>
      <c r="CB198" s="26"/>
      <c r="CC198" s="26"/>
      <c r="CD198" s="26"/>
      <c r="CE198" s="26"/>
      <c r="CF198" s="26"/>
      <c r="CG198" s="26"/>
      <c r="CH198" s="26"/>
      <c r="CI198" s="26"/>
      <c r="CJ198" s="26"/>
      <c r="CK198" s="26"/>
      <c r="CL198" s="26"/>
      <c r="CM198" s="26"/>
      <c r="CN198" s="26"/>
      <c r="CO198" s="26"/>
      <c r="CP198" s="26"/>
      <c r="CQ198" s="26"/>
    </row>
    <row r="199" spans="1:95" s="29" customFormat="1" ht="15" customHeight="1" x14ac:dyDescent="0.25">
      <c r="A199" s="32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  <c r="AO199" s="26"/>
      <c r="AP199" s="26"/>
      <c r="AQ199" s="26"/>
      <c r="AR199" s="26"/>
      <c r="AS199" s="26"/>
      <c r="AT199" s="26"/>
      <c r="AU199" s="26"/>
      <c r="AV199" s="26"/>
      <c r="AW199" s="26"/>
      <c r="AX199" s="26"/>
      <c r="AY199" s="26"/>
      <c r="AZ199" s="26"/>
      <c r="BA199" s="26"/>
      <c r="BB199" s="26"/>
      <c r="BC199" s="26"/>
      <c r="BD199" s="26"/>
      <c r="BE199" s="26"/>
      <c r="BF199" s="26"/>
      <c r="BG199" s="26"/>
      <c r="BH199" s="26"/>
      <c r="BI199" s="26"/>
      <c r="BJ199" s="26"/>
      <c r="BK199" s="26"/>
      <c r="BL199" s="26"/>
      <c r="BM199" s="26"/>
      <c r="BN199" s="26"/>
      <c r="BO199" s="26"/>
      <c r="BP199" s="26"/>
      <c r="BQ199" s="26"/>
      <c r="BR199" s="26"/>
      <c r="BS199" s="26"/>
      <c r="BT199" s="26"/>
      <c r="BU199" s="26"/>
      <c r="BV199" s="26"/>
      <c r="BW199" s="26"/>
      <c r="BX199" s="26"/>
      <c r="BY199" s="26"/>
      <c r="BZ199" s="26"/>
      <c r="CA199" s="26"/>
      <c r="CB199" s="26"/>
      <c r="CC199" s="26"/>
      <c r="CD199" s="26"/>
      <c r="CE199" s="26"/>
      <c r="CF199" s="26"/>
      <c r="CG199" s="26"/>
      <c r="CH199" s="26"/>
      <c r="CI199" s="26"/>
      <c r="CJ199" s="26"/>
      <c r="CK199" s="26"/>
      <c r="CL199" s="26"/>
      <c r="CM199" s="26"/>
      <c r="CN199" s="26"/>
      <c r="CO199" s="26"/>
      <c r="CP199" s="26"/>
      <c r="CQ199" s="26"/>
    </row>
    <row r="200" spans="1:95" s="29" customFormat="1" ht="15" customHeight="1" x14ac:dyDescent="0.25">
      <c r="A200" s="32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26"/>
      <c r="AP200" s="26"/>
      <c r="AQ200" s="26"/>
      <c r="AR200" s="26"/>
      <c r="AS200" s="26"/>
      <c r="AT200" s="26"/>
      <c r="AU200" s="26"/>
      <c r="AV200" s="26"/>
      <c r="AW200" s="26"/>
      <c r="AX200" s="26"/>
      <c r="AY200" s="26"/>
      <c r="AZ200" s="26"/>
      <c r="BA200" s="26"/>
      <c r="BB200" s="26"/>
      <c r="BC200" s="26"/>
      <c r="BD200" s="26"/>
      <c r="BE200" s="26"/>
      <c r="BF200" s="26"/>
      <c r="BG200" s="26"/>
      <c r="BH200" s="26"/>
      <c r="BI200" s="26"/>
      <c r="BJ200" s="26"/>
      <c r="BK200" s="26"/>
      <c r="BL200" s="26"/>
      <c r="BM200" s="26"/>
      <c r="BN200" s="26"/>
      <c r="BO200" s="26"/>
      <c r="BP200" s="26"/>
      <c r="BQ200" s="26"/>
      <c r="BR200" s="26"/>
      <c r="BS200" s="26"/>
      <c r="BT200" s="26"/>
      <c r="BU200" s="26"/>
      <c r="BV200" s="26"/>
      <c r="BW200" s="26"/>
      <c r="BX200" s="26"/>
      <c r="BY200" s="26"/>
      <c r="BZ200" s="26"/>
      <c r="CA200" s="26"/>
      <c r="CB200" s="26"/>
      <c r="CC200" s="26"/>
      <c r="CD200" s="26"/>
      <c r="CE200" s="26"/>
      <c r="CF200" s="26"/>
      <c r="CG200" s="26"/>
      <c r="CH200" s="26"/>
      <c r="CI200" s="26"/>
      <c r="CJ200" s="26"/>
      <c r="CK200" s="26"/>
      <c r="CL200" s="26"/>
      <c r="CM200" s="26"/>
      <c r="CN200" s="26"/>
      <c r="CO200" s="26"/>
      <c r="CP200" s="26"/>
      <c r="CQ200" s="26"/>
    </row>
    <row r="201" spans="1:95" s="29" customFormat="1" ht="15" customHeight="1" x14ac:dyDescent="0.25">
      <c r="A201" s="32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  <c r="AO201" s="26"/>
      <c r="AP201" s="26"/>
      <c r="AQ201" s="26"/>
      <c r="AR201" s="26"/>
      <c r="AS201" s="26"/>
      <c r="AT201" s="26"/>
      <c r="AU201" s="26"/>
      <c r="AV201" s="26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26"/>
      <c r="BH201" s="26"/>
      <c r="BI201" s="26"/>
      <c r="BJ201" s="26"/>
      <c r="BK201" s="26"/>
      <c r="BL201" s="26"/>
      <c r="BM201" s="26"/>
      <c r="BN201" s="26"/>
      <c r="BO201" s="26"/>
      <c r="BP201" s="26"/>
      <c r="BQ201" s="26"/>
      <c r="BR201" s="26"/>
      <c r="BS201" s="26"/>
      <c r="BT201" s="26"/>
      <c r="BU201" s="26"/>
      <c r="BV201" s="26"/>
      <c r="BW201" s="26"/>
      <c r="BX201" s="26"/>
      <c r="BY201" s="26"/>
      <c r="BZ201" s="26"/>
      <c r="CA201" s="26"/>
      <c r="CB201" s="26"/>
      <c r="CC201" s="26"/>
      <c r="CD201" s="26"/>
      <c r="CE201" s="26"/>
      <c r="CF201" s="26"/>
      <c r="CG201" s="26"/>
      <c r="CH201" s="26"/>
      <c r="CI201" s="26"/>
      <c r="CJ201" s="26"/>
      <c r="CK201" s="26"/>
      <c r="CL201" s="26"/>
      <c r="CM201" s="26"/>
      <c r="CN201" s="26"/>
      <c r="CO201" s="26"/>
      <c r="CP201" s="26"/>
      <c r="CQ201" s="26"/>
    </row>
    <row r="202" spans="1:95" s="29" customFormat="1" ht="15" customHeight="1" x14ac:dyDescent="0.25">
      <c r="A202" s="32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  <c r="AO202" s="26"/>
      <c r="AP202" s="26"/>
      <c r="AQ202" s="26"/>
      <c r="AR202" s="26"/>
      <c r="AS202" s="26"/>
      <c r="AT202" s="26"/>
      <c r="AU202" s="26"/>
      <c r="AV202" s="26"/>
      <c r="AW202" s="26"/>
      <c r="AX202" s="26"/>
      <c r="AY202" s="26"/>
      <c r="AZ202" s="26"/>
      <c r="BA202" s="26"/>
      <c r="BB202" s="26"/>
      <c r="BC202" s="26"/>
      <c r="BD202" s="26"/>
      <c r="BE202" s="26"/>
      <c r="BF202" s="26"/>
      <c r="BG202" s="26"/>
      <c r="BH202" s="26"/>
      <c r="BI202" s="26"/>
      <c r="BJ202" s="26"/>
      <c r="BK202" s="26"/>
      <c r="BL202" s="26"/>
      <c r="BM202" s="26"/>
      <c r="BN202" s="26"/>
      <c r="BO202" s="26"/>
      <c r="BP202" s="26"/>
      <c r="BQ202" s="26"/>
      <c r="BR202" s="26"/>
      <c r="BS202" s="26"/>
      <c r="BT202" s="26"/>
      <c r="BU202" s="26"/>
      <c r="BV202" s="26"/>
      <c r="BW202" s="26"/>
      <c r="BX202" s="26"/>
      <c r="BY202" s="26"/>
      <c r="BZ202" s="26"/>
      <c r="CA202" s="26"/>
      <c r="CB202" s="26"/>
      <c r="CC202" s="26"/>
      <c r="CD202" s="26"/>
      <c r="CE202" s="26"/>
      <c r="CF202" s="26"/>
      <c r="CG202" s="26"/>
      <c r="CH202" s="26"/>
      <c r="CI202" s="26"/>
      <c r="CJ202" s="26"/>
      <c r="CK202" s="26"/>
      <c r="CL202" s="26"/>
      <c r="CM202" s="26"/>
      <c r="CN202" s="26"/>
      <c r="CO202" s="26"/>
      <c r="CP202" s="26"/>
      <c r="CQ202" s="26"/>
    </row>
    <row r="203" spans="1:95" s="29" customFormat="1" ht="15" customHeight="1" x14ac:dyDescent="0.25">
      <c r="A203" s="32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  <c r="AU203" s="26"/>
      <c r="AV203" s="26"/>
      <c r="AW203" s="26"/>
      <c r="AX203" s="26"/>
      <c r="AY203" s="26"/>
      <c r="AZ203" s="26"/>
      <c r="BA203" s="26"/>
      <c r="BB203" s="26"/>
      <c r="BC203" s="26"/>
      <c r="BD203" s="26"/>
      <c r="BE203" s="26"/>
      <c r="BF203" s="26"/>
      <c r="BG203" s="26"/>
      <c r="BH203" s="26"/>
      <c r="BI203" s="26"/>
      <c r="BJ203" s="26"/>
      <c r="BK203" s="26"/>
      <c r="BL203" s="26"/>
      <c r="BM203" s="26"/>
      <c r="BN203" s="26"/>
      <c r="BO203" s="26"/>
      <c r="BP203" s="26"/>
      <c r="BQ203" s="26"/>
      <c r="BR203" s="26"/>
      <c r="BS203" s="26"/>
      <c r="BT203" s="26"/>
      <c r="BU203" s="26"/>
      <c r="BV203" s="26"/>
      <c r="BW203" s="26"/>
      <c r="BX203" s="26"/>
      <c r="BY203" s="26"/>
      <c r="BZ203" s="26"/>
      <c r="CA203" s="26"/>
      <c r="CB203" s="26"/>
      <c r="CC203" s="26"/>
      <c r="CD203" s="26"/>
      <c r="CE203" s="26"/>
      <c r="CF203" s="26"/>
      <c r="CG203" s="26"/>
      <c r="CH203" s="26"/>
      <c r="CI203" s="26"/>
      <c r="CJ203" s="26"/>
      <c r="CK203" s="26"/>
      <c r="CL203" s="26"/>
      <c r="CM203" s="26"/>
      <c r="CN203" s="26"/>
      <c r="CO203" s="26"/>
      <c r="CP203" s="26"/>
      <c r="CQ203" s="26"/>
    </row>
    <row r="204" spans="1:95" s="29" customFormat="1" ht="15" customHeight="1" x14ac:dyDescent="0.25">
      <c r="A204" s="32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  <c r="AO204" s="26"/>
      <c r="AP204" s="26"/>
      <c r="AQ204" s="26"/>
      <c r="AR204" s="26"/>
      <c r="AS204" s="26"/>
      <c r="AT204" s="26"/>
      <c r="AU204" s="26"/>
      <c r="AV204" s="26"/>
      <c r="AW204" s="26"/>
      <c r="AX204" s="26"/>
      <c r="AY204" s="26"/>
      <c r="AZ204" s="26"/>
      <c r="BA204" s="26"/>
      <c r="BB204" s="26"/>
      <c r="BC204" s="26"/>
      <c r="BD204" s="26"/>
      <c r="BE204" s="26"/>
      <c r="BF204" s="26"/>
      <c r="BG204" s="26"/>
      <c r="BH204" s="26"/>
      <c r="BI204" s="26"/>
      <c r="BJ204" s="26"/>
      <c r="BK204" s="26"/>
      <c r="BL204" s="26"/>
      <c r="BM204" s="26"/>
      <c r="BN204" s="26"/>
      <c r="BO204" s="26"/>
      <c r="BP204" s="26"/>
      <c r="BQ204" s="26"/>
      <c r="BR204" s="26"/>
      <c r="BS204" s="26"/>
      <c r="BT204" s="26"/>
      <c r="BU204" s="26"/>
      <c r="BV204" s="26"/>
      <c r="BW204" s="26"/>
      <c r="BX204" s="26"/>
      <c r="BY204" s="26"/>
      <c r="BZ204" s="26"/>
      <c r="CA204" s="26"/>
      <c r="CB204" s="26"/>
      <c r="CC204" s="26"/>
      <c r="CD204" s="26"/>
      <c r="CE204" s="26"/>
      <c r="CF204" s="26"/>
      <c r="CG204" s="26"/>
      <c r="CH204" s="26"/>
      <c r="CI204" s="26"/>
      <c r="CJ204" s="26"/>
      <c r="CK204" s="26"/>
      <c r="CL204" s="26"/>
      <c r="CM204" s="26"/>
      <c r="CN204" s="26"/>
      <c r="CO204" s="26"/>
      <c r="CP204" s="26"/>
      <c r="CQ204" s="26"/>
    </row>
    <row r="205" spans="1:95" s="29" customFormat="1" ht="15" customHeight="1" x14ac:dyDescent="0.25">
      <c r="A205" s="32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  <c r="AO205" s="26"/>
      <c r="AP205" s="26"/>
      <c r="AQ205" s="26"/>
      <c r="AR205" s="26"/>
      <c r="AS205" s="26"/>
      <c r="AT205" s="26"/>
      <c r="AU205" s="26"/>
      <c r="AV205" s="26"/>
      <c r="AW205" s="26"/>
      <c r="AX205" s="26"/>
      <c r="AY205" s="26"/>
      <c r="AZ205" s="26"/>
      <c r="BA205" s="26"/>
      <c r="BB205" s="26"/>
      <c r="BC205" s="26"/>
      <c r="BD205" s="26"/>
      <c r="BE205" s="26"/>
      <c r="BF205" s="26"/>
      <c r="BG205" s="26"/>
      <c r="BH205" s="26"/>
      <c r="BI205" s="26"/>
      <c r="BJ205" s="26"/>
      <c r="BK205" s="26"/>
      <c r="BL205" s="26"/>
      <c r="BM205" s="26"/>
      <c r="BN205" s="26"/>
      <c r="BO205" s="26"/>
      <c r="BP205" s="26"/>
      <c r="BQ205" s="26"/>
      <c r="BR205" s="26"/>
      <c r="BS205" s="26"/>
      <c r="BT205" s="26"/>
      <c r="BU205" s="26"/>
      <c r="BV205" s="26"/>
      <c r="BW205" s="26"/>
      <c r="BX205" s="26"/>
      <c r="BY205" s="26"/>
      <c r="BZ205" s="26"/>
      <c r="CA205" s="26"/>
      <c r="CB205" s="26"/>
      <c r="CC205" s="26"/>
      <c r="CD205" s="26"/>
      <c r="CE205" s="26"/>
      <c r="CF205" s="26"/>
      <c r="CG205" s="26"/>
      <c r="CH205" s="26"/>
      <c r="CI205" s="26"/>
      <c r="CJ205" s="26"/>
      <c r="CK205" s="26"/>
      <c r="CL205" s="26"/>
      <c r="CM205" s="26"/>
      <c r="CN205" s="26"/>
      <c r="CO205" s="26"/>
      <c r="CP205" s="26"/>
      <c r="CQ205" s="26"/>
    </row>
    <row r="206" spans="1:95" s="29" customFormat="1" ht="15" customHeight="1" x14ac:dyDescent="0.25">
      <c r="A206" s="32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  <c r="AO206" s="26"/>
      <c r="AP206" s="26"/>
      <c r="AQ206" s="26"/>
      <c r="AR206" s="26"/>
      <c r="AS206" s="26"/>
      <c r="AT206" s="26"/>
      <c r="AU206" s="26"/>
      <c r="AV206" s="26"/>
      <c r="AW206" s="26"/>
      <c r="AX206" s="26"/>
      <c r="AY206" s="26"/>
      <c r="AZ206" s="26"/>
      <c r="BA206" s="26"/>
      <c r="BB206" s="26"/>
      <c r="BC206" s="26"/>
      <c r="BD206" s="26"/>
      <c r="BE206" s="26"/>
      <c r="BF206" s="26"/>
      <c r="BG206" s="26"/>
      <c r="BH206" s="26"/>
      <c r="BI206" s="26"/>
      <c r="BJ206" s="26"/>
      <c r="BK206" s="26"/>
      <c r="BL206" s="26"/>
      <c r="BM206" s="26"/>
      <c r="BN206" s="26"/>
      <c r="BO206" s="26"/>
      <c r="BP206" s="26"/>
      <c r="BQ206" s="26"/>
      <c r="BR206" s="26"/>
      <c r="BS206" s="26"/>
      <c r="BT206" s="26"/>
      <c r="BU206" s="26"/>
      <c r="BV206" s="26"/>
      <c r="BW206" s="26"/>
      <c r="BX206" s="26"/>
      <c r="BY206" s="26"/>
      <c r="BZ206" s="26"/>
      <c r="CA206" s="26"/>
      <c r="CB206" s="26"/>
      <c r="CC206" s="26"/>
      <c r="CD206" s="26"/>
      <c r="CE206" s="26"/>
      <c r="CF206" s="26"/>
      <c r="CG206" s="26"/>
      <c r="CH206" s="26"/>
      <c r="CI206" s="26"/>
      <c r="CJ206" s="26"/>
      <c r="CK206" s="26"/>
      <c r="CL206" s="26"/>
      <c r="CM206" s="26"/>
      <c r="CN206" s="26"/>
      <c r="CO206" s="26"/>
      <c r="CP206" s="26"/>
      <c r="CQ206" s="26"/>
    </row>
    <row r="207" spans="1:95" s="29" customFormat="1" ht="15" customHeight="1" x14ac:dyDescent="0.25">
      <c r="A207" s="32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  <c r="AO207" s="26"/>
      <c r="AP207" s="26"/>
      <c r="AQ207" s="26"/>
      <c r="AR207" s="26"/>
      <c r="AS207" s="26"/>
      <c r="AT207" s="26"/>
      <c r="AU207" s="26"/>
      <c r="AV207" s="26"/>
      <c r="AW207" s="26"/>
      <c r="AX207" s="26"/>
      <c r="AY207" s="26"/>
      <c r="AZ207" s="26"/>
      <c r="BA207" s="26"/>
      <c r="BB207" s="26"/>
      <c r="BC207" s="26"/>
      <c r="BD207" s="26"/>
      <c r="BE207" s="26"/>
      <c r="BF207" s="26"/>
      <c r="BG207" s="26"/>
      <c r="BH207" s="26"/>
      <c r="BI207" s="26"/>
      <c r="BJ207" s="26"/>
      <c r="BK207" s="26"/>
      <c r="BL207" s="26"/>
      <c r="BM207" s="26"/>
      <c r="BN207" s="26"/>
      <c r="BO207" s="26"/>
      <c r="BP207" s="26"/>
      <c r="BQ207" s="26"/>
      <c r="BR207" s="26"/>
      <c r="BS207" s="26"/>
      <c r="BT207" s="26"/>
      <c r="BU207" s="26"/>
      <c r="BV207" s="26"/>
      <c r="BW207" s="26"/>
      <c r="BX207" s="26"/>
      <c r="BY207" s="26"/>
      <c r="BZ207" s="26"/>
      <c r="CA207" s="26"/>
      <c r="CB207" s="26"/>
      <c r="CC207" s="26"/>
      <c r="CD207" s="26"/>
      <c r="CE207" s="26"/>
      <c r="CF207" s="26"/>
      <c r="CG207" s="26"/>
      <c r="CH207" s="26"/>
      <c r="CI207" s="26"/>
      <c r="CJ207" s="26"/>
      <c r="CK207" s="26"/>
      <c r="CL207" s="26"/>
      <c r="CM207" s="26"/>
      <c r="CN207" s="26"/>
      <c r="CO207" s="26"/>
      <c r="CP207" s="26"/>
      <c r="CQ207" s="26"/>
    </row>
    <row r="208" spans="1:95" s="29" customFormat="1" ht="15" customHeight="1" x14ac:dyDescent="0.25">
      <c r="A208" s="32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  <c r="AO208" s="26"/>
      <c r="AP208" s="26"/>
      <c r="AQ208" s="26"/>
      <c r="AR208" s="26"/>
      <c r="AS208" s="26"/>
      <c r="AT208" s="26"/>
      <c r="AU208" s="26"/>
      <c r="AV208" s="26"/>
      <c r="AW208" s="26"/>
      <c r="AX208" s="26"/>
      <c r="AY208" s="26"/>
      <c r="AZ208" s="26"/>
      <c r="BA208" s="26"/>
      <c r="BB208" s="26"/>
      <c r="BC208" s="26"/>
      <c r="BD208" s="26"/>
      <c r="BE208" s="26"/>
      <c r="BF208" s="26"/>
      <c r="BG208" s="26"/>
      <c r="BH208" s="26"/>
      <c r="BI208" s="26"/>
      <c r="BJ208" s="26"/>
      <c r="BK208" s="26"/>
      <c r="BL208" s="26"/>
      <c r="BM208" s="26"/>
      <c r="BN208" s="26"/>
      <c r="BO208" s="26"/>
      <c r="BP208" s="26"/>
      <c r="BQ208" s="26"/>
      <c r="BR208" s="26"/>
      <c r="BS208" s="26"/>
      <c r="BT208" s="26"/>
      <c r="BU208" s="26"/>
      <c r="BV208" s="26"/>
      <c r="BW208" s="26"/>
      <c r="BX208" s="26"/>
      <c r="BY208" s="26"/>
      <c r="BZ208" s="26"/>
      <c r="CA208" s="26"/>
      <c r="CB208" s="26"/>
      <c r="CC208" s="26"/>
      <c r="CD208" s="26"/>
      <c r="CE208" s="26"/>
      <c r="CF208" s="26"/>
      <c r="CG208" s="26"/>
      <c r="CH208" s="26"/>
      <c r="CI208" s="26"/>
      <c r="CJ208" s="26"/>
      <c r="CK208" s="26"/>
      <c r="CL208" s="26"/>
      <c r="CM208" s="26"/>
      <c r="CN208" s="26"/>
      <c r="CO208" s="26"/>
      <c r="CP208" s="26"/>
      <c r="CQ208" s="26"/>
    </row>
    <row r="209" spans="1:95" s="29" customFormat="1" ht="15" customHeight="1" x14ac:dyDescent="0.25">
      <c r="A209" s="32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  <c r="AO209" s="26"/>
      <c r="AP209" s="26"/>
      <c r="AQ209" s="26"/>
      <c r="AR209" s="26"/>
      <c r="AS209" s="26"/>
      <c r="AT209" s="26"/>
      <c r="AU209" s="26"/>
      <c r="AV209" s="26"/>
      <c r="AW209" s="26"/>
      <c r="AX209" s="26"/>
      <c r="AY209" s="26"/>
      <c r="AZ209" s="26"/>
      <c r="BA209" s="26"/>
      <c r="BB209" s="26"/>
      <c r="BC209" s="26"/>
      <c r="BD209" s="26"/>
      <c r="BE209" s="26"/>
      <c r="BF209" s="26"/>
      <c r="BG209" s="26"/>
      <c r="BH209" s="26"/>
      <c r="BI209" s="26"/>
      <c r="BJ209" s="26"/>
      <c r="BK209" s="26"/>
      <c r="BL209" s="26"/>
      <c r="BM209" s="26"/>
      <c r="BN209" s="26"/>
      <c r="BO209" s="26"/>
      <c r="BP209" s="26"/>
      <c r="BQ209" s="26"/>
      <c r="BR209" s="26"/>
      <c r="BS209" s="26"/>
      <c r="BT209" s="26"/>
      <c r="BU209" s="26"/>
      <c r="BV209" s="26"/>
      <c r="BW209" s="26"/>
      <c r="BX209" s="26"/>
      <c r="BY209" s="26"/>
      <c r="BZ209" s="26"/>
      <c r="CA209" s="26"/>
      <c r="CB209" s="26"/>
      <c r="CC209" s="26"/>
      <c r="CD209" s="26"/>
      <c r="CE209" s="26"/>
      <c r="CF209" s="26"/>
      <c r="CG209" s="26"/>
      <c r="CH209" s="26"/>
      <c r="CI209" s="26"/>
      <c r="CJ209" s="26"/>
      <c r="CK209" s="26"/>
      <c r="CL209" s="26"/>
      <c r="CM209" s="26"/>
      <c r="CN209" s="26"/>
      <c r="CO209" s="26"/>
      <c r="CP209" s="26"/>
      <c r="CQ209" s="26"/>
    </row>
    <row r="210" spans="1:95" s="29" customFormat="1" ht="15" customHeight="1" x14ac:dyDescent="0.25">
      <c r="A210" s="32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  <c r="AO210" s="26"/>
      <c r="AP210" s="26"/>
      <c r="AQ210" s="26"/>
      <c r="AR210" s="26"/>
      <c r="AS210" s="26"/>
      <c r="AT210" s="26"/>
      <c r="AU210" s="26"/>
      <c r="AV210" s="26"/>
      <c r="AW210" s="26"/>
      <c r="AX210" s="26"/>
      <c r="AY210" s="26"/>
      <c r="AZ210" s="26"/>
      <c r="BA210" s="26"/>
      <c r="BB210" s="26"/>
      <c r="BC210" s="26"/>
      <c r="BD210" s="26"/>
      <c r="BE210" s="26"/>
      <c r="BF210" s="26"/>
      <c r="BG210" s="26"/>
      <c r="BH210" s="26"/>
      <c r="BI210" s="26"/>
      <c r="BJ210" s="26"/>
      <c r="BK210" s="26"/>
      <c r="BL210" s="26"/>
      <c r="BM210" s="26"/>
      <c r="BN210" s="26"/>
      <c r="BO210" s="26"/>
      <c r="BP210" s="26"/>
      <c r="BQ210" s="26"/>
      <c r="BR210" s="26"/>
      <c r="BS210" s="26"/>
      <c r="BT210" s="26"/>
      <c r="BU210" s="26"/>
      <c r="BV210" s="26"/>
      <c r="BW210" s="26"/>
      <c r="BX210" s="26"/>
      <c r="BY210" s="26"/>
      <c r="BZ210" s="26"/>
      <c r="CA210" s="26"/>
      <c r="CB210" s="26"/>
      <c r="CC210" s="26"/>
      <c r="CD210" s="26"/>
      <c r="CE210" s="26"/>
      <c r="CF210" s="26"/>
      <c r="CG210" s="26"/>
      <c r="CH210" s="26"/>
      <c r="CI210" s="26"/>
      <c r="CJ210" s="26"/>
      <c r="CK210" s="26"/>
      <c r="CL210" s="26"/>
      <c r="CM210" s="26"/>
      <c r="CN210" s="26"/>
      <c r="CO210" s="26"/>
      <c r="CP210" s="26"/>
      <c r="CQ210" s="26"/>
    </row>
    <row r="211" spans="1:95" s="29" customFormat="1" ht="15" customHeight="1" x14ac:dyDescent="0.25">
      <c r="A211" s="32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  <c r="AO211" s="26"/>
      <c r="AP211" s="26"/>
      <c r="AQ211" s="26"/>
      <c r="AR211" s="26"/>
      <c r="AS211" s="26"/>
      <c r="AT211" s="26"/>
      <c r="AU211" s="26"/>
      <c r="AV211" s="26"/>
      <c r="AW211" s="26"/>
      <c r="AX211" s="26"/>
      <c r="AY211" s="26"/>
      <c r="AZ211" s="26"/>
      <c r="BA211" s="26"/>
      <c r="BB211" s="26"/>
      <c r="BC211" s="26"/>
      <c r="BD211" s="26"/>
      <c r="BE211" s="26"/>
      <c r="BF211" s="26"/>
      <c r="BG211" s="26"/>
      <c r="BH211" s="26"/>
      <c r="BI211" s="26"/>
      <c r="BJ211" s="26"/>
      <c r="BK211" s="26"/>
      <c r="BL211" s="26"/>
      <c r="BM211" s="26"/>
      <c r="BN211" s="26"/>
      <c r="BO211" s="26"/>
      <c r="BP211" s="26"/>
      <c r="BQ211" s="26"/>
      <c r="BR211" s="26"/>
      <c r="BS211" s="26"/>
      <c r="BT211" s="26"/>
      <c r="BU211" s="26"/>
      <c r="BV211" s="26"/>
      <c r="BW211" s="26"/>
      <c r="BX211" s="26"/>
      <c r="BY211" s="26"/>
      <c r="BZ211" s="26"/>
      <c r="CA211" s="26"/>
      <c r="CB211" s="26"/>
      <c r="CC211" s="26"/>
      <c r="CD211" s="26"/>
      <c r="CE211" s="26"/>
      <c r="CF211" s="26"/>
      <c r="CG211" s="26"/>
      <c r="CH211" s="26"/>
      <c r="CI211" s="26"/>
      <c r="CJ211" s="26"/>
      <c r="CK211" s="26"/>
      <c r="CL211" s="26"/>
      <c r="CM211" s="26"/>
      <c r="CN211" s="26"/>
      <c r="CO211" s="26"/>
      <c r="CP211" s="26"/>
      <c r="CQ211" s="26"/>
    </row>
    <row r="212" spans="1:95" s="29" customFormat="1" ht="15" customHeight="1" x14ac:dyDescent="0.25">
      <c r="A212" s="32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  <c r="AO212" s="26"/>
      <c r="AP212" s="26"/>
      <c r="AQ212" s="26"/>
      <c r="AR212" s="26"/>
      <c r="AS212" s="26"/>
      <c r="AT212" s="26"/>
      <c r="AU212" s="26"/>
      <c r="AV212" s="26"/>
      <c r="AW212" s="26"/>
      <c r="AX212" s="26"/>
      <c r="AY212" s="26"/>
      <c r="AZ212" s="26"/>
      <c r="BA212" s="26"/>
      <c r="BB212" s="26"/>
      <c r="BC212" s="26"/>
      <c r="BD212" s="26"/>
      <c r="BE212" s="26"/>
      <c r="BF212" s="26"/>
      <c r="BG212" s="26"/>
      <c r="BH212" s="26"/>
      <c r="BI212" s="26"/>
      <c r="BJ212" s="26"/>
      <c r="BK212" s="26"/>
      <c r="BL212" s="26"/>
      <c r="BM212" s="26"/>
      <c r="BN212" s="26"/>
      <c r="BO212" s="26"/>
      <c r="BP212" s="26"/>
      <c r="BQ212" s="26"/>
      <c r="BR212" s="26"/>
      <c r="BS212" s="26"/>
      <c r="BT212" s="26"/>
      <c r="BU212" s="26"/>
      <c r="BV212" s="26"/>
      <c r="BW212" s="26"/>
      <c r="BX212" s="26"/>
      <c r="BY212" s="26"/>
      <c r="BZ212" s="26"/>
      <c r="CA212" s="26"/>
      <c r="CB212" s="26"/>
      <c r="CC212" s="26"/>
      <c r="CD212" s="26"/>
      <c r="CE212" s="26"/>
      <c r="CF212" s="26"/>
      <c r="CG212" s="26"/>
      <c r="CH212" s="26"/>
      <c r="CI212" s="26"/>
      <c r="CJ212" s="26"/>
      <c r="CK212" s="26"/>
      <c r="CL212" s="26"/>
      <c r="CM212" s="26"/>
      <c r="CN212" s="26"/>
      <c r="CO212" s="26"/>
      <c r="CP212" s="26"/>
      <c r="CQ212" s="26"/>
    </row>
    <row r="213" spans="1:95" s="29" customFormat="1" ht="15" customHeight="1" x14ac:dyDescent="0.25">
      <c r="A213" s="32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  <c r="AO213" s="26"/>
      <c r="AP213" s="26"/>
      <c r="AQ213" s="26"/>
      <c r="AR213" s="26"/>
      <c r="AS213" s="26"/>
      <c r="AT213" s="26"/>
      <c r="AU213" s="26"/>
      <c r="AV213" s="26"/>
      <c r="AW213" s="26"/>
      <c r="AX213" s="26"/>
      <c r="AY213" s="26"/>
      <c r="AZ213" s="26"/>
      <c r="BA213" s="26"/>
      <c r="BB213" s="26"/>
      <c r="BC213" s="26"/>
      <c r="BD213" s="26"/>
      <c r="BE213" s="26"/>
      <c r="BF213" s="26"/>
      <c r="BG213" s="26"/>
      <c r="BH213" s="26"/>
      <c r="BI213" s="26"/>
      <c r="BJ213" s="26"/>
      <c r="BK213" s="26"/>
      <c r="BL213" s="26"/>
      <c r="BM213" s="26"/>
      <c r="BN213" s="26"/>
      <c r="BO213" s="26"/>
      <c r="BP213" s="26"/>
      <c r="BQ213" s="26"/>
      <c r="BR213" s="26"/>
      <c r="BS213" s="26"/>
      <c r="BT213" s="26"/>
      <c r="BU213" s="26"/>
      <c r="BV213" s="26"/>
      <c r="BW213" s="26"/>
      <c r="BX213" s="26"/>
      <c r="BY213" s="26"/>
      <c r="BZ213" s="26"/>
      <c r="CA213" s="26"/>
      <c r="CB213" s="26"/>
      <c r="CC213" s="26"/>
      <c r="CD213" s="26"/>
      <c r="CE213" s="26"/>
      <c r="CF213" s="26"/>
      <c r="CG213" s="26"/>
      <c r="CH213" s="26"/>
      <c r="CI213" s="26"/>
      <c r="CJ213" s="26"/>
      <c r="CK213" s="26"/>
      <c r="CL213" s="26"/>
      <c r="CM213" s="26"/>
      <c r="CN213" s="26"/>
      <c r="CO213" s="26"/>
      <c r="CP213" s="26"/>
      <c r="CQ213" s="26"/>
    </row>
    <row r="214" spans="1:95" s="29" customFormat="1" ht="15" customHeight="1" x14ac:dyDescent="0.25">
      <c r="A214" s="32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  <c r="AO214" s="26"/>
      <c r="AP214" s="26"/>
      <c r="AQ214" s="26"/>
      <c r="AR214" s="26"/>
      <c r="AS214" s="26"/>
      <c r="AT214" s="26"/>
      <c r="AU214" s="26"/>
      <c r="AV214" s="26"/>
      <c r="AW214" s="26"/>
      <c r="AX214" s="26"/>
      <c r="AY214" s="26"/>
      <c r="AZ214" s="26"/>
      <c r="BA214" s="26"/>
      <c r="BB214" s="26"/>
      <c r="BC214" s="26"/>
      <c r="BD214" s="26"/>
      <c r="BE214" s="26"/>
      <c r="BF214" s="26"/>
      <c r="BG214" s="26"/>
      <c r="BH214" s="26"/>
      <c r="BI214" s="26"/>
      <c r="BJ214" s="26"/>
      <c r="BK214" s="26"/>
      <c r="BL214" s="26"/>
      <c r="BM214" s="26"/>
      <c r="BN214" s="26"/>
      <c r="BO214" s="26"/>
      <c r="BP214" s="26"/>
      <c r="BQ214" s="26"/>
      <c r="BR214" s="26"/>
      <c r="BS214" s="26"/>
      <c r="BT214" s="26"/>
      <c r="BU214" s="26"/>
      <c r="BV214" s="26"/>
      <c r="BW214" s="26"/>
      <c r="BX214" s="26"/>
      <c r="BY214" s="26"/>
      <c r="BZ214" s="26"/>
      <c r="CA214" s="26"/>
      <c r="CB214" s="26"/>
      <c r="CC214" s="26"/>
      <c r="CD214" s="26"/>
      <c r="CE214" s="26"/>
      <c r="CF214" s="26"/>
      <c r="CG214" s="26"/>
      <c r="CH214" s="26"/>
      <c r="CI214" s="26"/>
      <c r="CJ214" s="26"/>
      <c r="CK214" s="26"/>
      <c r="CL214" s="26"/>
      <c r="CM214" s="26"/>
      <c r="CN214" s="26"/>
      <c r="CO214" s="26"/>
      <c r="CP214" s="26"/>
      <c r="CQ214" s="26"/>
    </row>
    <row r="215" spans="1:95" s="29" customFormat="1" ht="15" customHeight="1" x14ac:dyDescent="0.25">
      <c r="A215" s="32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  <c r="AO215" s="26"/>
      <c r="AP215" s="26"/>
      <c r="AQ215" s="26"/>
      <c r="AR215" s="26"/>
      <c r="AS215" s="26"/>
      <c r="AT215" s="26"/>
      <c r="AU215" s="26"/>
      <c r="AV215" s="26"/>
      <c r="AW215" s="26"/>
      <c r="AX215" s="26"/>
      <c r="AY215" s="26"/>
      <c r="AZ215" s="26"/>
      <c r="BA215" s="26"/>
      <c r="BB215" s="26"/>
      <c r="BC215" s="26"/>
      <c r="BD215" s="26"/>
      <c r="BE215" s="26"/>
      <c r="BF215" s="26"/>
      <c r="BG215" s="26"/>
      <c r="BH215" s="26"/>
      <c r="BI215" s="26"/>
      <c r="BJ215" s="26"/>
      <c r="BK215" s="26"/>
      <c r="BL215" s="26"/>
      <c r="BM215" s="26"/>
      <c r="BN215" s="26"/>
      <c r="BO215" s="26"/>
      <c r="BP215" s="26"/>
      <c r="BQ215" s="26"/>
      <c r="BR215" s="26"/>
      <c r="BS215" s="26"/>
      <c r="BT215" s="26"/>
      <c r="BU215" s="26"/>
      <c r="BV215" s="26"/>
      <c r="BW215" s="26"/>
      <c r="BX215" s="26"/>
      <c r="BY215" s="26"/>
      <c r="BZ215" s="26"/>
      <c r="CA215" s="26"/>
      <c r="CB215" s="26"/>
      <c r="CC215" s="26"/>
      <c r="CD215" s="26"/>
      <c r="CE215" s="26"/>
      <c r="CF215" s="26"/>
      <c r="CG215" s="26"/>
      <c r="CH215" s="26"/>
      <c r="CI215" s="26"/>
      <c r="CJ215" s="26"/>
      <c r="CK215" s="26"/>
      <c r="CL215" s="26"/>
      <c r="CM215" s="26"/>
      <c r="CN215" s="26"/>
      <c r="CO215" s="26"/>
      <c r="CP215" s="26"/>
      <c r="CQ215" s="26"/>
    </row>
    <row r="216" spans="1:95" s="29" customFormat="1" ht="15" customHeight="1" x14ac:dyDescent="0.25">
      <c r="A216" s="32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6"/>
      <c r="AQ216" s="26"/>
      <c r="AR216" s="26"/>
      <c r="AS216" s="26"/>
      <c r="AT216" s="26"/>
      <c r="AU216" s="26"/>
      <c r="AV216" s="26"/>
      <c r="AW216" s="26"/>
      <c r="AX216" s="26"/>
      <c r="AY216" s="26"/>
      <c r="AZ216" s="26"/>
      <c r="BA216" s="26"/>
      <c r="BB216" s="26"/>
      <c r="BC216" s="26"/>
      <c r="BD216" s="26"/>
      <c r="BE216" s="26"/>
      <c r="BF216" s="26"/>
      <c r="BG216" s="26"/>
      <c r="BH216" s="26"/>
      <c r="BI216" s="26"/>
      <c r="BJ216" s="26"/>
      <c r="BK216" s="26"/>
      <c r="BL216" s="26"/>
      <c r="BM216" s="26"/>
      <c r="BN216" s="26"/>
      <c r="BO216" s="26"/>
      <c r="BP216" s="26"/>
      <c r="BQ216" s="26"/>
      <c r="BR216" s="26"/>
      <c r="BS216" s="26"/>
      <c r="BT216" s="26"/>
      <c r="BU216" s="26"/>
      <c r="BV216" s="26"/>
      <c r="BW216" s="26"/>
      <c r="BX216" s="26"/>
      <c r="BY216" s="26"/>
      <c r="BZ216" s="26"/>
      <c r="CA216" s="26"/>
      <c r="CB216" s="26"/>
      <c r="CC216" s="26"/>
      <c r="CD216" s="26"/>
      <c r="CE216" s="26"/>
      <c r="CF216" s="26"/>
      <c r="CG216" s="26"/>
      <c r="CH216" s="26"/>
      <c r="CI216" s="26"/>
      <c r="CJ216" s="26"/>
      <c r="CK216" s="26"/>
      <c r="CL216" s="26"/>
      <c r="CM216" s="26"/>
      <c r="CN216" s="26"/>
      <c r="CO216" s="26"/>
      <c r="CP216" s="26"/>
      <c r="CQ216" s="26"/>
    </row>
    <row r="217" spans="1:95" s="29" customFormat="1" ht="15" customHeight="1" x14ac:dyDescent="0.25">
      <c r="A217" s="32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26"/>
      <c r="AT217" s="26"/>
      <c r="AU217" s="26"/>
      <c r="AV217" s="26"/>
      <c r="AW217" s="26"/>
      <c r="AX217" s="26"/>
      <c r="AY217" s="26"/>
      <c r="AZ217" s="26"/>
      <c r="BA217" s="26"/>
      <c r="BB217" s="26"/>
      <c r="BC217" s="26"/>
      <c r="BD217" s="26"/>
      <c r="BE217" s="26"/>
      <c r="BF217" s="26"/>
      <c r="BG217" s="26"/>
      <c r="BH217" s="26"/>
      <c r="BI217" s="26"/>
      <c r="BJ217" s="26"/>
      <c r="BK217" s="26"/>
      <c r="BL217" s="26"/>
      <c r="BM217" s="26"/>
      <c r="BN217" s="26"/>
      <c r="BO217" s="26"/>
      <c r="BP217" s="26"/>
      <c r="BQ217" s="26"/>
      <c r="BR217" s="26"/>
      <c r="BS217" s="26"/>
      <c r="BT217" s="26"/>
      <c r="BU217" s="26"/>
      <c r="BV217" s="26"/>
      <c r="BW217" s="26"/>
      <c r="BX217" s="26"/>
      <c r="BY217" s="26"/>
      <c r="BZ217" s="26"/>
      <c r="CA217" s="26"/>
      <c r="CB217" s="26"/>
      <c r="CC217" s="26"/>
      <c r="CD217" s="26"/>
      <c r="CE217" s="26"/>
      <c r="CF217" s="26"/>
      <c r="CG217" s="26"/>
      <c r="CH217" s="26"/>
      <c r="CI217" s="26"/>
      <c r="CJ217" s="26"/>
      <c r="CK217" s="26"/>
      <c r="CL217" s="26"/>
      <c r="CM217" s="26"/>
      <c r="CN217" s="26"/>
      <c r="CO217" s="26"/>
      <c r="CP217" s="26"/>
      <c r="CQ217" s="26"/>
    </row>
    <row r="218" spans="1:95" s="29" customFormat="1" ht="15" customHeight="1" x14ac:dyDescent="0.25">
      <c r="A218" s="32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  <c r="AO218" s="26"/>
      <c r="AP218" s="26"/>
      <c r="AQ218" s="26"/>
      <c r="AR218" s="26"/>
      <c r="AS218" s="26"/>
      <c r="AT218" s="26"/>
      <c r="AU218" s="26"/>
      <c r="AV218" s="26"/>
      <c r="AW218" s="26"/>
      <c r="AX218" s="26"/>
      <c r="AY218" s="26"/>
      <c r="AZ218" s="26"/>
      <c r="BA218" s="26"/>
      <c r="BB218" s="26"/>
      <c r="BC218" s="26"/>
      <c r="BD218" s="26"/>
      <c r="BE218" s="26"/>
      <c r="BF218" s="26"/>
      <c r="BG218" s="26"/>
      <c r="BH218" s="26"/>
      <c r="BI218" s="26"/>
      <c r="BJ218" s="26"/>
      <c r="BK218" s="26"/>
      <c r="BL218" s="26"/>
      <c r="BM218" s="26"/>
      <c r="BN218" s="26"/>
      <c r="BO218" s="26"/>
      <c r="BP218" s="26"/>
      <c r="BQ218" s="26"/>
      <c r="BR218" s="26"/>
      <c r="BS218" s="26"/>
      <c r="BT218" s="26"/>
      <c r="BU218" s="26"/>
      <c r="BV218" s="26"/>
      <c r="BW218" s="26"/>
      <c r="BX218" s="26"/>
      <c r="BY218" s="26"/>
      <c r="BZ218" s="26"/>
      <c r="CA218" s="26"/>
      <c r="CB218" s="26"/>
      <c r="CC218" s="26"/>
      <c r="CD218" s="26"/>
      <c r="CE218" s="26"/>
      <c r="CF218" s="26"/>
      <c r="CG218" s="26"/>
      <c r="CH218" s="26"/>
      <c r="CI218" s="26"/>
      <c r="CJ218" s="26"/>
      <c r="CK218" s="26"/>
      <c r="CL218" s="26"/>
      <c r="CM218" s="26"/>
      <c r="CN218" s="26"/>
      <c r="CO218" s="26"/>
      <c r="CP218" s="26"/>
      <c r="CQ218" s="26"/>
    </row>
    <row r="219" spans="1:95" s="29" customFormat="1" ht="15" customHeight="1" x14ac:dyDescent="0.25">
      <c r="A219" s="32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  <c r="AO219" s="26"/>
      <c r="AP219" s="26"/>
      <c r="AQ219" s="26"/>
      <c r="AR219" s="26"/>
      <c r="AS219" s="26"/>
      <c r="AT219" s="26"/>
      <c r="AU219" s="26"/>
      <c r="AV219" s="26"/>
      <c r="AW219" s="26"/>
      <c r="AX219" s="26"/>
      <c r="AY219" s="26"/>
      <c r="AZ219" s="26"/>
      <c r="BA219" s="26"/>
      <c r="BB219" s="26"/>
      <c r="BC219" s="26"/>
      <c r="BD219" s="26"/>
      <c r="BE219" s="26"/>
      <c r="BF219" s="26"/>
      <c r="BG219" s="26"/>
      <c r="BH219" s="26"/>
      <c r="BI219" s="26"/>
      <c r="BJ219" s="26"/>
      <c r="BK219" s="26"/>
      <c r="BL219" s="26"/>
      <c r="BM219" s="26"/>
      <c r="BN219" s="26"/>
      <c r="BO219" s="26"/>
      <c r="BP219" s="26"/>
      <c r="BQ219" s="26"/>
      <c r="BR219" s="26"/>
      <c r="BS219" s="26"/>
      <c r="BT219" s="26"/>
      <c r="BU219" s="26"/>
      <c r="BV219" s="26"/>
      <c r="BW219" s="26"/>
      <c r="BX219" s="26"/>
      <c r="BY219" s="26"/>
      <c r="BZ219" s="26"/>
      <c r="CA219" s="26"/>
      <c r="CB219" s="26"/>
      <c r="CC219" s="26"/>
      <c r="CD219" s="26"/>
      <c r="CE219" s="26"/>
      <c r="CF219" s="26"/>
      <c r="CG219" s="26"/>
      <c r="CH219" s="26"/>
      <c r="CI219" s="26"/>
      <c r="CJ219" s="26"/>
      <c r="CK219" s="26"/>
      <c r="CL219" s="26"/>
      <c r="CM219" s="26"/>
      <c r="CN219" s="26"/>
      <c r="CO219" s="26"/>
      <c r="CP219" s="26"/>
      <c r="CQ219" s="26"/>
    </row>
    <row r="220" spans="1:95" s="29" customFormat="1" ht="15" customHeight="1" x14ac:dyDescent="0.25">
      <c r="A220" s="32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  <c r="AO220" s="26"/>
      <c r="AP220" s="26"/>
      <c r="AQ220" s="26"/>
      <c r="AR220" s="26"/>
      <c r="AS220" s="26"/>
      <c r="AT220" s="26"/>
      <c r="AU220" s="26"/>
      <c r="AV220" s="26"/>
      <c r="AW220" s="26"/>
      <c r="AX220" s="26"/>
      <c r="AY220" s="26"/>
      <c r="AZ220" s="26"/>
      <c r="BA220" s="26"/>
      <c r="BB220" s="26"/>
      <c r="BC220" s="26"/>
      <c r="BD220" s="26"/>
      <c r="BE220" s="26"/>
      <c r="BF220" s="26"/>
      <c r="BG220" s="26"/>
      <c r="BH220" s="26"/>
      <c r="BI220" s="26"/>
      <c r="BJ220" s="26"/>
      <c r="BK220" s="26"/>
      <c r="BL220" s="26"/>
      <c r="BM220" s="26"/>
      <c r="BN220" s="26"/>
      <c r="BO220" s="26"/>
      <c r="BP220" s="26"/>
      <c r="BQ220" s="26"/>
      <c r="BR220" s="26"/>
      <c r="BS220" s="26"/>
      <c r="BT220" s="26"/>
      <c r="BU220" s="26"/>
      <c r="BV220" s="26"/>
      <c r="BW220" s="26"/>
      <c r="BX220" s="26"/>
      <c r="BY220" s="26"/>
      <c r="BZ220" s="26"/>
      <c r="CA220" s="26"/>
      <c r="CB220" s="26"/>
      <c r="CC220" s="26"/>
      <c r="CD220" s="26"/>
      <c r="CE220" s="26"/>
      <c r="CF220" s="26"/>
      <c r="CG220" s="26"/>
      <c r="CH220" s="26"/>
      <c r="CI220" s="26"/>
      <c r="CJ220" s="26"/>
      <c r="CK220" s="26"/>
      <c r="CL220" s="26"/>
      <c r="CM220" s="26"/>
      <c r="CN220" s="26"/>
      <c r="CO220" s="26"/>
      <c r="CP220" s="26"/>
      <c r="CQ220" s="26"/>
    </row>
    <row r="221" spans="1:95" s="29" customFormat="1" ht="15" customHeight="1" x14ac:dyDescent="0.25">
      <c r="A221" s="32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  <c r="AO221" s="26"/>
      <c r="AP221" s="26"/>
      <c r="AQ221" s="26"/>
      <c r="AR221" s="26"/>
      <c r="AS221" s="26"/>
      <c r="AT221" s="26"/>
      <c r="AU221" s="26"/>
      <c r="AV221" s="26"/>
      <c r="AW221" s="26"/>
      <c r="AX221" s="26"/>
      <c r="AY221" s="26"/>
      <c r="AZ221" s="26"/>
      <c r="BA221" s="26"/>
      <c r="BB221" s="26"/>
      <c r="BC221" s="26"/>
      <c r="BD221" s="26"/>
      <c r="BE221" s="26"/>
      <c r="BF221" s="26"/>
      <c r="BG221" s="26"/>
      <c r="BH221" s="26"/>
      <c r="BI221" s="26"/>
      <c r="BJ221" s="26"/>
      <c r="BK221" s="26"/>
      <c r="BL221" s="26"/>
      <c r="BM221" s="26"/>
      <c r="BN221" s="26"/>
      <c r="BO221" s="26"/>
      <c r="BP221" s="26"/>
      <c r="BQ221" s="26"/>
      <c r="BR221" s="26"/>
      <c r="BS221" s="26"/>
      <c r="BT221" s="26"/>
      <c r="BU221" s="26"/>
      <c r="BV221" s="26"/>
      <c r="BW221" s="26"/>
      <c r="BX221" s="26"/>
      <c r="BY221" s="26"/>
      <c r="BZ221" s="26"/>
      <c r="CA221" s="26"/>
      <c r="CB221" s="26"/>
      <c r="CC221" s="26"/>
      <c r="CD221" s="26"/>
      <c r="CE221" s="26"/>
      <c r="CF221" s="26"/>
      <c r="CG221" s="26"/>
      <c r="CH221" s="26"/>
      <c r="CI221" s="26"/>
      <c r="CJ221" s="26"/>
      <c r="CK221" s="26"/>
      <c r="CL221" s="26"/>
      <c r="CM221" s="26"/>
      <c r="CN221" s="26"/>
      <c r="CO221" s="26"/>
      <c r="CP221" s="26"/>
      <c r="CQ221" s="26"/>
    </row>
    <row r="222" spans="1:95" s="29" customFormat="1" ht="15" customHeight="1" x14ac:dyDescent="0.25">
      <c r="A222" s="32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  <c r="AO222" s="26"/>
      <c r="AP222" s="26"/>
      <c r="AQ222" s="26"/>
      <c r="AR222" s="26"/>
      <c r="AS222" s="26"/>
      <c r="AT222" s="26"/>
      <c r="AU222" s="26"/>
      <c r="AV222" s="26"/>
      <c r="AW222" s="26"/>
      <c r="AX222" s="26"/>
      <c r="AY222" s="26"/>
      <c r="AZ222" s="26"/>
      <c r="BA222" s="26"/>
      <c r="BB222" s="26"/>
      <c r="BC222" s="26"/>
      <c r="BD222" s="26"/>
      <c r="BE222" s="26"/>
      <c r="BF222" s="26"/>
      <c r="BG222" s="26"/>
      <c r="BH222" s="26"/>
      <c r="BI222" s="26"/>
      <c r="BJ222" s="26"/>
      <c r="BK222" s="26"/>
      <c r="BL222" s="26"/>
      <c r="BM222" s="26"/>
      <c r="BN222" s="26"/>
      <c r="BO222" s="26"/>
      <c r="BP222" s="26"/>
      <c r="BQ222" s="26"/>
      <c r="BR222" s="26"/>
      <c r="BS222" s="26"/>
      <c r="BT222" s="26"/>
      <c r="BU222" s="26"/>
      <c r="BV222" s="26"/>
      <c r="BW222" s="26"/>
      <c r="BX222" s="26"/>
      <c r="BY222" s="26"/>
      <c r="BZ222" s="26"/>
      <c r="CA222" s="26"/>
      <c r="CB222" s="26"/>
      <c r="CC222" s="26"/>
      <c r="CD222" s="26"/>
      <c r="CE222" s="26"/>
      <c r="CF222" s="26"/>
      <c r="CG222" s="26"/>
      <c r="CH222" s="26"/>
      <c r="CI222" s="26"/>
      <c r="CJ222" s="26"/>
      <c r="CK222" s="26"/>
      <c r="CL222" s="26"/>
      <c r="CM222" s="26"/>
      <c r="CN222" s="26"/>
      <c r="CO222" s="26"/>
      <c r="CP222" s="26"/>
      <c r="CQ222" s="26"/>
    </row>
    <row r="223" spans="1:95" s="29" customFormat="1" ht="15" customHeight="1" x14ac:dyDescent="0.25">
      <c r="A223" s="32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  <c r="AO223" s="26"/>
      <c r="AP223" s="26"/>
      <c r="AQ223" s="26"/>
      <c r="AR223" s="26"/>
      <c r="AS223" s="26"/>
      <c r="AT223" s="26"/>
      <c r="AU223" s="26"/>
      <c r="AV223" s="26"/>
      <c r="AW223" s="26"/>
      <c r="AX223" s="26"/>
      <c r="AY223" s="26"/>
      <c r="AZ223" s="26"/>
      <c r="BA223" s="26"/>
      <c r="BB223" s="26"/>
      <c r="BC223" s="26"/>
      <c r="BD223" s="26"/>
      <c r="BE223" s="26"/>
      <c r="BF223" s="26"/>
      <c r="BG223" s="26"/>
      <c r="BH223" s="26"/>
      <c r="BI223" s="26"/>
      <c r="BJ223" s="26"/>
      <c r="BK223" s="26"/>
      <c r="BL223" s="26"/>
      <c r="BM223" s="26"/>
      <c r="BN223" s="26"/>
      <c r="BO223" s="26"/>
      <c r="BP223" s="26"/>
      <c r="BQ223" s="26"/>
      <c r="BR223" s="26"/>
      <c r="BS223" s="26"/>
      <c r="BT223" s="26"/>
      <c r="BU223" s="26"/>
      <c r="BV223" s="26"/>
      <c r="BW223" s="26"/>
      <c r="BX223" s="26"/>
      <c r="BY223" s="26"/>
      <c r="BZ223" s="26"/>
      <c r="CA223" s="26"/>
      <c r="CB223" s="26"/>
      <c r="CC223" s="26"/>
      <c r="CD223" s="26"/>
      <c r="CE223" s="26"/>
      <c r="CF223" s="26"/>
      <c r="CG223" s="26"/>
      <c r="CH223" s="26"/>
      <c r="CI223" s="26"/>
      <c r="CJ223" s="26"/>
      <c r="CK223" s="26"/>
      <c r="CL223" s="26"/>
      <c r="CM223" s="26"/>
      <c r="CN223" s="26"/>
      <c r="CO223" s="26"/>
      <c r="CP223" s="26"/>
      <c r="CQ223" s="26"/>
    </row>
    <row r="224" spans="1:95" s="29" customFormat="1" ht="15" customHeight="1" x14ac:dyDescent="0.25">
      <c r="A224" s="32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  <c r="AO224" s="26"/>
      <c r="AP224" s="26"/>
      <c r="AQ224" s="26"/>
      <c r="AR224" s="26"/>
      <c r="AS224" s="26"/>
      <c r="AT224" s="26"/>
      <c r="AU224" s="26"/>
      <c r="AV224" s="26"/>
      <c r="AW224" s="26"/>
      <c r="AX224" s="26"/>
      <c r="AY224" s="26"/>
      <c r="AZ224" s="26"/>
      <c r="BA224" s="26"/>
      <c r="BB224" s="26"/>
      <c r="BC224" s="26"/>
      <c r="BD224" s="26"/>
      <c r="BE224" s="26"/>
      <c r="BF224" s="26"/>
      <c r="BG224" s="26"/>
      <c r="BH224" s="26"/>
      <c r="BI224" s="26"/>
      <c r="BJ224" s="26"/>
      <c r="BK224" s="26"/>
      <c r="BL224" s="26"/>
      <c r="BM224" s="26"/>
      <c r="BN224" s="26"/>
      <c r="BO224" s="26"/>
      <c r="BP224" s="26"/>
      <c r="BQ224" s="26"/>
      <c r="BR224" s="26"/>
      <c r="BS224" s="26"/>
      <c r="BT224" s="26"/>
      <c r="BU224" s="26"/>
      <c r="BV224" s="26"/>
      <c r="BW224" s="26"/>
      <c r="BX224" s="26"/>
      <c r="BY224" s="26"/>
      <c r="BZ224" s="26"/>
      <c r="CA224" s="26"/>
      <c r="CB224" s="26"/>
      <c r="CC224" s="26"/>
      <c r="CD224" s="26"/>
      <c r="CE224" s="26"/>
      <c r="CF224" s="26"/>
      <c r="CG224" s="26"/>
      <c r="CH224" s="26"/>
      <c r="CI224" s="26"/>
      <c r="CJ224" s="26"/>
      <c r="CK224" s="26"/>
      <c r="CL224" s="26"/>
      <c r="CM224" s="26"/>
      <c r="CN224" s="26"/>
      <c r="CO224" s="26"/>
      <c r="CP224" s="26"/>
      <c r="CQ224" s="26"/>
    </row>
    <row r="225" spans="1:95" s="29" customFormat="1" ht="15" customHeight="1" x14ac:dyDescent="0.25">
      <c r="A225" s="32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  <c r="AO225" s="26"/>
      <c r="AP225" s="26"/>
      <c r="AQ225" s="26"/>
      <c r="AR225" s="26"/>
      <c r="AS225" s="26"/>
      <c r="AT225" s="26"/>
      <c r="AU225" s="26"/>
      <c r="AV225" s="26"/>
      <c r="AW225" s="26"/>
      <c r="AX225" s="26"/>
      <c r="AY225" s="26"/>
      <c r="AZ225" s="26"/>
      <c r="BA225" s="26"/>
      <c r="BB225" s="26"/>
      <c r="BC225" s="26"/>
      <c r="BD225" s="26"/>
      <c r="BE225" s="26"/>
      <c r="BF225" s="26"/>
      <c r="BG225" s="26"/>
      <c r="BH225" s="26"/>
      <c r="BI225" s="26"/>
      <c r="BJ225" s="26"/>
      <c r="BK225" s="26"/>
      <c r="BL225" s="26"/>
      <c r="BM225" s="26"/>
      <c r="BN225" s="26"/>
      <c r="BO225" s="26"/>
      <c r="BP225" s="26"/>
      <c r="BQ225" s="26"/>
      <c r="BR225" s="26"/>
      <c r="BS225" s="26"/>
      <c r="BT225" s="26"/>
      <c r="BU225" s="26"/>
      <c r="BV225" s="26"/>
      <c r="BW225" s="26"/>
      <c r="BX225" s="26"/>
      <c r="BY225" s="26"/>
      <c r="BZ225" s="26"/>
      <c r="CA225" s="26"/>
      <c r="CB225" s="26"/>
      <c r="CC225" s="26"/>
      <c r="CD225" s="26"/>
      <c r="CE225" s="26"/>
      <c r="CF225" s="26"/>
      <c r="CG225" s="26"/>
      <c r="CH225" s="26"/>
      <c r="CI225" s="26"/>
      <c r="CJ225" s="26"/>
      <c r="CK225" s="26"/>
      <c r="CL225" s="26"/>
      <c r="CM225" s="26"/>
      <c r="CN225" s="26"/>
      <c r="CO225" s="26"/>
      <c r="CP225" s="26"/>
      <c r="CQ225" s="26"/>
    </row>
    <row r="226" spans="1:95" s="29" customFormat="1" ht="15" customHeight="1" x14ac:dyDescent="0.25">
      <c r="A226" s="32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  <c r="AO226" s="26"/>
      <c r="AP226" s="26"/>
      <c r="AQ226" s="26"/>
      <c r="AR226" s="26"/>
      <c r="AS226" s="26"/>
      <c r="AT226" s="26"/>
      <c r="AU226" s="26"/>
      <c r="AV226" s="26"/>
      <c r="AW226" s="26"/>
      <c r="AX226" s="26"/>
      <c r="AY226" s="26"/>
      <c r="AZ226" s="26"/>
      <c r="BA226" s="26"/>
      <c r="BB226" s="26"/>
      <c r="BC226" s="26"/>
      <c r="BD226" s="26"/>
      <c r="BE226" s="26"/>
      <c r="BF226" s="26"/>
      <c r="BG226" s="26"/>
      <c r="BH226" s="26"/>
      <c r="BI226" s="26"/>
      <c r="BJ226" s="26"/>
      <c r="BK226" s="26"/>
      <c r="BL226" s="26"/>
      <c r="BM226" s="26"/>
      <c r="BN226" s="26"/>
      <c r="BO226" s="26"/>
      <c r="BP226" s="26"/>
      <c r="BQ226" s="26"/>
      <c r="BR226" s="26"/>
      <c r="BS226" s="26"/>
      <c r="BT226" s="26"/>
      <c r="BU226" s="26"/>
      <c r="BV226" s="26"/>
      <c r="BW226" s="26"/>
      <c r="BX226" s="26"/>
      <c r="BY226" s="26"/>
      <c r="BZ226" s="26"/>
      <c r="CA226" s="26"/>
      <c r="CB226" s="26"/>
      <c r="CC226" s="26"/>
      <c r="CD226" s="26"/>
      <c r="CE226" s="26"/>
      <c r="CF226" s="26"/>
      <c r="CG226" s="26"/>
      <c r="CH226" s="26"/>
      <c r="CI226" s="26"/>
      <c r="CJ226" s="26"/>
      <c r="CK226" s="26"/>
      <c r="CL226" s="26"/>
      <c r="CM226" s="26"/>
      <c r="CN226" s="26"/>
      <c r="CO226" s="26"/>
      <c r="CP226" s="26"/>
      <c r="CQ226" s="26"/>
    </row>
    <row r="227" spans="1:95" s="29" customFormat="1" ht="15" customHeight="1" x14ac:dyDescent="0.25">
      <c r="A227" s="32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  <c r="AO227" s="26"/>
      <c r="AP227" s="26"/>
      <c r="AQ227" s="26"/>
      <c r="AR227" s="26"/>
      <c r="AS227" s="26"/>
      <c r="AT227" s="26"/>
      <c r="AU227" s="26"/>
      <c r="AV227" s="26"/>
      <c r="AW227" s="26"/>
      <c r="AX227" s="26"/>
      <c r="AY227" s="26"/>
      <c r="AZ227" s="26"/>
      <c r="BA227" s="26"/>
      <c r="BB227" s="26"/>
      <c r="BC227" s="26"/>
      <c r="BD227" s="26"/>
      <c r="BE227" s="26"/>
      <c r="BF227" s="26"/>
      <c r="BG227" s="26"/>
      <c r="BH227" s="26"/>
      <c r="BI227" s="26"/>
      <c r="BJ227" s="26"/>
      <c r="BK227" s="26"/>
      <c r="BL227" s="26"/>
      <c r="BM227" s="26"/>
      <c r="BN227" s="26"/>
      <c r="BO227" s="26"/>
      <c r="BP227" s="26"/>
      <c r="BQ227" s="26"/>
      <c r="BR227" s="26"/>
      <c r="BS227" s="26"/>
      <c r="BT227" s="26"/>
      <c r="BU227" s="26"/>
      <c r="BV227" s="26"/>
      <c r="BW227" s="26"/>
      <c r="BX227" s="26"/>
      <c r="BY227" s="26"/>
      <c r="BZ227" s="26"/>
      <c r="CA227" s="26"/>
      <c r="CB227" s="26"/>
      <c r="CC227" s="26"/>
      <c r="CD227" s="26"/>
      <c r="CE227" s="26"/>
      <c r="CF227" s="26"/>
      <c r="CG227" s="26"/>
      <c r="CH227" s="26"/>
      <c r="CI227" s="26"/>
      <c r="CJ227" s="26"/>
      <c r="CK227" s="26"/>
      <c r="CL227" s="26"/>
      <c r="CM227" s="26"/>
      <c r="CN227" s="26"/>
      <c r="CO227" s="26"/>
      <c r="CP227" s="26"/>
      <c r="CQ227" s="26"/>
    </row>
    <row r="228" spans="1:95" s="29" customFormat="1" ht="15" customHeight="1" x14ac:dyDescent="0.25">
      <c r="A228" s="32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  <c r="AO228" s="26"/>
      <c r="AP228" s="26"/>
      <c r="AQ228" s="26"/>
      <c r="AR228" s="26"/>
      <c r="AS228" s="26"/>
      <c r="AT228" s="26"/>
      <c r="AU228" s="26"/>
      <c r="AV228" s="26"/>
      <c r="AW228" s="26"/>
      <c r="AX228" s="26"/>
      <c r="AY228" s="26"/>
      <c r="AZ228" s="26"/>
      <c r="BA228" s="26"/>
      <c r="BB228" s="26"/>
      <c r="BC228" s="26"/>
      <c r="BD228" s="26"/>
      <c r="BE228" s="26"/>
      <c r="BF228" s="26"/>
      <c r="BG228" s="26"/>
      <c r="BH228" s="26"/>
      <c r="BI228" s="26"/>
      <c r="BJ228" s="26"/>
      <c r="BK228" s="26"/>
      <c r="BL228" s="26"/>
      <c r="BM228" s="26"/>
      <c r="BN228" s="26"/>
      <c r="BO228" s="26"/>
      <c r="BP228" s="26"/>
      <c r="BQ228" s="26"/>
      <c r="BR228" s="26"/>
      <c r="BS228" s="26"/>
      <c r="BT228" s="26"/>
      <c r="BU228" s="26"/>
      <c r="BV228" s="26"/>
      <c r="BW228" s="26"/>
      <c r="BX228" s="26"/>
      <c r="BY228" s="26"/>
      <c r="BZ228" s="26"/>
      <c r="CA228" s="26"/>
      <c r="CB228" s="26"/>
      <c r="CC228" s="26"/>
      <c r="CD228" s="26"/>
      <c r="CE228" s="26"/>
      <c r="CF228" s="26"/>
      <c r="CG228" s="26"/>
      <c r="CH228" s="26"/>
      <c r="CI228" s="26"/>
      <c r="CJ228" s="26"/>
      <c r="CK228" s="26"/>
      <c r="CL228" s="26"/>
      <c r="CM228" s="26"/>
      <c r="CN228" s="26"/>
      <c r="CO228" s="26"/>
      <c r="CP228" s="26"/>
      <c r="CQ228" s="26"/>
    </row>
    <row r="229" spans="1:95" s="29" customFormat="1" ht="15" customHeight="1" x14ac:dyDescent="0.25">
      <c r="A229" s="32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  <c r="AO229" s="26"/>
      <c r="AP229" s="26"/>
      <c r="AQ229" s="26"/>
      <c r="AR229" s="26"/>
      <c r="AS229" s="26"/>
      <c r="AT229" s="26"/>
      <c r="AU229" s="26"/>
      <c r="AV229" s="26"/>
      <c r="AW229" s="26"/>
      <c r="AX229" s="26"/>
      <c r="AY229" s="26"/>
      <c r="AZ229" s="26"/>
      <c r="BA229" s="26"/>
      <c r="BB229" s="26"/>
      <c r="BC229" s="26"/>
      <c r="BD229" s="26"/>
      <c r="BE229" s="26"/>
      <c r="BF229" s="26"/>
      <c r="BG229" s="26"/>
      <c r="BH229" s="26"/>
      <c r="BI229" s="26"/>
      <c r="BJ229" s="26"/>
      <c r="BK229" s="26"/>
      <c r="BL229" s="26"/>
      <c r="BM229" s="26"/>
      <c r="BN229" s="26"/>
      <c r="BO229" s="26"/>
      <c r="BP229" s="26"/>
      <c r="BQ229" s="26"/>
      <c r="BR229" s="26"/>
      <c r="BS229" s="26"/>
      <c r="BT229" s="26"/>
      <c r="BU229" s="26"/>
      <c r="BV229" s="26"/>
      <c r="BW229" s="26"/>
      <c r="BX229" s="26"/>
      <c r="BY229" s="26"/>
      <c r="BZ229" s="26"/>
      <c r="CA229" s="26"/>
      <c r="CB229" s="26"/>
      <c r="CC229" s="26"/>
      <c r="CD229" s="26"/>
      <c r="CE229" s="26"/>
      <c r="CF229" s="26"/>
      <c r="CG229" s="26"/>
      <c r="CH229" s="26"/>
      <c r="CI229" s="26"/>
      <c r="CJ229" s="26"/>
      <c r="CK229" s="26"/>
      <c r="CL229" s="26"/>
      <c r="CM229" s="26"/>
      <c r="CN229" s="26"/>
      <c r="CO229" s="26"/>
      <c r="CP229" s="26"/>
      <c r="CQ229" s="26"/>
    </row>
    <row r="230" spans="1:95" s="29" customFormat="1" ht="15" customHeight="1" x14ac:dyDescent="0.25">
      <c r="A230" s="32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  <c r="AO230" s="26"/>
      <c r="AP230" s="26"/>
      <c r="AQ230" s="26"/>
      <c r="AR230" s="26"/>
      <c r="AS230" s="26"/>
      <c r="AT230" s="26"/>
      <c r="AU230" s="26"/>
      <c r="AV230" s="26"/>
      <c r="AW230" s="26"/>
      <c r="AX230" s="26"/>
      <c r="AY230" s="26"/>
      <c r="AZ230" s="26"/>
      <c r="BA230" s="26"/>
      <c r="BB230" s="26"/>
      <c r="BC230" s="26"/>
      <c r="BD230" s="26"/>
      <c r="BE230" s="26"/>
      <c r="BF230" s="26"/>
      <c r="BG230" s="26"/>
      <c r="BH230" s="26"/>
      <c r="BI230" s="26"/>
      <c r="BJ230" s="26"/>
      <c r="BK230" s="26"/>
      <c r="BL230" s="26"/>
      <c r="BM230" s="26"/>
      <c r="BN230" s="26"/>
      <c r="BO230" s="26"/>
      <c r="BP230" s="26"/>
      <c r="BQ230" s="26"/>
      <c r="BR230" s="26"/>
      <c r="BS230" s="26"/>
      <c r="BT230" s="26"/>
      <c r="BU230" s="26"/>
      <c r="BV230" s="26"/>
      <c r="BW230" s="26"/>
      <c r="BX230" s="26"/>
      <c r="BY230" s="26"/>
      <c r="BZ230" s="26"/>
      <c r="CA230" s="26"/>
      <c r="CB230" s="26"/>
      <c r="CC230" s="26"/>
      <c r="CD230" s="26"/>
      <c r="CE230" s="26"/>
      <c r="CF230" s="26"/>
      <c r="CG230" s="26"/>
      <c r="CH230" s="26"/>
      <c r="CI230" s="26"/>
      <c r="CJ230" s="26"/>
      <c r="CK230" s="26"/>
      <c r="CL230" s="26"/>
      <c r="CM230" s="26"/>
      <c r="CN230" s="26"/>
      <c r="CO230" s="26"/>
      <c r="CP230" s="26"/>
      <c r="CQ230" s="26"/>
    </row>
    <row r="231" spans="1:95" s="29" customFormat="1" ht="15" customHeight="1" x14ac:dyDescent="0.25">
      <c r="A231" s="32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  <c r="AO231" s="26"/>
      <c r="AP231" s="26"/>
      <c r="AQ231" s="26"/>
      <c r="AR231" s="26"/>
      <c r="AS231" s="26"/>
      <c r="AT231" s="26"/>
      <c r="AU231" s="26"/>
      <c r="AV231" s="26"/>
      <c r="AW231" s="26"/>
      <c r="AX231" s="26"/>
      <c r="AY231" s="26"/>
      <c r="AZ231" s="26"/>
      <c r="BA231" s="26"/>
      <c r="BB231" s="26"/>
      <c r="BC231" s="26"/>
      <c r="BD231" s="26"/>
      <c r="BE231" s="26"/>
      <c r="BF231" s="26"/>
      <c r="BG231" s="26"/>
      <c r="BH231" s="26"/>
      <c r="BI231" s="26"/>
      <c r="BJ231" s="26"/>
      <c r="BK231" s="26"/>
      <c r="BL231" s="26"/>
      <c r="BM231" s="26"/>
      <c r="BN231" s="26"/>
      <c r="BO231" s="26"/>
      <c r="BP231" s="26"/>
      <c r="BQ231" s="26"/>
      <c r="BR231" s="26"/>
      <c r="BS231" s="26"/>
      <c r="BT231" s="26"/>
      <c r="BU231" s="26"/>
      <c r="BV231" s="26"/>
      <c r="BW231" s="26"/>
      <c r="BX231" s="26"/>
      <c r="BY231" s="26"/>
      <c r="BZ231" s="26"/>
      <c r="CA231" s="26"/>
      <c r="CB231" s="26"/>
      <c r="CC231" s="26"/>
      <c r="CD231" s="26"/>
      <c r="CE231" s="26"/>
      <c r="CF231" s="26"/>
      <c r="CG231" s="26"/>
      <c r="CH231" s="26"/>
      <c r="CI231" s="26"/>
      <c r="CJ231" s="26"/>
      <c r="CK231" s="26"/>
      <c r="CL231" s="26"/>
      <c r="CM231" s="26"/>
      <c r="CN231" s="26"/>
      <c r="CO231" s="26"/>
      <c r="CP231" s="26"/>
      <c r="CQ231" s="26"/>
    </row>
    <row r="232" spans="1:95" s="29" customFormat="1" ht="15" customHeight="1" x14ac:dyDescent="0.25">
      <c r="A232" s="32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  <c r="AO232" s="26"/>
      <c r="AP232" s="26"/>
      <c r="AQ232" s="26"/>
      <c r="AR232" s="26"/>
      <c r="AS232" s="26"/>
      <c r="AT232" s="26"/>
      <c r="AU232" s="26"/>
      <c r="AV232" s="26"/>
      <c r="AW232" s="26"/>
      <c r="AX232" s="26"/>
      <c r="AY232" s="26"/>
      <c r="AZ232" s="26"/>
      <c r="BA232" s="26"/>
      <c r="BB232" s="26"/>
      <c r="BC232" s="26"/>
      <c r="BD232" s="26"/>
      <c r="BE232" s="26"/>
      <c r="BF232" s="26"/>
      <c r="BG232" s="26"/>
      <c r="BH232" s="26"/>
      <c r="BI232" s="26"/>
      <c r="BJ232" s="26"/>
      <c r="BK232" s="26"/>
      <c r="BL232" s="26"/>
      <c r="BM232" s="26"/>
      <c r="BN232" s="26"/>
      <c r="BO232" s="26"/>
      <c r="BP232" s="26"/>
      <c r="BQ232" s="26"/>
      <c r="BR232" s="26"/>
      <c r="BS232" s="26"/>
      <c r="BT232" s="26"/>
      <c r="BU232" s="26"/>
      <c r="BV232" s="26"/>
      <c r="BW232" s="26"/>
      <c r="BX232" s="26"/>
      <c r="BY232" s="26"/>
      <c r="BZ232" s="26"/>
      <c r="CA232" s="26"/>
      <c r="CB232" s="26"/>
      <c r="CC232" s="26"/>
      <c r="CD232" s="26"/>
      <c r="CE232" s="26"/>
      <c r="CF232" s="26"/>
      <c r="CG232" s="26"/>
      <c r="CH232" s="26"/>
      <c r="CI232" s="26"/>
      <c r="CJ232" s="26"/>
      <c r="CK232" s="26"/>
      <c r="CL232" s="26"/>
      <c r="CM232" s="26"/>
      <c r="CN232" s="26"/>
      <c r="CO232" s="26"/>
      <c r="CP232" s="26"/>
      <c r="CQ232" s="26"/>
    </row>
    <row r="233" spans="1:95" s="29" customFormat="1" ht="15" customHeight="1" x14ac:dyDescent="0.25">
      <c r="A233" s="32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  <c r="AO233" s="26"/>
      <c r="AP233" s="26"/>
      <c r="AQ233" s="26"/>
      <c r="AR233" s="26"/>
      <c r="AS233" s="26"/>
      <c r="AT233" s="26"/>
      <c r="AU233" s="26"/>
      <c r="AV233" s="26"/>
      <c r="AW233" s="26"/>
      <c r="AX233" s="26"/>
      <c r="AY233" s="26"/>
      <c r="AZ233" s="26"/>
      <c r="BA233" s="26"/>
      <c r="BB233" s="26"/>
      <c r="BC233" s="26"/>
      <c r="BD233" s="26"/>
      <c r="BE233" s="26"/>
      <c r="BF233" s="26"/>
      <c r="BG233" s="26"/>
      <c r="BH233" s="26"/>
      <c r="BI233" s="26"/>
      <c r="BJ233" s="26"/>
      <c r="BK233" s="26"/>
      <c r="BL233" s="26"/>
      <c r="BM233" s="26"/>
      <c r="BN233" s="26"/>
      <c r="BO233" s="26"/>
      <c r="BP233" s="26"/>
      <c r="BQ233" s="26"/>
      <c r="BR233" s="26"/>
      <c r="BS233" s="26"/>
      <c r="BT233" s="26"/>
      <c r="BU233" s="26"/>
      <c r="BV233" s="26"/>
      <c r="BW233" s="26"/>
      <c r="BX233" s="26"/>
      <c r="BY233" s="26"/>
      <c r="BZ233" s="26"/>
      <c r="CA233" s="26"/>
      <c r="CB233" s="26"/>
      <c r="CC233" s="26"/>
      <c r="CD233" s="26"/>
      <c r="CE233" s="26"/>
      <c r="CF233" s="26"/>
      <c r="CG233" s="26"/>
      <c r="CH233" s="26"/>
      <c r="CI233" s="26"/>
      <c r="CJ233" s="26"/>
      <c r="CK233" s="26"/>
      <c r="CL233" s="26"/>
      <c r="CM233" s="26"/>
      <c r="CN233" s="26"/>
      <c r="CO233" s="26"/>
      <c r="CP233" s="26"/>
      <c r="CQ233" s="26"/>
    </row>
    <row r="234" spans="1:95" s="29" customFormat="1" ht="15" customHeight="1" x14ac:dyDescent="0.25">
      <c r="A234" s="32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  <c r="AO234" s="26"/>
      <c r="AP234" s="26"/>
      <c r="AQ234" s="26"/>
      <c r="AR234" s="26"/>
      <c r="AS234" s="26"/>
      <c r="AT234" s="26"/>
      <c r="AU234" s="26"/>
      <c r="AV234" s="26"/>
      <c r="AW234" s="26"/>
      <c r="AX234" s="26"/>
      <c r="AY234" s="26"/>
      <c r="AZ234" s="26"/>
      <c r="BA234" s="26"/>
      <c r="BB234" s="26"/>
      <c r="BC234" s="26"/>
      <c r="BD234" s="26"/>
      <c r="BE234" s="26"/>
      <c r="BF234" s="26"/>
      <c r="BG234" s="26"/>
      <c r="BH234" s="26"/>
      <c r="BI234" s="26"/>
      <c r="BJ234" s="26"/>
      <c r="BK234" s="26"/>
      <c r="BL234" s="26"/>
      <c r="BM234" s="26"/>
      <c r="BN234" s="26"/>
      <c r="BO234" s="26"/>
      <c r="BP234" s="26"/>
      <c r="BQ234" s="26"/>
      <c r="BR234" s="26"/>
      <c r="BS234" s="26"/>
      <c r="BT234" s="26"/>
      <c r="BU234" s="26"/>
      <c r="BV234" s="26"/>
      <c r="BW234" s="26"/>
      <c r="BX234" s="26"/>
      <c r="BY234" s="26"/>
      <c r="BZ234" s="26"/>
      <c r="CA234" s="26"/>
      <c r="CB234" s="26"/>
      <c r="CC234" s="26"/>
      <c r="CD234" s="26"/>
      <c r="CE234" s="26"/>
      <c r="CF234" s="26"/>
      <c r="CG234" s="26"/>
      <c r="CH234" s="26"/>
      <c r="CI234" s="26"/>
      <c r="CJ234" s="26"/>
      <c r="CK234" s="26"/>
      <c r="CL234" s="26"/>
      <c r="CM234" s="26"/>
      <c r="CN234" s="26"/>
      <c r="CO234" s="26"/>
      <c r="CP234" s="26"/>
      <c r="CQ234" s="26"/>
    </row>
    <row r="235" spans="1:95" s="29" customFormat="1" ht="15" customHeight="1" x14ac:dyDescent="0.25">
      <c r="A235" s="32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  <c r="AO235" s="26"/>
      <c r="AP235" s="26"/>
      <c r="AQ235" s="26"/>
      <c r="AR235" s="26"/>
      <c r="AS235" s="26"/>
      <c r="AT235" s="26"/>
      <c r="AU235" s="26"/>
      <c r="AV235" s="26"/>
      <c r="AW235" s="26"/>
      <c r="AX235" s="26"/>
      <c r="AY235" s="26"/>
      <c r="AZ235" s="26"/>
      <c r="BA235" s="26"/>
      <c r="BB235" s="26"/>
      <c r="BC235" s="26"/>
      <c r="BD235" s="26"/>
      <c r="BE235" s="26"/>
      <c r="BF235" s="26"/>
      <c r="BG235" s="26"/>
      <c r="BH235" s="26"/>
      <c r="BI235" s="26"/>
      <c r="BJ235" s="26"/>
      <c r="BK235" s="26"/>
      <c r="BL235" s="26"/>
      <c r="BM235" s="26"/>
      <c r="BN235" s="26"/>
      <c r="BO235" s="26"/>
      <c r="BP235" s="26"/>
      <c r="BQ235" s="26"/>
      <c r="BR235" s="26"/>
      <c r="BS235" s="26"/>
      <c r="BT235" s="26"/>
      <c r="BU235" s="26"/>
      <c r="BV235" s="26"/>
      <c r="BW235" s="26"/>
      <c r="BX235" s="26"/>
      <c r="BY235" s="26"/>
      <c r="BZ235" s="26"/>
      <c r="CA235" s="26"/>
      <c r="CB235" s="26"/>
      <c r="CC235" s="26"/>
      <c r="CD235" s="26"/>
      <c r="CE235" s="26"/>
      <c r="CF235" s="26"/>
      <c r="CG235" s="26"/>
      <c r="CH235" s="26"/>
      <c r="CI235" s="26"/>
      <c r="CJ235" s="26"/>
      <c r="CK235" s="26"/>
      <c r="CL235" s="26"/>
      <c r="CM235" s="26"/>
      <c r="CN235" s="26"/>
      <c r="CO235" s="26"/>
      <c r="CP235" s="26"/>
      <c r="CQ235" s="26"/>
    </row>
    <row r="236" spans="1:95" s="29" customFormat="1" ht="15" customHeight="1" x14ac:dyDescent="0.25">
      <c r="A236" s="32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  <c r="AO236" s="26"/>
      <c r="AP236" s="26"/>
      <c r="AQ236" s="26"/>
      <c r="AR236" s="26"/>
      <c r="AS236" s="26"/>
      <c r="AT236" s="26"/>
      <c r="AU236" s="26"/>
      <c r="AV236" s="26"/>
      <c r="AW236" s="26"/>
      <c r="AX236" s="26"/>
      <c r="AY236" s="26"/>
      <c r="AZ236" s="26"/>
      <c r="BA236" s="26"/>
      <c r="BB236" s="26"/>
      <c r="BC236" s="26"/>
      <c r="BD236" s="26"/>
      <c r="BE236" s="26"/>
      <c r="BF236" s="26"/>
      <c r="BG236" s="26"/>
      <c r="BH236" s="26"/>
      <c r="BI236" s="26"/>
      <c r="BJ236" s="26"/>
      <c r="BK236" s="26"/>
      <c r="BL236" s="26"/>
      <c r="BM236" s="26"/>
      <c r="BN236" s="26"/>
      <c r="BO236" s="26"/>
      <c r="BP236" s="26"/>
      <c r="BQ236" s="26"/>
      <c r="BR236" s="26"/>
      <c r="BS236" s="26"/>
      <c r="BT236" s="26"/>
      <c r="BU236" s="26"/>
      <c r="BV236" s="26"/>
      <c r="BW236" s="26"/>
      <c r="BX236" s="26"/>
      <c r="BY236" s="26"/>
      <c r="BZ236" s="26"/>
      <c r="CA236" s="26"/>
      <c r="CB236" s="26"/>
      <c r="CC236" s="26"/>
      <c r="CD236" s="26"/>
      <c r="CE236" s="26"/>
      <c r="CF236" s="26"/>
      <c r="CG236" s="26"/>
      <c r="CH236" s="26"/>
      <c r="CI236" s="26"/>
      <c r="CJ236" s="26"/>
      <c r="CK236" s="26"/>
      <c r="CL236" s="26"/>
      <c r="CM236" s="26"/>
      <c r="CN236" s="26"/>
      <c r="CO236" s="26"/>
      <c r="CP236" s="26"/>
      <c r="CQ236" s="26"/>
    </row>
    <row r="237" spans="1:95" s="29" customFormat="1" ht="15" customHeight="1" x14ac:dyDescent="0.25">
      <c r="A237" s="32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  <c r="AO237" s="26"/>
      <c r="AP237" s="26"/>
      <c r="AQ237" s="26"/>
      <c r="AR237" s="26"/>
      <c r="AS237" s="26"/>
      <c r="AT237" s="26"/>
      <c r="AU237" s="26"/>
      <c r="AV237" s="26"/>
      <c r="AW237" s="26"/>
      <c r="AX237" s="26"/>
      <c r="AY237" s="26"/>
      <c r="AZ237" s="26"/>
      <c r="BA237" s="26"/>
      <c r="BB237" s="26"/>
      <c r="BC237" s="26"/>
      <c r="BD237" s="26"/>
      <c r="BE237" s="26"/>
      <c r="BF237" s="26"/>
      <c r="BG237" s="26"/>
      <c r="BH237" s="26"/>
      <c r="BI237" s="26"/>
      <c r="BJ237" s="26"/>
      <c r="BK237" s="26"/>
      <c r="BL237" s="26"/>
      <c r="BM237" s="26"/>
      <c r="BN237" s="26"/>
      <c r="BO237" s="26"/>
      <c r="BP237" s="26"/>
      <c r="BQ237" s="26"/>
      <c r="BR237" s="26"/>
      <c r="BS237" s="26"/>
      <c r="BT237" s="26"/>
      <c r="BU237" s="26"/>
      <c r="BV237" s="26"/>
      <c r="BW237" s="26"/>
      <c r="BX237" s="26"/>
      <c r="BY237" s="26"/>
      <c r="BZ237" s="26"/>
      <c r="CA237" s="26"/>
      <c r="CB237" s="26"/>
      <c r="CC237" s="26"/>
      <c r="CD237" s="26"/>
      <c r="CE237" s="26"/>
      <c r="CF237" s="26"/>
      <c r="CG237" s="26"/>
      <c r="CH237" s="26"/>
      <c r="CI237" s="26"/>
      <c r="CJ237" s="26"/>
      <c r="CK237" s="26"/>
      <c r="CL237" s="26"/>
      <c r="CM237" s="26"/>
      <c r="CN237" s="26"/>
      <c r="CO237" s="26"/>
      <c r="CP237" s="26"/>
      <c r="CQ237" s="26"/>
    </row>
    <row r="238" spans="1:95" s="29" customFormat="1" ht="15" customHeight="1" x14ac:dyDescent="0.25">
      <c r="A238" s="32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  <c r="AO238" s="26"/>
      <c r="AP238" s="26"/>
      <c r="AQ238" s="26"/>
      <c r="AR238" s="26"/>
      <c r="AS238" s="26"/>
      <c r="AT238" s="26"/>
      <c r="AU238" s="26"/>
      <c r="AV238" s="26"/>
      <c r="AW238" s="26"/>
      <c r="AX238" s="26"/>
      <c r="AY238" s="26"/>
      <c r="AZ238" s="26"/>
      <c r="BA238" s="26"/>
      <c r="BB238" s="26"/>
      <c r="BC238" s="26"/>
      <c r="BD238" s="26"/>
      <c r="BE238" s="26"/>
      <c r="BF238" s="26"/>
      <c r="BG238" s="26"/>
      <c r="BH238" s="26"/>
      <c r="BI238" s="26"/>
      <c r="BJ238" s="26"/>
      <c r="BK238" s="26"/>
      <c r="BL238" s="26"/>
      <c r="BM238" s="26"/>
      <c r="BN238" s="26"/>
      <c r="BO238" s="26"/>
      <c r="BP238" s="26"/>
      <c r="BQ238" s="26"/>
      <c r="BR238" s="26"/>
      <c r="BS238" s="26"/>
      <c r="BT238" s="26"/>
      <c r="BU238" s="26"/>
      <c r="BV238" s="26"/>
      <c r="BW238" s="26"/>
      <c r="BX238" s="26"/>
      <c r="BY238" s="26"/>
      <c r="BZ238" s="26"/>
      <c r="CA238" s="26"/>
      <c r="CB238" s="26"/>
      <c r="CC238" s="26"/>
      <c r="CD238" s="26"/>
      <c r="CE238" s="26"/>
      <c r="CF238" s="26"/>
      <c r="CG238" s="26"/>
      <c r="CH238" s="26"/>
      <c r="CI238" s="26"/>
      <c r="CJ238" s="26"/>
      <c r="CK238" s="26"/>
      <c r="CL238" s="26"/>
      <c r="CM238" s="26"/>
      <c r="CN238" s="26"/>
      <c r="CO238" s="26"/>
      <c r="CP238" s="26"/>
      <c r="CQ238" s="26"/>
    </row>
    <row r="239" spans="1:95" s="29" customFormat="1" ht="15" customHeight="1" x14ac:dyDescent="0.25">
      <c r="A239" s="32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  <c r="AO239" s="26"/>
      <c r="AP239" s="26"/>
      <c r="AQ239" s="26"/>
      <c r="AR239" s="26"/>
      <c r="AS239" s="26"/>
      <c r="AT239" s="26"/>
      <c r="AU239" s="26"/>
      <c r="AV239" s="26"/>
      <c r="AW239" s="26"/>
      <c r="AX239" s="26"/>
      <c r="AY239" s="26"/>
      <c r="AZ239" s="26"/>
      <c r="BA239" s="26"/>
      <c r="BB239" s="26"/>
      <c r="BC239" s="26"/>
      <c r="BD239" s="26"/>
      <c r="BE239" s="26"/>
      <c r="BF239" s="26"/>
      <c r="BG239" s="26"/>
      <c r="BH239" s="26"/>
      <c r="BI239" s="26"/>
      <c r="BJ239" s="26"/>
      <c r="BK239" s="26"/>
      <c r="BL239" s="26"/>
      <c r="BM239" s="26"/>
      <c r="BN239" s="26"/>
      <c r="BO239" s="26"/>
      <c r="BP239" s="26"/>
      <c r="BQ239" s="26"/>
      <c r="BR239" s="26"/>
      <c r="BS239" s="26"/>
      <c r="BT239" s="26"/>
      <c r="BU239" s="26"/>
      <c r="BV239" s="26"/>
      <c r="BW239" s="26"/>
      <c r="BX239" s="26"/>
      <c r="BY239" s="26"/>
      <c r="BZ239" s="26"/>
      <c r="CA239" s="26"/>
      <c r="CB239" s="26"/>
      <c r="CC239" s="26"/>
      <c r="CD239" s="26"/>
      <c r="CE239" s="26"/>
      <c r="CF239" s="26"/>
      <c r="CG239" s="26"/>
      <c r="CH239" s="26"/>
      <c r="CI239" s="26"/>
      <c r="CJ239" s="26"/>
      <c r="CK239" s="26"/>
      <c r="CL239" s="26"/>
      <c r="CM239" s="26"/>
      <c r="CN239" s="26"/>
      <c r="CO239" s="26"/>
      <c r="CP239" s="26"/>
      <c r="CQ239" s="26"/>
    </row>
    <row r="240" spans="1:95" s="29" customFormat="1" ht="15" customHeight="1" x14ac:dyDescent="0.25">
      <c r="A240" s="32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  <c r="AO240" s="26"/>
      <c r="AP240" s="26"/>
      <c r="AQ240" s="26"/>
      <c r="AR240" s="26"/>
      <c r="AS240" s="26"/>
      <c r="AT240" s="26"/>
      <c r="AU240" s="26"/>
      <c r="AV240" s="26"/>
      <c r="AW240" s="26"/>
      <c r="AX240" s="26"/>
      <c r="AY240" s="26"/>
      <c r="AZ240" s="26"/>
      <c r="BA240" s="26"/>
      <c r="BB240" s="26"/>
      <c r="BC240" s="26"/>
      <c r="BD240" s="26"/>
      <c r="BE240" s="26"/>
      <c r="BF240" s="26"/>
      <c r="BG240" s="26"/>
      <c r="BH240" s="26"/>
      <c r="BI240" s="26"/>
      <c r="BJ240" s="26"/>
      <c r="BK240" s="26"/>
      <c r="BL240" s="26"/>
      <c r="BM240" s="26"/>
      <c r="BN240" s="26"/>
      <c r="BO240" s="26"/>
      <c r="BP240" s="26"/>
      <c r="BQ240" s="26"/>
      <c r="BR240" s="26"/>
      <c r="BS240" s="26"/>
      <c r="BT240" s="26"/>
      <c r="BU240" s="26"/>
      <c r="BV240" s="26"/>
      <c r="BW240" s="26"/>
      <c r="BX240" s="26"/>
      <c r="BY240" s="26"/>
      <c r="BZ240" s="26"/>
      <c r="CA240" s="26"/>
      <c r="CB240" s="26"/>
      <c r="CC240" s="26"/>
      <c r="CD240" s="26"/>
      <c r="CE240" s="26"/>
      <c r="CF240" s="26"/>
      <c r="CG240" s="26"/>
      <c r="CH240" s="26"/>
      <c r="CI240" s="26"/>
      <c r="CJ240" s="26"/>
      <c r="CK240" s="26"/>
      <c r="CL240" s="26"/>
      <c r="CM240" s="26"/>
      <c r="CN240" s="26"/>
      <c r="CO240" s="26"/>
      <c r="CP240" s="26"/>
      <c r="CQ240" s="26"/>
    </row>
    <row r="241" spans="1:95" s="29" customFormat="1" ht="15" customHeight="1" x14ac:dyDescent="0.25">
      <c r="A241" s="32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  <c r="AO241" s="26"/>
      <c r="AP241" s="26"/>
      <c r="AQ241" s="26"/>
      <c r="AR241" s="26"/>
      <c r="AS241" s="26"/>
      <c r="AT241" s="26"/>
      <c r="AU241" s="26"/>
      <c r="AV241" s="26"/>
      <c r="AW241" s="26"/>
      <c r="AX241" s="26"/>
      <c r="AY241" s="26"/>
      <c r="AZ241" s="26"/>
      <c r="BA241" s="26"/>
      <c r="BB241" s="26"/>
      <c r="BC241" s="26"/>
      <c r="BD241" s="26"/>
      <c r="BE241" s="26"/>
      <c r="BF241" s="26"/>
      <c r="BG241" s="26"/>
      <c r="BH241" s="26"/>
      <c r="BI241" s="26"/>
      <c r="BJ241" s="26"/>
      <c r="BK241" s="26"/>
      <c r="BL241" s="26"/>
      <c r="BM241" s="26"/>
      <c r="BN241" s="26"/>
      <c r="BO241" s="26"/>
      <c r="BP241" s="26"/>
      <c r="BQ241" s="26"/>
      <c r="BR241" s="26"/>
      <c r="BS241" s="26"/>
      <c r="BT241" s="26"/>
      <c r="BU241" s="26"/>
      <c r="BV241" s="26"/>
      <c r="BW241" s="26"/>
      <c r="BX241" s="26"/>
      <c r="BY241" s="26"/>
      <c r="BZ241" s="26"/>
      <c r="CA241" s="26"/>
      <c r="CB241" s="26"/>
      <c r="CC241" s="26"/>
      <c r="CD241" s="26"/>
      <c r="CE241" s="26"/>
      <c r="CF241" s="26"/>
      <c r="CG241" s="26"/>
      <c r="CH241" s="26"/>
      <c r="CI241" s="26"/>
      <c r="CJ241" s="26"/>
      <c r="CK241" s="26"/>
      <c r="CL241" s="26"/>
      <c r="CM241" s="26"/>
      <c r="CN241" s="26"/>
      <c r="CO241" s="26"/>
      <c r="CP241" s="26"/>
      <c r="CQ241" s="26"/>
    </row>
    <row r="242" spans="1:95" s="29" customFormat="1" ht="15" customHeight="1" x14ac:dyDescent="0.25">
      <c r="A242" s="32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6"/>
      <c r="AQ242" s="26"/>
      <c r="AR242" s="26"/>
      <c r="AS242" s="26"/>
      <c r="AT242" s="26"/>
      <c r="AU242" s="26"/>
      <c r="AV242" s="26"/>
      <c r="AW242" s="26"/>
      <c r="AX242" s="26"/>
      <c r="AY242" s="26"/>
      <c r="AZ242" s="26"/>
      <c r="BA242" s="26"/>
      <c r="BB242" s="26"/>
      <c r="BC242" s="26"/>
      <c r="BD242" s="26"/>
      <c r="BE242" s="26"/>
      <c r="BF242" s="26"/>
      <c r="BG242" s="26"/>
      <c r="BH242" s="26"/>
      <c r="BI242" s="26"/>
      <c r="BJ242" s="26"/>
      <c r="BK242" s="26"/>
      <c r="BL242" s="26"/>
      <c r="BM242" s="26"/>
      <c r="BN242" s="26"/>
      <c r="BO242" s="26"/>
      <c r="BP242" s="26"/>
      <c r="BQ242" s="26"/>
      <c r="BR242" s="26"/>
      <c r="BS242" s="26"/>
      <c r="BT242" s="26"/>
      <c r="BU242" s="26"/>
      <c r="BV242" s="26"/>
      <c r="BW242" s="26"/>
      <c r="BX242" s="26"/>
      <c r="BY242" s="26"/>
      <c r="BZ242" s="26"/>
      <c r="CA242" s="26"/>
      <c r="CB242" s="26"/>
      <c r="CC242" s="26"/>
      <c r="CD242" s="26"/>
      <c r="CE242" s="26"/>
      <c r="CF242" s="26"/>
      <c r="CG242" s="26"/>
      <c r="CH242" s="26"/>
      <c r="CI242" s="26"/>
      <c r="CJ242" s="26"/>
      <c r="CK242" s="26"/>
      <c r="CL242" s="26"/>
      <c r="CM242" s="26"/>
      <c r="CN242" s="26"/>
      <c r="CO242" s="26"/>
      <c r="CP242" s="26"/>
      <c r="CQ242" s="26"/>
    </row>
    <row r="243" spans="1:95" s="29" customFormat="1" ht="15" customHeight="1" x14ac:dyDescent="0.25">
      <c r="A243" s="32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6"/>
      <c r="AR243" s="26"/>
      <c r="AS243" s="26"/>
      <c r="AT243" s="26"/>
      <c r="AU243" s="26"/>
      <c r="AV243" s="26"/>
      <c r="AW243" s="26"/>
      <c r="AX243" s="26"/>
      <c r="AY243" s="26"/>
      <c r="AZ243" s="26"/>
      <c r="BA243" s="26"/>
      <c r="BB243" s="26"/>
      <c r="BC243" s="26"/>
      <c r="BD243" s="26"/>
      <c r="BE243" s="26"/>
      <c r="BF243" s="26"/>
      <c r="BG243" s="26"/>
      <c r="BH243" s="26"/>
      <c r="BI243" s="26"/>
      <c r="BJ243" s="26"/>
      <c r="BK243" s="26"/>
      <c r="BL243" s="26"/>
      <c r="BM243" s="26"/>
      <c r="BN243" s="26"/>
      <c r="BO243" s="26"/>
      <c r="BP243" s="26"/>
      <c r="BQ243" s="26"/>
      <c r="BR243" s="26"/>
      <c r="BS243" s="26"/>
      <c r="BT243" s="26"/>
      <c r="BU243" s="26"/>
      <c r="BV243" s="26"/>
      <c r="BW243" s="26"/>
      <c r="BX243" s="26"/>
      <c r="BY243" s="26"/>
      <c r="BZ243" s="26"/>
      <c r="CA243" s="26"/>
      <c r="CB243" s="26"/>
      <c r="CC243" s="26"/>
      <c r="CD243" s="26"/>
      <c r="CE243" s="26"/>
      <c r="CF243" s="26"/>
      <c r="CG243" s="26"/>
      <c r="CH243" s="26"/>
      <c r="CI243" s="26"/>
      <c r="CJ243" s="26"/>
      <c r="CK243" s="26"/>
      <c r="CL243" s="26"/>
      <c r="CM243" s="26"/>
      <c r="CN243" s="26"/>
      <c r="CO243" s="26"/>
      <c r="CP243" s="26"/>
      <c r="CQ243" s="26"/>
    </row>
    <row r="244" spans="1:95" s="29" customFormat="1" ht="15" customHeight="1" x14ac:dyDescent="0.25">
      <c r="A244" s="32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  <c r="AP244" s="26"/>
      <c r="AQ244" s="26"/>
      <c r="AR244" s="26"/>
      <c r="AS244" s="26"/>
      <c r="AT244" s="26"/>
      <c r="AU244" s="26"/>
      <c r="AV244" s="26"/>
      <c r="AW244" s="26"/>
      <c r="AX244" s="26"/>
      <c r="AY244" s="26"/>
      <c r="AZ244" s="26"/>
      <c r="BA244" s="26"/>
      <c r="BB244" s="26"/>
      <c r="BC244" s="26"/>
      <c r="BD244" s="26"/>
      <c r="BE244" s="26"/>
      <c r="BF244" s="26"/>
      <c r="BG244" s="26"/>
      <c r="BH244" s="26"/>
      <c r="BI244" s="26"/>
      <c r="BJ244" s="26"/>
      <c r="BK244" s="26"/>
      <c r="BL244" s="26"/>
      <c r="BM244" s="26"/>
      <c r="BN244" s="26"/>
      <c r="BO244" s="26"/>
      <c r="BP244" s="26"/>
      <c r="BQ244" s="26"/>
      <c r="BR244" s="26"/>
      <c r="BS244" s="26"/>
      <c r="BT244" s="26"/>
      <c r="BU244" s="26"/>
      <c r="BV244" s="26"/>
      <c r="BW244" s="26"/>
      <c r="BX244" s="26"/>
      <c r="BY244" s="26"/>
      <c r="BZ244" s="26"/>
      <c r="CA244" s="26"/>
      <c r="CB244" s="26"/>
      <c r="CC244" s="26"/>
      <c r="CD244" s="26"/>
      <c r="CE244" s="26"/>
      <c r="CF244" s="26"/>
      <c r="CG244" s="26"/>
      <c r="CH244" s="26"/>
      <c r="CI244" s="26"/>
      <c r="CJ244" s="26"/>
      <c r="CK244" s="26"/>
      <c r="CL244" s="26"/>
      <c r="CM244" s="26"/>
      <c r="CN244" s="26"/>
      <c r="CO244" s="26"/>
      <c r="CP244" s="26"/>
      <c r="CQ244" s="26"/>
    </row>
    <row r="245" spans="1:95" s="29" customFormat="1" ht="15" customHeight="1" x14ac:dyDescent="0.25">
      <c r="A245" s="32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  <c r="AO245" s="26"/>
      <c r="AP245" s="26"/>
      <c r="AQ245" s="26"/>
      <c r="AR245" s="26"/>
      <c r="AS245" s="26"/>
      <c r="AT245" s="26"/>
      <c r="AU245" s="26"/>
      <c r="AV245" s="26"/>
      <c r="AW245" s="26"/>
      <c r="AX245" s="26"/>
      <c r="AY245" s="26"/>
      <c r="AZ245" s="26"/>
      <c r="BA245" s="26"/>
      <c r="BB245" s="26"/>
      <c r="BC245" s="26"/>
      <c r="BD245" s="26"/>
      <c r="BE245" s="26"/>
      <c r="BF245" s="26"/>
      <c r="BG245" s="26"/>
      <c r="BH245" s="26"/>
      <c r="BI245" s="26"/>
      <c r="BJ245" s="26"/>
      <c r="BK245" s="26"/>
      <c r="BL245" s="26"/>
      <c r="BM245" s="26"/>
      <c r="BN245" s="26"/>
      <c r="BO245" s="26"/>
      <c r="BP245" s="26"/>
      <c r="BQ245" s="26"/>
      <c r="BR245" s="26"/>
      <c r="BS245" s="26"/>
      <c r="BT245" s="26"/>
      <c r="BU245" s="26"/>
      <c r="BV245" s="26"/>
      <c r="BW245" s="26"/>
      <c r="BX245" s="26"/>
      <c r="BY245" s="26"/>
      <c r="BZ245" s="26"/>
      <c r="CA245" s="26"/>
      <c r="CB245" s="26"/>
      <c r="CC245" s="26"/>
      <c r="CD245" s="26"/>
      <c r="CE245" s="26"/>
      <c r="CF245" s="26"/>
      <c r="CG245" s="26"/>
      <c r="CH245" s="26"/>
      <c r="CI245" s="26"/>
      <c r="CJ245" s="26"/>
      <c r="CK245" s="26"/>
      <c r="CL245" s="26"/>
      <c r="CM245" s="26"/>
      <c r="CN245" s="26"/>
      <c r="CO245" s="26"/>
      <c r="CP245" s="26"/>
      <c r="CQ245" s="26"/>
    </row>
    <row r="246" spans="1:95" s="29" customFormat="1" ht="15" customHeight="1" x14ac:dyDescent="0.25">
      <c r="A246" s="32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  <c r="AO246" s="26"/>
      <c r="AP246" s="26"/>
      <c r="AQ246" s="26"/>
      <c r="AR246" s="26"/>
      <c r="AS246" s="26"/>
      <c r="AT246" s="26"/>
      <c r="AU246" s="26"/>
      <c r="AV246" s="26"/>
      <c r="AW246" s="26"/>
      <c r="AX246" s="26"/>
      <c r="AY246" s="26"/>
      <c r="AZ246" s="26"/>
      <c r="BA246" s="26"/>
      <c r="BB246" s="26"/>
      <c r="BC246" s="26"/>
      <c r="BD246" s="26"/>
      <c r="BE246" s="26"/>
      <c r="BF246" s="26"/>
      <c r="BG246" s="26"/>
      <c r="BH246" s="26"/>
      <c r="BI246" s="26"/>
      <c r="BJ246" s="26"/>
      <c r="BK246" s="26"/>
      <c r="BL246" s="26"/>
      <c r="BM246" s="26"/>
      <c r="BN246" s="26"/>
      <c r="BO246" s="26"/>
      <c r="BP246" s="26"/>
      <c r="BQ246" s="26"/>
      <c r="BR246" s="26"/>
      <c r="BS246" s="26"/>
      <c r="BT246" s="26"/>
      <c r="BU246" s="26"/>
      <c r="BV246" s="26"/>
      <c r="BW246" s="26"/>
      <c r="BX246" s="26"/>
      <c r="BY246" s="26"/>
      <c r="BZ246" s="26"/>
      <c r="CA246" s="26"/>
      <c r="CB246" s="26"/>
      <c r="CC246" s="26"/>
      <c r="CD246" s="26"/>
      <c r="CE246" s="26"/>
      <c r="CF246" s="26"/>
      <c r="CG246" s="26"/>
      <c r="CH246" s="26"/>
      <c r="CI246" s="26"/>
      <c r="CJ246" s="26"/>
      <c r="CK246" s="26"/>
      <c r="CL246" s="26"/>
      <c r="CM246" s="26"/>
      <c r="CN246" s="26"/>
      <c r="CO246" s="26"/>
      <c r="CP246" s="26"/>
      <c r="CQ246" s="26"/>
    </row>
    <row r="247" spans="1:95" s="29" customFormat="1" ht="15" customHeight="1" x14ac:dyDescent="0.25">
      <c r="A247" s="32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  <c r="AO247" s="26"/>
      <c r="AP247" s="26"/>
      <c r="AQ247" s="26"/>
      <c r="AR247" s="26"/>
      <c r="AS247" s="26"/>
      <c r="AT247" s="26"/>
      <c r="AU247" s="26"/>
      <c r="AV247" s="26"/>
      <c r="AW247" s="26"/>
      <c r="AX247" s="26"/>
      <c r="AY247" s="26"/>
      <c r="AZ247" s="26"/>
      <c r="BA247" s="26"/>
      <c r="BB247" s="26"/>
      <c r="BC247" s="26"/>
      <c r="BD247" s="26"/>
      <c r="BE247" s="26"/>
      <c r="BF247" s="26"/>
      <c r="BG247" s="26"/>
      <c r="BH247" s="26"/>
      <c r="BI247" s="26"/>
      <c r="BJ247" s="26"/>
      <c r="BK247" s="26"/>
      <c r="BL247" s="26"/>
      <c r="BM247" s="26"/>
      <c r="BN247" s="26"/>
      <c r="BO247" s="26"/>
      <c r="BP247" s="26"/>
      <c r="BQ247" s="26"/>
      <c r="BR247" s="26"/>
      <c r="BS247" s="26"/>
      <c r="BT247" s="26"/>
      <c r="BU247" s="26"/>
      <c r="BV247" s="26"/>
      <c r="BW247" s="26"/>
      <c r="BX247" s="26"/>
      <c r="BY247" s="26"/>
      <c r="BZ247" s="26"/>
      <c r="CA247" s="26"/>
      <c r="CB247" s="26"/>
      <c r="CC247" s="26"/>
      <c r="CD247" s="26"/>
      <c r="CE247" s="26"/>
      <c r="CF247" s="26"/>
      <c r="CG247" s="26"/>
      <c r="CH247" s="26"/>
      <c r="CI247" s="26"/>
      <c r="CJ247" s="26"/>
      <c r="CK247" s="26"/>
      <c r="CL247" s="26"/>
      <c r="CM247" s="26"/>
      <c r="CN247" s="26"/>
      <c r="CO247" s="26"/>
      <c r="CP247" s="26"/>
      <c r="CQ247" s="26"/>
    </row>
    <row r="248" spans="1:95" s="29" customFormat="1" ht="15" customHeight="1" x14ac:dyDescent="0.25">
      <c r="A248" s="32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  <c r="AO248" s="26"/>
      <c r="AP248" s="26"/>
      <c r="AQ248" s="26"/>
      <c r="AR248" s="26"/>
      <c r="AS248" s="26"/>
      <c r="AT248" s="26"/>
      <c r="AU248" s="26"/>
      <c r="AV248" s="26"/>
      <c r="AW248" s="26"/>
      <c r="AX248" s="26"/>
      <c r="AY248" s="26"/>
      <c r="AZ248" s="26"/>
      <c r="BA248" s="26"/>
      <c r="BB248" s="26"/>
      <c r="BC248" s="26"/>
      <c r="BD248" s="26"/>
      <c r="BE248" s="26"/>
      <c r="BF248" s="26"/>
      <c r="BG248" s="26"/>
      <c r="BH248" s="26"/>
      <c r="BI248" s="26"/>
      <c r="BJ248" s="26"/>
      <c r="BK248" s="26"/>
      <c r="BL248" s="26"/>
      <c r="BM248" s="26"/>
      <c r="BN248" s="26"/>
      <c r="BO248" s="26"/>
      <c r="BP248" s="26"/>
      <c r="BQ248" s="26"/>
      <c r="BR248" s="26"/>
      <c r="BS248" s="26"/>
      <c r="BT248" s="26"/>
      <c r="BU248" s="26"/>
      <c r="BV248" s="26"/>
      <c r="BW248" s="26"/>
      <c r="BX248" s="26"/>
      <c r="BY248" s="26"/>
      <c r="BZ248" s="26"/>
      <c r="CA248" s="26"/>
      <c r="CB248" s="26"/>
      <c r="CC248" s="26"/>
      <c r="CD248" s="26"/>
      <c r="CE248" s="26"/>
      <c r="CF248" s="26"/>
      <c r="CG248" s="26"/>
      <c r="CH248" s="26"/>
      <c r="CI248" s="26"/>
      <c r="CJ248" s="26"/>
      <c r="CK248" s="26"/>
      <c r="CL248" s="26"/>
      <c r="CM248" s="26"/>
      <c r="CN248" s="26"/>
      <c r="CO248" s="26"/>
      <c r="CP248" s="26"/>
      <c r="CQ248" s="26"/>
    </row>
    <row r="249" spans="1:95" s="29" customFormat="1" ht="15" customHeight="1" x14ac:dyDescent="0.25">
      <c r="A249" s="32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  <c r="AO249" s="26"/>
      <c r="AP249" s="26"/>
      <c r="AQ249" s="26"/>
      <c r="AR249" s="26"/>
      <c r="AS249" s="26"/>
      <c r="AT249" s="26"/>
      <c r="AU249" s="26"/>
      <c r="AV249" s="26"/>
      <c r="AW249" s="26"/>
      <c r="AX249" s="26"/>
      <c r="AY249" s="26"/>
      <c r="AZ249" s="26"/>
      <c r="BA249" s="26"/>
      <c r="BB249" s="26"/>
      <c r="BC249" s="26"/>
      <c r="BD249" s="26"/>
      <c r="BE249" s="26"/>
      <c r="BF249" s="26"/>
      <c r="BG249" s="26"/>
      <c r="BH249" s="26"/>
      <c r="BI249" s="26"/>
      <c r="BJ249" s="26"/>
      <c r="BK249" s="26"/>
      <c r="BL249" s="26"/>
      <c r="BM249" s="26"/>
      <c r="BN249" s="26"/>
      <c r="BO249" s="26"/>
      <c r="BP249" s="26"/>
      <c r="BQ249" s="26"/>
      <c r="BR249" s="26"/>
      <c r="BS249" s="26"/>
      <c r="BT249" s="26"/>
      <c r="BU249" s="26"/>
      <c r="BV249" s="26"/>
      <c r="BW249" s="26"/>
      <c r="BX249" s="26"/>
      <c r="BY249" s="26"/>
      <c r="BZ249" s="26"/>
      <c r="CA249" s="26"/>
      <c r="CB249" s="26"/>
      <c r="CC249" s="26"/>
      <c r="CD249" s="26"/>
      <c r="CE249" s="26"/>
      <c r="CF249" s="26"/>
      <c r="CG249" s="26"/>
      <c r="CH249" s="26"/>
      <c r="CI249" s="26"/>
      <c r="CJ249" s="26"/>
      <c r="CK249" s="26"/>
      <c r="CL249" s="26"/>
      <c r="CM249" s="26"/>
      <c r="CN249" s="26"/>
      <c r="CO249" s="26"/>
      <c r="CP249" s="26"/>
      <c r="CQ249" s="26"/>
    </row>
    <row r="250" spans="1:95" s="29" customFormat="1" ht="15" customHeight="1" x14ac:dyDescent="0.25">
      <c r="A250" s="32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  <c r="AO250" s="26"/>
      <c r="AP250" s="26"/>
      <c r="AQ250" s="26"/>
      <c r="AR250" s="26"/>
      <c r="AS250" s="26"/>
      <c r="AT250" s="26"/>
      <c r="AU250" s="26"/>
      <c r="AV250" s="26"/>
      <c r="AW250" s="26"/>
      <c r="AX250" s="26"/>
      <c r="AY250" s="26"/>
      <c r="AZ250" s="26"/>
      <c r="BA250" s="26"/>
      <c r="BB250" s="26"/>
      <c r="BC250" s="26"/>
      <c r="BD250" s="26"/>
      <c r="BE250" s="26"/>
      <c r="BF250" s="26"/>
      <c r="BG250" s="26"/>
      <c r="BH250" s="26"/>
      <c r="BI250" s="26"/>
      <c r="BJ250" s="26"/>
      <c r="BK250" s="26"/>
      <c r="BL250" s="26"/>
      <c r="BM250" s="26"/>
      <c r="BN250" s="26"/>
      <c r="BO250" s="26"/>
      <c r="BP250" s="26"/>
      <c r="BQ250" s="26"/>
      <c r="BR250" s="26"/>
      <c r="BS250" s="26"/>
      <c r="BT250" s="26"/>
      <c r="BU250" s="26"/>
      <c r="BV250" s="26"/>
      <c r="BW250" s="26"/>
      <c r="BX250" s="26"/>
      <c r="BY250" s="26"/>
      <c r="BZ250" s="26"/>
      <c r="CA250" s="26"/>
      <c r="CB250" s="26"/>
      <c r="CC250" s="26"/>
      <c r="CD250" s="26"/>
      <c r="CE250" s="26"/>
      <c r="CF250" s="26"/>
      <c r="CG250" s="26"/>
      <c r="CH250" s="26"/>
      <c r="CI250" s="26"/>
      <c r="CJ250" s="26"/>
      <c r="CK250" s="26"/>
      <c r="CL250" s="26"/>
      <c r="CM250" s="26"/>
      <c r="CN250" s="26"/>
      <c r="CO250" s="26"/>
      <c r="CP250" s="26"/>
      <c r="CQ250" s="26"/>
    </row>
    <row r="251" spans="1:95" s="29" customFormat="1" ht="15" customHeight="1" x14ac:dyDescent="0.25">
      <c r="A251" s="32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  <c r="AO251" s="26"/>
      <c r="AP251" s="26"/>
      <c r="AQ251" s="26"/>
      <c r="AR251" s="26"/>
      <c r="AS251" s="26"/>
      <c r="AT251" s="26"/>
      <c r="AU251" s="26"/>
      <c r="AV251" s="26"/>
      <c r="AW251" s="26"/>
      <c r="AX251" s="26"/>
      <c r="AY251" s="26"/>
      <c r="AZ251" s="26"/>
      <c r="BA251" s="26"/>
      <c r="BB251" s="26"/>
      <c r="BC251" s="26"/>
      <c r="BD251" s="26"/>
      <c r="BE251" s="26"/>
      <c r="BF251" s="26"/>
      <c r="BG251" s="26"/>
      <c r="BH251" s="26"/>
      <c r="BI251" s="26"/>
      <c r="BJ251" s="26"/>
      <c r="BK251" s="26"/>
      <c r="BL251" s="26"/>
      <c r="BM251" s="26"/>
      <c r="BN251" s="26"/>
      <c r="BO251" s="26"/>
      <c r="BP251" s="26"/>
      <c r="BQ251" s="26"/>
      <c r="BR251" s="26"/>
      <c r="BS251" s="26"/>
      <c r="BT251" s="26"/>
      <c r="BU251" s="26"/>
      <c r="BV251" s="26"/>
      <c r="BW251" s="26"/>
      <c r="BX251" s="26"/>
      <c r="BY251" s="26"/>
      <c r="BZ251" s="26"/>
      <c r="CA251" s="26"/>
      <c r="CB251" s="26"/>
      <c r="CC251" s="26"/>
      <c r="CD251" s="26"/>
      <c r="CE251" s="26"/>
      <c r="CF251" s="26"/>
      <c r="CG251" s="26"/>
      <c r="CH251" s="26"/>
      <c r="CI251" s="26"/>
      <c r="CJ251" s="26"/>
      <c r="CK251" s="26"/>
      <c r="CL251" s="26"/>
      <c r="CM251" s="26"/>
      <c r="CN251" s="26"/>
      <c r="CO251" s="26"/>
      <c r="CP251" s="26"/>
      <c r="CQ251" s="26"/>
    </row>
    <row r="252" spans="1:95" s="29" customFormat="1" ht="15" customHeight="1" x14ac:dyDescent="0.25">
      <c r="A252" s="32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  <c r="AP252" s="26"/>
      <c r="AQ252" s="26"/>
      <c r="AR252" s="26"/>
      <c r="AS252" s="26"/>
      <c r="AT252" s="26"/>
      <c r="AU252" s="26"/>
      <c r="AV252" s="26"/>
      <c r="AW252" s="26"/>
      <c r="AX252" s="26"/>
      <c r="AY252" s="26"/>
      <c r="AZ252" s="26"/>
      <c r="BA252" s="26"/>
      <c r="BB252" s="26"/>
      <c r="BC252" s="26"/>
      <c r="BD252" s="26"/>
      <c r="BE252" s="26"/>
      <c r="BF252" s="26"/>
      <c r="BG252" s="26"/>
      <c r="BH252" s="26"/>
      <c r="BI252" s="26"/>
      <c r="BJ252" s="26"/>
      <c r="BK252" s="26"/>
      <c r="BL252" s="26"/>
      <c r="BM252" s="26"/>
      <c r="BN252" s="26"/>
      <c r="BO252" s="26"/>
      <c r="BP252" s="26"/>
      <c r="BQ252" s="26"/>
      <c r="BR252" s="26"/>
      <c r="BS252" s="26"/>
      <c r="BT252" s="26"/>
      <c r="BU252" s="26"/>
      <c r="BV252" s="26"/>
      <c r="BW252" s="26"/>
      <c r="BX252" s="26"/>
      <c r="BY252" s="26"/>
      <c r="BZ252" s="26"/>
      <c r="CA252" s="26"/>
      <c r="CB252" s="26"/>
      <c r="CC252" s="26"/>
      <c r="CD252" s="26"/>
      <c r="CE252" s="26"/>
      <c r="CF252" s="26"/>
      <c r="CG252" s="26"/>
      <c r="CH252" s="26"/>
      <c r="CI252" s="26"/>
      <c r="CJ252" s="26"/>
      <c r="CK252" s="26"/>
      <c r="CL252" s="26"/>
      <c r="CM252" s="26"/>
      <c r="CN252" s="26"/>
      <c r="CO252" s="26"/>
      <c r="CP252" s="26"/>
      <c r="CQ252" s="26"/>
    </row>
    <row r="253" spans="1:95" s="29" customFormat="1" ht="15" customHeight="1" x14ac:dyDescent="0.25">
      <c r="A253" s="32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  <c r="AP253" s="26"/>
      <c r="AQ253" s="26"/>
      <c r="AR253" s="26"/>
      <c r="AS253" s="26"/>
      <c r="AT253" s="26"/>
      <c r="AU253" s="26"/>
      <c r="AV253" s="26"/>
      <c r="AW253" s="26"/>
      <c r="AX253" s="26"/>
      <c r="AY253" s="26"/>
      <c r="AZ253" s="26"/>
      <c r="BA253" s="26"/>
      <c r="BB253" s="26"/>
      <c r="BC253" s="26"/>
      <c r="BD253" s="26"/>
      <c r="BE253" s="26"/>
      <c r="BF253" s="26"/>
      <c r="BG253" s="26"/>
      <c r="BH253" s="26"/>
      <c r="BI253" s="26"/>
      <c r="BJ253" s="26"/>
      <c r="BK253" s="26"/>
      <c r="BL253" s="26"/>
      <c r="BM253" s="26"/>
      <c r="BN253" s="26"/>
      <c r="BO253" s="26"/>
      <c r="BP253" s="26"/>
      <c r="BQ253" s="26"/>
      <c r="BR253" s="26"/>
      <c r="BS253" s="26"/>
      <c r="BT253" s="26"/>
      <c r="BU253" s="26"/>
      <c r="BV253" s="26"/>
      <c r="BW253" s="26"/>
      <c r="BX253" s="26"/>
      <c r="BY253" s="26"/>
      <c r="BZ253" s="26"/>
      <c r="CA253" s="26"/>
      <c r="CB253" s="26"/>
      <c r="CC253" s="26"/>
      <c r="CD253" s="26"/>
      <c r="CE253" s="26"/>
      <c r="CF253" s="26"/>
      <c r="CG253" s="26"/>
      <c r="CH253" s="26"/>
      <c r="CI253" s="26"/>
      <c r="CJ253" s="26"/>
      <c r="CK253" s="26"/>
      <c r="CL253" s="26"/>
      <c r="CM253" s="26"/>
      <c r="CN253" s="26"/>
      <c r="CO253" s="26"/>
      <c r="CP253" s="26"/>
      <c r="CQ253" s="26"/>
    </row>
    <row r="254" spans="1:95" s="29" customFormat="1" ht="15" customHeight="1" x14ac:dyDescent="0.25">
      <c r="A254" s="32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  <c r="AO254" s="26"/>
      <c r="AP254" s="26"/>
      <c r="AQ254" s="26"/>
      <c r="AR254" s="26"/>
      <c r="AS254" s="26"/>
      <c r="AT254" s="26"/>
      <c r="AU254" s="26"/>
      <c r="AV254" s="26"/>
      <c r="AW254" s="26"/>
      <c r="AX254" s="26"/>
      <c r="AY254" s="26"/>
      <c r="AZ254" s="26"/>
      <c r="BA254" s="26"/>
      <c r="BB254" s="26"/>
      <c r="BC254" s="26"/>
      <c r="BD254" s="26"/>
      <c r="BE254" s="26"/>
      <c r="BF254" s="26"/>
      <c r="BG254" s="26"/>
      <c r="BH254" s="26"/>
      <c r="BI254" s="26"/>
      <c r="BJ254" s="26"/>
      <c r="BK254" s="26"/>
      <c r="BL254" s="26"/>
      <c r="BM254" s="26"/>
      <c r="BN254" s="26"/>
      <c r="BO254" s="26"/>
      <c r="BP254" s="26"/>
      <c r="BQ254" s="26"/>
      <c r="BR254" s="26"/>
      <c r="BS254" s="26"/>
      <c r="BT254" s="26"/>
      <c r="BU254" s="26"/>
      <c r="BV254" s="26"/>
      <c r="BW254" s="26"/>
      <c r="BX254" s="26"/>
      <c r="BY254" s="26"/>
      <c r="BZ254" s="26"/>
      <c r="CA254" s="26"/>
      <c r="CB254" s="26"/>
      <c r="CC254" s="26"/>
      <c r="CD254" s="26"/>
      <c r="CE254" s="26"/>
      <c r="CF254" s="26"/>
      <c r="CG254" s="26"/>
      <c r="CH254" s="26"/>
      <c r="CI254" s="26"/>
      <c r="CJ254" s="26"/>
      <c r="CK254" s="26"/>
      <c r="CL254" s="26"/>
      <c r="CM254" s="26"/>
      <c r="CN254" s="26"/>
      <c r="CO254" s="26"/>
      <c r="CP254" s="26"/>
      <c r="CQ254" s="26"/>
    </row>
    <row r="255" spans="1:95" s="29" customFormat="1" ht="15" customHeight="1" x14ac:dyDescent="0.25">
      <c r="A255" s="32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  <c r="AO255" s="26"/>
      <c r="AP255" s="26"/>
      <c r="AQ255" s="26"/>
      <c r="AR255" s="26"/>
      <c r="AS255" s="26"/>
      <c r="AT255" s="26"/>
      <c r="AU255" s="26"/>
      <c r="AV255" s="26"/>
      <c r="AW255" s="26"/>
      <c r="AX255" s="26"/>
      <c r="AY255" s="26"/>
      <c r="AZ255" s="26"/>
      <c r="BA255" s="26"/>
      <c r="BB255" s="26"/>
      <c r="BC255" s="26"/>
      <c r="BD255" s="26"/>
      <c r="BE255" s="26"/>
      <c r="BF255" s="26"/>
      <c r="BG255" s="26"/>
      <c r="BH255" s="26"/>
      <c r="BI255" s="26"/>
      <c r="BJ255" s="26"/>
      <c r="BK255" s="26"/>
      <c r="BL255" s="26"/>
      <c r="BM255" s="26"/>
      <c r="BN255" s="26"/>
      <c r="BO255" s="26"/>
      <c r="BP255" s="26"/>
      <c r="BQ255" s="26"/>
      <c r="BR255" s="26"/>
      <c r="BS255" s="26"/>
      <c r="BT255" s="26"/>
      <c r="BU255" s="26"/>
      <c r="BV255" s="26"/>
      <c r="BW255" s="26"/>
      <c r="BX255" s="26"/>
      <c r="BY255" s="26"/>
      <c r="BZ255" s="26"/>
      <c r="CA255" s="26"/>
      <c r="CB255" s="26"/>
      <c r="CC255" s="26"/>
      <c r="CD255" s="26"/>
      <c r="CE255" s="26"/>
      <c r="CF255" s="26"/>
      <c r="CG255" s="26"/>
      <c r="CH255" s="26"/>
      <c r="CI255" s="26"/>
      <c r="CJ255" s="26"/>
      <c r="CK255" s="26"/>
      <c r="CL255" s="26"/>
      <c r="CM255" s="26"/>
      <c r="CN255" s="26"/>
      <c r="CO255" s="26"/>
      <c r="CP255" s="26"/>
      <c r="CQ255" s="26"/>
    </row>
    <row r="256" spans="1:95" s="29" customFormat="1" ht="15" customHeight="1" x14ac:dyDescent="0.25">
      <c r="A256" s="32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  <c r="AO256" s="26"/>
      <c r="AP256" s="26"/>
      <c r="AQ256" s="26"/>
      <c r="AR256" s="26"/>
      <c r="AS256" s="26"/>
      <c r="AT256" s="26"/>
      <c r="AU256" s="26"/>
      <c r="AV256" s="26"/>
      <c r="AW256" s="26"/>
      <c r="AX256" s="26"/>
      <c r="AY256" s="26"/>
      <c r="AZ256" s="26"/>
      <c r="BA256" s="26"/>
      <c r="BB256" s="26"/>
      <c r="BC256" s="26"/>
      <c r="BD256" s="26"/>
      <c r="BE256" s="26"/>
      <c r="BF256" s="26"/>
      <c r="BG256" s="26"/>
      <c r="BH256" s="26"/>
      <c r="BI256" s="26"/>
      <c r="BJ256" s="26"/>
      <c r="BK256" s="26"/>
      <c r="BL256" s="26"/>
      <c r="BM256" s="26"/>
      <c r="BN256" s="26"/>
      <c r="BO256" s="26"/>
      <c r="BP256" s="26"/>
      <c r="BQ256" s="26"/>
      <c r="BR256" s="26"/>
      <c r="BS256" s="26"/>
      <c r="BT256" s="26"/>
      <c r="BU256" s="26"/>
      <c r="BV256" s="26"/>
      <c r="BW256" s="26"/>
      <c r="BX256" s="26"/>
      <c r="BY256" s="26"/>
      <c r="BZ256" s="26"/>
      <c r="CA256" s="26"/>
      <c r="CB256" s="26"/>
      <c r="CC256" s="26"/>
      <c r="CD256" s="26"/>
      <c r="CE256" s="26"/>
      <c r="CF256" s="26"/>
      <c r="CG256" s="26"/>
      <c r="CH256" s="26"/>
      <c r="CI256" s="26"/>
      <c r="CJ256" s="26"/>
      <c r="CK256" s="26"/>
      <c r="CL256" s="26"/>
      <c r="CM256" s="26"/>
      <c r="CN256" s="26"/>
      <c r="CO256" s="26"/>
      <c r="CP256" s="26"/>
      <c r="CQ256" s="26"/>
    </row>
    <row r="257" spans="1:95" s="29" customFormat="1" ht="15" customHeight="1" x14ac:dyDescent="0.25">
      <c r="A257" s="32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  <c r="AO257" s="26"/>
      <c r="AP257" s="26"/>
      <c r="AQ257" s="26"/>
      <c r="AR257" s="26"/>
      <c r="AS257" s="26"/>
      <c r="AT257" s="26"/>
      <c r="AU257" s="26"/>
      <c r="AV257" s="26"/>
      <c r="AW257" s="26"/>
      <c r="AX257" s="26"/>
      <c r="AY257" s="26"/>
      <c r="AZ257" s="26"/>
      <c r="BA257" s="26"/>
      <c r="BB257" s="26"/>
      <c r="BC257" s="26"/>
      <c r="BD257" s="26"/>
      <c r="BE257" s="26"/>
      <c r="BF257" s="26"/>
      <c r="BG257" s="26"/>
      <c r="BH257" s="26"/>
      <c r="BI257" s="26"/>
      <c r="BJ257" s="26"/>
      <c r="BK257" s="26"/>
      <c r="BL257" s="26"/>
      <c r="BM257" s="26"/>
      <c r="BN257" s="26"/>
      <c r="BO257" s="26"/>
      <c r="BP257" s="26"/>
      <c r="BQ257" s="26"/>
      <c r="BR257" s="26"/>
      <c r="BS257" s="26"/>
      <c r="BT257" s="26"/>
      <c r="BU257" s="26"/>
      <c r="BV257" s="26"/>
      <c r="BW257" s="26"/>
      <c r="BX257" s="26"/>
      <c r="BY257" s="26"/>
      <c r="BZ257" s="26"/>
      <c r="CA257" s="26"/>
      <c r="CB257" s="26"/>
      <c r="CC257" s="26"/>
      <c r="CD257" s="26"/>
      <c r="CE257" s="26"/>
      <c r="CF257" s="26"/>
      <c r="CG257" s="26"/>
      <c r="CH257" s="26"/>
      <c r="CI257" s="26"/>
      <c r="CJ257" s="26"/>
      <c r="CK257" s="26"/>
      <c r="CL257" s="26"/>
      <c r="CM257" s="26"/>
      <c r="CN257" s="26"/>
      <c r="CO257" s="26"/>
      <c r="CP257" s="26"/>
      <c r="CQ257" s="26"/>
    </row>
    <row r="258" spans="1:95" s="29" customFormat="1" ht="15" customHeight="1" x14ac:dyDescent="0.25">
      <c r="A258" s="32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  <c r="AP258" s="26"/>
      <c r="AQ258" s="26"/>
      <c r="AR258" s="26"/>
      <c r="AS258" s="26"/>
      <c r="AT258" s="26"/>
      <c r="AU258" s="26"/>
      <c r="AV258" s="26"/>
      <c r="AW258" s="26"/>
      <c r="AX258" s="26"/>
      <c r="AY258" s="26"/>
      <c r="AZ258" s="26"/>
      <c r="BA258" s="26"/>
      <c r="BB258" s="26"/>
      <c r="BC258" s="26"/>
      <c r="BD258" s="26"/>
      <c r="BE258" s="26"/>
      <c r="BF258" s="26"/>
      <c r="BG258" s="26"/>
      <c r="BH258" s="26"/>
      <c r="BI258" s="26"/>
      <c r="BJ258" s="26"/>
      <c r="BK258" s="26"/>
      <c r="BL258" s="26"/>
      <c r="BM258" s="26"/>
      <c r="BN258" s="26"/>
      <c r="BO258" s="26"/>
      <c r="BP258" s="26"/>
      <c r="BQ258" s="26"/>
      <c r="BR258" s="26"/>
      <c r="BS258" s="26"/>
      <c r="BT258" s="26"/>
      <c r="BU258" s="26"/>
      <c r="BV258" s="26"/>
      <c r="BW258" s="26"/>
      <c r="BX258" s="26"/>
      <c r="BY258" s="26"/>
      <c r="BZ258" s="26"/>
      <c r="CA258" s="26"/>
      <c r="CB258" s="26"/>
      <c r="CC258" s="26"/>
      <c r="CD258" s="26"/>
      <c r="CE258" s="26"/>
      <c r="CF258" s="26"/>
      <c r="CG258" s="26"/>
      <c r="CH258" s="26"/>
      <c r="CI258" s="26"/>
      <c r="CJ258" s="26"/>
      <c r="CK258" s="26"/>
      <c r="CL258" s="26"/>
      <c r="CM258" s="26"/>
      <c r="CN258" s="26"/>
      <c r="CO258" s="26"/>
      <c r="CP258" s="26"/>
      <c r="CQ258" s="26"/>
    </row>
    <row r="259" spans="1:95" s="29" customFormat="1" ht="15" customHeight="1" x14ac:dyDescent="0.25">
      <c r="A259" s="32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  <c r="AP259" s="26"/>
      <c r="AQ259" s="26"/>
      <c r="AR259" s="26"/>
      <c r="AS259" s="26"/>
      <c r="AT259" s="26"/>
      <c r="AU259" s="26"/>
      <c r="AV259" s="26"/>
      <c r="AW259" s="26"/>
      <c r="AX259" s="26"/>
      <c r="AY259" s="26"/>
      <c r="AZ259" s="26"/>
      <c r="BA259" s="26"/>
      <c r="BB259" s="26"/>
      <c r="BC259" s="26"/>
      <c r="BD259" s="26"/>
      <c r="BE259" s="26"/>
      <c r="BF259" s="26"/>
      <c r="BG259" s="26"/>
      <c r="BH259" s="26"/>
      <c r="BI259" s="26"/>
      <c r="BJ259" s="26"/>
      <c r="BK259" s="26"/>
      <c r="BL259" s="26"/>
      <c r="BM259" s="26"/>
      <c r="BN259" s="26"/>
      <c r="BO259" s="26"/>
      <c r="BP259" s="26"/>
      <c r="BQ259" s="26"/>
      <c r="BR259" s="26"/>
      <c r="BS259" s="26"/>
      <c r="BT259" s="26"/>
      <c r="BU259" s="26"/>
      <c r="BV259" s="26"/>
      <c r="BW259" s="26"/>
      <c r="BX259" s="26"/>
      <c r="BY259" s="26"/>
      <c r="BZ259" s="26"/>
      <c r="CA259" s="26"/>
      <c r="CB259" s="26"/>
      <c r="CC259" s="26"/>
      <c r="CD259" s="26"/>
      <c r="CE259" s="26"/>
      <c r="CF259" s="26"/>
      <c r="CG259" s="26"/>
      <c r="CH259" s="26"/>
      <c r="CI259" s="26"/>
      <c r="CJ259" s="26"/>
      <c r="CK259" s="26"/>
      <c r="CL259" s="26"/>
      <c r="CM259" s="26"/>
      <c r="CN259" s="26"/>
      <c r="CO259" s="26"/>
      <c r="CP259" s="26"/>
      <c r="CQ259" s="26"/>
    </row>
    <row r="260" spans="1:95" s="29" customFormat="1" ht="15" customHeight="1" x14ac:dyDescent="0.25">
      <c r="A260" s="32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  <c r="AO260" s="26"/>
      <c r="AP260" s="26"/>
      <c r="AQ260" s="26"/>
      <c r="AR260" s="26"/>
      <c r="AS260" s="26"/>
      <c r="AT260" s="26"/>
      <c r="AU260" s="26"/>
      <c r="AV260" s="26"/>
      <c r="AW260" s="26"/>
      <c r="AX260" s="26"/>
      <c r="AY260" s="26"/>
      <c r="AZ260" s="26"/>
      <c r="BA260" s="26"/>
      <c r="BB260" s="26"/>
      <c r="BC260" s="26"/>
      <c r="BD260" s="26"/>
      <c r="BE260" s="26"/>
      <c r="BF260" s="26"/>
      <c r="BG260" s="26"/>
      <c r="BH260" s="26"/>
      <c r="BI260" s="26"/>
      <c r="BJ260" s="26"/>
      <c r="BK260" s="26"/>
      <c r="BL260" s="26"/>
      <c r="BM260" s="26"/>
      <c r="BN260" s="26"/>
      <c r="BO260" s="26"/>
      <c r="BP260" s="26"/>
      <c r="BQ260" s="26"/>
      <c r="BR260" s="26"/>
      <c r="BS260" s="26"/>
      <c r="BT260" s="26"/>
      <c r="BU260" s="26"/>
      <c r="BV260" s="26"/>
      <c r="BW260" s="26"/>
      <c r="BX260" s="26"/>
      <c r="BY260" s="26"/>
      <c r="BZ260" s="26"/>
      <c r="CA260" s="26"/>
      <c r="CB260" s="26"/>
      <c r="CC260" s="26"/>
      <c r="CD260" s="26"/>
      <c r="CE260" s="26"/>
      <c r="CF260" s="26"/>
      <c r="CG260" s="26"/>
      <c r="CH260" s="26"/>
      <c r="CI260" s="26"/>
      <c r="CJ260" s="26"/>
      <c r="CK260" s="26"/>
      <c r="CL260" s="26"/>
      <c r="CM260" s="26"/>
      <c r="CN260" s="26"/>
      <c r="CO260" s="26"/>
      <c r="CP260" s="26"/>
      <c r="CQ260" s="26"/>
    </row>
    <row r="261" spans="1:95" s="29" customFormat="1" ht="15" customHeight="1" x14ac:dyDescent="0.25">
      <c r="A261" s="32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  <c r="AP261" s="26"/>
      <c r="AQ261" s="26"/>
      <c r="AR261" s="26"/>
      <c r="AS261" s="26"/>
      <c r="AT261" s="26"/>
      <c r="AU261" s="26"/>
      <c r="AV261" s="26"/>
      <c r="AW261" s="26"/>
      <c r="AX261" s="26"/>
      <c r="AY261" s="26"/>
      <c r="AZ261" s="26"/>
      <c r="BA261" s="26"/>
      <c r="BB261" s="26"/>
      <c r="BC261" s="26"/>
      <c r="BD261" s="26"/>
      <c r="BE261" s="26"/>
      <c r="BF261" s="26"/>
      <c r="BG261" s="26"/>
      <c r="BH261" s="26"/>
      <c r="BI261" s="26"/>
      <c r="BJ261" s="26"/>
      <c r="BK261" s="26"/>
      <c r="BL261" s="26"/>
      <c r="BM261" s="26"/>
      <c r="BN261" s="26"/>
      <c r="BO261" s="26"/>
      <c r="BP261" s="26"/>
      <c r="BQ261" s="26"/>
      <c r="BR261" s="26"/>
      <c r="BS261" s="26"/>
      <c r="BT261" s="26"/>
      <c r="BU261" s="26"/>
      <c r="BV261" s="26"/>
      <c r="BW261" s="26"/>
      <c r="BX261" s="26"/>
      <c r="BY261" s="26"/>
      <c r="BZ261" s="26"/>
      <c r="CA261" s="26"/>
      <c r="CB261" s="26"/>
      <c r="CC261" s="26"/>
      <c r="CD261" s="26"/>
      <c r="CE261" s="26"/>
      <c r="CF261" s="26"/>
      <c r="CG261" s="26"/>
      <c r="CH261" s="26"/>
      <c r="CI261" s="26"/>
      <c r="CJ261" s="26"/>
      <c r="CK261" s="26"/>
      <c r="CL261" s="26"/>
      <c r="CM261" s="26"/>
      <c r="CN261" s="26"/>
      <c r="CO261" s="26"/>
      <c r="CP261" s="26"/>
      <c r="CQ261" s="26"/>
    </row>
    <row r="262" spans="1:95" s="29" customFormat="1" ht="15" customHeight="1" x14ac:dyDescent="0.25">
      <c r="A262" s="32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  <c r="AP262" s="26"/>
      <c r="AQ262" s="26"/>
      <c r="AR262" s="26"/>
      <c r="AS262" s="26"/>
      <c r="AT262" s="26"/>
      <c r="AU262" s="26"/>
      <c r="AV262" s="26"/>
      <c r="AW262" s="26"/>
      <c r="AX262" s="26"/>
      <c r="AY262" s="26"/>
      <c r="AZ262" s="26"/>
      <c r="BA262" s="26"/>
      <c r="BB262" s="26"/>
      <c r="BC262" s="26"/>
      <c r="BD262" s="26"/>
      <c r="BE262" s="26"/>
      <c r="BF262" s="26"/>
      <c r="BG262" s="26"/>
      <c r="BH262" s="26"/>
      <c r="BI262" s="26"/>
      <c r="BJ262" s="26"/>
      <c r="BK262" s="26"/>
      <c r="BL262" s="26"/>
      <c r="BM262" s="26"/>
      <c r="BN262" s="26"/>
      <c r="BO262" s="26"/>
      <c r="BP262" s="26"/>
      <c r="BQ262" s="26"/>
      <c r="BR262" s="26"/>
      <c r="BS262" s="26"/>
      <c r="BT262" s="26"/>
      <c r="BU262" s="26"/>
      <c r="BV262" s="26"/>
      <c r="BW262" s="26"/>
      <c r="BX262" s="26"/>
      <c r="BY262" s="26"/>
      <c r="BZ262" s="26"/>
      <c r="CA262" s="26"/>
      <c r="CB262" s="26"/>
      <c r="CC262" s="26"/>
      <c r="CD262" s="26"/>
      <c r="CE262" s="26"/>
      <c r="CF262" s="26"/>
      <c r="CG262" s="26"/>
      <c r="CH262" s="26"/>
      <c r="CI262" s="26"/>
      <c r="CJ262" s="26"/>
      <c r="CK262" s="26"/>
      <c r="CL262" s="26"/>
      <c r="CM262" s="26"/>
      <c r="CN262" s="26"/>
      <c r="CO262" s="26"/>
      <c r="CP262" s="26"/>
      <c r="CQ262" s="26"/>
    </row>
    <row r="263" spans="1:95" s="29" customFormat="1" ht="15" customHeight="1" x14ac:dyDescent="0.25">
      <c r="A263" s="32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  <c r="AP263" s="26"/>
      <c r="AQ263" s="26"/>
      <c r="AR263" s="26"/>
      <c r="AS263" s="26"/>
      <c r="AT263" s="26"/>
      <c r="AU263" s="26"/>
      <c r="AV263" s="26"/>
      <c r="AW263" s="26"/>
      <c r="AX263" s="26"/>
      <c r="AY263" s="26"/>
      <c r="AZ263" s="26"/>
      <c r="BA263" s="26"/>
      <c r="BB263" s="26"/>
      <c r="BC263" s="26"/>
      <c r="BD263" s="26"/>
      <c r="BE263" s="26"/>
      <c r="BF263" s="26"/>
      <c r="BG263" s="26"/>
      <c r="BH263" s="26"/>
      <c r="BI263" s="26"/>
      <c r="BJ263" s="26"/>
      <c r="BK263" s="26"/>
      <c r="BL263" s="26"/>
      <c r="BM263" s="26"/>
      <c r="BN263" s="26"/>
      <c r="BO263" s="26"/>
      <c r="BP263" s="26"/>
      <c r="BQ263" s="26"/>
      <c r="BR263" s="26"/>
      <c r="BS263" s="26"/>
      <c r="BT263" s="26"/>
      <c r="BU263" s="26"/>
      <c r="BV263" s="26"/>
      <c r="BW263" s="26"/>
      <c r="BX263" s="26"/>
      <c r="BY263" s="26"/>
      <c r="BZ263" s="26"/>
      <c r="CA263" s="26"/>
      <c r="CB263" s="26"/>
      <c r="CC263" s="26"/>
      <c r="CD263" s="26"/>
      <c r="CE263" s="26"/>
      <c r="CF263" s="26"/>
      <c r="CG263" s="26"/>
      <c r="CH263" s="26"/>
      <c r="CI263" s="26"/>
      <c r="CJ263" s="26"/>
      <c r="CK263" s="26"/>
      <c r="CL263" s="26"/>
      <c r="CM263" s="26"/>
      <c r="CN263" s="26"/>
      <c r="CO263" s="26"/>
      <c r="CP263" s="26"/>
      <c r="CQ263" s="26"/>
    </row>
    <row r="264" spans="1:95" s="29" customFormat="1" ht="15" customHeight="1" x14ac:dyDescent="0.25">
      <c r="A264" s="32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  <c r="AP264" s="26"/>
      <c r="AQ264" s="26"/>
      <c r="AR264" s="26"/>
      <c r="AS264" s="26"/>
      <c r="AT264" s="26"/>
      <c r="AU264" s="26"/>
      <c r="AV264" s="26"/>
      <c r="AW264" s="26"/>
      <c r="AX264" s="26"/>
      <c r="AY264" s="26"/>
      <c r="AZ264" s="26"/>
      <c r="BA264" s="26"/>
      <c r="BB264" s="26"/>
      <c r="BC264" s="26"/>
      <c r="BD264" s="26"/>
      <c r="BE264" s="26"/>
      <c r="BF264" s="26"/>
      <c r="BG264" s="26"/>
      <c r="BH264" s="26"/>
      <c r="BI264" s="26"/>
      <c r="BJ264" s="26"/>
      <c r="BK264" s="26"/>
      <c r="BL264" s="26"/>
      <c r="BM264" s="26"/>
      <c r="BN264" s="26"/>
      <c r="BO264" s="26"/>
      <c r="BP264" s="26"/>
      <c r="BQ264" s="26"/>
      <c r="BR264" s="26"/>
      <c r="BS264" s="26"/>
      <c r="BT264" s="26"/>
      <c r="BU264" s="26"/>
      <c r="BV264" s="26"/>
      <c r="BW264" s="26"/>
      <c r="BX264" s="26"/>
      <c r="BY264" s="26"/>
      <c r="BZ264" s="26"/>
      <c r="CA264" s="26"/>
      <c r="CB264" s="26"/>
      <c r="CC264" s="26"/>
      <c r="CD264" s="26"/>
      <c r="CE264" s="26"/>
      <c r="CF264" s="26"/>
      <c r="CG264" s="26"/>
      <c r="CH264" s="26"/>
      <c r="CI264" s="26"/>
      <c r="CJ264" s="26"/>
      <c r="CK264" s="26"/>
      <c r="CL264" s="26"/>
      <c r="CM264" s="26"/>
      <c r="CN264" s="26"/>
      <c r="CO264" s="26"/>
      <c r="CP264" s="26"/>
      <c r="CQ264" s="26"/>
    </row>
    <row r="265" spans="1:95" s="29" customFormat="1" ht="15" customHeight="1" x14ac:dyDescent="0.25">
      <c r="A265" s="32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  <c r="AN265" s="26"/>
      <c r="AO265" s="26"/>
      <c r="AP265" s="26"/>
      <c r="AQ265" s="26"/>
      <c r="AR265" s="26"/>
      <c r="AS265" s="26"/>
      <c r="AT265" s="26"/>
      <c r="AU265" s="26"/>
      <c r="AV265" s="26"/>
      <c r="AW265" s="26"/>
      <c r="AX265" s="26"/>
      <c r="AY265" s="26"/>
      <c r="AZ265" s="26"/>
      <c r="BA265" s="26"/>
      <c r="BB265" s="26"/>
      <c r="BC265" s="26"/>
      <c r="BD265" s="26"/>
      <c r="BE265" s="26"/>
      <c r="BF265" s="26"/>
      <c r="BG265" s="26"/>
      <c r="BH265" s="26"/>
      <c r="BI265" s="26"/>
      <c r="BJ265" s="26"/>
      <c r="BK265" s="26"/>
      <c r="BL265" s="26"/>
      <c r="BM265" s="26"/>
      <c r="BN265" s="26"/>
      <c r="BO265" s="26"/>
      <c r="BP265" s="26"/>
      <c r="BQ265" s="26"/>
      <c r="BR265" s="26"/>
      <c r="BS265" s="26"/>
      <c r="BT265" s="26"/>
      <c r="BU265" s="26"/>
      <c r="BV265" s="26"/>
      <c r="BW265" s="26"/>
      <c r="BX265" s="26"/>
      <c r="BY265" s="26"/>
      <c r="BZ265" s="26"/>
      <c r="CA265" s="26"/>
      <c r="CB265" s="26"/>
      <c r="CC265" s="26"/>
      <c r="CD265" s="26"/>
      <c r="CE265" s="26"/>
      <c r="CF265" s="26"/>
      <c r="CG265" s="26"/>
      <c r="CH265" s="26"/>
      <c r="CI265" s="26"/>
      <c r="CJ265" s="26"/>
      <c r="CK265" s="26"/>
      <c r="CL265" s="26"/>
      <c r="CM265" s="26"/>
      <c r="CN265" s="26"/>
      <c r="CO265" s="26"/>
      <c r="CP265" s="26"/>
      <c r="CQ265" s="26"/>
    </row>
    <row r="266" spans="1:95" s="29" customFormat="1" ht="15" customHeight="1" x14ac:dyDescent="0.25">
      <c r="A266" s="32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/>
      <c r="AO266" s="26"/>
      <c r="AP266" s="26"/>
      <c r="AQ266" s="26"/>
      <c r="AR266" s="26"/>
      <c r="AS266" s="26"/>
      <c r="AT266" s="26"/>
      <c r="AU266" s="26"/>
      <c r="AV266" s="26"/>
      <c r="AW266" s="26"/>
      <c r="AX266" s="26"/>
      <c r="AY266" s="26"/>
      <c r="AZ266" s="26"/>
      <c r="BA266" s="26"/>
      <c r="BB266" s="26"/>
      <c r="BC266" s="26"/>
      <c r="BD266" s="26"/>
      <c r="BE266" s="26"/>
      <c r="BF266" s="26"/>
      <c r="BG266" s="26"/>
      <c r="BH266" s="26"/>
      <c r="BI266" s="26"/>
      <c r="BJ266" s="26"/>
      <c r="BK266" s="26"/>
      <c r="BL266" s="26"/>
      <c r="BM266" s="26"/>
      <c r="BN266" s="26"/>
      <c r="BO266" s="26"/>
      <c r="BP266" s="26"/>
      <c r="BQ266" s="26"/>
      <c r="BR266" s="26"/>
      <c r="BS266" s="26"/>
      <c r="BT266" s="26"/>
      <c r="BU266" s="26"/>
      <c r="BV266" s="26"/>
      <c r="BW266" s="26"/>
      <c r="BX266" s="26"/>
      <c r="BY266" s="26"/>
      <c r="BZ266" s="26"/>
      <c r="CA266" s="26"/>
      <c r="CB266" s="26"/>
      <c r="CC266" s="26"/>
      <c r="CD266" s="26"/>
      <c r="CE266" s="26"/>
      <c r="CF266" s="26"/>
      <c r="CG266" s="26"/>
      <c r="CH266" s="26"/>
      <c r="CI266" s="26"/>
      <c r="CJ266" s="26"/>
      <c r="CK266" s="26"/>
      <c r="CL266" s="26"/>
      <c r="CM266" s="26"/>
      <c r="CN266" s="26"/>
      <c r="CO266" s="26"/>
      <c r="CP266" s="26"/>
      <c r="CQ266" s="26"/>
    </row>
    <row r="267" spans="1:95" s="29" customFormat="1" ht="15" customHeight="1" x14ac:dyDescent="0.25">
      <c r="A267" s="32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  <c r="AO267" s="26"/>
      <c r="AP267" s="26"/>
      <c r="AQ267" s="26"/>
      <c r="AR267" s="26"/>
      <c r="AS267" s="26"/>
      <c r="AT267" s="26"/>
      <c r="AU267" s="26"/>
      <c r="AV267" s="26"/>
      <c r="AW267" s="26"/>
      <c r="AX267" s="26"/>
      <c r="AY267" s="26"/>
      <c r="AZ267" s="26"/>
      <c r="BA267" s="26"/>
      <c r="BB267" s="26"/>
      <c r="BC267" s="26"/>
      <c r="BD267" s="26"/>
      <c r="BE267" s="26"/>
      <c r="BF267" s="26"/>
      <c r="BG267" s="26"/>
      <c r="BH267" s="26"/>
      <c r="BI267" s="26"/>
      <c r="BJ267" s="26"/>
      <c r="BK267" s="26"/>
      <c r="BL267" s="26"/>
      <c r="BM267" s="26"/>
      <c r="BN267" s="26"/>
      <c r="BO267" s="26"/>
      <c r="BP267" s="26"/>
      <c r="BQ267" s="26"/>
      <c r="BR267" s="26"/>
      <c r="BS267" s="26"/>
      <c r="BT267" s="26"/>
      <c r="BU267" s="26"/>
      <c r="BV267" s="26"/>
      <c r="BW267" s="26"/>
      <c r="BX267" s="26"/>
      <c r="BY267" s="26"/>
      <c r="BZ267" s="26"/>
      <c r="CA267" s="26"/>
      <c r="CB267" s="26"/>
      <c r="CC267" s="26"/>
      <c r="CD267" s="26"/>
      <c r="CE267" s="26"/>
      <c r="CF267" s="26"/>
      <c r="CG267" s="26"/>
      <c r="CH267" s="26"/>
      <c r="CI267" s="26"/>
      <c r="CJ267" s="26"/>
      <c r="CK267" s="26"/>
      <c r="CL267" s="26"/>
      <c r="CM267" s="26"/>
      <c r="CN267" s="26"/>
      <c r="CO267" s="26"/>
      <c r="CP267" s="26"/>
      <c r="CQ267" s="26"/>
    </row>
    <row r="268" spans="1:95" s="29" customFormat="1" ht="15" customHeight="1" x14ac:dyDescent="0.25">
      <c r="A268" s="32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  <c r="AN268" s="26"/>
      <c r="AO268" s="26"/>
      <c r="AP268" s="26"/>
      <c r="AQ268" s="26"/>
      <c r="AR268" s="26"/>
      <c r="AS268" s="26"/>
      <c r="AT268" s="26"/>
      <c r="AU268" s="26"/>
      <c r="AV268" s="26"/>
      <c r="AW268" s="26"/>
      <c r="AX268" s="26"/>
      <c r="AY268" s="26"/>
      <c r="AZ268" s="26"/>
      <c r="BA268" s="26"/>
      <c r="BB268" s="26"/>
      <c r="BC268" s="26"/>
      <c r="BD268" s="26"/>
      <c r="BE268" s="26"/>
      <c r="BF268" s="26"/>
      <c r="BG268" s="26"/>
      <c r="BH268" s="26"/>
      <c r="BI268" s="26"/>
      <c r="BJ268" s="26"/>
      <c r="BK268" s="26"/>
      <c r="BL268" s="26"/>
      <c r="BM268" s="26"/>
      <c r="BN268" s="26"/>
      <c r="BO268" s="26"/>
      <c r="BP268" s="26"/>
      <c r="BQ268" s="26"/>
      <c r="BR268" s="26"/>
      <c r="BS268" s="26"/>
      <c r="BT268" s="26"/>
      <c r="BU268" s="26"/>
      <c r="BV268" s="26"/>
      <c r="BW268" s="26"/>
      <c r="BX268" s="26"/>
      <c r="BY268" s="26"/>
      <c r="BZ268" s="26"/>
      <c r="CA268" s="26"/>
      <c r="CB268" s="26"/>
      <c r="CC268" s="26"/>
      <c r="CD268" s="26"/>
      <c r="CE268" s="26"/>
      <c r="CF268" s="26"/>
      <c r="CG268" s="26"/>
      <c r="CH268" s="26"/>
      <c r="CI268" s="26"/>
      <c r="CJ268" s="26"/>
      <c r="CK268" s="26"/>
      <c r="CL268" s="26"/>
      <c r="CM268" s="26"/>
      <c r="CN268" s="26"/>
      <c r="CO268" s="26"/>
      <c r="CP268" s="26"/>
      <c r="CQ268" s="26"/>
    </row>
    <row r="269" spans="1:95" s="29" customFormat="1" ht="15" customHeight="1" x14ac:dyDescent="0.25">
      <c r="A269" s="32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  <c r="AO269" s="26"/>
      <c r="AP269" s="26"/>
      <c r="AQ269" s="26"/>
      <c r="AR269" s="26"/>
      <c r="AS269" s="26"/>
      <c r="AT269" s="26"/>
      <c r="AU269" s="26"/>
      <c r="AV269" s="26"/>
      <c r="AW269" s="26"/>
      <c r="AX269" s="26"/>
      <c r="AY269" s="26"/>
      <c r="AZ269" s="26"/>
      <c r="BA269" s="26"/>
      <c r="BB269" s="26"/>
      <c r="BC269" s="26"/>
      <c r="BD269" s="26"/>
      <c r="BE269" s="26"/>
      <c r="BF269" s="26"/>
      <c r="BG269" s="26"/>
      <c r="BH269" s="26"/>
      <c r="BI269" s="26"/>
      <c r="BJ269" s="26"/>
      <c r="BK269" s="26"/>
      <c r="BL269" s="26"/>
      <c r="BM269" s="26"/>
      <c r="BN269" s="26"/>
      <c r="BO269" s="26"/>
      <c r="BP269" s="26"/>
      <c r="BQ269" s="26"/>
      <c r="BR269" s="26"/>
      <c r="BS269" s="26"/>
      <c r="BT269" s="26"/>
      <c r="BU269" s="26"/>
      <c r="BV269" s="26"/>
      <c r="BW269" s="26"/>
      <c r="BX269" s="26"/>
      <c r="BY269" s="26"/>
      <c r="BZ269" s="26"/>
      <c r="CA269" s="26"/>
      <c r="CB269" s="26"/>
      <c r="CC269" s="26"/>
      <c r="CD269" s="26"/>
      <c r="CE269" s="26"/>
      <c r="CF269" s="26"/>
      <c r="CG269" s="26"/>
      <c r="CH269" s="26"/>
      <c r="CI269" s="26"/>
      <c r="CJ269" s="26"/>
      <c r="CK269" s="26"/>
      <c r="CL269" s="26"/>
      <c r="CM269" s="26"/>
      <c r="CN269" s="26"/>
      <c r="CO269" s="26"/>
      <c r="CP269" s="26"/>
      <c r="CQ269" s="26"/>
    </row>
    <row r="270" spans="1:95" s="29" customFormat="1" ht="15" customHeight="1" x14ac:dyDescent="0.25">
      <c r="A270" s="32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  <c r="AN270" s="26"/>
      <c r="AO270" s="26"/>
      <c r="AP270" s="26"/>
      <c r="AQ270" s="26"/>
      <c r="AR270" s="26"/>
      <c r="AS270" s="26"/>
      <c r="AT270" s="26"/>
      <c r="AU270" s="26"/>
      <c r="AV270" s="26"/>
      <c r="AW270" s="26"/>
      <c r="AX270" s="26"/>
      <c r="AY270" s="26"/>
      <c r="AZ270" s="26"/>
      <c r="BA270" s="26"/>
      <c r="BB270" s="26"/>
      <c r="BC270" s="26"/>
      <c r="BD270" s="26"/>
      <c r="BE270" s="26"/>
      <c r="BF270" s="26"/>
      <c r="BG270" s="26"/>
      <c r="BH270" s="26"/>
      <c r="BI270" s="26"/>
      <c r="BJ270" s="26"/>
      <c r="BK270" s="26"/>
      <c r="BL270" s="26"/>
      <c r="BM270" s="26"/>
      <c r="BN270" s="26"/>
      <c r="BO270" s="26"/>
      <c r="BP270" s="26"/>
      <c r="BQ270" s="26"/>
      <c r="BR270" s="26"/>
      <c r="BS270" s="26"/>
      <c r="BT270" s="26"/>
      <c r="BU270" s="26"/>
      <c r="BV270" s="26"/>
      <c r="BW270" s="26"/>
      <c r="BX270" s="26"/>
      <c r="BY270" s="26"/>
      <c r="BZ270" s="26"/>
      <c r="CA270" s="26"/>
      <c r="CB270" s="26"/>
      <c r="CC270" s="26"/>
      <c r="CD270" s="26"/>
      <c r="CE270" s="26"/>
      <c r="CF270" s="26"/>
      <c r="CG270" s="26"/>
      <c r="CH270" s="26"/>
      <c r="CI270" s="26"/>
      <c r="CJ270" s="26"/>
      <c r="CK270" s="26"/>
      <c r="CL270" s="26"/>
      <c r="CM270" s="26"/>
      <c r="CN270" s="26"/>
      <c r="CO270" s="26"/>
      <c r="CP270" s="26"/>
      <c r="CQ270" s="26"/>
    </row>
    <row r="271" spans="1:95" s="29" customFormat="1" ht="15" customHeight="1" x14ac:dyDescent="0.25">
      <c r="A271" s="32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  <c r="AN271" s="26"/>
      <c r="AO271" s="26"/>
      <c r="AP271" s="26"/>
      <c r="AQ271" s="26"/>
      <c r="AR271" s="26"/>
      <c r="AS271" s="26"/>
      <c r="AT271" s="26"/>
      <c r="AU271" s="26"/>
      <c r="AV271" s="26"/>
      <c r="AW271" s="26"/>
      <c r="AX271" s="26"/>
      <c r="AY271" s="26"/>
      <c r="AZ271" s="26"/>
      <c r="BA271" s="26"/>
      <c r="BB271" s="26"/>
      <c r="BC271" s="26"/>
      <c r="BD271" s="26"/>
      <c r="BE271" s="26"/>
      <c r="BF271" s="26"/>
      <c r="BG271" s="26"/>
      <c r="BH271" s="26"/>
      <c r="BI271" s="26"/>
      <c r="BJ271" s="26"/>
      <c r="BK271" s="26"/>
      <c r="BL271" s="26"/>
      <c r="BM271" s="26"/>
      <c r="BN271" s="26"/>
      <c r="BO271" s="26"/>
      <c r="BP271" s="26"/>
      <c r="BQ271" s="26"/>
      <c r="BR271" s="26"/>
      <c r="BS271" s="26"/>
      <c r="BT271" s="26"/>
      <c r="BU271" s="26"/>
      <c r="BV271" s="26"/>
      <c r="BW271" s="26"/>
      <c r="BX271" s="26"/>
      <c r="BY271" s="26"/>
      <c r="BZ271" s="26"/>
      <c r="CA271" s="26"/>
      <c r="CB271" s="26"/>
      <c r="CC271" s="26"/>
      <c r="CD271" s="26"/>
      <c r="CE271" s="26"/>
      <c r="CF271" s="26"/>
      <c r="CG271" s="26"/>
      <c r="CH271" s="26"/>
      <c r="CI271" s="26"/>
      <c r="CJ271" s="26"/>
      <c r="CK271" s="26"/>
      <c r="CL271" s="26"/>
      <c r="CM271" s="26"/>
      <c r="CN271" s="26"/>
      <c r="CO271" s="26"/>
      <c r="CP271" s="26"/>
      <c r="CQ271" s="26"/>
    </row>
    <row r="272" spans="1:95" s="29" customFormat="1" ht="15" customHeight="1" x14ac:dyDescent="0.25">
      <c r="A272" s="32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  <c r="AO272" s="26"/>
      <c r="AP272" s="26"/>
      <c r="AQ272" s="26"/>
      <c r="AR272" s="26"/>
      <c r="AS272" s="26"/>
      <c r="AT272" s="26"/>
      <c r="AU272" s="26"/>
      <c r="AV272" s="26"/>
      <c r="AW272" s="26"/>
      <c r="AX272" s="26"/>
      <c r="AY272" s="26"/>
      <c r="AZ272" s="26"/>
      <c r="BA272" s="26"/>
      <c r="BB272" s="26"/>
      <c r="BC272" s="26"/>
      <c r="BD272" s="26"/>
      <c r="BE272" s="26"/>
      <c r="BF272" s="26"/>
      <c r="BG272" s="26"/>
      <c r="BH272" s="26"/>
      <c r="BI272" s="26"/>
      <c r="BJ272" s="26"/>
      <c r="BK272" s="26"/>
      <c r="BL272" s="26"/>
      <c r="BM272" s="26"/>
      <c r="BN272" s="26"/>
      <c r="BO272" s="26"/>
      <c r="BP272" s="26"/>
      <c r="BQ272" s="26"/>
      <c r="BR272" s="26"/>
      <c r="BS272" s="26"/>
      <c r="BT272" s="26"/>
      <c r="BU272" s="26"/>
      <c r="BV272" s="26"/>
      <c r="BW272" s="26"/>
      <c r="BX272" s="26"/>
      <c r="BY272" s="26"/>
      <c r="BZ272" s="26"/>
      <c r="CA272" s="26"/>
      <c r="CB272" s="26"/>
      <c r="CC272" s="26"/>
      <c r="CD272" s="26"/>
      <c r="CE272" s="26"/>
      <c r="CF272" s="26"/>
      <c r="CG272" s="26"/>
      <c r="CH272" s="26"/>
      <c r="CI272" s="26"/>
      <c r="CJ272" s="26"/>
      <c r="CK272" s="26"/>
      <c r="CL272" s="26"/>
      <c r="CM272" s="26"/>
      <c r="CN272" s="26"/>
      <c r="CO272" s="26"/>
      <c r="CP272" s="26"/>
      <c r="CQ272" s="26"/>
    </row>
    <row r="273" spans="1:95" s="29" customFormat="1" ht="15" customHeight="1" x14ac:dyDescent="0.25">
      <c r="A273" s="32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  <c r="AO273" s="26"/>
      <c r="AP273" s="26"/>
      <c r="AQ273" s="26"/>
      <c r="AR273" s="26"/>
      <c r="AS273" s="26"/>
      <c r="AT273" s="26"/>
      <c r="AU273" s="26"/>
      <c r="AV273" s="26"/>
      <c r="AW273" s="26"/>
      <c r="AX273" s="26"/>
      <c r="AY273" s="26"/>
      <c r="AZ273" s="26"/>
      <c r="BA273" s="26"/>
      <c r="BB273" s="26"/>
      <c r="BC273" s="26"/>
      <c r="BD273" s="26"/>
      <c r="BE273" s="26"/>
      <c r="BF273" s="26"/>
      <c r="BG273" s="26"/>
      <c r="BH273" s="26"/>
      <c r="BI273" s="26"/>
      <c r="BJ273" s="26"/>
      <c r="BK273" s="26"/>
      <c r="BL273" s="26"/>
      <c r="BM273" s="26"/>
      <c r="BN273" s="26"/>
      <c r="BO273" s="26"/>
      <c r="BP273" s="26"/>
      <c r="BQ273" s="26"/>
      <c r="BR273" s="26"/>
      <c r="BS273" s="26"/>
      <c r="BT273" s="26"/>
      <c r="BU273" s="26"/>
      <c r="BV273" s="26"/>
      <c r="BW273" s="26"/>
      <c r="BX273" s="26"/>
      <c r="BY273" s="26"/>
      <c r="BZ273" s="26"/>
      <c r="CA273" s="26"/>
      <c r="CB273" s="26"/>
      <c r="CC273" s="26"/>
      <c r="CD273" s="26"/>
      <c r="CE273" s="26"/>
      <c r="CF273" s="26"/>
      <c r="CG273" s="26"/>
      <c r="CH273" s="26"/>
      <c r="CI273" s="26"/>
      <c r="CJ273" s="26"/>
      <c r="CK273" s="26"/>
      <c r="CL273" s="26"/>
      <c r="CM273" s="26"/>
      <c r="CN273" s="26"/>
      <c r="CO273" s="26"/>
      <c r="CP273" s="26"/>
      <c r="CQ273" s="26"/>
    </row>
    <row r="274" spans="1:95" s="29" customFormat="1" ht="15" customHeight="1" x14ac:dyDescent="0.25">
      <c r="A274" s="32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26"/>
      <c r="AO274" s="26"/>
      <c r="AP274" s="26"/>
      <c r="AQ274" s="26"/>
      <c r="AR274" s="26"/>
      <c r="AS274" s="26"/>
      <c r="AT274" s="26"/>
      <c r="AU274" s="26"/>
      <c r="AV274" s="26"/>
      <c r="AW274" s="26"/>
      <c r="AX274" s="26"/>
      <c r="AY274" s="26"/>
      <c r="AZ274" s="26"/>
      <c r="BA274" s="26"/>
      <c r="BB274" s="26"/>
      <c r="BC274" s="26"/>
      <c r="BD274" s="26"/>
      <c r="BE274" s="26"/>
      <c r="BF274" s="26"/>
      <c r="BG274" s="26"/>
      <c r="BH274" s="26"/>
      <c r="BI274" s="26"/>
      <c r="BJ274" s="26"/>
      <c r="BK274" s="26"/>
      <c r="BL274" s="26"/>
      <c r="BM274" s="26"/>
      <c r="BN274" s="26"/>
      <c r="BO274" s="26"/>
      <c r="BP274" s="26"/>
      <c r="BQ274" s="26"/>
      <c r="BR274" s="26"/>
      <c r="BS274" s="26"/>
      <c r="BT274" s="26"/>
      <c r="BU274" s="26"/>
      <c r="BV274" s="26"/>
      <c r="BW274" s="26"/>
      <c r="BX274" s="26"/>
      <c r="BY274" s="26"/>
      <c r="BZ274" s="26"/>
      <c r="CA274" s="26"/>
      <c r="CB274" s="26"/>
      <c r="CC274" s="26"/>
      <c r="CD274" s="26"/>
      <c r="CE274" s="26"/>
      <c r="CF274" s="26"/>
      <c r="CG274" s="26"/>
      <c r="CH274" s="26"/>
      <c r="CI274" s="26"/>
      <c r="CJ274" s="26"/>
      <c r="CK274" s="26"/>
      <c r="CL274" s="26"/>
      <c r="CM274" s="26"/>
      <c r="CN274" s="26"/>
      <c r="CO274" s="26"/>
      <c r="CP274" s="26"/>
      <c r="CQ274" s="26"/>
    </row>
    <row r="275" spans="1:95" s="29" customFormat="1" ht="15" customHeight="1" x14ac:dyDescent="0.25">
      <c r="A275" s="32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26"/>
      <c r="AO275" s="26"/>
      <c r="AP275" s="26"/>
      <c r="AQ275" s="26"/>
      <c r="AR275" s="26"/>
      <c r="AS275" s="26"/>
      <c r="AT275" s="26"/>
      <c r="AU275" s="26"/>
      <c r="AV275" s="26"/>
      <c r="AW275" s="26"/>
      <c r="AX275" s="26"/>
      <c r="AY275" s="26"/>
      <c r="AZ275" s="26"/>
      <c r="BA275" s="26"/>
      <c r="BB275" s="26"/>
      <c r="BC275" s="26"/>
      <c r="BD275" s="26"/>
      <c r="BE275" s="26"/>
      <c r="BF275" s="26"/>
      <c r="BG275" s="26"/>
      <c r="BH275" s="26"/>
      <c r="BI275" s="26"/>
      <c r="BJ275" s="26"/>
      <c r="BK275" s="26"/>
      <c r="BL275" s="26"/>
      <c r="BM275" s="26"/>
      <c r="BN275" s="26"/>
      <c r="BO275" s="26"/>
      <c r="BP275" s="26"/>
      <c r="BQ275" s="26"/>
      <c r="BR275" s="26"/>
      <c r="BS275" s="26"/>
      <c r="BT275" s="26"/>
      <c r="BU275" s="26"/>
      <c r="BV275" s="26"/>
      <c r="BW275" s="26"/>
      <c r="BX275" s="26"/>
      <c r="BY275" s="26"/>
      <c r="BZ275" s="26"/>
      <c r="CA275" s="26"/>
      <c r="CB275" s="26"/>
      <c r="CC275" s="26"/>
      <c r="CD275" s="26"/>
      <c r="CE275" s="26"/>
      <c r="CF275" s="26"/>
      <c r="CG275" s="26"/>
      <c r="CH275" s="26"/>
      <c r="CI275" s="26"/>
      <c r="CJ275" s="26"/>
      <c r="CK275" s="26"/>
      <c r="CL275" s="26"/>
      <c r="CM275" s="26"/>
      <c r="CN275" s="26"/>
      <c r="CO275" s="26"/>
      <c r="CP275" s="26"/>
      <c r="CQ275" s="26"/>
    </row>
    <row r="276" spans="1:95" s="29" customFormat="1" ht="15" customHeight="1" x14ac:dyDescent="0.25">
      <c r="A276" s="32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  <c r="AO276" s="26"/>
      <c r="AP276" s="26"/>
      <c r="AQ276" s="26"/>
      <c r="AR276" s="26"/>
      <c r="AS276" s="26"/>
      <c r="AT276" s="26"/>
      <c r="AU276" s="26"/>
      <c r="AV276" s="26"/>
      <c r="AW276" s="26"/>
      <c r="AX276" s="26"/>
      <c r="AY276" s="26"/>
      <c r="AZ276" s="26"/>
      <c r="BA276" s="26"/>
      <c r="BB276" s="26"/>
      <c r="BC276" s="26"/>
      <c r="BD276" s="26"/>
      <c r="BE276" s="26"/>
      <c r="BF276" s="26"/>
      <c r="BG276" s="26"/>
      <c r="BH276" s="26"/>
      <c r="BI276" s="26"/>
      <c r="BJ276" s="26"/>
      <c r="BK276" s="26"/>
      <c r="BL276" s="26"/>
      <c r="BM276" s="26"/>
      <c r="BN276" s="26"/>
      <c r="BO276" s="26"/>
      <c r="BP276" s="26"/>
      <c r="BQ276" s="26"/>
      <c r="BR276" s="26"/>
      <c r="BS276" s="26"/>
      <c r="BT276" s="26"/>
      <c r="BU276" s="26"/>
      <c r="BV276" s="26"/>
      <c r="BW276" s="26"/>
      <c r="BX276" s="26"/>
      <c r="BY276" s="26"/>
      <c r="BZ276" s="26"/>
      <c r="CA276" s="26"/>
      <c r="CB276" s="26"/>
      <c r="CC276" s="26"/>
      <c r="CD276" s="26"/>
      <c r="CE276" s="26"/>
      <c r="CF276" s="26"/>
      <c r="CG276" s="26"/>
      <c r="CH276" s="26"/>
      <c r="CI276" s="26"/>
      <c r="CJ276" s="26"/>
      <c r="CK276" s="26"/>
      <c r="CL276" s="26"/>
      <c r="CM276" s="26"/>
      <c r="CN276" s="26"/>
      <c r="CO276" s="26"/>
      <c r="CP276" s="26"/>
      <c r="CQ276" s="26"/>
    </row>
    <row r="277" spans="1:95" s="29" customFormat="1" ht="15" customHeight="1" x14ac:dyDescent="0.25">
      <c r="A277" s="32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  <c r="AN277" s="26"/>
      <c r="AO277" s="26"/>
      <c r="AP277" s="26"/>
      <c r="AQ277" s="26"/>
      <c r="AR277" s="26"/>
      <c r="AS277" s="26"/>
      <c r="AT277" s="26"/>
      <c r="AU277" s="26"/>
      <c r="AV277" s="26"/>
      <c r="AW277" s="26"/>
      <c r="AX277" s="26"/>
      <c r="AY277" s="26"/>
      <c r="AZ277" s="26"/>
      <c r="BA277" s="26"/>
      <c r="BB277" s="26"/>
      <c r="BC277" s="26"/>
      <c r="BD277" s="26"/>
      <c r="BE277" s="26"/>
      <c r="BF277" s="26"/>
      <c r="BG277" s="26"/>
      <c r="BH277" s="26"/>
      <c r="BI277" s="26"/>
      <c r="BJ277" s="26"/>
      <c r="BK277" s="26"/>
      <c r="BL277" s="26"/>
      <c r="BM277" s="26"/>
      <c r="BN277" s="26"/>
      <c r="BO277" s="26"/>
      <c r="BP277" s="26"/>
      <c r="BQ277" s="26"/>
      <c r="BR277" s="26"/>
      <c r="BS277" s="26"/>
      <c r="BT277" s="26"/>
      <c r="BU277" s="26"/>
      <c r="BV277" s="26"/>
      <c r="BW277" s="26"/>
      <c r="BX277" s="26"/>
      <c r="BY277" s="26"/>
      <c r="BZ277" s="26"/>
      <c r="CA277" s="26"/>
      <c r="CB277" s="26"/>
      <c r="CC277" s="26"/>
      <c r="CD277" s="26"/>
      <c r="CE277" s="26"/>
      <c r="CF277" s="26"/>
      <c r="CG277" s="26"/>
      <c r="CH277" s="26"/>
      <c r="CI277" s="26"/>
      <c r="CJ277" s="26"/>
      <c r="CK277" s="26"/>
      <c r="CL277" s="26"/>
      <c r="CM277" s="26"/>
      <c r="CN277" s="26"/>
      <c r="CO277" s="26"/>
      <c r="CP277" s="26"/>
      <c r="CQ277" s="26"/>
    </row>
    <row r="278" spans="1:95" s="29" customFormat="1" ht="15" customHeight="1" x14ac:dyDescent="0.25">
      <c r="A278" s="32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  <c r="AN278" s="26"/>
      <c r="AO278" s="26"/>
      <c r="AP278" s="26"/>
      <c r="AQ278" s="26"/>
      <c r="AR278" s="26"/>
      <c r="AS278" s="26"/>
      <c r="AT278" s="26"/>
      <c r="AU278" s="26"/>
      <c r="AV278" s="26"/>
      <c r="AW278" s="26"/>
      <c r="AX278" s="26"/>
      <c r="AY278" s="26"/>
      <c r="AZ278" s="26"/>
      <c r="BA278" s="26"/>
      <c r="BB278" s="26"/>
      <c r="BC278" s="26"/>
      <c r="BD278" s="26"/>
      <c r="BE278" s="26"/>
      <c r="BF278" s="26"/>
      <c r="BG278" s="26"/>
      <c r="BH278" s="26"/>
      <c r="BI278" s="26"/>
      <c r="BJ278" s="26"/>
      <c r="BK278" s="26"/>
      <c r="BL278" s="26"/>
      <c r="BM278" s="26"/>
      <c r="BN278" s="26"/>
      <c r="BO278" s="26"/>
      <c r="BP278" s="26"/>
      <c r="BQ278" s="26"/>
      <c r="BR278" s="26"/>
      <c r="BS278" s="26"/>
      <c r="BT278" s="26"/>
      <c r="BU278" s="26"/>
      <c r="BV278" s="26"/>
      <c r="BW278" s="26"/>
      <c r="BX278" s="26"/>
      <c r="BY278" s="26"/>
      <c r="BZ278" s="26"/>
      <c r="CA278" s="26"/>
      <c r="CB278" s="26"/>
      <c r="CC278" s="26"/>
      <c r="CD278" s="26"/>
      <c r="CE278" s="26"/>
      <c r="CF278" s="26"/>
      <c r="CG278" s="26"/>
      <c r="CH278" s="26"/>
      <c r="CI278" s="26"/>
      <c r="CJ278" s="26"/>
      <c r="CK278" s="26"/>
      <c r="CL278" s="26"/>
      <c r="CM278" s="26"/>
      <c r="CN278" s="26"/>
      <c r="CO278" s="26"/>
      <c r="CP278" s="26"/>
      <c r="CQ278" s="26"/>
    </row>
    <row r="279" spans="1:95" s="29" customFormat="1" ht="15" customHeight="1" x14ac:dyDescent="0.25">
      <c r="A279" s="32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  <c r="AN279" s="26"/>
      <c r="AO279" s="26"/>
      <c r="AP279" s="26"/>
      <c r="AQ279" s="26"/>
      <c r="AR279" s="26"/>
      <c r="AS279" s="26"/>
      <c r="AT279" s="26"/>
      <c r="AU279" s="26"/>
      <c r="AV279" s="26"/>
      <c r="AW279" s="26"/>
      <c r="AX279" s="26"/>
      <c r="AY279" s="26"/>
      <c r="AZ279" s="26"/>
      <c r="BA279" s="26"/>
      <c r="BB279" s="26"/>
      <c r="BC279" s="26"/>
      <c r="BD279" s="26"/>
      <c r="BE279" s="26"/>
      <c r="BF279" s="26"/>
      <c r="BG279" s="26"/>
      <c r="BH279" s="26"/>
      <c r="BI279" s="26"/>
      <c r="BJ279" s="26"/>
      <c r="BK279" s="26"/>
      <c r="BL279" s="26"/>
      <c r="BM279" s="26"/>
      <c r="BN279" s="26"/>
      <c r="BO279" s="26"/>
      <c r="BP279" s="26"/>
      <c r="BQ279" s="26"/>
      <c r="BR279" s="26"/>
      <c r="BS279" s="26"/>
      <c r="BT279" s="26"/>
      <c r="BU279" s="26"/>
      <c r="BV279" s="26"/>
      <c r="BW279" s="26"/>
      <c r="BX279" s="26"/>
      <c r="BY279" s="26"/>
      <c r="BZ279" s="26"/>
      <c r="CA279" s="26"/>
      <c r="CB279" s="26"/>
      <c r="CC279" s="26"/>
      <c r="CD279" s="26"/>
      <c r="CE279" s="26"/>
      <c r="CF279" s="26"/>
      <c r="CG279" s="26"/>
      <c r="CH279" s="26"/>
      <c r="CI279" s="26"/>
      <c r="CJ279" s="26"/>
      <c r="CK279" s="26"/>
      <c r="CL279" s="26"/>
      <c r="CM279" s="26"/>
      <c r="CN279" s="26"/>
      <c r="CO279" s="26"/>
      <c r="CP279" s="26"/>
      <c r="CQ279" s="26"/>
    </row>
    <row r="280" spans="1:95" s="29" customFormat="1" ht="15" customHeight="1" x14ac:dyDescent="0.25">
      <c r="A280" s="32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  <c r="AN280" s="26"/>
      <c r="AO280" s="26"/>
      <c r="AP280" s="26"/>
      <c r="AQ280" s="26"/>
      <c r="AR280" s="26"/>
      <c r="AS280" s="26"/>
      <c r="AT280" s="26"/>
      <c r="AU280" s="26"/>
      <c r="AV280" s="26"/>
      <c r="AW280" s="26"/>
      <c r="AX280" s="26"/>
      <c r="AY280" s="26"/>
      <c r="AZ280" s="26"/>
      <c r="BA280" s="26"/>
      <c r="BB280" s="26"/>
      <c r="BC280" s="26"/>
      <c r="BD280" s="26"/>
      <c r="BE280" s="26"/>
      <c r="BF280" s="26"/>
      <c r="BG280" s="26"/>
      <c r="BH280" s="26"/>
      <c r="BI280" s="26"/>
      <c r="BJ280" s="26"/>
      <c r="BK280" s="26"/>
      <c r="BL280" s="26"/>
      <c r="BM280" s="26"/>
      <c r="BN280" s="26"/>
      <c r="BO280" s="26"/>
      <c r="BP280" s="26"/>
      <c r="BQ280" s="26"/>
      <c r="BR280" s="26"/>
      <c r="BS280" s="26"/>
      <c r="BT280" s="26"/>
      <c r="BU280" s="26"/>
      <c r="BV280" s="26"/>
      <c r="BW280" s="26"/>
      <c r="BX280" s="26"/>
      <c r="BY280" s="26"/>
      <c r="BZ280" s="26"/>
      <c r="CA280" s="26"/>
      <c r="CB280" s="26"/>
      <c r="CC280" s="26"/>
      <c r="CD280" s="26"/>
      <c r="CE280" s="26"/>
      <c r="CF280" s="26"/>
      <c r="CG280" s="26"/>
      <c r="CH280" s="26"/>
      <c r="CI280" s="26"/>
      <c r="CJ280" s="26"/>
      <c r="CK280" s="26"/>
      <c r="CL280" s="26"/>
      <c r="CM280" s="26"/>
      <c r="CN280" s="26"/>
      <c r="CO280" s="26"/>
      <c r="CP280" s="26"/>
      <c r="CQ280" s="26"/>
    </row>
    <row r="281" spans="1:95" s="29" customFormat="1" ht="15" customHeight="1" x14ac:dyDescent="0.25">
      <c r="A281" s="32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  <c r="AO281" s="26"/>
      <c r="AP281" s="26"/>
      <c r="AQ281" s="26"/>
      <c r="AR281" s="26"/>
      <c r="AS281" s="26"/>
      <c r="AT281" s="26"/>
      <c r="AU281" s="26"/>
      <c r="AV281" s="26"/>
      <c r="AW281" s="26"/>
      <c r="AX281" s="26"/>
      <c r="AY281" s="26"/>
      <c r="AZ281" s="26"/>
      <c r="BA281" s="26"/>
      <c r="BB281" s="26"/>
      <c r="BC281" s="26"/>
      <c r="BD281" s="26"/>
      <c r="BE281" s="26"/>
      <c r="BF281" s="26"/>
      <c r="BG281" s="26"/>
      <c r="BH281" s="26"/>
      <c r="BI281" s="26"/>
      <c r="BJ281" s="26"/>
      <c r="BK281" s="26"/>
      <c r="BL281" s="26"/>
      <c r="BM281" s="26"/>
      <c r="BN281" s="26"/>
      <c r="BO281" s="26"/>
      <c r="BP281" s="26"/>
      <c r="BQ281" s="26"/>
      <c r="BR281" s="26"/>
      <c r="BS281" s="26"/>
      <c r="BT281" s="26"/>
      <c r="BU281" s="26"/>
      <c r="BV281" s="26"/>
      <c r="BW281" s="26"/>
      <c r="BX281" s="26"/>
      <c r="BY281" s="26"/>
      <c r="BZ281" s="26"/>
      <c r="CA281" s="26"/>
      <c r="CB281" s="26"/>
      <c r="CC281" s="26"/>
      <c r="CD281" s="26"/>
      <c r="CE281" s="26"/>
      <c r="CF281" s="26"/>
      <c r="CG281" s="26"/>
      <c r="CH281" s="26"/>
      <c r="CI281" s="26"/>
      <c r="CJ281" s="26"/>
      <c r="CK281" s="26"/>
      <c r="CL281" s="26"/>
      <c r="CM281" s="26"/>
      <c r="CN281" s="26"/>
      <c r="CO281" s="26"/>
      <c r="CP281" s="26"/>
      <c r="CQ281" s="26"/>
    </row>
    <row r="282" spans="1:95" s="29" customFormat="1" ht="15" customHeight="1" x14ac:dyDescent="0.25">
      <c r="A282" s="32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  <c r="AN282" s="26"/>
      <c r="AO282" s="26"/>
      <c r="AP282" s="26"/>
      <c r="AQ282" s="26"/>
      <c r="AR282" s="26"/>
      <c r="AS282" s="26"/>
      <c r="AT282" s="26"/>
      <c r="AU282" s="26"/>
      <c r="AV282" s="26"/>
      <c r="AW282" s="26"/>
      <c r="AX282" s="26"/>
      <c r="AY282" s="26"/>
      <c r="AZ282" s="26"/>
      <c r="BA282" s="26"/>
      <c r="BB282" s="26"/>
      <c r="BC282" s="26"/>
      <c r="BD282" s="26"/>
      <c r="BE282" s="26"/>
      <c r="BF282" s="26"/>
      <c r="BG282" s="26"/>
      <c r="BH282" s="26"/>
      <c r="BI282" s="26"/>
      <c r="BJ282" s="26"/>
      <c r="BK282" s="26"/>
      <c r="BL282" s="26"/>
      <c r="BM282" s="26"/>
      <c r="BN282" s="26"/>
      <c r="BO282" s="26"/>
      <c r="BP282" s="26"/>
      <c r="BQ282" s="26"/>
      <c r="BR282" s="26"/>
      <c r="BS282" s="26"/>
      <c r="BT282" s="26"/>
      <c r="BU282" s="26"/>
      <c r="BV282" s="26"/>
      <c r="BW282" s="26"/>
      <c r="BX282" s="26"/>
      <c r="BY282" s="26"/>
      <c r="BZ282" s="26"/>
      <c r="CA282" s="26"/>
      <c r="CB282" s="26"/>
      <c r="CC282" s="26"/>
      <c r="CD282" s="26"/>
      <c r="CE282" s="26"/>
      <c r="CF282" s="26"/>
      <c r="CG282" s="26"/>
      <c r="CH282" s="26"/>
      <c r="CI282" s="26"/>
      <c r="CJ282" s="26"/>
      <c r="CK282" s="26"/>
      <c r="CL282" s="26"/>
      <c r="CM282" s="26"/>
      <c r="CN282" s="26"/>
      <c r="CO282" s="26"/>
      <c r="CP282" s="26"/>
      <c r="CQ282" s="26"/>
    </row>
    <row r="283" spans="1:95" s="29" customFormat="1" ht="15" customHeight="1" x14ac:dyDescent="0.25">
      <c r="A283" s="32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  <c r="AN283" s="26"/>
      <c r="AO283" s="26"/>
      <c r="AP283" s="26"/>
      <c r="AQ283" s="26"/>
      <c r="AR283" s="26"/>
      <c r="AS283" s="26"/>
      <c r="AT283" s="26"/>
      <c r="AU283" s="26"/>
      <c r="AV283" s="26"/>
      <c r="AW283" s="26"/>
      <c r="AX283" s="26"/>
      <c r="AY283" s="26"/>
      <c r="AZ283" s="26"/>
      <c r="BA283" s="26"/>
      <c r="BB283" s="26"/>
      <c r="BC283" s="26"/>
      <c r="BD283" s="26"/>
      <c r="BE283" s="26"/>
      <c r="BF283" s="26"/>
      <c r="BG283" s="26"/>
      <c r="BH283" s="26"/>
      <c r="BI283" s="26"/>
      <c r="BJ283" s="26"/>
      <c r="BK283" s="26"/>
      <c r="BL283" s="26"/>
      <c r="BM283" s="26"/>
      <c r="BN283" s="26"/>
      <c r="BO283" s="26"/>
      <c r="BP283" s="26"/>
      <c r="BQ283" s="26"/>
      <c r="BR283" s="26"/>
      <c r="BS283" s="26"/>
      <c r="BT283" s="26"/>
      <c r="BU283" s="26"/>
      <c r="BV283" s="26"/>
      <c r="BW283" s="26"/>
      <c r="BX283" s="26"/>
      <c r="BY283" s="26"/>
      <c r="BZ283" s="26"/>
      <c r="CA283" s="26"/>
      <c r="CB283" s="26"/>
      <c r="CC283" s="26"/>
      <c r="CD283" s="26"/>
      <c r="CE283" s="26"/>
      <c r="CF283" s="26"/>
      <c r="CG283" s="26"/>
      <c r="CH283" s="26"/>
      <c r="CI283" s="26"/>
      <c r="CJ283" s="26"/>
      <c r="CK283" s="26"/>
      <c r="CL283" s="26"/>
      <c r="CM283" s="26"/>
      <c r="CN283" s="26"/>
      <c r="CO283" s="26"/>
      <c r="CP283" s="26"/>
      <c r="CQ283" s="26"/>
    </row>
    <row r="284" spans="1:95" s="29" customFormat="1" ht="15" customHeight="1" x14ac:dyDescent="0.25">
      <c r="A284" s="32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  <c r="AN284" s="26"/>
      <c r="AO284" s="26"/>
      <c r="AP284" s="26"/>
      <c r="AQ284" s="26"/>
      <c r="AR284" s="26"/>
      <c r="AS284" s="26"/>
      <c r="AT284" s="26"/>
      <c r="AU284" s="26"/>
      <c r="AV284" s="26"/>
      <c r="AW284" s="26"/>
      <c r="AX284" s="26"/>
      <c r="AY284" s="26"/>
      <c r="AZ284" s="26"/>
      <c r="BA284" s="26"/>
      <c r="BB284" s="26"/>
      <c r="BC284" s="26"/>
      <c r="BD284" s="26"/>
      <c r="BE284" s="26"/>
      <c r="BF284" s="26"/>
      <c r="BG284" s="26"/>
      <c r="BH284" s="26"/>
      <c r="BI284" s="26"/>
      <c r="BJ284" s="26"/>
      <c r="BK284" s="26"/>
      <c r="BL284" s="26"/>
      <c r="BM284" s="26"/>
      <c r="BN284" s="26"/>
      <c r="BO284" s="26"/>
      <c r="BP284" s="26"/>
      <c r="BQ284" s="26"/>
      <c r="BR284" s="26"/>
      <c r="BS284" s="26"/>
      <c r="BT284" s="26"/>
      <c r="BU284" s="26"/>
      <c r="BV284" s="26"/>
      <c r="BW284" s="26"/>
      <c r="BX284" s="26"/>
      <c r="BY284" s="26"/>
      <c r="BZ284" s="26"/>
      <c r="CA284" s="26"/>
      <c r="CB284" s="26"/>
      <c r="CC284" s="26"/>
      <c r="CD284" s="26"/>
      <c r="CE284" s="26"/>
      <c r="CF284" s="26"/>
      <c r="CG284" s="26"/>
      <c r="CH284" s="26"/>
      <c r="CI284" s="26"/>
      <c r="CJ284" s="26"/>
      <c r="CK284" s="26"/>
      <c r="CL284" s="26"/>
      <c r="CM284" s="26"/>
      <c r="CN284" s="26"/>
      <c r="CO284" s="26"/>
      <c r="CP284" s="26"/>
      <c r="CQ284" s="26"/>
    </row>
    <row r="285" spans="1:95" s="29" customFormat="1" ht="15" customHeight="1" x14ac:dyDescent="0.25">
      <c r="A285" s="32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  <c r="AN285" s="26"/>
      <c r="AO285" s="26"/>
      <c r="AP285" s="26"/>
      <c r="AQ285" s="26"/>
      <c r="AR285" s="26"/>
      <c r="AS285" s="26"/>
      <c r="AT285" s="26"/>
      <c r="AU285" s="26"/>
      <c r="AV285" s="26"/>
      <c r="AW285" s="26"/>
      <c r="AX285" s="26"/>
      <c r="AY285" s="26"/>
      <c r="AZ285" s="26"/>
      <c r="BA285" s="26"/>
      <c r="BB285" s="26"/>
      <c r="BC285" s="26"/>
      <c r="BD285" s="26"/>
      <c r="BE285" s="26"/>
      <c r="BF285" s="26"/>
      <c r="BG285" s="26"/>
      <c r="BH285" s="26"/>
      <c r="BI285" s="26"/>
      <c r="BJ285" s="26"/>
      <c r="BK285" s="26"/>
      <c r="BL285" s="26"/>
      <c r="BM285" s="26"/>
      <c r="BN285" s="26"/>
      <c r="BO285" s="26"/>
      <c r="BP285" s="26"/>
      <c r="BQ285" s="26"/>
      <c r="BR285" s="26"/>
      <c r="BS285" s="26"/>
      <c r="BT285" s="26"/>
      <c r="BU285" s="26"/>
      <c r="BV285" s="26"/>
      <c r="BW285" s="26"/>
      <c r="BX285" s="26"/>
      <c r="BY285" s="26"/>
      <c r="BZ285" s="26"/>
      <c r="CA285" s="26"/>
      <c r="CB285" s="26"/>
      <c r="CC285" s="26"/>
      <c r="CD285" s="26"/>
      <c r="CE285" s="26"/>
      <c r="CF285" s="26"/>
      <c r="CG285" s="26"/>
      <c r="CH285" s="26"/>
      <c r="CI285" s="26"/>
      <c r="CJ285" s="26"/>
      <c r="CK285" s="26"/>
      <c r="CL285" s="26"/>
      <c r="CM285" s="26"/>
      <c r="CN285" s="26"/>
      <c r="CO285" s="26"/>
      <c r="CP285" s="26"/>
      <c r="CQ285" s="26"/>
    </row>
    <row r="286" spans="1:95" s="29" customFormat="1" ht="15" customHeight="1" x14ac:dyDescent="0.25">
      <c r="A286" s="32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  <c r="AN286" s="26"/>
      <c r="AO286" s="26"/>
      <c r="AP286" s="26"/>
      <c r="AQ286" s="26"/>
      <c r="AR286" s="26"/>
      <c r="AS286" s="26"/>
      <c r="AT286" s="26"/>
      <c r="AU286" s="26"/>
      <c r="AV286" s="26"/>
      <c r="AW286" s="26"/>
      <c r="AX286" s="26"/>
      <c r="AY286" s="26"/>
      <c r="AZ286" s="26"/>
      <c r="BA286" s="26"/>
      <c r="BB286" s="26"/>
      <c r="BC286" s="26"/>
      <c r="BD286" s="26"/>
      <c r="BE286" s="26"/>
      <c r="BF286" s="26"/>
      <c r="BG286" s="26"/>
      <c r="BH286" s="26"/>
      <c r="BI286" s="26"/>
      <c r="BJ286" s="26"/>
      <c r="BK286" s="26"/>
      <c r="BL286" s="26"/>
      <c r="BM286" s="26"/>
      <c r="BN286" s="26"/>
      <c r="BO286" s="26"/>
      <c r="BP286" s="26"/>
      <c r="BQ286" s="26"/>
      <c r="BR286" s="26"/>
      <c r="BS286" s="26"/>
      <c r="BT286" s="26"/>
      <c r="BU286" s="26"/>
      <c r="BV286" s="26"/>
      <c r="BW286" s="26"/>
      <c r="BX286" s="26"/>
      <c r="BY286" s="26"/>
      <c r="BZ286" s="26"/>
      <c r="CA286" s="26"/>
      <c r="CB286" s="26"/>
      <c r="CC286" s="26"/>
      <c r="CD286" s="26"/>
      <c r="CE286" s="26"/>
      <c r="CF286" s="26"/>
      <c r="CG286" s="26"/>
      <c r="CH286" s="26"/>
      <c r="CI286" s="26"/>
      <c r="CJ286" s="26"/>
      <c r="CK286" s="26"/>
      <c r="CL286" s="26"/>
      <c r="CM286" s="26"/>
      <c r="CN286" s="26"/>
      <c r="CO286" s="26"/>
      <c r="CP286" s="26"/>
      <c r="CQ286" s="26"/>
    </row>
    <row r="287" spans="1:95" s="29" customFormat="1" ht="15" customHeight="1" x14ac:dyDescent="0.25">
      <c r="A287" s="32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  <c r="AN287" s="26"/>
      <c r="AO287" s="26"/>
      <c r="AP287" s="26"/>
      <c r="AQ287" s="26"/>
      <c r="AR287" s="26"/>
      <c r="AS287" s="26"/>
      <c r="AT287" s="26"/>
      <c r="AU287" s="26"/>
      <c r="AV287" s="26"/>
      <c r="AW287" s="26"/>
      <c r="AX287" s="26"/>
      <c r="AY287" s="26"/>
      <c r="AZ287" s="26"/>
      <c r="BA287" s="26"/>
      <c r="BB287" s="26"/>
      <c r="BC287" s="26"/>
      <c r="BD287" s="26"/>
      <c r="BE287" s="26"/>
      <c r="BF287" s="26"/>
      <c r="BG287" s="26"/>
      <c r="BH287" s="26"/>
      <c r="BI287" s="26"/>
      <c r="BJ287" s="26"/>
      <c r="BK287" s="26"/>
      <c r="BL287" s="26"/>
      <c r="BM287" s="26"/>
      <c r="BN287" s="26"/>
      <c r="BO287" s="26"/>
      <c r="BP287" s="26"/>
      <c r="BQ287" s="26"/>
      <c r="BR287" s="26"/>
      <c r="BS287" s="26"/>
      <c r="BT287" s="26"/>
      <c r="BU287" s="26"/>
      <c r="BV287" s="26"/>
      <c r="BW287" s="26"/>
      <c r="BX287" s="26"/>
      <c r="BY287" s="26"/>
      <c r="BZ287" s="26"/>
      <c r="CA287" s="26"/>
      <c r="CB287" s="26"/>
      <c r="CC287" s="26"/>
      <c r="CD287" s="26"/>
      <c r="CE287" s="26"/>
      <c r="CF287" s="26"/>
      <c r="CG287" s="26"/>
      <c r="CH287" s="26"/>
      <c r="CI287" s="26"/>
      <c r="CJ287" s="26"/>
      <c r="CK287" s="26"/>
      <c r="CL287" s="26"/>
      <c r="CM287" s="26"/>
      <c r="CN287" s="26"/>
      <c r="CO287" s="26"/>
      <c r="CP287" s="26"/>
      <c r="CQ287" s="26"/>
    </row>
    <row r="288" spans="1:95" s="29" customFormat="1" ht="15" customHeight="1" x14ac:dyDescent="0.25">
      <c r="A288" s="32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  <c r="AN288" s="26"/>
      <c r="AO288" s="26"/>
      <c r="AP288" s="26"/>
      <c r="AQ288" s="26"/>
      <c r="AR288" s="26"/>
      <c r="AS288" s="26"/>
      <c r="AT288" s="26"/>
      <c r="AU288" s="26"/>
      <c r="AV288" s="26"/>
      <c r="AW288" s="26"/>
      <c r="AX288" s="26"/>
      <c r="AY288" s="26"/>
      <c r="AZ288" s="26"/>
      <c r="BA288" s="26"/>
      <c r="BB288" s="26"/>
      <c r="BC288" s="26"/>
      <c r="BD288" s="26"/>
      <c r="BE288" s="26"/>
      <c r="BF288" s="26"/>
      <c r="BG288" s="26"/>
      <c r="BH288" s="26"/>
      <c r="BI288" s="26"/>
      <c r="BJ288" s="26"/>
      <c r="BK288" s="26"/>
      <c r="BL288" s="26"/>
      <c r="BM288" s="26"/>
      <c r="BN288" s="26"/>
      <c r="BO288" s="26"/>
      <c r="BP288" s="26"/>
      <c r="BQ288" s="26"/>
      <c r="BR288" s="26"/>
      <c r="BS288" s="26"/>
      <c r="BT288" s="26"/>
      <c r="BU288" s="26"/>
      <c r="BV288" s="26"/>
      <c r="BW288" s="26"/>
      <c r="BX288" s="26"/>
      <c r="BY288" s="26"/>
      <c r="BZ288" s="26"/>
      <c r="CA288" s="26"/>
      <c r="CB288" s="26"/>
      <c r="CC288" s="26"/>
      <c r="CD288" s="26"/>
      <c r="CE288" s="26"/>
      <c r="CF288" s="26"/>
      <c r="CG288" s="26"/>
      <c r="CH288" s="26"/>
      <c r="CI288" s="26"/>
      <c r="CJ288" s="26"/>
      <c r="CK288" s="26"/>
      <c r="CL288" s="26"/>
      <c r="CM288" s="26"/>
      <c r="CN288" s="26"/>
      <c r="CO288" s="26"/>
      <c r="CP288" s="26"/>
      <c r="CQ288" s="26"/>
    </row>
    <row r="289" spans="1:95" s="29" customFormat="1" ht="15" customHeight="1" x14ac:dyDescent="0.25">
      <c r="A289" s="32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  <c r="AN289" s="26"/>
      <c r="AO289" s="26"/>
      <c r="AP289" s="26"/>
      <c r="AQ289" s="26"/>
      <c r="AR289" s="26"/>
      <c r="AS289" s="26"/>
      <c r="AT289" s="26"/>
      <c r="AU289" s="26"/>
      <c r="AV289" s="26"/>
      <c r="AW289" s="26"/>
      <c r="AX289" s="26"/>
      <c r="AY289" s="26"/>
      <c r="AZ289" s="26"/>
      <c r="BA289" s="26"/>
      <c r="BB289" s="26"/>
      <c r="BC289" s="26"/>
      <c r="BD289" s="26"/>
      <c r="BE289" s="26"/>
      <c r="BF289" s="26"/>
      <c r="BG289" s="26"/>
      <c r="BH289" s="26"/>
      <c r="BI289" s="26"/>
      <c r="BJ289" s="26"/>
      <c r="BK289" s="26"/>
      <c r="BL289" s="26"/>
      <c r="BM289" s="26"/>
      <c r="BN289" s="26"/>
      <c r="BO289" s="26"/>
      <c r="BP289" s="26"/>
      <c r="BQ289" s="26"/>
      <c r="BR289" s="26"/>
      <c r="BS289" s="26"/>
      <c r="BT289" s="26"/>
      <c r="BU289" s="26"/>
      <c r="BV289" s="26"/>
      <c r="BW289" s="26"/>
      <c r="BX289" s="26"/>
      <c r="BY289" s="26"/>
      <c r="BZ289" s="26"/>
      <c r="CA289" s="26"/>
      <c r="CB289" s="26"/>
      <c r="CC289" s="26"/>
      <c r="CD289" s="26"/>
      <c r="CE289" s="26"/>
      <c r="CF289" s="26"/>
      <c r="CG289" s="26"/>
      <c r="CH289" s="26"/>
      <c r="CI289" s="26"/>
      <c r="CJ289" s="26"/>
      <c r="CK289" s="26"/>
      <c r="CL289" s="26"/>
      <c r="CM289" s="26"/>
      <c r="CN289" s="26"/>
      <c r="CO289" s="26"/>
      <c r="CP289" s="26"/>
      <c r="CQ289" s="26"/>
    </row>
    <row r="290" spans="1:95" s="29" customFormat="1" ht="15" customHeight="1" x14ac:dyDescent="0.25">
      <c r="A290" s="32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  <c r="AN290" s="26"/>
      <c r="AO290" s="26"/>
      <c r="AP290" s="26"/>
      <c r="AQ290" s="26"/>
      <c r="AR290" s="26"/>
      <c r="AS290" s="26"/>
      <c r="AT290" s="26"/>
      <c r="AU290" s="26"/>
      <c r="AV290" s="26"/>
      <c r="AW290" s="26"/>
      <c r="AX290" s="26"/>
      <c r="AY290" s="26"/>
      <c r="AZ290" s="26"/>
      <c r="BA290" s="26"/>
      <c r="BB290" s="26"/>
      <c r="BC290" s="26"/>
      <c r="BD290" s="26"/>
      <c r="BE290" s="26"/>
      <c r="BF290" s="26"/>
      <c r="BG290" s="26"/>
      <c r="BH290" s="26"/>
      <c r="BI290" s="26"/>
      <c r="BJ290" s="26"/>
      <c r="BK290" s="26"/>
      <c r="BL290" s="26"/>
      <c r="BM290" s="26"/>
      <c r="BN290" s="26"/>
      <c r="BO290" s="26"/>
      <c r="BP290" s="26"/>
      <c r="BQ290" s="26"/>
      <c r="BR290" s="26"/>
      <c r="BS290" s="26"/>
      <c r="BT290" s="26"/>
      <c r="BU290" s="26"/>
      <c r="BV290" s="26"/>
      <c r="BW290" s="26"/>
      <c r="BX290" s="26"/>
      <c r="BY290" s="26"/>
      <c r="BZ290" s="26"/>
      <c r="CA290" s="26"/>
      <c r="CB290" s="26"/>
      <c r="CC290" s="26"/>
      <c r="CD290" s="26"/>
      <c r="CE290" s="26"/>
      <c r="CF290" s="26"/>
      <c r="CG290" s="26"/>
      <c r="CH290" s="26"/>
      <c r="CI290" s="26"/>
      <c r="CJ290" s="26"/>
      <c r="CK290" s="26"/>
      <c r="CL290" s="26"/>
      <c r="CM290" s="26"/>
      <c r="CN290" s="26"/>
      <c r="CO290" s="26"/>
      <c r="CP290" s="26"/>
      <c r="CQ290" s="26"/>
    </row>
    <row r="291" spans="1:95" s="29" customFormat="1" ht="15" customHeight="1" x14ac:dyDescent="0.25">
      <c r="A291" s="32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  <c r="AN291" s="26"/>
      <c r="AO291" s="26"/>
      <c r="AP291" s="26"/>
      <c r="AQ291" s="26"/>
      <c r="AR291" s="26"/>
      <c r="AS291" s="26"/>
      <c r="AT291" s="26"/>
      <c r="AU291" s="26"/>
      <c r="AV291" s="26"/>
      <c r="AW291" s="26"/>
      <c r="AX291" s="26"/>
      <c r="AY291" s="26"/>
      <c r="AZ291" s="26"/>
      <c r="BA291" s="26"/>
      <c r="BB291" s="26"/>
      <c r="BC291" s="26"/>
      <c r="BD291" s="26"/>
      <c r="BE291" s="26"/>
      <c r="BF291" s="26"/>
      <c r="BG291" s="26"/>
      <c r="BH291" s="26"/>
      <c r="BI291" s="26"/>
      <c r="BJ291" s="26"/>
      <c r="BK291" s="26"/>
      <c r="BL291" s="26"/>
      <c r="BM291" s="26"/>
      <c r="BN291" s="26"/>
      <c r="BO291" s="26"/>
      <c r="BP291" s="26"/>
      <c r="BQ291" s="26"/>
      <c r="BR291" s="26"/>
      <c r="BS291" s="26"/>
      <c r="BT291" s="26"/>
      <c r="BU291" s="26"/>
      <c r="BV291" s="26"/>
      <c r="BW291" s="26"/>
      <c r="BX291" s="26"/>
      <c r="BY291" s="26"/>
      <c r="BZ291" s="26"/>
      <c r="CA291" s="26"/>
      <c r="CB291" s="26"/>
      <c r="CC291" s="26"/>
      <c r="CD291" s="26"/>
      <c r="CE291" s="26"/>
      <c r="CF291" s="26"/>
      <c r="CG291" s="26"/>
      <c r="CH291" s="26"/>
      <c r="CI291" s="26"/>
      <c r="CJ291" s="26"/>
      <c r="CK291" s="26"/>
      <c r="CL291" s="26"/>
      <c r="CM291" s="26"/>
      <c r="CN291" s="26"/>
      <c r="CO291" s="26"/>
      <c r="CP291" s="26"/>
      <c r="CQ291" s="26"/>
    </row>
    <row r="292" spans="1:95" s="29" customFormat="1" ht="15" customHeight="1" x14ac:dyDescent="0.25">
      <c r="A292" s="32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  <c r="AN292" s="26"/>
      <c r="AO292" s="26"/>
      <c r="AP292" s="26"/>
      <c r="AQ292" s="26"/>
      <c r="AR292" s="26"/>
      <c r="AS292" s="26"/>
      <c r="AT292" s="26"/>
      <c r="AU292" s="26"/>
      <c r="AV292" s="26"/>
      <c r="AW292" s="26"/>
      <c r="AX292" s="26"/>
      <c r="AY292" s="26"/>
      <c r="AZ292" s="26"/>
      <c r="BA292" s="26"/>
      <c r="BB292" s="26"/>
      <c r="BC292" s="26"/>
      <c r="BD292" s="26"/>
      <c r="BE292" s="26"/>
      <c r="BF292" s="26"/>
      <c r="BG292" s="26"/>
      <c r="BH292" s="26"/>
      <c r="BI292" s="26"/>
      <c r="BJ292" s="26"/>
      <c r="BK292" s="26"/>
      <c r="BL292" s="26"/>
      <c r="BM292" s="26"/>
      <c r="BN292" s="26"/>
      <c r="BO292" s="26"/>
      <c r="BP292" s="26"/>
      <c r="BQ292" s="26"/>
      <c r="BR292" s="26"/>
      <c r="BS292" s="26"/>
      <c r="BT292" s="26"/>
      <c r="BU292" s="26"/>
      <c r="BV292" s="26"/>
      <c r="BW292" s="26"/>
      <c r="BX292" s="26"/>
      <c r="BY292" s="26"/>
      <c r="BZ292" s="26"/>
      <c r="CA292" s="26"/>
      <c r="CB292" s="26"/>
      <c r="CC292" s="26"/>
      <c r="CD292" s="26"/>
      <c r="CE292" s="26"/>
      <c r="CF292" s="26"/>
      <c r="CG292" s="26"/>
      <c r="CH292" s="26"/>
      <c r="CI292" s="26"/>
      <c r="CJ292" s="26"/>
      <c r="CK292" s="26"/>
      <c r="CL292" s="26"/>
      <c r="CM292" s="26"/>
      <c r="CN292" s="26"/>
      <c r="CO292" s="26"/>
      <c r="CP292" s="26"/>
      <c r="CQ292" s="26"/>
    </row>
    <row r="293" spans="1:95" s="29" customFormat="1" ht="15" customHeight="1" x14ac:dyDescent="0.25">
      <c r="A293" s="32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  <c r="AN293" s="26"/>
      <c r="AO293" s="26"/>
      <c r="AP293" s="26"/>
      <c r="AQ293" s="26"/>
      <c r="AR293" s="26"/>
      <c r="AS293" s="26"/>
      <c r="AT293" s="26"/>
      <c r="AU293" s="26"/>
      <c r="AV293" s="26"/>
      <c r="AW293" s="26"/>
      <c r="AX293" s="26"/>
      <c r="AY293" s="26"/>
      <c r="AZ293" s="26"/>
      <c r="BA293" s="26"/>
      <c r="BB293" s="26"/>
      <c r="BC293" s="26"/>
      <c r="BD293" s="26"/>
      <c r="BE293" s="26"/>
      <c r="BF293" s="26"/>
      <c r="BG293" s="26"/>
      <c r="BH293" s="26"/>
      <c r="BI293" s="26"/>
      <c r="BJ293" s="26"/>
      <c r="BK293" s="26"/>
      <c r="BL293" s="26"/>
      <c r="BM293" s="26"/>
      <c r="BN293" s="26"/>
      <c r="BO293" s="26"/>
      <c r="BP293" s="26"/>
      <c r="BQ293" s="26"/>
      <c r="BR293" s="26"/>
      <c r="BS293" s="26"/>
      <c r="BT293" s="26"/>
      <c r="BU293" s="26"/>
      <c r="BV293" s="26"/>
      <c r="BW293" s="26"/>
      <c r="BX293" s="26"/>
      <c r="BY293" s="26"/>
      <c r="BZ293" s="26"/>
      <c r="CA293" s="26"/>
      <c r="CB293" s="26"/>
      <c r="CC293" s="26"/>
      <c r="CD293" s="26"/>
      <c r="CE293" s="26"/>
      <c r="CF293" s="26"/>
      <c r="CG293" s="26"/>
      <c r="CH293" s="26"/>
      <c r="CI293" s="26"/>
      <c r="CJ293" s="26"/>
      <c r="CK293" s="26"/>
      <c r="CL293" s="26"/>
      <c r="CM293" s="26"/>
      <c r="CN293" s="26"/>
      <c r="CO293" s="26"/>
      <c r="CP293" s="26"/>
      <c r="CQ293" s="26"/>
    </row>
    <row r="294" spans="1:95" s="29" customFormat="1" ht="15" customHeight="1" x14ac:dyDescent="0.25">
      <c r="A294" s="32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  <c r="AN294" s="26"/>
      <c r="AO294" s="26"/>
      <c r="AP294" s="26"/>
      <c r="AQ294" s="26"/>
      <c r="AR294" s="26"/>
      <c r="AS294" s="26"/>
      <c r="AT294" s="26"/>
      <c r="AU294" s="26"/>
      <c r="AV294" s="26"/>
      <c r="AW294" s="26"/>
      <c r="AX294" s="26"/>
      <c r="AY294" s="26"/>
      <c r="AZ294" s="26"/>
      <c r="BA294" s="26"/>
      <c r="BB294" s="26"/>
      <c r="BC294" s="26"/>
      <c r="BD294" s="26"/>
      <c r="BE294" s="26"/>
      <c r="BF294" s="26"/>
      <c r="BG294" s="26"/>
      <c r="BH294" s="26"/>
      <c r="BI294" s="26"/>
      <c r="BJ294" s="26"/>
      <c r="BK294" s="26"/>
      <c r="BL294" s="26"/>
      <c r="BM294" s="26"/>
      <c r="BN294" s="26"/>
      <c r="BO294" s="26"/>
      <c r="BP294" s="26"/>
      <c r="BQ294" s="26"/>
      <c r="BR294" s="26"/>
      <c r="BS294" s="26"/>
      <c r="BT294" s="26"/>
      <c r="BU294" s="26"/>
      <c r="BV294" s="26"/>
      <c r="BW294" s="26"/>
      <c r="BX294" s="26"/>
      <c r="BY294" s="26"/>
      <c r="BZ294" s="26"/>
      <c r="CA294" s="26"/>
      <c r="CB294" s="26"/>
      <c r="CC294" s="26"/>
      <c r="CD294" s="26"/>
      <c r="CE294" s="26"/>
      <c r="CF294" s="26"/>
      <c r="CG294" s="26"/>
      <c r="CH294" s="26"/>
      <c r="CI294" s="26"/>
      <c r="CJ294" s="26"/>
      <c r="CK294" s="26"/>
      <c r="CL294" s="26"/>
      <c r="CM294" s="26"/>
      <c r="CN294" s="26"/>
      <c r="CO294" s="26"/>
      <c r="CP294" s="26"/>
      <c r="CQ294" s="26"/>
    </row>
    <row r="295" spans="1:95" s="29" customFormat="1" ht="15" customHeight="1" x14ac:dyDescent="0.25">
      <c r="A295" s="32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  <c r="AJ295" s="26"/>
      <c r="AK295" s="26"/>
      <c r="AL295" s="26"/>
      <c r="AM295" s="26"/>
      <c r="AN295" s="26"/>
      <c r="AO295" s="26"/>
      <c r="AP295" s="26"/>
      <c r="AQ295" s="26"/>
      <c r="AR295" s="26"/>
      <c r="AS295" s="26"/>
      <c r="AT295" s="26"/>
      <c r="AU295" s="26"/>
      <c r="AV295" s="26"/>
      <c r="AW295" s="26"/>
      <c r="AX295" s="26"/>
      <c r="AY295" s="26"/>
      <c r="AZ295" s="26"/>
      <c r="BA295" s="26"/>
      <c r="BB295" s="26"/>
      <c r="BC295" s="26"/>
      <c r="BD295" s="26"/>
      <c r="BE295" s="26"/>
      <c r="BF295" s="26"/>
      <c r="BG295" s="26"/>
      <c r="BH295" s="26"/>
      <c r="BI295" s="26"/>
      <c r="BJ295" s="26"/>
      <c r="BK295" s="26"/>
      <c r="BL295" s="26"/>
      <c r="BM295" s="26"/>
      <c r="BN295" s="26"/>
      <c r="BO295" s="26"/>
      <c r="BP295" s="26"/>
      <c r="BQ295" s="26"/>
      <c r="BR295" s="26"/>
      <c r="BS295" s="26"/>
      <c r="BT295" s="26"/>
      <c r="BU295" s="26"/>
      <c r="BV295" s="26"/>
      <c r="BW295" s="26"/>
      <c r="BX295" s="26"/>
      <c r="BY295" s="26"/>
      <c r="BZ295" s="26"/>
      <c r="CA295" s="26"/>
      <c r="CB295" s="26"/>
      <c r="CC295" s="26"/>
      <c r="CD295" s="26"/>
      <c r="CE295" s="26"/>
      <c r="CF295" s="26"/>
      <c r="CG295" s="26"/>
      <c r="CH295" s="26"/>
      <c r="CI295" s="26"/>
      <c r="CJ295" s="26"/>
      <c r="CK295" s="26"/>
      <c r="CL295" s="26"/>
      <c r="CM295" s="26"/>
      <c r="CN295" s="26"/>
      <c r="CO295" s="26"/>
      <c r="CP295" s="26"/>
      <c r="CQ295" s="26"/>
    </row>
    <row r="296" spans="1:95" s="29" customFormat="1" ht="15" customHeight="1" x14ac:dyDescent="0.25">
      <c r="A296" s="32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  <c r="AN296" s="26"/>
      <c r="AO296" s="26"/>
      <c r="AP296" s="26"/>
      <c r="AQ296" s="26"/>
      <c r="AR296" s="26"/>
      <c r="AS296" s="26"/>
      <c r="AT296" s="26"/>
      <c r="AU296" s="26"/>
      <c r="AV296" s="26"/>
      <c r="AW296" s="26"/>
      <c r="AX296" s="26"/>
      <c r="AY296" s="26"/>
      <c r="AZ296" s="26"/>
      <c r="BA296" s="26"/>
      <c r="BB296" s="26"/>
      <c r="BC296" s="26"/>
      <c r="BD296" s="26"/>
      <c r="BE296" s="26"/>
      <c r="BF296" s="26"/>
      <c r="BG296" s="26"/>
      <c r="BH296" s="26"/>
      <c r="BI296" s="26"/>
      <c r="BJ296" s="26"/>
      <c r="BK296" s="26"/>
      <c r="BL296" s="26"/>
      <c r="BM296" s="26"/>
      <c r="BN296" s="26"/>
      <c r="BO296" s="26"/>
      <c r="BP296" s="26"/>
      <c r="BQ296" s="26"/>
      <c r="BR296" s="26"/>
      <c r="BS296" s="26"/>
      <c r="BT296" s="26"/>
      <c r="BU296" s="26"/>
      <c r="BV296" s="26"/>
      <c r="BW296" s="26"/>
      <c r="BX296" s="26"/>
      <c r="BY296" s="26"/>
      <c r="BZ296" s="26"/>
      <c r="CA296" s="26"/>
      <c r="CB296" s="26"/>
      <c r="CC296" s="26"/>
      <c r="CD296" s="26"/>
      <c r="CE296" s="26"/>
      <c r="CF296" s="26"/>
      <c r="CG296" s="26"/>
      <c r="CH296" s="26"/>
      <c r="CI296" s="26"/>
      <c r="CJ296" s="26"/>
      <c r="CK296" s="26"/>
      <c r="CL296" s="26"/>
      <c r="CM296" s="26"/>
      <c r="CN296" s="26"/>
      <c r="CO296" s="26"/>
      <c r="CP296" s="26"/>
      <c r="CQ296" s="26"/>
    </row>
    <row r="297" spans="1:95" s="29" customFormat="1" ht="15" customHeight="1" x14ac:dyDescent="0.25">
      <c r="A297" s="32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  <c r="AN297" s="26"/>
      <c r="AO297" s="26"/>
      <c r="AP297" s="26"/>
      <c r="AQ297" s="26"/>
      <c r="AR297" s="26"/>
      <c r="AS297" s="26"/>
      <c r="AT297" s="26"/>
      <c r="AU297" s="26"/>
      <c r="AV297" s="26"/>
      <c r="AW297" s="26"/>
      <c r="AX297" s="26"/>
      <c r="AY297" s="26"/>
      <c r="AZ297" s="26"/>
      <c r="BA297" s="26"/>
      <c r="BB297" s="26"/>
      <c r="BC297" s="26"/>
      <c r="BD297" s="26"/>
      <c r="BE297" s="26"/>
      <c r="BF297" s="26"/>
      <c r="BG297" s="26"/>
      <c r="BH297" s="26"/>
      <c r="BI297" s="26"/>
      <c r="BJ297" s="26"/>
      <c r="BK297" s="26"/>
      <c r="BL297" s="26"/>
      <c r="BM297" s="26"/>
      <c r="BN297" s="26"/>
      <c r="BO297" s="26"/>
      <c r="BP297" s="26"/>
      <c r="BQ297" s="26"/>
      <c r="BR297" s="26"/>
      <c r="BS297" s="26"/>
      <c r="BT297" s="26"/>
      <c r="BU297" s="26"/>
      <c r="BV297" s="26"/>
      <c r="BW297" s="26"/>
      <c r="BX297" s="26"/>
      <c r="BY297" s="26"/>
      <c r="BZ297" s="26"/>
      <c r="CA297" s="26"/>
      <c r="CB297" s="26"/>
      <c r="CC297" s="26"/>
      <c r="CD297" s="26"/>
      <c r="CE297" s="26"/>
      <c r="CF297" s="26"/>
      <c r="CG297" s="26"/>
      <c r="CH297" s="26"/>
      <c r="CI297" s="26"/>
      <c r="CJ297" s="26"/>
      <c r="CK297" s="26"/>
      <c r="CL297" s="26"/>
      <c r="CM297" s="26"/>
      <c r="CN297" s="26"/>
      <c r="CO297" s="26"/>
      <c r="CP297" s="26"/>
      <c r="CQ297" s="26"/>
    </row>
    <row r="298" spans="1:95" s="29" customFormat="1" ht="15" customHeight="1" x14ac:dyDescent="0.25">
      <c r="A298" s="32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  <c r="AJ298" s="26"/>
      <c r="AK298" s="26"/>
      <c r="AL298" s="26"/>
      <c r="AM298" s="26"/>
      <c r="AN298" s="26"/>
      <c r="AO298" s="26"/>
      <c r="AP298" s="26"/>
      <c r="AQ298" s="26"/>
      <c r="AR298" s="26"/>
      <c r="AS298" s="26"/>
      <c r="AT298" s="26"/>
      <c r="AU298" s="26"/>
      <c r="AV298" s="26"/>
      <c r="AW298" s="26"/>
      <c r="AX298" s="26"/>
      <c r="AY298" s="26"/>
      <c r="AZ298" s="26"/>
      <c r="BA298" s="26"/>
      <c r="BB298" s="26"/>
      <c r="BC298" s="26"/>
      <c r="BD298" s="26"/>
      <c r="BE298" s="26"/>
      <c r="BF298" s="26"/>
      <c r="BG298" s="26"/>
      <c r="BH298" s="26"/>
      <c r="BI298" s="26"/>
      <c r="BJ298" s="26"/>
      <c r="BK298" s="26"/>
      <c r="BL298" s="26"/>
      <c r="BM298" s="26"/>
      <c r="BN298" s="26"/>
      <c r="BO298" s="26"/>
      <c r="BP298" s="26"/>
      <c r="BQ298" s="26"/>
      <c r="BR298" s="26"/>
      <c r="BS298" s="26"/>
      <c r="BT298" s="26"/>
      <c r="BU298" s="26"/>
      <c r="BV298" s="26"/>
      <c r="BW298" s="26"/>
      <c r="BX298" s="26"/>
      <c r="BY298" s="26"/>
      <c r="BZ298" s="26"/>
      <c r="CA298" s="26"/>
      <c r="CB298" s="26"/>
      <c r="CC298" s="26"/>
      <c r="CD298" s="26"/>
      <c r="CE298" s="26"/>
      <c r="CF298" s="26"/>
      <c r="CG298" s="26"/>
      <c r="CH298" s="26"/>
      <c r="CI298" s="26"/>
      <c r="CJ298" s="26"/>
      <c r="CK298" s="26"/>
      <c r="CL298" s="26"/>
      <c r="CM298" s="26"/>
      <c r="CN298" s="26"/>
      <c r="CO298" s="26"/>
      <c r="CP298" s="26"/>
      <c r="CQ298" s="26"/>
    </row>
    <row r="299" spans="1:95" s="29" customFormat="1" ht="15" customHeight="1" x14ac:dyDescent="0.25">
      <c r="A299" s="32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  <c r="AN299" s="26"/>
      <c r="AO299" s="26"/>
      <c r="AP299" s="26"/>
      <c r="AQ299" s="26"/>
      <c r="AR299" s="26"/>
      <c r="AS299" s="26"/>
      <c r="AT299" s="26"/>
      <c r="AU299" s="26"/>
      <c r="AV299" s="26"/>
      <c r="AW299" s="26"/>
      <c r="AX299" s="26"/>
      <c r="AY299" s="26"/>
      <c r="AZ299" s="26"/>
      <c r="BA299" s="26"/>
      <c r="BB299" s="26"/>
      <c r="BC299" s="26"/>
      <c r="BD299" s="26"/>
      <c r="BE299" s="26"/>
      <c r="BF299" s="26"/>
      <c r="BG299" s="26"/>
      <c r="BH299" s="26"/>
      <c r="BI299" s="26"/>
      <c r="BJ299" s="26"/>
      <c r="BK299" s="26"/>
      <c r="BL299" s="26"/>
      <c r="BM299" s="26"/>
      <c r="BN299" s="26"/>
      <c r="BO299" s="26"/>
      <c r="BP299" s="26"/>
      <c r="BQ299" s="26"/>
      <c r="BR299" s="26"/>
      <c r="BS299" s="26"/>
      <c r="BT299" s="26"/>
      <c r="BU299" s="26"/>
      <c r="BV299" s="26"/>
      <c r="BW299" s="26"/>
      <c r="BX299" s="26"/>
      <c r="BY299" s="26"/>
      <c r="BZ299" s="26"/>
      <c r="CA299" s="26"/>
      <c r="CB299" s="26"/>
      <c r="CC299" s="26"/>
      <c r="CD299" s="26"/>
      <c r="CE299" s="26"/>
      <c r="CF299" s="26"/>
      <c r="CG299" s="26"/>
      <c r="CH299" s="26"/>
      <c r="CI299" s="26"/>
      <c r="CJ299" s="26"/>
      <c r="CK299" s="26"/>
      <c r="CL299" s="26"/>
      <c r="CM299" s="26"/>
      <c r="CN299" s="26"/>
      <c r="CO299" s="26"/>
      <c r="CP299" s="26"/>
      <c r="CQ299" s="26"/>
    </row>
    <row r="300" spans="1:95" s="29" customFormat="1" ht="15" customHeight="1" x14ac:dyDescent="0.25">
      <c r="A300" s="32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  <c r="AN300" s="26"/>
      <c r="AO300" s="26"/>
      <c r="AP300" s="26"/>
      <c r="AQ300" s="26"/>
      <c r="AR300" s="26"/>
      <c r="AS300" s="26"/>
      <c r="AT300" s="26"/>
      <c r="AU300" s="26"/>
      <c r="AV300" s="26"/>
      <c r="AW300" s="26"/>
      <c r="AX300" s="26"/>
      <c r="AY300" s="26"/>
      <c r="AZ300" s="26"/>
      <c r="BA300" s="26"/>
      <c r="BB300" s="26"/>
      <c r="BC300" s="26"/>
      <c r="BD300" s="26"/>
      <c r="BE300" s="26"/>
      <c r="BF300" s="26"/>
      <c r="BG300" s="26"/>
      <c r="BH300" s="26"/>
      <c r="BI300" s="26"/>
      <c r="BJ300" s="26"/>
      <c r="BK300" s="26"/>
      <c r="BL300" s="26"/>
      <c r="BM300" s="26"/>
      <c r="BN300" s="26"/>
      <c r="BO300" s="26"/>
      <c r="BP300" s="26"/>
      <c r="BQ300" s="26"/>
      <c r="BR300" s="26"/>
      <c r="BS300" s="26"/>
      <c r="BT300" s="26"/>
      <c r="BU300" s="26"/>
      <c r="BV300" s="26"/>
      <c r="BW300" s="26"/>
      <c r="BX300" s="26"/>
      <c r="BY300" s="26"/>
      <c r="BZ300" s="26"/>
      <c r="CA300" s="26"/>
      <c r="CB300" s="26"/>
      <c r="CC300" s="26"/>
      <c r="CD300" s="26"/>
      <c r="CE300" s="26"/>
      <c r="CF300" s="26"/>
      <c r="CG300" s="26"/>
      <c r="CH300" s="26"/>
      <c r="CI300" s="26"/>
      <c r="CJ300" s="26"/>
      <c r="CK300" s="26"/>
      <c r="CL300" s="26"/>
      <c r="CM300" s="26"/>
      <c r="CN300" s="26"/>
      <c r="CO300" s="26"/>
      <c r="CP300" s="26"/>
      <c r="CQ300" s="26"/>
    </row>
    <row r="301" spans="1:95" s="29" customFormat="1" ht="15" customHeight="1" x14ac:dyDescent="0.25">
      <c r="A301" s="32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  <c r="AN301" s="26"/>
      <c r="AO301" s="26"/>
      <c r="AP301" s="26"/>
      <c r="AQ301" s="26"/>
      <c r="AR301" s="26"/>
      <c r="AS301" s="26"/>
      <c r="AT301" s="26"/>
      <c r="AU301" s="26"/>
      <c r="AV301" s="26"/>
      <c r="AW301" s="26"/>
      <c r="AX301" s="26"/>
      <c r="AY301" s="26"/>
      <c r="AZ301" s="26"/>
      <c r="BA301" s="26"/>
      <c r="BB301" s="26"/>
      <c r="BC301" s="26"/>
      <c r="BD301" s="26"/>
      <c r="BE301" s="26"/>
      <c r="BF301" s="26"/>
      <c r="BG301" s="26"/>
      <c r="BH301" s="26"/>
      <c r="BI301" s="26"/>
      <c r="BJ301" s="26"/>
      <c r="BK301" s="26"/>
      <c r="BL301" s="26"/>
      <c r="BM301" s="26"/>
      <c r="BN301" s="26"/>
      <c r="BO301" s="26"/>
      <c r="BP301" s="26"/>
      <c r="BQ301" s="26"/>
      <c r="BR301" s="26"/>
      <c r="BS301" s="26"/>
      <c r="BT301" s="26"/>
      <c r="BU301" s="26"/>
      <c r="BV301" s="26"/>
      <c r="BW301" s="26"/>
      <c r="BX301" s="26"/>
      <c r="BY301" s="26"/>
      <c r="BZ301" s="26"/>
      <c r="CA301" s="26"/>
      <c r="CB301" s="26"/>
      <c r="CC301" s="26"/>
      <c r="CD301" s="26"/>
      <c r="CE301" s="26"/>
      <c r="CF301" s="26"/>
      <c r="CG301" s="26"/>
      <c r="CH301" s="26"/>
      <c r="CI301" s="26"/>
      <c r="CJ301" s="26"/>
      <c r="CK301" s="26"/>
      <c r="CL301" s="26"/>
      <c r="CM301" s="26"/>
      <c r="CN301" s="26"/>
      <c r="CO301" s="26"/>
      <c r="CP301" s="26"/>
      <c r="CQ301" s="26"/>
    </row>
    <row r="302" spans="1:95" s="29" customFormat="1" ht="15" customHeight="1" x14ac:dyDescent="0.25">
      <c r="A302" s="32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  <c r="AJ302" s="26"/>
      <c r="AK302" s="26"/>
      <c r="AL302" s="26"/>
      <c r="AM302" s="26"/>
      <c r="AN302" s="26"/>
      <c r="AO302" s="26"/>
      <c r="AP302" s="26"/>
      <c r="AQ302" s="26"/>
      <c r="AR302" s="26"/>
      <c r="AS302" s="26"/>
      <c r="AT302" s="26"/>
      <c r="AU302" s="26"/>
      <c r="AV302" s="26"/>
      <c r="AW302" s="26"/>
      <c r="AX302" s="26"/>
      <c r="AY302" s="26"/>
      <c r="AZ302" s="26"/>
      <c r="BA302" s="26"/>
      <c r="BB302" s="26"/>
      <c r="BC302" s="26"/>
      <c r="BD302" s="26"/>
      <c r="BE302" s="26"/>
      <c r="BF302" s="26"/>
      <c r="BG302" s="26"/>
      <c r="BH302" s="26"/>
      <c r="BI302" s="26"/>
      <c r="BJ302" s="26"/>
      <c r="BK302" s="26"/>
      <c r="BL302" s="26"/>
      <c r="BM302" s="26"/>
      <c r="BN302" s="26"/>
      <c r="BO302" s="26"/>
      <c r="BP302" s="26"/>
      <c r="BQ302" s="26"/>
      <c r="BR302" s="26"/>
      <c r="BS302" s="26"/>
      <c r="BT302" s="26"/>
      <c r="BU302" s="26"/>
      <c r="BV302" s="26"/>
      <c r="BW302" s="26"/>
      <c r="BX302" s="26"/>
      <c r="BY302" s="26"/>
      <c r="BZ302" s="26"/>
      <c r="CA302" s="26"/>
      <c r="CB302" s="26"/>
      <c r="CC302" s="26"/>
      <c r="CD302" s="26"/>
      <c r="CE302" s="26"/>
      <c r="CF302" s="26"/>
      <c r="CG302" s="26"/>
      <c r="CH302" s="26"/>
      <c r="CI302" s="26"/>
      <c r="CJ302" s="26"/>
      <c r="CK302" s="26"/>
      <c r="CL302" s="26"/>
      <c r="CM302" s="26"/>
      <c r="CN302" s="26"/>
      <c r="CO302" s="26"/>
      <c r="CP302" s="26"/>
      <c r="CQ302" s="26"/>
    </row>
    <row r="303" spans="1:95" s="29" customFormat="1" ht="15" customHeight="1" x14ac:dyDescent="0.25">
      <c r="A303" s="32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  <c r="AN303" s="26"/>
      <c r="AO303" s="26"/>
      <c r="AP303" s="26"/>
      <c r="AQ303" s="26"/>
      <c r="AR303" s="26"/>
      <c r="AS303" s="26"/>
      <c r="AT303" s="26"/>
      <c r="AU303" s="26"/>
      <c r="AV303" s="26"/>
      <c r="AW303" s="26"/>
      <c r="AX303" s="26"/>
      <c r="AY303" s="26"/>
      <c r="AZ303" s="26"/>
      <c r="BA303" s="26"/>
      <c r="BB303" s="26"/>
      <c r="BC303" s="26"/>
      <c r="BD303" s="26"/>
      <c r="BE303" s="26"/>
      <c r="BF303" s="26"/>
      <c r="BG303" s="26"/>
      <c r="BH303" s="26"/>
      <c r="BI303" s="26"/>
      <c r="BJ303" s="26"/>
      <c r="BK303" s="26"/>
      <c r="BL303" s="26"/>
      <c r="BM303" s="26"/>
      <c r="BN303" s="26"/>
      <c r="BO303" s="26"/>
      <c r="BP303" s="26"/>
      <c r="BQ303" s="26"/>
      <c r="BR303" s="26"/>
      <c r="BS303" s="26"/>
      <c r="BT303" s="26"/>
      <c r="BU303" s="26"/>
      <c r="BV303" s="26"/>
      <c r="BW303" s="26"/>
      <c r="BX303" s="26"/>
      <c r="BY303" s="26"/>
      <c r="BZ303" s="26"/>
      <c r="CA303" s="26"/>
      <c r="CB303" s="26"/>
      <c r="CC303" s="26"/>
      <c r="CD303" s="26"/>
      <c r="CE303" s="26"/>
      <c r="CF303" s="26"/>
      <c r="CG303" s="26"/>
      <c r="CH303" s="26"/>
      <c r="CI303" s="26"/>
      <c r="CJ303" s="26"/>
      <c r="CK303" s="26"/>
      <c r="CL303" s="26"/>
      <c r="CM303" s="26"/>
      <c r="CN303" s="26"/>
      <c r="CO303" s="26"/>
      <c r="CP303" s="26"/>
      <c r="CQ303" s="26"/>
    </row>
    <row r="304" spans="1:95" s="29" customFormat="1" ht="15" customHeight="1" x14ac:dyDescent="0.25">
      <c r="A304" s="32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  <c r="AK304" s="26"/>
      <c r="AL304" s="26"/>
      <c r="AM304" s="26"/>
      <c r="AN304" s="26"/>
      <c r="AO304" s="26"/>
      <c r="AP304" s="26"/>
      <c r="AQ304" s="26"/>
      <c r="AR304" s="26"/>
      <c r="AS304" s="26"/>
      <c r="AT304" s="26"/>
      <c r="AU304" s="26"/>
      <c r="AV304" s="26"/>
      <c r="AW304" s="26"/>
      <c r="AX304" s="26"/>
      <c r="AY304" s="26"/>
      <c r="AZ304" s="26"/>
      <c r="BA304" s="26"/>
      <c r="BB304" s="26"/>
      <c r="BC304" s="26"/>
      <c r="BD304" s="26"/>
      <c r="BE304" s="26"/>
      <c r="BF304" s="26"/>
      <c r="BG304" s="26"/>
      <c r="BH304" s="26"/>
      <c r="BI304" s="26"/>
      <c r="BJ304" s="26"/>
      <c r="BK304" s="26"/>
      <c r="BL304" s="26"/>
      <c r="BM304" s="26"/>
      <c r="BN304" s="26"/>
      <c r="BO304" s="26"/>
      <c r="BP304" s="26"/>
      <c r="BQ304" s="26"/>
      <c r="BR304" s="26"/>
      <c r="BS304" s="26"/>
      <c r="BT304" s="26"/>
      <c r="BU304" s="26"/>
      <c r="BV304" s="26"/>
      <c r="BW304" s="26"/>
      <c r="BX304" s="26"/>
      <c r="BY304" s="26"/>
      <c r="BZ304" s="26"/>
      <c r="CA304" s="26"/>
      <c r="CB304" s="26"/>
      <c r="CC304" s="26"/>
      <c r="CD304" s="26"/>
      <c r="CE304" s="26"/>
      <c r="CF304" s="26"/>
      <c r="CG304" s="26"/>
      <c r="CH304" s="26"/>
      <c r="CI304" s="26"/>
      <c r="CJ304" s="26"/>
      <c r="CK304" s="26"/>
      <c r="CL304" s="26"/>
      <c r="CM304" s="26"/>
      <c r="CN304" s="26"/>
      <c r="CO304" s="26"/>
      <c r="CP304" s="26"/>
      <c r="CQ304" s="26"/>
    </row>
    <row r="305" spans="1:95" s="29" customFormat="1" ht="15" customHeight="1" x14ac:dyDescent="0.25">
      <c r="A305" s="32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  <c r="AP305" s="26"/>
      <c r="AQ305" s="26"/>
      <c r="AR305" s="26"/>
      <c r="AS305" s="26"/>
      <c r="AT305" s="26"/>
      <c r="AU305" s="26"/>
      <c r="AV305" s="26"/>
      <c r="AW305" s="26"/>
      <c r="AX305" s="26"/>
      <c r="AY305" s="26"/>
      <c r="AZ305" s="26"/>
      <c r="BA305" s="26"/>
      <c r="BB305" s="26"/>
      <c r="BC305" s="26"/>
      <c r="BD305" s="26"/>
      <c r="BE305" s="26"/>
      <c r="BF305" s="26"/>
      <c r="BG305" s="26"/>
      <c r="BH305" s="26"/>
      <c r="BI305" s="26"/>
      <c r="BJ305" s="26"/>
      <c r="BK305" s="26"/>
      <c r="BL305" s="26"/>
      <c r="BM305" s="26"/>
      <c r="BN305" s="26"/>
      <c r="BO305" s="26"/>
      <c r="BP305" s="26"/>
      <c r="BQ305" s="26"/>
      <c r="BR305" s="26"/>
      <c r="BS305" s="26"/>
      <c r="BT305" s="26"/>
      <c r="BU305" s="26"/>
      <c r="BV305" s="26"/>
      <c r="BW305" s="26"/>
      <c r="BX305" s="26"/>
      <c r="BY305" s="26"/>
      <c r="BZ305" s="26"/>
      <c r="CA305" s="26"/>
      <c r="CB305" s="26"/>
      <c r="CC305" s="26"/>
      <c r="CD305" s="26"/>
      <c r="CE305" s="26"/>
      <c r="CF305" s="26"/>
      <c r="CG305" s="26"/>
      <c r="CH305" s="26"/>
      <c r="CI305" s="26"/>
      <c r="CJ305" s="26"/>
      <c r="CK305" s="26"/>
      <c r="CL305" s="26"/>
      <c r="CM305" s="26"/>
      <c r="CN305" s="26"/>
      <c r="CO305" s="26"/>
      <c r="CP305" s="26"/>
      <c r="CQ305" s="26"/>
    </row>
    <row r="306" spans="1:95" s="29" customFormat="1" ht="15" customHeight="1" x14ac:dyDescent="0.25">
      <c r="A306" s="32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  <c r="AP306" s="26"/>
      <c r="AQ306" s="26"/>
      <c r="AR306" s="26"/>
      <c r="AS306" s="26"/>
      <c r="AT306" s="26"/>
      <c r="AU306" s="26"/>
      <c r="AV306" s="26"/>
      <c r="AW306" s="26"/>
      <c r="AX306" s="26"/>
      <c r="AY306" s="26"/>
      <c r="AZ306" s="26"/>
      <c r="BA306" s="26"/>
      <c r="BB306" s="26"/>
      <c r="BC306" s="26"/>
      <c r="BD306" s="26"/>
      <c r="BE306" s="26"/>
      <c r="BF306" s="26"/>
      <c r="BG306" s="26"/>
      <c r="BH306" s="26"/>
      <c r="BI306" s="26"/>
      <c r="BJ306" s="26"/>
      <c r="BK306" s="26"/>
      <c r="BL306" s="26"/>
      <c r="BM306" s="26"/>
      <c r="BN306" s="26"/>
      <c r="BO306" s="26"/>
      <c r="BP306" s="26"/>
      <c r="BQ306" s="26"/>
      <c r="BR306" s="26"/>
      <c r="BS306" s="26"/>
      <c r="BT306" s="26"/>
      <c r="BU306" s="26"/>
      <c r="BV306" s="26"/>
      <c r="BW306" s="26"/>
      <c r="BX306" s="26"/>
      <c r="BY306" s="26"/>
      <c r="BZ306" s="26"/>
      <c r="CA306" s="26"/>
      <c r="CB306" s="26"/>
      <c r="CC306" s="26"/>
      <c r="CD306" s="26"/>
      <c r="CE306" s="26"/>
      <c r="CF306" s="26"/>
      <c r="CG306" s="26"/>
      <c r="CH306" s="26"/>
      <c r="CI306" s="26"/>
      <c r="CJ306" s="26"/>
      <c r="CK306" s="26"/>
      <c r="CL306" s="26"/>
      <c r="CM306" s="26"/>
      <c r="CN306" s="26"/>
      <c r="CO306" s="26"/>
      <c r="CP306" s="26"/>
      <c r="CQ306" s="26"/>
    </row>
    <row r="307" spans="1:95" s="29" customFormat="1" ht="15" customHeight="1" x14ac:dyDescent="0.25">
      <c r="A307" s="32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  <c r="AJ307" s="26"/>
      <c r="AK307" s="26"/>
      <c r="AL307" s="26"/>
      <c r="AM307" s="26"/>
      <c r="AN307" s="26"/>
      <c r="AO307" s="26"/>
      <c r="AP307" s="26"/>
      <c r="AQ307" s="26"/>
      <c r="AR307" s="26"/>
      <c r="AS307" s="26"/>
      <c r="AT307" s="26"/>
      <c r="AU307" s="26"/>
      <c r="AV307" s="26"/>
      <c r="AW307" s="26"/>
      <c r="AX307" s="26"/>
      <c r="AY307" s="26"/>
      <c r="AZ307" s="26"/>
      <c r="BA307" s="26"/>
      <c r="BB307" s="26"/>
      <c r="BC307" s="26"/>
      <c r="BD307" s="26"/>
      <c r="BE307" s="26"/>
      <c r="BF307" s="26"/>
      <c r="BG307" s="26"/>
      <c r="BH307" s="26"/>
      <c r="BI307" s="26"/>
      <c r="BJ307" s="26"/>
      <c r="BK307" s="26"/>
      <c r="BL307" s="26"/>
      <c r="BM307" s="26"/>
      <c r="BN307" s="26"/>
      <c r="BO307" s="26"/>
      <c r="BP307" s="26"/>
      <c r="BQ307" s="26"/>
      <c r="BR307" s="26"/>
      <c r="BS307" s="26"/>
      <c r="BT307" s="26"/>
      <c r="BU307" s="26"/>
      <c r="BV307" s="26"/>
      <c r="BW307" s="26"/>
      <c r="BX307" s="26"/>
      <c r="BY307" s="26"/>
      <c r="BZ307" s="26"/>
      <c r="CA307" s="26"/>
      <c r="CB307" s="26"/>
      <c r="CC307" s="26"/>
      <c r="CD307" s="26"/>
      <c r="CE307" s="26"/>
      <c r="CF307" s="26"/>
      <c r="CG307" s="26"/>
      <c r="CH307" s="26"/>
      <c r="CI307" s="26"/>
      <c r="CJ307" s="26"/>
      <c r="CK307" s="26"/>
      <c r="CL307" s="26"/>
      <c r="CM307" s="26"/>
      <c r="CN307" s="26"/>
      <c r="CO307" s="26"/>
      <c r="CP307" s="26"/>
      <c r="CQ307" s="26"/>
    </row>
    <row r="308" spans="1:95" s="29" customFormat="1" ht="15" customHeight="1" x14ac:dyDescent="0.25">
      <c r="A308" s="32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  <c r="AJ308" s="26"/>
      <c r="AK308" s="26"/>
      <c r="AL308" s="26"/>
      <c r="AM308" s="26"/>
      <c r="AN308" s="26"/>
      <c r="AO308" s="26"/>
      <c r="AP308" s="26"/>
      <c r="AQ308" s="26"/>
      <c r="AR308" s="26"/>
      <c r="AS308" s="26"/>
      <c r="AT308" s="26"/>
      <c r="AU308" s="26"/>
      <c r="AV308" s="26"/>
      <c r="AW308" s="26"/>
      <c r="AX308" s="26"/>
      <c r="AY308" s="26"/>
      <c r="AZ308" s="26"/>
      <c r="BA308" s="26"/>
      <c r="BB308" s="26"/>
      <c r="BC308" s="26"/>
      <c r="BD308" s="26"/>
      <c r="BE308" s="26"/>
      <c r="BF308" s="26"/>
      <c r="BG308" s="26"/>
      <c r="BH308" s="26"/>
      <c r="BI308" s="26"/>
      <c r="BJ308" s="26"/>
      <c r="BK308" s="26"/>
      <c r="BL308" s="26"/>
      <c r="BM308" s="26"/>
      <c r="BN308" s="26"/>
      <c r="BO308" s="26"/>
      <c r="BP308" s="26"/>
      <c r="BQ308" s="26"/>
      <c r="BR308" s="26"/>
      <c r="BS308" s="26"/>
      <c r="BT308" s="26"/>
      <c r="BU308" s="26"/>
      <c r="BV308" s="26"/>
      <c r="BW308" s="26"/>
      <c r="BX308" s="26"/>
      <c r="BY308" s="26"/>
      <c r="BZ308" s="26"/>
      <c r="CA308" s="26"/>
      <c r="CB308" s="26"/>
      <c r="CC308" s="26"/>
      <c r="CD308" s="26"/>
      <c r="CE308" s="26"/>
      <c r="CF308" s="26"/>
      <c r="CG308" s="26"/>
      <c r="CH308" s="26"/>
      <c r="CI308" s="26"/>
      <c r="CJ308" s="26"/>
      <c r="CK308" s="26"/>
      <c r="CL308" s="26"/>
      <c r="CM308" s="26"/>
      <c r="CN308" s="26"/>
      <c r="CO308" s="26"/>
      <c r="CP308" s="26"/>
      <c r="CQ308" s="26"/>
    </row>
    <row r="309" spans="1:95" s="29" customFormat="1" ht="15" customHeight="1" x14ac:dyDescent="0.25">
      <c r="A309" s="32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/>
      <c r="AN309" s="26"/>
      <c r="AO309" s="26"/>
      <c r="AP309" s="26"/>
      <c r="AQ309" s="26"/>
      <c r="AR309" s="26"/>
      <c r="AS309" s="26"/>
      <c r="AT309" s="26"/>
      <c r="AU309" s="26"/>
      <c r="AV309" s="26"/>
      <c r="AW309" s="26"/>
      <c r="AX309" s="26"/>
      <c r="AY309" s="26"/>
      <c r="AZ309" s="26"/>
      <c r="BA309" s="26"/>
      <c r="BB309" s="26"/>
      <c r="BC309" s="26"/>
      <c r="BD309" s="26"/>
      <c r="BE309" s="26"/>
      <c r="BF309" s="26"/>
      <c r="BG309" s="26"/>
      <c r="BH309" s="26"/>
      <c r="BI309" s="26"/>
      <c r="BJ309" s="26"/>
      <c r="BK309" s="26"/>
      <c r="BL309" s="26"/>
      <c r="BM309" s="26"/>
      <c r="BN309" s="26"/>
      <c r="BO309" s="26"/>
      <c r="BP309" s="26"/>
      <c r="BQ309" s="26"/>
      <c r="BR309" s="26"/>
      <c r="BS309" s="26"/>
      <c r="BT309" s="26"/>
      <c r="BU309" s="26"/>
      <c r="BV309" s="26"/>
      <c r="BW309" s="26"/>
      <c r="BX309" s="26"/>
      <c r="BY309" s="26"/>
      <c r="BZ309" s="26"/>
      <c r="CA309" s="26"/>
      <c r="CB309" s="26"/>
      <c r="CC309" s="26"/>
      <c r="CD309" s="26"/>
      <c r="CE309" s="26"/>
      <c r="CF309" s="26"/>
      <c r="CG309" s="26"/>
      <c r="CH309" s="26"/>
      <c r="CI309" s="26"/>
      <c r="CJ309" s="26"/>
      <c r="CK309" s="26"/>
      <c r="CL309" s="26"/>
      <c r="CM309" s="26"/>
      <c r="CN309" s="26"/>
      <c r="CO309" s="26"/>
      <c r="CP309" s="26"/>
      <c r="CQ309" s="26"/>
    </row>
    <row r="310" spans="1:95" s="29" customFormat="1" ht="15" customHeight="1" x14ac:dyDescent="0.25">
      <c r="A310" s="32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  <c r="AJ310" s="26"/>
      <c r="AK310" s="26"/>
      <c r="AL310" s="26"/>
      <c r="AM310" s="26"/>
      <c r="AN310" s="26"/>
      <c r="AO310" s="26"/>
      <c r="AP310" s="26"/>
      <c r="AQ310" s="26"/>
      <c r="AR310" s="26"/>
      <c r="AS310" s="26"/>
      <c r="AT310" s="26"/>
      <c r="AU310" s="26"/>
      <c r="AV310" s="26"/>
      <c r="AW310" s="26"/>
      <c r="AX310" s="26"/>
      <c r="AY310" s="26"/>
      <c r="AZ310" s="26"/>
      <c r="BA310" s="26"/>
      <c r="BB310" s="26"/>
      <c r="BC310" s="26"/>
      <c r="BD310" s="26"/>
      <c r="BE310" s="26"/>
      <c r="BF310" s="26"/>
      <c r="BG310" s="26"/>
      <c r="BH310" s="26"/>
      <c r="BI310" s="26"/>
      <c r="BJ310" s="26"/>
      <c r="BK310" s="26"/>
      <c r="BL310" s="26"/>
      <c r="BM310" s="26"/>
      <c r="BN310" s="26"/>
      <c r="BO310" s="26"/>
      <c r="BP310" s="26"/>
      <c r="BQ310" s="26"/>
      <c r="BR310" s="26"/>
      <c r="BS310" s="26"/>
      <c r="BT310" s="26"/>
      <c r="BU310" s="26"/>
      <c r="BV310" s="26"/>
      <c r="BW310" s="26"/>
      <c r="BX310" s="26"/>
      <c r="BY310" s="26"/>
      <c r="BZ310" s="26"/>
      <c r="CA310" s="26"/>
      <c r="CB310" s="26"/>
      <c r="CC310" s="26"/>
      <c r="CD310" s="26"/>
      <c r="CE310" s="26"/>
      <c r="CF310" s="26"/>
      <c r="CG310" s="26"/>
      <c r="CH310" s="26"/>
      <c r="CI310" s="26"/>
      <c r="CJ310" s="26"/>
      <c r="CK310" s="26"/>
      <c r="CL310" s="26"/>
      <c r="CM310" s="26"/>
      <c r="CN310" s="26"/>
      <c r="CO310" s="26"/>
      <c r="CP310" s="26"/>
      <c r="CQ310" s="26"/>
    </row>
    <row r="311" spans="1:95" s="29" customFormat="1" ht="15" customHeight="1" x14ac:dyDescent="0.25">
      <c r="A311" s="32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  <c r="AJ311" s="26"/>
      <c r="AK311" s="26"/>
      <c r="AL311" s="26"/>
      <c r="AM311" s="26"/>
      <c r="AN311" s="26"/>
      <c r="AO311" s="26"/>
      <c r="AP311" s="26"/>
      <c r="AQ311" s="26"/>
      <c r="AR311" s="26"/>
      <c r="AS311" s="26"/>
      <c r="AT311" s="26"/>
      <c r="AU311" s="26"/>
      <c r="AV311" s="26"/>
      <c r="AW311" s="26"/>
      <c r="AX311" s="26"/>
      <c r="AY311" s="26"/>
      <c r="AZ311" s="26"/>
      <c r="BA311" s="26"/>
      <c r="BB311" s="26"/>
      <c r="BC311" s="26"/>
      <c r="BD311" s="26"/>
      <c r="BE311" s="26"/>
      <c r="BF311" s="26"/>
      <c r="BG311" s="26"/>
      <c r="BH311" s="26"/>
      <c r="BI311" s="26"/>
      <c r="BJ311" s="26"/>
      <c r="BK311" s="26"/>
      <c r="BL311" s="26"/>
      <c r="BM311" s="26"/>
      <c r="BN311" s="26"/>
      <c r="BO311" s="26"/>
      <c r="BP311" s="26"/>
      <c r="BQ311" s="26"/>
      <c r="BR311" s="26"/>
      <c r="BS311" s="26"/>
      <c r="BT311" s="26"/>
      <c r="BU311" s="26"/>
      <c r="BV311" s="26"/>
      <c r="BW311" s="26"/>
      <c r="BX311" s="26"/>
      <c r="BY311" s="26"/>
      <c r="BZ311" s="26"/>
      <c r="CA311" s="26"/>
      <c r="CB311" s="26"/>
      <c r="CC311" s="26"/>
      <c r="CD311" s="26"/>
      <c r="CE311" s="26"/>
      <c r="CF311" s="26"/>
      <c r="CG311" s="26"/>
      <c r="CH311" s="26"/>
      <c r="CI311" s="26"/>
      <c r="CJ311" s="26"/>
      <c r="CK311" s="26"/>
      <c r="CL311" s="26"/>
      <c r="CM311" s="26"/>
      <c r="CN311" s="26"/>
      <c r="CO311" s="26"/>
      <c r="CP311" s="26"/>
      <c r="CQ311" s="26"/>
    </row>
    <row r="312" spans="1:95" s="29" customFormat="1" ht="15" customHeight="1" x14ac:dyDescent="0.25">
      <c r="A312" s="32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  <c r="AJ312" s="26"/>
      <c r="AK312" s="26"/>
      <c r="AL312" s="26"/>
      <c r="AM312" s="26"/>
      <c r="AN312" s="26"/>
      <c r="AO312" s="26"/>
      <c r="AP312" s="26"/>
      <c r="AQ312" s="26"/>
      <c r="AR312" s="26"/>
      <c r="AS312" s="26"/>
      <c r="AT312" s="26"/>
      <c r="AU312" s="26"/>
      <c r="AV312" s="26"/>
      <c r="AW312" s="26"/>
      <c r="AX312" s="26"/>
      <c r="AY312" s="26"/>
      <c r="AZ312" s="26"/>
      <c r="BA312" s="26"/>
      <c r="BB312" s="26"/>
      <c r="BC312" s="26"/>
      <c r="BD312" s="26"/>
      <c r="BE312" s="26"/>
      <c r="BF312" s="26"/>
      <c r="BG312" s="26"/>
      <c r="BH312" s="26"/>
      <c r="BI312" s="26"/>
      <c r="BJ312" s="26"/>
      <c r="BK312" s="26"/>
      <c r="BL312" s="26"/>
      <c r="BM312" s="26"/>
      <c r="BN312" s="26"/>
      <c r="BO312" s="26"/>
      <c r="BP312" s="26"/>
      <c r="BQ312" s="26"/>
      <c r="BR312" s="26"/>
      <c r="BS312" s="26"/>
      <c r="BT312" s="26"/>
      <c r="BU312" s="26"/>
      <c r="BV312" s="26"/>
      <c r="BW312" s="26"/>
      <c r="BX312" s="26"/>
      <c r="BY312" s="26"/>
      <c r="BZ312" s="26"/>
      <c r="CA312" s="26"/>
      <c r="CB312" s="26"/>
      <c r="CC312" s="26"/>
      <c r="CD312" s="26"/>
      <c r="CE312" s="26"/>
      <c r="CF312" s="26"/>
      <c r="CG312" s="26"/>
      <c r="CH312" s="26"/>
      <c r="CI312" s="26"/>
      <c r="CJ312" s="26"/>
      <c r="CK312" s="26"/>
      <c r="CL312" s="26"/>
      <c r="CM312" s="26"/>
      <c r="CN312" s="26"/>
      <c r="CO312" s="26"/>
      <c r="CP312" s="26"/>
      <c r="CQ312" s="26"/>
    </row>
    <row r="313" spans="1:95" s="29" customFormat="1" ht="15" customHeight="1" x14ac:dyDescent="0.25">
      <c r="A313" s="32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  <c r="AI313" s="26"/>
      <c r="AJ313" s="26"/>
      <c r="AK313" s="26"/>
      <c r="AL313" s="26"/>
      <c r="AM313" s="26"/>
      <c r="AN313" s="26"/>
      <c r="AO313" s="26"/>
      <c r="AP313" s="26"/>
      <c r="AQ313" s="26"/>
      <c r="AR313" s="26"/>
      <c r="AS313" s="26"/>
      <c r="AT313" s="26"/>
      <c r="AU313" s="26"/>
      <c r="AV313" s="26"/>
      <c r="AW313" s="26"/>
      <c r="AX313" s="26"/>
      <c r="AY313" s="26"/>
      <c r="AZ313" s="26"/>
      <c r="BA313" s="26"/>
      <c r="BB313" s="26"/>
      <c r="BC313" s="26"/>
      <c r="BD313" s="26"/>
      <c r="BE313" s="26"/>
      <c r="BF313" s="26"/>
      <c r="BG313" s="26"/>
      <c r="BH313" s="26"/>
      <c r="BI313" s="26"/>
      <c r="BJ313" s="26"/>
      <c r="BK313" s="26"/>
      <c r="BL313" s="26"/>
      <c r="BM313" s="26"/>
      <c r="BN313" s="26"/>
      <c r="BO313" s="26"/>
      <c r="BP313" s="26"/>
      <c r="BQ313" s="26"/>
      <c r="BR313" s="26"/>
      <c r="BS313" s="26"/>
      <c r="BT313" s="26"/>
      <c r="BU313" s="26"/>
      <c r="BV313" s="26"/>
      <c r="BW313" s="26"/>
      <c r="BX313" s="26"/>
      <c r="BY313" s="26"/>
      <c r="BZ313" s="26"/>
      <c r="CA313" s="26"/>
      <c r="CB313" s="26"/>
      <c r="CC313" s="26"/>
      <c r="CD313" s="26"/>
      <c r="CE313" s="26"/>
      <c r="CF313" s="26"/>
      <c r="CG313" s="26"/>
      <c r="CH313" s="26"/>
      <c r="CI313" s="26"/>
      <c r="CJ313" s="26"/>
      <c r="CK313" s="26"/>
      <c r="CL313" s="26"/>
      <c r="CM313" s="26"/>
      <c r="CN313" s="26"/>
      <c r="CO313" s="26"/>
      <c r="CP313" s="26"/>
      <c r="CQ313" s="26"/>
    </row>
    <row r="314" spans="1:95" s="29" customFormat="1" ht="15" customHeight="1" x14ac:dyDescent="0.25">
      <c r="A314" s="32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  <c r="AO314" s="26"/>
      <c r="AP314" s="26"/>
      <c r="AQ314" s="26"/>
      <c r="AR314" s="26"/>
      <c r="AS314" s="26"/>
      <c r="AT314" s="26"/>
      <c r="AU314" s="26"/>
      <c r="AV314" s="26"/>
      <c r="AW314" s="26"/>
      <c r="AX314" s="26"/>
      <c r="AY314" s="26"/>
      <c r="AZ314" s="26"/>
      <c r="BA314" s="26"/>
      <c r="BB314" s="26"/>
      <c r="BC314" s="26"/>
      <c r="BD314" s="26"/>
      <c r="BE314" s="26"/>
      <c r="BF314" s="26"/>
      <c r="BG314" s="26"/>
      <c r="BH314" s="26"/>
      <c r="BI314" s="26"/>
      <c r="BJ314" s="26"/>
      <c r="BK314" s="26"/>
      <c r="BL314" s="26"/>
      <c r="BM314" s="26"/>
      <c r="BN314" s="26"/>
      <c r="BO314" s="26"/>
      <c r="BP314" s="26"/>
      <c r="BQ314" s="26"/>
      <c r="BR314" s="26"/>
      <c r="BS314" s="26"/>
      <c r="BT314" s="26"/>
      <c r="BU314" s="26"/>
      <c r="BV314" s="26"/>
      <c r="BW314" s="26"/>
      <c r="BX314" s="26"/>
      <c r="BY314" s="26"/>
      <c r="BZ314" s="26"/>
      <c r="CA314" s="26"/>
      <c r="CB314" s="26"/>
      <c r="CC314" s="26"/>
      <c r="CD314" s="26"/>
      <c r="CE314" s="26"/>
      <c r="CF314" s="26"/>
      <c r="CG314" s="26"/>
      <c r="CH314" s="26"/>
      <c r="CI314" s="26"/>
      <c r="CJ314" s="26"/>
      <c r="CK314" s="26"/>
      <c r="CL314" s="26"/>
      <c r="CM314" s="26"/>
      <c r="CN314" s="26"/>
      <c r="CO314" s="26"/>
      <c r="CP314" s="26"/>
      <c r="CQ314" s="26"/>
    </row>
    <row r="315" spans="1:95" s="29" customFormat="1" ht="15" customHeight="1" x14ac:dyDescent="0.25">
      <c r="A315" s="32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6"/>
      <c r="AO315" s="26"/>
      <c r="AP315" s="26"/>
      <c r="AQ315" s="26"/>
      <c r="AR315" s="26"/>
      <c r="AS315" s="26"/>
      <c r="AT315" s="26"/>
      <c r="AU315" s="26"/>
      <c r="AV315" s="26"/>
      <c r="AW315" s="26"/>
      <c r="AX315" s="26"/>
      <c r="AY315" s="26"/>
      <c r="AZ315" s="26"/>
      <c r="BA315" s="26"/>
      <c r="BB315" s="26"/>
      <c r="BC315" s="26"/>
      <c r="BD315" s="26"/>
      <c r="BE315" s="26"/>
      <c r="BF315" s="26"/>
      <c r="BG315" s="26"/>
      <c r="BH315" s="26"/>
      <c r="BI315" s="26"/>
      <c r="BJ315" s="26"/>
      <c r="BK315" s="26"/>
      <c r="BL315" s="26"/>
      <c r="BM315" s="26"/>
      <c r="BN315" s="26"/>
      <c r="BO315" s="26"/>
      <c r="BP315" s="26"/>
      <c r="BQ315" s="26"/>
      <c r="BR315" s="26"/>
      <c r="BS315" s="26"/>
      <c r="BT315" s="26"/>
      <c r="BU315" s="26"/>
      <c r="BV315" s="26"/>
      <c r="BW315" s="26"/>
      <c r="BX315" s="26"/>
      <c r="BY315" s="26"/>
      <c r="BZ315" s="26"/>
      <c r="CA315" s="26"/>
      <c r="CB315" s="26"/>
      <c r="CC315" s="26"/>
      <c r="CD315" s="26"/>
      <c r="CE315" s="26"/>
      <c r="CF315" s="26"/>
      <c r="CG315" s="26"/>
      <c r="CH315" s="26"/>
      <c r="CI315" s="26"/>
      <c r="CJ315" s="26"/>
      <c r="CK315" s="26"/>
      <c r="CL315" s="26"/>
      <c r="CM315" s="26"/>
      <c r="CN315" s="26"/>
      <c r="CO315" s="26"/>
      <c r="CP315" s="26"/>
      <c r="CQ315" s="26"/>
    </row>
    <row r="316" spans="1:95" s="29" customFormat="1" ht="15" customHeight="1" x14ac:dyDescent="0.25">
      <c r="A316" s="32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  <c r="AN316" s="26"/>
      <c r="AO316" s="26"/>
      <c r="AP316" s="26"/>
      <c r="AQ316" s="26"/>
      <c r="AR316" s="26"/>
      <c r="AS316" s="26"/>
      <c r="AT316" s="26"/>
      <c r="AU316" s="26"/>
      <c r="AV316" s="26"/>
      <c r="AW316" s="26"/>
      <c r="AX316" s="26"/>
      <c r="AY316" s="26"/>
      <c r="AZ316" s="26"/>
      <c r="BA316" s="26"/>
      <c r="BB316" s="26"/>
      <c r="BC316" s="26"/>
      <c r="BD316" s="26"/>
      <c r="BE316" s="26"/>
      <c r="BF316" s="26"/>
      <c r="BG316" s="26"/>
      <c r="BH316" s="26"/>
      <c r="BI316" s="26"/>
      <c r="BJ316" s="26"/>
      <c r="BK316" s="26"/>
      <c r="BL316" s="26"/>
      <c r="BM316" s="26"/>
      <c r="BN316" s="26"/>
      <c r="BO316" s="26"/>
      <c r="BP316" s="26"/>
      <c r="BQ316" s="26"/>
      <c r="BR316" s="26"/>
      <c r="BS316" s="26"/>
      <c r="BT316" s="26"/>
      <c r="BU316" s="26"/>
      <c r="BV316" s="26"/>
      <c r="BW316" s="26"/>
      <c r="BX316" s="26"/>
      <c r="BY316" s="26"/>
      <c r="BZ316" s="26"/>
      <c r="CA316" s="26"/>
      <c r="CB316" s="26"/>
      <c r="CC316" s="26"/>
      <c r="CD316" s="26"/>
      <c r="CE316" s="26"/>
      <c r="CF316" s="26"/>
      <c r="CG316" s="26"/>
      <c r="CH316" s="26"/>
      <c r="CI316" s="26"/>
      <c r="CJ316" s="26"/>
      <c r="CK316" s="26"/>
      <c r="CL316" s="26"/>
      <c r="CM316" s="26"/>
      <c r="CN316" s="26"/>
      <c r="CO316" s="26"/>
      <c r="CP316" s="26"/>
      <c r="CQ316" s="26"/>
    </row>
    <row r="317" spans="1:95" s="29" customFormat="1" ht="15" customHeight="1" x14ac:dyDescent="0.25">
      <c r="A317" s="32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  <c r="AJ317" s="26"/>
      <c r="AK317" s="26"/>
      <c r="AL317" s="26"/>
      <c r="AM317" s="26"/>
      <c r="AN317" s="26"/>
      <c r="AO317" s="26"/>
      <c r="AP317" s="26"/>
      <c r="AQ317" s="26"/>
      <c r="AR317" s="26"/>
      <c r="AS317" s="26"/>
      <c r="AT317" s="26"/>
      <c r="AU317" s="26"/>
      <c r="AV317" s="26"/>
      <c r="AW317" s="26"/>
      <c r="AX317" s="26"/>
      <c r="AY317" s="26"/>
      <c r="AZ317" s="26"/>
      <c r="BA317" s="26"/>
      <c r="BB317" s="26"/>
      <c r="BC317" s="26"/>
      <c r="BD317" s="26"/>
      <c r="BE317" s="26"/>
      <c r="BF317" s="26"/>
      <c r="BG317" s="26"/>
      <c r="BH317" s="26"/>
      <c r="BI317" s="26"/>
      <c r="BJ317" s="26"/>
      <c r="BK317" s="26"/>
      <c r="BL317" s="26"/>
      <c r="BM317" s="26"/>
      <c r="BN317" s="26"/>
      <c r="BO317" s="26"/>
      <c r="BP317" s="26"/>
      <c r="BQ317" s="26"/>
      <c r="BR317" s="26"/>
      <c r="BS317" s="26"/>
      <c r="BT317" s="26"/>
      <c r="BU317" s="26"/>
      <c r="BV317" s="26"/>
      <c r="BW317" s="26"/>
      <c r="BX317" s="26"/>
      <c r="BY317" s="26"/>
      <c r="BZ317" s="26"/>
      <c r="CA317" s="26"/>
      <c r="CB317" s="26"/>
      <c r="CC317" s="26"/>
      <c r="CD317" s="26"/>
      <c r="CE317" s="26"/>
      <c r="CF317" s="26"/>
      <c r="CG317" s="26"/>
      <c r="CH317" s="26"/>
      <c r="CI317" s="26"/>
      <c r="CJ317" s="26"/>
      <c r="CK317" s="26"/>
      <c r="CL317" s="26"/>
      <c r="CM317" s="26"/>
      <c r="CN317" s="26"/>
      <c r="CO317" s="26"/>
      <c r="CP317" s="26"/>
      <c r="CQ317" s="26"/>
    </row>
    <row r="318" spans="1:95" s="29" customFormat="1" ht="15" customHeight="1" x14ac:dyDescent="0.25">
      <c r="A318" s="32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  <c r="AN318" s="26"/>
      <c r="AO318" s="26"/>
      <c r="AP318" s="26"/>
      <c r="AQ318" s="26"/>
      <c r="AR318" s="26"/>
      <c r="AS318" s="26"/>
      <c r="AT318" s="26"/>
      <c r="AU318" s="26"/>
      <c r="AV318" s="26"/>
      <c r="AW318" s="26"/>
      <c r="AX318" s="26"/>
      <c r="AY318" s="26"/>
      <c r="AZ318" s="26"/>
      <c r="BA318" s="26"/>
      <c r="BB318" s="26"/>
      <c r="BC318" s="26"/>
      <c r="BD318" s="26"/>
      <c r="BE318" s="26"/>
      <c r="BF318" s="26"/>
      <c r="BG318" s="26"/>
      <c r="BH318" s="26"/>
      <c r="BI318" s="26"/>
      <c r="BJ318" s="26"/>
      <c r="BK318" s="26"/>
      <c r="BL318" s="26"/>
      <c r="BM318" s="26"/>
      <c r="BN318" s="26"/>
      <c r="BO318" s="26"/>
      <c r="BP318" s="26"/>
      <c r="BQ318" s="26"/>
      <c r="BR318" s="26"/>
      <c r="BS318" s="26"/>
      <c r="BT318" s="26"/>
      <c r="BU318" s="26"/>
      <c r="BV318" s="26"/>
      <c r="BW318" s="26"/>
      <c r="BX318" s="26"/>
      <c r="BY318" s="26"/>
      <c r="BZ318" s="26"/>
      <c r="CA318" s="26"/>
      <c r="CB318" s="26"/>
      <c r="CC318" s="26"/>
      <c r="CD318" s="26"/>
      <c r="CE318" s="26"/>
      <c r="CF318" s="26"/>
      <c r="CG318" s="26"/>
      <c r="CH318" s="26"/>
      <c r="CI318" s="26"/>
      <c r="CJ318" s="26"/>
      <c r="CK318" s="26"/>
      <c r="CL318" s="26"/>
      <c r="CM318" s="26"/>
      <c r="CN318" s="26"/>
      <c r="CO318" s="26"/>
      <c r="CP318" s="26"/>
      <c r="CQ318" s="26"/>
    </row>
    <row r="319" spans="1:95" s="29" customFormat="1" ht="15" customHeight="1" x14ac:dyDescent="0.25">
      <c r="A319" s="32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  <c r="AJ319" s="26"/>
      <c r="AK319" s="26"/>
      <c r="AL319" s="26"/>
      <c r="AM319" s="26"/>
      <c r="AN319" s="26"/>
      <c r="AO319" s="26"/>
      <c r="AP319" s="26"/>
      <c r="AQ319" s="26"/>
      <c r="AR319" s="26"/>
      <c r="AS319" s="26"/>
      <c r="AT319" s="26"/>
      <c r="AU319" s="26"/>
      <c r="AV319" s="26"/>
      <c r="AW319" s="26"/>
      <c r="AX319" s="26"/>
      <c r="AY319" s="26"/>
      <c r="AZ319" s="26"/>
      <c r="BA319" s="26"/>
      <c r="BB319" s="26"/>
      <c r="BC319" s="26"/>
      <c r="BD319" s="26"/>
      <c r="BE319" s="26"/>
      <c r="BF319" s="26"/>
      <c r="BG319" s="26"/>
      <c r="BH319" s="26"/>
      <c r="BI319" s="26"/>
      <c r="BJ319" s="26"/>
      <c r="BK319" s="26"/>
      <c r="BL319" s="26"/>
      <c r="BM319" s="26"/>
      <c r="BN319" s="26"/>
      <c r="BO319" s="26"/>
      <c r="BP319" s="26"/>
      <c r="BQ319" s="26"/>
      <c r="BR319" s="26"/>
      <c r="BS319" s="26"/>
      <c r="BT319" s="26"/>
      <c r="BU319" s="26"/>
      <c r="BV319" s="26"/>
      <c r="BW319" s="26"/>
      <c r="BX319" s="26"/>
      <c r="BY319" s="26"/>
      <c r="BZ319" s="26"/>
      <c r="CA319" s="26"/>
      <c r="CB319" s="26"/>
      <c r="CC319" s="26"/>
      <c r="CD319" s="26"/>
      <c r="CE319" s="26"/>
      <c r="CF319" s="26"/>
      <c r="CG319" s="26"/>
      <c r="CH319" s="26"/>
      <c r="CI319" s="26"/>
      <c r="CJ319" s="26"/>
      <c r="CK319" s="26"/>
      <c r="CL319" s="26"/>
      <c r="CM319" s="26"/>
      <c r="CN319" s="26"/>
      <c r="CO319" s="26"/>
      <c r="CP319" s="26"/>
      <c r="CQ319" s="26"/>
    </row>
    <row r="320" spans="1:95" s="29" customFormat="1" ht="15" customHeight="1" x14ac:dyDescent="0.25">
      <c r="A320" s="32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  <c r="AM320" s="26"/>
      <c r="AN320" s="26"/>
      <c r="AO320" s="26"/>
      <c r="AP320" s="26"/>
      <c r="AQ320" s="26"/>
      <c r="AR320" s="26"/>
      <c r="AS320" s="26"/>
      <c r="AT320" s="26"/>
      <c r="AU320" s="26"/>
      <c r="AV320" s="26"/>
      <c r="AW320" s="26"/>
      <c r="AX320" s="26"/>
      <c r="AY320" s="26"/>
      <c r="AZ320" s="26"/>
      <c r="BA320" s="26"/>
      <c r="BB320" s="26"/>
      <c r="BC320" s="26"/>
      <c r="BD320" s="26"/>
      <c r="BE320" s="26"/>
      <c r="BF320" s="26"/>
      <c r="BG320" s="26"/>
      <c r="BH320" s="26"/>
      <c r="BI320" s="26"/>
      <c r="BJ320" s="26"/>
      <c r="BK320" s="26"/>
      <c r="BL320" s="26"/>
      <c r="BM320" s="26"/>
      <c r="BN320" s="26"/>
      <c r="BO320" s="26"/>
      <c r="BP320" s="26"/>
      <c r="BQ320" s="26"/>
      <c r="BR320" s="26"/>
      <c r="BS320" s="26"/>
      <c r="BT320" s="26"/>
      <c r="BU320" s="26"/>
      <c r="BV320" s="26"/>
      <c r="BW320" s="26"/>
      <c r="BX320" s="26"/>
      <c r="BY320" s="26"/>
      <c r="BZ320" s="26"/>
      <c r="CA320" s="26"/>
      <c r="CB320" s="26"/>
      <c r="CC320" s="26"/>
      <c r="CD320" s="26"/>
      <c r="CE320" s="26"/>
      <c r="CF320" s="26"/>
      <c r="CG320" s="26"/>
      <c r="CH320" s="26"/>
      <c r="CI320" s="26"/>
      <c r="CJ320" s="26"/>
      <c r="CK320" s="26"/>
      <c r="CL320" s="26"/>
      <c r="CM320" s="26"/>
      <c r="CN320" s="26"/>
      <c r="CO320" s="26"/>
      <c r="CP320" s="26"/>
      <c r="CQ320" s="26"/>
    </row>
    <row r="321" spans="1:95" s="29" customFormat="1" ht="15" customHeight="1" x14ac:dyDescent="0.25">
      <c r="A321" s="32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26"/>
      <c r="AL321" s="26"/>
      <c r="AM321" s="26"/>
      <c r="AN321" s="26"/>
      <c r="AO321" s="26"/>
      <c r="AP321" s="26"/>
      <c r="AQ321" s="26"/>
      <c r="AR321" s="26"/>
      <c r="AS321" s="26"/>
      <c r="AT321" s="26"/>
      <c r="AU321" s="26"/>
      <c r="AV321" s="26"/>
      <c r="AW321" s="26"/>
      <c r="AX321" s="26"/>
      <c r="AY321" s="26"/>
      <c r="AZ321" s="26"/>
      <c r="BA321" s="26"/>
      <c r="BB321" s="26"/>
      <c r="BC321" s="26"/>
      <c r="BD321" s="26"/>
      <c r="BE321" s="26"/>
      <c r="BF321" s="26"/>
      <c r="BG321" s="26"/>
      <c r="BH321" s="26"/>
      <c r="BI321" s="26"/>
      <c r="BJ321" s="26"/>
      <c r="BK321" s="26"/>
      <c r="BL321" s="26"/>
      <c r="BM321" s="26"/>
      <c r="BN321" s="26"/>
      <c r="BO321" s="26"/>
      <c r="BP321" s="26"/>
      <c r="BQ321" s="26"/>
      <c r="BR321" s="26"/>
      <c r="BS321" s="26"/>
      <c r="BT321" s="26"/>
      <c r="BU321" s="26"/>
      <c r="BV321" s="26"/>
      <c r="BW321" s="26"/>
      <c r="BX321" s="26"/>
      <c r="BY321" s="26"/>
      <c r="BZ321" s="26"/>
      <c r="CA321" s="26"/>
      <c r="CB321" s="26"/>
      <c r="CC321" s="26"/>
      <c r="CD321" s="26"/>
      <c r="CE321" s="26"/>
      <c r="CF321" s="26"/>
      <c r="CG321" s="26"/>
      <c r="CH321" s="26"/>
      <c r="CI321" s="26"/>
      <c r="CJ321" s="26"/>
      <c r="CK321" s="26"/>
      <c r="CL321" s="26"/>
      <c r="CM321" s="26"/>
      <c r="CN321" s="26"/>
      <c r="CO321" s="26"/>
      <c r="CP321" s="26"/>
      <c r="CQ321" s="26"/>
    </row>
    <row r="322" spans="1:95" s="29" customFormat="1" ht="15" customHeight="1" x14ac:dyDescent="0.25">
      <c r="A322" s="32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26"/>
      <c r="AL322" s="26"/>
      <c r="AM322" s="26"/>
      <c r="AN322" s="26"/>
      <c r="AO322" s="26"/>
      <c r="AP322" s="26"/>
      <c r="AQ322" s="26"/>
      <c r="AR322" s="26"/>
      <c r="AS322" s="26"/>
      <c r="AT322" s="26"/>
      <c r="AU322" s="26"/>
      <c r="AV322" s="26"/>
      <c r="AW322" s="26"/>
      <c r="AX322" s="26"/>
      <c r="AY322" s="26"/>
      <c r="AZ322" s="26"/>
      <c r="BA322" s="26"/>
      <c r="BB322" s="26"/>
      <c r="BC322" s="26"/>
      <c r="BD322" s="26"/>
      <c r="BE322" s="26"/>
      <c r="BF322" s="26"/>
      <c r="BG322" s="26"/>
      <c r="BH322" s="26"/>
      <c r="BI322" s="26"/>
      <c r="BJ322" s="26"/>
      <c r="BK322" s="26"/>
      <c r="BL322" s="26"/>
      <c r="BM322" s="26"/>
      <c r="BN322" s="26"/>
      <c r="BO322" s="26"/>
      <c r="BP322" s="26"/>
      <c r="BQ322" s="26"/>
      <c r="BR322" s="26"/>
      <c r="BS322" s="26"/>
      <c r="BT322" s="26"/>
      <c r="BU322" s="26"/>
      <c r="BV322" s="26"/>
      <c r="BW322" s="26"/>
      <c r="BX322" s="26"/>
      <c r="BY322" s="26"/>
      <c r="BZ322" s="26"/>
      <c r="CA322" s="26"/>
      <c r="CB322" s="26"/>
      <c r="CC322" s="26"/>
      <c r="CD322" s="26"/>
      <c r="CE322" s="26"/>
      <c r="CF322" s="26"/>
      <c r="CG322" s="26"/>
      <c r="CH322" s="26"/>
      <c r="CI322" s="26"/>
      <c r="CJ322" s="26"/>
      <c r="CK322" s="26"/>
      <c r="CL322" s="26"/>
      <c r="CM322" s="26"/>
      <c r="CN322" s="26"/>
      <c r="CO322" s="26"/>
      <c r="CP322" s="26"/>
      <c r="CQ322" s="26"/>
    </row>
    <row r="323" spans="1:95" s="29" customFormat="1" ht="15" customHeight="1" x14ac:dyDescent="0.25">
      <c r="A323" s="32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  <c r="AN323" s="26"/>
      <c r="AO323" s="26"/>
      <c r="AP323" s="26"/>
      <c r="AQ323" s="26"/>
      <c r="AR323" s="26"/>
      <c r="AS323" s="26"/>
      <c r="AT323" s="26"/>
      <c r="AU323" s="26"/>
      <c r="AV323" s="26"/>
      <c r="AW323" s="26"/>
      <c r="AX323" s="26"/>
      <c r="AY323" s="26"/>
      <c r="AZ323" s="26"/>
      <c r="BA323" s="26"/>
      <c r="BB323" s="26"/>
      <c r="BC323" s="26"/>
      <c r="BD323" s="26"/>
      <c r="BE323" s="26"/>
      <c r="BF323" s="26"/>
      <c r="BG323" s="26"/>
      <c r="BH323" s="26"/>
      <c r="BI323" s="26"/>
      <c r="BJ323" s="26"/>
      <c r="BK323" s="26"/>
      <c r="BL323" s="26"/>
      <c r="BM323" s="26"/>
      <c r="BN323" s="26"/>
      <c r="BO323" s="26"/>
      <c r="BP323" s="26"/>
      <c r="BQ323" s="26"/>
      <c r="BR323" s="26"/>
      <c r="BS323" s="26"/>
      <c r="BT323" s="26"/>
      <c r="BU323" s="26"/>
      <c r="BV323" s="26"/>
      <c r="BW323" s="26"/>
      <c r="BX323" s="26"/>
      <c r="BY323" s="26"/>
      <c r="BZ323" s="26"/>
      <c r="CA323" s="26"/>
      <c r="CB323" s="26"/>
      <c r="CC323" s="26"/>
      <c r="CD323" s="26"/>
      <c r="CE323" s="26"/>
      <c r="CF323" s="26"/>
      <c r="CG323" s="26"/>
      <c r="CH323" s="26"/>
      <c r="CI323" s="26"/>
      <c r="CJ323" s="26"/>
      <c r="CK323" s="26"/>
      <c r="CL323" s="26"/>
      <c r="CM323" s="26"/>
      <c r="CN323" s="26"/>
      <c r="CO323" s="26"/>
      <c r="CP323" s="26"/>
      <c r="CQ323" s="26"/>
    </row>
    <row r="324" spans="1:95" s="29" customFormat="1" ht="15" customHeight="1" x14ac:dyDescent="0.25">
      <c r="A324" s="32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  <c r="AK324" s="26"/>
      <c r="AL324" s="26"/>
      <c r="AM324" s="26"/>
      <c r="AN324" s="26"/>
      <c r="AO324" s="26"/>
      <c r="AP324" s="26"/>
      <c r="AQ324" s="26"/>
      <c r="AR324" s="26"/>
      <c r="AS324" s="26"/>
      <c r="AT324" s="26"/>
      <c r="AU324" s="26"/>
      <c r="AV324" s="26"/>
      <c r="AW324" s="26"/>
      <c r="AX324" s="26"/>
      <c r="AY324" s="26"/>
      <c r="AZ324" s="26"/>
      <c r="BA324" s="26"/>
      <c r="BB324" s="26"/>
      <c r="BC324" s="26"/>
      <c r="BD324" s="26"/>
      <c r="BE324" s="26"/>
      <c r="BF324" s="26"/>
      <c r="BG324" s="26"/>
      <c r="BH324" s="26"/>
      <c r="BI324" s="26"/>
      <c r="BJ324" s="26"/>
      <c r="BK324" s="26"/>
      <c r="BL324" s="26"/>
      <c r="BM324" s="26"/>
      <c r="BN324" s="26"/>
      <c r="BO324" s="26"/>
      <c r="BP324" s="26"/>
      <c r="BQ324" s="26"/>
      <c r="BR324" s="26"/>
      <c r="BS324" s="26"/>
      <c r="BT324" s="26"/>
      <c r="BU324" s="26"/>
      <c r="BV324" s="26"/>
      <c r="BW324" s="26"/>
      <c r="BX324" s="26"/>
      <c r="BY324" s="26"/>
      <c r="BZ324" s="26"/>
      <c r="CA324" s="26"/>
      <c r="CB324" s="26"/>
      <c r="CC324" s="26"/>
      <c r="CD324" s="26"/>
      <c r="CE324" s="26"/>
      <c r="CF324" s="26"/>
      <c r="CG324" s="26"/>
      <c r="CH324" s="26"/>
      <c r="CI324" s="26"/>
      <c r="CJ324" s="26"/>
      <c r="CK324" s="26"/>
      <c r="CL324" s="26"/>
      <c r="CM324" s="26"/>
      <c r="CN324" s="26"/>
      <c r="CO324" s="26"/>
      <c r="CP324" s="26"/>
      <c r="CQ324" s="26"/>
    </row>
    <row r="325" spans="1:95" s="29" customFormat="1" ht="15" customHeight="1" x14ac:dyDescent="0.25">
      <c r="A325" s="32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  <c r="AM325" s="26"/>
      <c r="AN325" s="26"/>
      <c r="AO325" s="26"/>
      <c r="AP325" s="26"/>
      <c r="AQ325" s="26"/>
      <c r="AR325" s="26"/>
      <c r="AS325" s="26"/>
      <c r="AT325" s="26"/>
      <c r="AU325" s="26"/>
      <c r="AV325" s="26"/>
      <c r="AW325" s="26"/>
      <c r="AX325" s="26"/>
      <c r="AY325" s="26"/>
      <c r="AZ325" s="26"/>
      <c r="BA325" s="26"/>
      <c r="BB325" s="26"/>
      <c r="BC325" s="26"/>
      <c r="BD325" s="26"/>
      <c r="BE325" s="26"/>
      <c r="BF325" s="26"/>
      <c r="BG325" s="26"/>
      <c r="BH325" s="26"/>
      <c r="BI325" s="26"/>
      <c r="BJ325" s="26"/>
      <c r="BK325" s="26"/>
      <c r="BL325" s="26"/>
      <c r="BM325" s="26"/>
      <c r="BN325" s="26"/>
      <c r="BO325" s="26"/>
      <c r="BP325" s="26"/>
      <c r="BQ325" s="26"/>
      <c r="BR325" s="26"/>
      <c r="BS325" s="26"/>
      <c r="BT325" s="26"/>
      <c r="BU325" s="26"/>
      <c r="BV325" s="26"/>
      <c r="BW325" s="26"/>
      <c r="BX325" s="26"/>
      <c r="BY325" s="26"/>
      <c r="BZ325" s="26"/>
      <c r="CA325" s="26"/>
      <c r="CB325" s="26"/>
      <c r="CC325" s="26"/>
      <c r="CD325" s="26"/>
      <c r="CE325" s="26"/>
      <c r="CF325" s="26"/>
      <c r="CG325" s="26"/>
      <c r="CH325" s="26"/>
      <c r="CI325" s="26"/>
      <c r="CJ325" s="26"/>
      <c r="CK325" s="26"/>
      <c r="CL325" s="26"/>
      <c r="CM325" s="26"/>
      <c r="CN325" s="26"/>
      <c r="CO325" s="26"/>
      <c r="CP325" s="26"/>
      <c r="CQ325" s="26"/>
    </row>
    <row r="326" spans="1:95" s="29" customFormat="1" ht="15" customHeight="1" x14ac:dyDescent="0.25">
      <c r="A326" s="32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  <c r="AO326" s="26"/>
      <c r="AP326" s="26"/>
      <c r="AQ326" s="26"/>
      <c r="AR326" s="26"/>
      <c r="AS326" s="26"/>
      <c r="AT326" s="26"/>
      <c r="AU326" s="26"/>
      <c r="AV326" s="26"/>
      <c r="AW326" s="26"/>
      <c r="AX326" s="26"/>
      <c r="AY326" s="26"/>
      <c r="AZ326" s="26"/>
      <c r="BA326" s="26"/>
      <c r="BB326" s="26"/>
      <c r="BC326" s="26"/>
      <c r="BD326" s="26"/>
      <c r="BE326" s="26"/>
      <c r="BF326" s="26"/>
      <c r="BG326" s="26"/>
      <c r="BH326" s="26"/>
      <c r="BI326" s="26"/>
      <c r="BJ326" s="26"/>
      <c r="BK326" s="26"/>
      <c r="BL326" s="26"/>
      <c r="BM326" s="26"/>
      <c r="BN326" s="26"/>
      <c r="BO326" s="26"/>
      <c r="BP326" s="26"/>
      <c r="BQ326" s="26"/>
      <c r="BR326" s="26"/>
      <c r="BS326" s="26"/>
      <c r="BT326" s="26"/>
      <c r="BU326" s="26"/>
      <c r="BV326" s="26"/>
      <c r="BW326" s="26"/>
      <c r="BX326" s="26"/>
      <c r="BY326" s="26"/>
      <c r="BZ326" s="26"/>
      <c r="CA326" s="26"/>
      <c r="CB326" s="26"/>
      <c r="CC326" s="26"/>
      <c r="CD326" s="26"/>
      <c r="CE326" s="26"/>
      <c r="CF326" s="26"/>
      <c r="CG326" s="26"/>
      <c r="CH326" s="26"/>
      <c r="CI326" s="26"/>
      <c r="CJ326" s="26"/>
      <c r="CK326" s="26"/>
      <c r="CL326" s="26"/>
      <c r="CM326" s="26"/>
      <c r="CN326" s="26"/>
      <c r="CO326" s="26"/>
      <c r="CP326" s="26"/>
      <c r="CQ326" s="26"/>
    </row>
    <row r="327" spans="1:95" s="29" customFormat="1" ht="15" customHeight="1" x14ac:dyDescent="0.25">
      <c r="A327" s="32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  <c r="AJ327" s="26"/>
      <c r="AK327" s="26"/>
      <c r="AL327" s="26"/>
      <c r="AM327" s="26"/>
      <c r="AN327" s="26"/>
      <c r="AO327" s="26"/>
      <c r="AP327" s="26"/>
      <c r="AQ327" s="26"/>
      <c r="AR327" s="26"/>
      <c r="AS327" s="26"/>
      <c r="AT327" s="26"/>
      <c r="AU327" s="26"/>
      <c r="AV327" s="26"/>
      <c r="AW327" s="26"/>
      <c r="AX327" s="26"/>
      <c r="AY327" s="26"/>
      <c r="AZ327" s="26"/>
      <c r="BA327" s="26"/>
      <c r="BB327" s="26"/>
      <c r="BC327" s="26"/>
      <c r="BD327" s="26"/>
      <c r="BE327" s="26"/>
      <c r="BF327" s="26"/>
      <c r="BG327" s="26"/>
      <c r="BH327" s="26"/>
      <c r="BI327" s="26"/>
      <c r="BJ327" s="26"/>
      <c r="BK327" s="26"/>
      <c r="BL327" s="26"/>
      <c r="BM327" s="26"/>
      <c r="BN327" s="26"/>
      <c r="BO327" s="26"/>
      <c r="BP327" s="26"/>
      <c r="BQ327" s="26"/>
      <c r="BR327" s="26"/>
      <c r="BS327" s="26"/>
      <c r="BT327" s="26"/>
      <c r="BU327" s="26"/>
      <c r="BV327" s="26"/>
      <c r="BW327" s="26"/>
      <c r="BX327" s="26"/>
      <c r="BY327" s="26"/>
      <c r="BZ327" s="26"/>
      <c r="CA327" s="26"/>
      <c r="CB327" s="26"/>
      <c r="CC327" s="26"/>
      <c r="CD327" s="26"/>
      <c r="CE327" s="26"/>
      <c r="CF327" s="26"/>
      <c r="CG327" s="26"/>
      <c r="CH327" s="26"/>
      <c r="CI327" s="26"/>
      <c r="CJ327" s="26"/>
      <c r="CK327" s="26"/>
      <c r="CL327" s="26"/>
      <c r="CM327" s="26"/>
      <c r="CN327" s="26"/>
      <c r="CO327" s="26"/>
      <c r="CP327" s="26"/>
      <c r="CQ327" s="26"/>
    </row>
    <row r="328" spans="1:95" s="29" customFormat="1" ht="15" customHeight="1" x14ac:dyDescent="0.25">
      <c r="A328" s="32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  <c r="AJ328" s="26"/>
      <c r="AK328" s="26"/>
      <c r="AL328" s="26"/>
      <c r="AM328" s="26"/>
      <c r="AN328" s="26"/>
      <c r="AO328" s="26"/>
      <c r="AP328" s="26"/>
      <c r="AQ328" s="26"/>
      <c r="AR328" s="26"/>
      <c r="AS328" s="26"/>
      <c r="AT328" s="26"/>
      <c r="AU328" s="26"/>
      <c r="AV328" s="26"/>
      <c r="AW328" s="26"/>
      <c r="AX328" s="26"/>
      <c r="AY328" s="26"/>
      <c r="AZ328" s="26"/>
      <c r="BA328" s="26"/>
      <c r="BB328" s="26"/>
      <c r="BC328" s="26"/>
      <c r="BD328" s="26"/>
      <c r="BE328" s="26"/>
      <c r="BF328" s="26"/>
      <c r="BG328" s="26"/>
      <c r="BH328" s="26"/>
      <c r="BI328" s="26"/>
      <c r="BJ328" s="26"/>
      <c r="BK328" s="26"/>
      <c r="BL328" s="26"/>
      <c r="BM328" s="26"/>
      <c r="BN328" s="26"/>
      <c r="BO328" s="26"/>
      <c r="BP328" s="26"/>
      <c r="BQ328" s="26"/>
      <c r="BR328" s="26"/>
      <c r="BS328" s="26"/>
      <c r="BT328" s="26"/>
      <c r="BU328" s="26"/>
      <c r="BV328" s="26"/>
      <c r="BW328" s="26"/>
      <c r="BX328" s="26"/>
      <c r="BY328" s="26"/>
      <c r="BZ328" s="26"/>
      <c r="CA328" s="26"/>
      <c r="CB328" s="26"/>
      <c r="CC328" s="26"/>
      <c r="CD328" s="26"/>
      <c r="CE328" s="26"/>
      <c r="CF328" s="26"/>
      <c r="CG328" s="26"/>
      <c r="CH328" s="26"/>
      <c r="CI328" s="26"/>
      <c r="CJ328" s="26"/>
      <c r="CK328" s="26"/>
      <c r="CL328" s="26"/>
      <c r="CM328" s="26"/>
      <c r="CN328" s="26"/>
      <c r="CO328" s="26"/>
      <c r="CP328" s="26"/>
      <c r="CQ328" s="26"/>
    </row>
    <row r="329" spans="1:95" s="29" customFormat="1" ht="15" customHeight="1" x14ac:dyDescent="0.25">
      <c r="A329" s="32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  <c r="AJ329" s="26"/>
      <c r="AK329" s="26"/>
      <c r="AL329" s="26"/>
      <c r="AM329" s="26"/>
      <c r="AN329" s="26"/>
      <c r="AO329" s="26"/>
      <c r="AP329" s="26"/>
      <c r="AQ329" s="26"/>
      <c r="AR329" s="26"/>
      <c r="AS329" s="26"/>
      <c r="AT329" s="26"/>
      <c r="AU329" s="26"/>
      <c r="AV329" s="26"/>
      <c r="AW329" s="26"/>
      <c r="AX329" s="26"/>
      <c r="AY329" s="26"/>
      <c r="AZ329" s="26"/>
      <c r="BA329" s="26"/>
      <c r="BB329" s="26"/>
      <c r="BC329" s="26"/>
      <c r="BD329" s="26"/>
      <c r="BE329" s="26"/>
      <c r="BF329" s="26"/>
      <c r="BG329" s="26"/>
      <c r="BH329" s="26"/>
      <c r="BI329" s="26"/>
      <c r="BJ329" s="26"/>
      <c r="BK329" s="26"/>
      <c r="BL329" s="26"/>
      <c r="BM329" s="26"/>
      <c r="BN329" s="26"/>
      <c r="BO329" s="26"/>
      <c r="BP329" s="26"/>
      <c r="BQ329" s="26"/>
      <c r="BR329" s="26"/>
      <c r="BS329" s="26"/>
      <c r="BT329" s="26"/>
      <c r="BU329" s="26"/>
      <c r="BV329" s="26"/>
      <c r="BW329" s="26"/>
      <c r="BX329" s="26"/>
      <c r="BY329" s="26"/>
      <c r="BZ329" s="26"/>
      <c r="CA329" s="26"/>
      <c r="CB329" s="26"/>
      <c r="CC329" s="26"/>
      <c r="CD329" s="26"/>
      <c r="CE329" s="26"/>
      <c r="CF329" s="26"/>
      <c r="CG329" s="26"/>
      <c r="CH329" s="26"/>
      <c r="CI329" s="26"/>
      <c r="CJ329" s="26"/>
      <c r="CK329" s="26"/>
      <c r="CL329" s="26"/>
      <c r="CM329" s="26"/>
      <c r="CN329" s="26"/>
      <c r="CO329" s="26"/>
      <c r="CP329" s="26"/>
      <c r="CQ329" s="26"/>
    </row>
    <row r="330" spans="1:95" s="29" customFormat="1" ht="15" customHeight="1" x14ac:dyDescent="0.25">
      <c r="A330" s="32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/>
      <c r="AL330" s="26"/>
      <c r="AM330" s="26"/>
      <c r="AN330" s="26"/>
      <c r="AO330" s="26"/>
      <c r="AP330" s="26"/>
      <c r="AQ330" s="26"/>
      <c r="AR330" s="26"/>
      <c r="AS330" s="26"/>
      <c r="AT330" s="26"/>
      <c r="AU330" s="26"/>
      <c r="AV330" s="26"/>
      <c r="AW330" s="26"/>
      <c r="AX330" s="26"/>
      <c r="AY330" s="26"/>
      <c r="AZ330" s="26"/>
      <c r="BA330" s="26"/>
      <c r="BB330" s="26"/>
      <c r="BC330" s="26"/>
      <c r="BD330" s="26"/>
      <c r="BE330" s="26"/>
      <c r="BF330" s="26"/>
      <c r="BG330" s="26"/>
      <c r="BH330" s="26"/>
      <c r="BI330" s="26"/>
      <c r="BJ330" s="26"/>
      <c r="BK330" s="26"/>
      <c r="BL330" s="26"/>
      <c r="BM330" s="26"/>
      <c r="BN330" s="26"/>
      <c r="BO330" s="26"/>
      <c r="BP330" s="26"/>
      <c r="BQ330" s="26"/>
      <c r="BR330" s="26"/>
      <c r="BS330" s="26"/>
      <c r="BT330" s="26"/>
      <c r="BU330" s="26"/>
      <c r="BV330" s="26"/>
      <c r="BW330" s="26"/>
      <c r="BX330" s="26"/>
      <c r="BY330" s="26"/>
      <c r="BZ330" s="26"/>
      <c r="CA330" s="26"/>
      <c r="CB330" s="26"/>
      <c r="CC330" s="26"/>
      <c r="CD330" s="26"/>
      <c r="CE330" s="26"/>
      <c r="CF330" s="26"/>
      <c r="CG330" s="26"/>
      <c r="CH330" s="26"/>
      <c r="CI330" s="26"/>
      <c r="CJ330" s="26"/>
      <c r="CK330" s="26"/>
      <c r="CL330" s="26"/>
      <c r="CM330" s="26"/>
      <c r="CN330" s="26"/>
      <c r="CO330" s="26"/>
      <c r="CP330" s="26"/>
      <c r="CQ330" s="26"/>
    </row>
    <row r="331" spans="1:95" s="29" customFormat="1" ht="15" customHeight="1" x14ac:dyDescent="0.25">
      <c r="A331" s="32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  <c r="AJ331" s="26"/>
      <c r="AK331" s="26"/>
      <c r="AL331" s="26"/>
      <c r="AM331" s="26"/>
      <c r="AN331" s="26"/>
      <c r="AO331" s="26"/>
      <c r="AP331" s="26"/>
      <c r="AQ331" s="26"/>
      <c r="AR331" s="26"/>
      <c r="AS331" s="26"/>
      <c r="AT331" s="26"/>
      <c r="AU331" s="26"/>
      <c r="AV331" s="26"/>
      <c r="AW331" s="26"/>
      <c r="AX331" s="26"/>
      <c r="AY331" s="26"/>
      <c r="AZ331" s="26"/>
      <c r="BA331" s="26"/>
      <c r="BB331" s="26"/>
      <c r="BC331" s="26"/>
      <c r="BD331" s="26"/>
      <c r="BE331" s="26"/>
      <c r="BF331" s="26"/>
      <c r="BG331" s="26"/>
      <c r="BH331" s="26"/>
      <c r="BI331" s="26"/>
      <c r="BJ331" s="26"/>
      <c r="BK331" s="26"/>
      <c r="BL331" s="26"/>
      <c r="BM331" s="26"/>
      <c r="BN331" s="26"/>
      <c r="BO331" s="26"/>
      <c r="BP331" s="26"/>
      <c r="BQ331" s="26"/>
      <c r="BR331" s="26"/>
      <c r="BS331" s="26"/>
      <c r="BT331" s="26"/>
      <c r="BU331" s="26"/>
      <c r="BV331" s="26"/>
      <c r="BW331" s="26"/>
      <c r="BX331" s="26"/>
      <c r="BY331" s="26"/>
      <c r="BZ331" s="26"/>
      <c r="CA331" s="26"/>
      <c r="CB331" s="26"/>
      <c r="CC331" s="26"/>
      <c r="CD331" s="26"/>
      <c r="CE331" s="26"/>
      <c r="CF331" s="26"/>
      <c r="CG331" s="26"/>
      <c r="CH331" s="26"/>
      <c r="CI331" s="26"/>
      <c r="CJ331" s="26"/>
      <c r="CK331" s="26"/>
      <c r="CL331" s="26"/>
      <c r="CM331" s="26"/>
      <c r="CN331" s="26"/>
      <c r="CO331" s="26"/>
      <c r="CP331" s="26"/>
      <c r="CQ331" s="26"/>
    </row>
    <row r="332" spans="1:95" s="29" customFormat="1" ht="15" customHeight="1" x14ac:dyDescent="0.25">
      <c r="A332" s="32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  <c r="AO332" s="26"/>
      <c r="AP332" s="26"/>
      <c r="AQ332" s="26"/>
      <c r="AR332" s="26"/>
      <c r="AS332" s="26"/>
      <c r="AT332" s="26"/>
      <c r="AU332" s="26"/>
      <c r="AV332" s="26"/>
      <c r="AW332" s="26"/>
      <c r="AX332" s="26"/>
      <c r="AY332" s="26"/>
      <c r="AZ332" s="26"/>
      <c r="BA332" s="26"/>
      <c r="BB332" s="26"/>
      <c r="BC332" s="26"/>
      <c r="BD332" s="26"/>
      <c r="BE332" s="26"/>
      <c r="BF332" s="26"/>
      <c r="BG332" s="26"/>
      <c r="BH332" s="26"/>
      <c r="BI332" s="26"/>
      <c r="BJ332" s="26"/>
      <c r="BK332" s="26"/>
      <c r="BL332" s="26"/>
      <c r="BM332" s="26"/>
      <c r="BN332" s="26"/>
      <c r="BO332" s="26"/>
      <c r="BP332" s="26"/>
      <c r="BQ332" s="26"/>
      <c r="BR332" s="26"/>
      <c r="BS332" s="26"/>
      <c r="BT332" s="26"/>
      <c r="BU332" s="26"/>
      <c r="BV332" s="26"/>
      <c r="BW332" s="26"/>
      <c r="BX332" s="26"/>
      <c r="BY332" s="26"/>
      <c r="BZ332" s="26"/>
      <c r="CA332" s="26"/>
      <c r="CB332" s="26"/>
      <c r="CC332" s="26"/>
      <c r="CD332" s="26"/>
      <c r="CE332" s="26"/>
      <c r="CF332" s="26"/>
      <c r="CG332" s="26"/>
      <c r="CH332" s="26"/>
      <c r="CI332" s="26"/>
      <c r="CJ332" s="26"/>
      <c r="CK332" s="26"/>
      <c r="CL332" s="26"/>
      <c r="CM332" s="26"/>
      <c r="CN332" s="26"/>
      <c r="CO332" s="26"/>
      <c r="CP332" s="26"/>
      <c r="CQ332" s="26"/>
    </row>
    <row r="333" spans="1:95" s="29" customFormat="1" ht="15" customHeight="1" x14ac:dyDescent="0.25">
      <c r="A333" s="32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  <c r="AJ333" s="26"/>
      <c r="AK333" s="26"/>
      <c r="AL333" s="26"/>
      <c r="AM333" s="26"/>
      <c r="AN333" s="26"/>
      <c r="AO333" s="26"/>
      <c r="AP333" s="26"/>
      <c r="AQ333" s="26"/>
      <c r="AR333" s="26"/>
      <c r="AS333" s="26"/>
      <c r="AT333" s="26"/>
      <c r="AU333" s="26"/>
      <c r="AV333" s="26"/>
      <c r="AW333" s="26"/>
      <c r="AX333" s="26"/>
      <c r="AY333" s="26"/>
      <c r="AZ333" s="26"/>
      <c r="BA333" s="26"/>
      <c r="BB333" s="26"/>
      <c r="BC333" s="26"/>
      <c r="BD333" s="26"/>
      <c r="BE333" s="26"/>
      <c r="BF333" s="26"/>
      <c r="BG333" s="26"/>
      <c r="BH333" s="26"/>
      <c r="BI333" s="26"/>
      <c r="BJ333" s="26"/>
      <c r="BK333" s="26"/>
      <c r="BL333" s="26"/>
      <c r="BM333" s="26"/>
      <c r="BN333" s="26"/>
      <c r="BO333" s="26"/>
      <c r="BP333" s="26"/>
      <c r="BQ333" s="26"/>
      <c r="BR333" s="26"/>
      <c r="BS333" s="26"/>
      <c r="BT333" s="26"/>
      <c r="BU333" s="26"/>
      <c r="BV333" s="26"/>
      <c r="BW333" s="26"/>
      <c r="BX333" s="26"/>
      <c r="BY333" s="26"/>
      <c r="BZ333" s="26"/>
      <c r="CA333" s="26"/>
      <c r="CB333" s="26"/>
      <c r="CC333" s="26"/>
      <c r="CD333" s="26"/>
      <c r="CE333" s="26"/>
      <c r="CF333" s="26"/>
      <c r="CG333" s="26"/>
      <c r="CH333" s="26"/>
      <c r="CI333" s="26"/>
      <c r="CJ333" s="26"/>
      <c r="CK333" s="26"/>
      <c r="CL333" s="26"/>
      <c r="CM333" s="26"/>
      <c r="CN333" s="26"/>
      <c r="CO333" s="26"/>
      <c r="CP333" s="26"/>
      <c r="CQ333" s="26"/>
    </row>
    <row r="334" spans="1:95" s="29" customFormat="1" ht="15" customHeight="1" x14ac:dyDescent="0.25">
      <c r="A334" s="32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  <c r="AN334" s="26"/>
      <c r="AO334" s="26"/>
      <c r="AP334" s="26"/>
      <c r="AQ334" s="26"/>
      <c r="AR334" s="26"/>
      <c r="AS334" s="26"/>
      <c r="AT334" s="26"/>
      <c r="AU334" s="26"/>
      <c r="AV334" s="26"/>
      <c r="AW334" s="26"/>
      <c r="AX334" s="26"/>
      <c r="AY334" s="26"/>
      <c r="AZ334" s="26"/>
      <c r="BA334" s="26"/>
      <c r="BB334" s="26"/>
      <c r="BC334" s="26"/>
      <c r="BD334" s="26"/>
      <c r="BE334" s="26"/>
      <c r="BF334" s="26"/>
      <c r="BG334" s="26"/>
      <c r="BH334" s="26"/>
      <c r="BI334" s="26"/>
      <c r="BJ334" s="26"/>
      <c r="BK334" s="26"/>
      <c r="BL334" s="26"/>
      <c r="BM334" s="26"/>
      <c r="BN334" s="26"/>
      <c r="BO334" s="26"/>
      <c r="BP334" s="26"/>
      <c r="BQ334" s="26"/>
      <c r="BR334" s="26"/>
      <c r="BS334" s="26"/>
      <c r="BT334" s="26"/>
      <c r="BU334" s="26"/>
      <c r="BV334" s="26"/>
      <c r="BW334" s="26"/>
      <c r="BX334" s="26"/>
      <c r="BY334" s="26"/>
      <c r="BZ334" s="26"/>
      <c r="CA334" s="26"/>
      <c r="CB334" s="26"/>
      <c r="CC334" s="26"/>
      <c r="CD334" s="26"/>
      <c r="CE334" s="26"/>
      <c r="CF334" s="26"/>
      <c r="CG334" s="26"/>
      <c r="CH334" s="26"/>
      <c r="CI334" s="26"/>
      <c r="CJ334" s="26"/>
      <c r="CK334" s="26"/>
      <c r="CL334" s="26"/>
      <c r="CM334" s="26"/>
      <c r="CN334" s="26"/>
      <c r="CO334" s="26"/>
      <c r="CP334" s="26"/>
      <c r="CQ334" s="26"/>
    </row>
    <row r="335" spans="1:95" s="29" customFormat="1" ht="15" customHeight="1" x14ac:dyDescent="0.25">
      <c r="A335" s="32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  <c r="AO335" s="26"/>
      <c r="AP335" s="26"/>
      <c r="AQ335" s="26"/>
      <c r="AR335" s="26"/>
      <c r="AS335" s="26"/>
      <c r="AT335" s="26"/>
      <c r="AU335" s="26"/>
      <c r="AV335" s="26"/>
      <c r="AW335" s="26"/>
      <c r="AX335" s="26"/>
      <c r="AY335" s="26"/>
      <c r="AZ335" s="26"/>
      <c r="BA335" s="26"/>
      <c r="BB335" s="26"/>
      <c r="BC335" s="26"/>
      <c r="BD335" s="26"/>
      <c r="BE335" s="26"/>
      <c r="BF335" s="26"/>
      <c r="BG335" s="26"/>
      <c r="BH335" s="26"/>
      <c r="BI335" s="26"/>
      <c r="BJ335" s="26"/>
      <c r="BK335" s="26"/>
      <c r="BL335" s="26"/>
      <c r="BM335" s="26"/>
      <c r="BN335" s="26"/>
      <c r="BO335" s="26"/>
      <c r="BP335" s="26"/>
      <c r="BQ335" s="26"/>
      <c r="BR335" s="26"/>
      <c r="BS335" s="26"/>
      <c r="BT335" s="26"/>
      <c r="BU335" s="26"/>
      <c r="BV335" s="26"/>
      <c r="BW335" s="26"/>
      <c r="BX335" s="26"/>
      <c r="BY335" s="26"/>
      <c r="BZ335" s="26"/>
      <c r="CA335" s="26"/>
      <c r="CB335" s="26"/>
      <c r="CC335" s="26"/>
      <c r="CD335" s="26"/>
      <c r="CE335" s="26"/>
      <c r="CF335" s="26"/>
      <c r="CG335" s="26"/>
      <c r="CH335" s="26"/>
      <c r="CI335" s="26"/>
      <c r="CJ335" s="26"/>
      <c r="CK335" s="26"/>
      <c r="CL335" s="26"/>
      <c r="CM335" s="26"/>
      <c r="CN335" s="26"/>
      <c r="CO335" s="26"/>
      <c r="CP335" s="26"/>
      <c r="CQ335" s="26"/>
    </row>
    <row r="336" spans="1:95" s="29" customFormat="1" ht="15" customHeight="1" x14ac:dyDescent="0.25">
      <c r="A336" s="32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  <c r="AO336" s="26"/>
      <c r="AP336" s="26"/>
      <c r="AQ336" s="26"/>
      <c r="AR336" s="26"/>
      <c r="AS336" s="26"/>
      <c r="AT336" s="26"/>
      <c r="AU336" s="26"/>
      <c r="AV336" s="26"/>
      <c r="AW336" s="26"/>
      <c r="AX336" s="26"/>
      <c r="AY336" s="26"/>
      <c r="AZ336" s="26"/>
      <c r="BA336" s="26"/>
      <c r="BB336" s="26"/>
      <c r="BC336" s="26"/>
      <c r="BD336" s="26"/>
      <c r="BE336" s="26"/>
      <c r="BF336" s="26"/>
      <c r="BG336" s="26"/>
      <c r="BH336" s="26"/>
      <c r="BI336" s="26"/>
      <c r="BJ336" s="26"/>
      <c r="BK336" s="26"/>
      <c r="BL336" s="26"/>
      <c r="BM336" s="26"/>
      <c r="BN336" s="26"/>
      <c r="BO336" s="26"/>
      <c r="BP336" s="26"/>
      <c r="BQ336" s="26"/>
      <c r="BR336" s="26"/>
      <c r="BS336" s="26"/>
      <c r="BT336" s="26"/>
      <c r="BU336" s="26"/>
      <c r="BV336" s="26"/>
      <c r="BW336" s="26"/>
      <c r="BX336" s="26"/>
      <c r="BY336" s="26"/>
      <c r="BZ336" s="26"/>
      <c r="CA336" s="26"/>
      <c r="CB336" s="26"/>
      <c r="CC336" s="26"/>
      <c r="CD336" s="26"/>
      <c r="CE336" s="26"/>
      <c r="CF336" s="26"/>
      <c r="CG336" s="26"/>
      <c r="CH336" s="26"/>
      <c r="CI336" s="26"/>
      <c r="CJ336" s="26"/>
      <c r="CK336" s="26"/>
      <c r="CL336" s="26"/>
      <c r="CM336" s="26"/>
      <c r="CN336" s="26"/>
      <c r="CO336" s="26"/>
      <c r="CP336" s="26"/>
      <c r="CQ336" s="26"/>
    </row>
    <row r="337" spans="1:95" s="29" customFormat="1" ht="15" customHeight="1" x14ac:dyDescent="0.25">
      <c r="A337" s="32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  <c r="AO337" s="26"/>
      <c r="AP337" s="26"/>
      <c r="AQ337" s="26"/>
      <c r="AR337" s="26"/>
      <c r="AS337" s="26"/>
      <c r="AT337" s="26"/>
      <c r="AU337" s="26"/>
      <c r="AV337" s="26"/>
      <c r="AW337" s="26"/>
      <c r="AX337" s="26"/>
      <c r="AY337" s="26"/>
      <c r="AZ337" s="26"/>
      <c r="BA337" s="26"/>
      <c r="BB337" s="26"/>
      <c r="BC337" s="26"/>
      <c r="BD337" s="26"/>
      <c r="BE337" s="26"/>
      <c r="BF337" s="26"/>
      <c r="BG337" s="26"/>
      <c r="BH337" s="26"/>
      <c r="BI337" s="26"/>
      <c r="BJ337" s="26"/>
      <c r="BK337" s="26"/>
      <c r="BL337" s="26"/>
      <c r="BM337" s="26"/>
      <c r="BN337" s="26"/>
      <c r="BO337" s="26"/>
      <c r="BP337" s="26"/>
      <c r="BQ337" s="26"/>
      <c r="BR337" s="26"/>
      <c r="BS337" s="26"/>
      <c r="BT337" s="26"/>
      <c r="BU337" s="26"/>
      <c r="BV337" s="26"/>
      <c r="BW337" s="26"/>
      <c r="BX337" s="26"/>
      <c r="BY337" s="26"/>
      <c r="BZ337" s="26"/>
      <c r="CA337" s="26"/>
      <c r="CB337" s="26"/>
      <c r="CC337" s="26"/>
      <c r="CD337" s="26"/>
      <c r="CE337" s="26"/>
      <c r="CF337" s="26"/>
      <c r="CG337" s="26"/>
      <c r="CH337" s="26"/>
      <c r="CI337" s="26"/>
      <c r="CJ337" s="26"/>
      <c r="CK337" s="26"/>
      <c r="CL337" s="26"/>
      <c r="CM337" s="26"/>
      <c r="CN337" s="26"/>
      <c r="CO337" s="26"/>
      <c r="CP337" s="26"/>
      <c r="CQ337" s="26"/>
    </row>
    <row r="338" spans="1:95" s="29" customFormat="1" ht="15" customHeight="1" x14ac:dyDescent="0.25">
      <c r="A338" s="32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  <c r="AN338" s="26"/>
      <c r="AO338" s="26"/>
      <c r="AP338" s="26"/>
      <c r="AQ338" s="26"/>
      <c r="AR338" s="26"/>
      <c r="AS338" s="26"/>
      <c r="AT338" s="26"/>
      <c r="AU338" s="26"/>
      <c r="AV338" s="26"/>
      <c r="AW338" s="26"/>
      <c r="AX338" s="26"/>
      <c r="AY338" s="26"/>
      <c r="AZ338" s="26"/>
      <c r="BA338" s="26"/>
      <c r="BB338" s="26"/>
      <c r="BC338" s="26"/>
      <c r="BD338" s="26"/>
      <c r="BE338" s="26"/>
      <c r="BF338" s="26"/>
      <c r="BG338" s="26"/>
      <c r="BH338" s="26"/>
      <c r="BI338" s="26"/>
      <c r="BJ338" s="26"/>
      <c r="BK338" s="26"/>
      <c r="BL338" s="26"/>
      <c r="BM338" s="26"/>
      <c r="BN338" s="26"/>
      <c r="BO338" s="26"/>
      <c r="BP338" s="26"/>
      <c r="BQ338" s="26"/>
      <c r="BR338" s="26"/>
      <c r="BS338" s="26"/>
      <c r="BT338" s="26"/>
      <c r="BU338" s="26"/>
      <c r="BV338" s="26"/>
      <c r="BW338" s="26"/>
      <c r="BX338" s="26"/>
      <c r="BY338" s="26"/>
      <c r="BZ338" s="26"/>
      <c r="CA338" s="26"/>
      <c r="CB338" s="26"/>
      <c r="CC338" s="26"/>
      <c r="CD338" s="26"/>
      <c r="CE338" s="26"/>
      <c r="CF338" s="26"/>
      <c r="CG338" s="26"/>
      <c r="CH338" s="26"/>
      <c r="CI338" s="26"/>
      <c r="CJ338" s="26"/>
      <c r="CK338" s="26"/>
      <c r="CL338" s="26"/>
      <c r="CM338" s="26"/>
      <c r="CN338" s="26"/>
      <c r="CO338" s="26"/>
      <c r="CP338" s="26"/>
      <c r="CQ338" s="26"/>
    </row>
    <row r="339" spans="1:95" s="29" customFormat="1" ht="15" customHeight="1" x14ac:dyDescent="0.25">
      <c r="A339" s="32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  <c r="AN339" s="26"/>
      <c r="AO339" s="26"/>
      <c r="AP339" s="26"/>
      <c r="AQ339" s="26"/>
      <c r="AR339" s="26"/>
      <c r="AS339" s="26"/>
      <c r="AT339" s="26"/>
      <c r="AU339" s="26"/>
      <c r="AV339" s="26"/>
      <c r="AW339" s="26"/>
      <c r="AX339" s="26"/>
      <c r="AY339" s="26"/>
      <c r="AZ339" s="26"/>
      <c r="BA339" s="26"/>
      <c r="BB339" s="26"/>
      <c r="BC339" s="26"/>
      <c r="BD339" s="26"/>
      <c r="BE339" s="26"/>
      <c r="BF339" s="26"/>
      <c r="BG339" s="26"/>
      <c r="BH339" s="26"/>
      <c r="BI339" s="26"/>
      <c r="BJ339" s="26"/>
      <c r="BK339" s="26"/>
      <c r="BL339" s="26"/>
      <c r="BM339" s="26"/>
      <c r="BN339" s="26"/>
      <c r="BO339" s="26"/>
      <c r="BP339" s="26"/>
      <c r="BQ339" s="26"/>
      <c r="BR339" s="26"/>
      <c r="BS339" s="26"/>
      <c r="BT339" s="26"/>
      <c r="BU339" s="26"/>
      <c r="BV339" s="26"/>
      <c r="BW339" s="26"/>
      <c r="BX339" s="26"/>
      <c r="BY339" s="26"/>
      <c r="BZ339" s="26"/>
      <c r="CA339" s="26"/>
      <c r="CB339" s="26"/>
      <c r="CC339" s="26"/>
      <c r="CD339" s="26"/>
      <c r="CE339" s="26"/>
      <c r="CF339" s="26"/>
      <c r="CG339" s="26"/>
      <c r="CH339" s="26"/>
      <c r="CI339" s="26"/>
      <c r="CJ339" s="26"/>
      <c r="CK339" s="26"/>
      <c r="CL339" s="26"/>
      <c r="CM339" s="26"/>
      <c r="CN339" s="26"/>
      <c r="CO339" s="26"/>
      <c r="CP339" s="26"/>
      <c r="CQ339" s="26"/>
    </row>
    <row r="340" spans="1:95" s="29" customFormat="1" ht="15" customHeight="1" x14ac:dyDescent="0.25">
      <c r="A340" s="32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  <c r="AN340" s="26"/>
      <c r="AO340" s="26"/>
      <c r="AP340" s="26"/>
      <c r="AQ340" s="26"/>
      <c r="AR340" s="26"/>
      <c r="AS340" s="26"/>
      <c r="AT340" s="26"/>
      <c r="AU340" s="26"/>
      <c r="AV340" s="26"/>
      <c r="AW340" s="26"/>
      <c r="AX340" s="26"/>
      <c r="AY340" s="26"/>
      <c r="AZ340" s="26"/>
      <c r="BA340" s="26"/>
      <c r="BB340" s="26"/>
      <c r="BC340" s="26"/>
      <c r="BD340" s="26"/>
      <c r="BE340" s="26"/>
      <c r="BF340" s="26"/>
      <c r="BG340" s="26"/>
      <c r="BH340" s="26"/>
      <c r="BI340" s="26"/>
      <c r="BJ340" s="26"/>
      <c r="BK340" s="26"/>
      <c r="BL340" s="26"/>
      <c r="BM340" s="26"/>
      <c r="BN340" s="26"/>
      <c r="BO340" s="26"/>
      <c r="BP340" s="26"/>
      <c r="BQ340" s="26"/>
      <c r="BR340" s="26"/>
      <c r="BS340" s="26"/>
      <c r="BT340" s="26"/>
      <c r="BU340" s="26"/>
      <c r="BV340" s="26"/>
      <c r="BW340" s="26"/>
      <c r="BX340" s="26"/>
      <c r="BY340" s="26"/>
      <c r="BZ340" s="26"/>
      <c r="CA340" s="26"/>
      <c r="CB340" s="26"/>
      <c r="CC340" s="26"/>
      <c r="CD340" s="26"/>
      <c r="CE340" s="26"/>
      <c r="CF340" s="26"/>
      <c r="CG340" s="26"/>
      <c r="CH340" s="26"/>
      <c r="CI340" s="26"/>
      <c r="CJ340" s="26"/>
      <c r="CK340" s="26"/>
      <c r="CL340" s="26"/>
      <c r="CM340" s="26"/>
      <c r="CN340" s="26"/>
      <c r="CO340" s="26"/>
      <c r="CP340" s="26"/>
      <c r="CQ340" s="26"/>
    </row>
    <row r="341" spans="1:95" s="29" customFormat="1" ht="15" customHeight="1" x14ac:dyDescent="0.25">
      <c r="A341" s="32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  <c r="AJ341" s="26"/>
      <c r="AK341" s="26"/>
      <c r="AL341" s="26"/>
      <c r="AM341" s="26"/>
      <c r="AN341" s="26"/>
      <c r="AO341" s="26"/>
      <c r="AP341" s="26"/>
      <c r="AQ341" s="26"/>
      <c r="AR341" s="26"/>
      <c r="AS341" s="26"/>
      <c r="AT341" s="26"/>
      <c r="AU341" s="26"/>
      <c r="AV341" s="26"/>
      <c r="AW341" s="26"/>
      <c r="AX341" s="26"/>
      <c r="AY341" s="26"/>
      <c r="AZ341" s="26"/>
      <c r="BA341" s="26"/>
      <c r="BB341" s="26"/>
      <c r="BC341" s="26"/>
      <c r="BD341" s="26"/>
      <c r="BE341" s="26"/>
      <c r="BF341" s="26"/>
      <c r="BG341" s="26"/>
      <c r="BH341" s="26"/>
      <c r="BI341" s="26"/>
      <c r="BJ341" s="26"/>
      <c r="BK341" s="26"/>
      <c r="BL341" s="26"/>
      <c r="BM341" s="26"/>
      <c r="BN341" s="26"/>
      <c r="BO341" s="26"/>
      <c r="BP341" s="26"/>
      <c r="BQ341" s="26"/>
      <c r="BR341" s="26"/>
      <c r="BS341" s="26"/>
      <c r="BT341" s="26"/>
      <c r="BU341" s="26"/>
      <c r="BV341" s="26"/>
      <c r="BW341" s="26"/>
      <c r="BX341" s="26"/>
      <c r="BY341" s="26"/>
      <c r="BZ341" s="26"/>
      <c r="CA341" s="26"/>
      <c r="CB341" s="26"/>
      <c r="CC341" s="26"/>
      <c r="CD341" s="26"/>
      <c r="CE341" s="26"/>
      <c r="CF341" s="26"/>
      <c r="CG341" s="26"/>
      <c r="CH341" s="26"/>
      <c r="CI341" s="26"/>
      <c r="CJ341" s="26"/>
      <c r="CK341" s="26"/>
      <c r="CL341" s="26"/>
      <c r="CM341" s="26"/>
      <c r="CN341" s="26"/>
      <c r="CO341" s="26"/>
      <c r="CP341" s="26"/>
      <c r="CQ341" s="26"/>
    </row>
    <row r="342" spans="1:95" s="29" customFormat="1" ht="15" customHeight="1" x14ac:dyDescent="0.25">
      <c r="A342" s="32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  <c r="AJ342" s="26"/>
      <c r="AK342" s="26"/>
      <c r="AL342" s="26"/>
      <c r="AM342" s="26"/>
      <c r="AN342" s="26"/>
      <c r="AO342" s="26"/>
      <c r="AP342" s="26"/>
      <c r="AQ342" s="26"/>
      <c r="AR342" s="26"/>
      <c r="AS342" s="26"/>
      <c r="AT342" s="26"/>
      <c r="AU342" s="26"/>
      <c r="AV342" s="26"/>
      <c r="AW342" s="26"/>
      <c r="AX342" s="26"/>
      <c r="AY342" s="26"/>
      <c r="AZ342" s="26"/>
      <c r="BA342" s="26"/>
      <c r="BB342" s="26"/>
      <c r="BC342" s="26"/>
      <c r="BD342" s="26"/>
      <c r="BE342" s="26"/>
      <c r="BF342" s="26"/>
      <c r="BG342" s="26"/>
      <c r="BH342" s="26"/>
      <c r="BI342" s="26"/>
      <c r="BJ342" s="26"/>
      <c r="BK342" s="26"/>
      <c r="BL342" s="26"/>
      <c r="BM342" s="26"/>
      <c r="BN342" s="26"/>
      <c r="BO342" s="26"/>
      <c r="BP342" s="26"/>
      <c r="BQ342" s="26"/>
      <c r="BR342" s="26"/>
      <c r="BS342" s="26"/>
      <c r="BT342" s="26"/>
      <c r="BU342" s="26"/>
      <c r="BV342" s="26"/>
      <c r="BW342" s="26"/>
      <c r="BX342" s="26"/>
      <c r="BY342" s="26"/>
      <c r="BZ342" s="26"/>
      <c r="CA342" s="26"/>
      <c r="CB342" s="26"/>
      <c r="CC342" s="26"/>
      <c r="CD342" s="26"/>
      <c r="CE342" s="26"/>
      <c r="CF342" s="26"/>
      <c r="CG342" s="26"/>
      <c r="CH342" s="26"/>
      <c r="CI342" s="26"/>
      <c r="CJ342" s="26"/>
      <c r="CK342" s="26"/>
      <c r="CL342" s="26"/>
      <c r="CM342" s="26"/>
      <c r="CN342" s="26"/>
      <c r="CO342" s="26"/>
      <c r="CP342" s="26"/>
      <c r="CQ342" s="26"/>
    </row>
    <row r="343" spans="1:95" s="29" customFormat="1" ht="15" customHeight="1" x14ac:dyDescent="0.25">
      <c r="A343" s="32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  <c r="AJ343" s="26"/>
      <c r="AK343" s="26"/>
      <c r="AL343" s="26"/>
      <c r="AM343" s="26"/>
      <c r="AN343" s="26"/>
      <c r="AO343" s="26"/>
      <c r="AP343" s="26"/>
      <c r="AQ343" s="26"/>
      <c r="AR343" s="26"/>
      <c r="AS343" s="26"/>
      <c r="AT343" s="26"/>
      <c r="AU343" s="26"/>
      <c r="AV343" s="26"/>
      <c r="AW343" s="26"/>
      <c r="AX343" s="26"/>
      <c r="AY343" s="26"/>
      <c r="AZ343" s="26"/>
      <c r="BA343" s="26"/>
      <c r="BB343" s="26"/>
      <c r="BC343" s="26"/>
      <c r="BD343" s="26"/>
      <c r="BE343" s="26"/>
      <c r="BF343" s="26"/>
      <c r="BG343" s="26"/>
      <c r="BH343" s="26"/>
      <c r="BI343" s="26"/>
      <c r="BJ343" s="26"/>
      <c r="BK343" s="26"/>
      <c r="BL343" s="26"/>
      <c r="BM343" s="26"/>
      <c r="BN343" s="26"/>
      <c r="BO343" s="26"/>
      <c r="BP343" s="26"/>
      <c r="BQ343" s="26"/>
      <c r="BR343" s="26"/>
      <c r="BS343" s="26"/>
      <c r="BT343" s="26"/>
      <c r="BU343" s="26"/>
      <c r="BV343" s="26"/>
      <c r="BW343" s="26"/>
      <c r="BX343" s="26"/>
      <c r="BY343" s="26"/>
      <c r="BZ343" s="26"/>
      <c r="CA343" s="26"/>
      <c r="CB343" s="26"/>
      <c r="CC343" s="26"/>
      <c r="CD343" s="26"/>
      <c r="CE343" s="26"/>
      <c r="CF343" s="26"/>
      <c r="CG343" s="26"/>
      <c r="CH343" s="26"/>
      <c r="CI343" s="26"/>
      <c r="CJ343" s="26"/>
      <c r="CK343" s="26"/>
      <c r="CL343" s="26"/>
      <c r="CM343" s="26"/>
      <c r="CN343" s="26"/>
      <c r="CO343" s="26"/>
      <c r="CP343" s="26"/>
      <c r="CQ343" s="26"/>
    </row>
    <row r="344" spans="1:95" s="29" customFormat="1" ht="15" customHeight="1" x14ac:dyDescent="0.25">
      <c r="A344" s="32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  <c r="AJ344" s="26"/>
      <c r="AK344" s="26"/>
      <c r="AL344" s="26"/>
      <c r="AM344" s="26"/>
      <c r="AN344" s="26"/>
      <c r="AO344" s="26"/>
      <c r="AP344" s="26"/>
      <c r="AQ344" s="26"/>
      <c r="AR344" s="26"/>
      <c r="AS344" s="26"/>
      <c r="AT344" s="26"/>
      <c r="AU344" s="26"/>
      <c r="AV344" s="26"/>
      <c r="AW344" s="26"/>
      <c r="AX344" s="26"/>
      <c r="AY344" s="26"/>
      <c r="AZ344" s="26"/>
      <c r="BA344" s="26"/>
      <c r="BB344" s="26"/>
      <c r="BC344" s="26"/>
      <c r="BD344" s="26"/>
      <c r="BE344" s="26"/>
      <c r="BF344" s="26"/>
      <c r="BG344" s="26"/>
      <c r="BH344" s="26"/>
      <c r="BI344" s="26"/>
      <c r="BJ344" s="26"/>
      <c r="BK344" s="26"/>
      <c r="BL344" s="26"/>
      <c r="BM344" s="26"/>
      <c r="BN344" s="26"/>
      <c r="BO344" s="26"/>
      <c r="BP344" s="26"/>
      <c r="BQ344" s="26"/>
      <c r="BR344" s="26"/>
      <c r="BS344" s="26"/>
      <c r="BT344" s="26"/>
      <c r="BU344" s="26"/>
      <c r="BV344" s="26"/>
      <c r="BW344" s="26"/>
      <c r="BX344" s="26"/>
      <c r="BY344" s="26"/>
      <c r="BZ344" s="26"/>
      <c r="CA344" s="26"/>
      <c r="CB344" s="26"/>
      <c r="CC344" s="26"/>
      <c r="CD344" s="26"/>
      <c r="CE344" s="26"/>
      <c r="CF344" s="26"/>
      <c r="CG344" s="26"/>
      <c r="CH344" s="26"/>
      <c r="CI344" s="26"/>
      <c r="CJ344" s="26"/>
      <c r="CK344" s="26"/>
      <c r="CL344" s="26"/>
      <c r="CM344" s="26"/>
      <c r="CN344" s="26"/>
      <c r="CO344" s="26"/>
      <c r="CP344" s="26"/>
      <c r="CQ344" s="26"/>
    </row>
    <row r="345" spans="1:95" s="29" customFormat="1" ht="15" customHeight="1" x14ac:dyDescent="0.25">
      <c r="A345" s="32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  <c r="AH345" s="26"/>
      <c r="AI345" s="26"/>
      <c r="AJ345" s="26"/>
      <c r="AK345" s="26"/>
      <c r="AL345" s="26"/>
      <c r="AM345" s="26"/>
      <c r="AN345" s="26"/>
      <c r="AO345" s="26"/>
      <c r="AP345" s="26"/>
      <c r="AQ345" s="26"/>
      <c r="AR345" s="26"/>
      <c r="AS345" s="26"/>
      <c r="AT345" s="26"/>
      <c r="AU345" s="26"/>
      <c r="AV345" s="26"/>
      <c r="AW345" s="26"/>
      <c r="AX345" s="26"/>
      <c r="AY345" s="26"/>
      <c r="AZ345" s="26"/>
      <c r="BA345" s="26"/>
      <c r="BB345" s="26"/>
      <c r="BC345" s="26"/>
      <c r="BD345" s="26"/>
      <c r="BE345" s="26"/>
      <c r="BF345" s="26"/>
      <c r="BG345" s="26"/>
      <c r="BH345" s="26"/>
      <c r="BI345" s="26"/>
      <c r="BJ345" s="26"/>
      <c r="BK345" s="26"/>
      <c r="BL345" s="26"/>
      <c r="BM345" s="26"/>
      <c r="BN345" s="26"/>
      <c r="BO345" s="26"/>
      <c r="BP345" s="26"/>
      <c r="BQ345" s="26"/>
      <c r="BR345" s="26"/>
      <c r="BS345" s="26"/>
      <c r="BT345" s="26"/>
      <c r="BU345" s="26"/>
      <c r="BV345" s="26"/>
      <c r="BW345" s="26"/>
      <c r="BX345" s="26"/>
      <c r="BY345" s="26"/>
      <c r="BZ345" s="26"/>
      <c r="CA345" s="26"/>
      <c r="CB345" s="26"/>
      <c r="CC345" s="26"/>
      <c r="CD345" s="26"/>
      <c r="CE345" s="26"/>
      <c r="CF345" s="26"/>
      <c r="CG345" s="26"/>
      <c r="CH345" s="26"/>
      <c r="CI345" s="26"/>
      <c r="CJ345" s="26"/>
      <c r="CK345" s="26"/>
      <c r="CL345" s="26"/>
      <c r="CM345" s="26"/>
      <c r="CN345" s="26"/>
      <c r="CO345" s="26"/>
      <c r="CP345" s="26"/>
      <c r="CQ345" s="26"/>
    </row>
    <row r="346" spans="1:95" s="29" customFormat="1" ht="15" customHeight="1" x14ac:dyDescent="0.25">
      <c r="A346" s="32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  <c r="AI346" s="26"/>
      <c r="AJ346" s="26"/>
      <c r="AK346" s="26"/>
      <c r="AL346" s="26"/>
      <c r="AM346" s="26"/>
      <c r="AN346" s="26"/>
      <c r="AO346" s="26"/>
      <c r="AP346" s="26"/>
      <c r="AQ346" s="26"/>
      <c r="AR346" s="26"/>
      <c r="AS346" s="26"/>
      <c r="AT346" s="26"/>
      <c r="AU346" s="26"/>
      <c r="AV346" s="26"/>
      <c r="AW346" s="26"/>
      <c r="AX346" s="26"/>
      <c r="AY346" s="26"/>
      <c r="AZ346" s="26"/>
      <c r="BA346" s="26"/>
      <c r="BB346" s="26"/>
      <c r="BC346" s="26"/>
      <c r="BD346" s="26"/>
      <c r="BE346" s="26"/>
      <c r="BF346" s="26"/>
      <c r="BG346" s="26"/>
      <c r="BH346" s="26"/>
      <c r="BI346" s="26"/>
      <c r="BJ346" s="26"/>
      <c r="BK346" s="26"/>
      <c r="BL346" s="26"/>
      <c r="BM346" s="26"/>
      <c r="BN346" s="26"/>
      <c r="BO346" s="26"/>
      <c r="BP346" s="26"/>
      <c r="BQ346" s="26"/>
      <c r="BR346" s="26"/>
      <c r="BS346" s="26"/>
      <c r="BT346" s="26"/>
      <c r="BU346" s="26"/>
      <c r="BV346" s="26"/>
      <c r="BW346" s="26"/>
      <c r="BX346" s="26"/>
      <c r="BY346" s="26"/>
      <c r="BZ346" s="26"/>
      <c r="CA346" s="26"/>
      <c r="CB346" s="26"/>
      <c r="CC346" s="26"/>
      <c r="CD346" s="26"/>
      <c r="CE346" s="26"/>
      <c r="CF346" s="26"/>
      <c r="CG346" s="26"/>
      <c r="CH346" s="26"/>
      <c r="CI346" s="26"/>
      <c r="CJ346" s="26"/>
      <c r="CK346" s="26"/>
      <c r="CL346" s="26"/>
      <c r="CM346" s="26"/>
      <c r="CN346" s="26"/>
      <c r="CO346" s="26"/>
      <c r="CP346" s="26"/>
      <c r="CQ346" s="26"/>
    </row>
    <row r="347" spans="1:95" s="29" customFormat="1" ht="15" customHeight="1" x14ac:dyDescent="0.25">
      <c r="A347" s="32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/>
      <c r="AN347" s="26"/>
      <c r="AO347" s="26"/>
      <c r="AP347" s="26"/>
      <c r="AQ347" s="26"/>
      <c r="AR347" s="26"/>
      <c r="AS347" s="26"/>
      <c r="AT347" s="26"/>
      <c r="AU347" s="26"/>
      <c r="AV347" s="26"/>
      <c r="AW347" s="26"/>
      <c r="AX347" s="26"/>
      <c r="AY347" s="26"/>
      <c r="AZ347" s="26"/>
      <c r="BA347" s="26"/>
      <c r="BB347" s="26"/>
      <c r="BC347" s="26"/>
      <c r="BD347" s="26"/>
      <c r="BE347" s="26"/>
      <c r="BF347" s="26"/>
      <c r="BG347" s="26"/>
      <c r="BH347" s="26"/>
      <c r="BI347" s="26"/>
      <c r="BJ347" s="26"/>
      <c r="BK347" s="26"/>
      <c r="BL347" s="26"/>
      <c r="BM347" s="26"/>
      <c r="BN347" s="26"/>
      <c r="BO347" s="26"/>
      <c r="BP347" s="26"/>
      <c r="BQ347" s="26"/>
      <c r="BR347" s="26"/>
      <c r="BS347" s="26"/>
      <c r="BT347" s="26"/>
      <c r="BU347" s="26"/>
      <c r="BV347" s="26"/>
      <c r="BW347" s="26"/>
      <c r="BX347" s="26"/>
      <c r="BY347" s="26"/>
      <c r="BZ347" s="26"/>
      <c r="CA347" s="26"/>
      <c r="CB347" s="26"/>
      <c r="CC347" s="26"/>
      <c r="CD347" s="26"/>
      <c r="CE347" s="26"/>
      <c r="CF347" s="26"/>
      <c r="CG347" s="26"/>
      <c r="CH347" s="26"/>
      <c r="CI347" s="26"/>
      <c r="CJ347" s="26"/>
      <c r="CK347" s="26"/>
      <c r="CL347" s="26"/>
      <c r="CM347" s="26"/>
      <c r="CN347" s="26"/>
      <c r="CO347" s="26"/>
      <c r="CP347" s="26"/>
      <c r="CQ347" s="26"/>
    </row>
    <row r="348" spans="1:95" s="29" customFormat="1" ht="15" customHeight="1" x14ac:dyDescent="0.25">
      <c r="A348" s="32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  <c r="AM348" s="26"/>
      <c r="AN348" s="26"/>
      <c r="AO348" s="26"/>
      <c r="AP348" s="26"/>
      <c r="AQ348" s="26"/>
      <c r="AR348" s="26"/>
      <c r="AS348" s="26"/>
      <c r="AT348" s="26"/>
      <c r="AU348" s="26"/>
      <c r="AV348" s="26"/>
      <c r="AW348" s="26"/>
      <c r="AX348" s="26"/>
      <c r="AY348" s="26"/>
      <c r="AZ348" s="26"/>
      <c r="BA348" s="26"/>
      <c r="BB348" s="26"/>
      <c r="BC348" s="26"/>
      <c r="BD348" s="26"/>
      <c r="BE348" s="26"/>
      <c r="BF348" s="26"/>
      <c r="BG348" s="26"/>
      <c r="BH348" s="26"/>
      <c r="BI348" s="26"/>
      <c r="BJ348" s="26"/>
      <c r="BK348" s="26"/>
      <c r="BL348" s="26"/>
      <c r="BM348" s="26"/>
      <c r="BN348" s="26"/>
      <c r="BO348" s="26"/>
      <c r="BP348" s="26"/>
      <c r="BQ348" s="26"/>
      <c r="BR348" s="26"/>
      <c r="BS348" s="26"/>
      <c r="BT348" s="26"/>
      <c r="BU348" s="26"/>
      <c r="BV348" s="26"/>
      <c r="BW348" s="26"/>
      <c r="BX348" s="26"/>
      <c r="BY348" s="26"/>
      <c r="BZ348" s="26"/>
      <c r="CA348" s="26"/>
      <c r="CB348" s="26"/>
      <c r="CC348" s="26"/>
      <c r="CD348" s="26"/>
      <c r="CE348" s="26"/>
      <c r="CF348" s="26"/>
      <c r="CG348" s="26"/>
      <c r="CH348" s="26"/>
      <c r="CI348" s="26"/>
      <c r="CJ348" s="26"/>
      <c r="CK348" s="26"/>
      <c r="CL348" s="26"/>
      <c r="CM348" s="26"/>
      <c r="CN348" s="26"/>
      <c r="CO348" s="26"/>
      <c r="CP348" s="26"/>
      <c r="CQ348" s="26"/>
    </row>
    <row r="349" spans="1:95" s="29" customFormat="1" ht="15" customHeight="1" x14ac:dyDescent="0.25">
      <c r="A349" s="32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  <c r="AM349" s="26"/>
      <c r="AN349" s="26"/>
      <c r="AO349" s="26"/>
      <c r="AP349" s="26"/>
      <c r="AQ349" s="26"/>
      <c r="AR349" s="26"/>
      <c r="AS349" s="26"/>
      <c r="AT349" s="26"/>
      <c r="AU349" s="26"/>
      <c r="AV349" s="26"/>
      <c r="AW349" s="26"/>
      <c r="AX349" s="26"/>
      <c r="AY349" s="26"/>
      <c r="AZ349" s="26"/>
      <c r="BA349" s="26"/>
      <c r="BB349" s="26"/>
      <c r="BC349" s="26"/>
      <c r="BD349" s="26"/>
      <c r="BE349" s="26"/>
      <c r="BF349" s="26"/>
      <c r="BG349" s="26"/>
      <c r="BH349" s="26"/>
      <c r="BI349" s="26"/>
      <c r="BJ349" s="26"/>
      <c r="BK349" s="26"/>
      <c r="BL349" s="26"/>
      <c r="BM349" s="26"/>
      <c r="BN349" s="26"/>
      <c r="BO349" s="26"/>
      <c r="BP349" s="26"/>
      <c r="BQ349" s="26"/>
      <c r="BR349" s="26"/>
      <c r="BS349" s="26"/>
      <c r="BT349" s="26"/>
      <c r="BU349" s="26"/>
      <c r="BV349" s="26"/>
      <c r="BW349" s="26"/>
      <c r="BX349" s="26"/>
      <c r="BY349" s="26"/>
      <c r="BZ349" s="26"/>
      <c r="CA349" s="26"/>
      <c r="CB349" s="26"/>
      <c r="CC349" s="26"/>
      <c r="CD349" s="26"/>
      <c r="CE349" s="26"/>
      <c r="CF349" s="26"/>
      <c r="CG349" s="26"/>
      <c r="CH349" s="26"/>
      <c r="CI349" s="26"/>
      <c r="CJ349" s="26"/>
      <c r="CK349" s="26"/>
      <c r="CL349" s="26"/>
      <c r="CM349" s="26"/>
      <c r="CN349" s="26"/>
      <c r="CO349" s="26"/>
      <c r="CP349" s="26"/>
      <c r="CQ349" s="26"/>
    </row>
    <row r="350" spans="1:95" s="29" customFormat="1" ht="15" customHeight="1" x14ac:dyDescent="0.25">
      <c r="A350" s="32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  <c r="AJ350" s="26"/>
      <c r="AK350" s="26"/>
      <c r="AL350" s="26"/>
      <c r="AM350" s="26"/>
      <c r="AN350" s="26"/>
      <c r="AO350" s="26"/>
      <c r="AP350" s="26"/>
      <c r="AQ350" s="26"/>
      <c r="AR350" s="26"/>
      <c r="AS350" s="26"/>
      <c r="AT350" s="26"/>
      <c r="AU350" s="26"/>
      <c r="AV350" s="26"/>
      <c r="AW350" s="26"/>
      <c r="AX350" s="26"/>
      <c r="AY350" s="26"/>
      <c r="AZ350" s="26"/>
      <c r="BA350" s="26"/>
      <c r="BB350" s="26"/>
      <c r="BC350" s="26"/>
      <c r="BD350" s="26"/>
      <c r="BE350" s="26"/>
      <c r="BF350" s="26"/>
      <c r="BG350" s="26"/>
      <c r="BH350" s="26"/>
      <c r="BI350" s="26"/>
      <c r="BJ350" s="26"/>
      <c r="BK350" s="26"/>
      <c r="BL350" s="26"/>
      <c r="BM350" s="26"/>
      <c r="BN350" s="26"/>
      <c r="BO350" s="26"/>
      <c r="BP350" s="26"/>
      <c r="BQ350" s="26"/>
      <c r="BR350" s="26"/>
      <c r="BS350" s="26"/>
      <c r="BT350" s="26"/>
      <c r="BU350" s="26"/>
      <c r="BV350" s="26"/>
      <c r="BW350" s="26"/>
      <c r="BX350" s="26"/>
      <c r="BY350" s="26"/>
      <c r="BZ350" s="26"/>
      <c r="CA350" s="26"/>
      <c r="CB350" s="26"/>
      <c r="CC350" s="26"/>
      <c r="CD350" s="26"/>
      <c r="CE350" s="26"/>
      <c r="CF350" s="26"/>
      <c r="CG350" s="26"/>
      <c r="CH350" s="26"/>
      <c r="CI350" s="26"/>
      <c r="CJ350" s="26"/>
      <c r="CK350" s="26"/>
      <c r="CL350" s="26"/>
      <c r="CM350" s="26"/>
      <c r="CN350" s="26"/>
      <c r="CO350" s="26"/>
      <c r="CP350" s="26"/>
      <c r="CQ350" s="26"/>
    </row>
    <row r="351" spans="1:95" s="29" customFormat="1" ht="15" customHeight="1" x14ac:dyDescent="0.25">
      <c r="A351" s="32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  <c r="AJ351" s="26"/>
      <c r="AK351" s="26"/>
      <c r="AL351" s="26"/>
      <c r="AM351" s="26"/>
      <c r="AN351" s="26"/>
      <c r="AO351" s="26"/>
      <c r="AP351" s="26"/>
      <c r="AQ351" s="26"/>
      <c r="AR351" s="26"/>
      <c r="AS351" s="26"/>
      <c r="AT351" s="26"/>
      <c r="AU351" s="26"/>
      <c r="AV351" s="26"/>
      <c r="AW351" s="26"/>
      <c r="AX351" s="26"/>
      <c r="AY351" s="26"/>
      <c r="AZ351" s="26"/>
      <c r="BA351" s="26"/>
      <c r="BB351" s="26"/>
      <c r="BC351" s="26"/>
      <c r="BD351" s="26"/>
      <c r="BE351" s="26"/>
      <c r="BF351" s="26"/>
      <c r="BG351" s="26"/>
      <c r="BH351" s="26"/>
      <c r="BI351" s="26"/>
      <c r="BJ351" s="26"/>
      <c r="BK351" s="26"/>
      <c r="BL351" s="26"/>
      <c r="BM351" s="26"/>
      <c r="BN351" s="26"/>
      <c r="BO351" s="26"/>
      <c r="BP351" s="26"/>
      <c r="BQ351" s="26"/>
      <c r="BR351" s="26"/>
      <c r="BS351" s="26"/>
      <c r="BT351" s="26"/>
      <c r="BU351" s="26"/>
      <c r="BV351" s="26"/>
      <c r="BW351" s="26"/>
      <c r="BX351" s="26"/>
      <c r="BY351" s="26"/>
      <c r="BZ351" s="26"/>
      <c r="CA351" s="26"/>
      <c r="CB351" s="26"/>
      <c r="CC351" s="26"/>
      <c r="CD351" s="26"/>
      <c r="CE351" s="26"/>
      <c r="CF351" s="26"/>
      <c r="CG351" s="26"/>
      <c r="CH351" s="26"/>
      <c r="CI351" s="26"/>
      <c r="CJ351" s="26"/>
      <c r="CK351" s="26"/>
      <c r="CL351" s="26"/>
      <c r="CM351" s="26"/>
      <c r="CN351" s="26"/>
      <c r="CO351" s="26"/>
      <c r="CP351" s="26"/>
      <c r="CQ351" s="26"/>
    </row>
    <row r="352" spans="1:95" s="29" customFormat="1" ht="15" customHeight="1" x14ac:dyDescent="0.25">
      <c r="A352" s="32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  <c r="AJ352" s="26"/>
      <c r="AK352" s="26"/>
      <c r="AL352" s="26"/>
      <c r="AM352" s="26"/>
      <c r="AN352" s="26"/>
      <c r="AO352" s="26"/>
      <c r="AP352" s="26"/>
      <c r="AQ352" s="26"/>
      <c r="AR352" s="26"/>
      <c r="AS352" s="26"/>
      <c r="AT352" s="26"/>
      <c r="AU352" s="26"/>
      <c r="AV352" s="26"/>
      <c r="AW352" s="26"/>
      <c r="AX352" s="26"/>
      <c r="AY352" s="26"/>
      <c r="AZ352" s="26"/>
      <c r="BA352" s="26"/>
      <c r="BB352" s="26"/>
      <c r="BC352" s="26"/>
      <c r="BD352" s="26"/>
      <c r="BE352" s="26"/>
      <c r="BF352" s="26"/>
      <c r="BG352" s="26"/>
      <c r="BH352" s="26"/>
      <c r="BI352" s="26"/>
      <c r="BJ352" s="26"/>
      <c r="BK352" s="26"/>
      <c r="BL352" s="26"/>
      <c r="BM352" s="26"/>
      <c r="BN352" s="26"/>
      <c r="BO352" s="26"/>
      <c r="BP352" s="26"/>
      <c r="BQ352" s="26"/>
      <c r="BR352" s="26"/>
      <c r="BS352" s="26"/>
      <c r="BT352" s="26"/>
      <c r="BU352" s="26"/>
      <c r="BV352" s="26"/>
      <c r="BW352" s="26"/>
      <c r="BX352" s="26"/>
      <c r="BY352" s="26"/>
      <c r="BZ352" s="26"/>
      <c r="CA352" s="26"/>
      <c r="CB352" s="26"/>
      <c r="CC352" s="26"/>
      <c r="CD352" s="26"/>
      <c r="CE352" s="26"/>
      <c r="CF352" s="26"/>
      <c r="CG352" s="26"/>
      <c r="CH352" s="26"/>
      <c r="CI352" s="26"/>
      <c r="CJ352" s="26"/>
      <c r="CK352" s="26"/>
      <c r="CL352" s="26"/>
      <c r="CM352" s="26"/>
      <c r="CN352" s="26"/>
      <c r="CO352" s="26"/>
      <c r="CP352" s="26"/>
      <c r="CQ352" s="26"/>
    </row>
    <row r="353" spans="1:95" s="29" customFormat="1" ht="15" customHeight="1" x14ac:dyDescent="0.25">
      <c r="A353" s="32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  <c r="AO353" s="26"/>
      <c r="AP353" s="26"/>
      <c r="AQ353" s="26"/>
      <c r="AR353" s="26"/>
      <c r="AS353" s="26"/>
      <c r="AT353" s="26"/>
      <c r="AU353" s="26"/>
      <c r="AV353" s="26"/>
      <c r="AW353" s="26"/>
      <c r="AX353" s="26"/>
      <c r="AY353" s="26"/>
      <c r="AZ353" s="26"/>
      <c r="BA353" s="26"/>
      <c r="BB353" s="26"/>
      <c r="BC353" s="26"/>
      <c r="BD353" s="26"/>
      <c r="BE353" s="26"/>
      <c r="BF353" s="26"/>
      <c r="BG353" s="26"/>
      <c r="BH353" s="26"/>
      <c r="BI353" s="26"/>
      <c r="BJ353" s="26"/>
      <c r="BK353" s="26"/>
      <c r="BL353" s="26"/>
      <c r="BM353" s="26"/>
      <c r="BN353" s="26"/>
      <c r="BO353" s="26"/>
      <c r="BP353" s="26"/>
      <c r="BQ353" s="26"/>
      <c r="BR353" s="26"/>
      <c r="BS353" s="26"/>
      <c r="BT353" s="26"/>
      <c r="BU353" s="26"/>
      <c r="BV353" s="26"/>
      <c r="BW353" s="26"/>
      <c r="BX353" s="26"/>
      <c r="BY353" s="26"/>
      <c r="BZ353" s="26"/>
      <c r="CA353" s="26"/>
      <c r="CB353" s="26"/>
      <c r="CC353" s="26"/>
      <c r="CD353" s="26"/>
      <c r="CE353" s="26"/>
      <c r="CF353" s="26"/>
      <c r="CG353" s="26"/>
      <c r="CH353" s="26"/>
      <c r="CI353" s="26"/>
      <c r="CJ353" s="26"/>
      <c r="CK353" s="26"/>
      <c r="CL353" s="26"/>
      <c r="CM353" s="26"/>
      <c r="CN353" s="26"/>
      <c r="CO353" s="26"/>
      <c r="CP353" s="26"/>
      <c r="CQ353" s="26"/>
    </row>
    <row r="354" spans="1:95" s="29" customFormat="1" ht="15" customHeight="1" x14ac:dyDescent="0.25">
      <c r="A354" s="32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  <c r="AP354" s="26"/>
      <c r="AQ354" s="26"/>
      <c r="AR354" s="26"/>
      <c r="AS354" s="26"/>
      <c r="AT354" s="26"/>
      <c r="AU354" s="26"/>
      <c r="AV354" s="26"/>
      <c r="AW354" s="26"/>
      <c r="AX354" s="26"/>
      <c r="AY354" s="26"/>
      <c r="AZ354" s="26"/>
      <c r="BA354" s="26"/>
      <c r="BB354" s="26"/>
      <c r="BC354" s="26"/>
      <c r="BD354" s="26"/>
      <c r="BE354" s="26"/>
      <c r="BF354" s="26"/>
      <c r="BG354" s="26"/>
      <c r="BH354" s="26"/>
      <c r="BI354" s="26"/>
      <c r="BJ354" s="26"/>
      <c r="BK354" s="26"/>
      <c r="BL354" s="26"/>
      <c r="BM354" s="26"/>
      <c r="BN354" s="26"/>
      <c r="BO354" s="26"/>
      <c r="BP354" s="26"/>
      <c r="BQ354" s="26"/>
      <c r="BR354" s="26"/>
      <c r="BS354" s="26"/>
      <c r="BT354" s="26"/>
      <c r="BU354" s="26"/>
      <c r="BV354" s="26"/>
      <c r="BW354" s="26"/>
      <c r="BX354" s="26"/>
      <c r="BY354" s="26"/>
      <c r="BZ354" s="26"/>
      <c r="CA354" s="26"/>
      <c r="CB354" s="26"/>
      <c r="CC354" s="26"/>
      <c r="CD354" s="26"/>
      <c r="CE354" s="26"/>
      <c r="CF354" s="26"/>
      <c r="CG354" s="26"/>
      <c r="CH354" s="26"/>
      <c r="CI354" s="26"/>
      <c r="CJ354" s="26"/>
      <c r="CK354" s="26"/>
      <c r="CL354" s="26"/>
      <c r="CM354" s="26"/>
      <c r="CN354" s="26"/>
      <c r="CO354" s="26"/>
      <c r="CP354" s="26"/>
      <c r="CQ354" s="26"/>
    </row>
    <row r="355" spans="1:95" s="29" customFormat="1" ht="15" customHeight="1" x14ac:dyDescent="0.25">
      <c r="A355" s="32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  <c r="AO355" s="26"/>
      <c r="AP355" s="26"/>
      <c r="AQ355" s="26"/>
      <c r="AR355" s="26"/>
      <c r="AS355" s="26"/>
      <c r="AT355" s="26"/>
      <c r="AU355" s="26"/>
      <c r="AV355" s="26"/>
      <c r="AW355" s="26"/>
      <c r="AX355" s="26"/>
      <c r="AY355" s="26"/>
      <c r="AZ355" s="26"/>
      <c r="BA355" s="26"/>
      <c r="BB355" s="26"/>
      <c r="BC355" s="26"/>
      <c r="BD355" s="26"/>
      <c r="BE355" s="26"/>
      <c r="BF355" s="26"/>
      <c r="BG355" s="26"/>
      <c r="BH355" s="26"/>
      <c r="BI355" s="26"/>
      <c r="BJ355" s="26"/>
      <c r="BK355" s="26"/>
      <c r="BL355" s="26"/>
      <c r="BM355" s="26"/>
      <c r="BN355" s="26"/>
      <c r="BO355" s="26"/>
      <c r="BP355" s="26"/>
      <c r="BQ355" s="26"/>
      <c r="BR355" s="26"/>
      <c r="BS355" s="26"/>
      <c r="BT355" s="26"/>
      <c r="BU355" s="26"/>
      <c r="BV355" s="26"/>
      <c r="BW355" s="26"/>
      <c r="BX355" s="26"/>
      <c r="BY355" s="26"/>
      <c r="BZ355" s="26"/>
      <c r="CA355" s="26"/>
      <c r="CB355" s="26"/>
      <c r="CC355" s="26"/>
      <c r="CD355" s="26"/>
      <c r="CE355" s="26"/>
      <c r="CF355" s="26"/>
      <c r="CG355" s="26"/>
      <c r="CH355" s="26"/>
      <c r="CI355" s="26"/>
      <c r="CJ355" s="26"/>
      <c r="CK355" s="26"/>
      <c r="CL355" s="26"/>
      <c r="CM355" s="26"/>
      <c r="CN355" s="26"/>
      <c r="CO355" s="26"/>
      <c r="CP355" s="26"/>
      <c r="CQ355" s="26"/>
    </row>
    <row r="356" spans="1:95" s="29" customFormat="1" ht="15" customHeight="1" x14ac:dyDescent="0.25">
      <c r="A356" s="32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  <c r="AM356" s="26"/>
      <c r="AN356" s="26"/>
      <c r="AO356" s="26"/>
      <c r="AP356" s="26"/>
      <c r="AQ356" s="26"/>
      <c r="AR356" s="26"/>
      <c r="AS356" s="26"/>
      <c r="AT356" s="26"/>
      <c r="AU356" s="26"/>
      <c r="AV356" s="26"/>
      <c r="AW356" s="26"/>
      <c r="AX356" s="26"/>
      <c r="AY356" s="26"/>
      <c r="AZ356" s="26"/>
      <c r="BA356" s="26"/>
      <c r="BB356" s="26"/>
      <c r="BC356" s="26"/>
      <c r="BD356" s="26"/>
      <c r="BE356" s="26"/>
      <c r="BF356" s="26"/>
      <c r="BG356" s="26"/>
      <c r="BH356" s="26"/>
      <c r="BI356" s="26"/>
      <c r="BJ356" s="26"/>
      <c r="BK356" s="26"/>
      <c r="BL356" s="26"/>
      <c r="BM356" s="26"/>
      <c r="BN356" s="26"/>
      <c r="BO356" s="26"/>
      <c r="BP356" s="26"/>
      <c r="BQ356" s="26"/>
      <c r="BR356" s="26"/>
      <c r="BS356" s="26"/>
      <c r="BT356" s="26"/>
      <c r="BU356" s="26"/>
      <c r="BV356" s="26"/>
      <c r="BW356" s="26"/>
      <c r="BX356" s="26"/>
      <c r="BY356" s="26"/>
      <c r="BZ356" s="26"/>
      <c r="CA356" s="26"/>
      <c r="CB356" s="26"/>
      <c r="CC356" s="26"/>
      <c r="CD356" s="26"/>
      <c r="CE356" s="26"/>
      <c r="CF356" s="26"/>
      <c r="CG356" s="26"/>
      <c r="CH356" s="26"/>
      <c r="CI356" s="26"/>
      <c r="CJ356" s="26"/>
      <c r="CK356" s="26"/>
      <c r="CL356" s="26"/>
      <c r="CM356" s="26"/>
      <c r="CN356" s="26"/>
      <c r="CO356" s="26"/>
      <c r="CP356" s="26"/>
      <c r="CQ356" s="26"/>
    </row>
    <row r="357" spans="1:95" s="29" customFormat="1" ht="15" customHeight="1" x14ac:dyDescent="0.25">
      <c r="A357" s="32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  <c r="AH357" s="26"/>
      <c r="AI357" s="26"/>
      <c r="AJ357" s="26"/>
      <c r="AK357" s="26"/>
      <c r="AL357" s="26"/>
      <c r="AM357" s="26"/>
      <c r="AN357" s="26"/>
      <c r="AO357" s="26"/>
      <c r="AP357" s="26"/>
      <c r="AQ357" s="26"/>
      <c r="AR357" s="26"/>
      <c r="AS357" s="26"/>
      <c r="AT357" s="26"/>
      <c r="AU357" s="26"/>
      <c r="AV357" s="26"/>
      <c r="AW357" s="26"/>
      <c r="AX357" s="26"/>
      <c r="AY357" s="26"/>
      <c r="AZ357" s="26"/>
      <c r="BA357" s="26"/>
      <c r="BB357" s="26"/>
      <c r="BC357" s="26"/>
      <c r="BD357" s="26"/>
      <c r="BE357" s="26"/>
      <c r="BF357" s="26"/>
      <c r="BG357" s="26"/>
      <c r="BH357" s="26"/>
      <c r="BI357" s="26"/>
      <c r="BJ357" s="26"/>
      <c r="BK357" s="26"/>
      <c r="BL357" s="26"/>
      <c r="BM357" s="26"/>
      <c r="BN357" s="26"/>
      <c r="BO357" s="26"/>
      <c r="BP357" s="26"/>
      <c r="BQ357" s="26"/>
      <c r="BR357" s="26"/>
      <c r="BS357" s="26"/>
      <c r="BT357" s="26"/>
      <c r="BU357" s="26"/>
      <c r="BV357" s="26"/>
      <c r="BW357" s="26"/>
      <c r="BX357" s="26"/>
      <c r="BY357" s="26"/>
      <c r="BZ357" s="26"/>
      <c r="CA357" s="26"/>
      <c r="CB357" s="26"/>
      <c r="CC357" s="26"/>
      <c r="CD357" s="26"/>
      <c r="CE357" s="26"/>
      <c r="CF357" s="26"/>
      <c r="CG357" s="26"/>
      <c r="CH357" s="26"/>
      <c r="CI357" s="26"/>
      <c r="CJ357" s="26"/>
      <c r="CK357" s="26"/>
      <c r="CL357" s="26"/>
      <c r="CM357" s="26"/>
      <c r="CN357" s="26"/>
      <c r="CO357" s="26"/>
      <c r="CP357" s="26"/>
      <c r="CQ357" s="26"/>
    </row>
    <row r="358" spans="1:95" s="29" customFormat="1" ht="15" customHeight="1" x14ac:dyDescent="0.25">
      <c r="A358" s="32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  <c r="AJ358" s="26"/>
      <c r="AK358" s="26"/>
      <c r="AL358" s="26"/>
      <c r="AM358" s="26"/>
      <c r="AN358" s="26"/>
      <c r="AO358" s="26"/>
      <c r="AP358" s="26"/>
      <c r="AQ358" s="26"/>
      <c r="AR358" s="26"/>
      <c r="AS358" s="26"/>
      <c r="AT358" s="26"/>
      <c r="AU358" s="26"/>
      <c r="AV358" s="26"/>
      <c r="AW358" s="26"/>
      <c r="AX358" s="26"/>
      <c r="AY358" s="26"/>
      <c r="AZ358" s="26"/>
      <c r="BA358" s="26"/>
      <c r="BB358" s="26"/>
      <c r="BC358" s="26"/>
      <c r="BD358" s="26"/>
      <c r="BE358" s="26"/>
      <c r="BF358" s="26"/>
      <c r="BG358" s="26"/>
      <c r="BH358" s="26"/>
      <c r="BI358" s="26"/>
      <c r="BJ358" s="26"/>
      <c r="BK358" s="26"/>
      <c r="BL358" s="26"/>
      <c r="BM358" s="26"/>
      <c r="BN358" s="26"/>
      <c r="BO358" s="26"/>
      <c r="BP358" s="26"/>
      <c r="BQ358" s="26"/>
      <c r="BR358" s="26"/>
      <c r="BS358" s="26"/>
      <c r="BT358" s="26"/>
      <c r="BU358" s="26"/>
      <c r="BV358" s="26"/>
      <c r="BW358" s="26"/>
      <c r="BX358" s="26"/>
      <c r="BY358" s="26"/>
      <c r="BZ358" s="26"/>
      <c r="CA358" s="26"/>
      <c r="CB358" s="26"/>
      <c r="CC358" s="26"/>
      <c r="CD358" s="26"/>
      <c r="CE358" s="26"/>
      <c r="CF358" s="26"/>
      <c r="CG358" s="26"/>
      <c r="CH358" s="26"/>
      <c r="CI358" s="26"/>
      <c r="CJ358" s="26"/>
      <c r="CK358" s="26"/>
      <c r="CL358" s="26"/>
      <c r="CM358" s="26"/>
      <c r="CN358" s="26"/>
      <c r="CO358" s="26"/>
      <c r="CP358" s="26"/>
      <c r="CQ358" s="26"/>
    </row>
    <row r="359" spans="1:95" s="29" customFormat="1" ht="15" customHeight="1" x14ac:dyDescent="0.25">
      <c r="A359" s="32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  <c r="AJ359" s="26"/>
      <c r="AK359" s="26"/>
      <c r="AL359" s="26"/>
      <c r="AM359" s="26"/>
      <c r="AN359" s="26"/>
      <c r="AO359" s="26"/>
      <c r="AP359" s="26"/>
      <c r="AQ359" s="26"/>
      <c r="AR359" s="26"/>
      <c r="AS359" s="26"/>
      <c r="AT359" s="26"/>
      <c r="AU359" s="26"/>
      <c r="AV359" s="26"/>
      <c r="AW359" s="26"/>
      <c r="AX359" s="26"/>
      <c r="AY359" s="26"/>
      <c r="AZ359" s="26"/>
      <c r="BA359" s="26"/>
      <c r="BB359" s="26"/>
      <c r="BC359" s="26"/>
      <c r="BD359" s="26"/>
      <c r="BE359" s="26"/>
      <c r="BF359" s="26"/>
      <c r="BG359" s="26"/>
      <c r="BH359" s="26"/>
      <c r="BI359" s="26"/>
      <c r="BJ359" s="26"/>
      <c r="BK359" s="26"/>
      <c r="BL359" s="26"/>
      <c r="BM359" s="26"/>
      <c r="BN359" s="26"/>
      <c r="BO359" s="26"/>
      <c r="BP359" s="26"/>
      <c r="BQ359" s="26"/>
      <c r="BR359" s="26"/>
      <c r="BS359" s="26"/>
      <c r="BT359" s="26"/>
      <c r="BU359" s="26"/>
      <c r="BV359" s="26"/>
      <c r="BW359" s="26"/>
      <c r="BX359" s="26"/>
      <c r="BY359" s="26"/>
      <c r="BZ359" s="26"/>
      <c r="CA359" s="26"/>
      <c r="CB359" s="26"/>
      <c r="CC359" s="26"/>
      <c r="CD359" s="26"/>
      <c r="CE359" s="26"/>
      <c r="CF359" s="26"/>
      <c r="CG359" s="26"/>
      <c r="CH359" s="26"/>
      <c r="CI359" s="26"/>
      <c r="CJ359" s="26"/>
      <c r="CK359" s="26"/>
      <c r="CL359" s="26"/>
      <c r="CM359" s="26"/>
      <c r="CN359" s="26"/>
      <c r="CO359" s="26"/>
      <c r="CP359" s="26"/>
      <c r="CQ359" s="26"/>
    </row>
    <row r="360" spans="1:95" s="29" customFormat="1" ht="15" customHeight="1" x14ac:dyDescent="0.25">
      <c r="A360" s="32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  <c r="AJ360" s="26"/>
      <c r="AK360" s="26"/>
      <c r="AL360" s="26"/>
      <c r="AM360" s="26"/>
      <c r="AN360" s="26"/>
      <c r="AO360" s="26"/>
      <c r="AP360" s="26"/>
      <c r="AQ360" s="26"/>
      <c r="AR360" s="26"/>
      <c r="AS360" s="26"/>
      <c r="AT360" s="26"/>
      <c r="AU360" s="26"/>
      <c r="AV360" s="26"/>
      <c r="AW360" s="26"/>
      <c r="AX360" s="26"/>
      <c r="AY360" s="26"/>
      <c r="AZ360" s="26"/>
      <c r="BA360" s="26"/>
      <c r="BB360" s="26"/>
      <c r="BC360" s="26"/>
      <c r="BD360" s="26"/>
      <c r="BE360" s="26"/>
      <c r="BF360" s="26"/>
      <c r="BG360" s="26"/>
      <c r="BH360" s="26"/>
      <c r="BI360" s="26"/>
      <c r="BJ360" s="26"/>
      <c r="BK360" s="26"/>
      <c r="BL360" s="26"/>
      <c r="BM360" s="26"/>
      <c r="BN360" s="26"/>
      <c r="BO360" s="26"/>
      <c r="BP360" s="26"/>
      <c r="BQ360" s="26"/>
      <c r="BR360" s="26"/>
      <c r="BS360" s="26"/>
      <c r="BT360" s="26"/>
      <c r="BU360" s="26"/>
      <c r="BV360" s="26"/>
      <c r="BW360" s="26"/>
      <c r="BX360" s="26"/>
      <c r="BY360" s="26"/>
      <c r="BZ360" s="26"/>
      <c r="CA360" s="26"/>
      <c r="CB360" s="26"/>
      <c r="CC360" s="26"/>
      <c r="CD360" s="26"/>
      <c r="CE360" s="26"/>
      <c r="CF360" s="26"/>
      <c r="CG360" s="26"/>
      <c r="CH360" s="26"/>
      <c r="CI360" s="26"/>
      <c r="CJ360" s="26"/>
      <c r="CK360" s="26"/>
      <c r="CL360" s="26"/>
      <c r="CM360" s="26"/>
      <c r="CN360" s="26"/>
      <c r="CO360" s="26"/>
      <c r="CP360" s="26"/>
      <c r="CQ360" s="26"/>
    </row>
    <row r="361" spans="1:95" s="29" customFormat="1" ht="15" customHeight="1" x14ac:dyDescent="0.25">
      <c r="A361" s="32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  <c r="AJ361" s="26"/>
      <c r="AK361" s="26"/>
      <c r="AL361" s="26"/>
      <c r="AM361" s="26"/>
      <c r="AN361" s="26"/>
      <c r="AO361" s="26"/>
      <c r="AP361" s="26"/>
      <c r="AQ361" s="26"/>
      <c r="AR361" s="26"/>
      <c r="AS361" s="26"/>
      <c r="AT361" s="26"/>
      <c r="AU361" s="26"/>
      <c r="AV361" s="26"/>
      <c r="AW361" s="26"/>
      <c r="AX361" s="26"/>
      <c r="AY361" s="26"/>
      <c r="AZ361" s="26"/>
      <c r="BA361" s="26"/>
      <c r="BB361" s="26"/>
      <c r="BC361" s="26"/>
      <c r="BD361" s="26"/>
      <c r="BE361" s="26"/>
      <c r="BF361" s="26"/>
      <c r="BG361" s="26"/>
      <c r="BH361" s="26"/>
      <c r="BI361" s="26"/>
      <c r="BJ361" s="26"/>
      <c r="BK361" s="26"/>
      <c r="BL361" s="26"/>
      <c r="BM361" s="26"/>
      <c r="BN361" s="26"/>
      <c r="BO361" s="26"/>
      <c r="BP361" s="26"/>
      <c r="BQ361" s="26"/>
      <c r="BR361" s="26"/>
      <c r="BS361" s="26"/>
      <c r="BT361" s="26"/>
      <c r="BU361" s="26"/>
      <c r="BV361" s="26"/>
      <c r="BW361" s="26"/>
      <c r="BX361" s="26"/>
      <c r="BY361" s="26"/>
      <c r="BZ361" s="26"/>
      <c r="CA361" s="26"/>
      <c r="CB361" s="26"/>
      <c r="CC361" s="26"/>
      <c r="CD361" s="26"/>
      <c r="CE361" s="26"/>
      <c r="CF361" s="26"/>
      <c r="CG361" s="26"/>
      <c r="CH361" s="26"/>
      <c r="CI361" s="26"/>
      <c r="CJ361" s="26"/>
      <c r="CK361" s="26"/>
      <c r="CL361" s="26"/>
      <c r="CM361" s="26"/>
      <c r="CN361" s="26"/>
      <c r="CO361" s="26"/>
      <c r="CP361" s="26"/>
      <c r="CQ361" s="26"/>
    </row>
    <row r="362" spans="1:95" s="29" customFormat="1" ht="15" customHeight="1" x14ac:dyDescent="0.25">
      <c r="A362" s="32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/>
      <c r="AI362" s="26"/>
      <c r="AJ362" s="26"/>
      <c r="AK362" s="26"/>
      <c r="AL362" s="26"/>
      <c r="AM362" s="26"/>
      <c r="AN362" s="26"/>
      <c r="AO362" s="26"/>
      <c r="AP362" s="26"/>
      <c r="AQ362" s="26"/>
      <c r="AR362" s="26"/>
      <c r="AS362" s="26"/>
      <c r="AT362" s="26"/>
      <c r="AU362" s="26"/>
      <c r="AV362" s="26"/>
      <c r="AW362" s="26"/>
      <c r="AX362" s="26"/>
      <c r="AY362" s="26"/>
      <c r="AZ362" s="26"/>
      <c r="BA362" s="26"/>
      <c r="BB362" s="26"/>
      <c r="BC362" s="26"/>
      <c r="BD362" s="26"/>
      <c r="BE362" s="26"/>
      <c r="BF362" s="26"/>
      <c r="BG362" s="26"/>
      <c r="BH362" s="26"/>
      <c r="BI362" s="26"/>
      <c r="BJ362" s="26"/>
      <c r="BK362" s="26"/>
      <c r="BL362" s="26"/>
      <c r="BM362" s="26"/>
      <c r="BN362" s="26"/>
      <c r="BO362" s="26"/>
      <c r="BP362" s="26"/>
      <c r="BQ362" s="26"/>
      <c r="BR362" s="26"/>
      <c r="BS362" s="26"/>
      <c r="BT362" s="26"/>
      <c r="BU362" s="26"/>
      <c r="BV362" s="26"/>
      <c r="BW362" s="26"/>
      <c r="BX362" s="26"/>
      <c r="BY362" s="26"/>
      <c r="BZ362" s="26"/>
      <c r="CA362" s="26"/>
      <c r="CB362" s="26"/>
      <c r="CC362" s="26"/>
      <c r="CD362" s="26"/>
      <c r="CE362" s="26"/>
      <c r="CF362" s="26"/>
      <c r="CG362" s="26"/>
      <c r="CH362" s="26"/>
      <c r="CI362" s="26"/>
      <c r="CJ362" s="26"/>
      <c r="CK362" s="26"/>
      <c r="CL362" s="26"/>
      <c r="CM362" s="26"/>
      <c r="CN362" s="26"/>
      <c r="CO362" s="26"/>
      <c r="CP362" s="26"/>
      <c r="CQ362" s="26"/>
    </row>
    <row r="363" spans="1:95" s="29" customFormat="1" ht="15" customHeight="1" x14ac:dyDescent="0.25">
      <c r="A363" s="32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  <c r="AH363" s="26"/>
      <c r="AI363" s="26"/>
      <c r="AJ363" s="26"/>
      <c r="AK363" s="26"/>
      <c r="AL363" s="26"/>
      <c r="AM363" s="26"/>
      <c r="AN363" s="26"/>
      <c r="AO363" s="26"/>
      <c r="AP363" s="26"/>
      <c r="AQ363" s="26"/>
      <c r="AR363" s="26"/>
      <c r="AS363" s="26"/>
      <c r="AT363" s="26"/>
      <c r="AU363" s="26"/>
      <c r="AV363" s="26"/>
      <c r="AW363" s="26"/>
      <c r="AX363" s="26"/>
      <c r="AY363" s="26"/>
      <c r="AZ363" s="26"/>
      <c r="BA363" s="26"/>
      <c r="BB363" s="26"/>
      <c r="BC363" s="26"/>
      <c r="BD363" s="26"/>
      <c r="BE363" s="26"/>
      <c r="BF363" s="26"/>
      <c r="BG363" s="26"/>
      <c r="BH363" s="26"/>
      <c r="BI363" s="26"/>
      <c r="BJ363" s="26"/>
      <c r="BK363" s="26"/>
      <c r="BL363" s="26"/>
      <c r="BM363" s="26"/>
      <c r="BN363" s="26"/>
      <c r="BO363" s="26"/>
      <c r="BP363" s="26"/>
      <c r="BQ363" s="26"/>
      <c r="BR363" s="26"/>
      <c r="BS363" s="26"/>
      <c r="BT363" s="26"/>
      <c r="BU363" s="26"/>
      <c r="BV363" s="26"/>
      <c r="BW363" s="26"/>
      <c r="BX363" s="26"/>
      <c r="BY363" s="26"/>
      <c r="BZ363" s="26"/>
      <c r="CA363" s="26"/>
      <c r="CB363" s="26"/>
      <c r="CC363" s="26"/>
      <c r="CD363" s="26"/>
      <c r="CE363" s="26"/>
      <c r="CF363" s="26"/>
      <c r="CG363" s="26"/>
      <c r="CH363" s="26"/>
      <c r="CI363" s="26"/>
      <c r="CJ363" s="26"/>
      <c r="CK363" s="26"/>
      <c r="CL363" s="26"/>
      <c r="CM363" s="26"/>
      <c r="CN363" s="26"/>
      <c r="CO363" s="26"/>
      <c r="CP363" s="26"/>
      <c r="CQ363" s="26"/>
    </row>
    <row r="364" spans="1:95" s="29" customFormat="1" ht="15" customHeight="1" x14ac:dyDescent="0.25">
      <c r="A364" s="32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  <c r="AI364" s="26"/>
      <c r="AJ364" s="26"/>
      <c r="AK364" s="26"/>
      <c r="AL364" s="26"/>
      <c r="AM364" s="26"/>
      <c r="AN364" s="26"/>
      <c r="AO364" s="26"/>
      <c r="AP364" s="26"/>
      <c r="AQ364" s="26"/>
      <c r="AR364" s="26"/>
      <c r="AS364" s="26"/>
      <c r="AT364" s="26"/>
      <c r="AU364" s="26"/>
      <c r="AV364" s="26"/>
      <c r="AW364" s="26"/>
      <c r="AX364" s="26"/>
      <c r="AY364" s="26"/>
      <c r="AZ364" s="26"/>
      <c r="BA364" s="26"/>
      <c r="BB364" s="26"/>
      <c r="BC364" s="26"/>
      <c r="BD364" s="26"/>
      <c r="BE364" s="26"/>
      <c r="BF364" s="26"/>
      <c r="BG364" s="26"/>
      <c r="BH364" s="26"/>
      <c r="BI364" s="26"/>
      <c r="BJ364" s="26"/>
      <c r="BK364" s="26"/>
      <c r="BL364" s="26"/>
      <c r="BM364" s="26"/>
      <c r="BN364" s="26"/>
      <c r="BO364" s="26"/>
      <c r="BP364" s="26"/>
      <c r="BQ364" s="26"/>
      <c r="BR364" s="26"/>
      <c r="BS364" s="26"/>
      <c r="BT364" s="26"/>
      <c r="BU364" s="26"/>
      <c r="BV364" s="26"/>
      <c r="BW364" s="26"/>
      <c r="BX364" s="26"/>
      <c r="BY364" s="26"/>
      <c r="BZ364" s="26"/>
      <c r="CA364" s="26"/>
      <c r="CB364" s="26"/>
      <c r="CC364" s="26"/>
      <c r="CD364" s="26"/>
      <c r="CE364" s="26"/>
      <c r="CF364" s="26"/>
      <c r="CG364" s="26"/>
      <c r="CH364" s="26"/>
      <c r="CI364" s="26"/>
      <c r="CJ364" s="26"/>
      <c r="CK364" s="26"/>
      <c r="CL364" s="26"/>
      <c r="CM364" s="26"/>
      <c r="CN364" s="26"/>
      <c r="CO364" s="26"/>
      <c r="CP364" s="26"/>
      <c r="CQ364" s="26"/>
    </row>
    <row r="365" spans="1:95" s="29" customFormat="1" ht="15" customHeight="1" x14ac:dyDescent="0.25">
      <c r="A365" s="32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  <c r="AJ365" s="26"/>
      <c r="AK365" s="26"/>
      <c r="AL365" s="26"/>
      <c r="AM365" s="26"/>
      <c r="AN365" s="26"/>
      <c r="AO365" s="26"/>
      <c r="AP365" s="26"/>
      <c r="AQ365" s="26"/>
      <c r="AR365" s="26"/>
      <c r="AS365" s="26"/>
      <c r="AT365" s="26"/>
      <c r="AU365" s="26"/>
      <c r="AV365" s="26"/>
      <c r="AW365" s="26"/>
      <c r="AX365" s="26"/>
      <c r="AY365" s="26"/>
      <c r="AZ365" s="26"/>
      <c r="BA365" s="26"/>
      <c r="BB365" s="26"/>
      <c r="BC365" s="26"/>
      <c r="BD365" s="26"/>
      <c r="BE365" s="26"/>
      <c r="BF365" s="26"/>
      <c r="BG365" s="26"/>
      <c r="BH365" s="26"/>
      <c r="BI365" s="26"/>
      <c r="BJ365" s="26"/>
      <c r="BK365" s="26"/>
      <c r="BL365" s="26"/>
      <c r="BM365" s="26"/>
      <c r="BN365" s="26"/>
      <c r="BO365" s="26"/>
      <c r="BP365" s="26"/>
      <c r="BQ365" s="26"/>
      <c r="BR365" s="26"/>
      <c r="BS365" s="26"/>
      <c r="BT365" s="26"/>
      <c r="BU365" s="26"/>
      <c r="BV365" s="26"/>
      <c r="BW365" s="26"/>
      <c r="BX365" s="26"/>
      <c r="BY365" s="26"/>
      <c r="BZ365" s="26"/>
      <c r="CA365" s="26"/>
      <c r="CB365" s="26"/>
      <c r="CC365" s="26"/>
      <c r="CD365" s="26"/>
      <c r="CE365" s="26"/>
      <c r="CF365" s="26"/>
      <c r="CG365" s="26"/>
      <c r="CH365" s="26"/>
      <c r="CI365" s="26"/>
      <c r="CJ365" s="26"/>
      <c r="CK365" s="26"/>
      <c r="CL365" s="26"/>
      <c r="CM365" s="26"/>
      <c r="CN365" s="26"/>
      <c r="CO365" s="26"/>
      <c r="CP365" s="26"/>
      <c r="CQ365" s="26"/>
    </row>
    <row r="366" spans="1:95" s="29" customFormat="1" ht="15" customHeight="1" x14ac:dyDescent="0.25">
      <c r="A366" s="32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26"/>
      <c r="AL366" s="26"/>
      <c r="AM366" s="26"/>
      <c r="AN366" s="26"/>
      <c r="AO366" s="26"/>
      <c r="AP366" s="26"/>
      <c r="AQ366" s="26"/>
      <c r="AR366" s="26"/>
      <c r="AS366" s="26"/>
      <c r="AT366" s="26"/>
      <c r="AU366" s="26"/>
      <c r="AV366" s="26"/>
      <c r="AW366" s="26"/>
      <c r="AX366" s="26"/>
      <c r="AY366" s="26"/>
      <c r="AZ366" s="26"/>
      <c r="BA366" s="26"/>
      <c r="BB366" s="26"/>
      <c r="BC366" s="26"/>
      <c r="BD366" s="26"/>
      <c r="BE366" s="26"/>
      <c r="BF366" s="26"/>
      <c r="BG366" s="26"/>
      <c r="BH366" s="26"/>
      <c r="BI366" s="26"/>
      <c r="BJ366" s="26"/>
      <c r="BK366" s="26"/>
      <c r="BL366" s="26"/>
      <c r="BM366" s="26"/>
      <c r="BN366" s="26"/>
      <c r="BO366" s="26"/>
      <c r="BP366" s="26"/>
      <c r="BQ366" s="26"/>
      <c r="BR366" s="26"/>
      <c r="BS366" s="26"/>
      <c r="BT366" s="26"/>
      <c r="BU366" s="26"/>
      <c r="BV366" s="26"/>
      <c r="BW366" s="26"/>
      <c r="BX366" s="26"/>
      <c r="BY366" s="26"/>
      <c r="BZ366" s="26"/>
      <c r="CA366" s="26"/>
      <c r="CB366" s="26"/>
      <c r="CC366" s="26"/>
      <c r="CD366" s="26"/>
      <c r="CE366" s="26"/>
      <c r="CF366" s="26"/>
      <c r="CG366" s="26"/>
      <c r="CH366" s="26"/>
      <c r="CI366" s="26"/>
      <c r="CJ366" s="26"/>
      <c r="CK366" s="26"/>
      <c r="CL366" s="26"/>
      <c r="CM366" s="26"/>
      <c r="CN366" s="26"/>
      <c r="CO366" s="26"/>
      <c r="CP366" s="26"/>
      <c r="CQ366" s="26"/>
    </row>
    <row r="367" spans="1:95" s="29" customFormat="1" ht="15" customHeight="1" x14ac:dyDescent="0.25">
      <c r="A367" s="32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  <c r="AK367" s="26"/>
      <c r="AL367" s="26"/>
      <c r="AM367" s="26"/>
      <c r="AN367" s="26"/>
      <c r="AO367" s="26"/>
      <c r="AP367" s="26"/>
      <c r="AQ367" s="26"/>
      <c r="AR367" s="26"/>
      <c r="AS367" s="26"/>
      <c r="AT367" s="26"/>
      <c r="AU367" s="26"/>
      <c r="AV367" s="26"/>
      <c r="AW367" s="26"/>
      <c r="AX367" s="26"/>
      <c r="AY367" s="26"/>
      <c r="AZ367" s="26"/>
      <c r="BA367" s="26"/>
      <c r="BB367" s="26"/>
      <c r="BC367" s="26"/>
      <c r="BD367" s="26"/>
      <c r="BE367" s="26"/>
      <c r="BF367" s="26"/>
      <c r="BG367" s="26"/>
      <c r="BH367" s="26"/>
      <c r="BI367" s="26"/>
      <c r="BJ367" s="26"/>
      <c r="BK367" s="26"/>
      <c r="BL367" s="26"/>
      <c r="BM367" s="26"/>
      <c r="BN367" s="26"/>
      <c r="BO367" s="26"/>
      <c r="BP367" s="26"/>
      <c r="BQ367" s="26"/>
      <c r="BR367" s="26"/>
      <c r="BS367" s="26"/>
      <c r="BT367" s="26"/>
      <c r="BU367" s="26"/>
      <c r="BV367" s="26"/>
      <c r="BW367" s="26"/>
      <c r="BX367" s="26"/>
      <c r="BY367" s="26"/>
      <c r="BZ367" s="26"/>
      <c r="CA367" s="26"/>
      <c r="CB367" s="26"/>
      <c r="CC367" s="26"/>
      <c r="CD367" s="26"/>
      <c r="CE367" s="26"/>
      <c r="CF367" s="26"/>
      <c r="CG367" s="26"/>
      <c r="CH367" s="26"/>
      <c r="CI367" s="26"/>
      <c r="CJ367" s="26"/>
      <c r="CK367" s="26"/>
      <c r="CL367" s="26"/>
      <c r="CM367" s="26"/>
      <c r="CN367" s="26"/>
      <c r="CO367" s="26"/>
      <c r="CP367" s="26"/>
      <c r="CQ367" s="26"/>
    </row>
    <row r="368" spans="1:95" s="29" customFormat="1" ht="15" customHeight="1" x14ac:dyDescent="0.25">
      <c r="A368" s="32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  <c r="AN368" s="26"/>
      <c r="AO368" s="26"/>
      <c r="AP368" s="26"/>
      <c r="AQ368" s="26"/>
      <c r="AR368" s="26"/>
      <c r="AS368" s="26"/>
      <c r="AT368" s="26"/>
      <c r="AU368" s="26"/>
      <c r="AV368" s="26"/>
      <c r="AW368" s="26"/>
      <c r="AX368" s="26"/>
      <c r="AY368" s="26"/>
      <c r="AZ368" s="26"/>
      <c r="BA368" s="26"/>
      <c r="BB368" s="26"/>
      <c r="BC368" s="26"/>
      <c r="BD368" s="26"/>
      <c r="BE368" s="26"/>
      <c r="BF368" s="26"/>
      <c r="BG368" s="26"/>
      <c r="BH368" s="26"/>
      <c r="BI368" s="26"/>
      <c r="BJ368" s="26"/>
      <c r="BK368" s="26"/>
      <c r="BL368" s="26"/>
      <c r="BM368" s="26"/>
      <c r="BN368" s="26"/>
      <c r="BO368" s="26"/>
      <c r="BP368" s="26"/>
      <c r="BQ368" s="26"/>
      <c r="BR368" s="26"/>
      <c r="BS368" s="26"/>
      <c r="BT368" s="26"/>
      <c r="BU368" s="26"/>
      <c r="BV368" s="26"/>
      <c r="BW368" s="26"/>
      <c r="BX368" s="26"/>
      <c r="BY368" s="26"/>
      <c r="BZ368" s="26"/>
      <c r="CA368" s="26"/>
      <c r="CB368" s="26"/>
      <c r="CC368" s="26"/>
      <c r="CD368" s="26"/>
      <c r="CE368" s="26"/>
      <c r="CF368" s="26"/>
      <c r="CG368" s="26"/>
      <c r="CH368" s="26"/>
      <c r="CI368" s="26"/>
      <c r="CJ368" s="26"/>
      <c r="CK368" s="26"/>
      <c r="CL368" s="26"/>
      <c r="CM368" s="26"/>
      <c r="CN368" s="26"/>
      <c r="CO368" s="26"/>
      <c r="CP368" s="26"/>
      <c r="CQ368" s="26"/>
    </row>
    <row r="369" spans="1:95" s="29" customFormat="1" ht="15" customHeight="1" x14ac:dyDescent="0.25">
      <c r="A369" s="32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  <c r="AK369" s="26"/>
      <c r="AL369" s="26"/>
      <c r="AM369" s="26"/>
      <c r="AN369" s="26"/>
      <c r="AO369" s="26"/>
      <c r="AP369" s="26"/>
      <c r="AQ369" s="26"/>
      <c r="AR369" s="26"/>
      <c r="AS369" s="26"/>
      <c r="AT369" s="26"/>
      <c r="AU369" s="26"/>
      <c r="AV369" s="26"/>
      <c r="AW369" s="26"/>
      <c r="AX369" s="26"/>
      <c r="AY369" s="26"/>
      <c r="AZ369" s="26"/>
      <c r="BA369" s="26"/>
      <c r="BB369" s="26"/>
      <c r="BC369" s="26"/>
      <c r="BD369" s="26"/>
      <c r="BE369" s="26"/>
      <c r="BF369" s="26"/>
      <c r="BG369" s="26"/>
      <c r="BH369" s="26"/>
      <c r="BI369" s="26"/>
      <c r="BJ369" s="26"/>
      <c r="BK369" s="26"/>
      <c r="BL369" s="26"/>
      <c r="BM369" s="26"/>
      <c r="BN369" s="26"/>
      <c r="BO369" s="26"/>
      <c r="BP369" s="26"/>
      <c r="BQ369" s="26"/>
      <c r="BR369" s="26"/>
      <c r="BS369" s="26"/>
      <c r="BT369" s="26"/>
      <c r="BU369" s="26"/>
      <c r="BV369" s="26"/>
      <c r="BW369" s="26"/>
      <c r="BX369" s="26"/>
      <c r="BY369" s="26"/>
      <c r="BZ369" s="26"/>
      <c r="CA369" s="26"/>
      <c r="CB369" s="26"/>
      <c r="CC369" s="26"/>
      <c r="CD369" s="26"/>
      <c r="CE369" s="26"/>
      <c r="CF369" s="26"/>
      <c r="CG369" s="26"/>
      <c r="CH369" s="26"/>
      <c r="CI369" s="26"/>
      <c r="CJ369" s="26"/>
      <c r="CK369" s="26"/>
      <c r="CL369" s="26"/>
      <c r="CM369" s="26"/>
      <c r="CN369" s="26"/>
      <c r="CO369" s="26"/>
      <c r="CP369" s="26"/>
      <c r="CQ369" s="26"/>
    </row>
    <row r="370" spans="1:95" s="29" customFormat="1" ht="15" customHeight="1" x14ac:dyDescent="0.25">
      <c r="A370" s="32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  <c r="AK370" s="26"/>
      <c r="AL370" s="26"/>
      <c r="AM370" s="26"/>
      <c r="AN370" s="26"/>
      <c r="AO370" s="26"/>
      <c r="AP370" s="26"/>
      <c r="AQ370" s="26"/>
      <c r="AR370" s="26"/>
      <c r="AS370" s="26"/>
      <c r="AT370" s="26"/>
      <c r="AU370" s="26"/>
      <c r="AV370" s="26"/>
      <c r="AW370" s="26"/>
      <c r="AX370" s="26"/>
      <c r="AY370" s="26"/>
      <c r="AZ370" s="26"/>
      <c r="BA370" s="26"/>
      <c r="BB370" s="26"/>
      <c r="BC370" s="26"/>
      <c r="BD370" s="26"/>
      <c r="BE370" s="26"/>
      <c r="BF370" s="26"/>
      <c r="BG370" s="26"/>
      <c r="BH370" s="26"/>
      <c r="BI370" s="26"/>
      <c r="BJ370" s="26"/>
      <c r="BK370" s="26"/>
      <c r="BL370" s="26"/>
      <c r="BM370" s="26"/>
      <c r="BN370" s="26"/>
      <c r="BO370" s="26"/>
      <c r="BP370" s="26"/>
      <c r="BQ370" s="26"/>
      <c r="BR370" s="26"/>
      <c r="BS370" s="26"/>
      <c r="BT370" s="26"/>
      <c r="BU370" s="26"/>
      <c r="BV370" s="26"/>
      <c r="BW370" s="26"/>
      <c r="BX370" s="26"/>
      <c r="BY370" s="26"/>
      <c r="BZ370" s="26"/>
      <c r="CA370" s="26"/>
      <c r="CB370" s="26"/>
      <c r="CC370" s="26"/>
      <c r="CD370" s="26"/>
      <c r="CE370" s="26"/>
      <c r="CF370" s="26"/>
      <c r="CG370" s="26"/>
      <c r="CH370" s="26"/>
      <c r="CI370" s="26"/>
      <c r="CJ370" s="26"/>
      <c r="CK370" s="26"/>
      <c r="CL370" s="26"/>
      <c r="CM370" s="26"/>
      <c r="CN370" s="26"/>
      <c r="CO370" s="26"/>
      <c r="CP370" s="26"/>
      <c r="CQ370" s="26"/>
    </row>
    <row r="371" spans="1:95" s="29" customFormat="1" ht="15" customHeight="1" x14ac:dyDescent="0.25">
      <c r="A371" s="32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  <c r="AJ371" s="26"/>
      <c r="AK371" s="26"/>
      <c r="AL371" s="26"/>
      <c r="AM371" s="26"/>
      <c r="AN371" s="26"/>
      <c r="AO371" s="26"/>
      <c r="AP371" s="26"/>
      <c r="AQ371" s="26"/>
      <c r="AR371" s="26"/>
      <c r="AS371" s="26"/>
      <c r="AT371" s="26"/>
      <c r="AU371" s="26"/>
      <c r="AV371" s="26"/>
      <c r="AW371" s="26"/>
      <c r="AX371" s="26"/>
      <c r="AY371" s="26"/>
      <c r="AZ371" s="26"/>
      <c r="BA371" s="26"/>
      <c r="BB371" s="26"/>
      <c r="BC371" s="26"/>
      <c r="BD371" s="26"/>
      <c r="BE371" s="26"/>
      <c r="BF371" s="26"/>
      <c r="BG371" s="26"/>
      <c r="BH371" s="26"/>
      <c r="BI371" s="26"/>
      <c r="BJ371" s="26"/>
      <c r="BK371" s="26"/>
      <c r="BL371" s="26"/>
      <c r="BM371" s="26"/>
      <c r="BN371" s="26"/>
      <c r="BO371" s="26"/>
      <c r="BP371" s="26"/>
      <c r="BQ371" s="26"/>
      <c r="BR371" s="26"/>
      <c r="BS371" s="26"/>
      <c r="BT371" s="26"/>
      <c r="BU371" s="26"/>
      <c r="BV371" s="26"/>
      <c r="BW371" s="26"/>
      <c r="BX371" s="26"/>
      <c r="BY371" s="26"/>
      <c r="BZ371" s="26"/>
      <c r="CA371" s="26"/>
      <c r="CB371" s="26"/>
      <c r="CC371" s="26"/>
      <c r="CD371" s="26"/>
      <c r="CE371" s="26"/>
      <c r="CF371" s="26"/>
      <c r="CG371" s="26"/>
      <c r="CH371" s="26"/>
      <c r="CI371" s="26"/>
      <c r="CJ371" s="26"/>
      <c r="CK371" s="26"/>
      <c r="CL371" s="26"/>
      <c r="CM371" s="26"/>
      <c r="CN371" s="26"/>
      <c r="CO371" s="26"/>
      <c r="CP371" s="26"/>
      <c r="CQ371" s="26"/>
    </row>
    <row r="372" spans="1:95" s="29" customFormat="1" ht="15" customHeight="1" x14ac:dyDescent="0.25">
      <c r="A372" s="32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  <c r="AJ372" s="26"/>
      <c r="AK372" s="26"/>
      <c r="AL372" s="26"/>
      <c r="AM372" s="26"/>
      <c r="AN372" s="26"/>
      <c r="AO372" s="26"/>
      <c r="AP372" s="26"/>
      <c r="AQ372" s="26"/>
      <c r="AR372" s="26"/>
      <c r="AS372" s="26"/>
      <c r="AT372" s="26"/>
      <c r="AU372" s="26"/>
      <c r="AV372" s="26"/>
      <c r="AW372" s="26"/>
      <c r="AX372" s="26"/>
      <c r="AY372" s="26"/>
      <c r="AZ372" s="26"/>
      <c r="BA372" s="26"/>
      <c r="BB372" s="26"/>
      <c r="BC372" s="26"/>
      <c r="BD372" s="26"/>
      <c r="BE372" s="26"/>
      <c r="BF372" s="26"/>
      <c r="BG372" s="26"/>
      <c r="BH372" s="26"/>
      <c r="BI372" s="26"/>
      <c r="BJ372" s="26"/>
      <c r="BK372" s="26"/>
      <c r="BL372" s="26"/>
      <c r="BM372" s="26"/>
      <c r="BN372" s="26"/>
      <c r="BO372" s="26"/>
      <c r="BP372" s="26"/>
      <c r="BQ372" s="26"/>
      <c r="BR372" s="26"/>
      <c r="BS372" s="26"/>
      <c r="BT372" s="26"/>
      <c r="BU372" s="26"/>
      <c r="BV372" s="26"/>
      <c r="BW372" s="26"/>
      <c r="BX372" s="26"/>
      <c r="BY372" s="26"/>
      <c r="BZ372" s="26"/>
      <c r="CA372" s="26"/>
      <c r="CB372" s="26"/>
      <c r="CC372" s="26"/>
      <c r="CD372" s="26"/>
      <c r="CE372" s="26"/>
      <c r="CF372" s="26"/>
      <c r="CG372" s="26"/>
      <c r="CH372" s="26"/>
      <c r="CI372" s="26"/>
      <c r="CJ372" s="26"/>
      <c r="CK372" s="26"/>
      <c r="CL372" s="26"/>
      <c r="CM372" s="26"/>
      <c r="CN372" s="26"/>
      <c r="CO372" s="26"/>
      <c r="CP372" s="26"/>
      <c r="CQ372" s="26"/>
    </row>
    <row r="373" spans="1:95" s="29" customFormat="1" ht="15" customHeight="1" x14ac:dyDescent="0.25">
      <c r="A373" s="32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  <c r="AN373" s="26"/>
      <c r="AO373" s="26"/>
      <c r="AP373" s="26"/>
      <c r="AQ373" s="26"/>
      <c r="AR373" s="26"/>
      <c r="AS373" s="26"/>
      <c r="AT373" s="26"/>
      <c r="AU373" s="26"/>
      <c r="AV373" s="26"/>
      <c r="AW373" s="26"/>
      <c r="AX373" s="26"/>
      <c r="AY373" s="26"/>
      <c r="AZ373" s="26"/>
      <c r="BA373" s="26"/>
      <c r="BB373" s="26"/>
      <c r="BC373" s="26"/>
      <c r="BD373" s="26"/>
      <c r="BE373" s="26"/>
      <c r="BF373" s="26"/>
      <c r="BG373" s="26"/>
      <c r="BH373" s="26"/>
      <c r="BI373" s="26"/>
      <c r="BJ373" s="26"/>
      <c r="BK373" s="26"/>
      <c r="BL373" s="26"/>
      <c r="BM373" s="26"/>
      <c r="BN373" s="26"/>
      <c r="BO373" s="26"/>
      <c r="BP373" s="26"/>
      <c r="BQ373" s="26"/>
      <c r="BR373" s="26"/>
      <c r="BS373" s="26"/>
      <c r="BT373" s="26"/>
      <c r="BU373" s="26"/>
      <c r="BV373" s="26"/>
      <c r="BW373" s="26"/>
      <c r="BX373" s="26"/>
      <c r="BY373" s="26"/>
      <c r="BZ373" s="26"/>
      <c r="CA373" s="26"/>
      <c r="CB373" s="26"/>
      <c r="CC373" s="26"/>
      <c r="CD373" s="26"/>
      <c r="CE373" s="26"/>
      <c r="CF373" s="26"/>
      <c r="CG373" s="26"/>
      <c r="CH373" s="26"/>
      <c r="CI373" s="26"/>
      <c r="CJ373" s="26"/>
      <c r="CK373" s="26"/>
      <c r="CL373" s="26"/>
      <c r="CM373" s="26"/>
      <c r="CN373" s="26"/>
      <c r="CO373" s="26"/>
      <c r="CP373" s="26"/>
      <c r="CQ373" s="26"/>
    </row>
    <row r="374" spans="1:95" s="29" customFormat="1" ht="15" customHeight="1" x14ac:dyDescent="0.25">
      <c r="A374" s="32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  <c r="AO374" s="26"/>
      <c r="AP374" s="26"/>
      <c r="AQ374" s="26"/>
      <c r="AR374" s="26"/>
      <c r="AS374" s="26"/>
      <c r="AT374" s="26"/>
      <c r="AU374" s="26"/>
      <c r="AV374" s="26"/>
      <c r="AW374" s="26"/>
      <c r="AX374" s="26"/>
      <c r="AY374" s="26"/>
      <c r="AZ374" s="26"/>
      <c r="BA374" s="26"/>
      <c r="BB374" s="26"/>
      <c r="BC374" s="26"/>
      <c r="BD374" s="26"/>
      <c r="BE374" s="26"/>
      <c r="BF374" s="26"/>
      <c r="BG374" s="26"/>
      <c r="BH374" s="26"/>
      <c r="BI374" s="26"/>
      <c r="BJ374" s="26"/>
      <c r="BK374" s="26"/>
      <c r="BL374" s="26"/>
      <c r="BM374" s="26"/>
      <c r="BN374" s="26"/>
      <c r="BO374" s="26"/>
      <c r="BP374" s="26"/>
      <c r="BQ374" s="26"/>
      <c r="BR374" s="26"/>
      <c r="BS374" s="26"/>
      <c r="BT374" s="26"/>
      <c r="BU374" s="26"/>
      <c r="BV374" s="26"/>
      <c r="BW374" s="26"/>
      <c r="BX374" s="26"/>
      <c r="BY374" s="26"/>
      <c r="BZ374" s="26"/>
      <c r="CA374" s="26"/>
      <c r="CB374" s="26"/>
      <c r="CC374" s="26"/>
      <c r="CD374" s="26"/>
      <c r="CE374" s="26"/>
      <c r="CF374" s="26"/>
      <c r="CG374" s="26"/>
      <c r="CH374" s="26"/>
      <c r="CI374" s="26"/>
      <c r="CJ374" s="26"/>
      <c r="CK374" s="26"/>
      <c r="CL374" s="26"/>
      <c r="CM374" s="26"/>
      <c r="CN374" s="26"/>
      <c r="CO374" s="26"/>
      <c r="CP374" s="26"/>
      <c r="CQ374" s="26"/>
    </row>
    <row r="375" spans="1:95" s="29" customFormat="1" ht="15" customHeight="1" x14ac:dyDescent="0.25">
      <c r="A375" s="32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  <c r="AO375" s="26"/>
      <c r="AP375" s="26"/>
      <c r="AQ375" s="26"/>
      <c r="AR375" s="26"/>
      <c r="AS375" s="26"/>
      <c r="AT375" s="26"/>
      <c r="AU375" s="26"/>
      <c r="AV375" s="26"/>
      <c r="AW375" s="26"/>
      <c r="AX375" s="26"/>
      <c r="AY375" s="26"/>
      <c r="AZ375" s="26"/>
      <c r="BA375" s="26"/>
      <c r="BB375" s="26"/>
      <c r="BC375" s="26"/>
      <c r="BD375" s="26"/>
      <c r="BE375" s="26"/>
      <c r="BF375" s="26"/>
      <c r="BG375" s="26"/>
      <c r="BH375" s="26"/>
      <c r="BI375" s="26"/>
      <c r="BJ375" s="26"/>
      <c r="BK375" s="26"/>
      <c r="BL375" s="26"/>
      <c r="BM375" s="26"/>
      <c r="BN375" s="26"/>
      <c r="BO375" s="26"/>
      <c r="BP375" s="26"/>
      <c r="BQ375" s="26"/>
      <c r="BR375" s="26"/>
      <c r="BS375" s="26"/>
      <c r="BT375" s="26"/>
      <c r="BU375" s="26"/>
      <c r="BV375" s="26"/>
      <c r="BW375" s="26"/>
      <c r="BX375" s="26"/>
      <c r="BY375" s="26"/>
      <c r="BZ375" s="26"/>
      <c r="CA375" s="26"/>
      <c r="CB375" s="26"/>
      <c r="CC375" s="26"/>
      <c r="CD375" s="26"/>
      <c r="CE375" s="26"/>
      <c r="CF375" s="26"/>
      <c r="CG375" s="26"/>
      <c r="CH375" s="26"/>
      <c r="CI375" s="26"/>
      <c r="CJ375" s="26"/>
      <c r="CK375" s="26"/>
      <c r="CL375" s="26"/>
      <c r="CM375" s="26"/>
      <c r="CN375" s="26"/>
      <c r="CO375" s="26"/>
      <c r="CP375" s="26"/>
      <c r="CQ375" s="26"/>
    </row>
    <row r="376" spans="1:95" s="29" customFormat="1" ht="15" customHeight="1" x14ac:dyDescent="0.25">
      <c r="A376" s="32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  <c r="AO376" s="26"/>
      <c r="AP376" s="26"/>
      <c r="AQ376" s="26"/>
      <c r="AR376" s="26"/>
      <c r="AS376" s="26"/>
      <c r="AT376" s="26"/>
      <c r="AU376" s="26"/>
      <c r="AV376" s="26"/>
      <c r="AW376" s="26"/>
      <c r="AX376" s="26"/>
      <c r="AY376" s="26"/>
      <c r="AZ376" s="26"/>
      <c r="BA376" s="26"/>
      <c r="BB376" s="26"/>
      <c r="BC376" s="26"/>
      <c r="BD376" s="26"/>
      <c r="BE376" s="26"/>
      <c r="BF376" s="26"/>
      <c r="BG376" s="26"/>
      <c r="BH376" s="26"/>
      <c r="BI376" s="26"/>
      <c r="BJ376" s="26"/>
      <c r="BK376" s="26"/>
      <c r="BL376" s="26"/>
      <c r="BM376" s="26"/>
      <c r="BN376" s="26"/>
      <c r="BO376" s="26"/>
      <c r="BP376" s="26"/>
      <c r="BQ376" s="26"/>
      <c r="BR376" s="26"/>
      <c r="BS376" s="26"/>
      <c r="BT376" s="26"/>
      <c r="BU376" s="26"/>
      <c r="BV376" s="26"/>
      <c r="BW376" s="26"/>
      <c r="BX376" s="26"/>
      <c r="BY376" s="26"/>
      <c r="BZ376" s="26"/>
      <c r="CA376" s="26"/>
      <c r="CB376" s="26"/>
      <c r="CC376" s="26"/>
      <c r="CD376" s="26"/>
      <c r="CE376" s="26"/>
      <c r="CF376" s="26"/>
      <c r="CG376" s="26"/>
      <c r="CH376" s="26"/>
      <c r="CI376" s="26"/>
      <c r="CJ376" s="26"/>
      <c r="CK376" s="26"/>
      <c r="CL376" s="26"/>
      <c r="CM376" s="26"/>
      <c r="CN376" s="26"/>
      <c r="CO376" s="26"/>
      <c r="CP376" s="26"/>
      <c r="CQ376" s="26"/>
    </row>
    <row r="377" spans="1:95" s="29" customFormat="1" ht="15" customHeight="1" x14ac:dyDescent="0.25">
      <c r="A377" s="32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  <c r="AO377" s="26"/>
      <c r="AP377" s="26"/>
      <c r="AQ377" s="26"/>
      <c r="AR377" s="26"/>
      <c r="AS377" s="26"/>
      <c r="AT377" s="26"/>
      <c r="AU377" s="26"/>
      <c r="AV377" s="26"/>
      <c r="AW377" s="26"/>
      <c r="AX377" s="26"/>
      <c r="AY377" s="26"/>
      <c r="AZ377" s="26"/>
      <c r="BA377" s="26"/>
      <c r="BB377" s="26"/>
      <c r="BC377" s="26"/>
      <c r="BD377" s="26"/>
      <c r="BE377" s="26"/>
      <c r="BF377" s="26"/>
      <c r="BG377" s="26"/>
      <c r="BH377" s="26"/>
      <c r="BI377" s="26"/>
      <c r="BJ377" s="26"/>
      <c r="BK377" s="26"/>
      <c r="BL377" s="26"/>
      <c r="BM377" s="26"/>
      <c r="BN377" s="26"/>
      <c r="BO377" s="26"/>
      <c r="BP377" s="26"/>
      <c r="BQ377" s="26"/>
      <c r="BR377" s="26"/>
      <c r="BS377" s="26"/>
      <c r="BT377" s="26"/>
      <c r="BU377" s="26"/>
      <c r="BV377" s="26"/>
      <c r="BW377" s="26"/>
      <c r="BX377" s="26"/>
      <c r="BY377" s="26"/>
      <c r="BZ377" s="26"/>
      <c r="CA377" s="26"/>
      <c r="CB377" s="26"/>
      <c r="CC377" s="26"/>
      <c r="CD377" s="26"/>
      <c r="CE377" s="26"/>
      <c r="CF377" s="26"/>
      <c r="CG377" s="26"/>
      <c r="CH377" s="26"/>
      <c r="CI377" s="26"/>
      <c r="CJ377" s="26"/>
      <c r="CK377" s="26"/>
      <c r="CL377" s="26"/>
      <c r="CM377" s="26"/>
      <c r="CN377" s="26"/>
      <c r="CO377" s="26"/>
      <c r="CP377" s="26"/>
      <c r="CQ377" s="26"/>
    </row>
    <row r="378" spans="1:95" s="29" customFormat="1" ht="15" customHeight="1" x14ac:dyDescent="0.25">
      <c r="A378" s="32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  <c r="AO378" s="26"/>
      <c r="AP378" s="26"/>
      <c r="AQ378" s="26"/>
      <c r="AR378" s="26"/>
      <c r="AS378" s="26"/>
      <c r="AT378" s="26"/>
      <c r="AU378" s="26"/>
      <c r="AV378" s="26"/>
      <c r="AW378" s="26"/>
      <c r="AX378" s="26"/>
      <c r="AY378" s="26"/>
      <c r="AZ378" s="26"/>
      <c r="BA378" s="26"/>
      <c r="BB378" s="26"/>
      <c r="BC378" s="26"/>
      <c r="BD378" s="26"/>
      <c r="BE378" s="26"/>
      <c r="BF378" s="26"/>
      <c r="BG378" s="26"/>
      <c r="BH378" s="26"/>
      <c r="BI378" s="26"/>
      <c r="BJ378" s="26"/>
      <c r="BK378" s="26"/>
      <c r="BL378" s="26"/>
      <c r="BM378" s="26"/>
      <c r="BN378" s="26"/>
      <c r="BO378" s="26"/>
      <c r="BP378" s="26"/>
      <c r="BQ378" s="26"/>
      <c r="BR378" s="26"/>
      <c r="BS378" s="26"/>
      <c r="BT378" s="26"/>
      <c r="BU378" s="26"/>
      <c r="BV378" s="26"/>
      <c r="BW378" s="26"/>
      <c r="BX378" s="26"/>
      <c r="BY378" s="26"/>
      <c r="BZ378" s="26"/>
      <c r="CA378" s="26"/>
      <c r="CB378" s="26"/>
      <c r="CC378" s="26"/>
      <c r="CD378" s="26"/>
      <c r="CE378" s="26"/>
      <c r="CF378" s="26"/>
      <c r="CG378" s="26"/>
      <c r="CH378" s="26"/>
      <c r="CI378" s="26"/>
      <c r="CJ378" s="26"/>
      <c r="CK378" s="26"/>
      <c r="CL378" s="26"/>
      <c r="CM378" s="26"/>
      <c r="CN378" s="26"/>
      <c r="CO378" s="26"/>
      <c r="CP378" s="26"/>
      <c r="CQ378" s="26"/>
    </row>
    <row r="379" spans="1:95" s="29" customFormat="1" ht="15" customHeight="1" x14ac:dyDescent="0.25">
      <c r="A379" s="32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  <c r="AO379" s="26"/>
      <c r="AP379" s="26"/>
      <c r="AQ379" s="26"/>
      <c r="AR379" s="26"/>
      <c r="AS379" s="26"/>
      <c r="AT379" s="26"/>
      <c r="AU379" s="26"/>
      <c r="AV379" s="26"/>
      <c r="AW379" s="26"/>
      <c r="AX379" s="26"/>
      <c r="AY379" s="26"/>
      <c r="AZ379" s="26"/>
      <c r="BA379" s="26"/>
      <c r="BB379" s="26"/>
      <c r="BC379" s="26"/>
      <c r="BD379" s="26"/>
      <c r="BE379" s="26"/>
      <c r="BF379" s="26"/>
      <c r="BG379" s="26"/>
      <c r="BH379" s="26"/>
      <c r="BI379" s="26"/>
      <c r="BJ379" s="26"/>
      <c r="BK379" s="26"/>
      <c r="BL379" s="26"/>
      <c r="BM379" s="26"/>
      <c r="BN379" s="26"/>
      <c r="BO379" s="26"/>
      <c r="BP379" s="26"/>
      <c r="BQ379" s="26"/>
      <c r="BR379" s="26"/>
      <c r="BS379" s="26"/>
      <c r="BT379" s="26"/>
      <c r="BU379" s="26"/>
      <c r="BV379" s="26"/>
      <c r="BW379" s="26"/>
      <c r="BX379" s="26"/>
      <c r="BY379" s="26"/>
      <c r="BZ379" s="26"/>
      <c r="CA379" s="26"/>
      <c r="CB379" s="26"/>
      <c r="CC379" s="26"/>
      <c r="CD379" s="26"/>
      <c r="CE379" s="26"/>
      <c r="CF379" s="26"/>
      <c r="CG379" s="26"/>
      <c r="CH379" s="26"/>
      <c r="CI379" s="26"/>
      <c r="CJ379" s="26"/>
      <c r="CK379" s="26"/>
      <c r="CL379" s="26"/>
      <c r="CM379" s="26"/>
      <c r="CN379" s="26"/>
      <c r="CO379" s="26"/>
      <c r="CP379" s="26"/>
      <c r="CQ379" s="26"/>
    </row>
    <row r="380" spans="1:95" s="29" customFormat="1" ht="15" customHeight="1" x14ac:dyDescent="0.25">
      <c r="A380" s="32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  <c r="AO380" s="26"/>
      <c r="AP380" s="26"/>
      <c r="AQ380" s="26"/>
      <c r="AR380" s="26"/>
      <c r="AS380" s="26"/>
      <c r="AT380" s="26"/>
      <c r="AU380" s="26"/>
      <c r="AV380" s="26"/>
      <c r="AW380" s="26"/>
      <c r="AX380" s="26"/>
      <c r="AY380" s="26"/>
      <c r="AZ380" s="26"/>
      <c r="BA380" s="26"/>
      <c r="BB380" s="26"/>
      <c r="BC380" s="26"/>
      <c r="BD380" s="26"/>
      <c r="BE380" s="26"/>
      <c r="BF380" s="26"/>
      <c r="BG380" s="26"/>
      <c r="BH380" s="26"/>
      <c r="BI380" s="26"/>
      <c r="BJ380" s="26"/>
      <c r="BK380" s="26"/>
      <c r="BL380" s="26"/>
      <c r="BM380" s="26"/>
      <c r="BN380" s="26"/>
      <c r="BO380" s="26"/>
      <c r="BP380" s="26"/>
      <c r="BQ380" s="26"/>
      <c r="BR380" s="26"/>
      <c r="BS380" s="26"/>
      <c r="BT380" s="26"/>
      <c r="BU380" s="26"/>
      <c r="BV380" s="26"/>
      <c r="BW380" s="26"/>
      <c r="BX380" s="26"/>
      <c r="BY380" s="26"/>
      <c r="BZ380" s="26"/>
      <c r="CA380" s="26"/>
      <c r="CB380" s="26"/>
      <c r="CC380" s="26"/>
      <c r="CD380" s="26"/>
      <c r="CE380" s="26"/>
      <c r="CF380" s="26"/>
      <c r="CG380" s="26"/>
      <c r="CH380" s="26"/>
      <c r="CI380" s="26"/>
      <c r="CJ380" s="26"/>
      <c r="CK380" s="26"/>
      <c r="CL380" s="26"/>
      <c r="CM380" s="26"/>
      <c r="CN380" s="26"/>
      <c r="CO380" s="26"/>
      <c r="CP380" s="26"/>
      <c r="CQ380" s="26"/>
    </row>
    <row r="381" spans="1:95" s="29" customFormat="1" ht="15" customHeight="1" x14ac:dyDescent="0.25">
      <c r="A381" s="32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  <c r="AO381" s="26"/>
      <c r="AP381" s="26"/>
      <c r="AQ381" s="26"/>
      <c r="AR381" s="26"/>
      <c r="AS381" s="26"/>
      <c r="AT381" s="26"/>
      <c r="AU381" s="26"/>
      <c r="AV381" s="26"/>
      <c r="AW381" s="26"/>
      <c r="AX381" s="26"/>
      <c r="AY381" s="26"/>
      <c r="AZ381" s="26"/>
      <c r="BA381" s="26"/>
      <c r="BB381" s="26"/>
      <c r="BC381" s="26"/>
      <c r="BD381" s="26"/>
      <c r="BE381" s="26"/>
      <c r="BF381" s="26"/>
      <c r="BG381" s="26"/>
      <c r="BH381" s="26"/>
      <c r="BI381" s="26"/>
      <c r="BJ381" s="26"/>
      <c r="BK381" s="26"/>
      <c r="BL381" s="26"/>
      <c r="BM381" s="26"/>
      <c r="BN381" s="26"/>
      <c r="BO381" s="26"/>
      <c r="BP381" s="26"/>
      <c r="BQ381" s="26"/>
      <c r="BR381" s="26"/>
      <c r="BS381" s="26"/>
      <c r="BT381" s="26"/>
      <c r="BU381" s="26"/>
      <c r="BV381" s="26"/>
      <c r="BW381" s="26"/>
      <c r="BX381" s="26"/>
      <c r="BY381" s="26"/>
      <c r="BZ381" s="26"/>
      <c r="CA381" s="26"/>
      <c r="CB381" s="26"/>
      <c r="CC381" s="26"/>
      <c r="CD381" s="26"/>
      <c r="CE381" s="26"/>
      <c r="CF381" s="26"/>
      <c r="CG381" s="26"/>
      <c r="CH381" s="26"/>
      <c r="CI381" s="26"/>
      <c r="CJ381" s="26"/>
      <c r="CK381" s="26"/>
      <c r="CL381" s="26"/>
      <c r="CM381" s="26"/>
      <c r="CN381" s="26"/>
      <c r="CO381" s="26"/>
      <c r="CP381" s="26"/>
      <c r="CQ381" s="26"/>
    </row>
    <row r="382" spans="1:95" s="29" customFormat="1" ht="15" customHeight="1" x14ac:dyDescent="0.25">
      <c r="A382" s="32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  <c r="AO382" s="26"/>
      <c r="AP382" s="26"/>
      <c r="AQ382" s="26"/>
      <c r="AR382" s="26"/>
      <c r="AS382" s="26"/>
      <c r="AT382" s="26"/>
      <c r="AU382" s="26"/>
      <c r="AV382" s="26"/>
      <c r="AW382" s="26"/>
      <c r="AX382" s="26"/>
      <c r="AY382" s="26"/>
      <c r="AZ382" s="26"/>
      <c r="BA382" s="26"/>
      <c r="BB382" s="26"/>
      <c r="BC382" s="26"/>
      <c r="BD382" s="26"/>
      <c r="BE382" s="26"/>
      <c r="BF382" s="26"/>
      <c r="BG382" s="26"/>
      <c r="BH382" s="26"/>
      <c r="BI382" s="26"/>
      <c r="BJ382" s="26"/>
      <c r="BK382" s="26"/>
      <c r="BL382" s="26"/>
      <c r="BM382" s="26"/>
      <c r="BN382" s="26"/>
      <c r="BO382" s="26"/>
      <c r="BP382" s="26"/>
      <c r="BQ382" s="26"/>
      <c r="BR382" s="26"/>
      <c r="BS382" s="26"/>
      <c r="BT382" s="26"/>
      <c r="BU382" s="26"/>
      <c r="BV382" s="26"/>
      <c r="BW382" s="26"/>
      <c r="BX382" s="26"/>
      <c r="BY382" s="26"/>
      <c r="BZ382" s="26"/>
      <c r="CA382" s="26"/>
      <c r="CB382" s="26"/>
      <c r="CC382" s="26"/>
      <c r="CD382" s="26"/>
      <c r="CE382" s="26"/>
      <c r="CF382" s="26"/>
      <c r="CG382" s="26"/>
      <c r="CH382" s="26"/>
      <c r="CI382" s="26"/>
      <c r="CJ382" s="26"/>
      <c r="CK382" s="26"/>
      <c r="CL382" s="26"/>
      <c r="CM382" s="26"/>
      <c r="CN382" s="26"/>
      <c r="CO382" s="26"/>
      <c r="CP382" s="26"/>
      <c r="CQ382" s="26"/>
    </row>
    <row r="383" spans="1:95" s="29" customFormat="1" ht="15" customHeight="1" x14ac:dyDescent="0.25">
      <c r="A383" s="32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  <c r="AO383" s="26"/>
      <c r="AP383" s="26"/>
      <c r="AQ383" s="26"/>
      <c r="AR383" s="26"/>
      <c r="AS383" s="26"/>
      <c r="AT383" s="26"/>
      <c r="AU383" s="26"/>
      <c r="AV383" s="26"/>
      <c r="AW383" s="26"/>
      <c r="AX383" s="26"/>
      <c r="AY383" s="26"/>
      <c r="AZ383" s="26"/>
      <c r="BA383" s="26"/>
      <c r="BB383" s="26"/>
      <c r="BC383" s="26"/>
      <c r="BD383" s="26"/>
      <c r="BE383" s="26"/>
      <c r="BF383" s="26"/>
      <c r="BG383" s="26"/>
      <c r="BH383" s="26"/>
      <c r="BI383" s="26"/>
      <c r="BJ383" s="26"/>
      <c r="BK383" s="26"/>
      <c r="BL383" s="26"/>
      <c r="BM383" s="26"/>
      <c r="BN383" s="26"/>
      <c r="BO383" s="26"/>
      <c r="BP383" s="26"/>
      <c r="BQ383" s="26"/>
      <c r="BR383" s="26"/>
      <c r="BS383" s="26"/>
      <c r="BT383" s="26"/>
      <c r="BU383" s="26"/>
      <c r="BV383" s="26"/>
      <c r="BW383" s="26"/>
      <c r="BX383" s="26"/>
      <c r="BY383" s="26"/>
      <c r="BZ383" s="26"/>
      <c r="CA383" s="26"/>
      <c r="CB383" s="26"/>
      <c r="CC383" s="26"/>
      <c r="CD383" s="26"/>
      <c r="CE383" s="26"/>
      <c r="CF383" s="26"/>
      <c r="CG383" s="26"/>
      <c r="CH383" s="26"/>
      <c r="CI383" s="26"/>
      <c r="CJ383" s="26"/>
      <c r="CK383" s="26"/>
      <c r="CL383" s="26"/>
      <c r="CM383" s="26"/>
      <c r="CN383" s="26"/>
      <c r="CO383" s="26"/>
      <c r="CP383" s="26"/>
      <c r="CQ383" s="26"/>
    </row>
    <row r="384" spans="1:95" s="29" customFormat="1" ht="15" customHeight="1" x14ac:dyDescent="0.25">
      <c r="A384" s="32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  <c r="AO384" s="26"/>
      <c r="AP384" s="26"/>
      <c r="AQ384" s="26"/>
      <c r="AR384" s="26"/>
      <c r="AS384" s="26"/>
      <c r="AT384" s="26"/>
      <c r="AU384" s="26"/>
      <c r="AV384" s="26"/>
      <c r="AW384" s="26"/>
      <c r="AX384" s="26"/>
      <c r="AY384" s="26"/>
      <c r="AZ384" s="26"/>
      <c r="BA384" s="26"/>
      <c r="BB384" s="26"/>
      <c r="BC384" s="26"/>
      <c r="BD384" s="26"/>
      <c r="BE384" s="26"/>
      <c r="BF384" s="26"/>
      <c r="BG384" s="26"/>
      <c r="BH384" s="26"/>
      <c r="BI384" s="26"/>
      <c r="BJ384" s="26"/>
      <c r="BK384" s="26"/>
      <c r="BL384" s="26"/>
      <c r="BM384" s="26"/>
      <c r="BN384" s="26"/>
      <c r="BO384" s="26"/>
      <c r="BP384" s="26"/>
      <c r="BQ384" s="26"/>
      <c r="BR384" s="26"/>
      <c r="BS384" s="26"/>
      <c r="BT384" s="26"/>
      <c r="BU384" s="26"/>
      <c r="BV384" s="26"/>
      <c r="BW384" s="26"/>
      <c r="BX384" s="26"/>
      <c r="BY384" s="26"/>
      <c r="BZ384" s="26"/>
      <c r="CA384" s="26"/>
      <c r="CB384" s="26"/>
      <c r="CC384" s="26"/>
      <c r="CD384" s="26"/>
      <c r="CE384" s="26"/>
      <c r="CF384" s="26"/>
      <c r="CG384" s="26"/>
      <c r="CH384" s="26"/>
      <c r="CI384" s="26"/>
      <c r="CJ384" s="26"/>
      <c r="CK384" s="26"/>
      <c r="CL384" s="26"/>
      <c r="CM384" s="26"/>
      <c r="CN384" s="26"/>
      <c r="CO384" s="26"/>
      <c r="CP384" s="26"/>
      <c r="CQ384" s="26"/>
    </row>
    <row r="385" spans="1:95" s="29" customFormat="1" ht="15" customHeight="1" x14ac:dyDescent="0.25">
      <c r="A385" s="32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  <c r="AO385" s="26"/>
      <c r="AP385" s="26"/>
      <c r="AQ385" s="26"/>
      <c r="AR385" s="26"/>
      <c r="AS385" s="26"/>
      <c r="AT385" s="26"/>
      <c r="AU385" s="26"/>
      <c r="AV385" s="26"/>
      <c r="AW385" s="26"/>
      <c r="AX385" s="26"/>
      <c r="AY385" s="26"/>
      <c r="AZ385" s="26"/>
      <c r="BA385" s="26"/>
      <c r="BB385" s="26"/>
      <c r="BC385" s="26"/>
      <c r="BD385" s="26"/>
      <c r="BE385" s="26"/>
      <c r="BF385" s="26"/>
      <c r="BG385" s="26"/>
      <c r="BH385" s="26"/>
      <c r="BI385" s="26"/>
      <c r="BJ385" s="26"/>
      <c r="BK385" s="26"/>
      <c r="BL385" s="26"/>
      <c r="BM385" s="26"/>
      <c r="BN385" s="26"/>
      <c r="BO385" s="26"/>
      <c r="BP385" s="26"/>
      <c r="BQ385" s="26"/>
      <c r="BR385" s="26"/>
      <c r="BS385" s="26"/>
      <c r="BT385" s="26"/>
      <c r="BU385" s="26"/>
      <c r="BV385" s="26"/>
      <c r="BW385" s="26"/>
      <c r="BX385" s="26"/>
      <c r="BY385" s="26"/>
      <c r="BZ385" s="26"/>
      <c r="CA385" s="26"/>
      <c r="CB385" s="26"/>
      <c r="CC385" s="26"/>
      <c r="CD385" s="26"/>
      <c r="CE385" s="26"/>
      <c r="CF385" s="26"/>
      <c r="CG385" s="26"/>
      <c r="CH385" s="26"/>
      <c r="CI385" s="26"/>
      <c r="CJ385" s="26"/>
      <c r="CK385" s="26"/>
      <c r="CL385" s="26"/>
      <c r="CM385" s="26"/>
      <c r="CN385" s="26"/>
      <c r="CO385" s="26"/>
      <c r="CP385" s="26"/>
      <c r="CQ385" s="26"/>
    </row>
    <row r="386" spans="1:95" s="29" customFormat="1" ht="15" customHeight="1" x14ac:dyDescent="0.25">
      <c r="A386" s="32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  <c r="AO386" s="26"/>
      <c r="AP386" s="26"/>
      <c r="AQ386" s="26"/>
      <c r="AR386" s="26"/>
      <c r="AS386" s="26"/>
      <c r="AT386" s="26"/>
      <c r="AU386" s="26"/>
      <c r="AV386" s="26"/>
      <c r="AW386" s="26"/>
      <c r="AX386" s="26"/>
      <c r="AY386" s="26"/>
      <c r="AZ386" s="26"/>
      <c r="BA386" s="26"/>
      <c r="BB386" s="26"/>
      <c r="BC386" s="26"/>
      <c r="BD386" s="26"/>
      <c r="BE386" s="26"/>
      <c r="BF386" s="26"/>
      <c r="BG386" s="26"/>
      <c r="BH386" s="26"/>
      <c r="BI386" s="26"/>
      <c r="BJ386" s="26"/>
      <c r="BK386" s="26"/>
      <c r="BL386" s="26"/>
      <c r="BM386" s="26"/>
      <c r="BN386" s="26"/>
      <c r="BO386" s="26"/>
      <c r="BP386" s="26"/>
      <c r="BQ386" s="26"/>
      <c r="BR386" s="26"/>
      <c r="BS386" s="26"/>
      <c r="BT386" s="26"/>
      <c r="BU386" s="26"/>
      <c r="BV386" s="26"/>
      <c r="BW386" s="26"/>
      <c r="BX386" s="26"/>
      <c r="BY386" s="26"/>
      <c r="BZ386" s="26"/>
      <c r="CA386" s="26"/>
      <c r="CB386" s="26"/>
      <c r="CC386" s="26"/>
      <c r="CD386" s="26"/>
      <c r="CE386" s="26"/>
      <c r="CF386" s="26"/>
      <c r="CG386" s="26"/>
      <c r="CH386" s="26"/>
      <c r="CI386" s="26"/>
      <c r="CJ386" s="26"/>
      <c r="CK386" s="26"/>
      <c r="CL386" s="26"/>
      <c r="CM386" s="26"/>
      <c r="CN386" s="26"/>
      <c r="CO386" s="26"/>
      <c r="CP386" s="26"/>
      <c r="CQ386" s="26"/>
    </row>
    <row r="387" spans="1:95" s="29" customFormat="1" ht="15" customHeight="1" x14ac:dyDescent="0.25">
      <c r="A387" s="32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  <c r="AO387" s="26"/>
      <c r="AP387" s="26"/>
      <c r="AQ387" s="26"/>
      <c r="AR387" s="26"/>
      <c r="AS387" s="26"/>
      <c r="AT387" s="26"/>
      <c r="AU387" s="26"/>
      <c r="AV387" s="26"/>
      <c r="AW387" s="26"/>
      <c r="AX387" s="26"/>
      <c r="AY387" s="26"/>
      <c r="AZ387" s="26"/>
      <c r="BA387" s="26"/>
      <c r="BB387" s="26"/>
      <c r="BC387" s="26"/>
      <c r="BD387" s="26"/>
      <c r="BE387" s="26"/>
      <c r="BF387" s="26"/>
      <c r="BG387" s="26"/>
      <c r="BH387" s="26"/>
      <c r="BI387" s="26"/>
      <c r="BJ387" s="26"/>
      <c r="BK387" s="26"/>
      <c r="BL387" s="26"/>
      <c r="BM387" s="26"/>
      <c r="BN387" s="26"/>
      <c r="BO387" s="26"/>
      <c r="BP387" s="26"/>
      <c r="BQ387" s="26"/>
      <c r="BR387" s="26"/>
      <c r="BS387" s="26"/>
      <c r="BT387" s="26"/>
      <c r="BU387" s="26"/>
      <c r="BV387" s="26"/>
      <c r="BW387" s="26"/>
      <c r="BX387" s="26"/>
      <c r="BY387" s="26"/>
      <c r="BZ387" s="26"/>
      <c r="CA387" s="26"/>
      <c r="CB387" s="26"/>
      <c r="CC387" s="26"/>
      <c r="CD387" s="26"/>
      <c r="CE387" s="26"/>
      <c r="CF387" s="26"/>
      <c r="CG387" s="26"/>
      <c r="CH387" s="26"/>
      <c r="CI387" s="26"/>
      <c r="CJ387" s="26"/>
      <c r="CK387" s="26"/>
      <c r="CL387" s="26"/>
      <c r="CM387" s="26"/>
      <c r="CN387" s="26"/>
      <c r="CO387" s="26"/>
      <c r="CP387" s="26"/>
      <c r="CQ387" s="26"/>
    </row>
    <row r="388" spans="1:95" s="29" customFormat="1" ht="15" customHeight="1" x14ac:dyDescent="0.25">
      <c r="A388" s="32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  <c r="AO388" s="26"/>
      <c r="AP388" s="26"/>
      <c r="AQ388" s="26"/>
      <c r="AR388" s="26"/>
      <c r="AS388" s="26"/>
      <c r="AT388" s="26"/>
      <c r="AU388" s="26"/>
      <c r="AV388" s="26"/>
      <c r="AW388" s="26"/>
      <c r="AX388" s="26"/>
      <c r="AY388" s="26"/>
      <c r="AZ388" s="26"/>
      <c r="BA388" s="26"/>
      <c r="BB388" s="26"/>
      <c r="BC388" s="26"/>
      <c r="BD388" s="26"/>
      <c r="BE388" s="26"/>
      <c r="BF388" s="26"/>
      <c r="BG388" s="26"/>
      <c r="BH388" s="26"/>
      <c r="BI388" s="26"/>
      <c r="BJ388" s="26"/>
      <c r="BK388" s="26"/>
      <c r="BL388" s="26"/>
      <c r="BM388" s="26"/>
      <c r="BN388" s="26"/>
      <c r="BO388" s="26"/>
      <c r="BP388" s="26"/>
      <c r="BQ388" s="26"/>
      <c r="BR388" s="26"/>
      <c r="BS388" s="26"/>
      <c r="BT388" s="26"/>
      <c r="BU388" s="26"/>
      <c r="BV388" s="26"/>
      <c r="BW388" s="26"/>
      <c r="BX388" s="26"/>
      <c r="BY388" s="26"/>
      <c r="BZ388" s="26"/>
      <c r="CA388" s="26"/>
      <c r="CB388" s="26"/>
      <c r="CC388" s="26"/>
      <c r="CD388" s="26"/>
      <c r="CE388" s="26"/>
      <c r="CF388" s="26"/>
      <c r="CG388" s="26"/>
      <c r="CH388" s="26"/>
      <c r="CI388" s="26"/>
      <c r="CJ388" s="26"/>
      <c r="CK388" s="26"/>
      <c r="CL388" s="26"/>
      <c r="CM388" s="26"/>
      <c r="CN388" s="26"/>
      <c r="CO388" s="26"/>
      <c r="CP388" s="26"/>
      <c r="CQ388" s="26"/>
    </row>
    <row r="389" spans="1:95" s="29" customFormat="1" ht="15" customHeight="1" x14ac:dyDescent="0.25">
      <c r="A389" s="32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  <c r="AO389" s="26"/>
      <c r="AP389" s="26"/>
      <c r="AQ389" s="26"/>
      <c r="AR389" s="26"/>
      <c r="AS389" s="26"/>
      <c r="AT389" s="26"/>
      <c r="AU389" s="26"/>
      <c r="AV389" s="26"/>
      <c r="AW389" s="26"/>
      <c r="AX389" s="26"/>
      <c r="AY389" s="26"/>
      <c r="AZ389" s="26"/>
      <c r="BA389" s="26"/>
      <c r="BB389" s="26"/>
      <c r="BC389" s="26"/>
      <c r="BD389" s="26"/>
      <c r="BE389" s="26"/>
      <c r="BF389" s="26"/>
      <c r="BG389" s="26"/>
      <c r="BH389" s="26"/>
      <c r="BI389" s="26"/>
      <c r="BJ389" s="26"/>
      <c r="BK389" s="26"/>
      <c r="BL389" s="26"/>
      <c r="BM389" s="26"/>
      <c r="BN389" s="26"/>
      <c r="BO389" s="26"/>
      <c r="BP389" s="26"/>
      <c r="BQ389" s="26"/>
      <c r="BR389" s="26"/>
      <c r="BS389" s="26"/>
      <c r="BT389" s="26"/>
      <c r="BU389" s="26"/>
      <c r="BV389" s="26"/>
      <c r="BW389" s="26"/>
      <c r="BX389" s="26"/>
      <c r="BY389" s="26"/>
      <c r="BZ389" s="26"/>
      <c r="CA389" s="26"/>
      <c r="CB389" s="26"/>
      <c r="CC389" s="26"/>
      <c r="CD389" s="26"/>
      <c r="CE389" s="26"/>
      <c r="CF389" s="26"/>
      <c r="CG389" s="26"/>
      <c r="CH389" s="26"/>
      <c r="CI389" s="26"/>
      <c r="CJ389" s="26"/>
      <c r="CK389" s="26"/>
      <c r="CL389" s="26"/>
      <c r="CM389" s="26"/>
      <c r="CN389" s="26"/>
      <c r="CO389" s="26"/>
      <c r="CP389" s="26"/>
      <c r="CQ389" s="26"/>
    </row>
    <row r="390" spans="1:95" s="29" customFormat="1" ht="15" customHeight="1" x14ac:dyDescent="0.25">
      <c r="A390" s="32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  <c r="AO390" s="26"/>
      <c r="AP390" s="26"/>
      <c r="AQ390" s="26"/>
      <c r="AR390" s="26"/>
      <c r="AS390" s="26"/>
      <c r="AT390" s="26"/>
      <c r="AU390" s="26"/>
      <c r="AV390" s="26"/>
      <c r="AW390" s="26"/>
      <c r="AX390" s="26"/>
      <c r="AY390" s="26"/>
      <c r="AZ390" s="26"/>
      <c r="BA390" s="26"/>
      <c r="BB390" s="26"/>
      <c r="BC390" s="26"/>
      <c r="BD390" s="26"/>
      <c r="BE390" s="26"/>
      <c r="BF390" s="26"/>
      <c r="BG390" s="26"/>
      <c r="BH390" s="26"/>
      <c r="BI390" s="26"/>
      <c r="BJ390" s="26"/>
      <c r="BK390" s="26"/>
      <c r="BL390" s="26"/>
      <c r="BM390" s="26"/>
      <c r="BN390" s="26"/>
      <c r="BO390" s="26"/>
      <c r="BP390" s="26"/>
      <c r="BQ390" s="26"/>
      <c r="BR390" s="26"/>
      <c r="BS390" s="26"/>
      <c r="BT390" s="26"/>
      <c r="BU390" s="26"/>
      <c r="BV390" s="26"/>
      <c r="BW390" s="26"/>
      <c r="BX390" s="26"/>
      <c r="BY390" s="26"/>
      <c r="BZ390" s="26"/>
      <c r="CA390" s="26"/>
      <c r="CB390" s="26"/>
      <c r="CC390" s="26"/>
      <c r="CD390" s="26"/>
      <c r="CE390" s="26"/>
      <c r="CF390" s="26"/>
      <c r="CG390" s="26"/>
      <c r="CH390" s="26"/>
      <c r="CI390" s="26"/>
      <c r="CJ390" s="26"/>
      <c r="CK390" s="26"/>
      <c r="CL390" s="26"/>
      <c r="CM390" s="26"/>
      <c r="CN390" s="26"/>
      <c r="CO390" s="26"/>
      <c r="CP390" s="26"/>
      <c r="CQ390" s="26"/>
    </row>
    <row r="391" spans="1:95" s="29" customFormat="1" ht="15" customHeight="1" x14ac:dyDescent="0.25">
      <c r="A391" s="32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  <c r="AO391" s="26"/>
      <c r="AP391" s="26"/>
      <c r="AQ391" s="26"/>
      <c r="AR391" s="26"/>
      <c r="AS391" s="26"/>
      <c r="AT391" s="26"/>
      <c r="AU391" s="26"/>
      <c r="AV391" s="26"/>
      <c r="AW391" s="26"/>
      <c r="AX391" s="26"/>
      <c r="AY391" s="26"/>
      <c r="AZ391" s="26"/>
      <c r="BA391" s="26"/>
      <c r="BB391" s="26"/>
      <c r="BC391" s="26"/>
      <c r="BD391" s="26"/>
      <c r="BE391" s="26"/>
      <c r="BF391" s="26"/>
      <c r="BG391" s="26"/>
      <c r="BH391" s="26"/>
      <c r="BI391" s="26"/>
      <c r="BJ391" s="26"/>
      <c r="BK391" s="26"/>
      <c r="BL391" s="26"/>
      <c r="BM391" s="26"/>
      <c r="BN391" s="26"/>
      <c r="BO391" s="26"/>
      <c r="BP391" s="26"/>
      <c r="BQ391" s="26"/>
      <c r="BR391" s="26"/>
      <c r="BS391" s="26"/>
      <c r="BT391" s="26"/>
      <c r="BU391" s="26"/>
      <c r="BV391" s="26"/>
      <c r="BW391" s="26"/>
      <c r="BX391" s="26"/>
      <c r="BY391" s="26"/>
      <c r="BZ391" s="26"/>
      <c r="CA391" s="26"/>
      <c r="CB391" s="26"/>
      <c r="CC391" s="26"/>
      <c r="CD391" s="26"/>
      <c r="CE391" s="26"/>
      <c r="CF391" s="26"/>
      <c r="CG391" s="26"/>
      <c r="CH391" s="26"/>
      <c r="CI391" s="26"/>
      <c r="CJ391" s="26"/>
      <c r="CK391" s="26"/>
      <c r="CL391" s="26"/>
      <c r="CM391" s="26"/>
      <c r="CN391" s="26"/>
      <c r="CO391" s="26"/>
      <c r="CP391" s="26"/>
      <c r="CQ391" s="26"/>
    </row>
    <row r="392" spans="1:95" s="29" customFormat="1" ht="15" customHeight="1" x14ac:dyDescent="0.25">
      <c r="A392" s="32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  <c r="AO392" s="26"/>
      <c r="AP392" s="26"/>
      <c r="AQ392" s="26"/>
      <c r="AR392" s="26"/>
      <c r="AS392" s="26"/>
      <c r="AT392" s="26"/>
      <c r="AU392" s="26"/>
      <c r="AV392" s="26"/>
      <c r="AW392" s="26"/>
      <c r="AX392" s="26"/>
      <c r="AY392" s="26"/>
      <c r="AZ392" s="26"/>
      <c r="BA392" s="26"/>
      <c r="BB392" s="26"/>
      <c r="BC392" s="26"/>
      <c r="BD392" s="26"/>
      <c r="BE392" s="26"/>
      <c r="BF392" s="26"/>
      <c r="BG392" s="26"/>
      <c r="BH392" s="26"/>
      <c r="BI392" s="26"/>
      <c r="BJ392" s="26"/>
      <c r="BK392" s="26"/>
      <c r="BL392" s="26"/>
      <c r="BM392" s="26"/>
      <c r="BN392" s="26"/>
      <c r="BO392" s="26"/>
      <c r="BP392" s="26"/>
      <c r="BQ392" s="26"/>
      <c r="BR392" s="26"/>
      <c r="BS392" s="26"/>
      <c r="BT392" s="26"/>
      <c r="BU392" s="26"/>
      <c r="BV392" s="26"/>
      <c r="BW392" s="26"/>
      <c r="BX392" s="26"/>
      <c r="BY392" s="26"/>
      <c r="BZ392" s="26"/>
      <c r="CA392" s="26"/>
      <c r="CB392" s="26"/>
      <c r="CC392" s="26"/>
      <c r="CD392" s="26"/>
      <c r="CE392" s="26"/>
      <c r="CF392" s="26"/>
      <c r="CG392" s="26"/>
      <c r="CH392" s="26"/>
      <c r="CI392" s="26"/>
      <c r="CJ392" s="26"/>
      <c r="CK392" s="26"/>
      <c r="CL392" s="26"/>
      <c r="CM392" s="26"/>
      <c r="CN392" s="26"/>
      <c r="CO392" s="26"/>
      <c r="CP392" s="26"/>
      <c r="CQ392" s="26"/>
    </row>
    <row r="393" spans="1:95" s="29" customFormat="1" ht="15" customHeight="1" x14ac:dyDescent="0.25">
      <c r="A393" s="32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  <c r="AO393" s="26"/>
      <c r="AP393" s="26"/>
      <c r="AQ393" s="26"/>
      <c r="AR393" s="26"/>
      <c r="AS393" s="26"/>
      <c r="AT393" s="26"/>
      <c r="AU393" s="26"/>
      <c r="AV393" s="26"/>
      <c r="AW393" s="26"/>
      <c r="AX393" s="26"/>
      <c r="AY393" s="26"/>
      <c r="AZ393" s="26"/>
      <c r="BA393" s="26"/>
      <c r="BB393" s="26"/>
      <c r="BC393" s="26"/>
      <c r="BD393" s="26"/>
      <c r="BE393" s="26"/>
      <c r="BF393" s="26"/>
      <c r="BG393" s="26"/>
      <c r="BH393" s="26"/>
      <c r="BI393" s="26"/>
      <c r="BJ393" s="26"/>
      <c r="BK393" s="26"/>
      <c r="BL393" s="26"/>
      <c r="BM393" s="26"/>
      <c r="BN393" s="26"/>
      <c r="BO393" s="26"/>
      <c r="BP393" s="26"/>
      <c r="BQ393" s="26"/>
      <c r="BR393" s="26"/>
      <c r="BS393" s="26"/>
      <c r="BT393" s="26"/>
      <c r="BU393" s="26"/>
      <c r="BV393" s="26"/>
      <c r="BW393" s="26"/>
      <c r="BX393" s="26"/>
      <c r="BY393" s="26"/>
      <c r="BZ393" s="26"/>
      <c r="CA393" s="26"/>
      <c r="CB393" s="26"/>
      <c r="CC393" s="26"/>
      <c r="CD393" s="26"/>
      <c r="CE393" s="26"/>
      <c r="CF393" s="26"/>
      <c r="CG393" s="26"/>
      <c r="CH393" s="26"/>
      <c r="CI393" s="26"/>
      <c r="CJ393" s="26"/>
      <c r="CK393" s="26"/>
      <c r="CL393" s="26"/>
      <c r="CM393" s="26"/>
      <c r="CN393" s="26"/>
      <c r="CO393" s="26"/>
      <c r="CP393" s="26"/>
      <c r="CQ393" s="26"/>
    </row>
    <row r="394" spans="1:95" s="29" customFormat="1" ht="15" customHeight="1" x14ac:dyDescent="0.25">
      <c r="A394" s="32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  <c r="AO394" s="26"/>
      <c r="AP394" s="26"/>
      <c r="AQ394" s="26"/>
      <c r="AR394" s="26"/>
      <c r="AS394" s="26"/>
      <c r="AT394" s="26"/>
      <c r="AU394" s="26"/>
      <c r="AV394" s="26"/>
      <c r="AW394" s="26"/>
      <c r="AX394" s="26"/>
      <c r="AY394" s="26"/>
      <c r="AZ394" s="26"/>
      <c r="BA394" s="26"/>
      <c r="BB394" s="26"/>
      <c r="BC394" s="26"/>
      <c r="BD394" s="26"/>
      <c r="BE394" s="26"/>
      <c r="BF394" s="26"/>
      <c r="BG394" s="26"/>
      <c r="BH394" s="26"/>
      <c r="BI394" s="26"/>
      <c r="BJ394" s="26"/>
      <c r="BK394" s="26"/>
      <c r="BL394" s="26"/>
      <c r="BM394" s="26"/>
      <c r="BN394" s="26"/>
      <c r="BO394" s="26"/>
      <c r="BP394" s="26"/>
      <c r="BQ394" s="26"/>
      <c r="BR394" s="26"/>
      <c r="BS394" s="26"/>
      <c r="BT394" s="26"/>
      <c r="BU394" s="26"/>
      <c r="BV394" s="26"/>
      <c r="BW394" s="26"/>
      <c r="BX394" s="26"/>
      <c r="BY394" s="26"/>
      <c r="BZ394" s="26"/>
      <c r="CA394" s="26"/>
      <c r="CB394" s="26"/>
      <c r="CC394" s="26"/>
      <c r="CD394" s="26"/>
      <c r="CE394" s="26"/>
      <c r="CF394" s="26"/>
      <c r="CG394" s="26"/>
      <c r="CH394" s="26"/>
      <c r="CI394" s="26"/>
      <c r="CJ394" s="26"/>
      <c r="CK394" s="26"/>
      <c r="CL394" s="26"/>
      <c r="CM394" s="26"/>
      <c r="CN394" s="26"/>
      <c r="CO394" s="26"/>
      <c r="CP394" s="26"/>
      <c r="CQ394" s="26"/>
    </row>
    <row r="395" spans="1:95" s="29" customFormat="1" ht="15" customHeight="1" x14ac:dyDescent="0.25">
      <c r="A395" s="32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  <c r="AO395" s="26"/>
      <c r="AP395" s="26"/>
      <c r="AQ395" s="26"/>
      <c r="AR395" s="26"/>
      <c r="AS395" s="26"/>
      <c r="AT395" s="26"/>
      <c r="AU395" s="26"/>
      <c r="AV395" s="26"/>
      <c r="AW395" s="26"/>
      <c r="AX395" s="26"/>
      <c r="AY395" s="26"/>
      <c r="AZ395" s="26"/>
      <c r="BA395" s="26"/>
      <c r="BB395" s="26"/>
      <c r="BC395" s="26"/>
      <c r="BD395" s="26"/>
      <c r="BE395" s="26"/>
      <c r="BF395" s="26"/>
      <c r="BG395" s="26"/>
      <c r="BH395" s="26"/>
      <c r="BI395" s="26"/>
      <c r="BJ395" s="26"/>
      <c r="BK395" s="26"/>
      <c r="BL395" s="26"/>
      <c r="BM395" s="26"/>
      <c r="BN395" s="26"/>
      <c r="BO395" s="26"/>
      <c r="BP395" s="26"/>
      <c r="BQ395" s="26"/>
      <c r="BR395" s="26"/>
      <c r="BS395" s="26"/>
      <c r="BT395" s="26"/>
      <c r="BU395" s="26"/>
      <c r="BV395" s="26"/>
      <c r="BW395" s="26"/>
      <c r="BX395" s="26"/>
      <c r="BY395" s="26"/>
      <c r="BZ395" s="26"/>
      <c r="CA395" s="26"/>
      <c r="CB395" s="26"/>
      <c r="CC395" s="26"/>
      <c r="CD395" s="26"/>
      <c r="CE395" s="26"/>
      <c r="CF395" s="26"/>
      <c r="CG395" s="26"/>
      <c r="CH395" s="26"/>
      <c r="CI395" s="26"/>
      <c r="CJ395" s="26"/>
      <c r="CK395" s="26"/>
      <c r="CL395" s="26"/>
      <c r="CM395" s="26"/>
      <c r="CN395" s="26"/>
      <c r="CO395" s="26"/>
      <c r="CP395" s="26"/>
      <c r="CQ395" s="26"/>
    </row>
    <row r="396" spans="1:95" s="29" customFormat="1" ht="15" customHeight="1" x14ac:dyDescent="0.25">
      <c r="A396" s="32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  <c r="AO396" s="26"/>
      <c r="AP396" s="26"/>
      <c r="AQ396" s="26"/>
      <c r="AR396" s="26"/>
      <c r="AS396" s="26"/>
      <c r="AT396" s="26"/>
      <c r="AU396" s="26"/>
      <c r="AV396" s="26"/>
      <c r="AW396" s="26"/>
      <c r="AX396" s="26"/>
      <c r="AY396" s="26"/>
      <c r="AZ396" s="26"/>
      <c r="BA396" s="26"/>
      <c r="BB396" s="26"/>
      <c r="BC396" s="26"/>
      <c r="BD396" s="26"/>
      <c r="BE396" s="26"/>
      <c r="BF396" s="26"/>
      <c r="BG396" s="26"/>
      <c r="BH396" s="26"/>
      <c r="BI396" s="26"/>
      <c r="BJ396" s="26"/>
      <c r="BK396" s="26"/>
      <c r="BL396" s="26"/>
      <c r="BM396" s="26"/>
      <c r="BN396" s="26"/>
      <c r="BO396" s="26"/>
      <c r="BP396" s="26"/>
      <c r="BQ396" s="26"/>
      <c r="BR396" s="26"/>
      <c r="BS396" s="26"/>
      <c r="BT396" s="26"/>
      <c r="BU396" s="26"/>
      <c r="BV396" s="26"/>
      <c r="BW396" s="26"/>
      <c r="BX396" s="26"/>
      <c r="BY396" s="26"/>
      <c r="BZ396" s="26"/>
      <c r="CA396" s="26"/>
      <c r="CB396" s="26"/>
      <c r="CC396" s="26"/>
      <c r="CD396" s="26"/>
      <c r="CE396" s="26"/>
      <c r="CF396" s="26"/>
      <c r="CG396" s="26"/>
      <c r="CH396" s="26"/>
      <c r="CI396" s="26"/>
      <c r="CJ396" s="26"/>
      <c r="CK396" s="26"/>
      <c r="CL396" s="26"/>
      <c r="CM396" s="26"/>
      <c r="CN396" s="26"/>
      <c r="CO396" s="26"/>
      <c r="CP396" s="26"/>
      <c r="CQ396" s="26"/>
    </row>
    <row r="397" spans="1:95" s="29" customFormat="1" ht="15" customHeight="1" x14ac:dyDescent="0.25">
      <c r="A397" s="32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  <c r="AO397" s="26"/>
      <c r="AP397" s="26"/>
      <c r="AQ397" s="26"/>
      <c r="AR397" s="26"/>
      <c r="AS397" s="26"/>
      <c r="AT397" s="26"/>
      <c r="AU397" s="26"/>
      <c r="AV397" s="26"/>
      <c r="AW397" s="26"/>
      <c r="AX397" s="26"/>
      <c r="AY397" s="26"/>
      <c r="AZ397" s="26"/>
      <c r="BA397" s="26"/>
      <c r="BB397" s="26"/>
      <c r="BC397" s="26"/>
      <c r="BD397" s="26"/>
      <c r="BE397" s="26"/>
      <c r="BF397" s="26"/>
      <c r="BG397" s="26"/>
      <c r="BH397" s="26"/>
      <c r="BI397" s="26"/>
      <c r="BJ397" s="26"/>
      <c r="BK397" s="26"/>
      <c r="BL397" s="26"/>
      <c r="BM397" s="26"/>
      <c r="BN397" s="26"/>
      <c r="BO397" s="26"/>
      <c r="BP397" s="26"/>
      <c r="BQ397" s="26"/>
      <c r="BR397" s="26"/>
      <c r="BS397" s="26"/>
      <c r="BT397" s="26"/>
      <c r="BU397" s="26"/>
      <c r="BV397" s="26"/>
      <c r="BW397" s="26"/>
      <c r="BX397" s="26"/>
      <c r="BY397" s="26"/>
      <c r="BZ397" s="26"/>
      <c r="CA397" s="26"/>
      <c r="CB397" s="26"/>
      <c r="CC397" s="26"/>
      <c r="CD397" s="26"/>
      <c r="CE397" s="26"/>
      <c r="CF397" s="26"/>
      <c r="CG397" s="26"/>
      <c r="CH397" s="26"/>
      <c r="CI397" s="26"/>
      <c r="CJ397" s="26"/>
      <c r="CK397" s="26"/>
      <c r="CL397" s="26"/>
      <c r="CM397" s="26"/>
      <c r="CN397" s="26"/>
      <c r="CO397" s="26"/>
      <c r="CP397" s="26"/>
      <c r="CQ397" s="26"/>
    </row>
    <row r="398" spans="1:95" s="29" customFormat="1" ht="15" customHeight="1" x14ac:dyDescent="0.25">
      <c r="A398" s="32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  <c r="AO398" s="26"/>
      <c r="AP398" s="26"/>
      <c r="AQ398" s="26"/>
      <c r="AR398" s="26"/>
      <c r="AS398" s="26"/>
      <c r="AT398" s="26"/>
      <c r="AU398" s="26"/>
      <c r="AV398" s="26"/>
      <c r="AW398" s="26"/>
      <c r="AX398" s="26"/>
      <c r="AY398" s="26"/>
      <c r="AZ398" s="26"/>
      <c r="BA398" s="26"/>
      <c r="BB398" s="26"/>
      <c r="BC398" s="26"/>
      <c r="BD398" s="26"/>
      <c r="BE398" s="26"/>
      <c r="BF398" s="26"/>
      <c r="BG398" s="26"/>
      <c r="BH398" s="26"/>
      <c r="BI398" s="26"/>
      <c r="BJ398" s="26"/>
      <c r="BK398" s="26"/>
      <c r="BL398" s="26"/>
      <c r="BM398" s="26"/>
      <c r="BN398" s="26"/>
      <c r="BO398" s="26"/>
      <c r="BP398" s="26"/>
      <c r="BQ398" s="26"/>
      <c r="BR398" s="26"/>
      <c r="BS398" s="26"/>
      <c r="BT398" s="26"/>
      <c r="BU398" s="26"/>
      <c r="BV398" s="26"/>
      <c r="BW398" s="26"/>
      <c r="BX398" s="26"/>
      <c r="BY398" s="26"/>
      <c r="BZ398" s="26"/>
      <c r="CA398" s="26"/>
      <c r="CB398" s="26"/>
      <c r="CC398" s="26"/>
      <c r="CD398" s="26"/>
      <c r="CE398" s="26"/>
      <c r="CF398" s="26"/>
      <c r="CG398" s="26"/>
      <c r="CH398" s="26"/>
      <c r="CI398" s="26"/>
      <c r="CJ398" s="26"/>
      <c r="CK398" s="26"/>
      <c r="CL398" s="26"/>
      <c r="CM398" s="26"/>
      <c r="CN398" s="26"/>
      <c r="CO398" s="26"/>
      <c r="CP398" s="26"/>
      <c r="CQ398" s="26"/>
    </row>
    <row r="399" spans="1:95" s="29" customFormat="1" ht="15" customHeight="1" x14ac:dyDescent="0.25">
      <c r="A399" s="32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  <c r="AO399" s="26"/>
      <c r="AP399" s="26"/>
      <c r="AQ399" s="26"/>
      <c r="AR399" s="26"/>
      <c r="AS399" s="26"/>
      <c r="AT399" s="26"/>
      <c r="AU399" s="26"/>
      <c r="AV399" s="26"/>
      <c r="AW399" s="26"/>
      <c r="AX399" s="26"/>
      <c r="AY399" s="26"/>
      <c r="AZ399" s="26"/>
      <c r="BA399" s="26"/>
      <c r="BB399" s="26"/>
      <c r="BC399" s="26"/>
      <c r="BD399" s="26"/>
      <c r="BE399" s="26"/>
      <c r="BF399" s="26"/>
      <c r="BG399" s="26"/>
      <c r="BH399" s="26"/>
      <c r="BI399" s="26"/>
      <c r="BJ399" s="26"/>
      <c r="BK399" s="26"/>
      <c r="BL399" s="26"/>
      <c r="BM399" s="26"/>
      <c r="BN399" s="26"/>
      <c r="BO399" s="26"/>
      <c r="BP399" s="26"/>
      <c r="BQ399" s="26"/>
      <c r="BR399" s="26"/>
      <c r="BS399" s="26"/>
      <c r="BT399" s="26"/>
      <c r="BU399" s="26"/>
      <c r="BV399" s="26"/>
      <c r="BW399" s="26"/>
      <c r="BX399" s="26"/>
      <c r="BY399" s="26"/>
      <c r="BZ399" s="26"/>
      <c r="CA399" s="26"/>
      <c r="CB399" s="26"/>
      <c r="CC399" s="26"/>
      <c r="CD399" s="26"/>
      <c r="CE399" s="26"/>
      <c r="CF399" s="26"/>
      <c r="CG399" s="26"/>
      <c r="CH399" s="26"/>
      <c r="CI399" s="26"/>
      <c r="CJ399" s="26"/>
      <c r="CK399" s="26"/>
      <c r="CL399" s="26"/>
      <c r="CM399" s="26"/>
      <c r="CN399" s="26"/>
      <c r="CO399" s="26"/>
      <c r="CP399" s="26"/>
      <c r="CQ399" s="26"/>
    </row>
    <row r="400" spans="1:95" s="29" customFormat="1" ht="15" customHeight="1" x14ac:dyDescent="0.25">
      <c r="A400" s="32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  <c r="AO400" s="26"/>
      <c r="AP400" s="26"/>
      <c r="AQ400" s="26"/>
      <c r="AR400" s="26"/>
      <c r="AS400" s="26"/>
      <c r="AT400" s="26"/>
      <c r="AU400" s="26"/>
      <c r="AV400" s="26"/>
      <c r="AW400" s="26"/>
      <c r="AX400" s="26"/>
      <c r="AY400" s="26"/>
      <c r="AZ400" s="26"/>
      <c r="BA400" s="26"/>
      <c r="BB400" s="26"/>
      <c r="BC400" s="26"/>
      <c r="BD400" s="26"/>
      <c r="BE400" s="26"/>
      <c r="BF400" s="26"/>
      <c r="BG400" s="26"/>
      <c r="BH400" s="26"/>
      <c r="BI400" s="26"/>
      <c r="BJ400" s="26"/>
      <c r="BK400" s="26"/>
      <c r="BL400" s="26"/>
      <c r="BM400" s="26"/>
      <c r="BN400" s="26"/>
      <c r="BO400" s="26"/>
      <c r="BP400" s="26"/>
      <c r="BQ400" s="26"/>
      <c r="BR400" s="26"/>
      <c r="BS400" s="26"/>
      <c r="BT400" s="26"/>
      <c r="BU400" s="26"/>
      <c r="BV400" s="26"/>
      <c r="BW400" s="26"/>
      <c r="BX400" s="26"/>
      <c r="BY400" s="26"/>
      <c r="BZ400" s="26"/>
      <c r="CA400" s="26"/>
      <c r="CB400" s="26"/>
      <c r="CC400" s="26"/>
      <c r="CD400" s="26"/>
      <c r="CE400" s="26"/>
      <c r="CF400" s="26"/>
      <c r="CG400" s="26"/>
      <c r="CH400" s="26"/>
      <c r="CI400" s="26"/>
      <c r="CJ400" s="26"/>
      <c r="CK400" s="26"/>
      <c r="CL400" s="26"/>
      <c r="CM400" s="26"/>
      <c r="CN400" s="26"/>
      <c r="CO400" s="26"/>
      <c r="CP400" s="26"/>
      <c r="CQ400" s="26"/>
    </row>
    <row r="401" spans="1:95" s="29" customFormat="1" ht="15" customHeight="1" x14ac:dyDescent="0.25">
      <c r="A401" s="32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  <c r="AO401" s="26"/>
      <c r="AP401" s="26"/>
      <c r="AQ401" s="26"/>
      <c r="AR401" s="26"/>
      <c r="AS401" s="26"/>
      <c r="AT401" s="26"/>
      <c r="AU401" s="26"/>
      <c r="AV401" s="26"/>
      <c r="AW401" s="26"/>
      <c r="AX401" s="26"/>
      <c r="AY401" s="26"/>
      <c r="AZ401" s="26"/>
      <c r="BA401" s="26"/>
      <c r="BB401" s="26"/>
      <c r="BC401" s="26"/>
      <c r="BD401" s="26"/>
      <c r="BE401" s="26"/>
      <c r="BF401" s="26"/>
      <c r="BG401" s="26"/>
      <c r="BH401" s="26"/>
      <c r="BI401" s="26"/>
      <c r="BJ401" s="26"/>
      <c r="BK401" s="26"/>
      <c r="BL401" s="26"/>
      <c r="BM401" s="26"/>
      <c r="BN401" s="26"/>
      <c r="BO401" s="26"/>
      <c r="BP401" s="26"/>
      <c r="BQ401" s="26"/>
      <c r="BR401" s="26"/>
      <c r="BS401" s="26"/>
      <c r="BT401" s="26"/>
      <c r="BU401" s="26"/>
      <c r="BV401" s="26"/>
      <c r="BW401" s="26"/>
      <c r="BX401" s="26"/>
      <c r="BY401" s="26"/>
      <c r="BZ401" s="26"/>
      <c r="CA401" s="26"/>
      <c r="CB401" s="26"/>
      <c r="CC401" s="26"/>
      <c r="CD401" s="26"/>
      <c r="CE401" s="26"/>
      <c r="CF401" s="26"/>
      <c r="CG401" s="26"/>
      <c r="CH401" s="26"/>
      <c r="CI401" s="26"/>
      <c r="CJ401" s="26"/>
      <c r="CK401" s="26"/>
      <c r="CL401" s="26"/>
      <c r="CM401" s="26"/>
      <c r="CN401" s="26"/>
      <c r="CO401" s="26"/>
      <c r="CP401" s="26"/>
      <c r="CQ401" s="26"/>
    </row>
    <row r="402" spans="1:95" s="29" customFormat="1" ht="15" customHeight="1" x14ac:dyDescent="0.25">
      <c r="A402" s="32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  <c r="AO402" s="26"/>
      <c r="AP402" s="26"/>
      <c r="AQ402" s="26"/>
      <c r="AR402" s="26"/>
      <c r="AS402" s="26"/>
      <c r="AT402" s="26"/>
      <c r="AU402" s="26"/>
      <c r="AV402" s="26"/>
      <c r="AW402" s="26"/>
      <c r="AX402" s="26"/>
      <c r="AY402" s="26"/>
      <c r="AZ402" s="26"/>
      <c r="BA402" s="26"/>
      <c r="BB402" s="26"/>
      <c r="BC402" s="26"/>
      <c r="BD402" s="26"/>
      <c r="BE402" s="26"/>
      <c r="BF402" s="26"/>
      <c r="BG402" s="26"/>
      <c r="BH402" s="26"/>
      <c r="BI402" s="26"/>
      <c r="BJ402" s="26"/>
      <c r="BK402" s="26"/>
      <c r="BL402" s="26"/>
      <c r="BM402" s="26"/>
      <c r="BN402" s="26"/>
      <c r="BO402" s="26"/>
      <c r="BP402" s="26"/>
      <c r="BQ402" s="26"/>
      <c r="BR402" s="26"/>
      <c r="BS402" s="26"/>
      <c r="BT402" s="26"/>
      <c r="BU402" s="26"/>
      <c r="BV402" s="26"/>
      <c r="BW402" s="26"/>
      <c r="BX402" s="26"/>
      <c r="BY402" s="26"/>
      <c r="BZ402" s="26"/>
      <c r="CA402" s="26"/>
      <c r="CB402" s="26"/>
      <c r="CC402" s="26"/>
      <c r="CD402" s="26"/>
      <c r="CE402" s="26"/>
      <c r="CF402" s="26"/>
      <c r="CG402" s="26"/>
      <c r="CH402" s="26"/>
      <c r="CI402" s="26"/>
      <c r="CJ402" s="26"/>
      <c r="CK402" s="26"/>
      <c r="CL402" s="26"/>
      <c r="CM402" s="26"/>
      <c r="CN402" s="26"/>
      <c r="CO402" s="26"/>
      <c r="CP402" s="26"/>
      <c r="CQ402" s="26"/>
    </row>
    <row r="403" spans="1:95" s="29" customFormat="1" ht="15" customHeight="1" x14ac:dyDescent="0.25">
      <c r="A403" s="32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  <c r="AO403" s="26"/>
      <c r="AP403" s="26"/>
      <c r="AQ403" s="26"/>
      <c r="AR403" s="26"/>
      <c r="AS403" s="26"/>
      <c r="AT403" s="26"/>
      <c r="AU403" s="26"/>
      <c r="AV403" s="26"/>
      <c r="AW403" s="26"/>
      <c r="AX403" s="26"/>
      <c r="AY403" s="26"/>
      <c r="AZ403" s="26"/>
      <c r="BA403" s="26"/>
      <c r="BB403" s="26"/>
      <c r="BC403" s="26"/>
      <c r="BD403" s="26"/>
      <c r="BE403" s="26"/>
      <c r="BF403" s="26"/>
      <c r="BG403" s="26"/>
      <c r="BH403" s="26"/>
      <c r="BI403" s="26"/>
      <c r="BJ403" s="26"/>
      <c r="BK403" s="26"/>
      <c r="BL403" s="26"/>
      <c r="BM403" s="26"/>
      <c r="BN403" s="26"/>
      <c r="BO403" s="26"/>
      <c r="BP403" s="26"/>
      <c r="BQ403" s="26"/>
      <c r="BR403" s="26"/>
      <c r="BS403" s="26"/>
      <c r="BT403" s="26"/>
      <c r="BU403" s="26"/>
      <c r="BV403" s="26"/>
      <c r="BW403" s="26"/>
      <c r="BX403" s="26"/>
      <c r="BY403" s="26"/>
      <c r="BZ403" s="26"/>
      <c r="CA403" s="26"/>
      <c r="CB403" s="26"/>
      <c r="CC403" s="26"/>
      <c r="CD403" s="26"/>
      <c r="CE403" s="26"/>
      <c r="CF403" s="26"/>
      <c r="CG403" s="26"/>
      <c r="CH403" s="26"/>
      <c r="CI403" s="26"/>
      <c r="CJ403" s="26"/>
      <c r="CK403" s="26"/>
      <c r="CL403" s="26"/>
      <c r="CM403" s="26"/>
      <c r="CN403" s="26"/>
      <c r="CO403" s="26"/>
      <c r="CP403" s="26"/>
      <c r="CQ403" s="26"/>
    </row>
    <row r="404" spans="1:95" s="29" customFormat="1" ht="15" customHeight="1" x14ac:dyDescent="0.25">
      <c r="A404" s="32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  <c r="AO404" s="26"/>
      <c r="AP404" s="26"/>
      <c r="AQ404" s="26"/>
      <c r="AR404" s="26"/>
      <c r="AS404" s="26"/>
      <c r="AT404" s="26"/>
      <c r="AU404" s="26"/>
      <c r="AV404" s="26"/>
      <c r="AW404" s="26"/>
      <c r="AX404" s="26"/>
      <c r="AY404" s="26"/>
      <c r="AZ404" s="26"/>
      <c r="BA404" s="26"/>
      <c r="BB404" s="26"/>
      <c r="BC404" s="26"/>
      <c r="BD404" s="26"/>
      <c r="BE404" s="26"/>
      <c r="BF404" s="26"/>
      <c r="BG404" s="26"/>
      <c r="BH404" s="26"/>
      <c r="BI404" s="26"/>
      <c r="BJ404" s="26"/>
      <c r="BK404" s="26"/>
      <c r="BL404" s="26"/>
      <c r="BM404" s="26"/>
      <c r="BN404" s="26"/>
      <c r="BO404" s="26"/>
      <c r="BP404" s="26"/>
      <c r="BQ404" s="26"/>
      <c r="BR404" s="26"/>
      <c r="BS404" s="26"/>
      <c r="BT404" s="26"/>
      <c r="BU404" s="26"/>
      <c r="BV404" s="26"/>
      <c r="BW404" s="26"/>
      <c r="BX404" s="26"/>
      <c r="BY404" s="26"/>
      <c r="BZ404" s="26"/>
      <c r="CA404" s="26"/>
      <c r="CB404" s="26"/>
      <c r="CC404" s="26"/>
      <c r="CD404" s="26"/>
      <c r="CE404" s="26"/>
      <c r="CF404" s="26"/>
      <c r="CG404" s="26"/>
      <c r="CH404" s="26"/>
      <c r="CI404" s="26"/>
      <c r="CJ404" s="26"/>
      <c r="CK404" s="26"/>
      <c r="CL404" s="26"/>
      <c r="CM404" s="26"/>
      <c r="CN404" s="26"/>
      <c r="CO404" s="26"/>
      <c r="CP404" s="26"/>
      <c r="CQ404" s="26"/>
    </row>
    <row r="405" spans="1:95" s="29" customFormat="1" ht="15" customHeight="1" x14ac:dyDescent="0.25">
      <c r="A405" s="32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  <c r="AO405" s="26"/>
      <c r="AP405" s="26"/>
      <c r="AQ405" s="26"/>
      <c r="AR405" s="26"/>
      <c r="AS405" s="26"/>
      <c r="AT405" s="26"/>
      <c r="AU405" s="26"/>
      <c r="AV405" s="26"/>
      <c r="AW405" s="26"/>
      <c r="AX405" s="26"/>
      <c r="AY405" s="26"/>
      <c r="AZ405" s="26"/>
      <c r="BA405" s="26"/>
      <c r="BB405" s="26"/>
      <c r="BC405" s="26"/>
      <c r="BD405" s="26"/>
      <c r="BE405" s="26"/>
      <c r="BF405" s="26"/>
      <c r="BG405" s="26"/>
      <c r="BH405" s="26"/>
      <c r="BI405" s="26"/>
      <c r="BJ405" s="26"/>
      <c r="BK405" s="26"/>
      <c r="BL405" s="26"/>
      <c r="BM405" s="26"/>
      <c r="BN405" s="26"/>
      <c r="BO405" s="26"/>
      <c r="BP405" s="26"/>
      <c r="BQ405" s="26"/>
      <c r="BR405" s="26"/>
      <c r="BS405" s="26"/>
      <c r="BT405" s="26"/>
      <c r="BU405" s="26"/>
      <c r="BV405" s="26"/>
      <c r="BW405" s="26"/>
      <c r="BX405" s="26"/>
      <c r="BY405" s="26"/>
      <c r="BZ405" s="26"/>
      <c r="CA405" s="26"/>
      <c r="CB405" s="26"/>
      <c r="CC405" s="26"/>
      <c r="CD405" s="26"/>
      <c r="CE405" s="26"/>
      <c r="CF405" s="26"/>
      <c r="CG405" s="26"/>
      <c r="CH405" s="26"/>
      <c r="CI405" s="26"/>
      <c r="CJ405" s="26"/>
      <c r="CK405" s="26"/>
      <c r="CL405" s="26"/>
      <c r="CM405" s="26"/>
      <c r="CN405" s="26"/>
      <c r="CO405" s="26"/>
      <c r="CP405" s="26"/>
      <c r="CQ405" s="26"/>
    </row>
    <row r="406" spans="1:95" s="29" customFormat="1" ht="15" customHeight="1" x14ac:dyDescent="0.25">
      <c r="A406" s="32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  <c r="AO406" s="26"/>
      <c r="AP406" s="26"/>
      <c r="AQ406" s="26"/>
      <c r="AR406" s="26"/>
      <c r="AS406" s="26"/>
      <c r="AT406" s="26"/>
      <c r="AU406" s="26"/>
      <c r="AV406" s="26"/>
      <c r="AW406" s="26"/>
      <c r="AX406" s="26"/>
      <c r="AY406" s="26"/>
      <c r="AZ406" s="26"/>
      <c r="BA406" s="26"/>
      <c r="BB406" s="26"/>
      <c r="BC406" s="26"/>
      <c r="BD406" s="26"/>
      <c r="BE406" s="26"/>
      <c r="BF406" s="26"/>
      <c r="BG406" s="26"/>
      <c r="BH406" s="26"/>
      <c r="BI406" s="26"/>
      <c r="BJ406" s="26"/>
      <c r="BK406" s="26"/>
      <c r="BL406" s="26"/>
      <c r="BM406" s="26"/>
      <c r="BN406" s="26"/>
      <c r="BO406" s="26"/>
      <c r="BP406" s="26"/>
      <c r="BQ406" s="26"/>
      <c r="BR406" s="26"/>
      <c r="BS406" s="26"/>
      <c r="BT406" s="26"/>
      <c r="BU406" s="26"/>
      <c r="BV406" s="26"/>
      <c r="BW406" s="26"/>
      <c r="BX406" s="26"/>
      <c r="BY406" s="26"/>
      <c r="BZ406" s="26"/>
      <c r="CA406" s="26"/>
      <c r="CB406" s="26"/>
      <c r="CC406" s="26"/>
      <c r="CD406" s="26"/>
      <c r="CE406" s="26"/>
      <c r="CF406" s="26"/>
      <c r="CG406" s="26"/>
      <c r="CH406" s="26"/>
      <c r="CI406" s="26"/>
      <c r="CJ406" s="26"/>
      <c r="CK406" s="26"/>
      <c r="CL406" s="26"/>
      <c r="CM406" s="26"/>
      <c r="CN406" s="26"/>
      <c r="CO406" s="26"/>
      <c r="CP406" s="26"/>
      <c r="CQ406" s="26"/>
    </row>
    <row r="407" spans="1:95" s="29" customFormat="1" ht="15" customHeight="1" x14ac:dyDescent="0.25">
      <c r="A407" s="32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  <c r="AO407" s="26"/>
      <c r="AP407" s="26"/>
      <c r="AQ407" s="26"/>
      <c r="AR407" s="26"/>
      <c r="AS407" s="26"/>
      <c r="AT407" s="26"/>
      <c r="AU407" s="26"/>
      <c r="AV407" s="26"/>
      <c r="AW407" s="26"/>
      <c r="AX407" s="26"/>
      <c r="AY407" s="26"/>
      <c r="AZ407" s="26"/>
      <c r="BA407" s="26"/>
      <c r="BB407" s="26"/>
      <c r="BC407" s="26"/>
      <c r="BD407" s="26"/>
      <c r="BE407" s="26"/>
      <c r="BF407" s="26"/>
      <c r="BG407" s="26"/>
      <c r="BH407" s="26"/>
      <c r="BI407" s="26"/>
      <c r="BJ407" s="26"/>
      <c r="BK407" s="26"/>
      <c r="BL407" s="26"/>
      <c r="BM407" s="26"/>
      <c r="BN407" s="26"/>
      <c r="BO407" s="26"/>
      <c r="BP407" s="26"/>
      <c r="BQ407" s="26"/>
      <c r="BR407" s="26"/>
      <c r="BS407" s="26"/>
      <c r="BT407" s="26"/>
      <c r="BU407" s="26"/>
      <c r="BV407" s="26"/>
      <c r="BW407" s="26"/>
      <c r="BX407" s="26"/>
      <c r="BY407" s="26"/>
      <c r="BZ407" s="26"/>
      <c r="CA407" s="26"/>
      <c r="CB407" s="26"/>
      <c r="CC407" s="26"/>
      <c r="CD407" s="26"/>
      <c r="CE407" s="26"/>
      <c r="CF407" s="26"/>
      <c r="CG407" s="26"/>
      <c r="CH407" s="26"/>
      <c r="CI407" s="26"/>
      <c r="CJ407" s="26"/>
      <c r="CK407" s="26"/>
      <c r="CL407" s="26"/>
      <c r="CM407" s="26"/>
      <c r="CN407" s="26"/>
      <c r="CO407" s="26"/>
      <c r="CP407" s="26"/>
      <c r="CQ407" s="26"/>
    </row>
    <row r="408" spans="1:95" s="29" customFormat="1" ht="15" customHeight="1" x14ac:dyDescent="0.25">
      <c r="A408" s="32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  <c r="AO408" s="26"/>
      <c r="AP408" s="26"/>
      <c r="AQ408" s="26"/>
      <c r="AR408" s="26"/>
      <c r="AS408" s="26"/>
      <c r="AT408" s="26"/>
      <c r="AU408" s="26"/>
      <c r="AV408" s="26"/>
      <c r="AW408" s="26"/>
      <c r="AX408" s="26"/>
      <c r="AY408" s="26"/>
      <c r="AZ408" s="26"/>
      <c r="BA408" s="26"/>
      <c r="BB408" s="26"/>
      <c r="BC408" s="26"/>
      <c r="BD408" s="26"/>
      <c r="BE408" s="26"/>
      <c r="BF408" s="26"/>
      <c r="BG408" s="26"/>
      <c r="BH408" s="26"/>
      <c r="BI408" s="26"/>
      <c r="BJ408" s="26"/>
      <c r="BK408" s="26"/>
      <c r="BL408" s="26"/>
      <c r="BM408" s="26"/>
      <c r="BN408" s="26"/>
      <c r="BO408" s="26"/>
      <c r="BP408" s="26"/>
      <c r="BQ408" s="26"/>
      <c r="BR408" s="26"/>
      <c r="BS408" s="26"/>
      <c r="BT408" s="26"/>
      <c r="BU408" s="26"/>
      <c r="BV408" s="26"/>
      <c r="BW408" s="26"/>
      <c r="BX408" s="26"/>
      <c r="BY408" s="26"/>
      <c r="BZ408" s="26"/>
      <c r="CA408" s="26"/>
      <c r="CB408" s="26"/>
      <c r="CC408" s="26"/>
      <c r="CD408" s="26"/>
      <c r="CE408" s="26"/>
      <c r="CF408" s="26"/>
      <c r="CG408" s="26"/>
      <c r="CH408" s="26"/>
      <c r="CI408" s="26"/>
      <c r="CJ408" s="26"/>
      <c r="CK408" s="26"/>
      <c r="CL408" s="26"/>
      <c r="CM408" s="26"/>
      <c r="CN408" s="26"/>
      <c r="CO408" s="26"/>
      <c r="CP408" s="26"/>
      <c r="CQ408" s="26"/>
    </row>
    <row r="409" spans="1:95" s="29" customFormat="1" ht="15" customHeight="1" x14ac:dyDescent="0.25">
      <c r="A409" s="32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  <c r="AO409" s="26"/>
      <c r="AP409" s="26"/>
      <c r="AQ409" s="26"/>
      <c r="AR409" s="26"/>
      <c r="AS409" s="26"/>
      <c r="AT409" s="26"/>
      <c r="AU409" s="26"/>
      <c r="AV409" s="26"/>
      <c r="AW409" s="26"/>
      <c r="AX409" s="26"/>
      <c r="AY409" s="26"/>
      <c r="AZ409" s="26"/>
      <c r="BA409" s="26"/>
      <c r="BB409" s="26"/>
      <c r="BC409" s="26"/>
      <c r="BD409" s="26"/>
      <c r="BE409" s="26"/>
      <c r="BF409" s="26"/>
      <c r="BG409" s="26"/>
      <c r="BH409" s="26"/>
      <c r="BI409" s="26"/>
      <c r="BJ409" s="26"/>
      <c r="BK409" s="26"/>
      <c r="BL409" s="26"/>
      <c r="BM409" s="26"/>
      <c r="BN409" s="26"/>
      <c r="BO409" s="26"/>
      <c r="BP409" s="26"/>
      <c r="BQ409" s="26"/>
      <c r="BR409" s="26"/>
      <c r="BS409" s="26"/>
      <c r="BT409" s="26"/>
      <c r="BU409" s="26"/>
      <c r="BV409" s="26"/>
      <c r="BW409" s="26"/>
      <c r="BX409" s="26"/>
      <c r="BY409" s="26"/>
      <c r="BZ409" s="26"/>
      <c r="CA409" s="26"/>
      <c r="CB409" s="26"/>
      <c r="CC409" s="26"/>
      <c r="CD409" s="26"/>
      <c r="CE409" s="26"/>
      <c r="CF409" s="26"/>
      <c r="CG409" s="26"/>
      <c r="CH409" s="26"/>
      <c r="CI409" s="26"/>
      <c r="CJ409" s="26"/>
      <c r="CK409" s="26"/>
      <c r="CL409" s="26"/>
      <c r="CM409" s="26"/>
      <c r="CN409" s="26"/>
      <c r="CO409" s="26"/>
      <c r="CP409" s="26"/>
      <c r="CQ409" s="26"/>
    </row>
    <row r="410" spans="1:95" s="29" customFormat="1" ht="15" customHeight="1" x14ac:dyDescent="0.25">
      <c r="A410" s="32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  <c r="AP410" s="26"/>
      <c r="AQ410" s="26"/>
      <c r="AR410" s="26"/>
      <c r="AS410" s="26"/>
      <c r="AT410" s="26"/>
      <c r="AU410" s="26"/>
      <c r="AV410" s="26"/>
      <c r="AW410" s="26"/>
      <c r="AX410" s="26"/>
      <c r="AY410" s="26"/>
      <c r="AZ410" s="26"/>
      <c r="BA410" s="26"/>
      <c r="BB410" s="26"/>
      <c r="BC410" s="26"/>
      <c r="BD410" s="26"/>
      <c r="BE410" s="26"/>
      <c r="BF410" s="26"/>
      <c r="BG410" s="26"/>
      <c r="BH410" s="26"/>
      <c r="BI410" s="26"/>
      <c r="BJ410" s="26"/>
      <c r="BK410" s="26"/>
      <c r="BL410" s="26"/>
      <c r="BM410" s="26"/>
      <c r="BN410" s="26"/>
      <c r="BO410" s="26"/>
      <c r="BP410" s="26"/>
      <c r="BQ410" s="26"/>
      <c r="BR410" s="26"/>
      <c r="BS410" s="26"/>
      <c r="BT410" s="26"/>
      <c r="BU410" s="26"/>
      <c r="BV410" s="26"/>
      <c r="BW410" s="26"/>
      <c r="BX410" s="26"/>
      <c r="BY410" s="26"/>
      <c r="BZ410" s="26"/>
      <c r="CA410" s="26"/>
      <c r="CB410" s="26"/>
      <c r="CC410" s="26"/>
      <c r="CD410" s="26"/>
      <c r="CE410" s="26"/>
      <c r="CF410" s="26"/>
      <c r="CG410" s="26"/>
      <c r="CH410" s="26"/>
      <c r="CI410" s="26"/>
      <c r="CJ410" s="26"/>
      <c r="CK410" s="26"/>
      <c r="CL410" s="26"/>
      <c r="CM410" s="26"/>
      <c r="CN410" s="26"/>
      <c r="CO410" s="26"/>
      <c r="CP410" s="26"/>
      <c r="CQ410" s="26"/>
    </row>
    <row r="411" spans="1:95" s="29" customFormat="1" ht="15" customHeight="1" x14ac:dyDescent="0.25">
      <c r="A411" s="32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  <c r="AO411" s="26"/>
      <c r="AP411" s="26"/>
      <c r="AQ411" s="26"/>
      <c r="AR411" s="26"/>
      <c r="AS411" s="26"/>
      <c r="AT411" s="26"/>
      <c r="AU411" s="26"/>
      <c r="AV411" s="26"/>
      <c r="AW411" s="26"/>
      <c r="AX411" s="26"/>
      <c r="AY411" s="26"/>
      <c r="AZ411" s="26"/>
      <c r="BA411" s="26"/>
      <c r="BB411" s="26"/>
      <c r="BC411" s="26"/>
      <c r="BD411" s="26"/>
      <c r="BE411" s="26"/>
      <c r="BF411" s="26"/>
      <c r="BG411" s="26"/>
      <c r="BH411" s="26"/>
      <c r="BI411" s="26"/>
      <c r="BJ411" s="26"/>
      <c r="BK411" s="26"/>
      <c r="BL411" s="26"/>
      <c r="BM411" s="26"/>
      <c r="BN411" s="26"/>
      <c r="BO411" s="26"/>
      <c r="BP411" s="26"/>
      <c r="BQ411" s="26"/>
      <c r="BR411" s="26"/>
      <c r="BS411" s="26"/>
      <c r="BT411" s="26"/>
      <c r="BU411" s="26"/>
      <c r="BV411" s="26"/>
      <c r="BW411" s="26"/>
      <c r="BX411" s="26"/>
      <c r="BY411" s="26"/>
      <c r="BZ411" s="26"/>
      <c r="CA411" s="26"/>
      <c r="CB411" s="26"/>
      <c r="CC411" s="26"/>
      <c r="CD411" s="26"/>
      <c r="CE411" s="26"/>
      <c r="CF411" s="26"/>
      <c r="CG411" s="26"/>
      <c r="CH411" s="26"/>
      <c r="CI411" s="26"/>
      <c r="CJ411" s="26"/>
      <c r="CK411" s="26"/>
      <c r="CL411" s="26"/>
      <c r="CM411" s="26"/>
      <c r="CN411" s="26"/>
      <c r="CO411" s="26"/>
      <c r="CP411" s="26"/>
      <c r="CQ411" s="26"/>
    </row>
    <row r="412" spans="1:95" s="29" customFormat="1" ht="15" customHeight="1" x14ac:dyDescent="0.25">
      <c r="A412" s="32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  <c r="AO412" s="26"/>
      <c r="AP412" s="26"/>
      <c r="AQ412" s="26"/>
      <c r="AR412" s="26"/>
      <c r="AS412" s="26"/>
      <c r="AT412" s="26"/>
      <c r="AU412" s="26"/>
      <c r="AV412" s="26"/>
      <c r="AW412" s="26"/>
      <c r="AX412" s="26"/>
      <c r="AY412" s="26"/>
      <c r="AZ412" s="26"/>
      <c r="BA412" s="26"/>
      <c r="BB412" s="26"/>
      <c r="BC412" s="26"/>
      <c r="BD412" s="26"/>
      <c r="BE412" s="26"/>
      <c r="BF412" s="26"/>
      <c r="BG412" s="26"/>
      <c r="BH412" s="26"/>
      <c r="BI412" s="26"/>
      <c r="BJ412" s="26"/>
      <c r="BK412" s="26"/>
      <c r="BL412" s="26"/>
      <c r="BM412" s="26"/>
      <c r="BN412" s="26"/>
      <c r="BO412" s="26"/>
      <c r="BP412" s="26"/>
      <c r="BQ412" s="26"/>
      <c r="BR412" s="26"/>
      <c r="BS412" s="26"/>
      <c r="BT412" s="26"/>
      <c r="BU412" s="26"/>
      <c r="BV412" s="26"/>
      <c r="BW412" s="26"/>
      <c r="BX412" s="26"/>
      <c r="BY412" s="26"/>
      <c r="BZ412" s="26"/>
      <c r="CA412" s="26"/>
      <c r="CB412" s="26"/>
      <c r="CC412" s="26"/>
      <c r="CD412" s="26"/>
      <c r="CE412" s="26"/>
      <c r="CF412" s="26"/>
      <c r="CG412" s="26"/>
      <c r="CH412" s="26"/>
      <c r="CI412" s="26"/>
      <c r="CJ412" s="26"/>
      <c r="CK412" s="26"/>
      <c r="CL412" s="26"/>
      <c r="CM412" s="26"/>
      <c r="CN412" s="26"/>
      <c r="CO412" s="26"/>
      <c r="CP412" s="26"/>
      <c r="CQ412" s="26"/>
    </row>
    <row r="413" spans="1:95" s="29" customFormat="1" ht="15" customHeight="1" x14ac:dyDescent="0.25">
      <c r="A413" s="32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  <c r="AO413" s="26"/>
      <c r="AP413" s="26"/>
      <c r="AQ413" s="26"/>
      <c r="AR413" s="26"/>
      <c r="AS413" s="26"/>
      <c r="AT413" s="26"/>
      <c r="AU413" s="26"/>
      <c r="AV413" s="26"/>
      <c r="AW413" s="26"/>
      <c r="AX413" s="26"/>
      <c r="AY413" s="26"/>
      <c r="AZ413" s="26"/>
      <c r="BA413" s="26"/>
      <c r="BB413" s="26"/>
      <c r="BC413" s="26"/>
      <c r="BD413" s="26"/>
      <c r="BE413" s="26"/>
      <c r="BF413" s="26"/>
      <c r="BG413" s="26"/>
      <c r="BH413" s="26"/>
      <c r="BI413" s="26"/>
      <c r="BJ413" s="26"/>
      <c r="BK413" s="26"/>
      <c r="BL413" s="26"/>
      <c r="BM413" s="26"/>
      <c r="BN413" s="26"/>
      <c r="BO413" s="26"/>
      <c r="BP413" s="26"/>
      <c r="BQ413" s="26"/>
      <c r="BR413" s="26"/>
      <c r="BS413" s="26"/>
      <c r="BT413" s="26"/>
      <c r="BU413" s="26"/>
      <c r="BV413" s="26"/>
      <c r="BW413" s="26"/>
      <c r="BX413" s="26"/>
      <c r="BY413" s="26"/>
      <c r="BZ413" s="26"/>
      <c r="CA413" s="26"/>
      <c r="CB413" s="26"/>
      <c r="CC413" s="26"/>
      <c r="CD413" s="26"/>
      <c r="CE413" s="26"/>
      <c r="CF413" s="26"/>
      <c r="CG413" s="26"/>
      <c r="CH413" s="26"/>
      <c r="CI413" s="26"/>
      <c r="CJ413" s="26"/>
      <c r="CK413" s="26"/>
      <c r="CL413" s="26"/>
      <c r="CM413" s="26"/>
      <c r="CN413" s="26"/>
      <c r="CO413" s="26"/>
      <c r="CP413" s="26"/>
      <c r="CQ413" s="26"/>
    </row>
    <row r="414" spans="1:95" s="29" customFormat="1" ht="15" customHeight="1" x14ac:dyDescent="0.25">
      <c r="A414" s="32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  <c r="AP414" s="26"/>
      <c r="AQ414" s="26"/>
      <c r="AR414" s="26"/>
      <c r="AS414" s="26"/>
      <c r="AT414" s="26"/>
      <c r="AU414" s="26"/>
      <c r="AV414" s="26"/>
      <c r="AW414" s="26"/>
      <c r="AX414" s="26"/>
      <c r="AY414" s="26"/>
      <c r="AZ414" s="26"/>
      <c r="BA414" s="26"/>
      <c r="BB414" s="26"/>
      <c r="BC414" s="26"/>
      <c r="BD414" s="26"/>
      <c r="BE414" s="26"/>
      <c r="BF414" s="26"/>
      <c r="BG414" s="26"/>
      <c r="BH414" s="26"/>
      <c r="BI414" s="26"/>
      <c r="BJ414" s="26"/>
      <c r="BK414" s="26"/>
      <c r="BL414" s="26"/>
      <c r="BM414" s="26"/>
      <c r="BN414" s="26"/>
      <c r="BO414" s="26"/>
      <c r="BP414" s="26"/>
      <c r="BQ414" s="26"/>
      <c r="BR414" s="26"/>
      <c r="BS414" s="26"/>
      <c r="BT414" s="26"/>
      <c r="BU414" s="26"/>
      <c r="BV414" s="26"/>
      <c r="BW414" s="26"/>
      <c r="BX414" s="26"/>
      <c r="BY414" s="26"/>
      <c r="BZ414" s="26"/>
      <c r="CA414" s="26"/>
      <c r="CB414" s="26"/>
      <c r="CC414" s="26"/>
      <c r="CD414" s="26"/>
      <c r="CE414" s="26"/>
      <c r="CF414" s="26"/>
      <c r="CG414" s="26"/>
      <c r="CH414" s="26"/>
      <c r="CI414" s="26"/>
      <c r="CJ414" s="26"/>
      <c r="CK414" s="26"/>
      <c r="CL414" s="26"/>
      <c r="CM414" s="26"/>
      <c r="CN414" s="26"/>
      <c r="CO414" s="26"/>
      <c r="CP414" s="26"/>
      <c r="CQ414" s="26"/>
    </row>
    <row r="415" spans="1:95" s="29" customFormat="1" ht="15" customHeight="1" x14ac:dyDescent="0.25">
      <c r="A415" s="32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  <c r="AP415" s="26"/>
      <c r="AQ415" s="26"/>
      <c r="AR415" s="26"/>
      <c r="AS415" s="26"/>
      <c r="AT415" s="26"/>
      <c r="AU415" s="26"/>
      <c r="AV415" s="26"/>
      <c r="AW415" s="26"/>
      <c r="AX415" s="26"/>
      <c r="AY415" s="26"/>
      <c r="AZ415" s="26"/>
      <c r="BA415" s="26"/>
      <c r="BB415" s="26"/>
      <c r="BC415" s="26"/>
      <c r="BD415" s="26"/>
      <c r="BE415" s="26"/>
      <c r="BF415" s="26"/>
      <c r="BG415" s="26"/>
      <c r="BH415" s="26"/>
      <c r="BI415" s="26"/>
      <c r="BJ415" s="26"/>
      <c r="BK415" s="26"/>
      <c r="BL415" s="26"/>
      <c r="BM415" s="26"/>
      <c r="BN415" s="26"/>
      <c r="BO415" s="26"/>
      <c r="BP415" s="26"/>
      <c r="BQ415" s="26"/>
      <c r="BR415" s="26"/>
      <c r="BS415" s="26"/>
      <c r="BT415" s="26"/>
      <c r="BU415" s="26"/>
      <c r="BV415" s="26"/>
      <c r="BW415" s="26"/>
      <c r="BX415" s="26"/>
      <c r="BY415" s="26"/>
      <c r="BZ415" s="26"/>
      <c r="CA415" s="26"/>
      <c r="CB415" s="26"/>
      <c r="CC415" s="26"/>
      <c r="CD415" s="26"/>
      <c r="CE415" s="26"/>
      <c r="CF415" s="26"/>
      <c r="CG415" s="26"/>
      <c r="CH415" s="26"/>
      <c r="CI415" s="26"/>
      <c r="CJ415" s="26"/>
      <c r="CK415" s="26"/>
      <c r="CL415" s="26"/>
      <c r="CM415" s="26"/>
      <c r="CN415" s="26"/>
      <c r="CO415" s="26"/>
      <c r="CP415" s="26"/>
      <c r="CQ415" s="26"/>
    </row>
    <row r="416" spans="1:95" s="29" customFormat="1" ht="15" customHeight="1" x14ac:dyDescent="0.25">
      <c r="A416" s="32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  <c r="AP416" s="26"/>
      <c r="AQ416" s="26"/>
      <c r="AR416" s="26"/>
      <c r="AS416" s="26"/>
      <c r="AT416" s="26"/>
      <c r="AU416" s="26"/>
      <c r="AV416" s="26"/>
      <c r="AW416" s="26"/>
      <c r="AX416" s="26"/>
      <c r="AY416" s="26"/>
      <c r="AZ416" s="26"/>
      <c r="BA416" s="26"/>
      <c r="BB416" s="26"/>
      <c r="BC416" s="26"/>
      <c r="BD416" s="26"/>
      <c r="BE416" s="26"/>
      <c r="BF416" s="26"/>
      <c r="BG416" s="26"/>
      <c r="BH416" s="26"/>
      <c r="BI416" s="26"/>
      <c r="BJ416" s="26"/>
      <c r="BK416" s="26"/>
      <c r="BL416" s="26"/>
      <c r="BM416" s="26"/>
      <c r="BN416" s="26"/>
      <c r="BO416" s="26"/>
      <c r="BP416" s="26"/>
      <c r="BQ416" s="26"/>
      <c r="BR416" s="26"/>
      <c r="BS416" s="26"/>
      <c r="BT416" s="26"/>
      <c r="BU416" s="26"/>
      <c r="BV416" s="26"/>
      <c r="BW416" s="26"/>
      <c r="BX416" s="26"/>
      <c r="BY416" s="26"/>
      <c r="BZ416" s="26"/>
      <c r="CA416" s="26"/>
      <c r="CB416" s="26"/>
      <c r="CC416" s="26"/>
      <c r="CD416" s="26"/>
      <c r="CE416" s="26"/>
      <c r="CF416" s="26"/>
      <c r="CG416" s="26"/>
      <c r="CH416" s="26"/>
      <c r="CI416" s="26"/>
      <c r="CJ416" s="26"/>
      <c r="CK416" s="26"/>
      <c r="CL416" s="26"/>
      <c r="CM416" s="26"/>
      <c r="CN416" s="26"/>
      <c r="CO416" s="26"/>
      <c r="CP416" s="26"/>
      <c r="CQ416" s="26"/>
    </row>
    <row r="417" spans="1:95" s="29" customFormat="1" ht="15" customHeight="1" x14ac:dyDescent="0.25">
      <c r="A417" s="32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  <c r="AO417" s="26"/>
      <c r="AP417" s="26"/>
      <c r="AQ417" s="26"/>
      <c r="AR417" s="26"/>
      <c r="AS417" s="26"/>
      <c r="AT417" s="26"/>
      <c r="AU417" s="26"/>
      <c r="AV417" s="26"/>
      <c r="AW417" s="26"/>
      <c r="AX417" s="26"/>
      <c r="AY417" s="26"/>
      <c r="AZ417" s="26"/>
      <c r="BA417" s="26"/>
      <c r="BB417" s="26"/>
      <c r="BC417" s="26"/>
      <c r="BD417" s="26"/>
      <c r="BE417" s="26"/>
      <c r="BF417" s="26"/>
      <c r="BG417" s="26"/>
      <c r="BH417" s="26"/>
      <c r="BI417" s="26"/>
      <c r="BJ417" s="26"/>
      <c r="BK417" s="26"/>
      <c r="BL417" s="26"/>
      <c r="BM417" s="26"/>
      <c r="BN417" s="26"/>
      <c r="BO417" s="26"/>
      <c r="BP417" s="26"/>
      <c r="BQ417" s="26"/>
      <c r="BR417" s="26"/>
      <c r="BS417" s="26"/>
      <c r="BT417" s="26"/>
      <c r="BU417" s="26"/>
      <c r="BV417" s="26"/>
      <c r="BW417" s="26"/>
      <c r="BX417" s="26"/>
      <c r="BY417" s="26"/>
      <c r="BZ417" s="26"/>
      <c r="CA417" s="26"/>
      <c r="CB417" s="26"/>
      <c r="CC417" s="26"/>
      <c r="CD417" s="26"/>
      <c r="CE417" s="26"/>
      <c r="CF417" s="26"/>
      <c r="CG417" s="26"/>
      <c r="CH417" s="26"/>
      <c r="CI417" s="26"/>
      <c r="CJ417" s="26"/>
      <c r="CK417" s="26"/>
      <c r="CL417" s="26"/>
      <c r="CM417" s="26"/>
      <c r="CN417" s="26"/>
      <c r="CO417" s="26"/>
      <c r="CP417" s="26"/>
      <c r="CQ417" s="26"/>
    </row>
    <row r="418" spans="1:95" s="29" customFormat="1" ht="15" customHeight="1" x14ac:dyDescent="0.25">
      <c r="A418" s="32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  <c r="AO418" s="26"/>
      <c r="AP418" s="26"/>
      <c r="AQ418" s="26"/>
      <c r="AR418" s="26"/>
      <c r="AS418" s="26"/>
      <c r="AT418" s="26"/>
      <c r="AU418" s="26"/>
      <c r="AV418" s="26"/>
      <c r="AW418" s="26"/>
      <c r="AX418" s="26"/>
      <c r="AY418" s="26"/>
      <c r="AZ418" s="26"/>
      <c r="BA418" s="26"/>
      <c r="BB418" s="26"/>
      <c r="BC418" s="26"/>
      <c r="BD418" s="26"/>
      <c r="BE418" s="26"/>
      <c r="BF418" s="26"/>
      <c r="BG418" s="26"/>
      <c r="BH418" s="26"/>
      <c r="BI418" s="26"/>
      <c r="BJ418" s="26"/>
      <c r="BK418" s="26"/>
      <c r="BL418" s="26"/>
      <c r="BM418" s="26"/>
      <c r="BN418" s="26"/>
      <c r="BO418" s="26"/>
      <c r="BP418" s="26"/>
      <c r="BQ418" s="26"/>
      <c r="BR418" s="26"/>
      <c r="BS418" s="26"/>
      <c r="BT418" s="26"/>
      <c r="BU418" s="26"/>
      <c r="BV418" s="26"/>
      <c r="BW418" s="26"/>
      <c r="BX418" s="26"/>
      <c r="BY418" s="26"/>
      <c r="BZ418" s="26"/>
      <c r="CA418" s="26"/>
      <c r="CB418" s="26"/>
      <c r="CC418" s="26"/>
      <c r="CD418" s="26"/>
      <c r="CE418" s="26"/>
      <c r="CF418" s="26"/>
      <c r="CG418" s="26"/>
      <c r="CH418" s="26"/>
      <c r="CI418" s="26"/>
      <c r="CJ418" s="26"/>
      <c r="CK418" s="26"/>
      <c r="CL418" s="26"/>
      <c r="CM418" s="26"/>
      <c r="CN418" s="26"/>
      <c r="CO418" s="26"/>
      <c r="CP418" s="26"/>
      <c r="CQ418" s="26"/>
    </row>
    <row r="419" spans="1:95" s="29" customFormat="1" ht="15" customHeight="1" x14ac:dyDescent="0.25">
      <c r="A419" s="32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  <c r="AO419" s="26"/>
      <c r="AP419" s="26"/>
      <c r="AQ419" s="26"/>
      <c r="AR419" s="26"/>
      <c r="AS419" s="26"/>
      <c r="AT419" s="26"/>
      <c r="AU419" s="26"/>
      <c r="AV419" s="26"/>
      <c r="AW419" s="26"/>
      <c r="AX419" s="26"/>
      <c r="AY419" s="26"/>
      <c r="AZ419" s="26"/>
      <c r="BA419" s="26"/>
      <c r="BB419" s="26"/>
      <c r="BC419" s="26"/>
      <c r="BD419" s="26"/>
      <c r="BE419" s="26"/>
      <c r="BF419" s="26"/>
      <c r="BG419" s="26"/>
      <c r="BH419" s="26"/>
      <c r="BI419" s="26"/>
      <c r="BJ419" s="26"/>
      <c r="BK419" s="26"/>
      <c r="BL419" s="26"/>
      <c r="BM419" s="26"/>
      <c r="BN419" s="26"/>
      <c r="BO419" s="26"/>
      <c r="BP419" s="26"/>
      <c r="BQ419" s="26"/>
      <c r="BR419" s="26"/>
      <c r="BS419" s="26"/>
      <c r="BT419" s="26"/>
      <c r="BU419" s="26"/>
      <c r="BV419" s="26"/>
      <c r="BW419" s="26"/>
      <c r="BX419" s="26"/>
      <c r="BY419" s="26"/>
      <c r="BZ419" s="26"/>
      <c r="CA419" s="26"/>
      <c r="CB419" s="26"/>
      <c r="CC419" s="26"/>
      <c r="CD419" s="26"/>
      <c r="CE419" s="26"/>
      <c r="CF419" s="26"/>
      <c r="CG419" s="26"/>
      <c r="CH419" s="26"/>
      <c r="CI419" s="26"/>
      <c r="CJ419" s="26"/>
      <c r="CK419" s="26"/>
      <c r="CL419" s="26"/>
      <c r="CM419" s="26"/>
      <c r="CN419" s="26"/>
      <c r="CO419" s="26"/>
      <c r="CP419" s="26"/>
      <c r="CQ419" s="26"/>
    </row>
    <row r="420" spans="1:95" s="29" customFormat="1" ht="15" customHeight="1" x14ac:dyDescent="0.25">
      <c r="A420" s="32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  <c r="AO420" s="26"/>
      <c r="AP420" s="26"/>
      <c r="AQ420" s="26"/>
      <c r="AR420" s="26"/>
      <c r="AS420" s="26"/>
      <c r="AT420" s="26"/>
      <c r="AU420" s="26"/>
      <c r="AV420" s="26"/>
      <c r="AW420" s="26"/>
      <c r="AX420" s="26"/>
      <c r="AY420" s="26"/>
      <c r="AZ420" s="26"/>
      <c r="BA420" s="26"/>
      <c r="BB420" s="26"/>
      <c r="BC420" s="26"/>
      <c r="BD420" s="26"/>
      <c r="BE420" s="26"/>
      <c r="BF420" s="26"/>
      <c r="BG420" s="26"/>
      <c r="BH420" s="26"/>
      <c r="BI420" s="26"/>
      <c r="BJ420" s="26"/>
      <c r="BK420" s="26"/>
      <c r="BL420" s="26"/>
      <c r="BM420" s="26"/>
      <c r="BN420" s="26"/>
      <c r="BO420" s="26"/>
      <c r="BP420" s="26"/>
      <c r="BQ420" s="26"/>
      <c r="BR420" s="26"/>
      <c r="BS420" s="26"/>
      <c r="BT420" s="26"/>
      <c r="BU420" s="26"/>
      <c r="BV420" s="26"/>
      <c r="BW420" s="26"/>
      <c r="BX420" s="26"/>
      <c r="BY420" s="26"/>
      <c r="BZ420" s="26"/>
      <c r="CA420" s="26"/>
      <c r="CB420" s="26"/>
      <c r="CC420" s="26"/>
      <c r="CD420" s="26"/>
      <c r="CE420" s="26"/>
      <c r="CF420" s="26"/>
      <c r="CG420" s="26"/>
      <c r="CH420" s="26"/>
      <c r="CI420" s="26"/>
      <c r="CJ420" s="26"/>
      <c r="CK420" s="26"/>
      <c r="CL420" s="26"/>
      <c r="CM420" s="26"/>
      <c r="CN420" s="26"/>
      <c r="CO420" s="26"/>
      <c r="CP420" s="26"/>
      <c r="CQ420" s="26"/>
    </row>
    <row r="421" spans="1:95" s="29" customFormat="1" ht="15" customHeight="1" x14ac:dyDescent="0.25">
      <c r="A421" s="32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  <c r="AO421" s="26"/>
      <c r="AP421" s="26"/>
      <c r="AQ421" s="26"/>
      <c r="AR421" s="26"/>
      <c r="AS421" s="26"/>
      <c r="AT421" s="26"/>
      <c r="AU421" s="26"/>
      <c r="AV421" s="26"/>
      <c r="AW421" s="26"/>
      <c r="AX421" s="26"/>
      <c r="AY421" s="26"/>
      <c r="AZ421" s="26"/>
      <c r="BA421" s="26"/>
      <c r="BB421" s="26"/>
      <c r="BC421" s="26"/>
      <c r="BD421" s="26"/>
      <c r="BE421" s="26"/>
      <c r="BF421" s="26"/>
      <c r="BG421" s="26"/>
      <c r="BH421" s="26"/>
      <c r="BI421" s="26"/>
      <c r="BJ421" s="26"/>
      <c r="BK421" s="26"/>
      <c r="BL421" s="26"/>
      <c r="BM421" s="26"/>
      <c r="BN421" s="26"/>
      <c r="BO421" s="26"/>
      <c r="BP421" s="26"/>
      <c r="BQ421" s="26"/>
      <c r="BR421" s="26"/>
      <c r="BS421" s="26"/>
      <c r="BT421" s="26"/>
      <c r="BU421" s="26"/>
      <c r="BV421" s="26"/>
      <c r="BW421" s="26"/>
      <c r="BX421" s="26"/>
      <c r="BY421" s="26"/>
      <c r="BZ421" s="26"/>
      <c r="CA421" s="26"/>
      <c r="CB421" s="26"/>
      <c r="CC421" s="26"/>
      <c r="CD421" s="26"/>
      <c r="CE421" s="26"/>
      <c r="CF421" s="26"/>
      <c r="CG421" s="26"/>
      <c r="CH421" s="26"/>
      <c r="CI421" s="26"/>
      <c r="CJ421" s="26"/>
      <c r="CK421" s="26"/>
      <c r="CL421" s="26"/>
      <c r="CM421" s="26"/>
      <c r="CN421" s="26"/>
      <c r="CO421" s="26"/>
      <c r="CP421" s="26"/>
      <c r="CQ421" s="26"/>
    </row>
    <row r="422" spans="1:95" s="29" customFormat="1" ht="15" customHeight="1" x14ac:dyDescent="0.25">
      <c r="A422" s="32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  <c r="AO422" s="26"/>
      <c r="AP422" s="26"/>
      <c r="AQ422" s="26"/>
      <c r="AR422" s="26"/>
      <c r="AS422" s="26"/>
      <c r="AT422" s="26"/>
      <c r="AU422" s="26"/>
      <c r="AV422" s="26"/>
      <c r="AW422" s="26"/>
      <c r="AX422" s="26"/>
      <c r="AY422" s="26"/>
      <c r="AZ422" s="26"/>
      <c r="BA422" s="26"/>
      <c r="BB422" s="26"/>
      <c r="BC422" s="26"/>
      <c r="BD422" s="26"/>
      <c r="BE422" s="26"/>
      <c r="BF422" s="26"/>
      <c r="BG422" s="26"/>
      <c r="BH422" s="26"/>
      <c r="BI422" s="26"/>
      <c r="BJ422" s="26"/>
      <c r="BK422" s="26"/>
      <c r="BL422" s="26"/>
      <c r="BM422" s="26"/>
      <c r="BN422" s="26"/>
      <c r="BO422" s="26"/>
      <c r="BP422" s="26"/>
      <c r="BQ422" s="26"/>
      <c r="BR422" s="26"/>
      <c r="BS422" s="26"/>
      <c r="BT422" s="26"/>
      <c r="BU422" s="26"/>
      <c r="BV422" s="26"/>
      <c r="BW422" s="26"/>
      <c r="BX422" s="26"/>
      <c r="BY422" s="26"/>
      <c r="BZ422" s="26"/>
      <c r="CA422" s="26"/>
      <c r="CB422" s="26"/>
      <c r="CC422" s="26"/>
      <c r="CD422" s="26"/>
      <c r="CE422" s="26"/>
      <c r="CF422" s="26"/>
      <c r="CG422" s="26"/>
      <c r="CH422" s="26"/>
      <c r="CI422" s="26"/>
      <c r="CJ422" s="26"/>
      <c r="CK422" s="26"/>
      <c r="CL422" s="26"/>
      <c r="CM422" s="26"/>
      <c r="CN422" s="26"/>
      <c r="CO422" s="26"/>
      <c r="CP422" s="26"/>
      <c r="CQ422" s="26"/>
    </row>
    <row r="423" spans="1:95" s="29" customFormat="1" ht="15" customHeight="1" x14ac:dyDescent="0.25">
      <c r="A423" s="32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  <c r="AO423" s="26"/>
      <c r="AP423" s="26"/>
      <c r="AQ423" s="26"/>
      <c r="AR423" s="26"/>
      <c r="AS423" s="26"/>
      <c r="AT423" s="26"/>
      <c r="AU423" s="26"/>
      <c r="AV423" s="26"/>
      <c r="AW423" s="26"/>
      <c r="AX423" s="26"/>
      <c r="AY423" s="26"/>
      <c r="AZ423" s="26"/>
      <c r="BA423" s="26"/>
      <c r="BB423" s="26"/>
      <c r="BC423" s="26"/>
      <c r="BD423" s="26"/>
      <c r="BE423" s="26"/>
      <c r="BF423" s="26"/>
      <c r="BG423" s="26"/>
      <c r="BH423" s="26"/>
      <c r="BI423" s="26"/>
      <c r="BJ423" s="26"/>
      <c r="BK423" s="26"/>
      <c r="BL423" s="26"/>
      <c r="BM423" s="26"/>
      <c r="BN423" s="26"/>
      <c r="BO423" s="26"/>
      <c r="BP423" s="26"/>
      <c r="BQ423" s="26"/>
      <c r="BR423" s="26"/>
      <c r="BS423" s="26"/>
      <c r="BT423" s="26"/>
      <c r="BU423" s="26"/>
      <c r="BV423" s="26"/>
      <c r="BW423" s="26"/>
      <c r="BX423" s="26"/>
      <c r="BY423" s="26"/>
      <c r="BZ423" s="26"/>
      <c r="CA423" s="26"/>
      <c r="CB423" s="26"/>
      <c r="CC423" s="26"/>
      <c r="CD423" s="26"/>
      <c r="CE423" s="26"/>
      <c r="CF423" s="26"/>
      <c r="CG423" s="26"/>
      <c r="CH423" s="26"/>
      <c r="CI423" s="26"/>
      <c r="CJ423" s="26"/>
      <c r="CK423" s="26"/>
      <c r="CL423" s="26"/>
      <c r="CM423" s="26"/>
      <c r="CN423" s="26"/>
      <c r="CO423" s="26"/>
      <c r="CP423" s="26"/>
      <c r="CQ423" s="26"/>
    </row>
    <row r="424" spans="1:95" s="29" customFormat="1" ht="15" customHeight="1" x14ac:dyDescent="0.25">
      <c r="A424" s="32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  <c r="AO424" s="26"/>
      <c r="AP424" s="26"/>
      <c r="AQ424" s="26"/>
      <c r="AR424" s="26"/>
      <c r="AS424" s="26"/>
      <c r="AT424" s="26"/>
      <c r="AU424" s="26"/>
      <c r="AV424" s="26"/>
      <c r="AW424" s="26"/>
      <c r="AX424" s="26"/>
      <c r="AY424" s="26"/>
      <c r="AZ424" s="26"/>
      <c r="BA424" s="26"/>
      <c r="BB424" s="26"/>
      <c r="BC424" s="26"/>
      <c r="BD424" s="26"/>
      <c r="BE424" s="26"/>
      <c r="BF424" s="26"/>
      <c r="BG424" s="26"/>
      <c r="BH424" s="26"/>
      <c r="BI424" s="26"/>
      <c r="BJ424" s="26"/>
      <c r="BK424" s="26"/>
      <c r="BL424" s="26"/>
      <c r="BM424" s="26"/>
      <c r="BN424" s="26"/>
      <c r="BO424" s="26"/>
      <c r="BP424" s="26"/>
      <c r="BQ424" s="26"/>
      <c r="BR424" s="26"/>
      <c r="BS424" s="26"/>
      <c r="BT424" s="26"/>
      <c r="BU424" s="26"/>
      <c r="BV424" s="26"/>
      <c r="BW424" s="26"/>
      <c r="BX424" s="26"/>
      <c r="BY424" s="26"/>
      <c r="BZ424" s="26"/>
      <c r="CA424" s="26"/>
      <c r="CB424" s="26"/>
      <c r="CC424" s="26"/>
      <c r="CD424" s="26"/>
      <c r="CE424" s="26"/>
      <c r="CF424" s="26"/>
      <c r="CG424" s="26"/>
      <c r="CH424" s="26"/>
      <c r="CI424" s="26"/>
      <c r="CJ424" s="26"/>
      <c r="CK424" s="26"/>
      <c r="CL424" s="26"/>
      <c r="CM424" s="26"/>
      <c r="CN424" s="26"/>
      <c r="CO424" s="26"/>
      <c r="CP424" s="26"/>
      <c r="CQ424" s="26"/>
    </row>
    <row r="425" spans="1:95" s="29" customFormat="1" ht="15" customHeight="1" x14ac:dyDescent="0.25">
      <c r="A425" s="32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  <c r="AO425" s="26"/>
      <c r="AP425" s="26"/>
      <c r="AQ425" s="26"/>
      <c r="AR425" s="26"/>
      <c r="AS425" s="26"/>
      <c r="AT425" s="26"/>
      <c r="AU425" s="26"/>
      <c r="AV425" s="26"/>
      <c r="AW425" s="26"/>
      <c r="AX425" s="26"/>
      <c r="AY425" s="26"/>
      <c r="AZ425" s="26"/>
      <c r="BA425" s="26"/>
      <c r="BB425" s="26"/>
      <c r="BC425" s="26"/>
      <c r="BD425" s="26"/>
      <c r="BE425" s="26"/>
      <c r="BF425" s="26"/>
      <c r="BG425" s="26"/>
      <c r="BH425" s="26"/>
      <c r="BI425" s="26"/>
      <c r="BJ425" s="26"/>
      <c r="BK425" s="26"/>
      <c r="BL425" s="26"/>
      <c r="BM425" s="26"/>
      <c r="BN425" s="26"/>
      <c r="BO425" s="26"/>
      <c r="BP425" s="26"/>
      <c r="BQ425" s="26"/>
      <c r="BR425" s="26"/>
      <c r="BS425" s="26"/>
      <c r="BT425" s="26"/>
      <c r="BU425" s="26"/>
      <c r="BV425" s="26"/>
      <c r="BW425" s="26"/>
      <c r="BX425" s="26"/>
      <c r="BY425" s="26"/>
      <c r="BZ425" s="26"/>
      <c r="CA425" s="26"/>
      <c r="CB425" s="26"/>
      <c r="CC425" s="26"/>
      <c r="CD425" s="26"/>
      <c r="CE425" s="26"/>
      <c r="CF425" s="26"/>
      <c r="CG425" s="26"/>
      <c r="CH425" s="26"/>
      <c r="CI425" s="26"/>
      <c r="CJ425" s="26"/>
      <c r="CK425" s="26"/>
      <c r="CL425" s="26"/>
      <c r="CM425" s="26"/>
      <c r="CN425" s="26"/>
      <c r="CO425" s="26"/>
      <c r="CP425" s="26"/>
      <c r="CQ425" s="26"/>
    </row>
    <row r="426" spans="1:95" s="29" customFormat="1" ht="15" customHeight="1" x14ac:dyDescent="0.25">
      <c r="A426" s="32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  <c r="AO426" s="26"/>
      <c r="AP426" s="26"/>
      <c r="AQ426" s="26"/>
      <c r="AR426" s="26"/>
      <c r="AS426" s="26"/>
      <c r="AT426" s="26"/>
      <c r="AU426" s="26"/>
      <c r="AV426" s="26"/>
      <c r="AW426" s="26"/>
      <c r="AX426" s="26"/>
      <c r="AY426" s="26"/>
      <c r="AZ426" s="26"/>
      <c r="BA426" s="26"/>
      <c r="BB426" s="26"/>
      <c r="BC426" s="26"/>
      <c r="BD426" s="26"/>
      <c r="BE426" s="26"/>
      <c r="BF426" s="26"/>
      <c r="BG426" s="26"/>
      <c r="BH426" s="26"/>
      <c r="BI426" s="26"/>
      <c r="BJ426" s="26"/>
      <c r="BK426" s="26"/>
      <c r="BL426" s="26"/>
      <c r="BM426" s="26"/>
      <c r="BN426" s="26"/>
      <c r="BO426" s="26"/>
      <c r="BP426" s="26"/>
      <c r="BQ426" s="26"/>
      <c r="BR426" s="26"/>
      <c r="BS426" s="26"/>
      <c r="BT426" s="26"/>
      <c r="BU426" s="26"/>
      <c r="BV426" s="26"/>
      <c r="BW426" s="26"/>
      <c r="BX426" s="26"/>
      <c r="BY426" s="26"/>
      <c r="BZ426" s="26"/>
      <c r="CA426" s="26"/>
      <c r="CB426" s="26"/>
      <c r="CC426" s="26"/>
      <c r="CD426" s="26"/>
      <c r="CE426" s="26"/>
      <c r="CF426" s="26"/>
      <c r="CG426" s="26"/>
      <c r="CH426" s="26"/>
      <c r="CI426" s="26"/>
      <c r="CJ426" s="26"/>
      <c r="CK426" s="26"/>
      <c r="CL426" s="26"/>
      <c r="CM426" s="26"/>
      <c r="CN426" s="26"/>
      <c r="CO426" s="26"/>
      <c r="CP426" s="26"/>
      <c r="CQ426" s="26"/>
    </row>
    <row r="427" spans="1:95" s="29" customFormat="1" ht="15" customHeight="1" x14ac:dyDescent="0.25">
      <c r="A427" s="32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  <c r="AO427" s="26"/>
      <c r="AP427" s="26"/>
      <c r="AQ427" s="26"/>
      <c r="AR427" s="26"/>
      <c r="AS427" s="26"/>
      <c r="AT427" s="26"/>
      <c r="AU427" s="26"/>
      <c r="AV427" s="26"/>
      <c r="AW427" s="26"/>
      <c r="AX427" s="26"/>
      <c r="AY427" s="26"/>
      <c r="AZ427" s="26"/>
      <c r="BA427" s="26"/>
      <c r="BB427" s="26"/>
      <c r="BC427" s="26"/>
      <c r="BD427" s="26"/>
      <c r="BE427" s="26"/>
      <c r="BF427" s="26"/>
      <c r="BG427" s="26"/>
      <c r="BH427" s="26"/>
      <c r="BI427" s="26"/>
      <c r="BJ427" s="26"/>
      <c r="BK427" s="26"/>
      <c r="BL427" s="26"/>
      <c r="BM427" s="26"/>
      <c r="BN427" s="26"/>
      <c r="BO427" s="26"/>
      <c r="BP427" s="26"/>
      <c r="BQ427" s="26"/>
      <c r="BR427" s="26"/>
      <c r="BS427" s="26"/>
      <c r="BT427" s="26"/>
      <c r="BU427" s="26"/>
      <c r="BV427" s="26"/>
      <c r="BW427" s="26"/>
      <c r="BX427" s="26"/>
      <c r="BY427" s="26"/>
      <c r="BZ427" s="26"/>
      <c r="CA427" s="26"/>
      <c r="CB427" s="26"/>
      <c r="CC427" s="26"/>
      <c r="CD427" s="26"/>
      <c r="CE427" s="26"/>
      <c r="CF427" s="26"/>
      <c r="CG427" s="26"/>
      <c r="CH427" s="26"/>
      <c r="CI427" s="26"/>
      <c r="CJ427" s="26"/>
      <c r="CK427" s="26"/>
      <c r="CL427" s="26"/>
      <c r="CM427" s="26"/>
      <c r="CN427" s="26"/>
      <c r="CO427" s="26"/>
      <c r="CP427" s="26"/>
      <c r="CQ427" s="26"/>
    </row>
    <row r="428" spans="1:95" s="29" customFormat="1" ht="15" customHeight="1" x14ac:dyDescent="0.25">
      <c r="A428" s="32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  <c r="AO428" s="26"/>
      <c r="AP428" s="26"/>
      <c r="AQ428" s="26"/>
      <c r="AR428" s="26"/>
      <c r="AS428" s="26"/>
      <c r="AT428" s="26"/>
      <c r="AU428" s="26"/>
      <c r="AV428" s="26"/>
      <c r="AW428" s="26"/>
      <c r="AX428" s="26"/>
      <c r="AY428" s="26"/>
      <c r="AZ428" s="26"/>
      <c r="BA428" s="26"/>
      <c r="BB428" s="26"/>
      <c r="BC428" s="26"/>
      <c r="BD428" s="26"/>
      <c r="BE428" s="26"/>
      <c r="BF428" s="26"/>
      <c r="BG428" s="26"/>
      <c r="BH428" s="26"/>
      <c r="BI428" s="26"/>
      <c r="BJ428" s="26"/>
      <c r="BK428" s="26"/>
      <c r="BL428" s="26"/>
      <c r="BM428" s="26"/>
      <c r="BN428" s="26"/>
      <c r="BO428" s="26"/>
      <c r="BP428" s="26"/>
      <c r="BQ428" s="26"/>
      <c r="BR428" s="26"/>
      <c r="BS428" s="26"/>
      <c r="BT428" s="26"/>
      <c r="BU428" s="26"/>
      <c r="BV428" s="26"/>
      <c r="BW428" s="26"/>
      <c r="BX428" s="26"/>
      <c r="BY428" s="26"/>
      <c r="BZ428" s="26"/>
      <c r="CA428" s="26"/>
      <c r="CB428" s="26"/>
      <c r="CC428" s="26"/>
      <c r="CD428" s="26"/>
      <c r="CE428" s="26"/>
      <c r="CF428" s="26"/>
      <c r="CG428" s="26"/>
      <c r="CH428" s="26"/>
      <c r="CI428" s="26"/>
      <c r="CJ428" s="26"/>
      <c r="CK428" s="26"/>
      <c r="CL428" s="26"/>
      <c r="CM428" s="26"/>
      <c r="CN428" s="26"/>
      <c r="CO428" s="26"/>
      <c r="CP428" s="26"/>
      <c r="CQ428" s="26"/>
    </row>
    <row r="429" spans="1:95" s="29" customFormat="1" ht="15" customHeight="1" x14ac:dyDescent="0.25">
      <c r="A429" s="32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  <c r="AO429" s="26"/>
      <c r="AP429" s="26"/>
      <c r="AQ429" s="26"/>
      <c r="AR429" s="26"/>
      <c r="AS429" s="26"/>
      <c r="AT429" s="26"/>
      <c r="AU429" s="26"/>
      <c r="AV429" s="26"/>
      <c r="AW429" s="26"/>
      <c r="AX429" s="26"/>
      <c r="AY429" s="26"/>
      <c r="AZ429" s="26"/>
      <c r="BA429" s="26"/>
      <c r="BB429" s="26"/>
      <c r="BC429" s="26"/>
      <c r="BD429" s="26"/>
      <c r="BE429" s="26"/>
      <c r="BF429" s="26"/>
      <c r="BG429" s="26"/>
      <c r="BH429" s="26"/>
      <c r="BI429" s="26"/>
      <c r="BJ429" s="26"/>
      <c r="BK429" s="26"/>
      <c r="BL429" s="26"/>
      <c r="BM429" s="26"/>
      <c r="BN429" s="26"/>
      <c r="BO429" s="26"/>
      <c r="BP429" s="26"/>
      <c r="BQ429" s="26"/>
      <c r="BR429" s="26"/>
      <c r="BS429" s="26"/>
      <c r="BT429" s="26"/>
      <c r="BU429" s="26"/>
      <c r="BV429" s="26"/>
      <c r="BW429" s="26"/>
      <c r="BX429" s="26"/>
      <c r="BY429" s="26"/>
      <c r="BZ429" s="26"/>
      <c r="CA429" s="26"/>
      <c r="CB429" s="26"/>
      <c r="CC429" s="26"/>
      <c r="CD429" s="26"/>
      <c r="CE429" s="26"/>
      <c r="CF429" s="26"/>
      <c r="CG429" s="26"/>
      <c r="CH429" s="26"/>
      <c r="CI429" s="26"/>
      <c r="CJ429" s="26"/>
      <c r="CK429" s="26"/>
      <c r="CL429" s="26"/>
      <c r="CM429" s="26"/>
      <c r="CN429" s="26"/>
      <c r="CO429" s="26"/>
      <c r="CP429" s="26"/>
      <c r="CQ429" s="26"/>
    </row>
    <row r="430" spans="1:95" s="29" customFormat="1" ht="15" customHeight="1" x14ac:dyDescent="0.25">
      <c r="A430" s="32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  <c r="AO430" s="26"/>
      <c r="AP430" s="26"/>
      <c r="AQ430" s="26"/>
      <c r="AR430" s="26"/>
      <c r="AS430" s="26"/>
      <c r="AT430" s="26"/>
      <c r="AU430" s="26"/>
      <c r="AV430" s="26"/>
      <c r="AW430" s="26"/>
      <c r="AX430" s="26"/>
      <c r="AY430" s="26"/>
      <c r="AZ430" s="26"/>
      <c r="BA430" s="26"/>
      <c r="BB430" s="26"/>
      <c r="BC430" s="26"/>
      <c r="BD430" s="26"/>
      <c r="BE430" s="26"/>
      <c r="BF430" s="26"/>
      <c r="BG430" s="26"/>
      <c r="BH430" s="26"/>
      <c r="BI430" s="26"/>
      <c r="BJ430" s="26"/>
      <c r="BK430" s="26"/>
      <c r="BL430" s="26"/>
      <c r="BM430" s="26"/>
      <c r="BN430" s="26"/>
      <c r="BO430" s="26"/>
      <c r="BP430" s="26"/>
      <c r="BQ430" s="26"/>
      <c r="BR430" s="26"/>
      <c r="BS430" s="26"/>
      <c r="BT430" s="26"/>
      <c r="BU430" s="26"/>
      <c r="BV430" s="26"/>
      <c r="BW430" s="26"/>
      <c r="BX430" s="26"/>
      <c r="BY430" s="26"/>
      <c r="BZ430" s="26"/>
      <c r="CA430" s="26"/>
      <c r="CB430" s="26"/>
      <c r="CC430" s="26"/>
      <c r="CD430" s="26"/>
      <c r="CE430" s="26"/>
      <c r="CF430" s="26"/>
      <c r="CG430" s="26"/>
      <c r="CH430" s="26"/>
      <c r="CI430" s="26"/>
      <c r="CJ430" s="26"/>
      <c r="CK430" s="26"/>
      <c r="CL430" s="26"/>
      <c r="CM430" s="26"/>
      <c r="CN430" s="26"/>
      <c r="CO430" s="26"/>
      <c r="CP430" s="26"/>
      <c r="CQ430" s="26"/>
    </row>
    <row r="431" spans="1:95" s="29" customFormat="1" ht="15" customHeight="1" x14ac:dyDescent="0.25">
      <c r="A431" s="32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  <c r="AP431" s="26"/>
      <c r="AQ431" s="26"/>
      <c r="AR431" s="26"/>
      <c r="AS431" s="26"/>
      <c r="AT431" s="26"/>
      <c r="AU431" s="26"/>
      <c r="AV431" s="26"/>
      <c r="AW431" s="26"/>
      <c r="AX431" s="26"/>
      <c r="AY431" s="26"/>
      <c r="AZ431" s="26"/>
      <c r="BA431" s="26"/>
      <c r="BB431" s="26"/>
      <c r="BC431" s="26"/>
      <c r="BD431" s="26"/>
      <c r="BE431" s="26"/>
      <c r="BF431" s="26"/>
      <c r="BG431" s="26"/>
      <c r="BH431" s="26"/>
      <c r="BI431" s="26"/>
      <c r="BJ431" s="26"/>
      <c r="BK431" s="26"/>
      <c r="BL431" s="26"/>
      <c r="BM431" s="26"/>
      <c r="BN431" s="26"/>
      <c r="BO431" s="26"/>
      <c r="BP431" s="26"/>
      <c r="BQ431" s="26"/>
      <c r="BR431" s="26"/>
      <c r="BS431" s="26"/>
      <c r="BT431" s="26"/>
      <c r="BU431" s="26"/>
      <c r="BV431" s="26"/>
      <c r="BW431" s="26"/>
      <c r="BX431" s="26"/>
      <c r="BY431" s="26"/>
      <c r="BZ431" s="26"/>
      <c r="CA431" s="26"/>
      <c r="CB431" s="26"/>
      <c r="CC431" s="26"/>
      <c r="CD431" s="26"/>
      <c r="CE431" s="26"/>
      <c r="CF431" s="26"/>
      <c r="CG431" s="26"/>
      <c r="CH431" s="26"/>
      <c r="CI431" s="26"/>
      <c r="CJ431" s="26"/>
      <c r="CK431" s="26"/>
      <c r="CL431" s="26"/>
      <c r="CM431" s="26"/>
      <c r="CN431" s="26"/>
      <c r="CO431" s="26"/>
      <c r="CP431" s="26"/>
      <c r="CQ431" s="26"/>
    </row>
    <row r="432" spans="1:95" s="29" customFormat="1" ht="15" customHeight="1" x14ac:dyDescent="0.25">
      <c r="A432" s="32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  <c r="AI432" s="26"/>
      <c r="AJ432" s="26"/>
      <c r="AK432" s="26"/>
      <c r="AL432" s="26"/>
      <c r="AM432" s="26"/>
      <c r="AN432" s="26"/>
      <c r="AO432" s="26"/>
      <c r="AP432" s="26"/>
      <c r="AQ432" s="26"/>
      <c r="AR432" s="26"/>
      <c r="AS432" s="26"/>
      <c r="AT432" s="26"/>
      <c r="AU432" s="26"/>
      <c r="AV432" s="26"/>
      <c r="AW432" s="26"/>
      <c r="AX432" s="26"/>
      <c r="AY432" s="26"/>
      <c r="AZ432" s="26"/>
      <c r="BA432" s="26"/>
      <c r="BB432" s="26"/>
      <c r="BC432" s="26"/>
      <c r="BD432" s="26"/>
      <c r="BE432" s="26"/>
      <c r="BF432" s="26"/>
      <c r="BG432" s="26"/>
      <c r="BH432" s="26"/>
      <c r="BI432" s="26"/>
      <c r="BJ432" s="26"/>
      <c r="BK432" s="26"/>
      <c r="BL432" s="26"/>
      <c r="BM432" s="26"/>
      <c r="BN432" s="26"/>
      <c r="BO432" s="26"/>
      <c r="BP432" s="26"/>
      <c r="BQ432" s="26"/>
      <c r="BR432" s="26"/>
      <c r="BS432" s="26"/>
      <c r="BT432" s="26"/>
      <c r="BU432" s="26"/>
      <c r="BV432" s="26"/>
      <c r="BW432" s="26"/>
      <c r="BX432" s="26"/>
      <c r="BY432" s="26"/>
      <c r="BZ432" s="26"/>
      <c r="CA432" s="26"/>
      <c r="CB432" s="26"/>
      <c r="CC432" s="26"/>
      <c r="CD432" s="26"/>
      <c r="CE432" s="26"/>
      <c r="CF432" s="26"/>
      <c r="CG432" s="26"/>
      <c r="CH432" s="26"/>
      <c r="CI432" s="26"/>
      <c r="CJ432" s="26"/>
      <c r="CK432" s="26"/>
      <c r="CL432" s="26"/>
      <c r="CM432" s="26"/>
      <c r="CN432" s="26"/>
      <c r="CO432" s="26"/>
      <c r="CP432" s="26"/>
      <c r="CQ432" s="26"/>
    </row>
    <row r="433" spans="1:95" s="29" customFormat="1" ht="15" customHeight="1" x14ac:dyDescent="0.25">
      <c r="A433" s="32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  <c r="AH433" s="26"/>
      <c r="AI433" s="26"/>
      <c r="AJ433" s="26"/>
      <c r="AK433" s="26"/>
      <c r="AL433" s="26"/>
      <c r="AM433" s="26"/>
      <c r="AN433" s="26"/>
      <c r="AO433" s="26"/>
      <c r="AP433" s="26"/>
      <c r="AQ433" s="26"/>
      <c r="AR433" s="26"/>
      <c r="AS433" s="26"/>
      <c r="AT433" s="26"/>
      <c r="AU433" s="26"/>
      <c r="AV433" s="26"/>
      <c r="AW433" s="26"/>
      <c r="AX433" s="26"/>
      <c r="AY433" s="26"/>
      <c r="AZ433" s="26"/>
      <c r="BA433" s="26"/>
      <c r="BB433" s="26"/>
      <c r="BC433" s="26"/>
      <c r="BD433" s="26"/>
      <c r="BE433" s="26"/>
      <c r="BF433" s="26"/>
      <c r="BG433" s="26"/>
      <c r="BH433" s="26"/>
      <c r="BI433" s="26"/>
      <c r="BJ433" s="26"/>
      <c r="BK433" s="26"/>
      <c r="BL433" s="26"/>
      <c r="BM433" s="26"/>
      <c r="BN433" s="26"/>
      <c r="BO433" s="26"/>
      <c r="BP433" s="26"/>
      <c r="BQ433" s="26"/>
      <c r="BR433" s="26"/>
      <c r="BS433" s="26"/>
      <c r="BT433" s="26"/>
      <c r="BU433" s="26"/>
      <c r="BV433" s="26"/>
      <c r="BW433" s="26"/>
      <c r="BX433" s="26"/>
      <c r="BY433" s="26"/>
      <c r="BZ433" s="26"/>
      <c r="CA433" s="26"/>
      <c r="CB433" s="26"/>
      <c r="CC433" s="26"/>
      <c r="CD433" s="26"/>
      <c r="CE433" s="26"/>
      <c r="CF433" s="26"/>
      <c r="CG433" s="26"/>
      <c r="CH433" s="26"/>
      <c r="CI433" s="26"/>
      <c r="CJ433" s="26"/>
      <c r="CK433" s="26"/>
      <c r="CL433" s="26"/>
      <c r="CM433" s="26"/>
      <c r="CN433" s="26"/>
      <c r="CO433" s="26"/>
      <c r="CP433" s="26"/>
      <c r="CQ433" s="26"/>
    </row>
    <row r="434" spans="1:95" s="29" customFormat="1" ht="15" customHeight="1" x14ac:dyDescent="0.25">
      <c r="A434" s="32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  <c r="AH434" s="26"/>
      <c r="AI434" s="26"/>
      <c r="AJ434" s="26"/>
      <c r="AK434" s="26"/>
      <c r="AL434" s="26"/>
      <c r="AM434" s="26"/>
      <c r="AN434" s="26"/>
      <c r="AO434" s="26"/>
      <c r="AP434" s="26"/>
      <c r="AQ434" s="26"/>
      <c r="AR434" s="26"/>
      <c r="AS434" s="26"/>
      <c r="AT434" s="26"/>
      <c r="AU434" s="26"/>
      <c r="AV434" s="26"/>
      <c r="AW434" s="26"/>
      <c r="AX434" s="26"/>
      <c r="AY434" s="26"/>
      <c r="AZ434" s="26"/>
      <c r="BA434" s="26"/>
      <c r="BB434" s="26"/>
      <c r="BC434" s="26"/>
      <c r="BD434" s="26"/>
      <c r="BE434" s="26"/>
      <c r="BF434" s="26"/>
      <c r="BG434" s="26"/>
      <c r="BH434" s="26"/>
      <c r="BI434" s="26"/>
      <c r="BJ434" s="26"/>
      <c r="BK434" s="26"/>
      <c r="BL434" s="26"/>
      <c r="BM434" s="26"/>
      <c r="BN434" s="26"/>
      <c r="BO434" s="26"/>
      <c r="BP434" s="26"/>
      <c r="BQ434" s="26"/>
      <c r="BR434" s="26"/>
      <c r="BS434" s="26"/>
      <c r="BT434" s="26"/>
      <c r="BU434" s="26"/>
      <c r="BV434" s="26"/>
      <c r="BW434" s="26"/>
      <c r="BX434" s="26"/>
      <c r="BY434" s="26"/>
      <c r="BZ434" s="26"/>
      <c r="CA434" s="26"/>
      <c r="CB434" s="26"/>
      <c r="CC434" s="26"/>
      <c r="CD434" s="26"/>
      <c r="CE434" s="26"/>
      <c r="CF434" s="26"/>
      <c r="CG434" s="26"/>
      <c r="CH434" s="26"/>
      <c r="CI434" s="26"/>
      <c r="CJ434" s="26"/>
      <c r="CK434" s="26"/>
      <c r="CL434" s="26"/>
      <c r="CM434" s="26"/>
      <c r="CN434" s="26"/>
      <c r="CO434" s="26"/>
      <c r="CP434" s="26"/>
      <c r="CQ434" s="26"/>
    </row>
    <row r="435" spans="1:95" s="29" customFormat="1" ht="15" customHeight="1" x14ac:dyDescent="0.25">
      <c r="A435" s="32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  <c r="AH435" s="26"/>
      <c r="AI435" s="26"/>
      <c r="AJ435" s="26"/>
      <c r="AK435" s="26"/>
      <c r="AL435" s="26"/>
      <c r="AM435" s="26"/>
      <c r="AN435" s="26"/>
      <c r="AO435" s="26"/>
      <c r="AP435" s="26"/>
      <c r="AQ435" s="26"/>
      <c r="AR435" s="26"/>
      <c r="AS435" s="26"/>
      <c r="AT435" s="26"/>
      <c r="AU435" s="26"/>
      <c r="AV435" s="26"/>
      <c r="AW435" s="26"/>
      <c r="AX435" s="26"/>
      <c r="AY435" s="26"/>
      <c r="AZ435" s="26"/>
      <c r="BA435" s="26"/>
      <c r="BB435" s="26"/>
      <c r="BC435" s="26"/>
      <c r="BD435" s="26"/>
      <c r="BE435" s="26"/>
      <c r="BF435" s="26"/>
      <c r="BG435" s="26"/>
      <c r="BH435" s="26"/>
      <c r="BI435" s="26"/>
      <c r="BJ435" s="26"/>
      <c r="BK435" s="26"/>
      <c r="BL435" s="26"/>
      <c r="BM435" s="26"/>
      <c r="BN435" s="26"/>
      <c r="BO435" s="26"/>
      <c r="BP435" s="26"/>
      <c r="BQ435" s="26"/>
      <c r="BR435" s="26"/>
      <c r="BS435" s="26"/>
      <c r="BT435" s="26"/>
      <c r="BU435" s="26"/>
      <c r="BV435" s="26"/>
      <c r="BW435" s="26"/>
      <c r="BX435" s="26"/>
      <c r="BY435" s="26"/>
      <c r="BZ435" s="26"/>
      <c r="CA435" s="26"/>
      <c r="CB435" s="26"/>
      <c r="CC435" s="26"/>
      <c r="CD435" s="26"/>
      <c r="CE435" s="26"/>
      <c r="CF435" s="26"/>
      <c r="CG435" s="26"/>
      <c r="CH435" s="26"/>
      <c r="CI435" s="26"/>
      <c r="CJ435" s="26"/>
      <c r="CK435" s="26"/>
      <c r="CL435" s="26"/>
      <c r="CM435" s="26"/>
      <c r="CN435" s="26"/>
      <c r="CO435" s="26"/>
      <c r="CP435" s="26"/>
      <c r="CQ435" s="26"/>
    </row>
    <row r="436" spans="1:95" s="29" customFormat="1" ht="15" customHeight="1" x14ac:dyDescent="0.25">
      <c r="A436" s="32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  <c r="AH436" s="26"/>
      <c r="AI436" s="26"/>
      <c r="AJ436" s="26"/>
      <c r="AK436" s="26"/>
      <c r="AL436" s="26"/>
      <c r="AM436" s="26"/>
      <c r="AN436" s="26"/>
      <c r="AO436" s="26"/>
      <c r="AP436" s="26"/>
      <c r="AQ436" s="26"/>
      <c r="AR436" s="26"/>
      <c r="AS436" s="26"/>
      <c r="AT436" s="26"/>
      <c r="AU436" s="26"/>
      <c r="AV436" s="26"/>
      <c r="AW436" s="26"/>
      <c r="AX436" s="26"/>
      <c r="AY436" s="26"/>
      <c r="AZ436" s="26"/>
      <c r="BA436" s="26"/>
      <c r="BB436" s="26"/>
      <c r="BC436" s="26"/>
      <c r="BD436" s="26"/>
      <c r="BE436" s="26"/>
      <c r="BF436" s="26"/>
      <c r="BG436" s="26"/>
      <c r="BH436" s="26"/>
      <c r="BI436" s="26"/>
      <c r="BJ436" s="26"/>
      <c r="BK436" s="26"/>
      <c r="BL436" s="26"/>
      <c r="BM436" s="26"/>
      <c r="BN436" s="26"/>
      <c r="BO436" s="26"/>
      <c r="BP436" s="26"/>
      <c r="BQ436" s="26"/>
      <c r="BR436" s="26"/>
      <c r="BS436" s="26"/>
      <c r="BT436" s="26"/>
      <c r="BU436" s="26"/>
      <c r="BV436" s="26"/>
      <c r="BW436" s="26"/>
      <c r="BX436" s="26"/>
      <c r="BY436" s="26"/>
      <c r="BZ436" s="26"/>
      <c r="CA436" s="26"/>
      <c r="CB436" s="26"/>
      <c r="CC436" s="26"/>
      <c r="CD436" s="26"/>
      <c r="CE436" s="26"/>
      <c r="CF436" s="26"/>
      <c r="CG436" s="26"/>
      <c r="CH436" s="26"/>
      <c r="CI436" s="26"/>
      <c r="CJ436" s="26"/>
      <c r="CK436" s="26"/>
      <c r="CL436" s="26"/>
      <c r="CM436" s="26"/>
      <c r="CN436" s="26"/>
      <c r="CO436" s="26"/>
      <c r="CP436" s="26"/>
      <c r="CQ436" s="26"/>
    </row>
    <row r="437" spans="1:95" s="29" customFormat="1" ht="15" customHeight="1" x14ac:dyDescent="0.25">
      <c r="A437" s="32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  <c r="AH437" s="26"/>
      <c r="AI437" s="26"/>
      <c r="AJ437" s="26"/>
      <c r="AK437" s="26"/>
      <c r="AL437" s="26"/>
      <c r="AM437" s="26"/>
      <c r="AN437" s="26"/>
      <c r="AO437" s="26"/>
      <c r="AP437" s="26"/>
      <c r="AQ437" s="26"/>
      <c r="AR437" s="26"/>
      <c r="AS437" s="26"/>
      <c r="AT437" s="26"/>
      <c r="AU437" s="26"/>
      <c r="AV437" s="26"/>
      <c r="AW437" s="26"/>
      <c r="AX437" s="26"/>
      <c r="AY437" s="26"/>
      <c r="AZ437" s="26"/>
      <c r="BA437" s="26"/>
      <c r="BB437" s="26"/>
      <c r="BC437" s="26"/>
      <c r="BD437" s="26"/>
      <c r="BE437" s="26"/>
      <c r="BF437" s="26"/>
      <c r="BG437" s="26"/>
      <c r="BH437" s="26"/>
      <c r="BI437" s="26"/>
      <c r="BJ437" s="26"/>
      <c r="BK437" s="26"/>
      <c r="BL437" s="26"/>
      <c r="BM437" s="26"/>
      <c r="BN437" s="26"/>
      <c r="BO437" s="26"/>
      <c r="BP437" s="26"/>
      <c r="BQ437" s="26"/>
      <c r="BR437" s="26"/>
      <c r="BS437" s="26"/>
      <c r="BT437" s="26"/>
      <c r="BU437" s="26"/>
      <c r="BV437" s="26"/>
      <c r="BW437" s="26"/>
      <c r="BX437" s="26"/>
      <c r="BY437" s="26"/>
      <c r="BZ437" s="26"/>
      <c r="CA437" s="26"/>
      <c r="CB437" s="26"/>
      <c r="CC437" s="26"/>
      <c r="CD437" s="26"/>
      <c r="CE437" s="26"/>
      <c r="CF437" s="26"/>
      <c r="CG437" s="26"/>
      <c r="CH437" s="26"/>
      <c r="CI437" s="26"/>
      <c r="CJ437" s="26"/>
      <c r="CK437" s="26"/>
      <c r="CL437" s="26"/>
      <c r="CM437" s="26"/>
      <c r="CN437" s="26"/>
      <c r="CO437" s="26"/>
      <c r="CP437" s="26"/>
      <c r="CQ437" s="26"/>
    </row>
    <row r="438" spans="1:95" s="29" customFormat="1" ht="15" customHeight="1" x14ac:dyDescent="0.25">
      <c r="A438" s="32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  <c r="AH438" s="26"/>
      <c r="AI438" s="26"/>
      <c r="AJ438" s="26"/>
      <c r="AK438" s="26"/>
      <c r="AL438" s="26"/>
      <c r="AM438" s="26"/>
      <c r="AN438" s="26"/>
      <c r="AO438" s="26"/>
      <c r="AP438" s="26"/>
      <c r="AQ438" s="26"/>
      <c r="AR438" s="26"/>
      <c r="AS438" s="26"/>
      <c r="AT438" s="26"/>
      <c r="AU438" s="26"/>
      <c r="AV438" s="26"/>
      <c r="AW438" s="26"/>
      <c r="AX438" s="26"/>
      <c r="AY438" s="26"/>
      <c r="AZ438" s="26"/>
      <c r="BA438" s="26"/>
      <c r="BB438" s="26"/>
      <c r="BC438" s="26"/>
      <c r="BD438" s="26"/>
      <c r="BE438" s="26"/>
      <c r="BF438" s="26"/>
      <c r="BG438" s="26"/>
      <c r="BH438" s="26"/>
      <c r="BI438" s="26"/>
      <c r="BJ438" s="26"/>
      <c r="BK438" s="26"/>
      <c r="BL438" s="26"/>
      <c r="BM438" s="26"/>
      <c r="BN438" s="26"/>
      <c r="BO438" s="26"/>
      <c r="BP438" s="26"/>
      <c r="BQ438" s="26"/>
      <c r="BR438" s="26"/>
      <c r="BS438" s="26"/>
      <c r="BT438" s="26"/>
      <c r="BU438" s="26"/>
      <c r="BV438" s="26"/>
      <c r="BW438" s="26"/>
      <c r="BX438" s="26"/>
      <c r="BY438" s="26"/>
      <c r="BZ438" s="26"/>
      <c r="CA438" s="26"/>
      <c r="CB438" s="26"/>
      <c r="CC438" s="26"/>
      <c r="CD438" s="26"/>
      <c r="CE438" s="26"/>
      <c r="CF438" s="26"/>
      <c r="CG438" s="26"/>
      <c r="CH438" s="26"/>
      <c r="CI438" s="26"/>
      <c r="CJ438" s="26"/>
      <c r="CK438" s="26"/>
      <c r="CL438" s="26"/>
      <c r="CM438" s="26"/>
      <c r="CN438" s="26"/>
      <c r="CO438" s="26"/>
      <c r="CP438" s="26"/>
      <c r="CQ438" s="26"/>
    </row>
    <row r="439" spans="1:95" s="29" customFormat="1" ht="15" customHeight="1" x14ac:dyDescent="0.25">
      <c r="A439" s="32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  <c r="AH439" s="26"/>
      <c r="AI439" s="26"/>
      <c r="AJ439" s="26"/>
      <c r="AK439" s="26"/>
      <c r="AL439" s="26"/>
      <c r="AM439" s="26"/>
      <c r="AN439" s="26"/>
      <c r="AO439" s="26"/>
      <c r="AP439" s="26"/>
      <c r="AQ439" s="26"/>
      <c r="AR439" s="26"/>
      <c r="AS439" s="26"/>
      <c r="AT439" s="26"/>
      <c r="AU439" s="26"/>
      <c r="AV439" s="26"/>
      <c r="AW439" s="26"/>
      <c r="AX439" s="26"/>
      <c r="AY439" s="26"/>
      <c r="AZ439" s="26"/>
      <c r="BA439" s="26"/>
      <c r="BB439" s="26"/>
      <c r="BC439" s="26"/>
      <c r="BD439" s="26"/>
      <c r="BE439" s="26"/>
      <c r="BF439" s="26"/>
      <c r="BG439" s="26"/>
      <c r="BH439" s="26"/>
      <c r="BI439" s="26"/>
      <c r="BJ439" s="26"/>
      <c r="BK439" s="26"/>
      <c r="BL439" s="26"/>
      <c r="BM439" s="26"/>
      <c r="BN439" s="26"/>
      <c r="BO439" s="26"/>
      <c r="BP439" s="26"/>
      <c r="BQ439" s="26"/>
      <c r="BR439" s="26"/>
      <c r="BS439" s="26"/>
      <c r="BT439" s="26"/>
      <c r="BU439" s="26"/>
      <c r="BV439" s="26"/>
      <c r="BW439" s="26"/>
      <c r="BX439" s="26"/>
      <c r="BY439" s="26"/>
      <c r="BZ439" s="26"/>
      <c r="CA439" s="26"/>
      <c r="CB439" s="26"/>
      <c r="CC439" s="26"/>
      <c r="CD439" s="26"/>
      <c r="CE439" s="26"/>
      <c r="CF439" s="26"/>
      <c r="CG439" s="26"/>
      <c r="CH439" s="26"/>
      <c r="CI439" s="26"/>
      <c r="CJ439" s="26"/>
      <c r="CK439" s="26"/>
      <c r="CL439" s="26"/>
      <c r="CM439" s="26"/>
      <c r="CN439" s="26"/>
      <c r="CO439" s="26"/>
      <c r="CP439" s="26"/>
      <c r="CQ439" s="26"/>
    </row>
    <row r="440" spans="1:95" s="29" customFormat="1" ht="15" customHeight="1" x14ac:dyDescent="0.25">
      <c r="A440" s="32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  <c r="AH440" s="26"/>
      <c r="AI440" s="26"/>
      <c r="AJ440" s="26"/>
      <c r="AK440" s="26"/>
      <c r="AL440" s="26"/>
      <c r="AM440" s="26"/>
      <c r="AN440" s="26"/>
      <c r="AO440" s="26"/>
      <c r="AP440" s="26"/>
      <c r="AQ440" s="26"/>
      <c r="AR440" s="26"/>
      <c r="AS440" s="26"/>
      <c r="AT440" s="26"/>
      <c r="AU440" s="26"/>
      <c r="AV440" s="26"/>
      <c r="AW440" s="26"/>
      <c r="AX440" s="26"/>
      <c r="AY440" s="26"/>
      <c r="AZ440" s="26"/>
      <c r="BA440" s="26"/>
      <c r="BB440" s="26"/>
      <c r="BC440" s="26"/>
      <c r="BD440" s="26"/>
      <c r="BE440" s="26"/>
      <c r="BF440" s="26"/>
      <c r="BG440" s="26"/>
      <c r="BH440" s="26"/>
      <c r="BI440" s="26"/>
      <c r="BJ440" s="26"/>
      <c r="BK440" s="26"/>
      <c r="BL440" s="26"/>
      <c r="BM440" s="26"/>
      <c r="BN440" s="26"/>
      <c r="BO440" s="26"/>
      <c r="BP440" s="26"/>
      <c r="BQ440" s="26"/>
      <c r="BR440" s="26"/>
      <c r="BS440" s="26"/>
      <c r="BT440" s="26"/>
      <c r="BU440" s="26"/>
      <c r="BV440" s="26"/>
      <c r="BW440" s="26"/>
      <c r="BX440" s="26"/>
      <c r="BY440" s="26"/>
      <c r="BZ440" s="26"/>
      <c r="CA440" s="26"/>
      <c r="CB440" s="26"/>
      <c r="CC440" s="26"/>
      <c r="CD440" s="26"/>
      <c r="CE440" s="26"/>
      <c r="CF440" s="26"/>
      <c r="CG440" s="26"/>
      <c r="CH440" s="26"/>
      <c r="CI440" s="26"/>
      <c r="CJ440" s="26"/>
      <c r="CK440" s="26"/>
      <c r="CL440" s="26"/>
      <c r="CM440" s="26"/>
      <c r="CN440" s="26"/>
      <c r="CO440" s="26"/>
      <c r="CP440" s="26"/>
      <c r="CQ440" s="26"/>
    </row>
    <row r="441" spans="1:95" s="29" customFormat="1" ht="15" customHeight="1" x14ac:dyDescent="0.25">
      <c r="A441" s="32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  <c r="AH441" s="26"/>
      <c r="AI441" s="26"/>
      <c r="AJ441" s="26"/>
      <c r="AK441" s="26"/>
      <c r="AL441" s="26"/>
      <c r="AM441" s="26"/>
      <c r="AN441" s="26"/>
      <c r="AO441" s="26"/>
      <c r="AP441" s="26"/>
      <c r="AQ441" s="26"/>
      <c r="AR441" s="26"/>
      <c r="AS441" s="26"/>
      <c r="AT441" s="26"/>
      <c r="AU441" s="26"/>
      <c r="AV441" s="26"/>
      <c r="AW441" s="26"/>
      <c r="AX441" s="26"/>
      <c r="AY441" s="26"/>
      <c r="AZ441" s="26"/>
      <c r="BA441" s="26"/>
      <c r="BB441" s="26"/>
      <c r="BC441" s="26"/>
      <c r="BD441" s="26"/>
      <c r="BE441" s="26"/>
      <c r="BF441" s="26"/>
      <c r="BG441" s="26"/>
      <c r="BH441" s="26"/>
      <c r="BI441" s="26"/>
      <c r="BJ441" s="26"/>
      <c r="BK441" s="26"/>
      <c r="BL441" s="26"/>
      <c r="BM441" s="26"/>
      <c r="BN441" s="26"/>
      <c r="BO441" s="26"/>
      <c r="BP441" s="26"/>
      <c r="BQ441" s="26"/>
      <c r="BR441" s="26"/>
      <c r="BS441" s="26"/>
      <c r="BT441" s="26"/>
      <c r="BU441" s="26"/>
      <c r="BV441" s="26"/>
      <c r="BW441" s="26"/>
      <c r="BX441" s="26"/>
      <c r="BY441" s="26"/>
      <c r="BZ441" s="26"/>
      <c r="CA441" s="26"/>
      <c r="CB441" s="26"/>
      <c r="CC441" s="26"/>
      <c r="CD441" s="26"/>
      <c r="CE441" s="26"/>
      <c r="CF441" s="26"/>
      <c r="CG441" s="26"/>
      <c r="CH441" s="26"/>
      <c r="CI441" s="26"/>
      <c r="CJ441" s="26"/>
      <c r="CK441" s="26"/>
      <c r="CL441" s="26"/>
      <c r="CM441" s="26"/>
      <c r="CN441" s="26"/>
      <c r="CO441" s="26"/>
      <c r="CP441" s="26"/>
      <c r="CQ441" s="26"/>
    </row>
    <row r="442" spans="1:95" s="29" customFormat="1" ht="15" customHeight="1" x14ac:dyDescent="0.25">
      <c r="A442" s="32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  <c r="AH442" s="26"/>
      <c r="AI442" s="26"/>
      <c r="AJ442" s="26"/>
      <c r="AK442" s="26"/>
      <c r="AL442" s="26"/>
      <c r="AM442" s="26"/>
      <c r="AN442" s="26"/>
      <c r="AO442" s="26"/>
      <c r="AP442" s="26"/>
      <c r="AQ442" s="26"/>
      <c r="AR442" s="26"/>
      <c r="AS442" s="26"/>
      <c r="AT442" s="26"/>
      <c r="AU442" s="26"/>
      <c r="AV442" s="26"/>
      <c r="AW442" s="26"/>
      <c r="AX442" s="26"/>
      <c r="AY442" s="26"/>
      <c r="AZ442" s="26"/>
      <c r="BA442" s="26"/>
      <c r="BB442" s="26"/>
      <c r="BC442" s="26"/>
      <c r="BD442" s="26"/>
      <c r="BE442" s="26"/>
      <c r="BF442" s="26"/>
      <c r="BG442" s="26"/>
      <c r="BH442" s="26"/>
      <c r="BI442" s="26"/>
      <c r="BJ442" s="26"/>
      <c r="BK442" s="26"/>
      <c r="BL442" s="26"/>
      <c r="BM442" s="26"/>
      <c r="BN442" s="26"/>
      <c r="BO442" s="26"/>
      <c r="BP442" s="26"/>
      <c r="BQ442" s="26"/>
      <c r="BR442" s="26"/>
      <c r="BS442" s="26"/>
      <c r="BT442" s="26"/>
      <c r="BU442" s="26"/>
      <c r="BV442" s="26"/>
      <c r="BW442" s="26"/>
      <c r="BX442" s="26"/>
      <c r="BY442" s="26"/>
      <c r="BZ442" s="26"/>
      <c r="CA442" s="26"/>
      <c r="CB442" s="26"/>
      <c r="CC442" s="26"/>
      <c r="CD442" s="26"/>
      <c r="CE442" s="26"/>
      <c r="CF442" s="26"/>
      <c r="CG442" s="26"/>
      <c r="CH442" s="26"/>
      <c r="CI442" s="26"/>
      <c r="CJ442" s="26"/>
      <c r="CK442" s="26"/>
      <c r="CL442" s="26"/>
      <c r="CM442" s="26"/>
      <c r="CN442" s="26"/>
      <c r="CO442" s="26"/>
      <c r="CP442" s="26"/>
      <c r="CQ442" s="26"/>
    </row>
    <row r="443" spans="1:95" s="29" customFormat="1" ht="15" customHeight="1" x14ac:dyDescent="0.25">
      <c r="A443" s="32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  <c r="AH443" s="26"/>
      <c r="AI443" s="26"/>
      <c r="AJ443" s="26"/>
      <c r="AK443" s="26"/>
      <c r="AL443" s="26"/>
      <c r="AM443" s="26"/>
      <c r="AN443" s="26"/>
      <c r="AO443" s="26"/>
      <c r="AP443" s="26"/>
      <c r="AQ443" s="26"/>
      <c r="AR443" s="26"/>
      <c r="AS443" s="26"/>
      <c r="AT443" s="26"/>
      <c r="AU443" s="26"/>
      <c r="AV443" s="26"/>
      <c r="AW443" s="26"/>
      <c r="AX443" s="26"/>
      <c r="AY443" s="26"/>
      <c r="AZ443" s="26"/>
      <c r="BA443" s="26"/>
      <c r="BB443" s="26"/>
      <c r="BC443" s="26"/>
      <c r="BD443" s="26"/>
      <c r="BE443" s="26"/>
      <c r="BF443" s="26"/>
      <c r="BG443" s="26"/>
      <c r="BH443" s="26"/>
      <c r="BI443" s="26"/>
      <c r="BJ443" s="26"/>
      <c r="BK443" s="26"/>
      <c r="BL443" s="26"/>
      <c r="BM443" s="26"/>
      <c r="BN443" s="26"/>
      <c r="BO443" s="26"/>
      <c r="BP443" s="26"/>
      <c r="BQ443" s="26"/>
      <c r="BR443" s="26"/>
      <c r="BS443" s="26"/>
      <c r="BT443" s="26"/>
      <c r="BU443" s="26"/>
      <c r="BV443" s="26"/>
      <c r="BW443" s="26"/>
      <c r="BX443" s="26"/>
      <c r="BY443" s="26"/>
      <c r="BZ443" s="26"/>
      <c r="CA443" s="26"/>
      <c r="CB443" s="26"/>
      <c r="CC443" s="26"/>
      <c r="CD443" s="26"/>
      <c r="CE443" s="26"/>
      <c r="CF443" s="26"/>
      <c r="CG443" s="26"/>
      <c r="CH443" s="26"/>
      <c r="CI443" s="26"/>
      <c r="CJ443" s="26"/>
      <c r="CK443" s="26"/>
      <c r="CL443" s="26"/>
      <c r="CM443" s="26"/>
      <c r="CN443" s="26"/>
      <c r="CO443" s="26"/>
      <c r="CP443" s="26"/>
      <c r="CQ443" s="26"/>
    </row>
    <row r="444" spans="1:95" s="29" customFormat="1" ht="15" customHeight="1" x14ac:dyDescent="0.25">
      <c r="A444" s="32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  <c r="AH444" s="26"/>
      <c r="AI444" s="26"/>
      <c r="AJ444" s="26"/>
      <c r="AK444" s="26"/>
      <c r="AL444" s="26"/>
      <c r="AM444" s="26"/>
      <c r="AN444" s="26"/>
      <c r="AO444" s="26"/>
      <c r="AP444" s="26"/>
      <c r="AQ444" s="26"/>
      <c r="AR444" s="26"/>
      <c r="AS444" s="26"/>
      <c r="AT444" s="26"/>
      <c r="AU444" s="26"/>
      <c r="AV444" s="26"/>
      <c r="AW444" s="26"/>
      <c r="AX444" s="26"/>
      <c r="AY444" s="26"/>
      <c r="AZ444" s="26"/>
      <c r="BA444" s="26"/>
      <c r="BB444" s="26"/>
      <c r="BC444" s="26"/>
      <c r="BD444" s="26"/>
      <c r="BE444" s="26"/>
      <c r="BF444" s="26"/>
      <c r="BG444" s="26"/>
      <c r="BH444" s="26"/>
      <c r="BI444" s="26"/>
      <c r="BJ444" s="26"/>
      <c r="BK444" s="26"/>
      <c r="BL444" s="26"/>
      <c r="BM444" s="26"/>
      <c r="BN444" s="26"/>
      <c r="BO444" s="26"/>
      <c r="BP444" s="26"/>
      <c r="BQ444" s="26"/>
      <c r="BR444" s="26"/>
      <c r="BS444" s="26"/>
      <c r="BT444" s="26"/>
      <c r="BU444" s="26"/>
      <c r="BV444" s="26"/>
      <c r="BW444" s="26"/>
      <c r="BX444" s="26"/>
      <c r="BY444" s="26"/>
      <c r="BZ444" s="26"/>
      <c r="CA444" s="26"/>
      <c r="CB444" s="26"/>
      <c r="CC444" s="26"/>
      <c r="CD444" s="26"/>
      <c r="CE444" s="26"/>
      <c r="CF444" s="26"/>
      <c r="CG444" s="26"/>
      <c r="CH444" s="26"/>
      <c r="CI444" s="26"/>
      <c r="CJ444" s="26"/>
      <c r="CK444" s="26"/>
      <c r="CL444" s="26"/>
      <c r="CM444" s="26"/>
      <c r="CN444" s="26"/>
      <c r="CO444" s="26"/>
      <c r="CP444" s="26"/>
      <c r="CQ444" s="26"/>
    </row>
    <row r="445" spans="1:95" s="29" customFormat="1" ht="15" customHeight="1" x14ac:dyDescent="0.25">
      <c r="A445" s="32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  <c r="AH445" s="26"/>
      <c r="AI445" s="26"/>
      <c r="AJ445" s="26"/>
      <c r="AK445" s="26"/>
      <c r="AL445" s="26"/>
      <c r="AM445" s="26"/>
      <c r="AN445" s="26"/>
      <c r="AO445" s="26"/>
      <c r="AP445" s="26"/>
      <c r="AQ445" s="26"/>
      <c r="AR445" s="26"/>
      <c r="AS445" s="26"/>
      <c r="AT445" s="26"/>
      <c r="AU445" s="26"/>
      <c r="AV445" s="26"/>
      <c r="AW445" s="26"/>
      <c r="AX445" s="26"/>
      <c r="AY445" s="26"/>
      <c r="AZ445" s="26"/>
      <c r="BA445" s="26"/>
      <c r="BB445" s="26"/>
      <c r="BC445" s="26"/>
      <c r="BD445" s="26"/>
      <c r="BE445" s="26"/>
      <c r="BF445" s="26"/>
      <c r="BG445" s="26"/>
      <c r="BH445" s="26"/>
      <c r="BI445" s="26"/>
      <c r="BJ445" s="26"/>
      <c r="BK445" s="26"/>
      <c r="BL445" s="26"/>
      <c r="BM445" s="26"/>
      <c r="BN445" s="26"/>
      <c r="BO445" s="26"/>
      <c r="BP445" s="26"/>
      <c r="BQ445" s="26"/>
      <c r="BR445" s="26"/>
      <c r="BS445" s="26"/>
      <c r="BT445" s="26"/>
      <c r="BU445" s="26"/>
      <c r="BV445" s="26"/>
      <c r="BW445" s="26"/>
      <c r="BX445" s="26"/>
      <c r="BY445" s="26"/>
      <c r="BZ445" s="26"/>
      <c r="CA445" s="26"/>
      <c r="CB445" s="26"/>
      <c r="CC445" s="26"/>
      <c r="CD445" s="26"/>
      <c r="CE445" s="26"/>
      <c r="CF445" s="26"/>
      <c r="CG445" s="26"/>
      <c r="CH445" s="26"/>
      <c r="CI445" s="26"/>
      <c r="CJ445" s="26"/>
      <c r="CK445" s="26"/>
      <c r="CL445" s="26"/>
      <c r="CM445" s="26"/>
      <c r="CN445" s="26"/>
      <c r="CO445" s="26"/>
      <c r="CP445" s="26"/>
      <c r="CQ445" s="26"/>
    </row>
    <row r="446" spans="1:95" s="29" customFormat="1" ht="15" customHeight="1" x14ac:dyDescent="0.25">
      <c r="A446" s="32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  <c r="AJ446" s="26"/>
      <c r="AK446" s="26"/>
      <c r="AL446" s="26"/>
      <c r="AM446" s="26"/>
      <c r="AN446" s="26"/>
      <c r="AO446" s="26"/>
      <c r="AP446" s="26"/>
      <c r="AQ446" s="26"/>
      <c r="AR446" s="26"/>
      <c r="AS446" s="26"/>
      <c r="AT446" s="26"/>
      <c r="AU446" s="26"/>
      <c r="AV446" s="26"/>
      <c r="AW446" s="26"/>
      <c r="AX446" s="26"/>
      <c r="AY446" s="26"/>
      <c r="AZ446" s="26"/>
      <c r="BA446" s="26"/>
      <c r="BB446" s="26"/>
      <c r="BC446" s="26"/>
      <c r="BD446" s="26"/>
      <c r="BE446" s="26"/>
      <c r="BF446" s="26"/>
      <c r="BG446" s="26"/>
      <c r="BH446" s="26"/>
      <c r="BI446" s="26"/>
      <c r="BJ446" s="26"/>
      <c r="BK446" s="26"/>
      <c r="BL446" s="26"/>
      <c r="BM446" s="26"/>
      <c r="BN446" s="26"/>
      <c r="BO446" s="26"/>
      <c r="BP446" s="26"/>
      <c r="BQ446" s="26"/>
      <c r="BR446" s="26"/>
      <c r="BS446" s="26"/>
      <c r="BT446" s="26"/>
      <c r="BU446" s="26"/>
      <c r="BV446" s="26"/>
      <c r="BW446" s="26"/>
      <c r="BX446" s="26"/>
      <c r="BY446" s="26"/>
      <c r="BZ446" s="26"/>
      <c r="CA446" s="26"/>
      <c r="CB446" s="26"/>
      <c r="CC446" s="26"/>
      <c r="CD446" s="26"/>
      <c r="CE446" s="26"/>
      <c r="CF446" s="26"/>
      <c r="CG446" s="26"/>
      <c r="CH446" s="26"/>
      <c r="CI446" s="26"/>
      <c r="CJ446" s="26"/>
      <c r="CK446" s="26"/>
      <c r="CL446" s="26"/>
      <c r="CM446" s="26"/>
      <c r="CN446" s="26"/>
      <c r="CO446" s="26"/>
      <c r="CP446" s="26"/>
      <c r="CQ446" s="26"/>
    </row>
    <row r="447" spans="1:95" s="29" customFormat="1" ht="15" customHeight="1" x14ac:dyDescent="0.25">
      <c r="A447" s="32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  <c r="AH447" s="26"/>
      <c r="AI447" s="26"/>
      <c r="AJ447" s="26"/>
      <c r="AK447" s="26"/>
      <c r="AL447" s="26"/>
      <c r="AM447" s="26"/>
      <c r="AN447" s="26"/>
      <c r="AO447" s="26"/>
      <c r="AP447" s="26"/>
      <c r="AQ447" s="26"/>
      <c r="AR447" s="26"/>
      <c r="AS447" s="26"/>
      <c r="AT447" s="26"/>
      <c r="AU447" s="26"/>
      <c r="AV447" s="26"/>
      <c r="AW447" s="26"/>
      <c r="AX447" s="26"/>
      <c r="AY447" s="26"/>
      <c r="AZ447" s="26"/>
      <c r="BA447" s="26"/>
      <c r="BB447" s="26"/>
      <c r="BC447" s="26"/>
      <c r="BD447" s="26"/>
      <c r="BE447" s="26"/>
      <c r="BF447" s="26"/>
      <c r="BG447" s="26"/>
      <c r="BH447" s="26"/>
      <c r="BI447" s="26"/>
      <c r="BJ447" s="26"/>
      <c r="BK447" s="26"/>
      <c r="BL447" s="26"/>
      <c r="BM447" s="26"/>
      <c r="BN447" s="26"/>
      <c r="BO447" s="26"/>
      <c r="BP447" s="26"/>
      <c r="BQ447" s="26"/>
      <c r="BR447" s="26"/>
      <c r="BS447" s="26"/>
      <c r="BT447" s="26"/>
      <c r="BU447" s="26"/>
      <c r="BV447" s="26"/>
      <c r="BW447" s="26"/>
      <c r="BX447" s="26"/>
      <c r="BY447" s="26"/>
      <c r="BZ447" s="26"/>
      <c r="CA447" s="26"/>
      <c r="CB447" s="26"/>
      <c r="CC447" s="26"/>
      <c r="CD447" s="26"/>
      <c r="CE447" s="26"/>
      <c r="CF447" s="26"/>
      <c r="CG447" s="26"/>
      <c r="CH447" s="26"/>
      <c r="CI447" s="26"/>
      <c r="CJ447" s="26"/>
      <c r="CK447" s="26"/>
      <c r="CL447" s="26"/>
      <c r="CM447" s="26"/>
      <c r="CN447" s="26"/>
      <c r="CO447" s="26"/>
      <c r="CP447" s="26"/>
      <c r="CQ447" s="26"/>
    </row>
    <row r="448" spans="1:95" s="29" customFormat="1" ht="15" customHeight="1" x14ac:dyDescent="0.25">
      <c r="A448" s="32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  <c r="AH448" s="26"/>
      <c r="AI448" s="26"/>
      <c r="AJ448" s="26"/>
      <c r="AK448" s="26"/>
      <c r="AL448" s="26"/>
      <c r="AM448" s="26"/>
      <c r="AN448" s="26"/>
      <c r="AO448" s="26"/>
      <c r="AP448" s="26"/>
      <c r="AQ448" s="26"/>
      <c r="AR448" s="26"/>
      <c r="AS448" s="26"/>
      <c r="AT448" s="26"/>
      <c r="AU448" s="26"/>
      <c r="AV448" s="26"/>
      <c r="AW448" s="26"/>
      <c r="AX448" s="26"/>
      <c r="AY448" s="26"/>
      <c r="AZ448" s="26"/>
      <c r="BA448" s="26"/>
      <c r="BB448" s="26"/>
      <c r="BC448" s="26"/>
      <c r="BD448" s="26"/>
      <c r="BE448" s="26"/>
      <c r="BF448" s="26"/>
      <c r="BG448" s="26"/>
      <c r="BH448" s="26"/>
      <c r="BI448" s="26"/>
      <c r="BJ448" s="26"/>
      <c r="BK448" s="26"/>
      <c r="BL448" s="26"/>
      <c r="BM448" s="26"/>
      <c r="BN448" s="26"/>
      <c r="BO448" s="26"/>
      <c r="BP448" s="26"/>
      <c r="BQ448" s="26"/>
      <c r="BR448" s="26"/>
      <c r="BS448" s="26"/>
      <c r="BT448" s="26"/>
      <c r="BU448" s="26"/>
      <c r="BV448" s="26"/>
      <c r="BW448" s="26"/>
      <c r="BX448" s="26"/>
      <c r="BY448" s="26"/>
      <c r="BZ448" s="26"/>
      <c r="CA448" s="26"/>
      <c r="CB448" s="26"/>
      <c r="CC448" s="26"/>
      <c r="CD448" s="26"/>
      <c r="CE448" s="26"/>
      <c r="CF448" s="26"/>
      <c r="CG448" s="26"/>
      <c r="CH448" s="26"/>
      <c r="CI448" s="26"/>
      <c r="CJ448" s="26"/>
      <c r="CK448" s="26"/>
      <c r="CL448" s="26"/>
      <c r="CM448" s="26"/>
      <c r="CN448" s="26"/>
      <c r="CO448" s="26"/>
      <c r="CP448" s="26"/>
      <c r="CQ448" s="26"/>
    </row>
    <row r="449" spans="1:95" s="29" customFormat="1" ht="15" customHeight="1" x14ac:dyDescent="0.25">
      <c r="A449" s="32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  <c r="AH449" s="26"/>
      <c r="AI449" s="26"/>
      <c r="AJ449" s="26"/>
      <c r="AK449" s="26"/>
      <c r="AL449" s="26"/>
      <c r="AM449" s="26"/>
      <c r="AN449" s="26"/>
      <c r="AO449" s="26"/>
      <c r="AP449" s="26"/>
      <c r="AQ449" s="26"/>
      <c r="AR449" s="26"/>
      <c r="AS449" s="26"/>
      <c r="AT449" s="26"/>
      <c r="AU449" s="26"/>
      <c r="AV449" s="26"/>
      <c r="AW449" s="26"/>
      <c r="AX449" s="26"/>
      <c r="AY449" s="26"/>
      <c r="AZ449" s="26"/>
      <c r="BA449" s="26"/>
      <c r="BB449" s="26"/>
      <c r="BC449" s="26"/>
      <c r="BD449" s="26"/>
      <c r="BE449" s="26"/>
      <c r="BF449" s="26"/>
      <c r="BG449" s="26"/>
      <c r="BH449" s="26"/>
      <c r="BI449" s="26"/>
      <c r="BJ449" s="26"/>
      <c r="BK449" s="26"/>
      <c r="BL449" s="26"/>
      <c r="BM449" s="26"/>
      <c r="BN449" s="26"/>
      <c r="BO449" s="26"/>
      <c r="BP449" s="26"/>
      <c r="BQ449" s="26"/>
      <c r="BR449" s="26"/>
      <c r="BS449" s="26"/>
      <c r="BT449" s="26"/>
      <c r="BU449" s="26"/>
      <c r="BV449" s="26"/>
      <c r="BW449" s="26"/>
      <c r="BX449" s="26"/>
      <c r="BY449" s="26"/>
      <c r="BZ449" s="26"/>
      <c r="CA449" s="26"/>
      <c r="CB449" s="26"/>
      <c r="CC449" s="26"/>
      <c r="CD449" s="26"/>
      <c r="CE449" s="26"/>
      <c r="CF449" s="26"/>
      <c r="CG449" s="26"/>
      <c r="CH449" s="26"/>
      <c r="CI449" s="26"/>
      <c r="CJ449" s="26"/>
      <c r="CK449" s="26"/>
      <c r="CL449" s="26"/>
      <c r="CM449" s="26"/>
      <c r="CN449" s="26"/>
      <c r="CO449" s="26"/>
      <c r="CP449" s="26"/>
      <c r="CQ449" s="26"/>
    </row>
    <row r="450" spans="1:95" s="29" customFormat="1" ht="15" customHeight="1" x14ac:dyDescent="0.25">
      <c r="A450" s="32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26"/>
      <c r="AI450" s="26"/>
      <c r="AJ450" s="26"/>
      <c r="AK450" s="26"/>
      <c r="AL450" s="26"/>
      <c r="AM450" s="26"/>
      <c r="AN450" s="26"/>
      <c r="AO450" s="26"/>
      <c r="AP450" s="26"/>
      <c r="AQ450" s="26"/>
      <c r="AR450" s="26"/>
      <c r="AS450" s="26"/>
      <c r="AT450" s="26"/>
      <c r="AU450" s="26"/>
      <c r="AV450" s="26"/>
      <c r="AW450" s="26"/>
      <c r="AX450" s="26"/>
      <c r="AY450" s="26"/>
      <c r="AZ450" s="26"/>
      <c r="BA450" s="26"/>
      <c r="BB450" s="26"/>
      <c r="BC450" s="26"/>
      <c r="BD450" s="26"/>
      <c r="BE450" s="26"/>
      <c r="BF450" s="26"/>
      <c r="BG450" s="26"/>
      <c r="BH450" s="26"/>
      <c r="BI450" s="26"/>
      <c r="BJ450" s="26"/>
      <c r="BK450" s="26"/>
      <c r="BL450" s="26"/>
      <c r="BM450" s="26"/>
      <c r="BN450" s="26"/>
      <c r="BO450" s="26"/>
      <c r="BP450" s="26"/>
      <c r="BQ450" s="26"/>
      <c r="BR450" s="26"/>
      <c r="BS450" s="26"/>
      <c r="BT450" s="26"/>
      <c r="BU450" s="26"/>
      <c r="BV450" s="26"/>
      <c r="BW450" s="26"/>
      <c r="BX450" s="26"/>
      <c r="BY450" s="26"/>
      <c r="BZ450" s="26"/>
      <c r="CA450" s="26"/>
      <c r="CB450" s="26"/>
      <c r="CC450" s="26"/>
      <c r="CD450" s="26"/>
      <c r="CE450" s="26"/>
      <c r="CF450" s="26"/>
      <c r="CG450" s="26"/>
      <c r="CH450" s="26"/>
      <c r="CI450" s="26"/>
      <c r="CJ450" s="26"/>
      <c r="CK450" s="26"/>
      <c r="CL450" s="26"/>
      <c r="CM450" s="26"/>
      <c r="CN450" s="26"/>
      <c r="CO450" s="26"/>
      <c r="CP450" s="26"/>
      <c r="CQ450" s="26"/>
    </row>
    <row r="451" spans="1:95" s="29" customFormat="1" ht="15" customHeight="1" x14ac:dyDescent="0.25">
      <c r="A451" s="32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  <c r="AH451" s="26"/>
      <c r="AI451" s="26"/>
      <c r="AJ451" s="26"/>
      <c r="AK451" s="26"/>
      <c r="AL451" s="26"/>
      <c r="AM451" s="26"/>
      <c r="AN451" s="26"/>
      <c r="AO451" s="26"/>
      <c r="AP451" s="26"/>
      <c r="AQ451" s="26"/>
      <c r="AR451" s="26"/>
      <c r="AS451" s="26"/>
      <c r="AT451" s="26"/>
      <c r="AU451" s="26"/>
      <c r="AV451" s="26"/>
      <c r="AW451" s="26"/>
      <c r="AX451" s="26"/>
      <c r="AY451" s="26"/>
      <c r="AZ451" s="26"/>
      <c r="BA451" s="26"/>
      <c r="BB451" s="26"/>
      <c r="BC451" s="26"/>
      <c r="BD451" s="26"/>
      <c r="BE451" s="26"/>
      <c r="BF451" s="26"/>
      <c r="BG451" s="26"/>
      <c r="BH451" s="26"/>
      <c r="BI451" s="26"/>
      <c r="BJ451" s="26"/>
      <c r="BK451" s="26"/>
      <c r="BL451" s="26"/>
      <c r="BM451" s="26"/>
      <c r="BN451" s="26"/>
      <c r="BO451" s="26"/>
      <c r="BP451" s="26"/>
      <c r="BQ451" s="26"/>
      <c r="BR451" s="26"/>
      <c r="BS451" s="26"/>
      <c r="BT451" s="26"/>
      <c r="BU451" s="26"/>
      <c r="BV451" s="26"/>
      <c r="BW451" s="26"/>
      <c r="BX451" s="26"/>
      <c r="BY451" s="26"/>
      <c r="BZ451" s="26"/>
      <c r="CA451" s="26"/>
      <c r="CB451" s="26"/>
      <c r="CC451" s="26"/>
      <c r="CD451" s="26"/>
      <c r="CE451" s="26"/>
      <c r="CF451" s="26"/>
      <c r="CG451" s="26"/>
      <c r="CH451" s="26"/>
      <c r="CI451" s="26"/>
      <c r="CJ451" s="26"/>
      <c r="CK451" s="26"/>
      <c r="CL451" s="26"/>
      <c r="CM451" s="26"/>
      <c r="CN451" s="26"/>
      <c r="CO451" s="26"/>
      <c r="CP451" s="26"/>
      <c r="CQ451" s="26"/>
    </row>
    <row r="452" spans="1:95" s="29" customFormat="1" ht="15" customHeight="1" x14ac:dyDescent="0.25">
      <c r="A452" s="32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  <c r="AH452" s="26"/>
      <c r="AI452" s="26"/>
      <c r="AJ452" s="26"/>
      <c r="AK452" s="26"/>
      <c r="AL452" s="26"/>
      <c r="AM452" s="26"/>
      <c r="AN452" s="26"/>
      <c r="AO452" s="26"/>
      <c r="AP452" s="26"/>
      <c r="AQ452" s="26"/>
      <c r="AR452" s="26"/>
      <c r="AS452" s="26"/>
      <c r="AT452" s="26"/>
      <c r="AU452" s="26"/>
      <c r="AV452" s="26"/>
      <c r="AW452" s="26"/>
      <c r="AX452" s="26"/>
      <c r="AY452" s="26"/>
      <c r="AZ452" s="26"/>
      <c r="BA452" s="26"/>
      <c r="BB452" s="26"/>
      <c r="BC452" s="26"/>
      <c r="BD452" s="26"/>
      <c r="BE452" s="26"/>
      <c r="BF452" s="26"/>
      <c r="BG452" s="26"/>
      <c r="BH452" s="26"/>
      <c r="BI452" s="26"/>
      <c r="BJ452" s="26"/>
      <c r="BK452" s="26"/>
      <c r="BL452" s="26"/>
      <c r="BM452" s="26"/>
      <c r="BN452" s="26"/>
      <c r="BO452" s="26"/>
      <c r="BP452" s="26"/>
      <c r="BQ452" s="26"/>
      <c r="BR452" s="26"/>
      <c r="BS452" s="26"/>
      <c r="BT452" s="26"/>
      <c r="BU452" s="26"/>
      <c r="BV452" s="26"/>
      <c r="BW452" s="26"/>
      <c r="BX452" s="26"/>
      <c r="BY452" s="26"/>
      <c r="BZ452" s="26"/>
      <c r="CA452" s="26"/>
      <c r="CB452" s="26"/>
      <c r="CC452" s="26"/>
      <c r="CD452" s="26"/>
      <c r="CE452" s="26"/>
      <c r="CF452" s="26"/>
      <c r="CG452" s="26"/>
      <c r="CH452" s="26"/>
      <c r="CI452" s="26"/>
      <c r="CJ452" s="26"/>
      <c r="CK452" s="26"/>
      <c r="CL452" s="26"/>
      <c r="CM452" s="26"/>
      <c r="CN452" s="26"/>
      <c r="CO452" s="26"/>
      <c r="CP452" s="26"/>
      <c r="CQ452" s="26"/>
    </row>
    <row r="453" spans="1:95" s="29" customFormat="1" ht="15" customHeight="1" x14ac:dyDescent="0.25">
      <c r="A453" s="32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  <c r="AH453" s="26"/>
      <c r="AI453" s="26"/>
      <c r="AJ453" s="26"/>
      <c r="AK453" s="26"/>
      <c r="AL453" s="26"/>
      <c r="AM453" s="26"/>
      <c r="AN453" s="26"/>
      <c r="AO453" s="26"/>
      <c r="AP453" s="26"/>
      <c r="AQ453" s="26"/>
      <c r="AR453" s="26"/>
      <c r="AS453" s="26"/>
      <c r="AT453" s="26"/>
      <c r="AU453" s="26"/>
      <c r="AV453" s="26"/>
      <c r="AW453" s="26"/>
      <c r="AX453" s="26"/>
      <c r="AY453" s="26"/>
      <c r="AZ453" s="26"/>
      <c r="BA453" s="26"/>
      <c r="BB453" s="26"/>
      <c r="BC453" s="26"/>
      <c r="BD453" s="26"/>
      <c r="BE453" s="26"/>
      <c r="BF453" s="26"/>
      <c r="BG453" s="26"/>
      <c r="BH453" s="26"/>
      <c r="BI453" s="26"/>
      <c r="BJ453" s="26"/>
      <c r="BK453" s="26"/>
      <c r="BL453" s="26"/>
      <c r="BM453" s="26"/>
      <c r="BN453" s="26"/>
      <c r="BO453" s="26"/>
      <c r="BP453" s="26"/>
      <c r="BQ453" s="26"/>
      <c r="BR453" s="26"/>
      <c r="BS453" s="26"/>
      <c r="BT453" s="26"/>
      <c r="BU453" s="26"/>
      <c r="BV453" s="26"/>
      <c r="BW453" s="26"/>
      <c r="BX453" s="26"/>
      <c r="BY453" s="26"/>
      <c r="BZ453" s="26"/>
      <c r="CA453" s="26"/>
      <c r="CB453" s="26"/>
      <c r="CC453" s="26"/>
      <c r="CD453" s="26"/>
      <c r="CE453" s="26"/>
      <c r="CF453" s="26"/>
      <c r="CG453" s="26"/>
      <c r="CH453" s="26"/>
      <c r="CI453" s="26"/>
      <c r="CJ453" s="26"/>
      <c r="CK453" s="26"/>
      <c r="CL453" s="26"/>
      <c r="CM453" s="26"/>
      <c r="CN453" s="26"/>
      <c r="CO453" s="26"/>
      <c r="CP453" s="26"/>
      <c r="CQ453" s="26"/>
    </row>
    <row r="454" spans="1:95" s="29" customFormat="1" ht="15" customHeight="1" x14ac:dyDescent="0.25">
      <c r="A454" s="32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  <c r="AH454" s="26"/>
      <c r="AI454" s="26"/>
      <c r="AJ454" s="26"/>
      <c r="AK454" s="26"/>
      <c r="AL454" s="26"/>
      <c r="AM454" s="26"/>
      <c r="AN454" s="26"/>
      <c r="AO454" s="26"/>
      <c r="AP454" s="26"/>
      <c r="AQ454" s="26"/>
      <c r="AR454" s="26"/>
      <c r="AS454" s="26"/>
      <c r="AT454" s="26"/>
      <c r="AU454" s="26"/>
      <c r="AV454" s="26"/>
      <c r="AW454" s="26"/>
      <c r="AX454" s="26"/>
      <c r="AY454" s="26"/>
      <c r="AZ454" s="26"/>
      <c r="BA454" s="26"/>
      <c r="BB454" s="26"/>
      <c r="BC454" s="26"/>
      <c r="BD454" s="26"/>
      <c r="BE454" s="26"/>
      <c r="BF454" s="26"/>
      <c r="BG454" s="26"/>
      <c r="BH454" s="26"/>
      <c r="BI454" s="26"/>
      <c r="BJ454" s="26"/>
      <c r="BK454" s="26"/>
      <c r="BL454" s="26"/>
      <c r="BM454" s="26"/>
      <c r="BN454" s="26"/>
      <c r="BO454" s="26"/>
      <c r="BP454" s="26"/>
      <c r="BQ454" s="26"/>
      <c r="BR454" s="26"/>
      <c r="BS454" s="26"/>
      <c r="BT454" s="26"/>
      <c r="BU454" s="26"/>
      <c r="BV454" s="26"/>
      <c r="BW454" s="26"/>
      <c r="BX454" s="26"/>
      <c r="BY454" s="26"/>
      <c r="BZ454" s="26"/>
      <c r="CA454" s="26"/>
      <c r="CB454" s="26"/>
      <c r="CC454" s="26"/>
      <c r="CD454" s="26"/>
      <c r="CE454" s="26"/>
      <c r="CF454" s="26"/>
      <c r="CG454" s="26"/>
      <c r="CH454" s="26"/>
      <c r="CI454" s="26"/>
      <c r="CJ454" s="26"/>
      <c r="CK454" s="26"/>
      <c r="CL454" s="26"/>
      <c r="CM454" s="26"/>
      <c r="CN454" s="26"/>
      <c r="CO454" s="26"/>
      <c r="CP454" s="26"/>
      <c r="CQ454" s="26"/>
    </row>
    <row r="455" spans="1:95" s="29" customFormat="1" ht="15" customHeight="1" x14ac:dyDescent="0.25">
      <c r="A455" s="32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  <c r="AH455" s="26"/>
      <c r="AI455" s="26"/>
      <c r="AJ455" s="26"/>
      <c r="AK455" s="26"/>
      <c r="AL455" s="26"/>
      <c r="AM455" s="26"/>
      <c r="AN455" s="26"/>
      <c r="AO455" s="26"/>
      <c r="AP455" s="26"/>
      <c r="AQ455" s="26"/>
      <c r="AR455" s="26"/>
      <c r="AS455" s="26"/>
      <c r="AT455" s="26"/>
      <c r="AU455" s="26"/>
      <c r="AV455" s="26"/>
      <c r="AW455" s="26"/>
      <c r="AX455" s="26"/>
      <c r="AY455" s="26"/>
      <c r="AZ455" s="26"/>
      <c r="BA455" s="26"/>
      <c r="BB455" s="26"/>
      <c r="BC455" s="26"/>
      <c r="BD455" s="26"/>
      <c r="BE455" s="26"/>
      <c r="BF455" s="26"/>
      <c r="BG455" s="26"/>
      <c r="BH455" s="26"/>
      <c r="BI455" s="26"/>
      <c r="BJ455" s="26"/>
      <c r="BK455" s="26"/>
      <c r="BL455" s="26"/>
      <c r="BM455" s="26"/>
      <c r="BN455" s="26"/>
      <c r="BO455" s="26"/>
      <c r="BP455" s="26"/>
      <c r="BQ455" s="26"/>
      <c r="BR455" s="26"/>
      <c r="BS455" s="26"/>
      <c r="BT455" s="26"/>
      <c r="BU455" s="26"/>
      <c r="BV455" s="26"/>
      <c r="BW455" s="26"/>
      <c r="BX455" s="26"/>
      <c r="BY455" s="26"/>
      <c r="BZ455" s="26"/>
      <c r="CA455" s="26"/>
      <c r="CB455" s="26"/>
      <c r="CC455" s="26"/>
      <c r="CD455" s="26"/>
      <c r="CE455" s="26"/>
      <c r="CF455" s="26"/>
      <c r="CG455" s="26"/>
      <c r="CH455" s="26"/>
      <c r="CI455" s="26"/>
      <c r="CJ455" s="26"/>
      <c r="CK455" s="26"/>
      <c r="CL455" s="26"/>
      <c r="CM455" s="26"/>
      <c r="CN455" s="26"/>
      <c r="CO455" s="26"/>
      <c r="CP455" s="26"/>
      <c r="CQ455" s="26"/>
    </row>
    <row r="456" spans="1:95" s="29" customFormat="1" ht="15" customHeight="1" x14ac:dyDescent="0.25">
      <c r="A456" s="32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  <c r="AH456" s="26"/>
      <c r="AI456" s="26"/>
      <c r="AJ456" s="26"/>
      <c r="AK456" s="26"/>
      <c r="AL456" s="26"/>
      <c r="AM456" s="26"/>
      <c r="AN456" s="26"/>
      <c r="AO456" s="26"/>
      <c r="AP456" s="26"/>
      <c r="AQ456" s="26"/>
      <c r="AR456" s="26"/>
      <c r="AS456" s="26"/>
      <c r="AT456" s="26"/>
      <c r="AU456" s="26"/>
      <c r="AV456" s="26"/>
      <c r="AW456" s="26"/>
      <c r="AX456" s="26"/>
      <c r="AY456" s="26"/>
      <c r="AZ456" s="26"/>
      <c r="BA456" s="26"/>
      <c r="BB456" s="26"/>
      <c r="BC456" s="26"/>
      <c r="BD456" s="26"/>
      <c r="BE456" s="26"/>
      <c r="BF456" s="26"/>
      <c r="BG456" s="26"/>
      <c r="BH456" s="26"/>
      <c r="BI456" s="26"/>
      <c r="BJ456" s="26"/>
      <c r="BK456" s="26"/>
      <c r="BL456" s="26"/>
      <c r="BM456" s="26"/>
      <c r="BN456" s="26"/>
      <c r="BO456" s="26"/>
      <c r="BP456" s="26"/>
      <c r="BQ456" s="26"/>
      <c r="BR456" s="26"/>
      <c r="BS456" s="26"/>
      <c r="BT456" s="26"/>
      <c r="BU456" s="26"/>
      <c r="BV456" s="26"/>
      <c r="BW456" s="26"/>
      <c r="BX456" s="26"/>
      <c r="BY456" s="26"/>
      <c r="BZ456" s="26"/>
      <c r="CA456" s="26"/>
      <c r="CB456" s="26"/>
      <c r="CC456" s="26"/>
      <c r="CD456" s="26"/>
      <c r="CE456" s="26"/>
      <c r="CF456" s="26"/>
      <c r="CG456" s="26"/>
      <c r="CH456" s="26"/>
      <c r="CI456" s="26"/>
      <c r="CJ456" s="26"/>
      <c r="CK456" s="26"/>
      <c r="CL456" s="26"/>
      <c r="CM456" s="26"/>
      <c r="CN456" s="26"/>
      <c r="CO456" s="26"/>
      <c r="CP456" s="26"/>
      <c r="CQ456" s="26"/>
    </row>
    <row r="457" spans="1:95" s="29" customFormat="1" ht="15" customHeight="1" x14ac:dyDescent="0.25">
      <c r="A457" s="32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  <c r="AH457" s="26"/>
      <c r="AI457" s="26"/>
      <c r="AJ457" s="26"/>
      <c r="AK457" s="26"/>
      <c r="AL457" s="26"/>
      <c r="AM457" s="26"/>
      <c r="AN457" s="26"/>
      <c r="AO457" s="26"/>
      <c r="AP457" s="26"/>
      <c r="AQ457" s="26"/>
      <c r="AR457" s="26"/>
      <c r="AS457" s="26"/>
      <c r="AT457" s="26"/>
      <c r="AU457" s="26"/>
      <c r="AV457" s="26"/>
      <c r="AW457" s="26"/>
      <c r="AX457" s="26"/>
      <c r="AY457" s="26"/>
      <c r="AZ457" s="26"/>
      <c r="BA457" s="26"/>
      <c r="BB457" s="26"/>
      <c r="BC457" s="26"/>
      <c r="BD457" s="26"/>
      <c r="BE457" s="26"/>
      <c r="BF457" s="26"/>
      <c r="BG457" s="26"/>
      <c r="BH457" s="26"/>
      <c r="BI457" s="26"/>
      <c r="BJ457" s="26"/>
      <c r="BK457" s="26"/>
      <c r="BL457" s="26"/>
      <c r="BM457" s="26"/>
      <c r="BN457" s="26"/>
      <c r="BO457" s="26"/>
      <c r="BP457" s="26"/>
      <c r="BQ457" s="26"/>
      <c r="BR457" s="26"/>
      <c r="BS457" s="26"/>
      <c r="BT457" s="26"/>
      <c r="BU457" s="26"/>
      <c r="BV457" s="26"/>
      <c r="BW457" s="26"/>
      <c r="BX457" s="26"/>
      <c r="BY457" s="26"/>
      <c r="BZ457" s="26"/>
      <c r="CA457" s="26"/>
      <c r="CB457" s="26"/>
      <c r="CC457" s="26"/>
      <c r="CD457" s="26"/>
      <c r="CE457" s="26"/>
      <c r="CF457" s="26"/>
      <c r="CG457" s="26"/>
      <c r="CH457" s="26"/>
      <c r="CI457" s="26"/>
      <c r="CJ457" s="26"/>
      <c r="CK457" s="26"/>
      <c r="CL457" s="26"/>
      <c r="CM457" s="26"/>
      <c r="CN457" s="26"/>
      <c r="CO457" s="26"/>
      <c r="CP457" s="26"/>
      <c r="CQ457" s="26"/>
    </row>
    <row r="458" spans="1:95" s="29" customFormat="1" ht="15" customHeight="1" x14ac:dyDescent="0.25">
      <c r="A458" s="32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  <c r="AH458" s="26"/>
      <c r="AI458" s="26"/>
      <c r="AJ458" s="26"/>
      <c r="AK458" s="26"/>
      <c r="AL458" s="26"/>
      <c r="AM458" s="26"/>
      <c r="AN458" s="26"/>
      <c r="AO458" s="26"/>
      <c r="AP458" s="26"/>
      <c r="AQ458" s="26"/>
      <c r="AR458" s="26"/>
      <c r="AS458" s="26"/>
      <c r="AT458" s="26"/>
      <c r="AU458" s="26"/>
      <c r="AV458" s="26"/>
      <c r="AW458" s="26"/>
      <c r="AX458" s="26"/>
      <c r="AY458" s="26"/>
      <c r="AZ458" s="26"/>
      <c r="BA458" s="26"/>
      <c r="BB458" s="26"/>
      <c r="BC458" s="26"/>
      <c r="BD458" s="26"/>
      <c r="BE458" s="26"/>
      <c r="BF458" s="26"/>
      <c r="BG458" s="26"/>
      <c r="BH458" s="26"/>
      <c r="BI458" s="26"/>
      <c r="BJ458" s="26"/>
      <c r="BK458" s="26"/>
      <c r="BL458" s="26"/>
      <c r="BM458" s="26"/>
      <c r="BN458" s="26"/>
      <c r="BO458" s="26"/>
      <c r="BP458" s="26"/>
      <c r="BQ458" s="26"/>
      <c r="BR458" s="26"/>
      <c r="BS458" s="26"/>
      <c r="BT458" s="26"/>
      <c r="BU458" s="26"/>
      <c r="BV458" s="26"/>
      <c r="BW458" s="26"/>
      <c r="BX458" s="26"/>
      <c r="BY458" s="26"/>
      <c r="BZ458" s="26"/>
      <c r="CA458" s="26"/>
      <c r="CB458" s="26"/>
      <c r="CC458" s="26"/>
      <c r="CD458" s="26"/>
      <c r="CE458" s="26"/>
      <c r="CF458" s="26"/>
      <c r="CG458" s="26"/>
      <c r="CH458" s="26"/>
      <c r="CI458" s="26"/>
      <c r="CJ458" s="26"/>
      <c r="CK458" s="26"/>
      <c r="CL458" s="26"/>
      <c r="CM458" s="26"/>
      <c r="CN458" s="26"/>
      <c r="CO458" s="26"/>
      <c r="CP458" s="26"/>
      <c r="CQ458" s="26"/>
    </row>
    <row r="459" spans="1:95" s="29" customFormat="1" ht="15" customHeight="1" x14ac:dyDescent="0.25">
      <c r="A459" s="32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  <c r="AH459" s="26"/>
      <c r="AI459" s="26"/>
      <c r="AJ459" s="26"/>
      <c r="AK459" s="26"/>
      <c r="AL459" s="26"/>
      <c r="AM459" s="26"/>
      <c r="AN459" s="26"/>
      <c r="AO459" s="26"/>
      <c r="AP459" s="26"/>
      <c r="AQ459" s="26"/>
      <c r="AR459" s="26"/>
      <c r="AS459" s="26"/>
      <c r="AT459" s="26"/>
      <c r="AU459" s="26"/>
      <c r="AV459" s="26"/>
      <c r="AW459" s="26"/>
      <c r="AX459" s="26"/>
      <c r="AY459" s="26"/>
      <c r="AZ459" s="26"/>
      <c r="BA459" s="26"/>
      <c r="BB459" s="26"/>
      <c r="BC459" s="26"/>
      <c r="BD459" s="26"/>
      <c r="BE459" s="26"/>
      <c r="BF459" s="26"/>
      <c r="BG459" s="26"/>
      <c r="BH459" s="26"/>
      <c r="BI459" s="26"/>
      <c r="BJ459" s="26"/>
      <c r="BK459" s="26"/>
      <c r="BL459" s="26"/>
      <c r="BM459" s="26"/>
      <c r="BN459" s="26"/>
      <c r="BO459" s="26"/>
      <c r="BP459" s="26"/>
      <c r="BQ459" s="26"/>
      <c r="BR459" s="26"/>
      <c r="BS459" s="26"/>
      <c r="BT459" s="26"/>
      <c r="BU459" s="26"/>
      <c r="BV459" s="26"/>
      <c r="BW459" s="26"/>
      <c r="BX459" s="26"/>
      <c r="BY459" s="26"/>
      <c r="BZ459" s="26"/>
      <c r="CA459" s="26"/>
      <c r="CB459" s="26"/>
      <c r="CC459" s="26"/>
      <c r="CD459" s="26"/>
      <c r="CE459" s="26"/>
      <c r="CF459" s="26"/>
      <c r="CG459" s="26"/>
      <c r="CH459" s="26"/>
      <c r="CI459" s="26"/>
      <c r="CJ459" s="26"/>
      <c r="CK459" s="26"/>
      <c r="CL459" s="26"/>
      <c r="CM459" s="26"/>
      <c r="CN459" s="26"/>
      <c r="CO459" s="26"/>
      <c r="CP459" s="26"/>
      <c r="CQ459" s="26"/>
    </row>
    <row r="460" spans="1:95" s="29" customFormat="1" ht="15" customHeight="1" x14ac:dyDescent="0.25">
      <c r="A460" s="32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  <c r="AJ460" s="26"/>
      <c r="AK460" s="26"/>
      <c r="AL460" s="26"/>
      <c r="AM460" s="26"/>
      <c r="AN460" s="26"/>
      <c r="AO460" s="26"/>
      <c r="AP460" s="26"/>
      <c r="AQ460" s="26"/>
      <c r="AR460" s="26"/>
      <c r="AS460" s="26"/>
      <c r="AT460" s="26"/>
      <c r="AU460" s="26"/>
      <c r="AV460" s="26"/>
      <c r="AW460" s="26"/>
      <c r="AX460" s="26"/>
      <c r="AY460" s="26"/>
      <c r="AZ460" s="26"/>
      <c r="BA460" s="26"/>
      <c r="BB460" s="26"/>
      <c r="BC460" s="26"/>
      <c r="BD460" s="26"/>
      <c r="BE460" s="26"/>
      <c r="BF460" s="26"/>
      <c r="BG460" s="26"/>
      <c r="BH460" s="26"/>
      <c r="BI460" s="26"/>
      <c r="BJ460" s="26"/>
      <c r="BK460" s="26"/>
      <c r="BL460" s="26"/>
      <c r="BM460" s="26"/>
      <c r="BN460" s="26"/>
      <c r="BO460" s="26"/>
      <c r="BP460" s="26"/>
      <c r="BQ460" s="26"/>
      <c r="BR460" s="26"/>
      <c r="BS460" s="26"/>
      <c r="BT460" s="26"/>
      <c r="BU460" s="26"/>
      <c r="BV460" s="26"/>
      <c r="BW460" s="26"/>
      <c r="BX460" s="26"/>
      <c r="BY460" s="26"/>
      <c r="BZ460" s="26"/>
      <c r="CA460" s="26"/>
      <c r="CB460" s="26"/>
      <c r="CC460" s="26"/>
      <c r="CD460" s="26"/>
      <c r="CE460" s="26"/>
      <c r="CF460" s="26"/>
      <c r="CG460" s="26"/>
      <c r="CH460" s="26"/>
      <c r="CI460" s="26"/>
      <c r="CJ460" s="26"/>
      <c r="CK460" s="26"/>
      <c r="CL460" s="26"/>
      <c r="CM460" s="26"/>
      <c r="CN460" s="26"/>
      <c r="CO460" s="26"/>
      <c r="CP460" s="26"/>
      <c r="CQ460" s="26"/>
    </row>
    <row r="461" spans="1:95" s="29" customFormat="1" ht="15" customHeight="1" x14ac:dyDescent="0.25">
      <c r="A461" s="32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  <c r="AJ461" s="26"/>
      <c r="AK461" s="26"/>
      <c r="AL461" s="26"/>
      <c r="AM461" s="26"/>
      <c r="AN461" s="26"/>
      <c r="AO461" s="26"/>
      <c r="AP461" s="26"/>
      <c r="AQ461" s="26"/>
      <c r="AR461" s="26"/>
      <c r="AS461" s="26"/>
      <c r="AT461" s="26"/>
      <c r="AU461" s="26"/>
      <c r="AV461" s="26"/>
      <c r="AW461" s="26"/>
      <c r="AX461" s="26"/>
      <c r="AY461" s="26"/>
      <c r="AZ461" s="26"/>
      <c r="BA461" s="26"/>
      <c r="BB461" s="26"/>
      <c r="BC461" s="26"/>
      <c r="BD461" s="26"/>
      <c r="BE461" s="26"/>
      <c r="BF461" s="26"/>
      <c r="BG461" s="26"/>
      <c r="BH461" s="26"/>
      <c r="BI461" s="26"/>
      <c r="BJ461" s="26"/>
      <c r="BK461" s="26"/>
      <c r="BL461" s="26"/>
      <c r="BM461" s="26"/>
      <c r="BN461" s="26"/>
      <c r="BO461" s="26"/>
      <c r="BP461" s="26"/>
      <c r="BQ461" s="26"/>
      <c r="BR461" s="26"/>
      <c r="BS461" s="26"/>
      <c r="BT461" s="26"/>
      <c r="BU461" s="26"/>
      <c r="BV461" s="26"/>
      <c r="BW461" s="26"/>
      <c r="BX461" s="26"/>
      <c r="BY461" s="26"/>
      <c r="BZ461" s="26"/>
      <c r="CA461" s="26"/>
      <c r="CB461" s="26"/>
      <c r="CC461" s="26"/>
      <c r="CD461" s="26"/>
      <c r="CE461" s="26"/>
      <c r="CF461" s="26"/>
      <c r="CG461" s="26"/>
      <c r="CH461" s="26"/>
      <c r="CI461" s="26"/>
      <c r="CJ461" s="26"/>
      <c r="CK461" s="26"/>
      <c r="CL461" s="26"/>
      <c r="CM461" s="26"/>
      <c r="CN461" s="26"/>
      <c r="CO461" s="26"/>
      <c r="CP461" s="26"/>
      <c r="CQ461" s="26"/>
    </row>
    <row r="462" spans="1:95" s="29" customFormat="1" ht="15" customHeight="1" x14ac:dyDescent="0.25">
      <c r="A462" s="32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  <c r="AH462" s="26"/>
      <c r="AI462" s="26"/>
      <c r="AJ462" s="26"/>
      <c r="AK462" s="26"/>
      <c r="AL462" s="26"/>
      <c r="AM462" s="26"/>
      <c r="AN462" s="26"/>
      <c r="AO462" s="26"/>
      <c r="AP462" s="26"/>
      <c r="AQ462" s="26"/>
      <c r="AR462" s="26"/>
      <c r="AS462" s="26"/>
      <c r="AT462" s="26"/>
      <c r="AU462" s="26"/>
      <c r="AV462" s="26"/>
      <c r="AW462" s="26"/>
      <c r="AX462" s="26"/>
      <c r="AY462" s="26"/>
      <c r="AZ462" s="26"/>
      <c r="BA462" s="26"/>
      <c r="BB462" s="26"/>
      <c r="BC462" s="26"/>
      <c r="BD462" s="26"/>
      <c r="BE462" s="26"/>
      <c r="BF462" s="26"/>
      <c r="BG462" s="26"/>
      <c r="BH462" s="26"/>
      <c r="BI462" s="26"/>
      <c r="BJ462" s="26"/>
      <c r="BK462" s="26"/>
      <c r="BL462" s="26"/>
      <c r="BM462" s="26"/>
      <c r="BN462" s="26"/>
      <c r="BO462" s="26"/>
      <c r="BP462" s="26"/>
      <c r="BQ462" s="26"/>
      <c r="BR462" s="26"/>
      <c r="BS462" s="26"/>
      <c r="BT462" s="26"/>
      <c r="BU462" s="26"/>
      <c r="BV462" s="26"/>
      <c r="BW462" s="26"/>
      <c r="BX462" s="26"/>
      <c r="BY462" s="26"/>
      <c r="BZ462" s="26"/>
      <c r="CA462" s="26"/>
      <c r="CB462" s="26"/>
      <c r="CC462" s="26"/>
      <c r="CD462" s="26"/>
      <c r="CE462" s="26"/>
      <c r="CF462" s="26"/>
      <c r="CG462" s="26"/>
      <c r="CH462" s="26"/>
      <c r="CI462" s="26"/>
      <c r="CJ462" s="26"/>
      <c r="CK462" s="26"/>
      <c r="CL462" s="26"/>
      <c r="CM462" s="26"/>
      <c r="CN462" s="26"/>
      <c r="CO462" s="26"/>
      <c r="CP462" s="26"/>
      <c r="CQ462" s="26"/>
    </row>
    <row r="463" spans="1:95" s="29" customFormat="1" ht="15" customHeight="1" x14ac:dyDescent="0.25">
      <c r="A463" s="32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  <c r="AJ463" s="26"/>
      <c r="AK463" s="26"/>
      <c r="AL463" s="26"/>
      <c r="AM463" s="26"/>
      <c r="AN463" s="26"/>
      <c r="AO463" s="26"/>
      <c r="AP463" s="26"/>
      <c r="AQ463" s="26"/>
      <c r="AR463" s="26"/>
      <c r="AS463" s="26"/>
      <c r="AT463" s="26"/>
      <c r="AU463" s="26"/>
      <c r="AV463" s="26"/>
      <c r="AW463" s="26"/>
      <c r="AX463" s="26"/>
      <c r="AY463" s="26"/>
      <c r="AZ463" s="26"/>
      <c r="BA463" s="26"/>
      <c r="BB463" s="26"/>
      <c r="BC463" s="26"/>
      <c r="BD463" s="26"/>
      <c r="BE463" s="26"/>
      <c r="BF463" s="26"/>
      <c r="BG463" s="26"/>
      <c r="BH463" s="26"/>
      <c r="BI463" s="26"/>
      <c r="BJ463" s="26"/>
      <c r="BK463" s="26"/>
      <c r="BL463" s="26"/>
      <c r="BM463" s="26"/>
      <c r="BN463" s="26"/>
      <c r="BO463" s="26"/>
      <c r="BP463" s="26"/>
      <c r="BQ463" s="26"/>
      <c r="BR463" s="26"/>
      <c r="BS463" s="26"/>
      <c r="BT463" s="26"/>
      <c r="BU463" s="26"/>
      <c r="BV463" s="26"/>
      <c r="BW463" s="26"/>
      <c r="BX463" s="26"/>
      <c r="BY463" s="26"/>
      <c r="BZ463" s="26"/>
      <c r="CA463" s="26"/>
      <c r="CB463" s="26"/>
      <c r="CC463" s="26"/>
      <c r="CD463" s="26"/>
      <c r="CE463" s="26"/>
      <c r="CF463" s="26"/>
      <c r="CG463" s="26"/>
      <c r="CH463" s="26"/>
      <c r="CI463" s="26"/>
      <c r="CJ463" s="26"/>
      <c r="CK463" s="26"/>
      <c r="CL463" s="26"/>
      <c r="CM463" s="26"/>
      <c r="CN463" s="26"/>
      <c r="CO463" s="26"/>
      <c r="CP463" s="26"/>
      <c r="CQ463" s="26"/>
    </row>
    <row r="464" spans="1:95" s="29" customFormat="1" ht="15" customHeight="1" x14ac:dyDescent="0.25">
      <c r="A464" s="32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  <c r="AH464" s="26"/>
      <c r="AI464" s="26"/>
      <c r="AJ464" s="26"/>
      <c r="AK464" s="26"/>
      <c r="AL464" s="26"/>
      <c r="AM464" s="26"/>
      <c r="AN464" s="26"/>
      <c r="AO464" s="26"/>
      <c r="AP464" s="26"/>
      <c r="AQ464" s="26"/>
      <c r="AR464" s="26"/>
      <c r="AS464" s="26"/>
      <c r="AT464" s="26"/>
      <c r="AU464" s="26"/>
      <c r="AV464" s="26"/>
      <c r="AW464" s="26"/>
      <c r="AX464" s="26"/>
      <c r="AY464" s="26"/>
      <c r="AZ464" s="26"/>
      <c r="BA464" s="26"/>
      <c r="BB464" s="26"/>
      <c r="BC464" s="26"/>
      <c r="BD464" s="26"/>
      <c r="BE464" s="26"/>
      <c r="BF464" s="26"/>
      <c r="BG464" s="26"/>
      <c r="BH464" s="26"/>
      <c r="BI464" s="26"/>
      <c r="BJ464" s="26"/>
      <c r="BK464" s="26"/>
      <c r="BL464" s="26"/>
      <c r="BM464" s="26"/>
      <c r="BN464" s="26"/>
      <c r="BO464" s="26"/>
      <c r="BP464" s="26"/>
      <c r="BQ464" s="26"/>
      <c r="BR464" s="26"/>
      <c r="BS464" s="26"/>
      <c r="BT464" s="26"/>
      <c r="BU464" s="26"/>
      <c r="BV464" s="26"/>
      <c r="BW464" s="26"/>
      <c r="BX464" s="26"/>
      <c r="BY464" s="26"/>
      <c r="BZ464" s="26"/>
      <c r="CA464" s="26"/>
      <c r="CB464" s="26"/>
      <c r="CC464" s="26"/>
      <c r="CD464" s="26"/>
      <c r="CE464" s="26"/>
      <c r="CF464" s="26"/>
      <c r="CG464" s="26"/>
      <c r="CH464" s="26"/>
      <c r="CI464" s="26"/>
      <c r="CJ464" s="26"/>
      <c r="CK464" s="26"/>
      <c r="CL464" s="26"/>
      <c r="CM464" s="26"/>
      <c r="CN464" s="26"/>
      <c r="CO464" s="26"/>
      <c r="CP464" s="26"/>
      <c r="CQ464" s="26"/>
    </row>
    <row r="465" spans="1:95" s="29" customFormat="1" ht="15" customHeight="1" x14ac:dyDescent="0.25">
      <c r="A465" s="32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  <c r="AH465" s="26"/>
      <c r="AI465" s="26"/>
      <c r="AJ465" s="26"/>
      <c r="AK465" s="26"/>
      <c r="AL465" s="26"/>
      <c r="AM465" s="26"/>
      <c r="AN465" s="26"/>
      <c r="AO465" s="26"/>
      <c r="AP465" s="26"/>
      <c r="AQ465" s="26"/>
      <c r="AR465" s="26"/>
      <c r="AS465" s="26"/>
      <c r="AT465" s="26"/>
      <c r="AU465" s="26"/>
      <c r="AV465" s="26"/>
      <c r="AW465" s="26"/>
      <c r="AX465" s="26"/>
      <c r="AY465" s="26"/>
      <c r="AZ465" s="26"/>
      <c r="BA465" s="26"/>
      <c r="BB465" s="26"/>
      <c r="BC465" s="26"/>
      <c r="BD465" s="26"/>
      <c r="BE465" s="26"/>
      <c r="BF465" s="26"/>
      <c r="BG465" s="26"/>
      <c r="BH465" s="26"/>
      <c r="BI465" s="26"/>
      <c r="BJ465" s="26"/>
      <c r="BK465" s="26"/>
      <c r="BL465" s="26"/>
      <c r="BM465" s="26"/>
      <c r="BN465" s="26"/>
      <c r="BO465" s="26"/>
      <c r="BP465" s="26"/>
      <c r="BQ465" s="26"/>
      <c r="BR465" s="26"/>
      <c r="BS465" s="26"/>
      <c r="BT465" s="26"/>
      <c r="BU465" s="26"/>
      <c r="BV465" s="26"/>
      <c r="BW465" s="26"/>
      <c r="BX465" s="26"/>
      <c r="BY465" s="26"/>
      <c r="BZ465" s="26"/>
      <c r="CA465" s="26"/>
      <c r="CB465" s="26"/>
      <c r="CC465" s="26"/>
      <c r="CD465" s="26"/>
      <c r="CE465" s="26"/>
      <c r="CF465" s="26"/>
      <c r="CG465" s="26"/>
      <c r="CH465" s="26"/>
      <c r="CI465" s="26"/>
      <c r="CJ465" s="26"/>
      <c r="CK465" s="26"/>
      <c r="CL465" s="26"/>
      <c r="CM465" s="26"/>
      <c r="CN465" s="26"/>
      <c r="CO465" s="26"/>
      <c r="CP465" s="26"/>
      <c r="CQ465" s="26"/>
    </row>
    <row r="466" spans="1:95" s="29" customFormat="1" ht="15" customHeight="1" x14ac:dyDescent="0.25">
      <c r="A466" s="32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  <c r="AH466" s="26"/>
      <c r="AI466" s="26"/>
      <c r="AJ466" s="26"/>
      <c r="AK466" s="26"/>
      <c r="AL466" s="26"/>
      <c r="AM466" s="26"/>
      <c r="AN466" s="26"/>
      <c r="AO466" s="26"/>
      <c r="AP466" s="26"/>
      <c r="AQ466" s="26"/>
      <c r="AR466" s="26"/>
      <c r="AS466" s="26"/>
      <c r="AT466" s="26"/>
      <c r="AU466" s="26"/>
      <c r="AV466" s="26"/>
      <c r="AW466" s="26"/>
      <c r="AX466" s="26"/>
      <c r="AY466" s="26"/>
      <c r="AZ466" s="26"/>
      <c r="BA466" s="26"/>
      <c r="BB466" s="26"/>
      <c r="BC466" s="26"/>
      <c r="BD466" s="26"/>
      <c r="BE466" s="26"/>
      <c r="BF466" s="26"/>
      <c r="BG466" s="26"/>
      <c r="BH466" s="26"/>
      <c r="BI466" s="26"/>
      <c r="BJ466" s="26"/>
      <c r="BK466" s="26"/>
      <c r="BL466" s="26"/>
      <c r="BM466" s="26"/>
      <c r="BN466" s="26"/>
      <c r="BO466" s="26"/>
      <c r="BP466" s="26"/>
      <c r="BQ466" s="26"/>
      <c r="BR466" s="26"/>
      <c r="BS466" s="26"/>
      <c r="BT466" s="26"/>
      <c r="BU466" s="26"/>
      <c r="BV466" s="26"/>
      <c r="BW466" s="26"/>
      <c r="BX466" s="26"/>
      <c r="BY466" s="26"/>
      <c r="BZ466" s="26"/>
      <c r="CA466" s="26"/>
      <c r="CB466" s="26"/>
      <c r="CC466" s="26"/>
      <c r="CD466" s="26"/>
      <c r="CE466" s="26"/>
      <c r="CF466" s="26"/>
      <c r="CG466" s="26"/>
      <c r="CH466" s="26"/>
      <c r="CI466" s="26"/>
      <c r="CJ466" s="26"/>
      <c r="CK466" s="26"/>
      <c r="CL466" s="26"/>
      <c r="CM466" s="26"/>
      <c r="CN466" s="26"/>
      <c r="CO466" s="26"/>
      <c r="CP466" s="26"/>
      <c r="CQ466" s="26"/>
    </row>
    <row r="467" spans="1:95" s="29" customFormat="1" ht="15" customHeight="1" x14ac:dyDescent="0.25">
      <c r="A467" s="32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  <c r="AH467" s="26"/>
      <c r="AI467" s="26"/>
      <c r="AJ467" s="26"/>
      <c r="AK467" s="26"/>
      <c r="AL467" s="26"/>
      <c r="AM467" s="26"/>
      <c r="AN467" s="26"/>
      <c r="AO467" s="26"/>
      <c r="AP467" s="26"/>
      <c r="AQ467" s="26"/>
      <c r="AR467" s="26"/>
      <c r="AS467" s="26"/>
      <c r="AT467" s="26"/>
      <c r="AU467" s="26"/>
      <c r="AV467" s="26"/>
      <c r="AW467" s="26"/>
      <c r="AX467" s="26"/>
      <c r="AY467" s="26"/>
      <c r="AZ467" s="26"/>
      <c r="BA467" s="26"/>
      <c r="BB467" s="26"/>
      <c r="BC467" s="26"/>
      <c r="BD467" s="26"/>
      <c r="BE467" s="26"/>
      <c r="BF467" s="26"/>
      <c r="BG467" s="26"/>
      <c r="BH467" s="26"/>
      <c r="BI467" s="26"/>
      <c r="BJ467" s="26"/>
      <c r="BK467" s="26"/>
      <c r="BL467" s="26"/>
      <c r="BM467" s="26"/>
      <c r="BN467" s="26"/>
      <c r="BO467" s="26"/>
      <c r="BP467" s="26"/>
      <c r="BQ467" s="26"/>
      <c r="BR467" s="26"/>
      <c r="BS467" s="26"/>
      <c r="BT467" s="26"/>
      <c r="BU467" s="26"/>
      <c r="BV467" s="26"/>
      <c r="BW467" s="26"/>
      <c r="BX467" s="26"/>
      <c r="BY467" s="26"/>
      <c r="BZ467" s="26"/>
      <c r="CA467" s="26"/>
      <c r="CB467" s="26"/>
      <c r="CC467" s="26"/>
      <c r="CD467" s="26"/>
      <c r="CE467" s="26"/>
      <c r="CF467" s="26"/>
      <c r="CG467" s="26"/>
      <c r="CH467" s="26"/>
      <c r="CI467" s="26"/>
      <c r="CJ467" s="26"/>
      <c r="CK467" s="26"/>
      <c r="CL467" s="26"/>
      <c r="CM467" s="26"/>
      <c r="CN467" s="26"/>
      <c r="CO467" s="26"/>
      <c r="CP467" s="26"/>
      <c r="CQ467" s="26"/>
    </row>
    <row r="468" spans="1:95" s="29" customFormat="1" ht="15" customHeight="1" x14ac:dyDescent="0.25">
      <c r="A468" s="32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  <c r="AH468" s="26"/>
      <c r="AI468" s="26"/>
      <c r="AJ468" s="26"/>
      <c r="AK468" s="26"/>
      <c r="AL468" s="26"/>
      <c r="AM468" s="26"/>
      <c r="AN468" s="26"/>
      <c r="AO468" s="26"/>
      <c r="AP468" s="26"/>
      <c r="AQ468" s="26"/>
      <c r="AR468" s="26"/>
      <c r="AS468" s="26"/>
      <c r="AT468" s="26"/>
      <c r="AU468" s="26"/>
      <c r="AV468" s="26"/>
      <c r="AW468" s="26"/>
      <c r="AX468" s="26"/>
      <c r="AY468" s="26"/>
      <c r="AZ468" s="26"/>
      <c r="BA468" s="26"/>
      <c r="BB468" s="26"/>
      <c r="BC468" s="26"/>
      <c r="BD468" s="26"/>
      <c r="BE468" s="26"/>
      <c r="BF468" s="26"/>
      <c r="BG468" s="26"/>
      <c r="BH468" s="26"/>
      <c r="BI468" s="26"/>
      <c r="BJ468" s="26"/>
      <c r="BK468" s="26"/>
      <c r="BL468" s="26"/>
      <c r="BM468" s="26"/>
      <c r="BN468" s="26"/>
      <c r="BO468" s="26"/>
      <c r="BP468" s="26"/>
      <c r="BQ468" s="26"/>
      <c r="BR468" s="26"/>
      <c r="BS468" s="26"/>
      <c r="BT468" s="26"/>
      <c r="BU468" s="26"/>
      <c r="BV468" s="26"/>
      <c r="BW468" s="26"/>
      <c r="BX468" s="26"/>
      <c r="BY468" s="26"/>
      <c r="BZ468" s="26"/>
      <c r="CA468" s="26"/>
      <c r="CB468" s="26"/>
      <c r="CC468" s="26"/>
      <c r="CD468" s="26"/>
      <c r="CE468" s="26"/>
      <c r="CF468" s="26"/>
      <c r="CG468" s="26"/>
      <c r="CH468" s="26"/>
      <c r="CI468" s="26"/>
      <c r="CJ468" s="26"/>
      <c r="CK468" s="26"/>
      <c r="CL468" s="26"/>
      <c r="CM468" s="26"/>
      <c r="CN468" s="26"/>
      <c r="CO468" s="26"/>
      <c r="CP468" s="26"/>
      <c r="CQ468" s="26"/>
    </row>
    <row r="469" spans="1:95" s="29" customFormat="1" ht="15" customHeight="1" x14ac:dyDescent="0.25">
      <c r="A469" s="32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  <c r="AH469" s="26"/>
      <c r="AI469" s="26"/>
      <c r="AJ469" s="26"/>
      <c r="AK469" s="26"/>
      <c r="AL469" s="26"/>
      <c r="AM469" s="26"/>
      <c r="AN469" s="26"/>
      <c r="AO469" s="26"/>
      <c r="AP469" s="26"/>
      <c r="AQ469" s="26"/>
      <c r="AR469" s="26"/>
      <c r="AS469" s="26"/>
      <c r="AT469" s="26"/>
      <c r="AU469" s="26"/>
      <c r="AV469" s="26"/>
      <c r="AW469" s="26"/>
      <c r="AX469" s="26"/>
      <c r="AY469" s="26"/>
      <c r="AZ469" s="26"/>
      <c r="BA469" s="26"/>
      <c r="BB469" s="26"/>
      <c r="BC469" s="26"/>
      <c r="BD469" s="26"/>
      <c r="BE469" s="26"/>
      <c r="BF469" s="26"/>
      <c r="BG469" s="26"/>
      <c r="BH469" s="26"/>
      <c r="BI469" s="26"/>
      <c r="BJ469" s="26"/>
      <c r="BK469" s="26"/>
      <c r="BL469" s="26"/>
      <c r="BM469" s="26"/>
      <c r="BN469" s="26"/>
      <c r="BO469" s="26"/>
      <c r="BP469" s="26"/>
      <c r="BQ469" s="26"/>
      <c r="BR469" s="26"/>
      <c r="BS469" s="26"/>
      <c r="BT469" s="26"/>
      <c r="BU469" s="26"/>
      <c r="BV469" s="26"/>
      <c r="BW469" s="26"/>
      <c r="BX469" s="26"/>
      <c r="BY469" s="26"/>
      <c r="BZ469" s="26"/>
      <c r="CA469" s="26"/>
      <c r="CB469" s="26"/>
      <c r="CC469" s="26"/>
      <c r="CD469" s="26"/>
      <c r="CE469" s="26"/>
      <c r="CF469" s="26"/>
      <c r="CG469" s="26"/>
      <c r="CH469" s="26"/>
      <c r="CI469" s="26"/>
      <c r="CJ469" s="26"/>
      <c r="CK469" s="26"/>
      <c r="CL469" s="26"/>
      <c r="CM469" s="26"/>
      <c r="CN469" s="26"/>
      <c r="CO469" s="26"/>
      <c r="CP469" s="26"/>
      <c r="CQ469" s="26"/>
    </row>
    <row r="470" spans="1:95" s="29" customFormat="1" ht="15" customHeight="1" x14ac:dyDescent="0.25">
      <c r="A470" s="32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  <c r="AH470" s="26"/>
      <c r="AI470" s="26"/>
      <c r="AJ470" s="26"/>
      <c r="AK470" s="26"/>
      <c r="AL470" s="26"/>
      <c r="AM470" s="26"/>
      <c r="AN470" s="26"/>
      <c r="AO470" s="26"/>
      <c r="AP470" s="26"/>
      <c r="AQ470" s="26"/>
      <c r="AR470" s="26"/>
      <c r="AS470" s="26"/>
      <c r="AT470" s="26"/>
      <c r="AU470" s="26"/>
      <c r="AV470" s="26"/>
      <c r="AW470" s="26"/>
      <c r="AX470" s="26"/>
      <c r="AY470" s="26"/>
      <c r="AZ470" s="26"/>
      <c r="BA470" s="26"/>
      <c r="BB470" s="26"/>
      <c r="BC470" s="26"/>
      <c r="BD470" s="26"/>
      <c r="BE470" s="26"/>
      <c r="BF470" s="26"/>
      <c r="BG470" s="26"/>
      <c r="BH470" s="26"/>
      <c r="BI470" s="26"/>
      <c r="BJ470" s="26"/>
      <c r="BK470" s="26"/>
      <c r="BL470" s="26"/>
      <c r="BM470" s="26"/>
      <c r="BN470" s="26"/>
      <c r="BO470" s="26"/>
      <c r="BP470" s="26"/>
      <c r="BQ470" s="26"/>
      <c r="BR470" s="26"/>
      <c r="BS470" s="26"/>
      <c r="BT470" s="26"/>
      <c r="BU470" s="26"/>
      <c r="BV470" s="26"/>
      <c r="BW470" s="26"/>
      <c r="BX470" s="26"/>
      <c r="BY470" s="26"/>
      <c r="BZ470" s="26"/>
      <c r="CA470" s="26"/>
      <c r="CB470" s="26"/>
      <c r="CC470" s="26"/>
      <c r="CD470" s="26"/>
      <c r="CE470" s="26"/>
      <c r="CF470" s="26"/>
      <c r="CG470" s="26"/>
      <c r="CH470" s="26"/>
      <c r="CI470" s="26"/>
      <c r="CJ470" s="26"/>
      <c r="CK470" s="26"/>
      <c r="CL470" s="26"/>
      <c r="CM470" s="26"/>
      <c r="CN470" s="26"/>
      <c r="CO470" s="26"/>
      <c r="CP470" s="26"/>
      <c r="CQ470" s="26"/>
    </row>
    <row r="471" spans="1:95" s="29" customFormat="1" ht="15" customHeight="1" x14ac:dyDescent="0.25">
      <c r="A471" s="32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  <c r="AH471" s="26"/>
      <c r="AI471" s="26"/>
      <c r="AJ471" s="26"/>
      <c r="AK471" s="26"/>
      <c r="AL471" s="26"/>
      <c r="AM471" s="26"/>
      <c r="AN471" s="26"/>
      <c r="AO471" s="26"/>
      <c r="AP471" s="26"/>
      <c r="AQ471" s="26"/>
      <c r="AR471" s="26"/>
      <c r="AS471" s="26"/>
      <c r="AT471" s="26"/>
      <c r="AU471" s="26"/>
      <c r="AV471" s="26"/>
      <c r="AW471" s="26"/>
      <c r="AX471" s="26"/>
      <c r="AY471" s="26"/>
      <c r="AZ471" s="26"/>
      <c r="BA471" s="26"/>
      <c r="BB471" s="26"/>
      <c r="BC471" s="26"/>
      <c r="BD471" s="26"/>
      <c r="BE471" s="26"/>
      <c r="BF471" s="26"/>
      <c r="BG471" s="26"/>
      <c r="BH471" s="26"/>
      <c r="BI471" s="26"/>
      <c r="BJ471" s="26"/>
      <c r="BK471" s="26"/>
      <c r="BL471" s="26"/>
      <c r="BM471" s="26"/>
      <c r="BN471" s="26"/>
      <c r="BO471" s="26"/>
      <c r="BP471" s="26"/>
      <c r="BQ471" s="26"/>
      <c r="BR471" s="26"/>
      <c r="BS471" s="26"/>
      <c r="BT471" s="26"/>
      <c r="BU471" s="26"/>
      <c r="BV471" s="26"/>
      <c r="BW471" s="26"/>
      <c r="BX471" s="26"/>
      <c r="BY471" s="26"/>
      <c r="BZ471" s="26"/>
      <c r="CA471" s="26"/>
      <c r="CB471" s="26"/>
      <c r="CC471" s="26"/>
      <c r="CD471" s="26"/>
      <c r="CE471" s="26"/>
      <c r="CF471" s="26"/>
      <c r="CG471" s="26"/>
      <c r="CH471" s="26"/>
      <c r="CI471" s="26"/>
      <c r="CJ471" s="26"/>
      <c r="CK471" s="26"/>
      <c r="CL471" s="26"/>
      <c r="CM471" s="26"/>
      <c r="CN471" s="26"/>
      <c r="CO471" s="26"/>
      <c r="CP471" s="26"/>
      <c r="CQ471" s="26"/>
    </row>
    <row r="472" spans="1:95" s="29" customFormat="1" ht="15" customHeight="1" x14ac:dyDescent="0.25">
      <c r="A472" s="32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  <c r="AH472" s="26"/>
      <c r="AI472" s="26"/>
      <c r="AJ472" s="26"/>
      <c r="AK472" s="26"/>
      <c r="AL472" s="26"/>
      <c r="AM472" s="26"/>
      <c r="AN472" s="26"/>
      <c r="AO472" s="26"/>
      <c r="AP472" s="26"/>
      <c r="AQ472" s="26"/>
      <c r="AR472" s="26"/>
      <c r="AS472" s="26"/>
      <c r="AT472" s="26"/>
      <c r="AU472" s="26"/>
      <c r="AV472" s="26"/>
      <c r="AW472" s="26"/>
      <c r="AX472" s="26"/>
      <c r="AY472" s="26"/>
      <c r="AZ472" s="26"/>
      <c r="BA472" s="26"/>
      <c r="BB472" s="26"/>
      <c r="BC472" s="26"/>
      <c r="BD472" s="26"/>
      <c r="BE472" s="26"/>
      <c r="BF472" s="26"/>
      <c r="BG472" s="26"/>
      <c r="BH472" s="26"/>
      <c r="BI472" s="26"/>
      <c r="BJ472" s="26"/>
      <c r="BK472" s="26"/>
      <c r="BL472" s="26"/>
      <c r="BM472" s="26"/>
      <c r="BN472" s="26"/>
      <c r="BO472" s="26"/>
      <c r="BP472" s="26"/>
      <c r="BQ472" s="26"/>
      <c r="BR472" s="26"/>
      <c r="BS472" s="26"/>
      <c r="BT472" s="26"/>
      <c r="BU472" s="26"/>
      <c r="BV472" s="26"/>
      <c r="BW472" s="26"/>
      <c r="BX472" s="26"/>
      <c r="BY472" s="26"/>
      <c r="BZ472" s="26"/>
      <c r="CA472" s="26"/>
      <c r="CB472" s="26"/>
      <c r="CC472" s="26"/>
      <c r="CD472" s="26"/>
      <c r="CE472" s="26"/>
      <c r="CF472" s="26"/>
      <c r="CG472" s="26"/>
      <c r="CH472" s="26"/>
      <c r="CI472" s="26"/>
      <c r="CJ472" s="26"/>
      <c r="CK472" s="26"/>
      <c r="CL472" s="26"/>
      <c r="CM472" s="26"/>
      <c r="CN472" s="26"/>
      <c r="CO472" s="26"/>
      <c r="CP472" s="26"/>
      <c r="CQ472" s="26"/>
    </row>
    <row r="473" spans="1:95" s="29" customFormat="1" ht="15" customHeight="1" x14ac:dyDescent="0.25">
      <c r="A473" s="32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  <c r="AH473" s="26"/>
      <c r="AI473" s="26"/>
      <c r="AJ473" s="26"/>
      <c r="AK473" s="26"/>
      <c r="AL473" s="26"/>
      <c r="AM473" s="26"/>
      <c r="AN473" s="26"/>
      <c r="AO473" s="26"/>
      <c r="AP473" s="26"/>
      <c r="AQ473" s="26"/>
      <c r="AR473" s="26"/>
      <c r="AS473" s="26"/>
      <c r="AT473" s="26"/>
      <c r="AU473" s="26"/>
      <c r="AV473" s="26"/>
      <c r="AW473" s="26"/>
      <c r="AX473" s="26"/>
      <c r="AY473" s="26"/>
      <c r="AZ473" s="26"/>
      <c r="BA473" s="26"/>
      <c r="BB473" s="26"/>
      <c r="BC473" s="26"/>
      <c r="BD473" s="26"/>
      <c r="BE473" s="26"/>
      <c r="BF473" s="26"/>
      <c r="BG473" s="26"/>
      <c r="BH473" s="26"/>
      <c r="BI473" s="26"/>
      <c r="BJ473" s="26"/>
      <c r="BK473" s="26"/>
      <c r="BL473" s="26"/>
      <c r="BM473" s="26"/>
      <c r="BN473" s="26"/>
      <c r="BO473" s="26"/>
      <c r="BP473" s="26"/>
      <c r="BQ473" s="26"/>
      <c r="BR473" s="26"/>
      <c r="BS473" s="26"/>
      <c r="BT473" s="26"/>
      <c r="BU473" s="26"/>
      <c r="BV473" s="26"/>
      <c r="BW473" s="26"/>
      <c r="BX473" s="26"/>
      <c r="BY473" s="26"/>
      <c r="BZ473" s="26"/>
      <c r="CA473" s="26"/>
      <c r="CB473" s="26"/>
      <c r="CC473" s="26"/>
      <c r="CD473" s="26"/>
      <c r="CE473" s="26"/>
      <c r="CF473" s="26"/>
      <c r="CG473" s="26"/>
      <c r="CH473" s="26"/>
      <c r="CI473" s="26"/>
      <c r="CJ473" s="26"/>
      <c r="CK473" s="26"/>
      <c r="CL473" s="26"/>
      <c r="CM473" s="26"/>
      <c r="CN473" s="26"/>
      <c r="CO473" s="26"/>
      <c r="CP473" s="26"/>
      <c r="CQ473" s="26"/>
    </row>
    <row r="474" spans="1:95" s="29" customFormat="1" ht="15" customHeight="1" x14ac:dyDescent="0.25">
      <c r="A474" s="32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  <c r="AH474" s="26"/>
      <c r="AI474" s="26"/>
      <c r="AJ474" s="26"/>
      <c r="AK474" s="26"/>
      <c r="AL474" s="26"/>
      <c r="AM474" s="26"/>
      <c r="AN474" s="26"/>
      <c r="AO474" s="26"/>
      <c r="AP474" s="26"/>
      <c r="AQ474" s="26"/>
      <c r="AR474" s="26"/>
      <c r="AS474" s="26"/>
      <c r="AT474" s="26"/>
      <c r="AU474" s="26"/>
      <c r="AV474" s="26"/>
      <c r="AW474" s="26"/>
      <c r="AX474" s="26"/>
      <c r="AY474" s="26"/>
      <c r="AZ474" s="26"/>
      <c r="BA474" s="26"/>
      <c r="BB474" s="26"/>
      <c r="BC474" s="26"/>
      <c r="BD474" s="26"/>
      <c r="BE474" s="26"/>
      <c r="BF474" s="26"/>
      <c r="BG474" s="26"/>
      <c r="BH474" s="26"/>
      <c r="BI474" s="26"/>
      <c r="BJ474" s="26"/>
      <c r="BK474" s="26"/>
      <c r="BL474" s="26"/>
      <c r="BM474" s="26"/>
      <c r="BN474" s="26"/>
      <c r="BO474" s="26"/>
      <c r="BP474" s="26"/>
      <c r="BQ474" s="26"/>
      <c r="BR474" s="26"/>
      <c r="BS474" s="26"/>
      <c r="BT474" s="26"/>
      <c r="BU474" s="26"/>
      <c r="BV474" s="26"/>
      <c r="BW474" s="26"/>
      <c r="BX474" s="26"/>
      <c r="BY474" s="26"/>
      <c r="BZ474" s="26"/>
      <c r="CA474" s="26"/>
      <c r="CB474" s="26"/>
      <c r="CC474" s="26"/>
      <c r="CD474" s="26"/>
      <c r="CE474" s="26"/>
      <c r="CF474" s="26"/>
      <c r="CG474" s="26"/>
      <c r="CH474" s="26"/>
      <c r="CI474" s="26"/>
      <c r="CJ474" s="26"/>
      <c r="CK474" s="26"/>
      <c r="CL474" s="26"/>
      <c r="CM474" s="26"/>
      <c r="CN474" s="26"/>
      <c r="CO474" s="26"/>
      <c r="CP474" s="26"/>
      <c r="CQ474" s="26"/>
    </row>
    <row r="475" spans="1:95" s="29" customFormat="1" ht="15" customHeight="1" x14ac:dyDescent="0.25">
      <c r="A475" s="32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  <c r="AH475" s="26"/>
      <c r="AI475" s="26"/>
      <c r="AJ475" s="26"/>
      <c r="AK475" s="26"/>
      <c r="AL475" s="26"/>
      <c r="AM475" s="26"/>
      <c r="AN475" s="26"/>
      <c r="AO475" s="26"/>
      <c r="AP475" s="26"/>
      <c r="AQ475" s="26"/>
      <c r="AR475" s="26"/>
      <c r="AS475" s="26"/>
      <c r="AT475" s="26"/>
      <c r="AU475" s="26"/>
      <c r="AV475" s="26"/>
      <c r="AW475" s="26"/>
      <c r="AX475" s="26"/>
      <c r="AY475" s="26"/>
      <c r="AZ475" s="26"/>
      <c r="BA475" s="26"/>
      <c r="BB475" s="26"/>
      <c r="BC475" s="26"/>
      <c r="BD475" s="26"/>
      <c r="BE475" s="26"/>
      <c r="BF475" s="26"/>
      <c r="BG475" s="26"/>
      <c r="BH475" s="26"/>
      <c r="BI475" s="26"/>
      <c r="BJ475" s="26"/>
      <c r="BK475" s="26"/>
      <c r="BL475" s="26"/>
      <c r="BM475" s="26"/>
      <c r="BN475" s="26"/>
      <c r="BO475" s="26"/>
      <c r="BP475" s="26"/>
      <c r="BQ475" s="26"/>
      <c r="BR475" s="26"/>
      <c r="BS475" s="26"/>
      <c r="BT475" s="26"/>
      <c r="BU475" s="26"/>
      <c r="BV475" s="26"/>
      <c r="BW475" s="26"/>
      <c r="BX475" s="26"/>
      <c r="BY475" s="26"/>
      <c r="BZ475" s="26"/>
      <c r="CA475" s="26"/>
      <c r="CB475" s="26"/>
      <c r="CC475" s="26"/>
      <c r="CD475" s="26"/>
      <c r="CE475" s="26"/>
      <c r="CF475" s="26"/>
      <c r="CG475" s="26"/>
      <c r="CH475" s="26"/>
      <c r="CI475" s="26"/>
      <c r="CJ475" s="26"/>
      <c r="CK475" s="26"/>
      <c r="CL475" s="26"/>
      <c r="CM475" s="26"/>
      <c r="CN475" s="26"/>
      <c r="CO475" s="26"/>
      <c r="CP475" s="26"/>
      <c r="CQ475" s="26"/>
    </row>
    <row r="476" spans="1:95" s="29" customFormat="1" ht="15" customHeight="1" x14ac:dyDescent="0.25">
      <c r="A476" s="32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  <c r="AH476" s="26"/>
      <c r="AI476" s="26"/>
      <c r="AJ476" s="26"/>
      <c r="AK476" s="26"/>
      <c r="AL476" s="26"/>
      <c r="AM476" s="26"/>
      <c r="AN476" s="26"/>
      <c r="AO476" s="26"/>
      <c r="AP476" s="26"/>
      <c r="AQ476" s="26"/>
      <c r="AR476" s="26"/>
      <c r="AS476" s="26"/>
      <c r="AT476" s="26"/>
      <c r="AU476" s="26"/>
      <c r="AV476" s="26"/>
      <c r="AW476" s="26"/>
      <c r="AX476" s="26"/>
      <c r="AY476" s="26"/>
      <c r="AZ476" s="26"/>
      <c r="BA476" s="26"/>
      <c r="BB476" s="26"/>
      <c r="BC476" s="26"/>
      <c r="BD476" s="26"/>
      <c r="BE476" s="26"/>
      <c r="BF476" s="26"/>
      <c r="BG476" s="26"/>
      <c r="BH476" s="26"/>
      <c r="BI476" s="26"/>
      <c r="BJ476" s="26"/>
      <c r="BK476" s="26"/>
      <c r="BL476" s="26"/>
      <c r="BM476" s="26"/>
      <c r="BN476" s="26"/>
      <c r="BO476" s="26"/>
      <c r="BP476" s="26"/>
      <c r="BQ476" s="26"/>
      <c r="BR476" s="26"/>
      <c r="BS476" s="26"/>
      <c r="BT476" s="26"/>
      <c r="BU476" s="26"/>
      <c r="BV476" s="26"/>
      <c r="BW476" s="26"/>
      <c r="BX476" s="26"/>
      <c r="BY476" s="26"/>
      <c r="BZ476" s="26"/>
      <c r="CA476" s="26"/>
      <c r="CB476" s="26"/>
      <c r="CC476" s="26"/>
      <c r="CD476" s="26"/>
      <c r="CE476" s="26"/>
      <c r="CF476" s="26"/>
      <c r="CG476" s="26"/>
      <c r="CH476" s="26"/>
      <c r="CI476" s="26"/>
      <c r="CJ476" s="26"/>
      <c r="CK476" s="26"/>
      <c r="CL476" s="26"/>
      <c r="CM476" s="26"/>
      <c r="CN476" s="26"/>
      <c r="CO476" s="26"/>
      <c r="CP476" s="26"/>
      <c r="CQ476" s="26"/>
    </row>
    <row r="477" spans="1:95" s="29" customFormat="1" ht="15" customHeight="1" x14ac:dyDescent="0.25">
      <c r="A477" s="32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  <c r="AH477" s="26"/>
      <c r="AI477" s="26"/>
      <c r="AJ477" s="26"/>
      <c r="AK477" s="26"/>
      <c r="AL477" s="26"/>
      <c r="AM477" s="26"/>
      <c r="AN477" s="26"/>
      <c r="AO477" s="26"/>
      <c r="AP477" s="26"/>
      <c r="AQ477" s="26"/>
      <c r="AR477" s="26"/>
      <c r="AS477" s="26"/>
      <c r="AT477" s="26"/>
      <c r="AU477" s="26"/>
      <c r="AV477" s="26"/>
      <c r="AW477" s="26"/>
      <c r="AX477" s="26"/>
      <c r="AY477" s="26"/>
      <c r="AZ477" s="26"/>
      <c r="BA477" s="26"/>
      <c r="BB477" s="26"/>
      <c r="BC477" s="26"/>
      <c r="BD477" s="26"/>
      <c r="BE477" s="26"/>
      <c r="BF477" s="26"/>
      <c r="BG477" s="26"/>
      <c r="BH477" s="26"/>
      <c r="BI477" s="26"/>
      <c r="BJ477" s="26"/>
      <c r="BK477" s="26"/>
      <c r="BL477" s="26"/>
      <c r="BM477" s="26"/>
      <c r="BN477" s="26"/>
      <c r="BO477" s="26"/>
      <c r="BP477" s="26"/>
      <c r="BQ477" s="26"/>
      <c r="BR477" s="26"/>
      <c r="BS477" s="26"/>
      <c r="BT477" s="26"/>
      <c r="BU477" s="26"/>
      <c r="BV477" s="26"/>
      <c r="BW477" s="26"/>
      <c r="BX477" s="26"/>
      <c r="BY477" s="26"/>
      <c r="BZ477" s="26"/>
      <c r="CA477" s="26"/>
      <c r="CB477" s="26"/>
      <c r="CC477" s="26"/>
      <c r="CD477" s="26"/>
      <c r="CE477" s="26"/>
      <c r="CF477" s="26"/>
      <c r="CG477" s="26"/>
      <c r="CH477" s="26"/>
      <c r="CI477" s="26"/>
      <c r="CJ477" s="26"/>
      <c r="CK477" s="26"/>
      <c r="CL477" s="26"/>
      <c r="CM477" s="26"/>
      <c r="CN477" s="26"/>
      <c r="CO477" s="26"/>
      <c r="CP477" s="26"/>
      <c r="CQ477" s="26"/>
    </row>
    <row r="478" spans="1:95" s="29" customFormat="1" ht="15" customHeight="1" x14ac:dyDescent="0.25">
      <c r="A478" s="32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  <c r="AH478" s="26"/>
      <c r="AI478" s="26"/>
      <c r="AJ478" s="26"/>
      <c r="AK478" s="26"/>
      <c r="AL478" s="26"/>
      <c r="AM478" s="26"/>
      <c r="AN478" s="26"/>
      <c r="AO478" s="26"/>
      <c r="AP478" s="26"/>
      <c r="AQ478" s="26"/>
      <c r="AR478" s="26"/>
      <c r="AS478" s="26"/>
      <c r="AT478" s="26"/>
      <c r="AU478" s="26"/>
      <c r="AV478" s="26"/>
      <c r="AW478" s="26"/>
      <c r="AX478" s="26"/>
      <c r="AY478" s="26"/>
      <c r="AZ478" s="26"/>
      <c r="BA478" s="26"/>
      <c r="BB478" s="26"/>
      <c r="BC478" s="26"/>
      <c r="BD478" s="26"/>
      <c r="BE478" s="26"/>
      <c r="BF478" s="26"/>
      <c r="BG478" s="26"/>
      <c r="BH478" s="26"/>
      <c r="BI478" s="26"/>
      <c r="BJ478" s="26"/>
      <c r="BK478" s="26"/>
      <c r="BL478" s="26"/>
      <c r="BM478" s="26"/>
      <c r="BN478" s="26"/>
      <c r="BO478" s="26"/>
      <c r="BP478" s="26"/>
      <c r="BQ478" s="26"/>
      <c r="BR478" s="26"/>
      <c r="BS478" s="26"/>
      <c r="BT478" s="26"/>
      <c r="BU478" s="26"/>
      <c r="BV478" s="26"/>
      <c r="BW478" s="26"/>
      <c r="BX478" s="26"/>
      <c r="BY478" s="26"/>
      <c r="BZ478" s="26"/>
      <c r="CA478" s="26"/>
      <c r="CB478" s="26"/>
      <c r="CC478" s="26"/>
      <c r="CD478" s="26"/>
      <c r="CE478" s="26"/>
      <c r="CF478" s="26"/>
      <c r="CG478" s="26"/>
      <c r="CH478" s="26"/>
      <c r="CI478" s="26"/>
      <c r="CJ478" s="26"/>
      <c r="CK478" s="26"/>
      <c r="CL478" s="26"/>
      <c r="CM478" s="26"/>
      <c r="CN478" s="26"/>
      <c r="CO478" s="26"/>
      <c r="CP478" s="26"/>
      <c r="CQ478" s="26"/>
    </row>
    <row r="479" spans="1:95" s="29" customFormat="1" ht="15" customHeight="1" x14ac:dyDescent="0.25">
      <c r="A479" s="32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  <c r="AH479" s="26"/>
      <c r="AI479" s="26"/>
      <c r="AJ479" s="26"/>
      <c r="AK479" s="26"/>
      <c r="AL479" s="26"/>
      <c r="AM479" s="26"/>
      <c r="AN479" s="26"/>
      <c r="AO479" s="26"/>
      <c r="AP479" s="26"/>
      <c r="AQ479" s="26"/>
      <c r="AR479" s="26"/>
      <c r="AS479" s="26"/>
      <c r="AT479" s="26"/>
      <c r="AU479" s="26"/>
      <c r="AV479" s="26"/>
      <c r="AW479" s="26"/>
      <c r="AX479" s="26"/>
      <c r="AY479" s="26"/>
      <c r="AZ479" s="26"/>
      <c r="BA479" s="26"/>
      <c r="BB479" s="26"/>
      <c r="BC479" s="26"/>
      <c r="BD479" s="26"/>
      <c r="BE479" s="26"/>
      <c r="BF479" s="26"/>
      <c r="BG479" s="26"/>
      <c r="BH479" s="26"/>
      <c r="BI479" s="26"/>
      <c r="BJ479" s="26"/>
      <c r="BK479" s="26"/>
      <c r="BL479" s="26"/>
      <c r="BM479" s="26"/>
      <c r="BN479" s="26"/>
      <c r="BO479" s="26"/>
      <c r="BP479" s="26"/>
      <c r="BQ479" s="26"/>
      <c r="BR479" s="26"/>
      <c r="BS479" s="26"/>
      <c r="BT479" s="26"/>
      <c r="BU479" s="26"/>
      <c r="BV479" s="26"/>
      <c r="BW479" s="26"/>
      <c r="BX479" s="26"/>
      <c r="BY479" s="26"/>
      <c r="BZ479" s="26"/>
      <c r="CA479" s="26"/>
      <c r="CB479" s="26"/>
      <c r="CC479" s="26"/>
      <c r="CD479" s="26"/>
      <c r="CE479" s="26"/>
      <c r="CF479" s="26"/>
      <c r="CG479" s="26"/>
      <c r="CH479" s="26"/>
      <c r="CI479" s="26"/>
      <c r="CJ479" s="26"/>
      <c r="CK479" s="26"/>
      <c r="CL479" s="26"/>
      <c r="CM479" s="26"/>
      <c r="CN479" s="26"/>
      <c r="CO479" s="26"/>
      <c r="CP479" s="26"/>
      <c r="CQ479" s="26"/>
    </row>
    <row r="480" spans="1:95" s="29" customFormat="1" ht="15" customHeight="1" x14ac:dyDescent="0.25">
      <c r="A480" s="32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  <c r="AH480" s="26"/>
      <c r="AI480" s="26"/>
      <c r="AJ480" s="26"/>
      <c r="AK480" s="26"/>
      <c r="AL480" s="26"/>
      <c r="AM480" s="26"/>
      <c r="AN480" s="26"/>
      <c r="AO480" s="26"/>
      <c r="AP480" s="26"/>
      <c r="AQ480" s="26"/>
      <c r="AR480" s="26"/>
      <c r="AS480" s="26"/>
      <c r="AT480" s="26"/>
      <c r="AU480" s="26"/>
      <c r="AV480" s="26"/>
      <c r="AW480" s="26"/>
      <c r="AX480" s="26"/>
      <c r="AY480" s="26"/>
      <c r="AZ480" s="26"/>
      <c r="BA480" s="26"/>
      <c r="BB480" s="26"/>
      <c r="BC480" s="26"/>
      <c r="BD480" s="26"/>
      <c r="BE480" s="26"/>
      <c r="BF480" s="26"/>
      <c r="BG480" s="26"/>
      <c r="BH480" s="26"/>
      <c r="BI480" s="26"/>
      <c r="BJ480" s="26"/>
      <c r="BK480" s="26"/>
      <c r="BL480" s="26"/>
      <c r="BM480" s="26"/>
      <c r="BN480" s="26"/>
      <c r="BO480" s="26"/>
      <c r="BP480" s="26"/>
      <c r="BQ480" s="26"/>
      <c r="BR480" s="26"/>
      <c r="BS480" s="26"/>
      <c r="BT480" s="26"/>
      <c r="BU480" s="26"/>
      <c r="BV480" s="26"/>
      <c r="BW480" s="26"/>
      <c r="BX480" s="26"/>
      <c r="BY480" s="26"/>
      <c r="BZ480" s="26"/>
      <c r="CA480" s="26"/>
      <c r="CB480" s="26"/>
      <c r="CC480" s="26"/>
      <c r="CD480" s="26"/>
      <c r="CE480" s="26"/>
      <c r="CF480" s="26"/>
      <c r="CG480" s="26"/>
      <c r="CH480" s="26"/>
      <c r="CI480" s="26"/>
      <c r="CJ480" s="26"/>
      <c r="CK480" s="26"/>
      <c r="CL480" s="26"/>
      <c r="CM480" s="26"/>
      <c r="CN480" s="26"/>
      <c r="CO480" s="26"/>
      <c r="CP480" s="26"/>
      <c r="CQ480" s="26"/>
    </row>
    <row r="481" spans="1:95" s="29" customFormat="1" ht="15" customHeight="1" x14ac:dyDescent="0.25">
      <c r="A481" s="32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  <c r="AH481" s="26"/>
      <c r="AI481" s="26"/>
      <c r="AJ481" s="26"/>
      <c r="AK481" s="26"/>
      <c r="AL481" s="26"/>
      <c r="AM481" s="26"/>
      <c r="AN481" s="26"/>
      <c r="AO481" s="26"/>
      <c r="AP481" s="26"/>
      <c r="AQ481" s="26"/>
      <c r="AR481" s="26"/>
      <c r="AS481" s="26"/>
      <c r="AT481" s="26"/>
      <c r="AU481" s="26"/>
      <c r="AV481" s="26"/>
      <c r="AW481" s="26"/>
      <c r="AX481" s="26"/>
      <c r="AY481" s="26"/>
      <c r="AZ481" s="26"/>
      <c r="BA481" s="26"/>
      <c r="BB481" s="26"/>
      <c r="BC481" s="26"/>
      <c r="BD481" s="26"/>
      <c r="BE481" s="26"/>
      <c r="BF481" s="26"/>
      <c r="BG481" s="26"/>
      <c r="BH481" s="26"/>
      <c r="BI481" s="26"/>
      <c r="BJ481" s="26"/>
      <c r="BK481" s="26"/>
      <c r="BL481" s="26"/>
      <c r="BM481" s="26"/>
      <c r="BN481" s="26"/>
      <c r="BO481" s="26"/>
      <c r="BP481" s="26"/>
      <c r="BQ481" s="26"/>
      <c r="BR481" s="26"/>
      <c r="BS481" s="26"/>
      <c r="BT481" s="26"/>
      <c r="BU481" s="26"/>
      <c r="BV481" s="26"/>
      <c r="BW481" s="26"/>
      <c r="BX481" s="26"/>
      <c r="BY481" s="26"/>
      <c r="BZ481" s="26"/>
      <c r="CA481" s="26"/>
      <c r="CB481" s="26"/>
      <c r="CC481" s="26"/>
      <c r="CD481" s="26"/>
      <c r="CE481" s="26"/>
      <c r="CF481" s="26"/>
      <c r="CG481" s="26"/>
      <c r="CH481" s="26"/>
      <c r="CI481" s="26"/>
      <c r="CJ481" s="26"/>
      <c r="CK481" s="26"/>
      <c r="CL481" s="26"/>
      <c r="CM481" s="26"/>
      <c r="CN481" s="26"/>
      <c r="CO481" s="26"/>
      <c r="CP481" s="26"/>
      <c r="CQ481" s="26"/>
    </row>
    <row r="482" spans="1:95" s="29" customFormat="1" ht="15" customHeight="1" x14ac:dyDescent="0.25">
      <c r="A482" s="32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  <c r="AH482" s="26"/>
      <c r="AI482" s="26"/>
      <c r="AJ482" s="26"/>
      <c r="AK482" s="26"/>
      <c r="AL482" s="26"/>
      <c r="AM482" s="26"/>
      <c r="AN482" s="26"/>
      <c r="AO482" s="26"/>
      <c r="AP482" s="26"/>
      <c r="AQ482" s="26"/>
      <c r="AR482" s="26"/>
      <c r="AS482" s="26"/>
      <c r="AT482" s="26"/>
      <c r="AU482" s="26"/>
      <c r="AV482" s="26"/>
      <c r="AW482" s="26"/>
      <c r="AX482" s="26"/>
      <c r="AY482" s="26"/>
      <c r="AZ482" s="26"/>
      <c r="BA482" s="26"/>
      <c r="BB482" s="26"/>
      <c r="BC482" s="26"/>
      <c r="BD482" s="26"/>
      <c r="BE482" s="26"/>
      <c r="BF482" s="26"/>
      <c r="BG482" s="26"/>
      <c r="BH482" s="26"/>
      <c r="BI482" s="26"/>
      <c r="BJ482" s="26"/>
      <c r="BK482" s="26"/>
      <c r="BL482" s="26"/>
      <c r="BM482" s="26"/>
      <c r="BN482" s="26"/>
      <c r="BO482" s="26"/>
      <c r="BP482" s="26"/>
      <c r="BQ482" s="26"/>
      <c r="BR482" s="26"/>
      <c r="BS482" s="26"/>
      <c r="BT482" s="26"/>
      <c r="BU482" s="26"/>
      <c r="BV482" s="26"/>
      <c r="BW482" s="26"/>
      <c r="BX482" s="26"/>
      <c r="BY482" s="26"/>
      <c r="BZ482" s="26"/>
      <c r="CA482" s="26"/>
      <c r="CB482" s="26"/>
      <c r="CC482" s="26"/>
      <c r="CD482" s="26"/>
      <c r="CE482" s="26"/>
      <c r="CF482" s="26"/>
      <c r="CG482" s="26"/>
      <c r="CH482" s="26"/>
      <c r="CI482" s="26"/>
      <c r="CJ482" s="26"/>
      <c r="CK482" s="26"/>
      <c r="CL482" s="26"/>
      <c r="CM482" s="26"/>
      <c r="CN482" s="26"/>
      <c r="CO482" s="26"/>
      <c r="CP482" s="26"/>
      <c r="CQ482" s="26"/>
    </row>
    <row r="483" spans="1:95" s="29" customFormat="1" ht="15" customHeight="1" x14ac:dyDescent="0.25">
      <c r="A483" s="32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  <c r="AH483" s="26"/>
      <c r="AI483" s="26"/>
      <c r="AJ483" s="26"/>
      <c r="AK483" s="26"/>
      <c r="AL483" s="26"/>
      <c r="AM483" s="26"/>
      <c r="AN483" s="26"/>
      <c r="AO483" s="26"/>
      <c r="AP483" s="26"/>
      <c r="AQ483" s="26"/>
      <c r="AR483" s="26"/>
      <c r="AS483" s="26"/>
      <c r="AT483" s="26"/>
      <c r="AU483" s="26"/>
      <c r="AV483" s="26"/>
      <c r="AW483" s="26"/>
      <c r="AX483" s="26"/>
      <c r="AY483" s="26"/>
      <c r="AZ483" s="26"/>
      <c r="BA483" s="26"/>
      <c r="BB483" s="26"/>
      <c r="BC483" s="26"/>
      <c r="BD483" s="26"/>
      <c r="BE483" s="26"/>
      <c r="BF483" s="26"/>
      <c r="BG483" s="26"/>
      <c r="BH483" s="26"/>
      <c r="BI483" s="26"/>
      <c r="BJ483" s="26"/>
      <c r="BK483" s="26"/>
      <c r="BL483" s="26"/>
      <c r="BM483" s="26"/>
      <c r="BN483" s="26"/>
      <c r="BO483" s="26"/>
      <c r="BP483" s="26"/>
      <c r="BQ483" s="26"/>
      <c r="BR483" s="26"/>
      <c r="BS483" s="26"/>
      <c r="BT483" s="26"/>
      <c r="BU483" s="26"/>
      <c r="BV483" s="26"/>
      <c r="BW483" s="26"/>
      <c r="BX483" s="26"/>
      <c r="BY483" s="26"/>
      <c r="BZ483" s="26"/>
      <c r="CA483" s="26"/>
      <c r="CB483" s="26"/>
      <c r="CC483" s="26"/>
      <c r="CD483" s="26"/>
      <c r="CE483" s="26"/>
      <c r="CF483" s="26"/>
      <c r="CG483" s="26"/>
      <c r="CH483" s="26"/>
      <c r="CI483" s="26"/>
      <c r="CJ483" s="26"/>
      <c r="CK483" s="26"/>
      <c r="CL483" s="26"/>
      <c r="CM483" s="26"/>
      <c r="CN483" s="26"/>
      <c r="CO483" s="26"/>
      <c r="CP483" s="26"/>
      <c r="CQ483" s="26"/>
    </row>
    <row r="484" spans="1:95" s="29" customFormat="1" ht="15" customHeight="1" x14ac:dyDescent="0.25">
      <c r="A484" s="32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  <c r="AH484" s="26"/>
      <c r="AI484" s="26"/>
      <c r="AJ484" s="26"/>
      <c r="AK484" s="26"/>
      <c r="AL484" s="26"/>
      <c r="AM484" s="26"/>
      <c r="AN484" s="26"/>
      <c r="AO484" s="26"/>
      <c r="AP484" s="26"/>
      <c r="AQ484" s="26"/>
      <c r="AR484" s="26"/>
      <c r="AS484" s="26"/>
      <c r="AT484" s="26"/>
      <c r="AU484" s="26"/>
      <c r="AV484" s="26"/>
      <c r="AW484" s="26"/>
      <c r="AX484" s="26"/>
      <c r="AY484" s="26"/>
      <c r="AZ484" s="26"/>
      <c r="BA484" s="26"/>
      <c r="BB484" s="26"/>
      <c r="BC484" s="26"/>
      <c r="BD484" s="26"/>
      <c r="BE484" s="26"/>
      <c r="BF484" s="26"/>
      <c r="BG484" s="26"/>
      <c r="BH484" s="26"/>
      <c r="BI484" s="26"/>
      <c r="BJ484" s="26"/>
      <c r="BK484" s="26"/>
      <c r="BL484" s="26"/>
      <c r="BM484" s="26"/>
      <c r="BN484" s="26"/>
      <c r="BO484" s="26"/>
      <c r="BP484" s="26"/>
      <c r="BQ484" s="26"/>
      <c r="BR484" s="26"/>
      <c r="BS484" s="26"/>
      <c r="BT484" s="26"/>
      <c r="BU484" s="26"/>
      <c r="BV484" s="26"/>
      <c r="BW484" s="26"/>
      <c r="BX484" s="26"/>
      <c r="BY484" s="26"/>
      <c r="BZ484" s="26"/>
      <c r="CA484" s="26"/>
      <c r="CB484" s="26"/>
      <c r="CC484" s="26"/>
      <c r="CD484" s="26"/>
      <c r="CE484" s="26"/>
      <c r="CF484" s="26"/>
      <c r="CG484" s="26"/>
      <c r="CH484" s="26"/>
      <c r="CI484" s="26"/>
      <c r="CJ484" s="26"/>
      <c r="CK484" s="26"/>
      <c r="CL484" s="26"/>
      <c r="CM484" s="26"/>
      <c r="CN484" s="26"/>
      <c r="CO484" s="26"/>
      <c r="CP484" s="26"/>
      <c r="CQ484" s="26"/>
    </row>
    <row r="485" spans="1:95" s="29" customFormat="1" ht="15" customHeight="1" x14ac:dyDescent="0.25">
      <c r="A485" s="32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  <c r="AJ485" s="26"/>
      <c r="AK485" s="26"/>
      <c r="AL485" s="26"/>
      <c r="AM485" s="26"/>
      <c r="AN485" s="26"/>
      <c r="AO485" s="26"/>
      <c r="AP485" s="26"/>
      <c r="AQ485" s="26"/>
      <c r="AR485" s="26"/>
      <c r="AS485" s="26"/>
      <c r="AT485" s="26"/>
      <c r="AU485" s="26"/>
      <c r="AV485" s="26"/>
      <c r="AW485" s="26"/>
      <c r="AX485" s="26"/>
      <c r="AY485" s="26"/>
      <c r="AZ485" s="26"/>
      <c r="BA485" s="26"/>
      <c r="BB485" s="26"/>
      <c r="BC485" s="26"/>
      <c r="BD485" s="26"/>
      <c r="BE485" s="26"/>
      <c r="BF485" s="26"/>
      <c r="BG485" s="26"/>
      <c r="BH485" s="26"/>
      <c r="BI485" s="26"/>
      <c r="BJ485" s="26"/>
      <c r="BK485" s="26"/>
      <c r="BL485" s="26"/>
      <c r="BM485" s="26"/>
      <c r="BN485" s="26"/>
      <c r="BO485" s="26"/>
      <c r="BP485" s="26"/>
      <c r="BQ485" s="26"/>
      <c r="BR485" s="26"/>
      <c r="BS485" s="26"/>
      <c r="BT485" s="26"/>
      <c r="BU485" s="26"/>
      <c r="BV485" s="26"/>
      <c r="BW485" s="26"/>
      <c r="BX485" s="26"/>
      <c r="BY485" s="26"/>
      <c r="BZ485" s="26"/>
      <c r="CA485" s="26"/>
      <c r="CB485" s="26"/>
      <c r="CC485" s="26"/>
      <c r="CD485" s="26"/>
      <c r="CE485" s="26"/>
      <c r="CF485" s="26"/>
      <c r="CG485" s="26"/>
      <c r="CH485" s="26"/>
      <c r="CI485" s="26"/>
      <c r="CJ485" s="26"/>
      <c r="CK485" s="26"/>
      <c r="CL485" s="26"/>
      <c r="CM485" s="26"/>
      <c r="CN485" s="26"/>
      <c r="CO485" s="26"/>
      <c r="CP485" s="26"/>
      <c r="CQ485" s="26"/>
    </row>
    <row r="486" spans="1:95" s="29" customFormat="1" ht="15" customHeight="1" x14ac:dyDescent="0.25">
      <c r="A486" s="32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  <c r="AH486" s="26"/>
      <c r="AI486" s="26"/>
      <c r="AJ486" s="26"/>
      <c r="AK486" s="26"/>
      <c r="AL486" s="26"/>
      <c r="AM486" s="26"/>
      <c r="AN486" s="26"/>
      <c r="AO486" s="26"/>
      <c r="AP486" s="26"/>
      <c r="AQ486" s="26"/>
      <c r="AR486" s="26"/>
      <c r="AS486" s="26"/>
      <c r="AT486" s="26"/>
      <c r="AU486" s="26"/>
      <c r="AV486" s="26"/>
      <c r="AW486" s="26"/>
      <c r="AX486" s="26"/>
      <c r="AY486" s="26"/>
      <c r="AZ486" s="26"/>
      <c r="BA486" s="26"/>
      <c r="BB486" s="26"/>
      <c r="BC486" s="26"/>
      <c r="BD486" s="26"/>
      <c r="BE486" s="26"/>
      <c r="BF486" s="26"/>
      <c r="BG486" s="26"/>
      <c r="BH486" s="26"/>
      <c r="BI486" s="26"/>
      <c r="BJ486" s="26"/>
      <c r="BK486" s="26"/>
      <c r="BL486" s="26"/>
      <c r="BM486" s="26"/>
      <c r="BN486" s="26"/>
      <c r="BO486" s="26"/>
      <c r="BP486" s="26"/>
      <c r="BQ486" s="26"/>
      <c r="BR486" s="26"/>
      <c r="BS486" s="26"/>
      <c r="BT486" s="26"/>
      <c r="BU486" s="26"/>
      <c r="BV486" s="26"/>
      <c r="BW486" s="26"/>
      <c r="BX486" s="26"/>
      <c r="BY486" s="26"/>
      <c r="BZ486" s="26"/>
      <c r="CA486" s="26"/>
      <c r="CB486" s="26"/>
      <c r="CC486" s="26"/>
      <c r="CD486" s="26"/>
      <c r="CE486" s="26"/>
      <c r="CF486" s="26"/>
      <c r="CG486" s="26"/>
      <c r="CH486" s="26"/>
      <c r="CI486" s="26"/>
      <c r="CJ486" s="26"/>
      <c r="CK486" s="26"/>
      <c r="CL486" s="26"/>
      <c r="CM486" s="26"/>
      <c r="CN486" s="26"/>
      <c r="CO486" s="26"/>
      <c r="CP486" s="26"/>
      <c r="CQ486" s="26"/>
    </row>
    <row r="487" spans="1:95" s="29" customFormat="1" ht="15" customHeight="1" x14ac:dyDescent="0.25">
      <c r="A487" s="32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  <c r="AH487" s="26"/>
      <c r="AI487" s="26"/>
      <c r="AJ487" s="26"/>
      <c r="AK487" s="26"/>
      <c r="AL487" s="26"/>
      <c r="AM487" s="26"/>
      <c r="AN487" s="26"/>
      <c r="AO487" s="26"/>
      <c r="AP487" s="26"/>
      <c r="AQ487" s="26"/>
      <c r="AR487" s="26"/>
      <c r="AS487" s="26"/>
      <c r="AT487" s="26"/>
      <c r="AU487" s="26"/>
      <c r="AV487" s="26"/>
      <c r="AW487" s="26"/>
      <c r="AX487" s="26"/>
      <c r="AY487" s="26"/>
      <c r="AZ487" s="26"/>
      <c r="BA487" s="26"/>
      <c r="BB487" s="26"/>
      <c r="BC487" s="26"/>
      <c r="BD487" s="26"/>
      <c r="BE487" s="26"/>
      <c r="BF487" s="26"/>
      <c r="BG487" s="26"/>
      <c r="BH487" s="26"/>
      <c r="BI487" s="26"/>
      <c r="BJ487" s="26"/>
      <c r="BK487" s="26"/>
      <c r="BL487" s="26"/>
      <c r="BM487" s="26"/>
      <c r="BN487" s="26"/>
      <c r="BO487" s="26"/>
      <c r="BP487" s="26"/>
      <c r="BQ487" s="26"/>
      <c r="BR487" s="26"/>
      <c r="BS487" s="26"/>
      <c r="BT487" s="26"/>
      <c r="BU487" s="26"/>
      <c r="BV487" s="26"/>
      <c r="BW487" s="26"/>
      <c r="BX487" s="26"/>
      <c r="BY487" s="26"/>
      <c r="BZ487" s="26"/>
      <c r="CA487" s="26"/>
      <c r="CB487" s="26"/>
      <c r="CC487" s="26"/>
      <c r="CD487" s="26"/>
      <c r="CE487" s="26"/>
      <c r="CF487" s="26"/>
      <c r="CG487" s="26"/>
      <c r="CH487" s="26"/>
      <c r="CI487" s="26"/>
      <c r="CJ487" s="26"/>
      <c r="CK487" s="26"/>
      <c r="CL487" s="26"/>
      <c r="CM487" s="26"/>
      <c r="CN487" s="26"/>
      <c r="CO487" s="26"/>
      <c r="CP487" s="26"/>
      <c r="CQ487" s="26"/>
    </row>
    <row r="488" spans="1:95" s="29" customFormat="1" ht="15" customHeight="1" x14ac:dyDescent="0.25">
      <c r="A488" s="32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  <c r="AH488" s="26"/>
      <c r="AI488" s="26"/>
      <c r="AJ488" s="26"/>
      <c r="AK488" s="26"/>
      <c r="AL488" s="26"/>
      <c r="AM488" s="26"/>
      <c r="AN488" s="26"/>
      <c r="AO488" s="26"/>
      <c r="AP488" s="26"/>
      <c r="AQ488" s="26"/>
      <c r="AR488" s="26"/>
      <c r="AS488" s="26"/>
      <c r="AT488" s="26"/>
      <c r="AU488" s="26"/>
      <c r="AV488" s="26"/>
      <c r="AW488" s="26"/>
      <c r="AX488" s="26"/>
      <c r="AY488" s="26"/>
      <c r="AZ488" s="26"/>
      <c r="BA488" s="26"/>
      <c r="BB488" s="26"/>
      <c r="BC488" s="26"/>
      <c r="BD488" s="26"/>
      <c r="BE488" s="26"/>
      <c r="BF488" s="26"/>
      <c r="BG488" s="26"/>
      <c r="BH488" s="26"/>
      <c r="BI488" s="26"/>
      <c r="BJ488" s="26"/>
      <c r="BK488" s="26"/>
      <c r="BL488" s="26"/>
      <c r="BM488" s="26"/>
      <c r="BN488" s="26"/>
      <c r="BO488" s="26"/>
      <c r="BP488" s="26"/>
      <c r="BQ488" s="26"/>
      <c r="BR488" s="26"/>
      <c r="BS488" s="26"/>
      <c r="BT488" s="26"/>
      <c r="BU488" s="26"/>
      <c r="BV488" s="26"/>
      <c r="BW488" s="26"/>
      <c r="BX488" s="26"/>
      <c r="BY488" s="26"/>
      <c r="BZ488" s="26"/>
      <c r="CA488" s="26"/>
      <c r="CB488" s="26"/>
      <c r="CC488" s="26"/>
      <c r="CD488" s="26"/>
      <c r="CE488" s="26"/>
      <c r="CF488" s="26"/>
      <c r="CG488" s="26"/>
      <c r="CH488" s="26"/>
      <c r="CI488" s="26"/>
      <c r="CJ488" s="26"/>
      <c r="CK488" s="26"/>
      <c r="CL488" s="26"/>
      <c r="CM488" s="26"/>
      <c r="CN488" s="26"/>
      <c r="CO488" s="26"/>
      <c r="CP488" s="26"/>
      <c r="CQ488" s="26"/>
    </row>
    <row r="489" spans="1:95" s="29" customFormat="1" ht="15" customHeight="1" x14ac:dyDescent="0.25">
      <c r="A489" s="32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  <c r="AH489" s="26"/>
      <c r="AI489" s="26"/>
      <c r="AJ489" s="26"/>
      <c r="AK489" s="26"/>
      <c r="AL489" s="26"/>
      <c r="AM489" s="26"/>
      <c r="AN489" s="26"/>
      <c r="AO489" s="26"/>
      <c r="AP489" s="26"/>
      <c r="AQ489" s="26"/>
      <c r="AR489" s="26"/>
      <c r="AS489" s="26"/>
      <c r="AT489" s="26"/>
      <c r="AU489" s="26"/>
      <c r="AV489" s="26"/>
      <c r="AW489" s="26"/>
      <c r="AX489" s="26"/>
      <c r="AY489" s="26"/>
      <c r="AZ489" s="26"/>
      <c r="BA489" s="26"/>
      <c r="BB489" s="26"/>
      <c r="BC489" s="26"/>
      <c r="BD489" s="26"/>
      <c r="BE489" s="26"/>
      <c r="BF489" s="26"/>
      <c r="BG489" s="26"/>
      <c r="BH489" s="26"/>
      <c r="BI489" s="26"/>
      <c r="BJ489" s="26"/>
      <c r="BK489" s="26"/>
      <c r="BL489" s="26"/>
      <c r="BM489" s="26"/>
      <c r="BN489" s="26"/>
      <c r="BO489" s="26"/>
      <c r="BP489" s="26"/>
      <c r="BQ489" s="26"/>
      <c r="BR489" s="26"/>
      <c r="BS489" s="26"/>
      <c r="BT489" s="26"/>
      <c r="BU489" s="26"/>
      <c r="BV489" s="26"/>
      <c r="BW489" s="26"/>
      <c r="BX489" s="26"/>
      <c r="BY489" s="26"/>
      <c r="BZ489" s="26"/>
      <c r="CA489" s="26"/>
      <c r="CB489" s="26"/>
      <c r="CC489" s="26"/>
      <c r="CD489" s="26"/>
      <c r="CE489" s="26"/>
      <c r="CF489" s="26"/>
      <c r="CG489" s="26"/>
      <c r="CH489" s="26"/>
      <c r="CI489" s="26"/>
      <c r="CJ489" s="26"/>
      <c r="CK489" s="26"/>
      <c r="CL489" s="26"/>
      <c r="CM489" s="26"/>
      <c r="CN489" s="26"/>
      <c r="CO489" s="26"/>
      <c r="CP489" s="26"/>
      <c r="CQ489" s="26"/>
    </row>
    <row r="490" spans="1:95" s="29" customFormat="1" ht="15" customHeight="1" x14ac:dyDescent="0.25">
      <c r="A490" s="32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  <c r="AH490" s="26"/>
      <c r="AI490" s="26"/>
      <c r="AJ490" s="26"/>
      <c r="AK490" s="26"/>
      <c r="AL490" s="26"/>
      <c r="AM490" s="26"/>
      <c r="AN490" s="26"/>
      <c r="AO490" s="26"/>
      <c r="AP490" s="26"/>
      <c r="AQ490" s="26"/>
      <c r="AR490" s="26"/>
      <c r="AS490" s="26"/>
      <c r="AT490" s="26"/>
      <c r="AU490" s="26"/>
      <c r="AV490" s="26"/>
      <c r="AW490" s="26"/>
      <c r="AX490" s="26"/>
      <c r="AY490" s="26"/>
      <c r="AZ490" s="26"/>
      <c r="BA490" s="26"/>
      <c r="BB490" s="26"/>
      <c r="BC490" s="26"/>
      <c r="BD490" s="26"/>
      <c r="BE490" s="26"/>
      <c r="BF490" s="26"/>
      <c r="BG490" s="26"/>
      <c r="BH490" s="26"/>
      <c r="BI490" s="26"/>
      <c r="BJ490" s="26"/>
      <c r="BK490" s="26"/>
      <c r="BL490" s="26"/>
      <c r="BM490" s="26"/>
      <c r="BN490" s="26"/>
      <c r="BO490" s="26"/>
      <c r="BP490" s="26"/>
      <c r="BQ490" s="26"/>
      <c r="BR490" s="26"/>
      <c r="BS490" s="26"/>
      <c r="BT490" s="26"/>
      <c r="BU490" s="26"/>
      <c r="BV490" s="26"/>
      <c r="BW490" s="26"/>
      <c r="BX490" s="26"/>
      <c r="BY490" s="26"/>
      <c r="BZ490" s="26"/>
      <c r="CA490" s="26"/>
      <c r="CB490" s="26"/>
      <c r="CC490" s="26"/>
      <c r="CD490" s="26"/>
      <c r="CE490" s="26"/>
      <c r="CF490" s="26"/>
      <c r="CG490" s="26"/>
      <c r="CH490" s="26"/>
      <c r="CI490" s="26"/>
      <c r="CJ490" s="26"/>
      <c r="CK490" s="26"/>
      <c r="CL490" s="26"/>
      <c r="CM490" s="26"/>
      <c r="CN490" s="26"/>
      <c r="CO490" s="26"/>
      <c r="CP490" s="26"/>
      <c r="CQ490" s="26"/>
    </row>
    <row r="491" spans="1:95" s="29" customFormat="1" ht="15" customHeight="1" x14ac:dyDescent="0.25">
      <c r="A491" s="32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  <c r="AH491" s="26"/>
      <c r="AI491" s="26"/>
      <c r="AJ491" s="26"/>
      <c r="AK491" s="26"/>
      <c r="AL491" s="26"/>
      <c r="AM491" s="26"/>
      <c r="AN491" s="26"/>
      <c r="AO491" s="26"/>
      <c r="AP491" s="26"/>
      <c r="AQ491" s="26"/>
      <c r="AR491" s="26"/>
      <c r="AS491" s="26"/>
      <c r="AT491" s="26"/>
      <c r="AU491" s="26"/>
      <c r="AV491" s="26"/>
      <c r="AW491" s="26"/>
      <c r="AX491" s="26"/>
      <c r="AY491" s="26"/>
      <c r="AZ491" s="26"/>
      <c r="BA491" s="26"/>
      <c r="BB491" s="26"/>
      <c r="BC491" s="26"/>
      <c r="BD491" s="26"/>
      <c r="BE491" s="26"/>
      <c r="BF491" s="26"/>
      <c r="BG491" s="26"/>
      <c r="BH491" s="26"/>
      <c r="BI491" s="26"/>
      <c r="BJ491" s="26"/>
      <c r="BK491" s="26"/>
      <c r="BL491" s="26"/>
      <c r="BM491" s="26"/>
      <c r="BN491" s="26"/>
      <c r="BO491" s="26"/>
      <c r="BP491" s="26"/>
      <c r="BQ491" s="26"/>
      <c r="BR491" s="26"/>
      <c r="BS491" s="26"/>
      <c r="BT491" s="26"/>
      <c r="BU491" s="26"/>
      <c r="BV491" s="26"/>
      <c r="BW491" s="26"/>
      <c r="BX491" s="26"/>
      <c r="BY491" s="26"/>
      <c r="BZ491" s="26"/>
      <c r="CA491" s="26"/>
      <c r="CB491" s="26"/>
      <c r="CC491" s="26"/>
      <c r="CD491" s="26"/>
      <c r="CE491" s="26"/>
      <c r="CF491" s="26"/>
      <c r="CG491" s="26"/>
      <c r="CH491" s="26"/>
      <c r="CI491" s="26"/>
      <c r="CJ491" s="26"/>
      <c r="CK491" s="26"/>
      <c r="CL491" s="26"/>
      <c r="CM491" s="26"/>
      <c r="CN491" s="26"/>
      <c r="CO491" s="26"/>
      <c r="CP491" s="26"/>
      <c r="CQ491" s="26"/>
    </row>
    <row r="492" spans="1:95" s="29" customFormat="1" ht="15" customHeight="1" x14ac:dyDescent="0.25">
      <c r="A492" s="32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  <c r="AH492" s="26"/>
      <c r="AI492" s="26"/>
      <c r="AJ492" s="26"/>
      <c r="AK492" s="26"/>
      <c r="AL492" s="26"/>
      <c r="AM492" s="26"/>
      <c r="AN492" s="26"/>
      <c r="AO492" s="26"/>
      <c r="AP492" s="26"/>
      <c r="AQ492" s="26"/>
      <c r="AR492" s="26"/>
      <c r="AS492" s="26"/>
      <c r="AT492" s="26"/>
      <c r="AU492" s="26"/>
      <c r="AV492" s="26"/>
      <c r="AW492" s="26"/>
      <c r="AX492" s="26"/>
      <c r="AY492" s="26"/>
      <c r="AZ492" s="26"/>
      <c r="BA492" s="26"/>
      <c r="BB492" s="26"/>
      <c r="BC492" s="26"/>
      <c r="BD492" s="26"/>
      <c r="BE492" s="26"/>
      <c r="BF492" s="26"/>
      <c r="BG492" s="26"/>
      <c r="BH492" s="26"/>
      <c r="BI492" s="26"/>
      <c r="BJ492" s="26"/>
      <c r="BK492" s="26"/>
      <c r="BL492" s="26"/>
      <c r="BM492" s="26"/>
      <c r="BN492" s="26"/>
      <c r="BO492" s="26"/>
      <c r="BP492" s="26"/>
      <c r="BQ492" s="26"/>
      <c r="BR492" s="26"/>
      <c r="BS492" s="26"/>
      <c r="BT492" s="26"/>
      <c r="BU492" s="26"/>
      <c r="BV492" s="26"/>
      <c r="BW492" s="26"/>
      <c r="BX492" s="26"/>
      <c r="BY492" s="26"/>
      <c r="BZ492" s="26"/>
      <c r="CA492" s="26"/>
      <c r="CB492" s="26"/>
      <c r="CC492" s="26"/>
      <c r="CD492" s="26"/>
      <c r="CE492" s="26"/>
      <c r="CF492" s="26"/>
      <c r="CG492" s="26"/>
      <c r="CH492" s="26"/>
      <c r="CI492" s="26"/>
      <c r="CJ492" s="26"/>
      <c r="CK492" s="26"/>
      <c r="CL492" s="26"/>
      <c r="CM492" s="26"/>
      <c r="CN492" s="26"/>
      <c r="CO492" s="26"/>
      <c r="CP492" s="26"/>
      <c r="CQ492" s="26"/>
    </row>
    <row r="493" spans="1:95" s="29" customFormat="1" ht="15" customHeight="1" x14ac:dyDescent="0.25">
      <c r="A493" s="32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  <c r="AH493" s="26"/>
      <c r="AI493" s="26"/>
      <c r="AJ493" s="26"/>
      <c r="AK493" s="26"/>
      <c r="AL493" s="26"/>
      <c r="AM493" s="26"/>
      <c r="AN493" s="26"/>
      <c r="AO493" s="26"/>
      <c r="AP493" s="26"/>
      <c r="AQ493" s="26"/>
      <c r="AR493" s="26"/>
      <c r="AS493" s="26"/>
      <c r="AT493" s="26"/>
      <c r="AU493" s="26"/>
      <c r="AV493" s="26"/>
      <c r="AW493" s="26"/>
      <c r="AX493" s="26"/>
      <c r="AY493" s="26"/>
      <c r="AZ493" s="26"/>
      <c r="BA493" s="26"/>
      <c r="BB493" s="26"/>
      <c r="BC493" s="26"/>
      <c r="BD493" s="26"/>
      <c r="BE493" s="26"/>
      <c r="BF493" s="26"/>
      <c r="BG493" s="26"/>
      <c r="BH493" s="26"/>
      <c r="BI493" s="26"/>
      <c r="BJ493" s="26"/>
      <c r="BK493" s="26"/>
      <c r="BL493" s="26"/>
      <c r="BM493" s="26"/>
      <c r="BN493" s="26"/>
      <c r="BO493" s="26"/>
      <c r="BP493" s="26"/>
      <c r="BQ493" s="26"/>
      <c r="BR493" s="26"/>
      <c r="BS493" s="26"/>
      <c r="BT493" s="26"/>
      <c r="BU493" s="26"/>
      <c r="BV493" s="26"/>
      <c r="BW493" s="26"/>
      <c r="BX493" s="26"/>
      <c r="BY493" s="26"/>
      <c r="BZ493" s="26"/>
      <c r="CA493" s="26"/>
      <c r="CB493" s="26"/>
      <c r="CC493" s="26"/>
      <c r="CD493" s="26"/>
      <c r="CE493" s="26"/>
      <c r="CF493" s="26"/>
      <c r="CG493" s="26"/>
      <c r="CH493" s="26"/>
      <c r="CI493" s="26"/>
      <c r="CJ493" s="26"/>
      <c r="CK493" s="26"/>
      <c r="CL493" s="26"/>
      <c r="CM493" s="26"/>
      <c r="CN493" s="26"/>
      <c r="CO493" s="26"/>
      <c r="CP493" s="26"/>
      <c r="CQ493" s="26"/>
    </row>
    <row r="494" spans="1:95" s="29" customFormat="1" ht="15" customHeight="1" x14ac:dyDescent="0.25">
      <c r="A494" s="32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  <c r="AH494" s="26"/>
      <c r="AI494" s="26"/>
      <c r="AJ494" s="26"/>
      <c r="AK494" s="26"/>
      <c r="AL494" s="26"/>
      <c r="AM494" s="26"/>
      <c r="AN494" s="26"/>
      <c r="AO494" s="26"/>
      <c r="AP494" s="26"/>
      <c r="AQ494" s="26"/>
      <c r="AR494" s="26"/>
      <c r="AS494" s="26"/>
      <c r="AT494" s="26"/>
      <c r="AU494" s="26"/>
      <c r="AV494" s="26"/>
      <c r="AW494" s="26"/>
      <c r="AX494" s="26"/>
      <c r="AY494" s="26"/>
      <c r="AZ494" s="26"/>
      <c r="BA494" s="26"/>
      <c r="BB494" s="26"/>
      <c r="BC494" s="26"/>
      <c r="BD494" s="26"/>
      <c r="BE494" s="26"/>
      <c r="BF494" s="26"/>
      <c r="BG494" s="26"/>
      <c r="BH494" s="26"/>
      <c r="BI494" s="26"/>
      <c r="BJ494" s="26"/>
      <c r="BK494" s="26"/>
      <c r="BL494" s="26"/>
      <c r="BM494" s="26"/>
      <c r="BN494" s="26"/>
      <c r="BO494" s="26"/>
      <c r="BP494" s="26"/>
      <c r="BQ494" s="26"/>
      <c r="BR494" s="26"/>
      <c r="BS494" s="26"/>
      <c r="BT494" s="26"/>
      <c r="BU494" s="26"/>
      <c r="BV494" s="26"/>
      <c r="BW494" s="26"/>
      <c r="BX494" s="26"/>
      <c r="BY494" s="26"/>
      <c r="BZ494" s="26"/>
      <c r="CA494" s="26"/>
      <c r="CB494" s="26"/>
      <c r="CC494" s="26"/>
      <c r="CD494" s="26"/>
      <c r="CE494" s="26"/>
      <c r="CF494" s="26"/>
      <c r="CG494" s="26"/>
      <c r="CH494" s="26"/>
      <c r="CI494" s="26"/>
      <c r="CJ494" s="26"/>
      <c r="CK494" s="26"/>
      <c r="CL494" s="26"/>
      <c r="CM494" s="26"/>
      <c r="CN494" s="26"/>
      <c r="CO494" s="26"/>
      <c r="CP494" s="26"/>
      <c r="CQ494" s="26"/>
    </row>
    <row r="495" spans="1:95" s="29" customFormat="1" ht="15" customHeight="1" x14ac:dyDescent="0.25">
      <c r="A495" s="32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  <c r="AH495" s="26"/>
      <c r="AI495" s="26"/>
      <c r="AJ495" s="26"/>
      <c r="AK495" s="26"/>
      <c r="AL495" s="26"/>
      <c r="AM495" s="26"/>
      <c r="AN495" s="26"/>
      <c r="AO495" s="26"/>
      <c r="AP495" s="26"/>
      <c r="AQ495" s="26"/>
      <c r="AR495" s="26"/>
      <c r="AS495" s="26"/>
      <c r="AT495" s="26"/>
      <c r="AU495" s="26"/>
      <c r="AV495" s="26"/>
      <c r="AW495" s="26"/>
      <c r="AX495" s="26"/>
      <c r="AY495" s="26"/>
      <c r="AZ495" s="26"/>
      <c r="BA495" s="26"/>
      <c r="BB495" s="26"/>
      <c r="BC495" s="26"/>
      <c r="BD495" s="26"/>
      <c r="BE495" s="26"/>
      <c r="BF495" s="26"/>
      <c r="BG495" s="26"/>
      <c r="BH495" s="26"/>
      <c r="BI495" s="26"/>
      <c r="BJ495" s="26"/>
      <c r="BK495" s="26"/>
      <c r="BL495" s="26"/>
      <c r="BM495" s="26"/>
      <c r="BN495" s="26"/>
      <c r="BO495" s="26"/>
      <c r="BP495" s="26"/>
      <c r="BQ495" s="26"/>
      <c r="BR495" s="26"/>
      <c r="BS495" s="26"/>
      <c r="BT495" s="26"/>
      <c r="BU495" s="26"/>
      <c r="BV495" s="26"/>
      <c r="BW495" s="26"/>
      <c r="BX495" s="26"/>
      <c r="BY495" s="26"/>
      <c r="BZ495" s="26"/>
      <c r="CA495" s="26"/>
      <c r="CB495" s="26"/>
      <c r="CC495" s="26"/>
      <c r="CD495" s="26"/>
      <c r="CE495" s="26"/>
      <c r="CF495" s="26"/>
      <c r="CG495" s="26"/>
      <c r="CH495" s="26"/>
      <c r="CI495" s="26"/>
      <c r="CJ495" s="26"/>
      <c r="CK495" s="26"/>
      <c r="CL495" s="26"/>
      <c r="CM495" s="26"/>
      <c r="CN495" s="26"/>
      <c r="CO495" s="26"/>
      <c r="CP495" s="26"/>
      <c r="CQ495" s="26"/>
    </row>
    <row r="496" spans="1:95" s="29" customFormat="1" ht="15" customHeight="1" x14ac:dyDescent="0.25">
      <c r="A496" s="32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  <c r="AH496" s="26"/>
      <c r="AI496" s="26"/>
      <c r="AJ496" s="26"/>
      <c r="AK496" s="26"/>
      <c r="AL496" s="26"/>
      <c r="AM496" s="26"/>
      <c r="AN496" s="26"/>
      <c r="AO496" s="26"/>
      <c r="AP496" s="26"/>
      <c r="AQ496" s="26"/>
      <c r="AR496" s="26"/>
      <c r="AS496" s="26"/>
      <c r="AT496" s="26"/>
      <c r="AU496" s="26"/>
      <c r="AV496" s="26"/>
      <c r="AW496" s="26"/>
      <c r="AX496" s="26"/>
      <c r="AY496" s="26"/>
      <c r="AZ496" s="26"/>
      <c r="BA496" s="26"/>
      <c r="BB496" s="26"/>
      <c r="BC496" s="26"/>
      <c r="BD496" s="26"/>
      <c r="BE496" s="26"/>
      <c r="BF496" s="26"/>
      <c r="BG496" s="26"/>
      <c r="BH496" s="26"/>
      <c r="BI496" s="26"/>
      <c r="BJ496" s="26"/>
      <c r="BK496" s="26"/>
      <c r="BL496" s="26"/>
      <c r="BM496" s="26"/>
      <c r="BN496" s="26"/>
      <c r="BO496" s="26"/>
      <c r="BP496" s="26"/>
      <c r="BQ496" s="26"/>
      <c r="BR496" s="26"/>
      <c r="BS496" s="26"/>
      <c r="BT496" s="26"/>
      <c r="BU496" s="26"/>
      <c r="BV496" s="26"/>
      <c r="BW496" s="26"/>
      <c r="BX496" s="26"/>
      <c r="BY496" s="26"/>
      <c r="BZ496" s="26"/>
      <c r="CA496" s="26"/>
      <c r="CB496" s="26"/>
      <c r="CC496" s="26"/>
      <c r="CD496" s="26"/>
      <c r="CE496" s="26"/>
      <c r="CF496" s="26"/>
      <c r="CG496" s="26"/>
      <c r="CH496" s="26"/>
      <c r="CI496" s="26"/>
      <c r="CJ496" s="26"/>
      <c r="CK496" s="26"/>
      <c r="CL496" s="26"/>
      <c r="CM496" s="26"/>
      <c r="CN496" s="26"/>
      <c r="CO496" s="26"/>
      <c r="CP496" s="26"/>
      <c r="CQ496" s="26"/>
    </row>
    <row r="497" spans="1:95" s="29" customFormat="1" ht="15" customHeight="1" x14ac:dyDescent="0.25">
      <c r="A497" s="32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  <c r="AH497" s="26"/>
      <c r="AI497" s="26"/>
      <c r="AJ497" s="26"/>
      <c r="AK497" s="26"/>
      <c r="AL497" s="26"/>
      <c r="AM497" s="26"/>
      <c r="AN497" s="26"/>
      <c r="AO497" s="26"/>
      <c r="AP497" s="26"/>
      <c r="AQ497" s="26"/>
      <c r="AR497" s="26"/>
      <c r="AS497" s="26"/>
      <c r="AT497" s="26"/>
      <c r="AU497" s="26"/>
      <c r="AV497" s="26"/>
      <c r="AW497" s="26"/>
      <c r="AX497" s="26"/>
      <c r="AY497" s="26"/>
      <c r="AZ497" s="26"/>
      <c r="BA497" s="26"/>
      <c r="BB497" s="26"/>
      <c r="BC497" s="26"/>
      <c r="BD497" s="26"/>
      <c r="BE497" s="26"/>
      <c r="BF497" s="26"/>
      <c r="BG497" s="26"/>
      <c r="BH497" s="26"/>
      <c r="BI497" s="26"/>
      <c r="BJ497" s="26"/>
      <c r="BK497" s="26"/>
      <c r="BL497" s="26"/>
      <c r="BM497" s="26"/>
      <c r="BN497" s="26"/>
      <c r="BO497" s="26"/>
      <c r="BP497" s="26"/>
      <c r="BQ497" s="26"/>
      <c r="BR497" s="26"/>
      <c r="BS497" s="26"/>
      <c r="BT497" s="26"/>
      <c r="BU497" s="26"/>
      <c r="BV497" s="26"/>
      <c r="BW497" s="26"/>
      <c r="BX497" s="26"/>
      <c r="BY497" s="26"/>
      <c r="BZ497" s="26"/>
      <c r="CA497" s="26"/>
      <c r="CB497" s="26"/>
      <c r="CC497" s="26"/>
      <c r="CD497" s="26"/>
      <c r="CE497" s="26"/>
      <c r="CF497" s="26"/>
      <c r="CG497" s="26"/>
      <c r="CH497" s="26"/>
      <c r="CI497" s="26"/>
      <c r="CJ497" s="26"/>
      <c r="CK497" s="26"/>
      <c r="CL497" s="26"/>
      <c r="CM497" s="26"/>
      <c r="CN497" s="26"/>
      <c r="CO497" s="26"/>
      <c r="CP497" s="26"/>
      <c r="CQ497" s="26"/>
    </row>
    <row r="498" spans="1:95" s="29" customFormat="1" ht="15" customHeight="1" x14ac:dyDescent="0.25">
      <c r="A498" s="32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26"/>
      <c r="AI498" s="26"/>
      <c r="AJ498" s="26"/>
      <c r="AK498" s="26"/>
      <c r="AL498" s="26"/>
      <c r="AM498" s="26"/>
      <c r="AN498" s="26"/>
      <c r="AO498" s="26"/>
      <c r="AP498" s="26"/>
      <c r="AQ498" s="26"/>
      <c r="AR498" s="26"/>
      <c r="AS498" s="26"/>
      <c r="AT498" s="26"/>
      <c r="AU498" s="26"/>
      <c r="AV498" s="26"/>
      <c r="AW498" s="26"/>
      <c r="AX498" s="26"/>
      <c r="AY498" s="26"/>
      <c r="AZ498" s="26"/>
      <c r="BA498" s="26"/>
      <c r="BB498" s="26"/>
      <c r="BC498" s="26"/>
      <c r="BD498" s="26"/>
      <c r="BE498" s="26"/>
      <c r="BF498" s="26"/>
      <c r="BG498" s="26"/>
      <c r="BH498" s="26"/>
      <c r="BI498" s="26"/>
      <c r="BJ498" s="26"/>
      <c r="BK498" s="26"/>
      <c r="BL498" s="26"/>
      <c r="BM498" s="26"/>
      <c r="BN498" s="26"/>
      <c r="BO498" s="26"/>
      <c r="BP498" s="26"/>
      <c r="BQ498" s="26"/>
      <c r="BR498" s="26"/>
      <c r="BS498" s="26"/>
      <c r="BT498" s="26"/>
      <c r="BU498" s="26"/>
      <c r="BV498" s="26"/>
      <c r="BW498" s="26"/>
      <c r="BX498" s="26"/>
      <c r="BY498" s="26"/>
      <c r="BZ498" s="26"/>
      <c r="CA498" s="26"/>
      <c r="CB498" s="26"/>
      <c r="CC498" s="26"/>
      <c r="CD498" s="26"/>
      <c r="CE498" s="26"/>
      <c r="CF498" s="26"/>
      <c r="CG498" s="26"/>
      <c r="CH498" s="26"/>
      <c r="CI498" s="26"/>
      <c r="CJ498" s="26"/>
      <c r="CK498" s="26"/>
      <c r="CL498" s="26"/>
      <c r="CM498" s="26"/>
      <c r="CN498" s="26"/>
      <c r="CO498" s="26"/>
      <c r="CP498" s="26"/>
      <c r="CQ498" s="26"/>
    </row>
    <row r="499" spans="1:95" s="29" customFormat="1" ht="15" customHeight="1" x14ac:dyDescent="0.25">
      <c r="A499" s="32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  <c r="AH499" s="26"/>
      <c r="AI499" s="26"/>
      <c r="AJ499" s="26"/>
      <c r="AK499" s="26"/>
      <c r="AL499" s="26"/>
      <c r="AM499" s="26"/>
      <c r="AN499" s="26"/>
      <c r="AO499" s="26"/>
      <c r="AP499" s="26"/>
      <c r="AQ499" s="26"/>
      <c r="AR499" s="26"/>
      <c r="AS499" s="26"/>
      <c r="AT499" s="26"/>
      <c r="AU499" s="26"/>
      <c r="AV499" s="26"/>
      <c r="AW499" s="26"/>
      <c r="AX499" s="26"/>
      <c r="AY499" s="26"/>
      <c r="AZ499" s="26"/>
      <c r="BA499" s="26"/>
      <c r="BB499" s="26"/>
      <c r="BC499" s="26"/>
      <c r="BD499" s="26"/>
      <c r="BE499" s="26"/>
      <c r="BF499" s="26"/>
      <c r="BG499" s="26"/>
      <c r="BH499" s="26"/>
      <c r="BI499" s="26"/>
      <c r="BJ499" s="26"/>
      <c r="BK499" s="26"/>
      <c r="BL499" s="26"/>
      <c r="BM499" s="26"/>
      <c r="BN499" s="26"/>
      <c r="BO499" s="26"/>
      <c r="BP499" s="26"/>
      <c r="BQ499" s="26"/>
      <c r="BR499" s="26"/>
      <c r="BS499" s="26"/>
      <c r="BT499" s="26"/>
      <c r="BU499" s="26"/>
      <c r="BV499" s="26"/>
      <c r="BW499" s="26"/>
      <c r="BX499" s="26"/>
      <c r="BY499" s="26"/>
      <c r="BZ499" s="26"/>
      <c r="CA499" s="26"/>
      <c r="CB499" s="26"/>
      <c r="CC499" s="26"/>
      <c r="CD499" s="26"/>
      <c r="CE499" s="26"/>
      <c r="CF499" s="26"/>
      <c r="CG499" s="26"/>
      <c r="CH499" s="26"/>
      <c r="CI499" s="26"/>
      <c r="CJ499" s="26"/>
      <c r="CK499" s="26"/>
      <c r="CL499" s="26"/>
      <c r="CM499" s="26"/>
      <c r="CN499" s="26"/>
      <c r="CO499" s="26"/>
      <c r="CP499" s="26"/>
      <c r="CQ499" s="26"/>
    </row>
    <row r="500" spans="1:95" s="29" customFormat="1" ht="15" customHeight="1" x14ac:dyDescent="0.25">
      <c r="A500" s="32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  <c r="AH500" s="26"/>
      <c r="AI500" s="26"/>
      <c r="AJ500" s="26"/>
      <c r="AK500" s="26"/>
      <c r="AL500" s="26"/>
      <c r="AM500" s="26"/>
      <c r="AN500" s="26"/>
      <c r="AO500" s="26"/>
      <c r="AP500" s="26"/>
      <c r="AQ500" s="26"/>
      <c r="AR500" s="26"/>
      <c r="AS500" s="26"/>
      <c r="AT500" s="26"/>
      <c r="AU500" s="26"/>
      <c r="AV500" s="26"/>
      <c r="AW500" s="26"/>
      <c r="AX500" s="26"/>
      <c r="AY500" s="26"/>
      <c r="AZ500" s="26"/>
      <c r="BA500" s="26"/>
      <c r="BB500" s="26"/>
      <c r="BC500" s="26"/>
      <c r="BD500" s="26"/>
      <c r="BE500" s="26"/>
      <c r="BF500" s="26"/>
      <c r="BG500" s="26"/>
      <c r="BH500" s="26"/>
      <c r="BI500" s="26"/>
      <c r="BJ500" s="26"/>
      <c r="BK500" s="26"/>
      <c r="BL500" s="26"/>
      <c r="BM500" s="26"/>
      <c r="BN500" s="26"/>
      <c r="BO500" s="26"/>
      <c r="BP500" s="26"/>
      <c r="BQ500" s="26"/>
      <c r="BR500" s="26"/>
      <c r="BS500" s="26"/>
      <c r="BT500" s="26"/>
      <c r="BU500" s="26"/>
      <c r="BV500" s="26"/>
      <c r="BW500" s="26"/>
      <c r="BX500" s="26"/>
      <c r="BY500" s="26"/>
      <c r="BZ500" s="26"/>
      <c r="CA500" s="26"/>
      <c r="CB500" s="26"/>
      <c r="CC500" s="26"/>
      <c r="CD500" s="26"/>
      <c r="CE500" s="26"/>
      <c r="CF500" s="26"/>
      <c r="CG500" s="26"/>
      <c r="CH500" s="26"/>
      <c r="CI500" s="26"/>
      <c r="CJ500" s="26"/>
      <c r="CK500" s="26"/>
      <c r="CL500" s="26"/>
      <c r="CM500" s="26"/>
      <c r="CN500" s="26"/>
      <c r="CO500" s="26"/>
      <c r="CP500" s="26"/>
      <c r="CQ500" s="26"/>
    </row>
    <row r="501" spans="1:95" s="29" customFormat="1" ht="15" customHeight="1" x14ac:dyDescent="0.25">
      <c r="A501" s="32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  <c r="AH501" s="26"/>
      <c r="AI501" s="26"/>
      <c r="AJ501" s="26"/>
      <c r="AK501" s="26"/>
      <c r="AL501" s="26"/>
      <c r="AM501" s="26"/>
      <c r="AN501" s="26"/>
      <c r="AO501" s="26"/>
      <c r="AP501" s="26"/>
      <c r="AQ501" s="26"/>
      <c r="AR501" s="26"/>
      <c r="AS501" s="26"/>
      <c r="AT501" s="26"/>
      <c r="AU501" s="26"/>
      <c r="AV501" s="26"/>
      <c r="AW501" s="26"/>
      <c r="AX501" s="26"/>
      <c r="AY501" s="26"/>
      <c r="AZ501" s="26"/>
      <c r="BA501" s="26"/>
      <c r="BB501" s="26"/>
      <c r="BC501" s="26"/>
      <c r="BD501" s="26"/>
      <c r="BE501" s="26"/>
      <c r="BF501" s="26"/>
      <c r="BG501" s="26"/>
      <c r="BH501" s="26"/>
      <c r="BI501" s="26"/>
      <c r="BJ501" s="26"/>
      <c r="BK501" s="26"/>
      <c r="BL501" s="26"/>
      <c r="BM501" s="26"/>
      <c r="BN501" s="26"/>
      <c r="BO501" s="26"/>
      <c r="BP501" s="26"/>
      <c r="BQ501" s="26"/>
      <c r="BR501" s="26"/>
      <c r="BS501" s="26"/>
      <c r="BT501" s="26"/>
      <c r="BU501" s="26"/>
      <c r="BV501" s="26"/>
      <c r="BW501" s="26"/>
      <c r="BX501" s="26"/>
      <c r="BY501" s="26"/>
      <c r="BZ501" s="26"/>
      <c r="CA501" s="26"/>
      <c r="CB501" s="26"/>
      <c r="CC501" s="26"/>
      <c r="CD501" s="26"/>
      <c r="CE501" s="26"/>
      <c r="CF501" s="26"/>
      <c r="CG501" s="26"/>
      <c r="CH501" s="26"/>
      <c r="CI501" s="26"/>
      <c r="CJ501" s="26"/>
      <c r="CK501" s="26"/>
      <c r="CL501" s="26"/>
      <c r="CM501" s="26"/>
      <c r="CN501" s="26"/>
      <c r="CO501" s="26"/>
      <c r="CP501" s="26"/>
      <c r="CQ501" s="26"/>
    </row>
    <row r="502" spans="1:95" s="29" customFormat="1" ht="15" customHeight="1" x14ac:dyDescent="0.25">
      <c r="A502" s="32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  <c r="AJ502" s="26"/>
      <c r="AK502" s="26"/>
      <c r="AL502" s="26"/>
      <c r="AM502" s="26"/>
      <c r="AN502" s="26"/>
      <c r="AO502" s="26"/>
      <c r="AP502" s="26"/>
      <c r="AQ502" s="26"/>
      <c r="AR502" s="26"/>
      <c r="AS502" s="26"/>
      <c r="AT502" s="26"/>
      <c r="AU502" s="26"/>
      <c r="AV502" s="26"/>
      <c r="AW502" s="26"/>
      <c r="AX502" s="26"/>
      <c r="AY502" s="26"/>
      <c r="AZ502" s="26"/>
      <c r="BA502" s="26"/>
      <c r="BB502" s="26"/>
      <c r="BC502" s="26"/>
      <c r="BD502" s="26"/>
      <c r="BE502" s="26"/>
      <c r="BF502" s="26"/>
      <c r="BG502" s="26"/>
      <c r="BH502" s="26"/>
      <c r="BI502" s="26"/>
      <c r="BJ502" s="26"/>
      <c r="BK502" s="26"/>
      <c r="BL502" s="26"/>
      <c r="BM502" s="26"/>
      <c r="BN502" s="26"/>
      <c r="BO502" s="26"/>
      <c r="BP502" s="26"/>
      <c r="BQ502" s="26"/>
      <c r="BR502" s="26"/>
      <c r="BS502" s="26"/>
      <c r="BT502" s="26"/>
      <c r="BU502" s="26"/>
      <c r="BV502" s="26"/>
      <c r="BW502" s="26"/>
      <c r="BX502" s="26"/>
      <c r="BY502" s="26"/>
      <c r="BZ502" s="26"/>
      <c r="CA502" s="26"/>
      <c r="CB502" s="26"/>
      <c r="CC502" s="26"/>
      <c r="CD502" s="26"/>
      <c r="CE502" s="26"/>
      <c r="CF502" s="26"/>
      <c r="CG502" s="26"/>
      <c r="CH502" s="26"/>
      <c r="CI502" s="26"/>
      <c r="CJ502" s="26"/>
      <c r="CK502" s="26"/>
      <c r="CL502" s="26"/>
      <c r="CM502" s="26"/>
      <c r="CN502" s="26"/>
      <c r="CO502" s="26"/>
      <c r="CP502" s="26"/>
      <c r="CQ502" s="26"/>
    </row>
    <row r="503" spans="1:95" s="29" customFormat="1" ht="15" customHeight="1" x14ac:dyDescent="0.25">
      <c r="A503" s="32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  <c r="AH503" s="26"/>
      <c r="AI503" s="26"/>
      <c r="AJ503" s="26"/>
      <c r="AK503" s="26"/>
      <c r="AL503" s="26"/>
      <c r="AM503" s="26"/>
      <c r="AN503" s="26"/>
      <c r="AO503" s="26"/>
      <c r="AP503" s="26"/>
      <c r="AQ503" s="26"/>
      <c r="AR503" s="26"/>
      <c r="AS503" s="26"/>
      <c r="AT503" s="26"/>
      <c r="AU503" s="26"/>
      <c r="AV503" s="26"/>
      <c r="AW503" s="26"/>
      <c r="AX503" s="26"/>
      <c r="AY503" s="26"/>
      <c r="AZ503" s="26"/>
      <c r="BA503" s="26"/>
      <c r="BB503" s="26"/>
      <c r="BC503" s="26"/>
      <c r="BD503" s="26"/>
      <c r="BE503" s="26"/>
      <c r="BF503" s="26"/>
      <c r="BG503" s="26"/>
      <c r="BH503" s="26"/>
      <c r="BI503" s="26"/>
      <c r="BJ503" s="26"/>
      <c r="BK503" s="26"/>
      <c r="BL503" s="26"/>
      <c r="BM503" s="26"/>
      <c r="BN503" s="26"/>
      <c r="BO503" s="26"/>
      <c r="BP503" s="26"/>
      <c r="BQ503" s="26"/>
      <c r="BR503" s="26"/>
      <c r="BS503" s="26"/>
      <c r="BT503" s="26"/>
      <c r="BU503" s="26"/>
      <c r="BV503" s="26"/>
      <c r="BW503" s="26"/>
      <c r="BX503" s="26"/>
      <c r="BY503" s="26"/>
      <c r="BZ503" s="26"/>
      <c r="CA503" s="26"/>
      <c r="CB503" s="26"/>
      <c r="CC503" s="26"/>
      <c r="CD503" s="26"/>
      <c r="CE503" s="26"/>
      <c r="CF503" s="26"/>
      <c r="CG503" s="26"/>
      <c r="CH503" s="26"/>
      <c r="CI503" s="26"/>
      <c r="CJ503" s="26"/>
      <c r="CK503" s="26"/>
      <c r="CL503" s="26"/>
      <c r="CM503" s="26"/>
      <c r="CN503" s="26"/>
      <c r="CO503" s="26"/>
      <c r="CP503" s="26"/>
      <c r="CQ503" s="26"/>
    </row>
    <row r="504" spans="1:95" s="29" customFormat="1" ht="15" customHeight="1" x14ac:dyDescent="0.25">
      <c r="A504" s="32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  <c r="AI504" s="26"/>
      <c r="AJ504" s="26"/>
      <c r="AK504" s="26"/>
      <c r="AL504" s="26"/>
      <c r="AM504" s="26"/>
      <c r="AN504" s="26"/>
      <c r="AO504" s="26"/>
      <c r="AP504" s="26"/>
      <c r="AQ504" s="26"/>
      <c r="AR504" s="26"/>
      <c r="AS504" s="26"/>
      <c r="AT504" s="26"/>
      <c r="AU504" s="26"/>
      <c r="AV504" s="26"/>
      <c r="AW504" s="26"/>
      <c r="AX504" s="26"/>
      <c r="AY504" s="26"/>
      <c r="AZ504" s="26"/>
      <c r="BA504" s="26"/>
      <c r="BB504" s="26"/>
      <c r="BC504" s="26"/>
      <c r="BD504" s="26"/>
      <c r="BE504" s="26"/>
      <c r="BF504" s="26"/>
      <c r="BG504" s="26"/>
      <c r="BH504" s="26"/>
      <c r="BI504" s="26"/>
      <c r="BJ504" s="26"/>
      <c r="BK504" s="26"/>
      <c r="BL504" s="26"/>
      <c r="BM504" s="26"/>
      <c r="BN504" s="26"/>
      <c r="BO504" s="26"/>
      <c r="BP504" s="26"/>
      <c r="BQ504" s="26"/>
      <c r="BR504" s="26"/>
      <c r="BS504" s="26"/>
      <c r="BT504" s="26"/>
      <c r="BU504" s="26"/>
      <c r="BV504" s="26"/>
      <c r="BW504" s="26"/>
      <c r="BX504" s="26"/>
      <c r="BY504" s="26"/>
      <c r="BZ504" s="26"/>
      <c r="CA504" s="26"/>
      <c r="CB504" s="26"/>
      <c r="CC504" s="26"/>
      <c r="CD504" s="26"/>
      <c r="CE504" s="26"/>
      <c r="CF504" s="26"/>
      <c r="CG504" s="26"/>
      <c r="CH504" s="26"/>
      <c r="CI504" s="26"/>
      <c r="CJ504" s="26"/>
      <c r="CK504" s="26"/>
      <c r="CL504" s="26"/>
      <c r="CM504" s="26"/>
      <c r="CN504" s="26"/>
      <c r="CO504" s="26"/>
      <c r="CP504" s="26"/>
      <c r="CQ504" s="26"/>
    </row>
    <row r="505" spans="1:95" s="29" customFormat="1" ht="15" customHeight="1" x14ac:dyDescent="0.25">
      <c r="A505" s="32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  <c r="AJ505" s="26"/>
      <c r="AK505" s="26"/>
      <c r="AL505" s="26"/>
      <c r="AM505" s="26"/>
      <c r="AN505" s="26"/>
      <c r="AO505" s="26"/>
      <c r="AP505" s="26"/>
      <c r="AQ505" s="26"/>
      <c r="AR505" s="26"/>
      <c r="AS505" s="26"/>
      <c r="AT505" s="26"/>
      <c r="AU505" s="26"/>
      <c r="AV505" s="26"/>
      <c r="AW505" s="26"/>
      <c r="AX505" s="26"/>
      <c r="AY505" s="26"/>
      <c r="AZ505" s="26"/>
      <c r="BA505" s="26"/>
      <c r="BB505" s="26"/>
      <c r="BC505" s="26"/>
      <c r="BD505" s="26"/>
      <c r="BE505" s="26"/>
      <c r="BF505" s="26"/>
      <c r="BG505" s="26"/>
      <c r="BH505" s="26"/>
      <c r="BI505" s="26"/>
      <c r="BJ505" s="26"/>
      <c r="BK505" s="26"/>
      <c r="BL505" s="26"/>
      <c r="BM505" s="26"/>
      <c r="BN505" s="26"/>
      <c r="BO505" s="26"/>
      <c r="BP505" s="26"/>
      <c r="BQ505" s="26"/>
      <c r="BR505" s="26"/>
      <c r="BS505" s="26"/>
      <c r="BT505" s="26"/>
      <c r="BU505" s="26"/>
      <c r="BV505" s="26"/>
      <c r="BW505" s="26"/>
      <c r="BX505" s="26"/>
      <c r="BY505" s="26"/>
      <c r="BZ505" s="26"/>
      <c r="CA505" s="26"/>
      <c r="CB505" s="26"/>
      <c r="CC505" s="26"/>
      <c r="CD505" s="26"/>
      <c r="CE505" s="26"/>
      <c r="CF505" s="26"/>
      <c r="CG505" s="26"/>
      <c r="CH505" s="26"/>
      <c r="CI505" s="26"/>
      <c r="CJ505" s="26"/>
      <c r="CK505" s="26"/>
      <c r="CL505" s="26"/>
      <c r="CM505" s="26"/>
      <c r="CN505" s="26"/>
      <c r="CO505" s="26"/>
      <c r="CP505" s="26"/>
      <c r="CQ505" s="26"/>
    </row>
    <row r="506" spans="1:95" s="29" customFormat="1" ht="15" customHeight="1" x14ac:dyDescent="0.25">
      <c r="A506" s="32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  <c r="AJ506" s="26"/>
      <c r="AK506" s="26"/>
      <c r="AL506" s="26"/>
      <c r="AM506" s="26"/>
      <c r="AN506" s="26"/>
      <c r="AO506" s="26"/>
      <c r="AP506" s="26"/>
      <c r="AQ506" s="26"/>
      <c r="AR506" s="26"/>
      <c r="AS506" s="26"/>
      <c r="AT506" s="26"/>
      <c r="AU506" s="26"/>
      <c r="AV506" s="26"/>
      <c r="AW506" s="26"/>
      <c r="AX506" s="26"/>
      <c r="AY506" s="26"/>
      <c r="AZ506" s="26"/>
      <c r="BA506" s="26"/>
      <c r="BB506" s="26"/>
      <c r="BC506" s="26"/>
      <c r="BD506" s="26"/>
      <c r="BE506" s="26"/>
      <c r="BF506" s="26"/>
      <c r="BG506" s="26"/>
      <c r="BH506" s="26"/>
      <c r="BI506" s="26"/>
      <c r="BJ506" s="26"/>
      <c r="BK506" s="26"/>
      <c r="BL506" s="26"/>
      <c r="BM506" s="26"/>
      <c r="BN506" s="26"/>
      <c r="BO506" s="26"/>
      <c r="BP506" s="26"/>
      <c r="BQ506" s="26"/>
      <c r="BR506" s="26"/>
      <c r="BS506" s="26"/>
      <c r="BT506" s="26"/>
      <c r="BU506" s="26"/>
      <c r="BV506" s="26"/>
      <c r="BW506" s="26"/>
      <c r="BX506" s="26"/>
      <c r="BY506" s="26"/>
      <c r="BZ506" s="26"/>
      <c r="CA506" s="26"/>
      <c r="CB506" s="26"/>
      <c r="CC506" s="26"/>
      <c r="CD506" s="26"/>
      <c r="CE506" s="26"/>
      <c r="CF506" s="26"/>
      <c r="CG506" s="26"/>
      <c r="CH506" s="26"/>
      <c r="CI506" s="26"/>
      <c r="CJ506" s="26"/>
      <c r="CK506" s="26"/>
      <c r="CL506" s="26"/>
      <c r="CM506" s="26"/>
      <c r="CN506" s="26"/>
      <c r="CO506" s="26"/>
      <c r="CP506" s="26"/>
      <c r="CQ506" s="26"/>
    </row>
    <row r="507" spans="1:95" s="29" customFormat="1" ht="15" customHeight="1" x14ac:dyDescent="0.25">
      <c r="A507" s="32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  <c r="AJ507" s="26"/>
      <c r="AK507" s="26"/>
      <c r="AL507" s="26"/>
      <c r="AM507" s="26"/>
      <c r="AN507" s="26"/>
      <c r="AO507" s="26"/>
      <c r="AP507" s="26"/>
      <c r="AQ507" s="26"/>
      <c r="AR507" s="26"/>
      <c r="AS507" s="26"/>
      <c r="AT507" s="26"/>
      <c r="AU507" s="26"/>
      <c r="AV507" s="26"/>
      <c r="AW507" s="26"/>
      <c r="AX507" s="26"/>
      <c r="AY507" s="26"/>
      <c r="AZ507" s="26"/>
      <c r="BA507" s="26"/>
      <c r="BB507" s="26"/>
      <c r="BC507" s="26"/>
      <c r="BD507" s="26"/>
      <c r="BE507" s="26"/>
      <c r="BF507" s="26"/>
      <c r="BG507" s="26"/>
      <c r="BH507" s="26"/>
      <c r="BI507" s="26"/>
      <c r="BJ507" s="26"/>
      <c r="BK507" s="26"/>
      <c r="BL507" s="26"/>
      <c r="BM507" s="26"/>
      <c r="BN507" s="26"/>
      <c r="BO507" s="26"/>
      <c r="BP507" s="26"/>
      <c r="BQ507" s="26"/>
      <c r="BR507" s="26"/>
      <c r="BS507" s="26"/>
      <c r="BT507" s="26"/>
      <c r="BU507" s="26"/>
      <c r="BV507" s="26"/>
      <c r="BW507" s="26"/>
      <c r="BX507" s="26"/>
      <c r="BY507" s="26"/>
      <c r="BZ507" s="26"/>
      <c r="CA507" s="26"/>
      <c r="CB507" s="26"/>
      <c r="CC507" s="26"/>
      <c r="CD507" s="26"/>
      <c r="CE507" s="26"/>
      <c r="CF507" s="26"/>
      <c r="CG507" s="26"/>
      <c r="CH507" s="26"/>
      <c r="CI507" s="26"/>
      <c r="CJ507" s="26"/>
      <c r="CK507" s="26"/>
      <c r="CL507" s="26"/>
      <c r="CM507" s="26"/>
      <c r="CN507" s="26"/>
      <c r="CO507" s="26"/>
      <c r="CP507" s="26"/>
      <c r="CQ507" s="26"/>
    </row>
    <row r="508" spans="1:95" s="29" customFormat="1" ht="15" customHeight="1" x14ac:dyDescent="0.25">
      <c r="A508" s="32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  <c r="AJ508" s="26"/>
      <c r="AK508" s="26"/>
      <c r="AL508" s="26"/>
      <c r="AM508" s="26"/>
      <c r="AN508" s="26"/>
      <c r="AO508" s="26"/>
      <c r="AP508" s="26"/>
      <c r="AQ508" s="26"/>
      <c r="AR508" s="26"/>
      <c r="AS508" s="26"/>
      <c r="AT508" s="26"/>
      <c r="AU508" s="26"/>
      <c r="AV508" s="26"/>
      <c r="AW508" s="26"/>
      <c r="AX508" s="26"/>
      <c r="AY508" s="26"/>
      <c r="AZ508" s="26"/>
      <c r="BA508" s="26"/>
      <c r="BB508" s="26"/>
      <c r="BC508" s="26"/>
      <c r="BD508" s="26"/>
      <c r="BE508" s="26"/>
      <c r="BF508" s="26"/>
      <c r="BG508" s="26"/>
      <c r="BH508" s="26"/>
      <c r="BI508" s="26"/>
      <c r="BJ508" s="26"/>
      <c r="BK508" s="26"/>
      <c r="BL508" s="26"/>
      <c r="BM508" s="26"/>
      <c r="BN508" s="26"/>
      <c r="BO508" s="26"/>
      <c r="BP508" s="26"/>
      <c r="BQ508" s="26"/>
      <c r="BR508" s="26"/>
      <c r="BS508" s="26"/>
      <c r="BT508" s="26"/>
      <c r="BU508" s="26"/>
      <c r="BV508" s="26"/>
      <c r="BW508" s="26"/>
      <c r="BX508" s="26"/>
      <c r="BY508" s="26"/>
      <c r="BZ508" s="26"/>
      <c r="CA508" s="26"/>
      <c r="CB508" s="26"/>
      <c r="CC508" s="26"/>
      <c r="CD508" s="26"/>
      <c r="CE508" s="26"/>
      <c r="CF508" s="26"/>
      <c r="CG508" s="26"/>
      <c r="CH508" s="26"/>
      <c r="CI508" s="26"/>
      <c r="CJ508" s="26"/>
      <c r="CK508" s="26"/>
      <c r="CL508" s="26"/>
      <c r="CM508" s="26"/>
      <c r="CN508" s="26"/>
      <c r="CO508" s="26"/>
      <c r="CP508" s="26"/>
      <c r="CQ508" s="26"/>
    </row>
    <row r="509" spans="1:95" s="29" customFormat="1" ht="15" customHeight="1" x14ac:dyDescent="0.25">
      <c r="A509" s="32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  <c r="AM509" s="26"/>
      <c r="AN509" s="26"/>
      <c r="AO509" s="26"/>
      <c r="AP509" s="26"/>
      <c r="AQ509" s="26"/>
      <c r="AR509" s="26"/>
      <c r="AS509" s="26"/>
      <c r="AT509" s="26"/>
      <c r="AU509" s="26"/>
      <c r="AV509" s="26"/>
      <c r="AW509" s="26"/>
      <c r="AX509" s="26"/>
      <c r="AY509" s="26"/>
      <c r="AZ509" s="26"/>
      <c r="BA509" s="26"/>
      <c r="BB509" s="26"/>
      <c r="BC509" s="26"/>
      <c r="BD509" s="26"/>
      <c r="BE509" s="26"/>
      <c r="BF509" s="26"/>
      <c r="BG509" s="26"/>
      <c r="BH509" s="26"/>
      <c r="BI509" s="26"/>
      <c r="BJ509" s="26"/>
      <c r="BK509" s="26"/>
      <c r="BL509" s="26"/>
      <c r="BM509" s="26"/>
      <c r="BN509" s="26"/>
      <c r="BO509" s="26"/>
      <c r="BP509" s="26"/>
      <c r="BQ509" s="26"/>
      <c r="BR509" s="26"/>
      <c r="BS509" s="26"/>
      <c r="BT509" s="26"/>
      <c r="BU509" s="26"/>
      <c r="BV509" s="26"/>
      <c r="BW509" s="26"/>
      <c r="BX509" s="26"/>
      <c r="BY509" s="26"/>
      <c r="BZ509" s="26"/>
      <c r="CA509" s="26"/>
      <c r="CB509" s="26"/>
      <c r="CC509" s="26"/>
      <c r="CD509" s="26"/>
      <c r="CE509" s="26"/>
      <c r="CF509" s="26"/>
      <c r="CG509" s="26"/>
      <c r="CH509" s="26"/>
      <c r="CI509" s="26"/>
      <c r="CJ509" s="26"/>
      <c r="CK509" s="26"/>
      <c r="CL509" s="26"/>
      <c r="CM509" s="26"/>
      <c r="CN509" s="26"/>
      <c r="CO509" s="26"/>
      <c r="CP509" s="26"/>
      <c r="CQ509" s="26"/>
    </row>
    <row r="510" spans="1:95" s="29" customFormat="1" ht="15" customHeight="1" x14ac:dyDescent="0.25">
      <c r="A510" s="32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  <c r="AI510" s="26"/>
      <c r="AJ510" s="26"/>
      <c r="AK510" s="26"/>
      <c r="AL510" s="26"/>
      <c r="AM510" s="26"/>
      <c r="AN510" s="26"/>
      <c r="AO510" s="26"/>
      <c r="AP510" s="26"/>
      <c r="AQ510" s="26"/>
      <c r="AR510" s="26"/>
      <c r="AS510" s="26"/>
      <c r="AT510" s="26"/>
      <c r="AU510" s="26"/>
      <c r="AV510" s="26"/>
      <c r="AW510" s="26"/>
      <c r="AX510" s="26"/>
      <c r="AY510" s="26"/>
      <c r="AZ510" s="26"/>
      <c r="BA510" s="26"/>
      <c r="BB510" s="26"/>
      <c r="BC510" s="26"/>
      <c r="BD510" s="26"/>
      <c r="BE510" s="26"/>
      <c r="BF510" s="26"/>
      <c r="BG510" s="26"/>
      <c r="BH510" s="26"/>
      <c r="BI510" s="26"/>
      <c r="BJ510" s="26"/>
      <c r="BK510" s="26"/>
      <c r="BL510" s="26"/>
      <c r="BM510" s="26"/>
      <c r="BN510" s="26"/>
      <c r="BO510" s="26"/>
      <c r="BP510" s="26"/>
      <c r="BQ510" s="26"/>
      <c r="BR510" s="26"/>
      <c r="BS510" s="26"/>
      <c r="BT510" s="26"/>
      <c r="BU510" s="26"/>
      <c r="BV510" s="26"/>
      <c r="BW510" s="26"/>
      <c r="BX510" s="26"/>
      <c r="BY510" s="26"/>
      <c r="BZ510" s="26"/>
      <c r="CA510" s="26"/>
      <c r="CB510" s="26"/>
      <c r="CC510" s="26"/>
      <c r="CD510" s="26"/>
      <c r="CE510" s="26"/>
      <c r="CF510" s="26"/>
      <c r="CG510" s="26"/>
      <c r="CH510" s="26"/>
      <c r="CI510" s="26"/>
      <c r="CJ510" s="26"/>
      <c r="CK510" s="26"/>
      <c r="CL510" s="26"/>
      <c r="CM510" s="26"/>
      <c r="CN510" s="26"/>
      <c r="CO510" s="26"/>
      <c r="CP510" s="26"/>
      <c r="CQ510" s="26"/>
    </row>
    <row r="511" spans="1:95" s="29" customFormat="1" ht="15" customHeight="1" x14ac:dyDescent="0.25">
      <c r="A511" s="32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  <c r="AH511" s="26"/>
      <c r="AI511" s="26"/>
      <c r="AJ511" s="26"/>
      <c r="AK511" s="26"/>
      <c r="AL511" s="26"/>
      <c r="AM511" s="26"/>
      <c r="AN511" s="26"/>
      <c r="AO511" s="26"/>
      <c r="AP511" s="26"/>
      <c r="AQ511" s="26"/>
      <c r="AR511" s="26"/>
      <c r="AS511" s="26"/>
      <c r="AT511" s="26"/>
      <c r="AU511" s="26"/>
      <c r="AV511" s="26"/>
      <c r="AW511" s="26"/>
      <c r="AX511" s="26"/>
      <c r="AY511" s="26"/>
      <c r="AZ511" s="26"/>
      <c r="BA511" s="26"/>
      <c r="BB511" s="26"/>
      <c r="BC511" s="26"/>
      <c r="BD511" s="26"/>
      <c r="BE511" s="26"/>
      <c r="BF511" s="26"/>
      <c r="BG511" s="26"/>
      <c r="BH511" s="26"/>
      <c r="BI511" s="26"/>
      <c r="BJ511" s="26"/>
      <c r="BK511" s="26"/>
      <c r="BL511" s="26"/>
      <c r="BM511" s="26"/>
      <c r="BN511" s="26"/>
      <c r="BO511" s="26"/>
      <c r="BP511" s="26"/>
      <c r="BQ511" s="26"/>
      <c r="BR511" s="26"/>
      <c r="BS511" s="26"/>
      <c r="BT511" s="26"/>
      <c r="BU511" s="26"/>
      <c r="BV511" s="26"/>
      <c r="BW511" s="26"/>
      <c r="BX511" s="26"/>
      <c r="BY511" s="26"/>
      <c r="BZ511" s="26"/>
      <c r="CA511" s="26"/>
      <c r="CB511" s="26"/>
      <c r="CC511" s="26"/>
      <c r="CD511" s="26"/>
      <c r="CE511" s="26"/>
      <c r="CF511" s="26"/>
      <c r="CG511" s="26"/>
      <c r="CH511" s="26"/>
      <c r="CI511" s="26"/>
      <c r="CJ511" s="26"/>
      <c r="CK511" s="26"/>
      <c r="CL511" s="26"/>
      <c r="CM511" s="26"/>
      <c r="CN511" s="26"/>
      <c r="CO511" s="26"/>
      <c r="CP511" s="26"/>
      <c r="CQ511" s="26"/>
    </row>
    <row r="512" spans="1:95" s="29" customFormat="1" ht="15" customHeight="1" x14ac:dyDescent="0.25">
      <c r="A512" s="32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  <c r="AH512" s="26"/>
      <c r="AI512" s="26"/>
      <c r="AJ512" s="26"/>
      <c r="AK512" s="26"/>
      <c r="AL512" s="26"/>
      <c r="AM512" s="26"/>
      <c r="AN512" s="26"/>
      <c r="AO512" s="26"/>
      <c r="AP512" s="26"/>
      <c r="AQ512" s="26"/>
      <c r="AR512" s="26"/>
      <c r="AS512" s="26"/>
      <c r="AT512" s="26"/>
      <c r="AU512" s="26"/>
      <c r="AV512" s="26"/>
      <c r="AW512" s="26"/>
      <c r="AX512" s="26"/>
      <c r="AY512" s="26"/>
      <c r="AZ512" s="26"/>
      <c r="BA512" s="26"/>
      <c r="BB512" s="26"/>
      <c r="BC512" s="26"/>
      <c r="BD512" s="26"/>
      <c r="BE512" s="26"/>
      <c r="BF512" s="26"/>
      <c r="BG512" s="26"/>
      <c r="BH512" s="26"/>
      <c r="BI512" s="26"/>
      <c r="BJ512" s="26"/>
      <c r="BK512" s="26"/>
      <c r="BL512" s="26"/>
      <c r="BM512" s="26"/>
      <c r="BN512" s="26"/>
      <c r="BO512" s="26"/>
      <c r="BP512" s="26"/>
      <c r="BQ512" s="26"/>
      <c r="BR512" s="26"/>
      <c r="BS512" s="26"/>
      <c r="BT512" s="26"/>
      <c r="BU512" s="26"/>
      <c r="BV512" s="26"/>
      <c r="BW512" s="26"/>
      <c r="BX512" s="26"/>
      <c r="BY512" s="26"/>
      <c r="BZ512" s="26"/>
      <c r="CA512" s="26"/>
      <c r="CB512" s="26"/>
      <c r="CC512" s="26"/>
      <c r="CD512" s="26"/>
      <c r="CE512" s="26"/>
      <c r="CF512" s="26"/>
      <c r="CG512" s="26"/>
      <c r="CH512" s="26"/>
      <c r="CI512" s="26"/>
      <c r="CJ512" s="26"/>
      <c r="CK512" s="26"/>
      <c r="CL512" s="26"/>
      <c r="CM512" s="26"/>
      <c r="CN512" s="26"/>
      <c r="CO512" s="26"/>
      <c r="CP512" s="26"/>
      <c r="CQ512" s="26"/>
    </row>
    <row r="513" spans="1:95" s="29" customFormat="1" ht="15" customHeight="1" x14ac:dyDescent="0.25">
      <c r="A513" s="32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  <c r="AH513" s="26"/>
      <c r="AI513" s="26"/>
      <c r="AJ513" s="26"/>
      <c r="AK513" s="26"/>
      <c r="AL513" s="26"/>
      <c r="AM513" s="26"/>
      <c r="AN513" s="26"/>
      <c r="AO513" s="26"/>
      <c r="AP513" s="26"/>
      <c r="AQ513" s="26"/>
      <c r="AR513" s="26"/>
      <c r="AS513" s="26"/>
      <c r="AT513" s="26"/>
      <c r="AU513" s="26"/>
      <c r="AV513" s="26"/>
      <c r="AW513" s="26"/>
      <c r="AX513" s="26"/>
      <c r="AY513" s="26"/>
      <c r="AZ513" s="26"/>
      <c r="BA513" s="26"/>
      <c r="BB513" s="26"/>
      <c r="BC513" s="26"/>
      <c r="BD513" s="26"/>
      <c r="BE513" s="26"/>
      <c r="BF513" s="26"/>
      <c r="BG513" s="26"/>
      <c r="BH513" s="26"/>
      <c r="BI513" s="26"/>
      <c r="BJ513" s="26"/>
      <c r="BK513" s="26"/>
      <c r="BL513" s="26"/>
      <c r="BM513" s="26"/>
      <c r="BN513" s="26"/>
      <c r="BO513" s="26"/>
      <c r="BP513" s="26"/>
      <c r="BQ513" s="26"/>
      <c r="BR513" s="26"/>
      <c r="BS513" s="26"/>
      <c r="BT513" s="26"/>
      <c r="BU513" s="26"/>
      <c r="BV513" s="26"/>
      <c r="BW513" s="26"/>
      <c r="BX513" s="26"/>
      <c r="BY513" s="26"/>
      <c r="BZ513" s="26"/>
      <c r="CA513" s="26"/>
      <c r="CB513" s="26"/>
      <c r="CC513" s="26"/>
      <c r="CD513" s="26"/>
      <c r="CE513" s="26"/>
      <c r="CF513" s="26"/>
      <c r="CG513" s="26"/>
      <c r="CH513" s="26"/>
      <c r="CI513" s="26"/>
      <c r="CJ513" s="26"/>
      <c r="CK513" s="26"/>
      <c r="CL513" s="26"/>
      <c r="CM513" s="26"/>
      <c r="CN513" s="26"/>
      <c r="CO513" s="26"/>
      <c r="CP513" s="26"/>
      <c r="CQ513" s="26"/>
    </row>
    <row r="514" spans="1:95" s="29" customFormat="1" ht="15" customHeight="1" x14ac:dyDescent="0.25">
      <c r="A514" s="32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  <c r="AJ514" s="26"/>
      <c r="AK514" s="26"/>
      <c r="AL514" s="26"/>
      <c r="AM514" s="26"/>
      <c r="AN514" s="26"/>
      <c r="AO514" s="26"/>
      <c r="AP514" s="26"/>
      <c r="AQ514" s="26"/>
      <c r="AR514" s="26"/>
      <c r="AS514" s="26"/>
      <c r="AT514" s="26"/>
      <c r="AU514" s="26"/>
      <c r="AV514" s="26"/>
      <c r="AW514" s="26"/>
      <c r="AX514" s="26"/>
      <c r="AY514" s="26"/>
      <c r="AZ514" s="26"/>
      <c r="BA514" s="26"/>
      <c r="BB514" s="26"/>
      <c r="BC514" s="26"/>
      <c r="BD514" s="26"/>
      <c r="BE514" s="26"/>
      <c r="BF514" s="26"/>
      <c r="BG514" s="26"/>
      <c r="BH514" s="26"/>
      <c r="BI514" s="26"/>
      <c r="BJ514" s="26"/>
      <c r="BK514" s="26"/>
      <c r="BL514" s="26"/>
      <c r="BM514" s="26"/>
      <c r="BN514" s="26"/>
      <c r="BO514" s="26"/>
      <c r="BP514" s="26"/>
      <c r="BQ514" s="26"/>
      <c r="BR514" s="26"/>
      <c r="BS514" s="26"/>
      <c r="BT514" s="26"/>
      <c r="BU514" s="26"/>
      <c r="BV514" s="26"/>
      <c r="BW514" s="26"/>
      <c r="BX514" s="26"/>
      <c r="BY514" s="26"/>
      <c r="BZ514" s="26"/>
      <c r="CA514" s="26"/>
      <c r="CB514" s="26"/>
      <c r="CC514" s="26"/>
      <c r="CD514" s="26"/>
      <c r="CE514" s="26"/>
      <c r="CF514" s="26"/>
      <c r="CG514" s="26"/>
      <c r="CH514" s="26"/>
      <c r="CI514" s="26"/>
      <c r="CJ514" s="26"/>
      <c r="CK514" s="26"/>
      <c r="CL514" s="26"/>
      <c r="CM514" s="26"/>
      <c r="CN514" s="26"/>
      <c r="CO514" s="26"/>
      <c r="CP514" s="26"/>
      <c r="CQ514" s="26"/>
    </row>
    <row r="515" spans="1:95" s="29" customFormat="1" ht="15" customHeight="1" x14ac:dyDescent="0.25">
      <c r="A515" s="32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  <c r="AJ515" s="26"/>
      <c r="AK515" s="26"/>
      <c r="AL515" s="26"/>
      <c r="AM515" s="26"/>
      <c r="AN515" s="26"/>
      <c r="AO515" s="26"/>
      <c r="AP515" s="26"/>
      <c r="AQ515" s="26"/>
      <c r="AR515" s="26"/>
      <c r="AS515" s="26"/>
      <c r="AT515" s="26"/>
      <c r="AU515" s="26"/>
      <c r="AV515" s="26"/>
      <c r="AW515" s="26"/>
      <c r="AX515" s="26"/>
      <c r="AY515" s="26"/>
      <c r="AZ515" s="26"/>
      <c r="BA515" s="26"/>
      <c r="BB515" s="26"/>
      <c r="BC515" s="26"/>
      <c r="BD515" s="26"/>
      <c r="BE515" s="26"/>
      <c r="BF515" s="26"/>
      <c r="BG515" s="26"/>
      <c r="BH515" s="26"/>
      <c r="BI515" s="26"/>
      <c r="BJ515" s="26"/>
      <c r="BK515" s="26"/>
      <c r="BL515" s="26"/>
      <c r="BM515" s="26"/>
      <c r="BN515" s="26"/>
      <c r="BO515" s="26"/>
      <c r="BP515" s="26"/>
      <c r="BQ515" s="26"/>
      <c r="BR515" s="26"/>
      <c r="BS515" s="26"/>
      <c r="BT515" s="26"/>
      <c r="BU515" s="26"/>
      <c r="BV515" s="26"/>
      <c r="BW515" s="26"/>
      <c r="BX515" s="26"/>
      <c r="BY515" s="26"/>
      <c r="BZ515" s="26"/>
      <c r="CA515" s="26"/>
      <c r="CB515" s="26"/>
      <c r="CC515" s="26"/>
      <c r="CD515" s="26"/>
      <c r="CE515" s="26"/>
      <c r="CF515" s="26"/>
      <c r="CG515" s="26"/>
      <c r="CH515" s="26"/>
      <c r="CI515" s="26"/>
      <c r="CJ515" s="26"/>
      <c r="CK515" s="26"/>
      <c r="CL515" s="26"/>
      <c r="CM515" s="26"/>
      <c r="CN515" s="26"/>
      <c r="CO515" s="26"/>
      <c r="CP515" s="26"/>
      <c r="CQ515" s="26"/>
    </row>
    <row r="516" spans="1:95" s="29" customFormat="1" ht="15" customHeight="1" x14ac:dyDescent="0.25">
      <c r="A516" s="32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  <c r="AI516" s="26"/>
      <c r="AJ516" s="26"/>
      <c r="AK516" s="26"/>
      <c r="AL516" s="26"/>
      <c r="AM516" s="26"/>
      <c r="AN516" s="26"/>
      <c r="AO516" s="26"/>
      <c r="AP516" s="26"/>
      <c r="AQ516" s="26"/>
      <c r="AR516" s="26"/>
      <c r="AS516" s="26"/>
      <c r="AT516" s="26"/>
      <c r="AU516" s="26"/>
      <c r="AV516" s="26"/>
      <c r="AW516" s="26"/>
      <c r="AX516" s="26"/>
      <c r="AY516" s="26"/>
      <c r="AZ516" s="26"/>
      <c r="BA516" s="26"/>
      <c r="BB516" s="26"/>
      <c r="BC516" s="26"/>
      <c r="BD516" s="26"/>
      <c r="BE516" s="26"/>
      <c r="BF516" s="26"/>
      <c r="BG516" s="26"/>
      <c r="BH516" s="26"/>
      <c r="BI516" s="26"/>
      <c r="BJ516" s="26"/>
      <c r="BK516" s="26"/>
      <c r="BL516" s="26"/>
      <c r="BM516" s="26"/>
      <c r="BN516" s="26"/>
      <c r="BO516" s="26"/>
      <c r="BP516" s="26"/>
      <c r="BQ516" s="26"/>
      <c r="BR516" s="26"/>
      <c r="BS516" s="26"/>
      <c r="BT516" s="26"/>
      <c r="BU516" s="26"/>
      <c r="BV516" s="26"/>
      <c r="BW516" s="26"/>
      <c r="BX516" s="26"/>
      <c r="BY516" s="26"/>
      <c r="BZ516" s="26"/>
      <c r="CA516" s="26"/>
      <c r="CB516" s="26"/>
      <c r="CC516" s="26"/>
      <c r="CD516" s="26"/>
      <c r="CE516" s="26"/>
      <c r="CF516" s="26"/>
      <c r="CG516" s="26"/>
      <c r="CH516" s="26"/>
      <c r="CI516" s="26"/>
      <c r="CJ516" s="26"/>
      <c r="CK516" s="26"/>
      <c r="CL516" s="26"/>
      <c r="CM516" s="26"/>
      <c r="CN516" s="26"/>
      <c r="CO516" s="26"/>
      <c r="CP516" s="26"/>
      <c r="CQ516" s="26"/>
    </row>
    <row r="517" spans="1:95" s="29" customFormat="1" ht="15" customHeight="1" x14ac:dyDescent="0.25">
      <c r="A517" s="32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  <c r="AH517" s="26"/>
      <c r="AI517" s="26"/>
      <c r="AJ517" s="26"/>
      <c r="AK517" s="26"/>
      <c r="AL517" s="26"/>
      <c r="AM517" s="26"/>
      <c r="AN517" s="26"/>
      <c r="AO517" s="26"/>
      <c r="AP517" s="26"/>
      <c r="AQ517" s="26"/>
      <c r="AR517" s="26"/>
      <c r="AS517" s="26"/>
      <c r="AT517" s="26"/>
      <c r="AU517" s="26"/>
      <c r="AV517" s="26"/>
      <c r="AW517" s="26"/>
      <c r="AX517" s="26"/>
      <c r="AY517" s="26"/>
      <c r="AZ517" s="26"/>
      <c r="BA517" s="26"/>
      <c r="BB517" s="26"/>
      <c r="BC517" s="26"/>
      <c r="BD517" s="26"/>
      <c r="BE517" s="26"/>
      <c r="BF517" s="26"/>
      <c r="BG517" s="26"/>
      <c r="BH517" s="26"/>
      <c r="BI517" s="26"/>
      <c r="BJ517" s="26"/>
      <c r="BK517" s="26"/>
      <c r="BL517" s="26"/>
      <c r="BM517" s="26"/>
      <c r="BN517" s="26"/>
      <c r="BO517" s="26"/>
      <c r="BP517" s="26"/>
      <c r="BQ517" s="26"/>
      <c r="BR517" s="26"/>
      <c r="BS517" s="26"/>
      <c r="BT517" s="26"/>
      <c r="BU517" s="26"/>
      <c r="BV517" s="26"/>
      <c r="BW517" s="26"/>
      <c r="BX517" s="26"/>
      <c r="BY517" s="26"/>
      <c r="BZ517" s="26"/>
      <c r="CA517" s="26"/>
      <c r="CB517" s="26"/>
      <c r="CC517" s="26"/>
      <c r="CD517" s="26"/>
      <c r="CE517" s="26"/>
      <c r="CF517" s="26"/>
      <c r="CG517" s="26"/>
      <c r="CH517" s="26"/>
      <c r="CI517" s="26"/>
      <c r="CJ517" s="26"/>
      <c r="CK517" s="26"/>
      <c r="CL517" s="26"/>
      <c r="CM517" s="26"/>
      <c r="CN517" s="26"/>
      <c r="CO517" s="26"/>
      <c r="CP517" s="26"/>
      <c r="CQ517" s="26"/>
    </row>
    <row r="518" spans="1:95" s="29" customFormat="1" ht="15" customHeight="1" x14ac:dyDescent="0.25">
      <c r="A518" s="32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  <c r="AH518" s="26"/>
      <c r="AI518" s="26"/>
      <c r="AJ518" s="26"/>
      <c r="AK518" s="26"/>
      <c r="AL518" s="26"/>
      <c r="AM518" s="26"/>
      <c r="AN518" s="26"/>
      <c r="AO518" s="26"/>
      <c r="AP518" s="26"/>
      <c r="AQ518" s="26"/>
      <c r="AR518" s="26"/>
      <c r="AS518" s="26"/>
      <c r="AT518" s="26"/>
      <c r="AU518" s="26"/>
      <c r="AV518" s="26"/>
      <c r="AW518" s="26"/>
      <c r="AX518" s="26"/>
      <c r="AY518" s="26"/>
      <c r="AZ518" s="26"/>
      <c r="BA518" s="26"/>
      <c r="BB518" s="26"/>
      <c r="BC518" s="26"/>
      <c r="BD518" s="26"/>
      <c r="BE518" s="26"/>
      <c r="BF518" s="26"/>
      <c r="BG518" s="26"/>
      <c r="BH518" s="26"/>
      <c r="BI518" s="26"/>
      <c r="BJ518" s="26"/>
      <c r="BK518" s="26"/>
      <c r="BL518" s="26"/>
      <c r="BM518" s="26"/>
      <c r="BN518" s="26"/>
      <c r="BO518" s="26"/>
      <c r="BP518" s="26"/>
      <c r="BQ518" s="26"/>
      <c r="BR518" s="26"/>
      <c r="BS518" s="26"/>
      <c r="BT518" s="26"/>
      <c r="BU518" s="26"/>
      <c r="BV518" s="26"/>
      <c r="BW518" s="26"/>
      <c r="BX518" s="26"/>
      <c r="BY518" s="26"/>
      <c r="BZ518" s="26"/>
      <c r="CA518" s="26"/>
      <c r="CB518" s="26"/>
      <c r="CC518" s="26"/>
      <c r="CD518" s="26"/>
      <c r="CE518" s="26"/>
      <c r="CF518" s="26"/>
      <c r="CG518" s="26"/>
      <c r="CH518" s="26"/>
      <c r="CI518" s="26"/>
      <c r="CJ518" s="26"/>
      <c r="CK518" s="26"/>
      <c r="CL518" s="26"/>
      <c r="CM518" s="26"/>
      <c r="CN518" s="26"/>
      <c r="CO518" s="26"/>
      <c r="CP518" s="26"/>
      <c r="CQ518" s="26"/>
    </row>
    <row r="519" spans="1:95" s="29" customFormat="1" ht="15" customHeight="1" x14ac:dyDescent="0.25">
      <c r="A519" s="32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  <c r="AH519" s="26"/>
      <c r="AI519" s="26"/>
      <c r="AJ519" s="26"/>
      <c r="AK519" s="26"/>
      <c r="AL519" s="26"/>
      <c r="AM519" s="26"/>
      <c r="AN519" s="26"/>
      <c r="AO519" s="26"/>
      <c r="AP519" s="26"/>
      <c r="AQ519" s="26"/>
      <c r="AR519" s="26"/>
      <c r="AS519" s="26"/>
      <c r="AT519" s="26"/>
      <c r="AU519" s="26"/>
      <c r="AV519" s="26"/>
      <c r="AW519" s="26"/>
      <c r="AX519" s="26"/>
      <c r="AY519" s="26"/>
      <c r="AZ519" s="26"/>
      <c r="BA519" s="26"/>
      <c r="BB519" s="26"/>
      <c r="BC519" s="26"/>
      <c r="BD519" s="26"/>
      <c r="BE519" s="26"/>
      <c r="BF519" s="26"/>
      <c r="BG519" s="26"/>
      <c r="BH519" s="26"/>
      <c r="BI519" s="26"/>
      <c r="BJ519" s="26"/>
      <c r="BK519" s="26"/>
      <c r="BL519" s="26"/>
      <c r="BM519" s="26"/>
      <c r="BN519" s="26"/>
      <c r="BO519" s="26"/>
      <c r="BP519" s="26"/>
      <c r="BQ519" s="26"/>
      <c r="BR519" s="26"/>
      <c r="BS519" s="26"/>
      <c r="BT519" s="26"/>
      <c r="BU519" s="26"/>
      <c r="BV519" s="26"/>
      <c r="BW519" s="26"/>
      <c r="BX519" s="26"/>
      <c r="BY519" s="26"/>
      <c r="BZ519" s="26"/>
      <c r="CA519" s="26"/>
      <c r="CB519" s="26"/>
      <c r="CC519" s="26"/>
      <c r="CD519" s="26"/>
      <c r="CE519" s="26"/>
      <c r="CF519" s="26"/>
      <c r="CG519" s="26"/>
      <c r="CH519" s="26"/>
      <c r="CI519" s="26"/>
      <c r="CJ519" s="26"/>
      <c r="CK519" s="26"/>
      <c r="CL519" s="26"/>
      <c r="CM519" s="26"/>
      <c r="CN519" s="26"/>
      <c r="CO519" s="26"/>
      <c r="CP519" s="26"/>
      <c r="CQ519" s="26"/>
    </row>
    <row r="520" spans="1:95" s="29" customFormat="1" ht="15" customHeight="1" x14ac:dyDescent="0.25">
      <c r="A520" s="32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  <c r="AH520" s="26"/>
      <c r="AI520" s="26"/>
      <c r="AJ520" s="26"/>
      <c r="AK520" s="26"/>
      <c r="AL520" s="26"/>
      <c r="AM520" s="26"/>
      <c r="AN520" s="26"/>
      <c r="AO520" s="26"/>
      <c r="AP520" s="26"/>
      <c r="AQ520" s="26"/>
      <c r="AR520" s="26"/>
      <c r="AS520" s="26"/>
      <c r="AT520" s="26"/>
      <c r="AU520" s="26"/>
      <c r="AV520" s="26"/>
      <c r="AW520" s="26"/>
      <c r="AX520" s="26"/>
      <c r="AY520" s="26"/>
      <c r="AZ520" s="26"/>
      <c r="BA520" s="26"/>
      <c r="BB520" s="26"/>
      <c r="BC520" s="26"/>
      <c r="BD520" s="26"/>
      <c r="BE520" s="26"/>
      <c r="BF520" s="26"/>
      <c r="BG520" s="26"/>
      <c r="BH520" s="26"/>
      <c r="BI520" s="26"/>
      <c r="BJ520" s="26"/>
      <c r="BK520" s="26"/>
      <c r="BL520" s="26"/>
      <c r="BM520" s="26"/>
      <c r="BN520" s="26"/>
      <c r="BO520" s="26"/>
      <c r="BP520" s="26"/>
      <c r="BQ520" s="26"/>
      <c r="BR520" s="26"/>
      <c r="BS520" s="26"/>
      <c r="BT520" s="26"/>
      <c r="BU520" s="26"/>
      <c r="BV520" s="26"/>
      <c r="BW520" s="26"/>
      <c r="BX520" s="26"/>
      <c r="BY520" s="26"/>
      <c r="BZ520" s="26"/>
      <c r="CA520" s="26"/>
      <c r="CB520" s="26"/>
      <c r="CC520" s="26"/>
      <c r="CD520" s="26"/>
      <c r="CE520" s="26"/>
      <c r="CF520" s="26"/>
      <c r="CG520" s="26"/>
      <c r="CH520" s="26"/>
      <c r="CI520" s="26"/>
      <c r="CJ520" s="26"/>
      <c r="CK520" s="26"/>
      <c r="CL520" s="26"/>
      <c r="CM520" s="26"/>
      <c r="CN520" s="26"/>
      <c r="CO520" s="26"/>
      <c r="CP520" s="26"/>
      <c r="CQ520" s="26"/>
    </row>
    <row r="521" spans="1:95" s="29" customFormat="1" ht="15" customHeight="1" x14ac:dyDescent="0.25">
      <c r="A521" s="32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  <c r="AH521" s="26"/>
      <c r="AI521" s="26"/>
      <c r="AJ521" s="26"/>
      <c r="AK521" s="26"/>
      <c r="AL521" s="26"/>
      <c r="AM521" s="26"/>
      <c r="AN521" s="26"/>
      <c r="AO521" s="26"/>
      <c r="AP521" s="26"/>
      <c r="AQ521" s="26"/>
      <c r="AR521" s="26"/>
      <c r="AS521" s="26"/>
      <c r="AT521" s="26"/>
      <c r="AU521" s="26"/>
      <c r="AV521" s="26"/>
      <c r="AW521" s="26"/>
      <c r="AX521" s="26"/>
      <c r="AY521" s="26"/>
      <c r="AZ521" s="26"/>
      <c r="BA521" s="26"/>
      <c r="BB521" s="26"/>
      <c r="BC521" s="26"/>
      <c r="BD521" s="26"/>
      <c r="BE521" s="26"/>
      <c r="BF521" s="26"/>
      <c r="BG521" s="26"/>
      <c r="BH521" s="26"/>
      <c r="BI521" s="26"/>
      <c r="BJ521" s="26"/>
      <c r="BK521" s="26"/>
      <c r="BL521" s="26"/>
      <c r="BM521" s="26"/>
      <c r="BN521" s="26"/>
      <c r="BO521" s="26"/>
      <c r="BP521" s="26"/>
      <c r="BQ521" s="26"/>
      <c r="BR521" s="26"/>
      <c r="BS521" s="26"/>
      <c r="BT521" s="26"/>
      <c r="BU521" s="26"/>
      <c r="BV521" s="26"/>
      <c r="BW521" s="26"/>
      <c r="BX521" s="26"/>
      <c r="BY521" s="26"/>
      <c r="BZ521" s="26"/>
      <c r="CA521" s="26"/>
      <c r="CB521" s="26"/>
      <c r="CC521" s="26"/>
      <c r="CD521" s="26"/>
      <c r="CE521" s="26"/>
      <c r="CF521" s="26"/>
      <c r="CG521" s="26"/>
      <c r="CH521" s="26"/>
      <c r="CI521" s="26"/>
      <c r="CJ521" s="26"/>
      <c r="CK521" s="26"/>
      <c r="CL521" s="26"/>
      <c r="CM521" s="26"/>
      <c r="CN521" s="26"/>
      <c r="CO521" s="26"/>
      <c r="CP521" s="26"/>
      <c r="CQ521" s="26"/>
    </row>
    <row r="522" spans="1:95" s="29" customFormat="1" ht="15" customHeight="1" x14ac:dyDescent="0.25">
      <c r="A522" s="32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  <c r="AH522" s="26"/>
      <c r="AI522" s="26"/>
      <c r="AJ522" s="26"/>
      <c r="AK522" s="26"/>
      <c r="AL522" s="26"/>
      <c r="AM522" s="26"/>
      <c r="AN522" s="26"/>
      <c r="AO522" s="26"/>
      <c r="AP522" s="26"/>
      <c r="AQ522" s="26"/>
      <c r="AR522" s="26"/>
      <c r="AS522" s="26"/>
      <c r="AT522" s="26"/>
      <c r="AU522" s="26"/>
      <c r="AV522" s="26"/>
      <c r="AW522" s="26"/>
      <c r="AX522" s="26"/>
      <c r="AY522" s="26"/>
      <c r="AZ522" s="26"/>
      <c r="BA522" s="26"/>
      <c r="BB522" s="26"/>
      <c r="BC522" s="26"/>
      <c r="BD522" s="26"/>
      <c r="BE522" s="26"/>
      <c r="BF522" s="26"/>
      <c r="BG522" s="26"/>
      <c r="BH522" s="26"/>
      <c r="BI522" s="26"/>
      <c r="BJ522" s="26"/>
      <c r="BK522" s="26"/>
      <c r="BL522" s="26"/>
      <c r="BM522" s="26"/>
      <c r="BN522" s="26"/>
      <c r="BO522" s="26"/>
      <c r="BP522" s="26"/>
      <c r="BQ522" s="26"/>
      <c r="BR522" s="26"/>
      <c r="BS522" s="26"/>
      <c r="BT522" s="26"/>
      <c r="BU522" s="26"/>
      <c r="BV522" s="26"/>
      <c r="BW522" s="26"/>
      <c r="BX522" s="26"/>
      <c r="BY522" s="26"/>
      <c r="BZ522" s="26"/>
      <c r="CA522" s="26"/>
      <c r="CB522" s="26"/>
      <c r="CC522" s="26"/>
      <c r="CD522" s="26"/>
      <c r="CE522" s="26"/>
      <c r="CF522" s="26"/>
      <c r="CG522" s="26"/>
      <c r="CH522" s="26"/>
      <c r="CI522" s="26"/>
      <c r="CJ522" s="26"/>
      <c r="CK522" s="26"/>
      <c r="CL522" s="26"/>
      <c r="CM522" s="26"/>
      <c r="CN522" s="26"/>
      <c r="CO522" s="26"/>
      <c r="CP522" s="26"/>
      <c r="CQ522" s="26"/>
    </row>
    <row r="523" spans="1:95" s="29" customFormat="1" ht="15" customHeight="1" x14ac:dyDescent="0.25">
      <c r="A523" s="32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  <c r="AH523" s="26"/>
      <c r="AI523" s="26"/>
      <c r="AJ523" s="26"/>
      <c r="AK523" s="26"/>
      <c r="AL523" s="26"/>
      <c r="AM523" s="26"/>
      <c r="AN523" s="26"/>
      <c r="AO523" s="26"/>
      <c r="AP523" s="26"/>
      <c r="AQ523" s="26"/>
      <c r="AR523" s="26"/>
      <c r="AS523" s="26"/>
      <c r="AT523" s="26"/>
      <c r="AU523" s="26"/>
      <c r="AV523" s="26"/>
      <c r="AW523" s="26"/>
      <c r="AX523" s="26"/>
      <c r="AY523" s="26"/>
      <c r="AZ523" s="26"/>
      <c r="BA523" s="26"/>
      <c r="BB523" s="26"/>
      <c r="BC523" s="26"/>
      <c r="BD523" s="26"/>
      <c r="BE523" s="26"/>
      <c r="BF523" s="26"/>
      <c r="BG523" s="26"/>
      <c r="BH523" s="26"/>
      <c r="BI523" s="26"/>
      <c r="BJ523" s="26"/>
      <c r="BK523" s="26"/>
      <c r="BL523" s="26"/>
      <c r="BM523" s="26"/>
      <c r="BN523" s="26"/>
      <c r="BO523" s="26"/>
      <c r="BP523" s="26"/>
      <c r="BQ523" s="26"/>
      <c r="BR523" s="26"/>
      <c r="BS523" s="26"/>
      <c r="BT523" s="26"/>
      <c r="BU523" s="26"/>
      <c r="BV523" s="26"/>
      <c r="BW523" s="26"/>
      <c r="BX523" s="26"/>
      <c r="BY523" s="26"/>
      <c r="BZ523" s="26"/>
      <c r="CA523" s="26"/>
      <c r="CB523" s="26"/>
      <c r="CC523" s="26"/>
      <c r="CD523" s="26"/>
      <c r="CE523" s="26"/>
      <c r="CF523" s="26"/>
      <c r="CG523" s="26"/>
      <c r="CH523" s="26"/>
      <c r="CI523" s="26"/>
      <c r="CJ523" s="26"/>
      <c r="CK523" s="26"/>
      <c r="CL523" s="26"/>
      <c r="CM523" s="26"/>
      <c r="CN523" s="26"/>
      <c r="CO523" s="26"/>
      <c r="CP523" s="26"/>
      <c r="CQ523" s="26"/>
    </row>
    <row r="524" spans="1:95" s="29" customFormat="1" ht="15" customHeight="1" x14ac:dyDescent="0.25">
      <c r="A524" s="32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  <c r="AH524" s="26"/>
      <c r="AI524" s="26"/>
      <c r="AJ524" s="26"/>
      <c r="AK524" s="26"/>
      <c r="AL524" s="26"/>
      <c r="AM524" s="26"/>
      <c r="AN524" s="26"/>
      <c r="AO524" s="26"/>
      <c r="AP524" s="26"/>
      <c r="AQ524" s="26"/>
      <c r="AR524" s="26"/>
      <c r="AS524" s="26"/>
      <c r="AT524" s="26"/>
      <c r="AU524" s="26"/>
      <c r="AV524" s="26"/>
      <c r="AW524" s="26"/>
      <c r="AX524" s="26"/>
      <c r="AY524" s="26"/>
      <c r="AZ524" s="26"/>
      <c r="BA524" s="26"/>
      <c r="BB524" s="26"/>
      <c r="BC524" s="26"/>
      <c r="BD524" s="26"/>
      <c r="BE524" s="26"/>
      <c r="BF524" s="26"/>
      <c r="BG524" s="26"/>
      <c r="BH524" s="26"/>
      <c r="BI524" s="26"/>
      <c r="BJ524" s="26"/>
      <c r="BK524" s="26"/>
      <c r="BL524" s="26"/>
      <c r="BM524" s="26"/>
      <c r="BN524" s="26"/>
      <c r="BO524" s="26"/>
      <c r="BP524" s="26"/>
      <c r="BQ524" s="26"/>
      <c r="BR524" s="26"/>
      <c r="BS524" s="26"/>
      <c r="BT524" s="26"/>
      <c r="BU524" s="26"/>
      <c r="BV524" s="26"/>
      <c r="BW524" s="26"/>
      <c r="BX524" s="26"/>
      <c r="BY524" s="26"/>
      <c r="BZ524" s="26"/>
      <c r="CA524" s="26"/>
      <c r="CB524" s="26"/>
      <c r="CC524" s="26"/>
      <c r="CD524" s="26"/>
      <c r="CE524" s="26"/>
      <c r="CF524" s="26"/>
      <c r="CG524" s="26"/>
      <c r="CH524" s="26"/>
      <c r="CI524" s="26"/>
      <c r="CJ524" s="26"/>
      <c r="CK524" s="26"/>
      <c r="CL524" s="26"/>
      <c r="CM524" s="26"/>
      <c r="CN524" s="26"/>
      <c r="CO524" s="26"/>
      <c r="CP524" s="26"/>
      <c r="CQ524" s="26"/>
    </row>
    <row r="525" spans="1:95" s="29" customFormat="1" ht="15" customHeight="1" x14ac:dyDescent="0.25">
      <c r="A525" s="32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  <c r="AH525" s="26"/>
      <c r="AI525" s="26"/>
      <c r="AJ525" s="26"/>
      <c r="AK525" s="26"/>
      <c r="AL525" s="26"/>
      <c r="AM525" s="26"/>
      <c r="AN525" s="26"/>
      <c r="AO525" s="26"/>
      <c r="AP525" s="26"/>
      <c r="AQ525" s="26"/>
      <c r="AR525" s="26"/>
      <c r="AS525" s="26"/>
      <c r="AT525" s="26"/>
      <c r="AU525" s="26"/>
      <c r="AV525" s="26"/>
      <c r="AW525" s="26"/>
      <c r="AX525" s="26"/>
      <c r="AY525" s="26"/>
      <c r="AZ525" s="26"/>
      <c r="BA525" s="26"/>
      <c r="BB525" s="26"/>
      <c r="BC525" s="26"/>
      <c r="BD525" s="26"/>
      <c r="BE525" s="26"/>
      <c r="BF525" s="26"/>
      <c r="BG525" s="26"/>
      <c r="BH525" s="26"/>
      <c r="BI525" s="26"/>
      <c r="BJ525" s="26"/>
      <c r="BK525" s="26"/>
      <c r="BL525" s="26"/>
      <c r="BM525" s="26"/>
      <c r="BN525" s="26"/>
      <c r="BO525" s="26"/>
      <c r="BP525" s="26"/>
      <c r="BQ525" s="26"/>
      <c r="BR525" s="26"/>
      <c r="BS525" s="26"/>
      <c r="BT525" s="26"/>
      <c r="BU525" s="26"/>
      <c r="BV525" s="26"/>
      <c r="BW525" s="26"/>
      <c r="BX525" s="26"/>
      <c r="BY525" s="26"/>
      <c r="BZ525" s="26"/>
      <c r="CA525" s="26"/>
      <c r="CB525" s="26"/>
      <c r="CC525" s="26"/>
      <c r="CD525" s="26"/>
      <c r="CE525" s="26"/>
      <c r="CF525" s="26"/>
      <c r="CG525" s="26"/>
      <c r="CH525" s="26"/>
      <c r="CI525" s="26"/>
      <c r="CJ525" s="26"/>
      <c r="CK525" s="26"/>
      <c r="CL525" s="26"/>
      <c r="CM525" s="26"/>
      <c r="CN525" s="26"/>
      <c r="CO525" s="26"/>
      <c r="CP525" s="26"/>
      <c r="CQ525" s="26"/>
    </row>
    <row r="526" spans="1:95" s="29" customFormat="1" ht="15" customHeight="1" x14ac:dyDescent="0.25">
      <c r="A526" s="32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  <c r="AH526" s="26"/>
      <c r="AI526" s="26"/>
      <c r="AJ526" s="26"/>
      <c r="AK526" s="26"/>
      <c r="AL526" s="26"/>
      <c r="AM526" s="26"/>
      <c r="AN526" s="26"/>
      <c r="AO526" s="26"/>
      <c r="AP526" s="26"/>
      <c r="AQ526" s="26"/>
      <c r="AR526" s="26"/>
      <c r="AS526" s="26"/>
      <c r="AT526" s="26"/>
      <c r="AU526" s="26"/>
      <c r="AV526" s="26"/>
      <c r="AW526" s="26"/>
      <c r="AX526" s="26"/>
      <c r="AY526" s="26"/>
      <c r="AZ526" s="26"/>
      <c r="BA526" s="26"/>
      <c r="BB526" s="26"/>
      <c r="BC526" s="26"/>
      <c r="BD526" s="26"/>
      <c r="BE526" s="26"/>
      <c r="BF526" s="26"/>
      <c r="BG526" s="26"/>
      <c r="BH526" s="26"/>
      <c r="BI526" s="26"/>
      <c r="BJ526" s="26"/>
      <c r="BK526" s="26"/>
      <c r="BL526" s="26"/>
      <c r="BM526" s="26"/>
      <c r="BN526" s="26"/>
      <c r="BO526" s="26"/>
      <c r="BP526" s="26"/>
      <c r="BQ526" s="26"/>
      <c r="BR526" s="26"/>
      <c r="BS526" s="26"/>
      <c r="BT526" s="26"/>
      <c r="BU526" s="26"/>
      <c r="BV526" s="26"/>
      <c r="BW526" s="26"/>
      <c r="BX526" s="26"/>
      <c r="BY526" s="26"/>
      <c r="BZ526" s="26"/>
      <c r="CA526" s="26"/>
      <c r="CB526" s="26"/>
      <c r="CC526" s="26"/>
      <c r="CD526" s="26"/>
      <c r="CE526" s="26"/>
      <c r="CF526" s="26"/>
      <c r="CG526" s="26"/>
      <c r="CH526" s="26"/>
      <c r="CI526" s="26"/>
      <c r="CJ526" s="26"/>
      <c r="CK526" s="26"/>
      <c r="CL526" s="26"/>
      <c r="CM526" s="26"/>
      <c r="CN526" s="26"/>
      <c r="CO526" s="26"/>
      <c r="CP526" s="26"/>
      <c r="CQ526" s="26"/>
    </row>
    <row r="527" spans="1:95" s="29" customFormat="1" ht="15" customHeight="1" x14ac:dyDescent="0.25">
      <c r="A527" s="32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  <c r="AH527" s="26"/>
      <c r="AI527" s="26"/>
      <c r="AJ527" s="26"/>
      <c r="AK527" s="26"/>
      <c r="AL527" s="26"/>
      <c r="AM527" s="26"/>
      <c r="AN527" s="26"/>
      <c r="AO527" s="26"/>
      <c r="AP527" s="26"/>
      <c r="AQ527" s="26"/>
      <c r="AR527" s="26"/>
      <c r="AS527" s="26"/>
      <c r="AT527" s="26"/>
      <c r="AU527" s="26"/>
      <c r="AV527" s="26"/>
      <c r="AW527" s="26"/>
      <c r="AX527" s="26"/>
      <c r="AY527" s="26"/>
      <c r="AZ527" s="26"/>
      <c r="BA527" s="26"/>
      <c r="BB527" s="26"/>
      <c r="BC527" s="26"/>
      <c r="BD527" s="26"/>
      <c r="BE527" s="26"/>
      <c r="BF527" s="26"/>
      <c r="BG527" s="26"/>
      <c r="BH527" s="26"/>
      <c r="BI527" s="26"/>
      <c r="BJ527" s="26"/>
      <c r="BK527" s="26"/>
      <c r="BL527" s="26"/>
      <c r="BM527" s="26"/>
      <c r="BN527" s="26"/>
      <c r="BO527" s="26"/>
      <c r="BP527" s="26"/>
      <c r="BQ527" s="26"/>
      <c r="BR527" s="26"/>
      <c r="BS527" s="26"/>
      <c r="BT527" s="26"/>
      <c r="BU527" s="26"/>
      <c r="BV527" s="26"/>
      <c r="BW527" s="26"/>
      <c r="BX527" s="26"/>
      <c r="BY527" s="26"/>
      <c r="BZ527" s="26"/>
      <c r="CA527" s="26"/>
      <c r="CB527" s="26"/>
      <c r="CC527" s="26"/>
      <c r="CD527" s="26"/>
      <c r="CE527" s="26"/>
      <c r="CF527" s="26"/>
      <c r="CG527" s="26"/>
      <c r="CH527" s="26"/>
      <c r="CI527" s="26"/>
      <c r="CJ527" s="26"/>
      <c r="CK527" s="26"/>
      <c r="CL527" s="26"/>
      <c r="CM527" s="26"/>
      <c r="CN527" s="26"/>
      <c r="CO527" s="26"/>
      <c r="CP527" s="26"/>
      <c r="CQ527" s="26"/>
    </row>
    <row r="528" spans="1:95" s="29" customFormat="1" ht="15" customHeight="1" x14ac:dyDescent="0.25">
      <c r="A528" s="32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  <c r="AH528" s="26"/>
      <c r="AI528" s="26"/>
      <c r="AJ528" s="26"/>
      <c r="AK528" s="26"/>
      <c r="AL528" s="26"/>
      <c r="AM528" s="26"/>
      <c r="AN528" s="26"/>
      <c r="AO528" s="26"/>
      <c r="AP528" s="26"/>
      <c r="AQ528" s="26"/>
      <c r="AR528" s="26"/>
      <c r="AS528" s="26"/>
      <c r="AT528" s="26"/>
      <c r="AU528" s="26"/>
      <c r="AV528" s="26"/>
      <c r="AW528" s="26"/>
      <c r="AX528" s="26"/>
      <c r="AY528" s="26"/>
      <c r="AZ528" s="26"/>
      <c r="BA528" s="26"/>
      <c r="BB528" s="26"/>
      <c r="BC528" s="26"/>
      <c r="BD528" s="26"/>
      <c r="BE528" s="26"/>
      <c r="BF528" s="26"/>
      <c r="BG528" s="26"/>
      <c r="BH528" s="26"/>
      <c r="BI528" s="26"/>
      <c r="BJ528" s="26"/>
      <c r="BK528" s="26"/>
      <c r="BL528" s="26"/>
      <c r="BM528" s="26"/>
      <c r="BN528" s="26"/>
      <c r="BO528" s="26"/>
      <c r="BP528" s="26"/>
      <c r="BQ528" s="26"/>
      <c r="BR528" s="26"/>
      <c r="BS528" s="26"/>
      <c r="BT528" s="26"/>
      <c r="BU528" s="26"/>
      <c r="BV528" s="26"/>
      <c r="BW528" s="26"/>
      <c r="BX528" s="26"/>
      <c r="BY528" s="26"/>
      <c r="BZ528" s="26"/>
      <c r="CA528" s="26"/>
      <c r="CB528" s="26"/>
      <c r="CC528" s="26"/>
      <c r="CD528" s="26"/>
      <c r="CE528" s="26"/>
      <c r="CF528" s="26"/>
      <c r="CG528" s="26"/>
      <c r="CH528" s="26"/>
      <c r="CI528" s="26"/>
      <c r="CJ528" s="26"/>
      <c r="CK528" s="26"/>
      <c r="CL528" s="26"/>
      <c r="CM528" s="26"/>
      <c r="CN528" s="26"/>
      <c r="CO528" s="26"/>
      <c r="CP528" s="26"/>
      <c r="CQ528" s="26"/>
    </row>
    <row r="529" spans="1:95" s="29" customFormat="1" ht="15" customHeight="1" x14ac:dyDescent="0.25">
      <c r="A529" s="32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  <c r="AH529" s="26"/>
      <c r="AI529" s="26"/>
      <c r="AJ529" s="26"/>
      <c r="AK529" s="26"/>
      <c r="AL529" s="26"/>
      <c r="AM529" s="26"/>
      <c r="AN529" s="26"/>
      <c r="AO529" s="26"/>
      <c r="AP529" s="26"/>
      <c r="AQ529" s="26"/>
      <c r="AR529" s="26"/>
      <c r="AS529" s="26"/>
      <c r="AT529" s="26"/>
      <c r="AU529" s="26"/>
      <c r="AV529" s="26"/>
      <c r="AW529" s="26"/>
      <c r="AX529" s="26"/>
      <c r="AY529" s="26"/>
      <c r="AZ529" s="26"/>
      <c r="BA529" s="26"/>
      <c r="BB529" s="26"/>
      <c r="BC529" s="26"/>
      <c r="BD529" s="26"/>
      <c r="BE529" s="26"/>
      <c r="BF529" s="26"/>
      <c r="BG529" s="26"/>
      <c r="BH529" s="26"/>
      <c r="BI529" s="26"/>
      <c r="BJ529" s="26"/>
      <c r="BK529" s="26"/>
      <c r="BL529" s="26"/>
      <c r="BM529" s="26"/>
      <c r="BN529" s="26"/>
      <c r="BO529" s="26"/>
      <c r="BP529" s="26"/>
      <c r="BQ529" s="26"/>
      <c r="BR529" s="26"/>
      <c r="BS529" s="26"/>
      <c r="BT529" s="26"/>
      <c r="BU529" s="26"/>
      <c r="BV529" s="26"/>
      <c r="BW529" s="26"/>
      <c r="BX529" s="26"/>
      <c r="BY529" s="26"/>
      <c r="BZ529" s="26"/>
      <c r="CA529" s="26"/>
      <c r="CB529" s="26"/>
      <c r="CC529" s="26"/>
      <c r="CD529" s="26"/>
      <c r="CE529" s="26"/>
      <c r="CF529" s="26"/>
      <c r="CG529" s="26"/>
      <c r="CH529" s="26"/>
      <c r="CI529" s="26"/>
      <c r="CJ529" s="26"/>
      <c r="CK529" s="26"/>
      <c r="CL529" s="26"/>
      <c r="CM529" s="26"/>
      <c r="CN529" s="26"/>
      <c r="CO529" s="26"/>
      <c r="CP529" s="26"/>
      <c r="CQ529" s="26"/>
    </row>
    <row r="530" spans="1:95" s="29" customFormat="1" ht="15" customHeight="1" x14ac:dyDescent="0.25">
      <c r="A530" s="32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  <c r="AH530" s="26"/>
      <c r="AI530" s="26"/>
      <c r="AJ530" s="26"/>
      <c r="AK530" s="26"/>
      <c r="AL530" s="26"/>
      <c r="AM530" s="26"/>
      <c r="AN530" s="26"/>
      <c r="AO530" s="26"/>
      <c r="AP530" s="26"/>
      <c r="AQ530" s="26"/>
      <c r="AR530" s="26"/>
      <c r="AS530" s="26"/>
      <c r="AT530" s="26"/>
      <c r="AU530" s="26"/>
      <c r="AV530" s="26"/>
      <c r="AW530" s="26"/>
      <c r="AX530" s="26"/>
      <c r="AY530" s="26"/>
      <c r="AZ530" s="26"/>
      <c r="BA530" s="26"/>
      <c r="BB530" s="26"/>
      <c r="BC530" s="26"/>
      <c r="BD530" s="26"/>
      <c r="BE530" s="26"/>
      <c r="BF530" s="26"/>
      <c r="BG530" s="26"/>
      <c r="BH530" s="26"/>
      <c r="BI530" s="26"/>
      <c r="BJ530" s="26"/>
      <c r="BK530" s="26"/>
      <c r="BL530" s="26"/>
      <c r="BM530" s="26"/>
      <c r="BN530" s="26"/>
      <c r="BO530" s="26"/>
      <c r="BP530" s="26"/>
      <c r="BQ530" s="26"/>
      <c r="BR530" s="26"/>
      <c r="BS530" s="26"/>
      <c r="BT530" s="26"/>
      <c r="BU530" s="26"/>
      <c r="BV530" s="26"/>
      <c r="BW530" s="26"/>
      <c r="BX530" s="26"/>
      <c r="BY530" s="26"/>
      <c r="BZ530" s="26"/>
      <c r="CA530" s="26"/>
      <c r="CB530" s="26"/>
      <c r="CC530" s="26"/>
      <c r="CD530" s="26"/>
      <c r="CE530" s="26"/>
      <c r="CF530" s="26"/>
      <c r="CG530" s="26"/>
      <c r="CH530" s="26"/>
      <c r="CI530" s="26"/>
      <c r="CJ530" s="26"/>
      <c r="CK530" s="26"/>
      <c r="CL530" s="26"/>
      <c r="CM530" s="26"/>
      <c r="CN530" s="26"/>
      <c r="CO530" s="26"/>
      <c r="CP530" s="26"/>
      <c r="CQ530" s="26"/>
    </row>
    <row r="531" spans="1:95" s="29" customFormat="1" ht="15" customHeight="1" x14ac:dyDescent="0.25">
      <c r="A531" s="32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  <c r="AH531" s="26"/>
      <c r="AI531" s="26"/>
      <c r="AJ531" s="26"/>
      <c r="AK531" s="26"/>
      <c r="AL531" s="26"/>
      <c r="AM531" s="26"/>
      <c r="AN531" s="26"/>
      <c r="AO531" s="26"/>
      <c r="AP531" s="26"/>
      <c r="AQ531" s="26"/>
      <c r="AR531" s="26"/>
      <c r="AS531" s="26"/>
      <c r="AT531" s="26"/>
      <c r="AU531" s="26"/>
      <c r="AV531" s="26"/>
      <c r="AW531" s="26"/>
      <c r="AX531" s="26"/>
      <c r="AY531" s="26"/>
      <c r="AZ531" s="26"/>
      <c r="BA531" s="26"/>
      <c r="BB531" s="26"/>
      <c r="BC531" s="26"/>
      <c r="BD531" s="26"/>
      <c r="BE531" s="26"/>
      <c r="BF531" s="26"/>
      <c r="BG531" s="26"/>
      <c r="BH531" s="26"/>
      <c r="BI531" s="26"/>
      <c r="BJ531" s="26"/>
      <c r="BK531" s="26"/>
      <c r="BL531" s="26"/>
      <c r="BM531" s="26"/>
      <c r="BN531" s="26"/>
      <c r="BO531" s="26"/>
      <c r="BP531" s="26"/>
      <c r="BQ531" s="26"/>
      <c r="BR531" s="26"/>
      <c r="BS531" s="26"/>
      <c r="BT531" s="26"/>
      <c r="BU531" s="26"/>
      <c r="BV531" s="26"/>
      <c r="BW531" s="26"/>
      <c r="BX531" s="26"/>
      <c r="BY531" s="26"/>
      <c r="BZ531" s="26"/>
      <c r="CA531" s="26"/>
      <c r="CB531" s="26"/>
      <c r="CC531" s="26"/>
      <c r="CD531" s="26"/>
      <c r="CE531" s="26"/>
      <c r="CF531" s="26"/>
      <c r="CG531" s="26"/>
      <c r="CH531" s="26"/>
      <c r="CI531" s="26"/>
      <c r="CJ531" s="26"/>
      <c r="CK531" s="26"/>
      <c r="CL531" s="26"/>
      <c r="CM531" s="26"/>
      <c r="CN531" s="26"/>
      <c r="CO531" s="26"/>
      <c r="CP531" s="26"/>
      <c r="CQ531" s="26"/>
    </row>
    <row r="532" spans="1:95" s="29" customFormat="1" ht="15" customHeight="1" x14ac:dyDescent="0.25">
      <c r="A532" s="32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  <c r="AH532" s="26"/>
      <c r="AI532" s="26"/>
      <c r="AJ532" s="26"/>
      <c r="AK532" s="26"/>
      <c r="AL532" s="26"/>
      <c r="AM532" s="26"/>
      <c r="AN532" s="26"/>
      <c r="AO532" s="26"/>
      <c r="AP532" s="26"/>
      <c r="AQ532" s="26"/>
      <c r="AR532" s="26"/>
      <c r="AS532" s="26"/>
      <c r="AT532" s="26"/>
      <c r="AU532" s="26"/>
      <c r="AV532" s="26"/>
      <c r="AW532" s="26"/>
      <c r="AX532" s="26"/>
      <c r="AY532" s="26"/>
      <c r="AZ532" s="26"/>
      <c r="BA532" s="26"/>
      <c r="BB532" s="26"/>
      <c r="BC532" s="26"/>
      <c r="BD532" s="26"/>
      <c r="BE532" s="26"/>
      <c r="BF532" s="26"/>
      <c r="BG532" s="26"/>
      <c r="BH532" s="26"/>
      <c r="BI532" s="26"/>
      <c r="BJ532" s="26"/>
      <c r="BK532" s="26"/>
      <c r="BL532" s="26"/>
      <c r="BM532" s="26"/>
      <c r="BN532" s="26"/>
      <c r="BO532" s="26"/>
      <c r="BP532" s="26"/>
      <c r="BQ532" s="26"/>
      <c r="BR532" s="26"/>
      <c r="BS532" s="26"/>
      <c r="BT532" s="26"/>
      <c r="BU532" s="26"/>
      <c r="BV532" s="26"/>
      <c r="BW532" s="26"/>
      <c r="BX532" s="26"/>
      <c r="BY532" s="26"/>
      <c r="BZ532" s="26"/>
      <c r="CA532" s="26"/>
      <c r="CB532" s="26"/>
      <c r="CC532" s="26"/>
      <c r="CD532" s="26"/>
      <c r="CE532" s="26"/>
      <c r="CF532" s="26"/>
      <c r="CG532" s="26"/>
      <c r="CH532" s="26"/>
      <c r="CI532" s="26"/>
      <c r="CJ532" s="26"/>
      <c r="CK532" s="26"/>
      <c r="CL532" s="26"/>
      <c r="CM532" s="26"/>
      <c r="CN532" s="26"/>
      <c r="CO532" s="26"/>
      <c r="CP532" s="26"/>
      <c r="CQ532" s="26"/>
    </row>
    <row r="533" spans="1:95" s="29" customFormat="1" ht="15" customHeight="1" x14ac:dyDescent="0.25">
      <c r="A533" s="32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  <c r="AH533" s="26"/>
      <c r="AI533" s="26"/>
      <c r="AJ533" s="26"/>
      <c r="AK533" s="26"/>
      <c r="AL533" s="26"/>
      <c r="AM533" s="26"/>
      <c r="AN533" s="26"/>
      <c r="AO533" s="26"/>
      <c r="AP533" s="26"/>
      <c r="AQ533" s="26"/>
      <c r="AR533" s="26"/>
      <c r="AS533" s="26"/>
      <c r="AT533" s="26"/>
      <c r="AU533" s="26"/>
      <c r="AV533" s="26"/>
      <c r="AW533" s="26"/>
      <c r="AX533" s="26"/>
      <c r="AY533" s="26"/>
      <c r="AZ533" s="26"/>
      <c r="BA533" s="26"/>
      <c r="BB533" s="26"/>
      <c r="BC533" s="26"/>
      <c r="BD533" s="26"/>
      <c r="BE533" s="26"/>
      <c r="BF533" s="26"/>
      <c r="BG533" s="26"/>
      <c r="BH533" s="26"/>
      <c r="BI533" s="26"/>
      <c r="BJ533" s="26"/>
      <c r="BK533" s="26"/>
      <c r="BL533" s="26"/>
      <c r="BM533" s="26"/>
      <c r="BN533" s="26"/>
      <c r="BO533" s="26"/>
      <c r="BP533" s="26"/>
      <c r="BQ533" s="26"/>
      <c r="BR533" s="26"/>
      <c r="BS533" s="26"/>
      <c r="BT533" s="26"/>
      <c r="BU533" s="26"/>
      <c r="BV533" s="26"/>
      <c r="BW533" s="26"/>
      <c r="BX533" s="26"/>
      <c r="BY533" s="26"/>
      <c r="BZ533" s="26"/>
      <c r="CA533" s="26"/>
      <c r="CB533" s="26"/>
      <c r="CC533" s="26"/>
      <c r="CD533" s="26"/>
      <c r="CE533" s="26"/>
      <c r="CF533" s="26"/>
      <c r="CG533" s="26"/>
      <c r="CH533" s="26"/>
      <c r="CI533" s="26"/>
      <c r="CJ533" s="26"/>
      <c r="CK533" s="26"/>
      <c r="CL533" s="26"/>
      <c r="CM533" s="26"/>
      <c r="CN533" s="26"/>
      <c r="CO533" s="26"/>
      <c r="CP533" s="26"/>
      <c r="CQ533" s="26"/>
    </row>
    <row r="534" spans="1:95" s="29" customFormat="1" ht="15" customHeight="1" x14ac:dyDescent="0.25">
      <c r="A534" s="32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  <c r="AH534" s="26"/>
      <c r="AI534" s="26"/>
      <c r="AJ534" s="26"/>
      <c r="AK534" s="26"/>
      <c r="AL534" s="26"/>
      <c r="AM534" s="26"/>
      <c r="AN534" s="26"/>
      <c r="AO534" s="26"/>
      <c r="AP534" s="26"/>
      <c r="AQ534" s="26"/>
      <c r="AR534" s="26"/>
      <c r="AS534" s="26"/>
      <c r="AT534" s="26"/>
      <c r="AU534" s="26"/>
      <c r="AV534" s="26"/>
      <c r="AW534" s="26"/>
      <c r="AX534" s="26"/>
      <c r="AY534" s="26"/>
      <c r="AZ534" s="26"/>
      <c r="BA534" s="26"/>
      <c r="BB534" s="26"/>
      <c r="BC534" s="26"/>
      <c r="BD534" s="26"/>
      <c r="BE534" s="26"/>
      <c r="BF534" s="26"/>
      <c r="BG534" s="26"/>
      <c r="BH534" s="26"/>
      <c r="BI534" s="26"/>
      <c r="BJ534" s="26"/>
      <c r="BK534" s="26"/>
      <c r="BL534" s="26"/>
      <c r="BM534" s="26"/>
      <c r="BN534" s="26"/>
      <c r="BO534" s="26"/>
      <c r="BP534" s="26"/>
      <c r="BQ534" s="26"/>
      <c r="BR534" s="26"/>
      <c r="BS534" s="26"/>
      <c r="BT534" s="26"/>
      <c r="BU534" s="26"/>
      <c r="BV534" s="26"/>
      <c r="BW534" s="26"/>
      <c r="BX534" s="26"/>
      <c r="BY534" s="26"/>
      <c r="BZ534" s="26"/>
      <c r="CA534" s="26"/>
      <c r="CB534" s="26"/>
      <c r="CC534" s="26"/>
      <c r="CD534" s="26"/>
      <c r="CE534" s="26"/>
      <c r="CF534" s="26"/>
      <c r="CG534" s="26"/>
      <c r="CH534" s="26"/>
      <c r="CI534" s="26"/>
      <c r="CJ534" s="26"/>
      <c r="CK534" s="26"/>
      <c r="CL534" s="26"/>
      <c r="CM534" s="26"/>
      <c r="CN534" s="26"/>
      <c r="CO534" s="26"/>
      <c r="CP534" s="26"/>
      <c r="CQ534" s="26"/>
    </row>
    <row r="535" spans="1:95" s="29" customFormat="1" ht="15" customHeight="1" x14ac:dyDescent="0.25">
      <c r="A535" s="32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  <c r="AH535" s="26"/>
      <c r="AI535" s="26"/>
      <c r="AJ535" s="26"/>
      <c r="AK535" s="26"/>
      <c r="AL535" s="26"/>
      <c r="AM535" s="26"/>
      <c r="AN535" s="26"/>
      <c r="AO535" s="26"/>
      <c r="AP535" s="26"/>
      <c r="AQ535" s="26"/>
      <c r="AR535" s="26"/>
      <c r="AS535" s="26"/>
      <c r="AT535" s="26"/>
      <c r="AU535" s="26"/>
      <c r="AV535" s="26"/>
      <c r="AW535" s="26"/>
      <c r="AX535" s="26"/>
      <c r="AY535" s="26"/>
      <c r="AZ535" s="26"/>
      <c r="BA535" s="26"/>
      <c r="BB535" s="26"/>
      <c r="BC535" s="26"/>
      <c r="BD535" s="26"/>
      <c r="BE535" s="26"/>
      <c r="BF535" s="26"/>
      <c r="BG535" s="26"/>
      <c r="BH535" s="26"/>
      <c r="BI535" s="26"/>
      <c r="BJ535" s="26"/>
      <c r="BK535" s="26"/>
      <c r="BL535" s="26"/>
      <c r="BM535" s="26"/>
      <c r="BN535" s="26"/>
      <c r="BO535" s="26"/>
      <c r="BP535" s="26"/>
      <c r="BQ535" s="26"/>
      <c r="BR535" s="26"/>
      <c r="BS535" s="26"/>
      <c r="BT535" s="26"/>
      <c r="BU535" s="26"/>
      <c r="BV535" s="26"/>
      <c r="BW535" s="26"/>
      <c r="BX535" s="26"/>
      <c r="BY535" s="26"/>
      <c r="BZ535" s="26"/>
      <c r="CA535" s="26"/>
      <c r="CB535" s="26"/>
      <c r="CC535" s="26"/>
      <c r="CD535" s="26"/>
      <c r="CE535" s="26"/>
      <c r="CF535" s="26"/>
      <c r="CG535" s="26"/>
      <c r="CH535" s="26"/>
      <c r="CI535" s="26"/>
      <c r="CJ535" s="26"/>
      <c r="CK535" s="26"/>
      <c r="CL535" s="26"/>
      <c r="CM535" s="26"/>
      <c r="CN535" s="26"/>
      <c r="CO535" s="26"/>
      <c r="CP535" s="26"/>
      <c r="CQ535" s="26"/>
    </row>
    <row r="536" spans="1:95" s="29" customFormat="1" ht="15" customHeight="1" x14ac:dyDescent="0.25">
      <c r="A536" s="32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  <c r="AH536" s="26"/>
      <c r="AI536" s="26"/>
      <c r="AJ536" s="26"/>
      <c r="AK536" s="26"/>
      <c r="AL536" s="26"/>
      <c r="AM536" s="26"/>
      <c r="AN536" s="26"/>
      <c r="AO536" s="26"/>
      <c r="AP536" s="26"/>
      <c r="AQ536" s="26"/>
      <c r="AR536" s="26"/>
      <c r="AS536" s="26"/>
      <c r="AT536" s="26"/>
      <c r="AU536" s="26"/>
      <c r="AV536" s="26"/>
      <c r="AW536" s="26"/>
      <c r="AX536" s="26"/>
      <c r="AY536" s="26"/>
      <c r="AZ536" s="26"/>
      <c r="BA536" s="26"/>
      <c r="BB536" s="26"/>
      <c r="BC536" s="26"/>
      <c r="BD536" s="26"/>
      <c r="BE536" s="26"/>
      <c r="BF536" s="26"/>
      <c r="BG536" s="26"/>
      <c r="BH536" s="26"/>
      <c r="BI536" s="26"/>
      <c r="BJ536" s="26"/>
      <c r="BK536" s="26"/>
      <c r="BL536" s="26"/>
      <c r="BM536" s="26"/>
      <c r="BN536" s="26"/>
      <c r="BO536" s="26"/>
      <c r="BP536" s="26"/>
      <c r="BQ536" s="26"/>
      <c r="BR536" s="26"/>
      <c r="BS536" s="26"/>
      <c r="BT536" s="26"/>
      <c r="BU536" s="26"/>
      <c r="BV536" s="26"/>
      <c r="BW536" s="26"/>
      <c r="BX536" s="26"/>
      <c r="BY536" s="26"/>
      <c r="BZ536" s="26"/>
      <c r="CA536" s="26"/>
      <c r="CB536" s="26"/>
      <c r="CC536" s="26"/>
      <c r="CD536" s="26"/>
      <c r="CE536" s="26"/>
      <c r="CF536" s="26"/>
      <c r="CG536" s="26"/>
      <c r="CH536" s="26"/>
      <c r="CI536" s="26"/>
      <c r="CJ536" s="26"/>
      <c r="CK536" s="26"/>
      <c r="CL536" s="26"/>
      <c r="CM536" s="26"/>
      <c r="CN536" s="26"/>
      <c r="CO536" s="26"/>
      <c r="CP536" s="26"/>
      <c r="CQ536" s="26"/>
    </row>
    <row r="537" spans="1:95" s="29" customFormat="1" ht="15" customHeight="1" x14ac:dyDescent="0.25">
      <c r="A537" s="32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  <c r="AH537" s="26"/>
      <c r="AI537" s="26"/>
      <c r="AJ537" s="26"/>
      <c r="AK537" s="26"/>
      <c r="AL537" s="26"/>
      <c r="AM537" s="26"/>
      <c r="AN537" s="26"/>
      <c r="AO537" s="26"/>
      <c r="AP537" s="26"/>
      <c r="AQ537" s="26"/>
      <c r="AR537" s="26"/>
      <c r="AS537" s="26"/>
      <c r="AT537" s="26"/>
      <c r="AU537" s="26"/>
      <c r="AV537" s="26"/>
      <c r="AW537" s="26"/>
      <c r="AX537" s="26"/>
      <c r="AY537" s="26"/>
      <c r="AZ537" s="26"/>
      <c r="BA537" s="26"/>
      <c r="BB537" s="26"/>
      <c r="BC537" s="26"/>
      <c r="BD537" s="26"/>
      <c r="BE537" s="26"/>
      <c r="BF537" s="26"/>
      <c r="BG537" s="26"/>
      <c r="BH537" s="26"/>
      <c r="BI537" s="26"/>
      <c r="BJ537" s="26"/>
      <c r="BK537" s="26"/>
      <c r="BL537" s="26"/>
      <c r="BM537" s="26"/>
      <c r="BN537" s="26"/>
      <c r="BO537" s="26"/>
      <c r="BP537" s="26"/>
      <c r="BQ537" s="26"/>
      <c r="BR537" s="26"/>
      <c r="BS537" s="26"/>
      <c r="BT537" s="26"/>
      <c r="BU537" s="26"/>
      <c r="BV537" s="26"/>
      <c r="BW537" s="26"/>
      <c r="BX537" s="26"/>
      <c r="BY537" s="26"/>
      <c r="BZ537" s="26"/>
      <c r="CA537" s="26"/>
      <c r="CB537" s="26"/>
      <c r="CC537" s="26"/>
      <c r="CD537" s="26"/>
      <c r="CE537" s="26"/>
      <c r="CF537" s="26"/>
      <c r="CG537" s="26"/>
      <c r="CH537" s="26"/>
      <c r="CI537" s="26"/>
      <c r="CJ537" s="26"/>
      <c r="CK537" s="26"/>
      <c r="CL537" s="26"/>
      <c r="CM537" s="26"/>
      <c r="CN537" s="26"/>
      <c r="CO537" s="26"/>
      <c r="CP537" s="26"/>
      <c r="CQ537" s="26"/>
    </row>
    <row r="538" spans="1:95" s="29" customFormat="1" ht="15" customHeight="1" x14ac:dyDescent="0.25">
      <c r="A538" s="32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  <c r="AH538" s="26"/>
      <c r="AI538" s="26"/>
      <c r="AJ538" s="26"/>
      <c r="AK538" s="26"/>
      <c r="AL538" s="26"/>
      <c r="AM538" s="26"/>
      <c r="AN538" s="26"/>
      <c r="AO538" s="26"/>
      <c r="AP538" s="26"/>
      <c r="AQ538" s="26"/>
      <c r="AR538" s="26"/>
      <c r="AS538" s="26"/>
      <c r="AT538" s="26"/>
      <c r="AU538" s="26"/>
      <c r="AV538" s="26"/>
      <c r="AW538" s="26"/>
      <c r="AX538" s="26"/>
      <c r="AY538" s="26"/>
      <c r="AZ538" s="26"/>
      <c r="BA538" s="26"/>
      <c r="BB538" s="26"/>
      <c r="BC538" s="26"/>
      <c r="BD538" s="26"/>
      <c r="BE538" s="26"/>
      <c r="BF538" s="26"/>
      <c r="BG538" s="26"/>
      <c r="BH538" s="26"/>
      <c r="BI538" s="26"/>
      <c r="BJ538" s="26"/>
      <c r="BK538" s="26"/>
      <c r="BL538" s="26"/>
      <c r="BM538" s="26"/>
      <c r="BN538" s="26"/>
      <c r="BO538" s="26"/>
      <c r="BP538" s="26"/>
      <c r="BQ538" s="26"/>
      <c r="BR538" s="26"/>
      <c r="BS538" s="26"/>
      <c r="BT538" s="26"/>
      <c r="BU538" s="26"/>
      <c r="BV538" s="26"/>
      <c r="BW538" s="26"/>
      <c r="BX538" s="26"/>
      <c r="BY538" s="26"/>
      <c r="BZ538" s="26"/>
      <c r="CA538" s="26"/>
      <c r="CB538" s="26"/>
      <c r="CC538" s="26"/>
      <c r="CD538" s="26"/>
      <c r="CE538" s="26"/>
      <c r="CF538" s="26"/>
      <c r="CG538" s="26"/>
      <c r="CH538" s="26"/>
      <c r="CI538" s="26"/>
      <c r="CJ538" s="26"/>
      <c r="CK538" s="26"/>
      <c r="CL538" s="26"/>
      <c r="CM538" s="26"/>
      <c r="CN538" s="26"/>
      <c r="CO538" s="26"/>
      <c r="CP538" s="26"/>
      <c r="CQ538" s="26"/>
    </row>
    <row r="539" spans="1:95" s="29" customFormat="1" ht="15" customHeight="1" x14ac:dyDescent="0.25">
      <c r="A539" s="32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  <c r="AH539" s="26"/>
      <c r="AI539" s="26"/>
      <c r="AJ539" s="26"/>
      <c r="AK539" s="26"/>
      <c r="AL539" s="26"/>
      <c r="AM539" s="26"/>
      <c r="AN539" s="26"/>
      <c r="AO539" s="26"/>
      <c r="AP539" s="26"/>
      <c r="AQ539" s="26"/>
      <c r="AR539" s="26"/>
      <c r="AS539" s="26"/>
      <c r="AT539" s="26"/>
      <c r="AU539" s="26"/>
      <c r="AV539" s="26"/>
      <c r="AW539" s="26"/>
      <c r="AX539" s="26"/>
      <c r="AY539" s="26"/>
      <c r="AZ539" s="26"/>
      <c r="BA539" s="26"/>
      <c r="BB539" s="26"/>
      <c r="BC539" s="26"/>
      <c r="BD539" s="26"/>
      <c r="BE539" s="26"/>
      <c r="BF539" s="26"/>
      <c r="BG539" s="26"/>
      <c r="BH539" s="26"/>
      <c r="BI539" s="26"/>
      <c r="BJ539" s="26"/>
      <c r="BK539" s="26"/>
      <c r="BL539" s="26"/>
      <c r="BM539" s="26"/>
      <c r="BN539" s="26"/>
      <c r="BO539" s="26"/>
      <c r="BP539" s="26"/>
      <c r="BQ539" s="26"/>
      <c r="BR539" s="26"/>
      <c r="BS539" s="26"/>
      <c r="BT539" s="26"/>
      <c r="BU539" s="26"/>
      <c r="BV539" s="26"/>
      <c r="BW539" s="26"/>
      <c r="BX539" s="26"/>
      <c r="BY539" s="26"/>
      <c r="BZ539" s="26"/>
      <c r="CA539" s="26"/>
      <c r="CB539" s="26"/>
      <c r="CC539" s="26"/>
      <c r="CD539" s="26"/>
      <c r="CE539" s="26"/>
      <c r="CF539" s="26"/>
      <c r="CG539" s="26"/>
      <c r="CH539" s="26"/>
      <c r="CI539" s="26"/>
      <c r="CJ539" s="26"/>
      <c r="CK539" s="26"/>
      <c r="CL539" s="26"/>
      <c r="CM539" s="26"/>
      <c r="CN539" s="26"/>
      <c r="CO539" s="26"/>
      <c r="CP539" s="26"/>
      <c r="CQ539" s="26"/>
    </row>
    <row r="540" spans="1:95" s="29" customFormat="1" ht="15" customHeight="1" x14ac:dyDescent="0.25">
      <c r="A540" s="32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  <c r="AH540" s="26"/>
      <c r="AI540" s="26"/>
      <c r="AJ540" s="26"/>
      <c r="AK540" s="26"/>
      <c r="AL540" s="26"/>
      <c r="AM540" s="26"/>
      <c r="AN540" s="26"/>
      <c r="AO540" s="26"/>
      <c r="AP540" s="26"/>
      <c r="AQ540" s="26"/>
      <c r="AR540" s="26"/>
      <c r="AS540" s="26"/>
      <c r="AT540" s="26"/>
      <c r="AU540" s="26"/>
      <c r="AV540" s="26"/>
      <c r="AW540" s="26"/>
      <c r="AX540" s="26"/>
      <c r="AY540" s="26"/>
      <c r="AZ540" s="26"/>
      <c r="BA540" s="26"/>
      <c r="BB540" s="26"/>
      <c r="BC540" s="26"/>
      <c r="BD540" s="26"/>
      <c r="BE540" s="26"/>
      <c r="BF540" s="26"/>
      <c r="BG540" s="26"/>
      <c r="BH540" s="26"/>
      <c r="BI540" s="26"/>
      <c r="BJ540" s="26"/>
      <c r="BK540" s="26"/>
      <c r="BL540" s="26"/>
      <c r="BM540" s="26"/>
      <c r="BN540" s="26"/>
      <c r="BO540" s="26"/>
      <c r="BP540" s="26"/>
      <c r="BQ540" s="26"/>
      <c r="BR540" s="26"/>
      <c r="BS540" s="26"/>
      <c r="BT540" s="26"/>
      <c r="BU540" s="26"/>
      <c r="BV540" s="26"/>
      <c r="BW540" s="26"/>
      <c r="BX540" s="26"/>
      <c r="BY540" s="26"/>
      <c r="BZ540" s="26"/>
      <c r="CA540" s="26"/>
      <c r="CB540" s="26"/>
      <c r="CC540" s="26"/>
      <c r="CD540" s="26"/>
      <c r="CE540" s="26"/>
      <c r="CF540" s="26"/>
      <c r="CG540" s="26"/>
      <c r="CH540" s="26"/>
      <c r="CI540" s="26"/>
      <c r="CJ540" s="26"/>
      <c r="CK540" s="26"/>
      <c r="CL540" s="26"/>
      <c r="CM540" s="26"/>
      <c r="CN540" s="26"/>
      <c r="CO540" s="26"/>
      <c r="CP540" s="26"/>
      <c r="CQ540" s="26"/>
    </row>
    <row r="541" spans="1:95" s="29" customFormat="1" ht="15" customHeight="1" x14ac:dyDescent="0.25">
      <c r="A541" s="32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  <c r="AH541" s="26"/>
      <c r="AI541" s="26"/>
      <c r="AJ541" s="26"/>
      <c r="AK541" s="26"/>
      <c r="AL541" s="26"/>
      <c r="AM541" s="26"/>
      <c r="AN541" s="26"/>
      <c r="AO541" s="26"/>
      <c r="AP541" s="26"/>
      <c r="AQ541" s="26"/>
      <c r="AR541" s="26"/>
      <c r="AS541" s="26"/>
      <c r="AT541" s="26"/>
      <c r="AU541" s="26"/>
      <c r="AV541" s="26"/>
      <c r="AW541" s="26"/>
      <c r="AX541" s="26"/>
      <c r="AY541" s="26"/>
      <c r="AZ541" s="26"/>
      <c r="BA541" s="26"/>
      <c r="BB541" s="26"/>
      <c r="BC541" s="26"/>
      <c r="BD541" s="26"/>
      <c r="BE541" s="26"/>
      <c r="BF541" s="26"/>
      <c r="BG541" s="26"/>
      <c r="BH541" s="26"/>
      <c r="BI541" s="26"/>
      <c r="BJ541" s="26"/>
      <c r="BK541" s="26"/>
      <c r="BL541" s="26"/>
      <c r="BM541" s="26"/>
      <c r="BN541" s="26"/>
      <c r="BO541" s="26"/>
      <c r="BP541" s="26"/>
      <c r="BQ541" s="26"/>
      <c r="BR541" s="26"/>
      <c r="BS541" s="26"/>
      <c r="BT541" s="26"/>
      <c r="BU541" s="26"/>
      <c r="BV541" s="26"/>
      <c r="BW541" s="26"/>
      <c r="BX541" s="26"/>
      <c r="BY541" s="26"/>
      <c r="BZ541" s="26"/>
      <c r="CA541" s="26"/>
      <c r="CB541" s="26"/>
      <c r="CC541" s="26"/>
      <c r="CD541" s="26"/>
      <c r="CE541" s="26"/>
      <c r="CF541" s="26"/>
      <c r="CG541" s="26"/>
      <c r="CH541" s="26"/>
      <c r="CI541" s="26"/>
      <c r="CJ541" s="26"/>
      <c r="CK541" s="26"/>
      <c r="CL541" s="26"/>
      <c r="CM541" s="26"/>
      <c r="CN541" s="26"/>
      <c r="CO541" s="26"/>
      <c r="CP541" s="26"/>
      <c r="CQ541" s="26"/>
    </row>
    <row r="542" spans="1:95" s="29" customFormat="1" ht="15" customHeight="1" x14ac:dyDescent="0.25">
      <c r="A542" s="32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  <c r="AH542" s="26"/>
      <c r="AI542" s="26"/>
      <c r="AJ542" s="26"/>
      <c r="AK542" s="26"/>
      <c r="AL542" s="26"/>
      <c r="AM542" s="26"/>
      <c r="AN542" s="26"/>
      <c r="AO542" s="26"/>
      <c r="AP542" s="26"/>
      <c r="AQ542" s="26"/>
      <c r="AR542" s="26"/>
      <c r="AS542" s="26"/>
      <c r="AT542" s="26"/>
      <c r="AU542" s="26"/>
      <c r="AV542" s="26"/>
      <c r="AW542" s="26"/>
      <c r="AX542" s="26"/>
      <c r="AY542" s="26"/>
      <c r="AZ542" s="26"/>
      <c r="BA542" s="26"/>
      <c r="BB542" s="26"/>
      <c r="BC542" s="26"/>
      <c r="BD542" s="26"/>
      <c r="BE542" s="26"/>
      <c r="BF542" s="26"/>
      <c r="BG542" s="26"/>
      <c r="BH542" s="26"/>
      <c r="BI542" s="26"/>
      <c r="BJ542" s="26"/>
      <c r="BK542" s="26"/>
      <c r="BL542" s="26"/>
      <c r="BM542" s="26"/>
      <c r="BN542" s="26"/>
      <c r="BO542" s="26"/>
      <c r="BP542" s="26"/>
      <c r="BQ542" s="26"/>
      <c r="BR542" s="26"/>
      <c r="BS542" s="26"/>
      <c r="BT542" s="26"/>
      <c r="BU542" s="26"/>
      <c r="BV542" s="26"/>
      <c r="BW542" s="26"/>
      <c r="BX542" s="26"/>
      <c r="BY542" s="26"/>
      <c r="BZ542" s="26"/>
      <c r="CA542" s="26"/>
      <c r="CB542" s="26"/>
      <c r="CC542" s="26"/>
      <c r="CD542" s="26"/>
      <c r="CE542" s="26"/>
      <c r="CF542" s="26"/>
      <c r="CG542" s="26"/>
      <c r="CH542" s="26"/>
      <c r="CI542" s="26"/>
      <c r="CJ542" s="26"/>
      <c r="CK542" s="26"/>
      <c r="CL542" s="26"/>
      <c r="CM542" s="26"/>
      <c r="CN542" s="26"/>
      <c r="CO542" s="26"/>
      <c r="CP542" s="26"/>
      <c r="CQ542" s="26"/>
    </row>
    <row r="543" spans="1:95" s="29" customFormat="1" ht="15" customHeight="1" x14ac:dyDescent="0.25">
      <c r="A543" s="32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  <c r="AH543" s="26"/>
      <c r="AI543" s="26"/>
      <c r="AJ543" s="26"/>
      <c r="AK543" s="26"/>
      <c r="AL543" s="26"/>
      <c r="AM543" s="26"/>
      <c r="AN543" s="26"/>
      <c r="AO543" s="26"/>
      <c r="AP543" s="26"/>
      <c r="AQ543" s="26"/>
      <c r="AR543" s="26"/>
      <c r="AS543" s="26"/>
      <c r="AT543" s="26"/>
      <c r="AU543" s="26"/>
      <c r="AV543" s="26"/>
      <c r="AW543" s="26"/>
      <c r="AX543" s="26"/>
      <c r="AY543" s="26"/>
      <c r="AZ543" s="26"/>
      <c r="BA543" s="26"/>
      <c r="BB543" s="26"/>
      <c r="BC543" s="26"/>
      <c r="BD543" s="26"/>
      <c r="BE543" s="26"/>
      <c r="BF543" s="26"/>
      <c r="BG543" s="26"/>
      <c r="BH543" s="26"/>
      <c r="BI543" s="26"/>
      <c r="BJ543" s="26"/>
      <c r="BK543" s="26"/>
      <c r="BL543" s="26"/>
      <c r="BM543" s="26"/>
      <c r="BN543" s="26"/>
      <c r="BO543" s="26"/>
      <c r="BP543" s="26"/>
      <c r="BQ543" s="26"/>
      <c r="BR543" s="26"/>
      <c r="BS543" s="26"/>
      <c r="BT543" s="26"/>
      <c r="BU543" s="26"/>
      <c r="BV543" s="26"/>
      <c r="BW543" s="26"/>
      <c r="BX543" s="26"/>
      <c r="BY543" s="26"/>
      <c r="BZ543" s="26"/>
      <c r="CA543" s="26"/>
      <c r="CB543" s="26"/>
      <c r="CC543" s="26"/>
      <c r="CD543" s="26"/>
      <c r="CE543" s="26"/>
      <c r="CF543" s="26"/>
      <c r="CG543" s="26"/>
      <c r="CH543" s="26"/>
      <c r="CI543" s="26"/>
      <c r="CJ543" s="26"/>
      <c r="CK543" s="26"/>
      <c r="CL543" s="26"/>
      <c r="CM543" s="26"/>
      <c r="CN543" s="26"/>
      <c r="CO543" s="26"/>
      <c r="CP543" s="26"/>
      <c r="CQ543" s="26"/>
    </row>
    <row r="544" spans="1:95" s="29" customFormat="1" ht="15" customHeight="1" x14ac:dyDescent="0.25">
      <c r="A544" s="32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  <c r="AH544" s="26"/>
      <c r="AI544" s="26"/>
      <c r="AJ544" s="26"/>
      <c r="AK544" s="26"/>
      <c r="AL544" s="26"/>
      <c r="AM544" s="26"/>
      <c r="AN544" s="26"/>
      <c r="AO544" s="26"/>
      <c r="AP544" s="26"/>
      <c r="AQ544" s="26"/>
      <c r="AR544" s="26"/>
      <c r="AS544" s="26"/>
      <c r="AT544" s="26"/>
      <c r="AU544" s="26"/>
      <c r="AV544" s="26"/>
      <c r="AW544" s="26"/>
      <c r="AX544" s="26"/>
      <c r="AY544" s="26"/>
      <c r="AZ544" s="26"/>
      <c r="BA544" s="26"/>
      <c r="BB544" s="26"/>
      <c r="BC544" s="26"/>
      <c r="BD544" s="26"/>
      <c r="BE544" s="26"/>
      <c r="BF544" s="26"/>
      <c r="BG544" s="26"/>
      <c r="BH544" s="26"/>
      <c r="BI544" s="26"/>
      <c r="BJ544" s="26"/>
      <c r="BK544" s="26"/>
      <c r="BL544" s="26"/>
      <c r="BM544" s="26"/>
      <c r="BN544" s="26"/>
      <c r="BO544" s="26"/>
      <c r="BP544" s="26"/>
      <c r="BQ544" s="26"/>
      <c r="BR544" s="26"/>
      <c r="BS544" s="26"/>
      <c r="BT544" s="26"/>
      <c r="BU544" s="26"/>
      <c r="BV544" s="26"/>
      <c r="BW544" s="26"/>
      <c r="BX544" s="26"/>
      <c r="BY544" s="26"/>
      <c r="BZ544" s="26"/>
      <c r="CA544" s="26"/>
      <c r="CB544" s="26"/>
      <c r="CC544" s="26"/>
      <c r="CD544" s="26"/>
      <c r="CE544" s="26"/>
      <c r="CF544" s="26"/>
      <c r="CG544" s="26"/>
      <c r="CH544" s="26"/>
      <c r="CI544" s="26"/>
      <c r="CJ544" s="26"/>
      <c r="CK544" s="26"/>
      <c r="CL544" s="26"/>
      <c r="CM544" s="26"/>
      <c r="CN544" s="26"/>
      <c r="CO544" s="26"/>
      <c r="CP544" s="26"/>
      <c r="CQ544" s="26"/>
    </row>
    <row r="545" spans="1:95" s="29" customFormat="1" ht="15" customHeight="1" x14ac:dyDescent="0.25">
      <c r="A545" s="32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  <c r="AH545" s="26"/>
      <c r="AI545" s="26"/>
      <c r="AJ545" s="26"/>
      <c r="AK545" s="26"/>
      <c r="AL545" s="26"/>
      <c r="AM545" s="26"/>
      <c r="AN545" s="26"/>
      <c r="AO545" s="26"/>
      <c r="AP545" s="26"/>
      <c r="AQ545" s="26"/>
      <c r="AR545" s="26"/>
      <c r="AS545" s="26"/>
      <c r="AT545" s="26"/>
      <c r="AU545" s="26"/>
      <c r="AV545" s="26"/>
      <c r="AW545" s="26"/>
      <c r="AX545" s="26"/>
      <c r="AY545" s="26"/>
      <c r="AZ545" s="26"/>
      <c r="BA545" s="26"/>
      <c r="BB545" s="26"/>
      <c r="BC545" s="26"/>
      <c r="BD545" s="26"/>
      <c r="BE545" s="26"/>
      <c r="BF545" s="26"/>
      <c r="BG545" s="26"/>
      <c r="BH545" s="26"/>
      <c r="BI545" s="26"/>
      <c r="BJ545" s="26"/>
      <c r="BK545" s="26"/>
      <c r="BL545" s="26"/>
      <c r="BM545" s="26"/>
      <c r="BN545" s="26"/>
      <c r="BO545" s="26"/>
      <c r="BP545" s="26"/>
      <c r="BQ545" s="26"/>
      <c r="BR545" s="26"/>
      <c r="BS545" s="26"/>
      <c r="BT545" s="26"/>
      <c r="BU545" s="26"/>
      <c r="BV545" s="26"/>
      <c r="BW545" s="26"/>
      <c r="BX545" s="26"/>
      <c r="BY545" s="26"/>
      <c r="BZ545" s="26"/>
      <c r="CA545" s="26"/>
      <c r="CB545" s="26"/>
      <c r="CC545" s="26"/>
      <c r="CD545" s="26"/>
      <c r="CE545" s="26"/>
      <c r="CF545" s="26"/>
      <c r="CG545" s="26"/>
      <c r="CH545" s="26"/>
      <c r="CI545" s="26"/>
      <c r="CJ545" s="26"/>
      <c r="CK545" s="26"/>
      <c r="CL545" s="26"/>
      <c r="CM545" s="26"/>
      <c r="CN545" s="26"/>
      <c r="CO545" s="26"/>
      <c r="CP545" s="26"/>
      <c r="CQ545" s="26"/>
    </row>
    <row r="546" spans="1:95" s="29" customFormat="1" ht="15" customHeight="1" x14ac:dyDescent="0.25">
      <c r="A546" s="32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  <c r="AH546" s="26"/>
      <c r="AI546" s="26"/>
      <c r="AJ546" s="26"/>
      <c r="AK546" s="26"/>
      <c r="AL546" s="26"/>
      <c r="AM546" s="26"/>
      <c r="AN546" s="26"/>
      <c r="AO546" s="26"/>
      <c r="AP546" s="26"/>
      <c r="AQ546" s="26"/>
      <c r="AR546" s="26"/>
      <c r="AS546" s="26"/>
      <c r="AT546" s="26"/>
      <c r="AU546" s="26"/>
      <c r="AV546" s="26"/>
      <c r="AW546" s="26"/>
      <c r="AX546" s="26"/>
      <c r="AY546" s="26"/>
      <c r="AZ546" s="26"/>
      <c r="BA546" s="26"/>
      <c r="BB546" s="26"/>
      <c r="BC546" s="26"/>
      <c r="BD546" s="26"/>
      <c r="BE546" s="26"/>
      <c r="BF546" s="26"/>
      <c r="BG546" s="26"/>
      <c r="BH546" s="26"/>
      <c r="BI546" s="26"/>
      <c r="BJ546" s="26"/>
      <c r="BK546" s="26"/>
      <c r="BL546" s="26"/>
      <c r="BM546" s="26"/>
      <c r="BN546" s="26"/>
      <c r="BO546" s="26"/>
      <c r="BP546" s="26"/>
      <c r="BQ546" s="26"/>
      <c r="BR546" s="26"/>
      <c r="BS546" s="26"/>
      <c r="BT546" s="26"/>
      <c r="BU546" s="26"/>
      <c r="BV546" s="26"/>
      <c r="BW546" s="26"/>
      <c r="BX546" s="26"/>
      <c r="BY546" s="26"/>
      <c r="BZ546" s="26"/>
      <c r="CA546" s="26"/>
      <c r="CB546" s="26"/>
      <c r="CC546" s="26"/>
      <c r="CD546" s="26"/>
      <c r="CE546" s="26"/>
      <c r="CF546" s="26"/>
      <c r="CG546" s="26"/>
      <c r="CH546" s="26"/>
      <c r="CI546" s="26"/>
      <c r="CJ546" s="26"/>
      <c r="CK546" s="26"/>
      <c r="CL546" s="26"/>
      <c r="CM546" s="26"/>
      <c r="CN546" s="26"/>
      <c r="CO546" s="26"/>
      <c r="CP546" s="26"/>
      <c r="CQ546" s="26"/>
    </row>
    <row r="547" spans="1:95" s="29" customFormat="1" ht="15" customHeight="1" x14ac:dyDescent="0.25">
      <c r="A547" s="32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  <c r="AH547" s="26"/>
      <c r="AI547" s="26"/>
      <c r="AJ547" s="26"/>
      <c r="AK547" s="26"/>
      <c r="AL547" s="26"/>
      <c r="AM547" s="26"/>
      <c r="AN547" s="26"/>
      <c r="AO547" s="26"/>
      <c r="AP547" s="26"/>
      <c r="AQ547" s="26"/>
      <c r="AR547" s="26"/>
      <c r="AS547" s="26"/>
      <c r="AT547" s="26"/>
      <c r="AU547" s="26"/>
      <c r="AV547" s="26"/>
      <c r="AW547" s="26"/>
      <c r="AX547" s="26"/>
      <c r="AY547" s="26"/>
      <c r="AZ547" s="26"/>
      <c r="BA547" s="26"/>
      <c r="BB547" s="26"/>
      <c r="BC547" s="26"/>
      <c r="BD547" s="26"/>
      <c r="BE547" s="26"/>
      <c r="BF547" s="26"/>
      <c r="BG547" s="26"/>
      <c r="BH547" s="26"/>
      <c r="BI547" s="26"/>
      <c r="BJ547" s="26"/>
      <c r="BK547" s="26"/>
      <c r="BL547" s="26"/>
      <c r="BM547" s="26"/>
      <c r="BN547" s="26"/>
      <c r="BO547" s="26"/>
      <c r="BP547" s="26"/>
      <c r="BQ547" s="26"/>
      <c r="BR547" s="26"/>
      <c r="BS547" s="26"/>
      <c r="BT547" s="26"/>
      <c r="BU547" s="26"/>
      <c r="BV547" s="26"/>
      <c r="BW547" s="26"/>
      <c r="BX547" s="26"/>
      <c r="BY547" s="26"/>
      <c r="BZ547" s="26"/>
      <c r="CA547" s="26"/>
      <c r="CB547" s="26"/>
      <c r="CC547" s="26"/>
      <c r="CD547" s="26"/>
      <c r="CE547" s="26"/>
      <c r="CF547" s="26"/>
      <c r="CG547" s="26"/>
      <c r="CH547" s="26"/>
      <c r="CI547" s="26"/>
      <c r="CJ547" s="26"/>
      <c r="CK547" s="26"/>
      <c r="CL547" s="26"/>
      <c r="CM547" s="26"/>
      <c r="CN547" s="26"/>
      <c r="CO547" s="26"/>
      <c r="CP547" s="26"/>
      <c r="CQ547" s="26"/>
    </row>
    <row r="548" spans="1:95" s="29" customFormat="1" ht="15" customHeight="1" x14ac:dyDescent="0.25">
      <c r="A548" s="32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  <c r="AH548" s="26"/>
      <c r="AI548" s="26"/>
      <c r="AJ548" s="26"/>
      <c r="AK548" s="26"/>
      <c r="AL548" s="26"/>
      <c r="AM548" s="26"/>
      <c r="AN548" s="26"/>
      <c r="AO548" s="26"/>
      <c r="AP548" s="26"/>
      <c r="AQ548" s="26"/>
      <c r="AR548" s="26"/>
      <c r="AS548" s="26"/>
      <c r="AT548" s="26"/>
      <c r="AU548" s="26"/>
      <c r="AV548" s="26"/>
      <c r="AW548" s="26"/>
      <c r="AX548" s="26"/>
      <c r="AY548" s="26"/>
      <c r="AZ548" s="26"/>
      <c r="BA548" s="26"/>
      <c r="BB548" s="26"/>
      <c r="BC548" s="26"/>
      <c r="BD548" s="26"/>
      <c r="BE548" s="26"/>
      <c r="BF548" s="26"/>
      <c r="BG548" s="26"/>
      <c r="BH548" s="26"/>
      <c r="BI548" s="26"/>
      <c r="BJ548" s="26"/>
      <c r="BK548" s="26"/>
      <c r="BL548" s="26"/>
      <c r="BM548" s="26"/>
      <c r="BN548" s="26"/>
      <c r="BO548" s="26"/>
      <c r="BP548" s="26"/>
      <c r="BQ548" s="26"/>
      <c r="BR548" s="26"/>
      <c r="BS548" s="26"/>
      <c r="BT548" s="26"/>
      <c r="BU548" s="26"/>
      <c r="BV548" s="26"/>
      <c r="BW548" s="26"/>
      <c r="BX548" s="26"/>
      <c r="BY548" s="26"/>
      <c r="BZ548" s="26"/>
      <c r="CA548" s="26"/>
      <c r="CB548" s="26"/>
      <c r="CC548" s="26"/>
      <c r="CD548" s="26"/>
      <c r="CE548" s="26"/>
      <c r="CF548" s="26"/>
      <c r="CG548" s="26"/>
      <c r="CH548" s="26"/>
      <c r="CI548" s="26"/>
      <c r="CJ548" s="26"/>
      <c r="CK548" s="26"/>
      <c r="CL548" s="26"/>
      <c r="CM548" s="26"/>
      <c r="CN548" s="26"/>
      <c r="CO548" s="26"/>
      <c r="CP548" s="26"/>
      <c r="CQ548" s="26"/>
    </row>
    <row r="549" spans="1:95" s="29" customFormat="1" ht="15" customHeight="1" x14ac:dyDescent="0.25">
      <c r="A549" s="32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  <c r="AH549" s="26"/>
      <c r="AI549" s="26"/>
      <c r="AJ549" s="26"/>
      <c r="AK549" s="26"/>
      <c r="AL549" s="26"/>
      <c r="AM549" s="26"/>
      <c r="AN549" s="26"/>
      <c r="AO549" s="26"/>
      <c r="AP549" s="26"/>
      <c r="AQ549" s="26"/>
      <c r="AR549" s="26"/>
      <c r="AS549" s="26"/>
      <c r="AT549" s="26"/>
      <c r="AU549" s="26"/>
      <c r="AV549" s="26"/>
      <c r="AW549" s="26"/>
      <c r="AX549" s="26"/>
      <c r="AY549" s="26"/>
      <c r="AZ549" s="26"/>
      <c r="BA549" s="26"/>
      <c r="BB549" s="26"/>
      <c r="BC549" s="26"/>
      <c r="BD549" s="26"/>
      <c r="BE549" s="26"/>
      <c r="BF549" s="26"/>
      <c r="BG549" s="26"/>
      <c r="BH549" s="26"/>
      <c r="BI549" s="26"/>
      <c r="BJ549" s="26"/>
      <c r="BK549" s="26"/>
      <c r="BL549" s="26"/>
      <c r="BM549" s="26"/>
      <c r="BN549" s="26"/>
      <c r="BO549" s="26"/>
      <c r="BP549" s="26"/>
      <c r="BQ549" s="26"/>
      <c r="BR549" s="26"/>
      <c r="BS549" s="26"/>
      <c r="BT549" s="26"/>
      <c r="BU549" s="26"/>
      <c r="BV549" s="26"/>
      <c r="BW549" s="26"/>
      <c r="BX549" s="26"/>
      <c r="BY549" s="26"/>
      <c r="BZ549" s="26"/>
      <c r="CA549" s="26"/>
      <c r="CB549" s="26"/>
      <c r="CC549" s="26"/>
      <c r="CD549" s="26"/>
      <c r="CE549" s="26"/>
      <c r="CF549" s="26"/>
      <c r="CG549" s="26"/>
      <c r="CH549" s="26"/>
      <c r="CI549" s="26"/>
      <c r="CJ549" s="26"/>
      <c r="CK549" s="26"/>
      <c r="CL549" s="26"/>
      <c r="CM549" s="26"/>
      <c r="CN549" s="26"/>
      <c r="CO549" s="26"/>
      <c r="CP549" s="26"/>
      <c r="CQ549" s="26"/>
    </row>
    <row r="550" spans="1:95" s="29" customFormat="1" ht="15" customHeight="1" x14ac:dyDescent="0.25">
      <c r="A550" s="32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  <c r="AH550" s="26"/>
      <c r="AI550" s="26"/>
      <c r="AJ550" s="26"/>
      <c r="AK550" s="26"/>
      <c r="AL550" s="26"/>
      <c r="AM550" s="26"/>
      <c r="AN550" s="26"/>
      <c r="AO550" s="26"/>
      <c r="AP550" s="26"/>
      <c r="AQ550" s="26"/>
      <c r="AR550" s="26"/>
      <c r="AS550" s="26"/>
      <c r="AT550" s="26"/>
      <c r="AU550" s="26"/>
      <c r="AV550" s="26"/>
      <c r="AW550" s="26"/>
      <c r="AX550" s="26"/>
      <c r="AY550" s="26"/>
      <c r="AZ550" s="26"/>
      <c r="BA550" s="26"/>
      <c r="BB550" s="26"/>
      <c r="BC550" s="26"/>
      <c r="BD550" s="26"/>
      <c r="BE550" s="26"/>
      <c r="BF550" s="26"/>
      <c r="BG550" s="26"/>
      <c r="BH550" s="26"/>
      <c r="BI550" s="26"/>
      <c r="BJ550" s="26"/>
      <c r="BK550" s="26"/>
      <c r="BL550" s="26"/>
      <c r="BM550" s="26"/>
      <c r="BN550" s="26"/>
      <c r="BO550" s="26"/>
      <c r="BP550" s="26"/>
      <c r="BQ550" s="26"/>
      <c r="BR550" s="26"/>
      <c r="BS550" s="26"/>
      <c r="BT550" s="26"/>
      <c r="BU550" s="26"/>
      <c r="BV550" s="26"/>
      <c r="BW550" s="26"/>
      <c r="BX550" s="26"/>
      <c r="BY550" s="26"/>
      <c r="BZ550" s="26"/>
      <c r="CA550" s="26"/>
      <c r="CB550" s="26"/>
      <c r="CC550" s="26"/>
      <c r="CD550" s="26"/>
      <c r="CE550" s="26"/>
      <c r="CF550" s="26"/>
      <c r="CG550" s="26"/>
      <c r="CH550" s="26"/>
      <c r="CI550" s="26"/>
      <c r="CJ550" s="26"/>
      <c r="CK550" s="26"/>
      <c r="CL550" s="26"/>
      <c r="CM550" s="26"/>
      <c r="CN550" s="26"/>
      <c r="CO550" s="26"/>
      <c r="CP550" s="26"/>
      <c r="CQ550" s="26"/>
    </row>
    <row r="551" spans="1:95" s="29" customFormat="1" ht="15" customHeight="1" x14ac:dyDescent="0.25">
      <c r="A551" s="32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  <c r="AH551" s="26"/>
      <c r="AI551" s="26"/>
      <c r="AJ551" s="26"/>
      <c r="AK551" s="26"/>
      <c r="AL551" s="26"/>
      <c r="AM551" s="26"/>
      <c r="AN551" s="26"/>
      <c r="AO551" s="26"/>
      <c r="AP551" s="26"/>
      <c r="AQ551" s="26"/>
      <c r="AR551" s="26"/>
      <c r="AS551" s="26"/>
      <c r="AT551" s="26"/>
      <c r="AU551" s="26"/>
      <c r="AV551" s="26"/>
      <c r="AW551" s="26"/>
      <c r="AX551" s="26"/>
      <c r="AY551" s="26"/>
      <c r="AZ551" s="26"/>
      <c r="BA551" s="26"/>
      <c r="BB551" s="26"/>
      <c r="BC551" s="26"/>
      <c r="BD551" s="26"/>
      <c r="BE551" s="26"/>
      <c r="BF551" s="26"/>
      <c r="BG551" s="26"/>
      <c r="BH551" s="26"/>
      <c r="BI551" s="26"/>
      <c r="BJ551" s="26"/>
      <c r="BK551" s="26"/>
      <c r="BL551" s="26"/>
      <c r="BM551" s="26"/>
      <c r="BN551" s="26"/>
      <c r="BO551" s="26"/>
      <c r="BP551" s="26"/>
      <c r="BQ551" s="26"/>
      <c r="BR551" s="26"/>
      <c r="BS551" s="26"/>
      <c r="BT551" s="26"/>
      <c r="BU551" s="26"/>
      <c r="BV551" s="26"/>
      <c r="BW551" s="26"/>
      <c r="BX551" s="26"/>
      <c r="BY551" s="26"/>
      <c r="BZ551" s="26"/>
      <c r="CA551" s="26"/>
      <c r="CB551" s="26"/>
      <c r="CC551" s="26"/>
      <c r="CD551" s="26"/>
      <c r="CE551" s="26"/>
      <c r="CF551" s="26"/>
      <c r="CG551" s="26"/>
      <c r="CH551" s="26"/>
      <c r="CI551" s="26"/>
      <c r="CJ551" s="26"/>
      <c r="CK551" s="26"/>
      <c r="CL551" s="26"/>
      <c r="CM551" s="26"/>
      <c r="CN551" s="26"/>
      <c r="CO551" s="26"/>
      <c r="CP551" s="26"/>
      <c r="CQ551" s="26"/>
    </row>
    <row r="552" spans="1:95" s="29" customFormat="1" ht="15" customHeight="1" x14ac:dyDescent="0.25">
      <c r="A552" s="32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  <c r="AH552" s="26"/>
      <c r="AI552" s="26"/>
      <c r="AJ552" s="26"/>
      <c r="AK552" s="26"/>
      <c r="AL552" s="26"/>
      <c r="AM552" s="26"/>
      <c r="AN552" s="26"/>
      <c r="AO552" s="26"/>
      <c r="AP552" s="26"/>
      <c r="AQ552" s="26"/>
      <c r="AR552" s="26"/>
      <c r="AS552" s="26"/>
      <c r="AT552" s="26"/>
      <c r="AU552" s="26"/>
      <c r="AV552" s="26"/>
      <c r="AW552" s="26"/>
      <c r="AX552" s="26"/>
      <c r="AY552" s="26"/>
      <c r="AZ552" s="26"/>
      <c r="BA552" s="26"/>
      <c r="BB552" s="26"/>
      <c r="BC552" s="26"/>
      <c r="BD552" s="26"/>
      <c r="BE552" s="26"/>
      <c r="BF552" s="26"/>
      <c r="BG552" s="26"/>
      <c r="BH552" s="26"/>
      <c r="BI552" s="26"/>
      <c r="BJ552" s="26"/>
      <c r="BK552" s="26"/>
      <c r="BL552" s="26"/>
      <c r="BM552" s="26"/>
      <c r="BN552" s="26"/>
      <c r="BO552" s="26"/>
      <c r="BP552" s="26"/>
      <c r="BQ552" s="26"/>
      <c r="BR552" s="26"/>
      <c r="BS552" s="26"/>
      <c r="BT552" s="26"/>
      <c r="BU552" s="26"/>
      <c r="BV552" s="26"/>
      <c r="BW552" s="26"/>
      <c r="BX552" s="26"/>
      <c r="BY552" s="26"/>
      <c r="BZ552" s="26"/>
      <c r="CA552" s="26"/>
      <c r="CB552" s="26"/>
      <c r="CC552" s="26"/>
      <c r="CD552" s="26"/>
      <c r="CE552" s="26"/>
      <c r="CF552" s="26"/>
      <c r="CG552" s="26"/>
      <c r="CH552" s="26"/>
      <c r="CI552" s="26"/>
      <c r="CJ552" s="26"/>
      <c r="CK552" s="26"/>
      <c r="CL552" s="26"/>
      <c r="CM552" s="26"/>
      <c r="CN552" s="26"/>
      <c r="CO552" s="26"/>
      <c r="CP552" s="26"/>
      <c r="CQ552" s="26"/>
    </row>
    <row r="553" spans="1:95" s="29" customFormat="1" ht="15" customHeight="1" x14ac:dyDescent="0.25">
      <c r="A553" s="32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  <c r="AH553" s="26"/>
      <c r="AI553" s="26"/>
      <c r="AJ553" s="26"/>
      <c r="AK553" s="26"/>
      <c r="AL553" s="26"/>
      <c r="AM553" s="26"/>
      <c r="AN553" s="26"/>
      <c r="AO553" s="26"/>
      <c r="AP553" s="26"/>
      <c r="AQ553" s="26"/>
      <c r="AR553" s="26"/>
      <c r="AS553" s="26"/>
      <c r="AT553" s="26"/>
      <c r="AU553" s="26"/>
      <c r="AV553" s="26"/>
      <c r="AW553" s="26"/>
      <c r="AX553" s="26"/>
      <c r="AY553" s="26"/>
      <c r="AZ553" s="26"/>
      <c r="BA553" s="26"/>
      <c r="BB553" s="26"/>
      <c r="BC553" s="26"/>
      <c r="BD553" s="26"/>
      <c r="BE553" s="26"/>
      <c r="BF553" s="26"/>
      <c r="BG553" s="26"/>
      <c r="BH553" s="26"/>
      <c r="BI553" s="26"/>
      <c r="BJ553" s="26"/>
      <c r="BK553" s="26"/>
      <c r="BL553" s="26"/>
      <c r="BM553" s="26"/>
      <c r="BN553" s="26"/>
      <c r="BO553" s="26"/>
      <c r="BP553" s="26"/>
      <c r="BQ553" s="26"/>
      <c r="BR553" s="26"/>
      <c r="BS553" s="26"/>
      <c r="BT553" s="26"/>
      <c r="BU553" s="26"/>
      <c r="BV553" s="26"/>
      <c r="BW553" s="26"/>
      <c r="BX553" s="26"/>
      <c r="BY553" s="26"/>
      <c r="BZ553" s="26"/>
      <c r="CA553" s="26"/>
      <c r="CB553" s="26"/>
      <c r="CC553" s="26"/>
      <c r="CD553" s="26"/>
      <c r="CE553" s="26"/>
      <c r="CF553" s="26"/>
      <c r="CG553" s="26"/>
      <c r="CH553" s="26"/>
      <c r="CI553" s="26"/>
      <c r="CJ553" s="26"/>
      <c r="CK553" s="26"/>
      <c r="CL553" s="26"/>
      <c r="CM553" s="26"/>
      <c r="CN553" s="26"/>
      <c r="CO553" s="26"/>
      <c r="CP553" s="26"/>
      <c r="CQ553" s="26"/>
    </row>
    <row r="554" spans="1:95" s="29" customFormat="1" ht="15" customHeight="1" x14ac:dyDescent="0.25">
      <c r="A554" s="32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  <c r="AH554" s="26"/>
      <c r="AI554" s="26"/>
      <c r="AJ554" s="26"/>
      <c r="AK554" s="26"/>
      <c r="AL554" s="26"/>
      <c r="AM554" s="26"/>
      <c r="AN554" s="26"/>
      <c r="AO554" s="26"/>
      <c r="AP554" s="26"/>
      <c r="AQ554" s="26"/>
      <c r="AR554" s="26"/>
      <c r="AS554" s="26"/>
      <c r="AT554" s="26"/>
      <c r="AU554" s="26"/>
      <c r="AV554" s="26"/>
      <c r="AW554" s="26"/>
      <c r="AX554" s="26"/>
      <c r="AY554" s="26"/>
      <c r="AZ554" s="26"/>
      <c r="BA554" s="26"/>
      <c r="BB554" s="26"/>
      <c r="BC554" s="26"/>
      <c r="BD554" s="26"/>
      <c r="BE554" s="26"/>
      <c r="BF554" s="26"/>
      <c r="BG554" s="26"/>
      <c r="BH554" s="26"/>
      <c r="BI554" s="26"/>
      <c r="BJ554" s="26"/>
      <c r="BK554" s="26"/>
      <c r="BL554" s="26"/>
      <c r="BM554" s="26"/>
      <c r="BN554" s="26"/>
      <c r="BO554" s="26"/>
      <c r="BP554" s="26"/>
      <c r="BQ554" s="26"/>
      <c r="BR554" s="26"/>
      <c r="BS554" s="26"/>
      <c r="BT554" s="26"/>
      <c r="BU554" s="26"/>
      <c r="BV554" s="26"/>
      <c r="BW554" s="26"/>
      <c r="BX554" s="26"/>
      <c r="BY554" s="26"/>
      <c r="BZ554" s="26"/>
      <c r="CA554" s="26"/>
      <c r="CB554" s="26"/>
      <c r="CC554" s="26"/>
      <c r="CD554" s="26"/>
      <c r="CE554" s="26"/>
      <c r="CF554" s="26"/>
      <c r="CG554" s="26"/>
      <c r="CH554" s="26"/>
      <c r="CI554" s="26"/>
      <c r="CJ554" s="26"/>
      <c r="CK554" s="26"/>
      <c r="CL554" s="26"/>
      <c r="CM554" s="26"/>
      <c r="CN554" s="26"/>
      <c r="CO554" s="26"/>
      <c r="CP554" s="26"/>
      <c r="CQ554" s="26"/>
    </row>
    <row r="555" spans="1:95" s="29" customFormat="1" ht="15" customHeight="1" x14ac:dyDescent="0.25">
      <c r="A555" s="32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  <c r="AH555" s="26"/>
      <c r="AI555" s="26"/>
      <c r="AJ555" s="26"/>
      <c r="AK555" s="26"/>
      <c r="AL555" s="26"/>
      <c r="AM555" s="26"/>
      <c r="AN555" s="26"/>
      <c r="AO555" s="26"/>
      <c r="AP555" s="26"/>
      <c r="AQ555" s="26"/>
      <c r="AR555" s="26"/>
      <c r="AS555" s="26"/>
      <c r="AT555" s="26"/>
      <c r="AU555" s="26"/>
      <c r="AV555" s="26"/>
      <c r="AW555" s="26"/>
      <c r="AX555" s="26"/>
      <c r="AY555" s="26"/>
      <c r="AZ555" s="26"/>
      <c r="BA555" s="26"/>
      <c r="BB555" s="26"/>
      <c r="BC555" s="26"/>
      <c r="BD555" s="26"/>
      <c r="BE555" s="26"/>
      <c r="BF555" s="26"/>
      <c r="BG555" s="26"/>
      <c r="BH555" s="26"/>
      <c r="BI555" s="26"/>
      <c r="BJ555" s="26"/>
      <c r="BK555" s="26"/>
      <c r="BL555" s="26"/>
      <c r="BM555" s="26"/>
      <c r="BN555" s="26"/>
      <c r="BO555" s="26"/>
      <c r="BP555" s="26"/>
      <c r="BQ555" s="26"/>
      <c r="BR555" s="26"/>
      <c r="BS555" s="26"/>
      <c r="BT555" s="26"/>
      <c r="BU555" s="26"/>
      <c r="BV555" s="26"/>
      <c r="BW555" s="26"/>
      <c r="BX555" s="26"/>
      <c r="BY555" s="26"/>
      <c r="BZ555" s="26"/>
      <c r="CA555" s="26"/>
      <c r="CB555" s="26"/>
      <c r="CC555" s="26"/>
      <c r="CD555" s="26"/>
      <c r="CE555" s="26"/>
      <c r="CF555" s="26"/>
      <c r="CG555" s="26"/>
      <c r="CH555" s="26"/>
      <c r="CI555" s="26"/>
      <c r="CJ555" s="26"/>
      <c r="CK555" s="26"/>
      <c r="CL555" s="26"/>
      <c r="CM555" s="26"/>
      <c r="CN555" s="26"/>
      <c r="CO555" s="26"/>
      <c r="CP555" s="26"/>
      <c r="CQ555" s="26"/>
    </row>
    <row r="556" spans="1:95" s="29" customFormat="1" ht="15" customHeight="1" x14ac:dyDescent="0.25">
      <c r="A556" s="32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  <c r="AH556" s="26"/>
      <c r="AI556" s="26"/>
      <c r="AJ556" s="26"/>
      <c r="AK556" s="26"/>
      <c r="AL556" s="26"/>
      <c r="AM556" s="26"/>
      <c r="AN556" s="26"/>
      <c r="AO556" s="26"/>
      <c r="AP556" s="26"/>
      <c r="AQ556" s="26"/>
      <c r="AR556" s="26"/>
      <c r="AS556" s="26"/>
      <c r="AT556" s="26"/>
      <c r="AU556" s="26"/>
      <c r="AV556" s="26"/>
      <c r="AW556" s="26"/>
      <c r="AX556" s="26"/>
      <c r="AY556" s="26"/>
      <c r="AZ556" s="26"/>
      <c r="BA556" s="26"/>
      <c r="BB556" s="26"/>
      <c r="BC556" s="26"/>
      <c r="BD556" s="26"/>
      <c r="BE556" s="26"/>
      <c r="BF556" s="26"/>
      <c r="BG556" s="26"/>
      <c r="BH556" s="26"/>
      <c r="BI556" s="26"/>
      <c r="BJ556" s="26"/>
      <c r="BK556" s="26"/>
      <c r="BL556" s="26"/>
      <c r="BM556" s="26"/>
      <c r="BN556" s="26"/>
      <c r="BO556" s="26"/>
      <c r="BP556" s="26"/>
      <c r="BQ556" s="26"/>
      <c r="BR556" s="26"/>
      <c r="BS556" s="26"/>
      <c r="BT556" s="26"/>
      <c r="BU556" s="26"/>
      <c r="BV556" s="26"/>
      <c r="BW556" s="26"/>
      <c r="BX556" s="26"/>
      <c r="BY556" s="26"/>
      <c r="BZ556" s="26"/>
      <c r="CA556" s="26"/>
      <c r="CB556" s="26"/>
      <c r="CC556" s="26"/>
      <c r="CD556" s="26"/>
      <c r="CE556" s="26"/>
      <c r="CF556" s="26"/>
      <c r="CG556" s="26"/>
      <c r="CH556" s="26"/>
      <c r="CI556" s="26"/>
      <c r="CJ556" s="26"/>
      <c r="CK556" s="26"/>
      <c r="CL556" s="26"/>
      <c r="CM556" s="26"/>
      <c r="CN556" s="26"/>
      <c r="CO556" s="26"/>
      <c r="CP556" s="26"/>
      <c r="CQ556" s="26"/>
    </row>
    <row r="557" spans="1:95" s="29" customFormat="1" ht="15" customHeight="1" x14ac:dyDescent="0.25">
      <c r="A557" s="32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  <c r="AH557" s="26"/>
      <c r="AI557" s="26"/>
      <c r="AJ557" s="26"/>
      <c r="AK557" s="26"/>
      <c r="AL557" s="26"/>
      <c r="AM557" s="26"/>
      <c r="AN557" s="26"/>
      <c r="AO557" s="26"/>
      <c r="AP557" s="26"/>
      <c r="AQ557" s="26"/>
      <c r="AR557" s="26"/>
      <c r="AS557" s="26"/>
      <c r="AT557" s="26"/>
      <c r="AU557" s="26"/>
      <c r="AV557" s="26"/>
      <c r="AW557" s="26"/>
      <c r="AX557" s="26"/>
      <c r="AY557" s="26"/>
      <c r="AZ557" s="26"/>
      <c r="BA557" s="26"/>
      <c r="BB557" s="26"/>
      <c r="BC557" s="26"/>
      <c r="BD557" s="26"/>
      <c r="BE557" s="26"/>
      <c r="BF557" s="26"/>
      <c r="BG557" s="26"/>
      <c r="BH557" s="26"/>
      <c r="BI557" s="26"/>
      <c r="BJ557" s="26"/>
      <c r="BK557" s="26"/>
      <c r="BL557" s="26"/>
      <c r="BM557" s="26"/>
      <c r="BN557" s="26"/>
      <c r="BO557" s="26"/>
      <c r="BP557" s="26"/>
      <c r="BQ557" s="26"/>
      <c r="BR557" s="26"/>
      <c r="BS557" s="26"/>
      <c r="BT557" s="26"/>
      <c r="BU557" s="26"/>
      <c r="BV557" s="26"/>
      <c r="BW557" s="26"/>
      <c r="BX557" s="26"/>
      <c r="BY557" s="26"/>
      <c r="BZ557" s="26"/>
      <c r="CA557" s="26"/>
      <c r="CB557" s="26"/>
      <c r="CC557" s="26"/>
      <c r="CD557" s="26"/>
      <c r="CE557" s="26"/>
      <c r="CF557" s="26"/>
      <c r="CG557" s="26"/>
      <c r="CH557" s="26"/>
      <c r="CI557" s="26"/>
      <c r="CJ557" s="26"/>
      <c r="CK557" s="26"/>
      <c r="CL557" s="26"/>
      <c r="CM557" s="26"/>
      <c r="CN557" s="26"/>
      <c r="CO557" s="26"/>
      <c r="CP557" s="26"/>
      <c r="CQ557" s="26"/>
    </row>
    <row r="558" spans="1:95" s="29" customFormat="1" ht="15" customHeight="1" x14ac:dyDescent="0.25">
      <c r="A558" s="32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  <c r="AH558" s="26"/>
      <c r="AI558" s="26"/>
      <c r="AJ558" s="26"/>
      <c r="AK558" s="26"/>
      <c r="AL558" s="26"/>
      <c r="AM558" s="26"/>
      <c r="AN558" s="26"/>
      <c r="AO558" s="26"/>
      <c r="AP558" s="26"/>
      <c r="AQ558" s="26"/>
      <c r="AR558" s="26"/>
      <c r="AS558" s="26"/>
      <c r="AT558" s="26"/>
      <c r="AU558" s="26"/>
      <c r="AV558" s="26"/>
      <c r="AW558" s="26"/>
      <c r="AX558" s="26"/>
      <c r="AY558" s="26"/>
      <c r="AZ558" s="26"/>
      <c r="BA558" s="26"/>
      <c r="BB558" s="26"/>
      <c r="BC558" s="26"/>
      <c r="BD558" s="26"/>
      <c r="BE558" s="26"/>
      <c r="BF558" s="26"/>
      <c r="BG558" s="26"/>
      <c r="BH558" s="26"/>
      <c r="BI558" s="26"/>
      <c r="BJ558" s="26"/>
      <c r="BK558" s="26"/>
      <c r="BL558" s="26"/>
      <c r="BM558" s="26"/>
      <c r="BN558" s="26"/>
      <c r="BO558" s="26"/>
      <c r="BP558" s="26"/>
      <c r="BQ558" s="26"/>
      <c r="BR558" s="26"/>
      <c r="BS558" s="26"/>
      <c r="BT558" s="26"/>
      <c r="BU558" s="26"/>
      <c r="BV558" s="26"/>
      <c r="BW558" s="26"/>
      <c r="BX558" s="26"/>
      <c r="BY558" s="26"/>
      <c r="BZ558" s="26"/>
      <c r="CA558" s="26"/>
      <c r="CB558" s="26"/>
      <c r="CC558" s="26"/>
      <c r="CD558" s="26"/>
      <c r="CE558" s="26"/>
      <c r="CF558" s="26"/>
      <c r="CG558" s="26"/>
      <c r="CH558" s="26"/>
      <c r="CI558" s="26"/>
      <c r="CJ558" s="26"/>
      <c r="CK558" s="26"/>
      <c r="CL558" s="26"/>
      <c r="CM558" s="26"/>
      <c r="CN558" s="26"/>
      <c r="CO558" s="26"/>
      <c r="CP558" s="26"/>
      <c r="CQ558" s="26"/>
    </row>
    <row r="559" spans="1:95" s="29" customFormat="1" ht="15" customHeight="1" x14ac:dyDescent="0.25">
      <c r="A559" s="32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  <c r="AH559" s="26"/>
      <c r="AI559" s="26"/>
      <c r="AJ559" s="26"/>
      <c r="AK559" s="26"/>
      <c r="AL559" s="26"/>
      <c r="AM559" s="26"/>
      <c r="AN559" s="26"/>
      <c r="AO559" s="26"/>
      <c r="AP559" s="26"/>
      <c r="AQ559" s="26"/>
      <c r="AR559" s="26"/>
      <c r="AS559" s="26"/>
      <c r="AT559" s="26"/>
      <c r="AU559" s="26"/>
      <c r="AV559" s="26"/>
      <c r="AW559" s="26"/>
      <c r="AX559" s="26"/>
      <c r="AY559" s="26"/>
      <c r="AZ559" s="26"/>
      <c r="BA559" s="26"/>
      <c r="BB559" s="26"/>
      <c r="BC559" s="26"/>
      <c r="BD559" s="26"/>
      <c r="BE559" s="26"/>
      <c r="BF559" s="26"/>
      <c r="BG559" s="26"/>
      <c r="BH559" s="26"/>
      <c r="BI559" s="26"/>
      <c r="BJ559" s="26"/>
      <c r="BK559" s="26"/>
      <c r="BL559" s="26"/>
      <c r="BM559" s="26"/>
      <c r="BN559" s="26"/>
      <c r="BO559" s="26"/>
      <c r="BP559" s="26"/>
      <c r="BQ559" s="26"/>
      <c r="BR559" s="26"/>
      <c r="BS559" s="26"/>
      <c r="BT559" s="26"/>
      <c r="BU559" s="26"/>
      <c r="BV559" s="26"/>
      <c r="BW559" s="26"/>
      <c r="BX559" s="26"/>
      <c r="BY559" s="26"/>
      <c r="BZ559" s="26"/>
      <c r="CA559" s="26"/>
      <c r="CB559" s="26"/>
      <c r="CC559" s="26"/>
      <c r="CD559" s="26"/>
      <c r="CE559" s="26"/>
      <c r="CF559" s="26"/>
      <c r="CG559" s="26"/>
      <c r="CH559" s="26"/>
      <c r="CI559" s="26"/>
      <c r="CJ559" s="26"/>
      <c r="CK559" s="26"/>
      <c r="CL559" s="26"/>
      <c r="CM559" s="26"/>
      <c r="CN559" s="26"/>
      <c r="CO559" s="26"/>
      <c r="CP559" s="26"/>
      <c r="CQ559" s="26"/>
    </row>
  </sheetData>
  <mergeCells count="6">
    <mergeCell ref="A1:A2"/>
    <mergeCell ref="B1:P1"/>
    <mergeCell ref="B2:P2"/>
    <mergeCell ref="B20:C20"/>
    <mergeCell ref="B19:C19"/>
    <mergeCell ref="H19:J19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A0ADAE"/>
  </sheetPr>
  <dimension ref="A1:BT149"/>
  <sheetViews>
    <sheetView showGridLines="0" zoomScaleNormal="100" workbookViewId="0">
      <selection activeCell="J15" sqref="J15"/>
    </sheetView>
  </sheetViews>
  <sheetFormatPr baseColWidth="10" defaultColWidth="9.140625" defaultRowHeight="15" x14ac:dyDescent="0.25"/>
  <cols>
    <col min="1" max="1" width="11.5703125" style="32" customWidth="1"/>
    <col min="2" max="2" width="34" style="3" customWidth="1"/>
    <col min="3" max="14" width="12" style="3" customWidth="1"/>
    <col min="15" max="15" width="14.140625" style="3" customWidth="1"/>
    <col min="16" max="72" width="9.140625" style="29"/>
  </cols>
  <sheetData>
    <row r="1" spans="1:72" ht="34.5" customHeight="1" x14ac:dyDescent="0.25">
      <c r="A1" s="78"/>
      <c r="B1" s="73" t="s">
        <v>144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28"/>
      <c r="Q1" s="28"/>
      <c r="R1" s="28"/>
      <c r="S1" s="28"/>
      <c r="T1" s="28"/>
      <c r="U1" s="28"/>
      <c r="V1" s="28"/>
      <c r="W1" s="28"/>
      <c r="X1" s="28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</row>
    <row r="2" spans="1:72" ht="36" customHeight="1" x14ac:dyDescent="0.25">
      <c r="A2" s="78"/>
      <c r="B2" s="74" t="s">
        <v>145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28"/>
      <c r="Q2" s="28"/>
      <c r="R2" s="28"/>
      <c r="S2" s="28"/>
      <c r="T2" s="28"/>
      <c r="U2" s="28"/>
      <c r="V2" s="28"/>
      <c r="W2" s="28"/>
      <c r="X2" s="28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</row>
    <row r="3" spans="1:72" ht="19.5" customHeight="1" x14ac:dyDescent="0.25">
      <c r="B3" s="2" t="s">
        <v>146</v>
      </c>
      <c r="C3" s="2" t="s">
        <v>31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  <c r="I3" s="2" t="s">
        <v>37</v>
      </c>
      <c r="J3" s="2" t="s">
        <v>38</v>
      </c>
      <c r="K3" s="2" t="s">
        <v>39</v>
      </c>
      <c r="L3" s="2" t="s">
        <v>40</v>
      </c>
      <c r="M3" s="2" t="s">
        <v>41</v>
      </c>
      <c r="N3" s="2" t="s">
        <v>42</v>
      </c>
      <c r="O3" s="2" t="s">
        <v>75</v>
      </c>
      <c r="P3" s="28"/>
      <c r="Q3" s="28"/>
      <c r="R3" s="28"/>
      <c r="S3" s="28"/>
      <c r="T3" s="28"/>
      <c r="U3" s="28"/>
      <c r="V3" s="28"/>
      <c r="W3" s="28"/>
      <c r="X3" s="28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</row>
    <row r="4" spans="1:72" ht="19.5" customHeight="1" x14ac:dyDescent="0.25">
      <c r="B4" s="46" t="s">
        <v>147</v>
      </c>
      <c r="C4" s="47">
        <f>Ventas!D$15/(1+Supuestos!$C$7)*Supuestos!$C$7</f>
        <v>239495.79831932776</v>
      </c>
      <c r="D4" s="47">
        <f>Ventas!E$15/(1+Supuestos!$C$7)*Supuestos!$C$7</f>
        <v>0</v>
      </c>
      <c r="E4" s="47">
        <f>Ventas!F$15/(1+Supuestos!$C$7)*Supuestos!$C$7</f>
        <v>0</v>
      </c>
      <c r="F4" s="47">
        <f>Ventas!G$15/(1+Supuestos!$C$7)*Supuestos!$C$7</f>
        <v>0</v>
      </c>
      <c r="G4" s="47">
        <f>Ventas!H$15/(1+Supuestos!$C$7)*Supuestos!$C$7</f>
        <v>0</v>
      </c>
      <c r="H4" s="47">
        <f>Ventas!I$15/(1+Supuestos!$C$7)*Supuestos!$C$7</f>
        <v>0</v>
      </c>
      <c r="I4" s="47">
        <f>Ventas!J$15/(1+Supuestos!$C$7)*Supuestos!$C$7</f>
        <v>0</v>
      </c>
      <c r="J4" s="47">
        <f>Ventas!K$15/(1+Supuestos!$C$7)*Supuestos!$C$7</f>
        <v>0</v>
      </c>
      <c r="K4" s="47">
        <f>Ventas!L$15/(1+Supuestos!$C$7)*Supuestos!$C$7</f>
        <v>0</v>
      </c>
      <c r="L4" s="47">
        <f>Ventas!M$15/(1+Supuestos!$C$7)*Supuestos!$C$7</f>
        <v>0</v>
      </c>
      <c r="M4" s="47">
        <f>Ventas!N$15/(1+Supuestos!$C$7)*Supuestos!$C$7</f>
        <v>0</v>
      </c>
      <c r="N4" s="47">
        <f>Ventas!O$15/(1+Supuestos!$C$7)*Supuestos!$C$7</f>
        <v>0</v>
      </c>
      <c r="O4" s="19">
        <f>SUM(C4:N4)</f>
        <v>239495.79831932776</v>
      </c>
      <c r="P4" s="28"/>
      <c r="Q4" s="28"/>
      <c r="R4" s="28"/>
      <c r="S4" s="28"/>
      <c r="T4" s="28"/>
      <c r="U4" s="28"/>
      <c r="V4" s="28"/>
      <c r="W4" s="28"/>
      <c r="X4" s="28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</row>
    <row r="5" spans="1:72" ht="19.5" customHeight="1" x14ac:dyDescent="0.25">
      <c r="B5" s="46" t="s">
        <v>148</v>
      </c>
      <c r="C5" s="47">
        <f>'Costos Variables'!D$18/(1+Supuestos!$C$7)*Supuestos!$C$7</f>
        <v>134915.96638655462</v>
      </c>
      <c r="D5" s="47">
        <f>'Costos Variables'!E$18/(1+Supuestos!$C$7)*Supuestos!$C$7</f>
        <v>0</v>
      </c>
      <c r="E5" s="47">
        <f>'Costos Variables'!F$18/(1+Supuestos!$C$7)*Supuestos!$C$7</f>
        <v>0</v>
      </c>
      <c r="F5" s="47">
        <f>'Costos Variables'!G$18/(1+Supuestos!$C$7)*Supuestos!$C$7</f>
        <v>0</v>
      </c>
      <c r="G5" s="47">
        <f>'Costos Variables'!H$18/(1+Supuestos!$C$7)*Supuestos!$C$7</f>
        <v>0</v>
      </c>
      <c r="H5" s="47">
        <f>'Costos Variables'!I$18/(1+Supuestos!$C$7)*Supuestos!$C$7</f>
        <v>0</v>
      </c>
      <c r="I5" s="47">
        <f>'Costos Variables'!J$18/(1+Supuestos!$C$7)*Supuestos!$C$7</f>
        <v>0</v>
      </c>
      <c r="J5" s="47">
        <f>'Costos Variables'!K$18/(1+Supuestos!$C$7)*Supuestos!$C$7</f>
        <v>0</v>
      </c>
      <c r="K5" s="47">
        <f>'Costos Variables'!L$18/(1+Supuestos!$C$7)*Supuestos!$C$7</f>
        <v>0</v>
      </c>
      <c r="L5" s="47">
        <f>'Costos Variables'!M$18/(1+Supuestos!$C$7)*Supuestos!$C$7</f>
        <v>0</v>
      </c>
      <c r="M5" s="47">
        <f>'Costos Variables'!N$18/(1+Supuestos!$C$7)*Supuestos!$C$7</f>
        <v>0</v>
      </c>
      <c r="N5" s="47">
        <f>'Costos Variables'!O$18/(1+Supuestos!$C$7)*Supuestos!$C$7</f>
        <v>0</v>
      </c>
      <c r="O5" s="19">
        <f>SUM(C5:N5)</f>
        <v>134915.96638655462</v>
      </c>
      <c r="P5" s="28"/>
      <c r="Q5" s="28"/>
      <c r="R5" s="28"/>
      <c r="S5" s="28"/>
      <c r="T5" s="28"/>
      <c r="U5" s="28"/>
      <c r="V5" s="28"/>
      <c r="W5" s="28"/>
      <c r="X5" s="28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</row>
    <row r="6" spans="1:72" ht="19.5" customHeight="1" x14ac:dyDescent="0.25">
      <c r="B6" s="46" t="s">
        <v>149</v>
      </c>
      <c r="C6" s="47">
        <v>0</v>
      </c>
      <c r="D6" s="47">
        <f t="shared" ref="D6:N6" si="0">MAX(0,C$4-C$5)</f>
        <v>104579.83193277314</v>
      </c>
      <c r="E6" s="47">
        <f t="shared" si="0"/>
        <v>0</v>
      </c>
      <c r="F6" s="47">
        <f t="shared" si="0"/>
        <v>0</v>
      </c>
      <c r="G6" s="47">
        <f t="shared" si="0"/>
        <v>0</v>
      </c>
      <c r="H6" s="47">
        <f t="shared" si="0"/>
        <v>0</v>
      </c>
      <c r="I6" s="47">
        <f t="shared" si="0"/>
        <v>0</v>
      </c>
      <c r="J6" s="47">
        <f t="shared" si="0"/>
        <v>0</v>
      </c>
      <c r="K6" s="47">
        <f t="shared" si="0"/>
        <v>0</v>
      </c>
      <c r="L6" s="47">
        <f t="shared" si="0"/>
        <v>0</v>
      </c>
      <c r="M6" s="47">
        <f t="shared" si="0"/>
        <v>0</v>
      </c>
      <c r="N6" s="47">
        <f t="shared" si="0"/>
        <v>0</v>
      </c>
      <c r="O6" s="19">
        <f>SUM(C6:N6)</f>
        <v>104579.83193277314</v>
      </c>
      <c r="P6" s="28"/>
      <c r="Q6" s="28"/>
      <c r="R6" s="28"/>
      <c r="S6" s="28"/>
      <c r="T6" s="28"/>
      <c r="U6" s="28"/>
      <c r="V6" s="28"/>
      <c r="W6" s="28"/>
      <c r="X6" s="28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</row>
    <row r="7" spans="1:72" ht="31.5" customHeight="1" x14ac:dyDescent="0.25">
      <c r="B7" s="46" t="s">
        <v>150</v>
      </c>
      <c r="C7" s="47">
        <v>0</v>
      </c>
      <c r="D7" s="47">
        <f>Ventas!D$15*Supuestos!$C$8</f>
        <v>15000</v>
      </c>
      <c r="E7" s="47">
        <f>Ventas!E$15*Supuestos!$C$8</f>
        <v>0</v>
      </c>
      <c r="F7" s="47">
        <f>Ventas!F$15*Supuestos!$C$8</f>
        <v>0</v>
      </c>
      <c r="G7" s="47">
        <f>Ventas!G$15*Supuestos!$C$8</f>
        <v>0</v>
      </c>
      <c r="H7" s="47">
        <f>Ventas!H$15*Supuestos!$C$8</f>
        <v>0</v>
      </c>
      <c r="I7" s="47">
        <f>Ventas!I$15*Supuestos!$C$8</f>
        <v>0</v>
      </c>
      <c r="J7" s="47">
        <f>Ventas!J$15*Supuestos!$C$8</f>
        <v>0</v>
      </c>
      <c r="K7" s="47">
        <f>Ventas!K$15*Supuestos!$C$8</f>
        <v>0</v>
      </c>
      <c r="L7" s="47">
        <f>Ventas!L$15*Supuestos!$C$8</f>
        <v>0</v>
      </c>
      <c r="M7" s="47">
        <f>Ventas!M$15*Supuestos!$C$8</f>
        <v>0</v>
      </c>
      <c r="N7" s="47">
        <f>Ventas!N$15*Supuestos!$C$8</f>
        <v>0</v>
      </c>
      <c r="O7" s="19">
        <f>SUM(C7:N7)</f>
        <v>15000</v>
      </c>
      <c r="P7" s="28"/>
      <c r="Q7" s="28"/>
      <c r="R7" s="28"/>
      <c r="S7" s="28"/>
      <c r="T7" s="28"/>
      <c r="U7" s="28"/>
      <c r="V7" s="28"/>
      <c r="W7" s="28"/>
      <c r="X7" s="28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</row>
    <row r="8" spans="1:72" ht="28.5" customHeight="1" x14ac:dyDescent="0.25">
      <c r="B8" s="46" t="s">
        <v>151</v>
      </c>
      <c r="C8" s="47">
        <v>0</v>
      </c>
      <c r="D8" s="47">
        <v>0</v>
      </c>
      <c r="E8" s="47">
        <v>0</v>
      </c>
      <c r="F8" s="47">
        <v>0</v>
      </c>
      <c r="G8" s="47">
        <v>0</v>
      </c>
      <c r="H8" s="47">
        <v>0</v>
      </c>
      <c r="I8" s="47">
        <v>0</v>
      </c>
      <c r="J8" s="47">
        <v>0</v>
      </c>
      <c r="K8" s="47">
        <v>0</v>
      </c>
      <c r="L8" s="47">
        <v>0</v>
      </c>
      <c r="M8" s="47">
        <v>0</v>
      </c>
      <c r="N8" s="47">
        <v>0</v>
      </c>
      <c r="O8" s="19">
        <f>SUM(C8:N8)</f>
        <v>0</v>
      </c>
      <c r="P8" s="28"/>
      <c r="Q8" s="28"/>
      <c r="R8" s="28"/>
      <c r="S8" s="28"/>
      <c r="T8" s="28"/>
      <c r="U8" s="28"/>
      <c r="V8" s="28"/>
      <c r="W8" s="28"/>
      <c r="X8" s="28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</row>
    <row r="9" spans="1:72" s="29" customFormat="1" ht="19.5" customHeight="1" x14ac:dyDescent="0.25">
      <c r="A9" s="32"/>
      <c r="B9" s="86" t="s">
        <v>232</v>
      </c>
      <c r="C9" s="28"/>
      <c r="D9" s="28"/>
      <c r="E9" s="28"/>
      <c r="F9" s="28"/>
      <c r="G9" s="87" t="s">
        <v>233</v>
      </c>
      <c r="H9" s="87"/>
      <c r="I9" s="87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</row>
    <row r="10" spans="1:72" ht="19.5" customHeight="1" x14ac:dyDescent="0.25">
      <c r="B10" s="1" t="s">
        <v>152</v>
      </c>
      <c r="C10" s="16">
        <f t="shared" ref="C10:O10" si="1">SUM(C6:C8)</f>
        <v>0</v>
      </c>
      <c r="D10" s="16">
        <f t="shared" si="1"/>
        <v>119579.83193277314</v>
      </c>
      <c r="E10" s="16">
        <f t="shared" si="1"/>
        <v>0</v>
      </c>
      <c r="F10" s="16">
        <f t="shared" si="1"/>
        <v>0</v>
      </c>
      <c r="G10" s="16">
        <f t="shared" si="1"/>
        <v>0</v>
      </c>
      <c r="H10" s="16">
        <f t="shared" si="1"/>
        <v>0</v>
      </c>
      <c r="I10" s="16">
        <f t="shared" si="1"/>
        <v>0</v>
      </c>
      <c r="J10" s="16">
        <f t="shared" si="1"/>
        <v>0</v>
      </c>
      <c r="K10" s="16">
        <f t="shared" si="1"/>
        <v>0</v>
      </c>
      <c r="L10" s="16">
        <f t="shared" si="1"/>
        <v>0</v>
      </c>
      <c r="M10" s="16">
        <f t="shared" si="1"/>
        <v>0</v>
      </c>
      <c r="N10" s="16">
        <f t="shared" si="1"/>
        <v>0</v>
      </c>
      <c r="O10" s="16">
        <f t="shared" si="1"/>
        <v>119579.83193277314</v>
      </c>
      <c r="P10" s="28"/>
      <c r="Q10" s="28"/>
      <c r="R10" s="28"/>
      <c r="S10" s="28"/>
      <c r="T10" s="28"/>
      <c r="U10" s="28"/>
      <c r="V10" s="28"/>
      <c r="W10" s="28"/>
      <c r="X10" s="28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</row>
    <row r="11" spans="1:72" s="29" customFormat="1" ht="19.5" customHeight="1" x14ac:dyDescent="0.25">
      <c r="A11" s="32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</row>
    <row r="12" spans="1:72" s="29" customFormat="1" ht="19.5" customHeight="1" x14ac:dyDescent="0.25">
      <c r="A12" s="32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</row>
    <row r="13" spans="1:72" s="29" customFormat="1" ht="19.5" customHeight="1" x14ac:dyDescent="0.25">
      <c r="A13" s="32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</row>
    <row r="14" spans="1:72" s="29" customFormat="1" ht="19.5" customHeight="1" x14ac:dyDescent="0.25">
      <c r="A14" s="32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</row>
    <row r="15" spans="1:72" s="29" customFormat="1" ht="19.5" customHeight="1" x14ac:dyDescent="0.25">
      <c r="A15" s="32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</row>
    <row r="16" spans="1:72" s="29" customFormat="1" ht="19.5" customHeight="1" x14ac:dyDescent="0.25">
      <c r="A16" s="32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</row>
    <row r="17" spans="1:72" s="29" customFormat="1" ht="19.5" customHeight="1" x14ac:dyDescent="0.25">
      <c r="A17" s="32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</row>
    <row r="18" spans="1:72" s="29" customFormat="1" ht="19.5" customHeight="1" x14ac:dyDescent="0.25">
      <c r="A18" s="32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</row>
    <row r="19" spans="1:72" s="29" customFormat="1" ht="19.5" customHeight="1" x14ac:dyDescent="0.25">
      <c r="A19" s="32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</row>
    <row r="20" spans="1:72" s="29" customFormat="1" ht="19.5" customHeight="1" x14ac:dyDescent="0.25">
      <c r="A20" s="32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</row>
    <row r="21" spans="1:72" s="29" customFormat="1" ht="19.5" customHeight="1" x14ac:dyDescent="0.25">
      <c r="A21" s="32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</row>
    <row r="22" spans="1:72" s="29" customFormat="1" ht="19.5" customHeight="1" x14ac:dyDescent="0.25">
      <c r="A22" s="32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</row>
    <row r="23" spans="1:72" s="29" customFormat="1" ht="19.5" customHeight="1" x14ac:dyDescent="0.25">
      <c r="A23" s="32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</row>
    <row r="24" spans="1:72" s="29" customFormat="1" ht="19.5" customHeight="1" x14ac:dyDescent="0.25">
      <c r="A24" s="32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</row>
    <row r="25" spans="1:72" s="29" customFormat="1" ht="19.5" customHeight="1" x14ac:dyDescent="0.25">
      <c r="A25" s="32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</row>
    <row r="26" spans="1:72" s="29" customFormat="1" ht="19.5" customHeight="1" x14ac:dyDescent="0.25">
      <c r="A26" s="32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</row>
    <row r="27" spans="1:72" s="29" customFormat="1" ht="19.5" customHeight="1" x14ac:dyDescent="0.25">
      <c r="A27" s="32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</row>
    <row r="28" spans="1:72" s="29" customFormat="1" ht="19.5" customHeight="1" x14ac:dyDescent="0.25">
      <c r="A28" s="32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</row>
    <row r="29" spans="1:72" s="29" customFormat="1" ht="19.5" customHeight="1" x14ac:dyDescent="0.25">
      <c r="A29" s="32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</row>
    <row r="30" spans="1:72" s="29" customFormat="1" ht="19.5" customHeight="1" x14ac:dyDescent="0.25">
      <c r="A30" s="32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</row>
    <row r="31" spans="1:72" s="29" customFormat="1" ht="19.5" customHeight="1" x14ac:dyDescent="0.25">
      <c r="A31" s="32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</row>
    <row r="32" spans="1:72" s="29" customFormat="1" ht="19.5" customHeight="1" x14ac:dyDescent="0.25">
      <c r="A32" s="32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</row>
    <row r="33" spans="1:72" s="29" customFormat="1" ht="19.5" customHeight="1" x14ac:dyDescent="0.25">
      <c r="A33" s="32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</row>
    <row r="34" spans="1:72" s="29" customFormat="1" ht="19.5" customHeight="1" x14ac:dyDescent="0.25">
      <c r="A34" s="32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</row>
    <row r="35" spans="1:72" s="29" customFormat="1" ht="19.5" customHeight="1" x14ac:dyDescent="0.25">
      <c r="A35" s="32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</row>
    <row r="36" spans="1:72" s="29" customFormat="1" ht="19.5" customHeight="1" x14ac:dyDescent="0.25">
      <c r="A36" s="32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</row>
    <row r="37" spans="1:72" s="29" customFormat="1" ht="19.5" customHeight="1" x14ac:dyDescent="0.25">
      <c r="A37" s="32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</row>
    <row r="38" spans="1:72" s="29" customFormat="1" ht="19.5" customHeight="1" x14ac:dyDescent="0.25">
      <c r="A38" s="32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</row>
    <row r="39" spans="1:72" s="29" customFormat="1" ht="19.5" customHeight="1" x14ac:dyDescent="0.25">
      <c r="A39" s="32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</row>
    <row r="40" spans="1:72" s="29" customFormat="1" ht="19.5" customHeight="1" x14ac:dyDescent="0.25">
      <c r="A40" s="32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</row>
    <row r="41" spans="1:72" s="29" customFormat="1" ht="19.5" customHeight="1" x14ac:dyDescent="0.25">
      <c r="A41" s="32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</row>
    <row r="42" spans="1:72" s="29" customFormat="1" ht="19.5" customHeight="1" x14ac:dyDescent="0.25">
      <c r="A42" s="32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</row>
    <row r="43" spans="1:72" s="29" customFormat="1" ht="19.5" customHeight="1" x14ac:dyDescent="0.25">
      <c r="A43" s="32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</row>
    <row r="44" spans="1:72" s="29" customFormat="1" ht="19.5" customHeight="1" x14ac:dyDescent="0.25">
      <c r="A44" s="32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</row>
    <row r="45" spans="1:72" s="29" customFormat="1" ht="19.5" customHeight="1" x14ac:dyDescent="0.25">
      <c r="A45" s="32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</row>
    <row r="46" spans="1:72" s="29" customFormat="1" ht="19.5" customHeight="1" x14ac:dyDescent="0.25">
      <c r="A46" s="32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</row>
    <row r="47" spans="1:72" s="29" customFormat="1" ht="19.5" customHeight="1" x14ac:dyDescent="0.25">
      <c r="A47" s="32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</row>
    <row r="48" spans="1:72" s="29" customFormat="1" ht="19.5" customHeight="1" x14ac:dyDescent="0.25">
      <c r="A48" s="32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</row>
    <row r="49" spans="1:72" s="29" customFormat="1" ht="19.5" customHeight="1" x14ac:dyDescent="0.25">
      <c r="A49" s="32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</row>
    <row r="50" spans="1:72" s="29" customFormat="1" ht="19.5" customHeight="1" x14ac:dyDescent="0.25">
      <c r="A50" s="32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</row>
    <row r="51" spans="1:72" s="29" customFormat="1" ht="19.5" customHeight="1" x14ac:dyDescent="0.25">
      <c r="A51" s="32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</row>
    <row r="52" spans="1:72" s="29" customFormat="1" ht="19.5" customHeight="1" x14ac:dyDescent="0.25">
      <c r="A52" s="32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</row>
    <row r="53" spans="1:72" s="29" customFormat="1" ht="19.5" customHeight="1" x14ac:dyDescent="0.25">
      <c r="A53" s="32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</row>
    <row r="54" spans="1:72" s="29" customFormat="1" ht="19.5" customHeight="1" x14ac:dyDescent="0.25">
      <c r="A54" s="32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</row>
    <row r="55" spans="1:72" s="29" customFormat="1" ht="19.5" customHeight="1" x14ac:dyDescent="0.25">
      <c r="A55" s="32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</row>
    <row r="56" spans="1:72" s="29" customFormat="1" ht="19.5" customHeight="1" x14ac:dyDescent="0.25">
      <c r="A56" s="32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</row>
    <row r="57" spans="1:72" s="29" customFormat="1" ht="19.5" customHeight="1" x14ac:dyDescent="0.25">
      <c r="A57" s="32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</row>
    <row r="58" spans="1:72" s="29" customFormat="1" ht="19.5" customHeight="1" x14ac:dyDescent="0.25">
      <c r="A58" s="32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</row>
    <row r="59" spans="1:72" s="29" customFormat="1" ht="19.5" customHeight="1" x14ac:dyDescent="0.25">
      <c r="A59" s="32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</row>
    <row r="60" spans="1:72" s="29" customFormat="1" ht="19.5" customHeight="1" x14ac:dyDescent="0.25">
      <c r="A60" s="32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</row>
    <row r="61" spans="1:72" s="29" customFormat="1" ht="19.5" customHeight="1" x14ac:dyDescent="0.25">
      <c r="A61" s="32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</row>
    <row r="62" spans="1:72" s="29" customFormat="1" ht="19.5" customHeight="1" x14ac:dyDescent="0.25">
      <c r="A62" s="32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</row>
    <row r="63" spans="1:72" s="29" customFormat="1" ht="19.5" customHeight="1" x14ac:dyDescent="0.25">
      <c r="A63" s="32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</row>
    <row r="64" spans="1:72" s="29" customFormat="1" ht="19.5" customHeight="1" x14ac:dyDescent="0.25">
      <c r="A64" s="32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/>
      <c r="BO64" s="26"/>
      <c r="BP64" s="26"/>
      <c r="BQ64" s="26"/>
      <c r="BR64" s="26"/>
      <c r="BS64" s="26"/>
      <c r="BT64" s="26"/>
    </row>
    <row r="65" spans="1:72" s="29" customFormat="1" ht="19.5" customHeight="1" x14ac:dyDescent="0.25">
      <c r="A65" s="32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</row>
    <row r="66" spans="1:72" s="29" customFormat="1" ht="19.5" customHeight="1" x14ac:dyDescent="0.25">
      <c r="A66" s="32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</row>
    <row r="67" spans="1:72" s="29" customFormat="1" ht="19.5" customHeight="1" x14ac:dyDescent="0.25">
      <c r="A67" s="32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</row>
    <row r="68" spans="1:72" s="29" customFormat="1" ht="19.5" customHeight="1" x14ac:dyDescent="0.25">
      <c r="A68" s="32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</row>
    <row r="69" spans="1:72" s="29" customFormat="1" ht="19.5" customHeight="1" x14ac:dyDescent="0.25">
      <c r="A69" s="32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</row>
    <row r="70" spans="1:72" s="29" customFormat="1" ht="19.5" customHeight="1" x14ac:dyDescent="0.25">
      <c r="A70" s="32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  <c r="BL70" s="26"/>
      <c r="BM70" s="26"/>
      <c r="BN70" s="26"/>
      <c r="BO70" s="26"/>
      <c r="BP70" s="26"/>
      <c r="BQ70" s="26"/>
      <c r="BR70" s="26"/>
      <c r="BS70" s="26"/>
      <c r="BT70" s="26"/>
    </row>
    <row r="71" spans="1:72" s="29" customFormat="1" ht="19.5" customHeight="1" x14ac:dyDescent="0.25">
      <c r="A71" s="32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</row>
    <row r="72" spans="1:72" s="29" customFormat="1" ht="19.5" customHeight="1" x14ac:dyDescent="0.25">
      <c r="A72" s="32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</row>
    <row r="73" spans="1:72" s="29" customFormat="1" ht="19.5" customHeight="1" x14ac:dyDescent="0.25">
      <c r="A73" s="32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</row>
    <row r="74" spans="1:72" s="29" customFormat="1" ht="19.5" customHeight="1" x14ac:dyDescent="0.25">
      <c r="A74" s="32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</row>
    <row r="75" spans="1:72" s="29" customFormat="1" ht="19.5" customHeight="1" x14ac:dyDescent="0.25">
      <c r="A75" s="32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</row>
    <row r="76" spans="1:72" s="29" customFormat="1" ht="19.5" customHeight="1" x14ac:dyDescent="0.25">
      <c r="A76" s="32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</row>
    <row r="77" spans="1:72" s="29" customFormat="1" ht="19.5" customHeight="1" x14ac:dyDescent="0.25">
      <c r="A77" s="32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26"/>
      <c r="BM77" s="26"/>
      <c r="BN77" s="26"/>
      <c r="BO77" s="26"/>
      <c r="BP77" s="26"/>
      <c r="BQ77" s="26"/>
      <c r="BR77" s="26"/>
      <c r="BS77" s="26"/>
      <c r="BT77" s="26"/>
    </row>
    <row r="78" spans="1:72" s="29" customFormat="1" ht="19.5" customHeight="1" x14ac:dyDescent="0.25">
      <c r="A78" s="32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  <c r="BL78" s="26"/>
      <c r="BM78" s="26"/>
      <c r="BN78" s="26"/>
      <c r="BO78" s="26"/>
      <c r="BP78" s="26"/>
      <c r="BQ78" s="26"/>
      <c r="BR78" s="26"/>
      <c r="BS78" s="26"/>
      <c r="BT78" s="26"/>
    </row>
    <row r="79" spans="1:72" s="29" customFormat="1" ht="19.5" customHeight="1" x14ac:dyDescent="0.25">
      <c r="A79" s="32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</row>
    <row r="80" spans="1:72" s="29" customFormat="1" ht="19.5" customHeight="1" x14ac:dyDescent="0.25">
      <c r="A80" s="32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</row>
    <row r="81" spans="1:72" s="29" customFormat="1" ht="19.5" customHeight="1" x14ac:dyDescent="0.25">
      <c r="A81" s="32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</row>
    <row r="82" spans="1:72" s="29" customFormat="1" ht="19.5" customHeight="1" x14ac:dyDescent="0.25">
      <c r="A82" s="32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</row>
    <row r="83" spans="1:72" s="29" customFormat="1" ht="19.5" customHeight="1" x14ac:dyDescent="0.25">
      <c r="A83" s="32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</row>
    <row r="84" spans="1:72" s="29" customFormat="1" ht="19.5" customHeight="1" x14ac:dyDescent="0.25">
      <c r="A84" s="32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26"/>
      <c r="BK84" s="26"/>
      <c r="BL84" s="26"/>
      <c r="BM84" s="26"/>
      <c r="BN84" s="26"/>
      <c r="BO84" s="26"/>
      <c r="BP84" s="26"/>
      <c r="BQ84" s="26"/>
      <c r="BR84" s="26"/>
      <c r="BS84" s="26"/>
      <c r="BT84" s="26"/>
    </row>
    <row r="85" spans="1:72" s="29" customFormat="1" ht="19.5" customHeight="1" x14ac:dyDescent="0.25">
      <c r="A85" s="32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</row>
    <row r="86" spans="1:72" s="29" customFormat="1" ht="19.5" customHeight="1" x14ac:dyDescent="0.25">
      <c r="A86" s="32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</row>
    <row r="87" spans="1:72" s="29" customFormat="1" ht="19.5" customHeight="1" x14ac:dyDescent="0.25">
      <c r="A87" s="32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</row>
    <row r="88" spans="1:72" s="29" customFormat="1" ht="19.5" customHeight="1" x14ac:dyDescent="0.25">
      <c r="A88" s="32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  <c r="BL88" s="26"/>
      <c r="BM88" s="26"/>
      <c r="BN88" s="26"/>
      <c r="BO88" s="26"/>
      <c r="BP88" s="26"/>
      <c r="BQ88" s="26"/>
      <c r="BR88" s="26"/>
      <c r="BS88" s="26"/>
      <c r="BT88" s="26"/>
    </row>
    <row r="89" spans="1:72" s="29" customFormat="1" ht="15" customHeight="1" x14ac:dyDescent="0.25">
      <c r="A89" s="32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</row>
    <row r="90" spans="1:72" s="29" customFormat="1" ht="15" customHeight="1" x14ac:dyDescent="0.25">
      <c r="A90" s="32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</row>
    <row r="91" spans="1:72" s="29" customFormat="1" ht="15" customHeight="1" x14ac:dyDescent="0.25">
      <c r="A91" s="32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</row>
    <row r="92" spans="1:72" s="29" customFormat="1" ht="15" customHeight="1" x14ac:dyDescent="0.25">
      <c r="A92" s="32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</row>
    <row r="93" spans="1:72" s="29" customFormat="1" ht="15" customHeight="1" x14ac:dyDescent="0.25">
      <c r="A93" s="32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</row>
    <row r="94" spans="1:72" s="29" customFormat="1" ht="15" customHeight="1" x14ac:dyDescent="0.25">
      <c r="A94" s="32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</row>
    <row r="95" spans="1:72" s="29" customFormat="1" ht="15" customHeight="1" x14ac:dyDescent="0.25">
      <c r="A95" s="32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</row>
    <row r="96" spans="1:72" s="29" customFormat="1" ht="15" customHeight="1" x14ac:dyDescent="0.25">
      <c r="A96" s="32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26"/>
      <c r="BK96" s="26"/>
      <c r="BL96" s="26"/>
      <c r="BM96" s="26"/>
      <c r="BN96" s="26"/>
      <c r="BO96" s="26"/>
      <c r="BP96" s="26"/>
      <c r="BQ96" s="26"/>
      <c r="BR96" s="26"/>
      <c r="BS96" s="26"/>
      <c r="BT96" s="26"/>
    </row>
    <row r="97" spans="1:72" s="29" customFormat="1" ht="15" customHeight="1" x14ac:dyDescent="0.25">
      <c r="A97" s="32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</row>
    <row r="98" spans="1:72" s="29" customFormat="1" ht="15" customHeight="1" x14ac:dyDescent="0.25">
      <c r="A98" s="32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</row>
    <row r="99" spans="1:72" s="29" customFormat="1" ht="15" customHeight="1" x14ac:dyDescent="0.25">
      <c r="A99" s="32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</row>
    <row r="100" spans="1:72" s="29" customFormat="1" ht="15" customHeight="1" x14ac:dyDescent="0.25">
      <c r="A100" s="32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</row>
    <row r="101" spans="1:72" s="29" customFormat="1" ht="15" customHeight="1" x14ac:dyDescent="0.25">
      <c r="A101" s="32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</row>
    <row r="102" spans="1:72" s="29" customFormat="1" ht="15" customHeight="1" x14ac:dyDescent="0.25">
      <c r="A102" s="32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</row>
    <row r="103" spans="1:72" s="29" customFormat="1" ht="15" customHeight="1" x14ac:dyDescent="0.25">
      <c r="A103" s="32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</row>
    <row r="104" spans="1:72" s="29" customFormat="1" ht="15" customHeight="1" x14ac:dyDescent="0.25">
      <c r="A104" s="32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</row>
    <row r="105" spans="1:72" s="29" customFormat="1" ht="15" customHeight="1" x14ac:dyDescent="0.25">
      <c r="A105" s="32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</row>
    <row r="106" spans="1:72" s="29" customFormat="1" ht="15" customHeight="1" x14ac:dyDescent="0.25">
      <c r="A106" s="32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</row>
    <row r="107" spans="1:72" s="29" customFormat="1" ht="15" customHeight="1" x14ac:dyDescent="0.25">
      <c r="A107" s="32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</row>
    <row r="108" spans="1:72" s="29" customFormat="1" ht="15" customHeight="1" x14ac:dyDescent="0.25">
      <c r="A108" s="32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  <c r="BS108" s="26"/>
      <c r="BT108" s="26"/>
    </row>
    <row r="109" spans="1:72" s="29" customFormat="1" ht="15" customHeight="1" x14ac:dyDescent="0.25">
      <c r="A109" s="32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26"/>
      <c r="BO109" s="26"/>
      <c r="BP109" s="26"/>
      <c r="BQ109" s="26"/>
      <c r="BR109" s="26"/>
      <c r="BS109" s="26"/>
      <c r="BT109" s="26"/>
    </row>
    <row r="110" spans="1:72" s="29" customFormat="1" ht="15" customHeight="1" x14ac:dyDescent="0.25">
      <c r="A110" s="32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</row>
    <row r="111" spans="1:72" s="29" customFormat="1" ht="15" customHeight="1" x14ac:dyDescent="0.25">
      <c r="A111" s="32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</row>
    <row r="112" spans="1:72" s="29" customFormat="1" ht="15" customHeight="1" x14ac:dyDescent="0.25">
      <c r="A112" s="32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</row>
    <row r="113" spans="1:72" s="29" customFormat="1" ht="15" customHeight="1" x14ac:dyDescent="0.25">
      <c r="A113" s="32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</row>
    <row r="114" spans="1:72" s="29" customFormat="1" ht="15" customHeight="1" x14ac:dyDescent="0.25">
      <c r="A114" s="32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</row>
    <row r="115" spans="1:72" s="29" customFormat="1" ht="15" customHeight="1" x14ac:dyDescent="0.25">
      <c r="A115" s="32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  <c r="BK115" s="26"/>
      <c r="BL115" s="26"/>
      <c r="BM115" s="26"/>
      <c r="BN115" s="26"/>
      <c r="BO115" s="26"/>
      <c r="BP115" s="26"/>
      <c r="BQ115" s="26"/>
      <c r="BR115" s="26"/>
      <c r="BS115" s="26"/>
      <c r="BT115" s="26"/>
    </row>
    <row r="116" spans="1:72" s="29" customFormat="1" ht="15" customHeight="1" x14ac:dyDescent="0.25">
      <c r="A116" s="32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26"/>
      <c r="BO116" s="26"/>
      <c r="BP116" s="26"/>
      <c r="BQ116" s="26"/>
      <c r="BR116" s="26"/>
      <c r="BS116" s="26"/>
      <c r="BT116" s="26"/>
    </row>
    <row r="117" spans="1:72" s="29" customFormat="1" ht="15" customHeight="1" x14ac:dyDescent="0.25">
      <c r="A117" s="32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26"/>
      <c r="BK117" s="26"/>
      <c r="BL117" s="26"/>
      <c r="BM117" s="26"/>
      <c r="BN117" s="26"/>
      <c r="BO117" s="26"/>
      <c r="BP117" s="26"/>
      <c r="BQ117" s="26"/>
      <c r="BR117" s="26"/>
      <c r="BS117" s="26"/>
      <c r="BT117" s="26"/>
    </row>
    <row r="118" spans="1:72" s="29" customFormat="1" ht="15" customHeight="1" x14ac:dyDescent="0.25">
      <c r="A118" s="32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  <c r="BL118" s="26"/>
      <c r="BM118" s="26"/>
      <c r="BN118" s="26"/>
      <c r="BO118" s="26"/>
      <c r="BP118" s="26"/>
      <c r="BQ118" s="26"/>
      <c r="BR118" s="26"/>
      <c r="BS118" s="26"/>
      <c r="BT118" s="26"/>
    </row>
    <row r="119" spans="1:72" s="29" customFormat="1" ht="15" customHeight="1" x14ac:dyDescent="0.25">
      <c r="A119" s="32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26"/>
      <c r="BK119" s="26"/>
      <c r="BL119" s="26"/>
      <c r="BM119" s="26"/>
      <c r="BN119" s="26"/>
      <c r="BO119" s="26"/>
      <c r="BP119" s="26"/>
      <c r="BQ119" s="26"/>
      <c r="BR119" s="26"/>
      <c r="BS119" s="26"/>
      <c r="BT119" s="26"/>
    </row>
    <row r="120" spans="1:72" s="29" customFormat="1" ht="15" customHeight="1" x14ac:dyDescent="0.25">
      <c r="A120" s="32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  <c r="BL120" s="26"/>
      <c r="BM120" s="26"/>
      <c r="BN120" s="26"/>
      <c r="BO120" s="26"/>
      <c r="BP120" s="26"/>
      <c r="BQ120" s="26"/>
      <c r="BR120" s="26"/>
      <c r="BS120" s="26"/>
      <c r="BT120" s="26"/>
    </row>
    <row r="121" spans="1:72" s="29" customFormat="1" ht="15" customHeight="1" x14ac:dyDescent="0.25">
      <c r="A121" s="32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  <c r="BK121" s="26"/>
      <c r="BL121" s="26"/>
      <c r="BM121" s="26"/>
      <c r="BN121" s="26"/>
      <c r="BO121" s="26"/>
      <c r="BP121" s="26"/>
      <c r="BQ121" s="26"/>
      <c r="BR121" s="26"/>
      <c r="BS121" s="26"/>
      <c r="BT121" s="26"/>
    </row>
    <row r="122" spans="1:72" s="29" customFormat="1" ht="15" customHeight="1" x14ac:dyDescent="0.25">
      <c r="A122" s="32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  <c r="BL122" s="26"/>
      <c r="BM122" s="26"/>
      <c r="BN122" s="26"/>
      <c r="BO122" s="26"/>
      <c r="BP122" s="26"/>
      <c r="BQ122" s="26"/>
      <c r="BR122" s="26"/>
      <c r="BS122" s="26"/>
      <c r="BT122" s="26"/>
    </row>
    <row r="123" spans="1:72" s="29" customFormat="1" ht="15" customHeight="1" x14ac:dyDescent="0.25">
      <c r="A123" s="32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  <c r="BM123" s="26"/>
      <c r="BN123" s="26"/>
      <c r="BO123" s="26"/>
      <c r="BP123" s="26"/>
      <c r="BQ123" s="26"/>
      <c r="BR123" s="26"/>
      <c r="BS123" s="26"/>
      <c r="BT123" s="26"/>
    </row>
    <row r="124" spans="1:72" s="29" customFormat="1" ht="15" customHeight="1" x14ac:dyDescent="0.25">
      <c r="A124" s="32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26"/>
      <c r="BK124" s="26"/>
      <c r="BL124" s="26"/>
      <c r="BM124" s="26"/>
      <c r="BN124" s="26"/>
      <c r="BO124" s="26"/>
      <c r="BP124" s="26"/>
      <c r="BQ124" s="26"/>
      <c r="BR124" s="26"/>
      <c r="BS124" s="26"/>
      <c r="BT124" s="26"/>
    </row>
    <row r="125" spans="1:72" s="29" customFormat="1" ht="15" customHeight="1" x14ac:dyDescent="0.25">
      <c r="A125" s="32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26"/>
      <c r="BK125" s="26"/>
      <c r="BL125" s="26"/>
      <c r="BM125" s="26"/>
      <c r="BN125" s="26"/>
      <c r="BO125" s="26"/>
      <c r="BP125" s="26"/>
      <c r="BQ125" s="26"/>
      <c r="BR125" s="26"/>
      <c r="BS125" s="26"/>
      <c r="BT125" s="26"/>
    </row>
    <row r="126" spans="1:72" s="29" customFormat="1" ht="15" customHeight="1" x14ac:dyDescent="0.25">
      <c r="A126" s="32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  <c r="BK126" s="26"/>
      <c r="BL126" s="26"/>
      <c r="BM126" s="26"/>
      <c r="BN126" s="26"/>
      <c r="BO126" s="26"/>
      <c r="BP126" s="26"/>
      <c r="BQ126" s="26"/>
      <c r="BR126" s="26"/>
      <c r="BS126" s="26"/>
      <c r="BT126" s="26"/>
    </row>
    <row r="127" spans="1:72" s="29" customFormat="1" ht="15" customHeight="1" x14ac:dyDescent="0.25">
      <c r="A127" s="32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26"/>
      <c r="BK127" s="26"/>
      <c r="BL127" s="26"/>
      <c r="BM127" s="26"/>
      <c r="BN127" s="26"/>
      <c r="BO127" s="26"/>
      <c r="BP127" s="26"/>
      <c r="BQ127" s="26"/>
      <c r="BR127" s="26"/>
      <c r="BS127" s="26"/>
      <c r="BT127" s="26"/>
    </row>
    <row r="128" spans="1:72" s="29" customFormat="1" ht="15" customHeight="1" x14ac:dyDescent="0.25">
      <c r="A128" s="32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26"/>
      <c r="BK128" s="26"/>
      <c r="BL128" s="26"/>
      <c r="BM128" s="26"/>
      <c r="BN128" s="26"/>
      <c r="BO128" s="26"/>
      <c r="BP128" s="26"/>
      <c r="BQ128" s="26"/>
      <c r="BR128" s="26"/>
      <c r="BS128" s="26"/>
      <c r="BT128" s="26"/>
    </row>
    <row r="129" spans="1:72" s="29" customFormat="1" ht="15" customHeight="1" x14ac:dyDescent="0.25">
      <c r="A129" s="32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  <c r="BJ129" s="26"/>
      <c r="BK129" s="26"/>
      <c r="BL129" s="26"/>
      <c r="BM129" s="26"/>
      <c r="BN129" s="26"/>
      <c r="BO129" s="26"/>
      <c r="BP129" s="26"/>
      <c r="BQ129" s="26"/>
      <c r="BR129" s="26"/>
      <c r="BS129" s="26"/>
      <c r="BT129" s="26"/>
    </row>
    <row r="130" spans="1:72" s="29" customFormat="1" ht="15" customHeight="1" x14ac:dyDescent="0.25">
      <c r="A130" s="32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  <c r="BL130" s="26"/>
      <c r="BM130" s="26"/>
      <c r="BN130" s="26"/>
      <c r="BO130" s="26"/>
      <c r="BP130" s="26"/>
      <c r="BQ130" s="26"/>
      <c r="BR130" s="26"/>
      <c r="BS130" s="26"/>
      <c r="BT130" s="26"/>
    </row>
    <row r="131" spans="1:72" s="29" customFormat="1" ht="15" customHeight="1" x14ac:dyDescent="0.25">
      <c r="A131" s="32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  <c r="BJ131" s="26"/>
      <c r="BK131" s="26"/>
      <c r="BL131" s="26"/>
      <c r="BM131" s="26"/>
      <c r="BN131" s="26"/>
      <c r="BO131" s="26"/>
      <c r="BP131" s="26"/>
      <c r="BQ131" s="26"/>
      <c r="BR131" s="26"/>
      <c r="BS131" s="26"/>
      <c r="BT131" s="26"/>
    </row>
    <row r="132" spans="1:72" s="29" customFormat="1" ht="15" customHeight="1" x14ac:dyDescent="0.25">
      <c r="A132" s="32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26"/>
      <c r="BK132" s="26"/>
      <c r="BL132" s="26"/>
      <c r="BM132" s="26"/>
      <c r="BN132" s="26"/>
      <c r="BO132" s="26"/>
      <c r="BP132" s="26"/>
      <c r="BQ132" s="26"/>
      <c r="BR132" s="26"/>
      <c r="BS132" s="26"/>
      <c r="BT132" s="26"/>
    </row>
    <row r="133" spans="1:72" s="29" customFormat="1" ht="15" customHeight="1" x14ac:dyDescent="0.25">
      <c r="A133" s="32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26"/>
      <c r="BK133" s="26"/>
      <c r="BL133" s="26"/>
      <c r="BM133" s="26"/>
      <c r="BN133" s="26"/>
      <c r="BO133" s="26"/>
      <c r="BP133" s="26"/>
      <c r="BQ133" s="26"/>
      <c r="BR133" s="26"/>
      <c r="BS133" s="26"/>
      <c r="BT133" s="26"/>
    </row>
    <row r="134" spans="1:72" s="29" customFormat="1" ht="15" customHeight="1" x14ac:dyDescent="0.25">
      <c r="A134" s="32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  <c r="BI134" s="26"/>
      <c r="BJ134" s="26"/>
      <c r="BK134" s="26"/>
      <c r="BL134" s="26"/>
      <c r="BM134" s="26"/>
      <c r="BN134" s="26"/>
      <c r="BO134" s="26"/>
      <c r="BP134" s="26"/>
      <c r="BQ134" s="26"/>
      <c r="BR134" s="26"/>
      <c r="BS134" s="26"/>
      <c r="BT134" s="26"/>
    </row>
    <row r="135" spans="1:72" s="29" customFormat="1" ht="15" customHeight="1" x14ac:dyDescent="0.25">
      <c r="A135" s="32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  <c r="BI135" s="26"/>
      <c r="BJ135" s="26"/>
      <c r="BK135" s="26"/>
      <c r="BL135" s="26"/>
      <c r="BM135" s="26"/>
      <c r="BN135" s="26"/>
      <c r="BO135" s="26"/>
      <c r="BP135" s="26"/>
      <c r="BQ135" s="26"/>
      <c r="BR135" s="26"/>
      <c r="BS135" s="26"/>
      <c r="BT135" s="26"/>
    </row>
    <row r="136" spans="1:72" s="29" customFormat="1" ht="15" customHeight="1" x14ac:dyDescent="0.25">
      <c r="A136" s="32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26"/>
      <c r="BJ136" s="26"/>
      <c r="BK136" s="26"/>
      <c r="BL136" s="26"/>
      <c r="BM136" s="26"/>
      <c r="BN136" s="26"/>
      <c r="BO136" s="26"/>
      <c r="BP136" s="26"/>
      <c r="BQ136" s="26"/>
      <c r="BR136" s="26"/>
      <c r="BS136" s="26"/>
      <c r="BT136" s="26"/>
    </row>
    <row r="137" spans="1:72" s="29" customFormat="1" ht="15" customHeight="1" x14ac:dyDescent="0.25">
      <c r="A137" s="32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26"/>
      <c r="BK137" s="26"/>
      <c r="BL137" s="26"/>
      <c r="BM137" s="26"/>
      <c r="BN137" s="26"/>
      <c r="BO137" s="26"/>
      <c r="BP137" s="26"/>
      <c r="BQ137" s="26"/>
      <c r="BR137" s="26"/>
      <c r="BS137" s="26"/>
      <c r="BT137" s="26"/>
    </row>
    <row r="138" spans="1:72" s="29" customFormat="1" ht="15" customHeight="1" x14ac:dyDescent="0.25">
      <c r="A138" s="32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  <c r="BH138" s="26"/>
      <c r="BI138" s="26"/>
      <c r="BJ138" s="26"/>
      <c r="BK138" s="26"/>
      <c r="BL138" s="26"/>
      <c r="BM138" s="26"/>
      <c r="BN138" s="26"/>
      <c r="BO138" s="26"/>
      <c r="BP138" s="26"/>
      <c r="BQ138" s="26"/>
      <c r="BR138" s="26"/>
      <c r="BS138" s="26"/>
      <c r="BT138" s="26"/>
    </row>
    <row r="139" spans="1:72" s="29" customFormat="1" ht="15" customHeight="1" x14ac:dyDescent="0.25">
      <c r="A139" s="32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  <c r="BJ139" s="26"/>
      <c r="BK139" s="26"/>
      <c r="BL139" s="26"/>
      <c r="BM139" s="26"/>
      <c r="BN139" s="26"/>
      <c r="BO139" s="26"/>
      <c r="BP139" s="26"/>
      <c r="BQ139" s="26"/>
      <c r="BR139" s="26"/>
      <c r="BS139" s="26"/>
      <c r="BT139" s="26"/>
    </row>
    <row r="140" spans="1:72" s="29" customFormat="1" ht="15" customHeight="1" x14ac:dyDescent="0.25">
      <c r="A140" s="32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  <c r="BH140" s="26"/>
      <c r="BI140" s="26"/>
      <c r="BJ140" s="26"/>
      <c r="BK140" s="26"/>
      <c r="BL140" s="26"/>
      <c r="BM140" s="26"/>
      <c r="BN140" s="26"/>
      <c r="BO140" s="26"/>
      <c r="BP140" s="26"/>
      <c r="BQ140" s="26"/>
      <c r="BR140" s="26"/>
      <c r="BS140" s="26"/>
      <c r="BT140" s="26"/>
    </row>
    <row r="141" spans="1:72" s="29" customFormat="1" ht="15" customHeight="1" x14ac:dyDescent="0.25">
      <c r="A141" s="32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  <c r="BH141" s="26"/>
      <c r="BI141" s="26"/>
      <c r="BJ141" s="26"/>
      <c r="BK141" s="26"/>
      <c r="BL141" s="26"/>
      <c r="BM141" s="26"/>
      <c r="BN141" s="26"/>
      <c r="BO141" s="26"/>
      <c r="BP141" s="26"/>
      <c r="BQ141" s="26"/>
      <c r="BR141" s="26"/>
      <c r="BS141" s="26"/>
      <c r="BT141" s="26"/>
    </row>
    <row r="142" spans="1:72" s="29" customFormat="1" ht="15" customHeight="1" x14ac:dyDescent="0.25">
      <c r="A142" s="32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26"/>
      <c r="BJ142" s="26"/>
      <c r="BK142" s="26"/>
      <c r="BL142" s="26"/>
      <c r="BM142" s="26"/>
      <c r="BN142" s="26"/>
      <c r="BO142" s="26"/>
      <c r="BP142" s="26"/>
      <c r="BQ142" s="26"/>
      <c r="BR142" s="26"/>
      <c r="BS142" s="26"/>
      <c r="BT142" s="26"/>
    </row>
    <row r="143" spans="1:72" s="29" customFormat="1" ht="15" customHeight="1" x14ac:dyDescent="0.25">
      <c r="A143" s="32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  <c r="BM143" s="26"/>
      <c r="BN143" s="26"/>
      <c r="BO143" s="26"/>
      <c r="BP143" s="26"/>
      <c r="BQ143" s="26"/>
      <c r="BR143" s="26"/>
      <c r="BS143" s="26"/>
      <c r="BT143" s="26"/>
    </row>
    <row r="144" spans="1:72" s="29" customFormat="1" ht="15" customHeight="1" x14ac:dyDescent="0.25">
      <c r="A144" s="32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26"/>
      <c r="BK144" s="26"/>
      <c r="BL144" s="26"/>
      <c r="BM144" s="26"/>
      <c r="BN144" s="26"/>
      <c r="BO144" s="26"/>
      <c r="BP144" s="26"/>
      <c r="BQ144" s="26"/>
      <c r="BR144" s="26"/>
      <c r="BS144" s="26"/>
      <c r="BT144" s="26"/>
    </row>
    <row r="145" spans="1:72" s="29" customFormat="1" ht="15" customHeight="1" x14ac:dyDescent="0.25">
      <c r="A145" s="32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  <c r="BH145" s="26"/>
      <c r="BI145" s="26"/>
      <c r="BJ145" s="26"/>
      <c r="BK145" s="26"/>
      <c r="BL145" s="26"/>
      <c r="BM145" s="26"/>
      <c r="BN145" s="26"/>
      <c r="BO145" s="26"/>
      <c r="BP145" s="26"/>
      <c r="BQ145" s="26"/>
      <c r="BR145" s="26"/>
      <c r="BS145" s="26"/>
      <c r="BT145" s="26"/>
    </row>
    <row r="146" spans="1:72" s="29" customFormat="1" ht="15" customHeight="1" x14ac:dyDescent="0.25">
      <c r="A146" s="32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  <c r="BH146" s="26"/>
      <c r="BI146" s="26"/>
      <c r="BJ146" s="26"/>
      <c r="BK146" s="26"/>
      <c r="BL146" s="26"/>
      <c r="BM146" s="26"/>
      <c r="BN146" s="26"/>
      <c r="BO146" s="26"/>
      <c r="BP146" s="26"/>
      <c r="BQ146" s="26"/>
      <c r="BR146" s="26"/>
      <c r="BS146" s="26"/>
      <c r="BT146" s="26"/>
    </row>
    <row r="147" spans="1:72" s="29" customFormat="1" ht="15" customHeight="1" x14ac:dyDescent="0.25">
      <c r="A147" s="32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</row>
    <row r="148" spans="1:72" s="29" customFormat="1" ht="15" customHeight="1" x14ac:dyDescent="0.25">
      <c r="A148" s="32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</row>
    <row r="149" spans="1:72" ht="15" customHeight="1" x14ac:dyDescent="0.25"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31"/>
      <c r="Q149" s="31"/>
      <c r="R149" s="31"/>
      <c r="S149" s="31"/>
      <c r="T149" s="31"/>
      <c r="U149" s="31"/>
      <c r="V149" s="31"/>
      <c r="W149" s="31"/>
      <c r="X149" s="31"/>
    </row>
  </sheetData>
  <mergeCells count="4">
    <mergeCell ref="A1:A2"/>
    <mergeCell ref="B1:O1"/>
    <mergeCell ref="B2:O2"/>
    <mergeCell ref="G9:I9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0A87D"/>
  </sheetPr>
  <dimension ref="A1:DC149"/>
  <sheetViews>
    <sheetView showGridLines="0" zoomScaleNormal="100" workbookViewId="0">
      <selection activeCell="G13" sqref="G13"/>
    </sheetView>
  </sheetViews>
  <sheetFormatPr baseColWidth="10" defaultColWidth="9.140625" defaultRowHeight="15" x14ac:dyDescent="0.25"/>
  <cols>
    <col min="1" max="1" width="13.42578125" style="32" customWidth="1"/>
    <col min="2" max="2" width="34" style="3" customWidth="1"/>
    <col min="3" max="15" width="12" style="3" customWidth="1"/>
    <col min="16" max="107" width="9.140625" style="29"/>
  </cols>
  <sheetData>
    <row r="1" spans="1:107" ht="33.75" customHeight="1" x14ac:dyDescent="0.25">
      <c r="A1" s="78"/>
      <c r="B1" s="73" t="s">
        <v>153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28"/>
      <c r="Q1" s="28"/>
      <c r="R1" s="28"/>
      <c r="S1" s="28"/>
      <c r="T1" s="28"/>
      <c r="U1" s="28"/>
      <c r="V1" s="28"/>
      <c r="W1" s="28"/>
      <c r="X1" s="28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</row>
    <row r="2" spans="1:107" ht="27" customHeight="1" x14ac:dyDescent="0.25">
      <c r="A2" s="78"/>
      <c r="B2" s="74" t="s">
        <v>154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28"/>
      <c r="Q2" s="28"/>
      <c r="R2" s="28"/>
      <c r="S2" s="28"/>
      <c r="T2" s="28"/>
      <c r="U2" s="28"/>
      <c r="V2" s="28"/>
      <c r="W2" s="28"/>
      <c r="X2" s="28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</row>
    <row r="3" spans="1:107" ht="27.75" customHeight="1" x14ac:dyDescent="0.25">
      <c r="B3" s="20" t="s">
        <v>146</v>
      </c>
      <c r="C3" s="20" t="s">
        <v>31</v>
      </c>
      <c r="D3" s="20" t="s">
        <v>32</v>
      </c>
      <c r="E3" s="20" t="s">
        <v>33</v>
      </c>
      <c r="F3" s="20" t="s">
        <v>34</v>
      </c>
      <c r="G3" s="20" t="s">
        <v>35</v>
      </c>
      <c r="H3" s="20" t="s">
        <v>36</v>
      </c>
      <c r="I3" s="20" t="s">
        <v>37</v>
      </c>
      <c r="J3" s="20" t="s">
        <v>38</v>
      </c>
      <c r="K3" s="20" t="s">
        <v>39</v>
      </c>
      <c r="L3" s="20" t="s">
        <v>40</v>
      </c>
      <c r="M3" s="20" t="s">
        <v>41</v>
      </c>
      <c r="N3" s="20" t="s">
        <v>42</v>
      </c>
      <c r="O3" s="20" t="s">
        <v>155</v>
      </c>
      <c r="P3" s="28"/>
      <c r="Q3" s="28"/>
      <c r="R3" s="28"/>
      <c r="S3" s="28"/>
      <c r="T3" s="28"/>
      <c r="U3" s="28"/>
      <c r="V3" s="28"/>
      <c r="W3" s="28"/>
      <c r="X3" s="28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</row>
    <row r="4" spans="1:107" ht="19.5" customHeight="1" x14ac:dyDescent="0.25">
      <c r="B4" s="45" t="s">
        <v>156</v>
      </c>
      <c r="C4" s="50">
        <v>0</v>
      </c>
      <c r="D4" s="50">
        <f t="shared" ref="D4:N4" si="0">C7</f>
        <v>20</v>
      </c>
      <c r="E4" s="50">
        <f t="shared" si="0"/>
        <v>20</v>
      </c>
      <c r="F4" s="50">
        <f t="shared" si="0"/>
        <v>20</v>
      </c>
      <c r="G4" s="50">
        <f t="shared" si="0"/>
        <v>20</v>
      </c>
      <c r="H4" s="50">
        <f t="shared" si="0"/>
        <v>20</v>
      </c>
      <c r="I4" s="50">
        <f t="shared" si="0"/>
        <v>20</v>
      </c>
      <c r="J4" s="50">
        <f t="shared" si="0"/>
        <v>20</v>
      </c>
      <c r="K4" s="50">
        <f t="shared" si="0"/>
        <v>20</v>
      </c>
      <c r="L4" s="50">
        <f t="shared" si="0"/>
        <v>20</v>
      </c>
      <c r="M4" s="50">
        <f t="shared" si="0"/>
        <v>20</v>
      </c>
      <c r="N4" s="50">
        <f t="shared" si="0"/>
        <v>20</v>
      </c>
      <c r="O4" s="50">
        <f>N4</f>
        <v>20</v>
      </c>
      <c r="P4" s="28"/>
      <c r="Q4" s="28"/>
      <c r="R4" s="28"/>
      <c r="S4" s="28"/>
      <c r="T4" s="28"/>
      <c r="U4" s="28"/>
      <c r="V4" s="28"/>
      <c r="W4" s="28"/>
      <c r="X4" s="28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</row>
    <row r="5" spans="1:107" ht="19.5" customHeight="1" x14ac:dyDescent="0.25">
      <c r="B5" s="45" t="s">
        <v>157</v>
      </c>
      <c r="C5" s="50">
        <f>MAX(0,C6+Supuestos!$C$11-C4)</f>
        <v>120</v>
      </c>
      <c r="D5" s="50">
        <f>MAX(0,D6+Supuestos!$C$11-D4)</f>
        <v>0</v>
      </c>
      <c r="E5" s="50">
        <f>MAX(0,E6+Supuestos!$C$11-E4)</f>
        <v>0</v>
      </c>
      <c r="F5" s="50">
        <f>MAX(0,F6+Supuestos!$C$11-F4)</f>
        <v>0</v>
      </c>
      <c r="G5" s="50">
        <f>MAX(0,G6+Supuestos!$C$11-G4)</f>
        <v>0</v>
      </c>
      <c r="H5" s="50">
        <f>MAX(0,H6+Supuestos!$C$11-H4)</f>
        <v>0</v>
      </c>
      <c r="I5" s="50">
        <f>MAX(0,I6+Supuestos!$C$11-I4)</f>
        <v>0</v>
      </c>
      <c r="J5" s="50">
        <f>MAX(0,J6+Supuestos!$C$11-J4)</f>
        <v>0</v>
      </c>
      <c r="K5" s="50">
        <f>MAX(0,K6+Supuestos!$C$11-K4)</f>
        <v>0</v>
      </c>
      <c r="L5" s="50">
        <f>MAX(0,L6+Supuestos!$C$11-L4)</f>
        <v>0</v>
      </c>
      <c r="M5" s="50">
        <f>MAX(0,M6+Supuestos!$C$11-M4)</f>
        <v>0</v>
      </c>
      <c r="N5" s="50">
        <f>MAX(0,N6+Supuestos!$C$11-N4)</f>
        <v>0</v>
      </c>
      <c r="O5" s="50">
        <f>SUM(C5:N5)</f>
        <v>120</v>
      </c>
      <c r="P5" s="28"/>
      <c r="Q5" s="28"/>
      <c r="R5" s="28"/>
      <c r="S5" s="28"/>
      <c r="T5" s="28"/>
      <c r="U5" s="28"/>
      <c r="V5" s="28"/>
      <c r="W5" s="28"/>
      <c r="X5" s="28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</row>
    <row r="6" spans="1:107" ht="19.5" customHeight="1" x14ac:dyDescent="0.25">
      <c r="B6" s="45" t="s">
        <v>158</v>
      </c>
      <c r="C6" s="50">
        <f>SUM(Ventas!D4:D8)</f>
        <v>100</v>
      </c>
      <c r="D6" s="50">
        <f>SUM(Ventas!E4:E8)</f>
        <v>0</v>
      </c>
      <c r="E6" s="50">
        <f>SUM(Ventas!F4:F8)</f>
        <v>0</v>
      </c>
      <c r="F6" s="50">
        <f>SUM(Ventas!G4:G8)</f>
        <v>0</v>
      </c>
      <c r="G6" s="50">
        <f>SUM(Ventas!H4:H8)</f>
        <v>0</v>
      </c>
      <c r="H6" s="50">
        <f>SUM(Ventas!I4:I8)</f>
        <v>0</v>
      </c>
      <c r="I6" s="50">
        <f>SUM(Ventas!J4:J8)</f>
        <v>0</v>
      </c>
      <c r="J6" s="50">
        <f>SUM(Ventas!K4:K8)</f>
        <v>0</v>
      </c>
      <c r="K6" s="50">
        <f>SUM(Ventas!L4:L8)</f>
        <v>0</v>
      </c>
      <c r="L6" s="50">
        <f>SUM(Ventas!M4:M8)</f>
        <v>0</v>
      </c>
      <c r="M6" s="50">
        <f>SUM(Ventas!N4:N8)</f>
        <v>0</v>
      </c>
      <c r="N6" s="50">
        <f>SUM(Ventas!O4:O8)</f>
        <v>0</v>
      </c>
      <c r="O6" s="50">
        <f>SUM(C6:N6)</f>
        <v>100</v>
      </c>
      <c r="P6" s="28"/>
      <c r="Q6" s="28"/>
      <c r="R6" s="28"/>
      <c r="S6" s="28"/>
      <c r="T6" s="28"/>
      <c r="U6" s="28"/>
      <c r="V6" s="28"/>
      <c r="W6" s="28"/>
      <c r="X6" s="28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</row>
    <row r="7" spans="1:107" ht="19.5" customHeight="1" x14ac:dyDescent="0.25">
      <c r="B7" s="1" t="s">
        <v>159</v>
      </c>
      <c r="C7" s="21">
        <f t="shared" ref="C7:N7" si="1">C4+C5-C6</f>
        <v>20</v>
      </c>
      <c r="D7" s="21">
        <f t="shared" si="1"/>
        <v>20</v>
      </c>
      <c r="E7" s="21">
        <f t="shared" si="1"/>
        <v>20</v>
      </c>
      <c r="F7" s="21">
        <f t="shared" si="1"/>
        <v>20</v>
      </c>
      <c r="G7" s="21">
        <f t="shared" si="1"/>
        <v>20</v>
      </c>
      <c r="H7" s="21">
        <f t="shared" si="1"/>
        <v>20</v>
      </c>
      <c r="I7" s="21">
        <f t="shared" si="1"/>
        <v>20</v>
      </c>
      <c r="J7" s="21">
        <f t="shared" si="1"/>
        <v>20</v>
      </c>
      <c r="K7" s="21">
        <f t="shared" si="1"/>
        <v>20</v>
      </c>
      <c r="L7" s="21">
        <f t="shared" si="1"/>
        <v>20</v>
      </c>
      <c r="M7" s="21">
        <f t="shared" si="1"/>
        <v>20</v>
      </c>
      <c r="N7" s="21">
        <f t="shared" si="1"/>
        <v>20</v>
      </c>
      <c r="O7" s="21">
        <f>N7</f>
        <v>20</v>
      </c>
      <c r="P7" s="28"/>
      <c r="Q7" s="28"/>
      <c r="R7" s="28"/>
      <c r="S7" s="28"/>
      <c r="T7" s="28"/>
      <c r="U7" s="28"/>
      <c r="V7" s="28"/>
      <c r="W7" s="28"/>
      <c r="X7" s="28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</row>
    <row r="8" spans="1:107" ht="19.5" customHeight="1" x14ac:dyDescent="0.25">
      <c r="B8" s="45" t="s">
        <v>160</v>
      </c>
      <c r="C8" s="51" t="str">
        <f>IF(C7&lt;0,"Falta stock",IF(C7&lt;Supuestos!$C$11,"Stock bajo","OK"))</f>
        <v>OK</v>
      </c>
      <c r="D8" s="51" t="str">
        <f>IF(D7&lt;0,"Falta stock",IF(D7&lt;Supuestos!$C$11,"Stock bajo","OK"))</f>
        <v>OK</v>
      </c>
      <c r="E8" s="51" t="str">
        <f>IF(E7&lt;0,"Falta stock",IF(E7&lt;Supuestos!$C$11,"Stock bajo","OK"))</f>
        <v>OK</v>
      </c>
      <c r="F8" s="51" t="str">
        <f>IF(F7&lt;0,"Falta stock",IF(F7&lt;Supuestos!$C$11,"Stock bajo","OK"))</f>
        <v>OK</v>
      </c>
      <c r="G8" s="51" t="str">
        <f>IF(G7&lt;0,"Falta stock",IF(G7&lt;Supuestos!$C$11,"Stock bajo","OK"))</f>
        <v>OK</v>
      </c>
      <c r="H8" s="51" t="str">
        <f>IF(H7&lt;0,"Falta stock",IF(H7&lt;Supuestos!$C$11,"Stock bajo","OK"))</f>
        <v>OK</v>
      </c>
      <c r="I8" s="51" t="str">
        <f>IF(I7&lt;0,"Falta stock",IF(I7&lt;Supuestos!$C$11,"Stock bajo","OK"))</f>
        <v>OK</v>
      </c>
      <c r="J8" s="51" t="str">
        <f>IF(J7&lt;0,"Falta stock",IF(J7&lt;Supuestos!$C$11,"Stock bajo","OK"))</f>
        <v>OK</v>
      </c>
      <c r="K8" s="51" t="str">
        <f>IF(K7&lt;0,"Falta stock",IF(K7&lt;Supuestos!$C$11,"Stock bajo","OK"))</f>
        <v>OK</v>
      </c>
      <c r="L8" s="51" t="str">
        <f>IF(L7&lt;0,"Falta stock",IF(L7&lt;Supuestos!$C$11,"Stock bajo","OK"))</f>
        <v>OK</v>
      </c>
      <c r="M8" s="51" t="str">
        <f>IF(M7&lt;0,"Falta stock",IF(M7&lt;Supuestos!$C$11,"Stock bajo","OK"))</f>
        <v>OK</v>
      </c>
      <c r="N8" s="51" t="str">
        <f>IF(N7&lt;0,"Falta stock",IF(N7&lt;Supuestos!$C$11,"Stock bajo","OK"))</f>
        <v>OK</v>
      </c>
      <c r="O8" s="51"/>
      <c r="P8" s="28"/>
      <c r="Q8" s="28"/>
      <c r="R8" s="28"/>
      <c r="S8" s="28"/>
      <c r="T8" s="28"/>
      <c r="U8" s="28"/>
      <c r="V8" s="28"/>
      <c r="W8" s="28"/>
      <c r="X8" s="28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</row>
    <row r="9" spans="1:107" s="29" customFormat="1" ht="19.5" customHeight="1" x14ac:dyDescent="0.25">
      <c r="A9" s="32"/>
      <c r="B9" s="28"/>
      <c r="C9" s="28"/>
      <c r="D9" s="28"/>
      <c r="E9" s="28"/>
      <c r="F9" s="87" t="s">
        <v>234</v>
      </c>
      <c r="G9" s="87"/>
      <c r="H9" s="87"/>
      <c r="I9" s="87"/>
      <c r="J9" s="87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</row>
    <row r="10" spans="1:107" s="29" customFormat="1" ht="19.5" customHeight="1" x14ac:dyDescent="0.25">
      <c r="A10" s="32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</row>
    <row r="11" spans="1:107" s="29" customFormat="1" ht="19.5" customHeight="1" x14ac:dyDescent="0.25">
      <c r="A11" s="32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</row>
    <row r="12" spans="1:107" s="29" customFormat="1" ht="19.5" customHeight="1" x14ac:dyDescent="0.25">
      <c r="A12" s="32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</row>
    <row r="13" spans="1:107" s="29" customFormat="1" ht="19.5" customHeight="1" x14ac:dyDescent="0.25">
      <c r="A13" s="32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</row>
    <row r="14" spans="1:107" s="29" customFormat="1" ht="19.5" customHeight="1" x14ac:dyDescent="0.25">
      <c r="A14" s="32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</row>
    <row r="15" spans="1:107" s="29" customFormat="1" ht="19.5" customHeight="1" x14ac:dyDescent="0.25">
      <c r="A15" s="32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</row>
    <row r="16" spans="1:107" s="29" customFormat="1" ht="19.5" customHeight="1" x14ac:dyDescent="0.25">
      <c r="A16" s="32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</row>
    <row r="17" spans="1:107" s="29" customFormat="1" ht="19.5" customHeight="1" x14ac:dyDescent="0.25">
      <c r="A17" s="32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</row>
    <row r="18" spans="1:107" s="29" customFormat="1" ht="19.5" customHeight="1" x14ac:dyDescent="0.25">
      <c r="A18" s="32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</row>
    <row r="19" spans="1:107" s="29" customFormat="1" ht="19.5" customHeight="1" x14ac:dyDescent="0.25">
      <c r="A19" s="32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</row>
    <row r="20" spans="1:107" s="29" customFormat="1" ht="19.5" customHeight="1" x14ac:dyDescent="0.25">
      <c r="A20" s="32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</row>
    <row r="21" spans="1:107" s="29" customFormat="1" ht="19.5" customHeight="1" x14ac:dyDescent="0.25">
      <c r="A21" s="32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</row>
    <row r="22" spans="1:107" s="29" customFormat="1" ht="19.5" customHeight="1" x14ac:dyDescent="0.25">
      <c r="A22" s="32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/>
      <c r="CX22" s="26"/>
      <c r="CY22" s="26"/>
      <c r="CZ22" s="26"/>
      <c r="DA22" s="26"/>
      <c r="DB22" s="26"/>
      <c r="DC22" s="26"/>
    </row>
    <row r="23" spans="1:107" s="29" customFormat="1" ht="19.5" customHeight="1" x14ac:dyDescent="0.25">
      <c r="A23" s="32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</row>
    <row r="24" spans="1:107" s="29" customFormat="1" ht="19.5" customHeight="1" x14ac:dyDescent="0.25">
      <c r="A24" s="32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</row>
    <row r="25" spans="1:107" s="29" customFormat="1" ht="19.5" customHeight="1" x14ac:dyDescent="0.25">
      <c r="A25" s="32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</row>
    <row r="26" spans="1:107" s="29" customFormat="1" ht="19.5" customHeight="1" x14ac:dyDescent="0.25">
      <c r="A26" s="32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/>
    </row>
    <row r="27" spans="1:107" s="29" customFormat="1" ht="19.5" customHeight="1" x14ac:dyDescent="0.25">
      <c r="A27" s="32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6"/>
      <c r="DA27" s="26"/>
      <c r="DB27" s="26"/>
      <c r="DC27" s="26"/>
    </row>
    <row r="28" spans="1:107" s="29" customFormat="1" ht="19.5" customHeight="1" x14ac:dyDescent="0.25">
      <c r="A28" s="32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26"/>
      <c r="DC28" s="26"/>
    </row>
    <row r="29" spans="1:107" s="29" customFormat="1" ht="19.5" customHeight="1" x14ac:dyDescent="0.25">
      <c r="A29" s="32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6"/>
      <c r="DA29" s="26"/>
      <c r="DB29" s="26"/>
      <c r="DC29" s="26"/>
    </row>
    <row r="30" spans="1:107" s="29" customFormat="1" ht="19.5" customHeight="1" x14ac:dyDescent="0.25">
      <c r="A30" s="32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6"/>
      <c r="CX30" s="26"/>
      <c r="CY30" s="26"/>
      <c r="CZ30" s="26"/>
      <c r="DA30" s="26"/>
      <c r="DB30" s="26"/>
      <c r="DC30" s="26"/>
    </row>
    <row r="31" spans="1:107" s="29" customFormat="1" ht="19.5" customHeight="1" x14ac:dyDescent="0.25">
      <c r="A31" s="32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6"/>
      <c r="CT31" s="26"/>
      <c r="CU31" s="26"/>
      <c r="CV31" s="26"/>
      <c r="CW31" s="26"/>
      <c r="CX31" s="26"/>
      <c r="CY31" s="26"/>
      <c r="CZ31" s="26"/>
      <c r="DA31" s="26"/>
      <c r="DB31" s="26"/>
      <c r="DC31" s="26"/>
    </row>
    <row r="32" spans="1:107" s="29" customFormat="1" ht="19.5" customHeight="1" x14ac:dyDescent="0.25">
      <c r="A32" s="32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</row>
    <row r="33" spans="1:107" s="29" customFormat="1" ht="19.5" customHeight="1" x14ac:dyDescent="0.25">
      <c r="A33" s="32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  <c r="DC33" s="26"/>
    </row>
    <row r="34" spans="1:107" s="29" customFormat="1" ht="19.5" customHeight="1" x14ac:dyDescent="0.25">
      <c r="A34" s="32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6"/>
      <c r="CR34" s="26"/>
      <c r="CS34" s="26"/>
      <c r="CT34" s="26"/>
      <c r="CU34" s="26"/>
      <c r="CV34" s="26"/>
      <c r="CW34" s="26"/>
      <c r="CX34" s="26"/>
      <c r="CY34" s="26"/>
      <c r="CZ34" s="26"/>
      <c r="DA34" s="26"/>
      <c r="DB34" s="26"/>
      <c r="DC34" s="26"/>
    </row>
    <row r="35" spans="1:107" s="29" customFormat="1" ht="19.5" customHeight="1" x14ac:dyDescent="0.25">
      <c r="A35" s="32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26"/>
    </row>
    <row r="36" spans="1:107" s="29" customFormat="1" ht="19.5" customHeight="1" x14ac:dyDescent="0.25">
      <c r="A36" s="32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  <c r="CO36" s="26"/>
      <c r="CP36" s="26"/>
      <c r="CQ36" s="26"/>
      <c r="CR36" s="26"/>
      <c r="CS36" s="26"/>
      <c r="CT36" s="26"/>
      <c r="CU36" s="26"/>
      <c r="CV36" s="26"/>
      <c r="CW36" s="26"/>
      <c r="CX36" s="26"/>
      <c r="CY36" s="26"/>
      <c r="CZ36" s="26"/>
      <c r="DA36" s="26"/>
      <c r="DB36" s="26"/>
      <c r="DC36" s="26"/>
    </row>
    <row r="37" spans="1:107" s="29" customFormat="1" ht="19.5" customHeight="1" x14ac:dyDescent="0.25">
      <c r="A37" s="32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  <c r="CO37" s="26"/>
      <c r="CP37" s="26"/>
      <c r="CQ37" s="26"/>
      <c r="CR37" s="26"/>
      <c r="CS37" s="26"/>
      <c r="CT37" s="26"/>
      <c r="CU37" s="26"/>
      <c r="CV37" s="26"/>
      <c r="CW37" s="26"/>
      <c r="CX37" s="26"/>
      <c r="CY37" s="26"/>
      <c r="CZ37" s="26"/>
      <c r="DA37" s="26"/>
      <c r="DB37" s="26"/>
      <c r="DC37" s="26"/>
    </row>
    <row r="38" spans="1:107" s="29" customFormat="1" ht="19.5" customHeight="1" x14ac:dyDescent="0.25">
      <c r="A38" s="32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  <c r="CO38" s="26"/>
      <c r="CP38" s="26"/>
      <c r="CQ38" s="26"/>
      <c r="CR38" s="26"/>
      <c r="CS38" s="26"/>
      <c r="CT38" s="26"/>
      <c r="CU38" s="26"/>
      <c r="CV38" s="26"/>
      <c r="CW38" s="26"/>
      <c r="CX38" s="26"/>
      <c r="CY38" s="26"/>
      <c r="CZ38" s="26"/>
      <c r="DA38" s="26"/>
      <c r="DB38" s="26"/>
      <c r="DC38" s="26"/>
    </row>
    <row r="39" spans="1:107" s="29" customFormat="1" ht="19.5" customHeight="1" x14ac:dyDescent="0.25">
      <c r="A39" s="32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  <c r="CV39" s="26"/>
      <c r="CW39" s="26"/>
      <c r="CX39" s="26"/>
      <c r="CY39" s="26"/>
      <c r="CZ39" s="26"/>
      <c r="DA39" s="26"/>
      <c r="DB39" s="26"/>
      <c r="DC39" s="26"/>
    </row>
    <row r="40" spans="1:107" s="29" customFormat="1" ht="19.5" customHeight="1" x14ac:dyDescent="0.25">
      <c r="A40" s="32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</row>
    <row r="41" spans="1:107" s="29" customFormat="1" ht="19.5" customHeight="1" x14ac:dyDescent="0.25">
      <c r="A41" s="32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</row>
    <row r="42" spans="1:107" s="29" customFormat="1" ht="19.5" customHeight="1" x14ac:dyDescent="0.25">
      <c r="A42" s="32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</row>
    <row r="43" spans="1:107" s="29" customFormat="1" ht="19.5" customHeight="1" x14ac:dyDescent="0.25">
      <c r="A43" s="32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</row>
    <row r="44" spans="1:107" s="29" customFormat="1" ht="19.5" customHeight="1" x14ac:dyDescent="0.25">
      <c r="A44" s="32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</row>
    <row r="45" spans="1:107" s="29" customFormat="1" ht="19.5" customHeight="1" x14ac:dyDescent="0.25">
      <c r="A45" s="32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</row>
    <row r="46" spans="1:107" s="29" customFormat="1" ht="19.5" customHeight="1" x14ac:dyDescent="0.25">
      <c r="A46" s="32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</row>
    <row r="47" spans="1:107" s="29" customFormat="1" ht="19.5" customHeight="1" x14ac:dyDescent="0.25">
      <c r="A47" s="32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</row>
    <row r="48" spans="1:107" s="29" customFormat="1" ht="19.5" customHeight="1" x14ac:dyDescent="0.25">
      <c r="A48" s="32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</row>
    <row r="49" spans="1:107" s="29" customFormat="1" ht="19.5" customHeight="1" x14ac:dyDescent="0.25">
      <c r="A49" s="32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  <c r="CO49" s="26"/>
      <c r="CP49" s="26"/>
      <c r="CQ49" s="26"/>
      <c r="CR49" s="26"/>
      <c r="CS49" s="26"/>
      <c r="CT49" s="26"/>
      <c r="CU49" s="26"/>
      <c r="CV49" s="26"/>
      <c r="CW49" s="26"/>
      <c r="CX49" s="26"/>
      <c r="CY49" s="26"/>
      <c r="CZ49" s="26"/>
      <c r="DA49" s="26"/>
      <c r="DB49" s="26"/>
      <c r="DC49" s="26"/>
    </row>
    <row r="50" spans="1:107" s="29" customFormat="1" ht="19.5" customHeight="1" x14ac:dyDescent="0.25">
      <c r="A50" s="32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  <c r="DB50" s="26"/>
      <c r="DC50" s="26"/>
    </row>
    <row r="51" spans="1:107" s="29" customFormat="1" ht="19.5" customHeight="1" x14ac:dyDescent="0.25">
      <c r="A51" s="32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</row>
    <row r="52" spans="1:107" s="29" customFormat="1" ht="19.5" customHeight="1" x14ac:dyDescent="0.25">
      <c r="A52" s="32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</row>
    <row r="53" spans="1:107" s="29" customFormat="1" ht="19.5" customHeight="1" x14ac:dyDescent="0.25">
      <c r="A53" s="32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</row>
    <row r="54" spans="1:107" s="29" customFormat="1" ht="19.5" customHeight="1" x14ac:dyDescent="0.25">
      <c r="A54" s="32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/>
    </row>
    <row r="55" spans="1:107" s="29" customFormat="1" ht="19.5" customHeight="1" x14ac:dyDescent="0.25">
      <c r="A55" s="32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</row>
    <row r="56" spans="1:107" s="29" customFormat="1" ht="19.5" customHeight="1" x14ac:dyDescent="0.25">
      <c r="A56" s="32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</row>
    <row r="57" spans="1:107" s="29" customFormat="1" ht="19.5" customHeight="1" x14ac:dyDescent="0.25">
      <c r="A57" s="32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  <c r="CO57" s="26"/>
      <c r="CP57" s="26"/>
      <c r="CQ57" s="26"/>
      <c r="CR57" s="26"/>
      <c r="CS57" s="26"/>
      <c r="CT57" s="26"/>
      <c r="CU57" s="26"/>
      <c r="CV57" s="26"/>
      <c r="CW57" s="26"/>
      <c r="CX57" s="26"/>
      <c r="CY57" s="26"/>
      <c r="CZ57" s="26"/>
      <c r="DA57" s="26"/>
      <c r="DB57" s="26"/>
      <c r="DC57" s="26"/>
    </row>
    <row r="58" spans="1:107" s="29" customFormat="1" ht="19.5" customHeight="1" x14ac:dyDescent="0.25">
      <c r="A58" s="32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26"/>
    </row>
    <row r="59" spans="1:107" s="29" customFormat="1" ht="19.5" customHeight="1" x14ac:dyDescent="0.25">
      <c r="A59" s="32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</row>
    <row r="60" spans="1:107" s="29" customFormat="1" ht="19.5" customHeight="1" x14ac:dyDescent="0.25">
      <c r="A60" s="32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</row>
    <row r="61" spans="1:107" s="29" customFormat="1" ht="19.5" customHeight="1" x14ac:dyDescent="0.25">
      <c r="A61" s="32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26"/>
      <c r="CW61" s="26"/>
      <c r="CX61" s="26"/>
      <c r="CY61" s="26"/>
      <c r="CZ61" s="26"/>
      <c r="DA61" s="26"/>
      <c r="DB61" s="26"/>
      <c r="DC61" s="26"/>
    </row>
    <row r="62" spans="1:107" s="29" customFormat="1" ht="19.5" customHeight="1" x14ac:dyDescent="0.25">
      <c r="A62" s="32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26"/>
    </row>
    <row r="63" spans="1:107" s="29" customFormat="1" ht="19.5" customHeight="1" x14ac:dyDescent="0.25">
      <c r="A63" s="32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6"/>
      <c r="DC63" s="26"/>
    </row>
    <row r="64" spans="1:107" s="29" customFormat="1" ht="19.5" customHeight="1" x14ac:dyDescent="0.25">
      <c r="A64" s="32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/>
      <c r="BO64" s="26"/>
      <c r="BP64" s="26"/>
      <c r="BQ64" s="26"/>
      <c r="BR64" s="26"/>
      <c r="BS64" s="26"/>
      <c r="BT64" s="26"/>
      <c r="BU64" s="26"/>
      <c r="BV64" s="26"/>
      <c r="BW64" s="26"/>
      <c r="BX64" s="26"/>
      <c r="BY64" s="26"/>
      <c r="BZ64" s="26"/>
      <c r="CA64" s="26"/>
      <c r="CB64" s="26"/>
      <c r="CC64" s="26"/>
      <c r="CD64" s="26"/>
      <c r="CE64" s="26"/>
      <c r="CF64" s="26"/>
      <c r="CG64" s="26"/>
      <c r="CH64" s="26"/>
      <c r="CI64" s="26"/>
      <c r="CJ64" s="26"/>
      <c r="CK64" s="26"/>
      <c r="CL64" s="26"/>
      <c r="CM64" s="26"/>
      <c r="CN64" s="26"/>
      <c r="CO64" s="26"/>
      <c r="CP64" s="26"/>
      <c r="CQ64" s="26"/>
      <c r="CR64" s="26"/>
      <c r="CS64" s="26"/>
      <c r="CT64" s="26"/>
      <c r="CU64" s="26"/>
      <c r="CV64" s="26"/>
      <c r="CW64" s="26"/>
      <c r="CX64" s="26"/>
      <c r="CY64" s="26"/>
      <c r="CZ64" s="26"/>
      <c r="DA64" s="26"/>
      <c r="DB64" s="26"/>
      <c r="DC64" s="26"/>
    </row>
    <row r="65" spans="1:107" s="29" customFormat="1" ht="19.5" customHeight="1" x14ac:dyDescent="0.25">
      <c r="A65" s="32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  <c r="DA65" s="26"/>
      <c r="DB65" s="26"/>
      <c r="DC65" s="26"/>
    </row>
    <row r="66" spans="1:107" s="29" customFormat="1" ht="19.5" customHeight="1" x14ac:dyDescent="0.25">
      <c r="A66" s="32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</row>
    <row r="67" spans="1:107" s="29" customFormat="1" ht="19.5" customHeight="1" x14ac:dyDescent="0.25">
      <c r="A67" s="32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</row>
    <row r="68" spans="1:107" s="29" customFormat="1" ht="19.5" customHeight="1" x14ac:dyDescent="0.25">
      <c r="A68" s="32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</row>
    <row r="69" spans="1:107" s="29" customFormat="1" ht="19.5" customHeight="1" x14ac:dyDescent="0.25">
      <c r="A69" s="32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  <c r="DB69" s="26"/>
      <c r="DC69" s="26"/>
    </row>
    <row r="70" spans="1:107" s="29" customFormat="1" ht="19.5" customHeight="1" x14ac:dyDescent="0.25">
      <c r="A70" s="32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  <c r="BL70" s="26"/>
      <c r="BM70" s="26"/>
      <c r="BN70" s="26"/>
      <c r="BO70" s="26"/>
      <c r="BP70" s="26"/>
      <c r="BQ70" s="26"/>
      <c r="BR70" s="26"/>
      <c r="BS70" s="26"/>
      <c r="BT70" s="26"/>
      <c r="BU70" s="26"/>
      <c r="BV70" s="26"/>
      <c r="BW70" s="26"/>
      <c r="BX70" s="26"/>
      <c r="BY70" s="26"/>
      <c r="BZ70" s="26"/>
      <c r="CA70" s="26"/>
      <c r="CB70" s="26"/>
      <c r="CC70" s="26"/>
      <c r="CD70" s="26"/>
      <c r="CE70" s="26"/>
      <c r="CF70" s="26"/>
      <c r="CG70" s="26"/>
      <c r="CH70" s="26"/>
      <c r="CI70" s="26"/>
      <c r="CJ70" s="26"/>
      <c r="CK70" s="26"/>
      <c r="CL70" s="26"/>
      <c r="CM70" s="26"/>
      <c r="CN70" s="26"/>
      <c r="CO70" s="26"/>
      <c r="CP70" s="26"/>
      <c r="CQ70" s="26"/>
      <c r="CR70" s="26"/>
      <c r="CS70" s="26"/>
      <c r="CT70" s="26"/>
      <c r="CU70" s="26"/>
      <c r="CV70" s="26"/>
      <c r="CW70" s="26"/>
      <c r="CX70" s="26"/>
      <c r="CY70" s="26"/>
      <c r="CZ70" s="26"/>
      <c r="DA70" s="26"/>
      <c r="DB70" s="26"/>
      <c r="DC70" s="26"/>
    </row>
    <row r="71" spans="1:107" s="29" customFormat="1" ht="19.5" customHeight="1" x14ac:dyDescent="0.25">
      <c r="A71" s="32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6"/>
      <c r="CT71" s="26"/>
      <c r="CU71" s="26"/>
      <c r="CV71" s="26"/>
      <c r="CW71" s="26"/>
      <c r="CX71" s="26"/>
      <c r="CY71" s="26"/>
      <c r="CZ71" s="26"/>
      <c r="DA71" s="26"/>
      <c r="DB71" s="26"/>
      <c r="DC71" s="26"/>
    </row>
    <row r="72" spans="1:107" s="29" customFormat="1" ht="19.5" customHeight="1" x14ac:dyDescent="0.25">
      <c r="A72" s="32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  <c r="CZ72" s="26"/>
      <c r="DA72" s="26"/>
      <c r="DB72" s="26"/>
      <c r="DC72" s="26"/>
    </row>
    <row r="73" spans="1:107" s="29" customFormat="1" ht="19.5" customHeight="1" x14ac:dyDescent="0.25">
      <c r="A73" s="32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  <c r="CV73" s="26"/>
      <c r="CW73" s="26"/>
      <c r="CX73" s="26"/>
      <c r="CY73" s="26"/>
      <c r="CZ73" s="26"/>
      <c r="DA73" s="26"/>
      <c r="DB73" s="26"/>
      <c r="DC73" s="26"/>
    </row>
    <row r="74" spans="1:107" s="29" customFormat="1" ht="19.5" customHeight="1" x14ac:dyDescent="0.25">
      <c r="A74" s="32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  <c r="DB74" s="26"/>
      <c r="DC74" s="26"/>
    </row>
    <row r="75" spans="1:107" s="29" customFormat="1" ht="19.5" customHeight="1" x14ac:dyDescent="0.25">
      <c r="A75" s="32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  <c r="CT75" s="26"/>
      <c r="CU75" s="26"/>
      <c r="CV75" s="26"/>
      <c r="CW75" s="26"/>
      <c r="CX75" s="26"/>
      <c r="CY75" s="26"/>
      <c r="CZ75" s="26"/>
      <c r="DA75" s="26"/>
      <c r="DB75" s="26"/>
      <c r="DC75" s="26"/>
    </row>
    <row r="76" spans="1:107" s="29" customFormat="1" ht="19.5" customHeight="1" x14ac:dyDescent="0.25">
      <c r="A76" s="32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  <c r="CT76" s="26"/>
      <c r="CU76" s="26"/>
      <c r="CV76" s="26"/>
      <c r="CW76" s="26"/>
      <c r="CX76" s="26"/>
      <c r="CY76" s="26"/>
      <c r="CZ76" s="26"/>
      <c r="DA76" s="26"/>
      <c r="DB76" s="26"/>
      <c r="DC76" s="26"/>
    </row>
    <row r="77" spans="1:107" s="29" customFormat="1" ht="19.5" customHeight="1" x14ac:dyDescent="0.25">
      <c r="A77" s="32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26"/>
      <c r="BM77" s="26"/>
      <c r="BN77" s="26"/>
      <c r="BO77" s="26"/>
      <c r="BP77" s="26"/>
      <c r="BQ77" s="26"/>
      <c r="BR77" s="26"/>
      <c r="BS77" s="26"/>
      <c r="BT77" s="26"/>
      <c r="BU77" s="26"/>
      <c r="BV77" s="26"/>
      <c r="BW77" s="26"/>
      <c r="BX77" s="26"/>
      <c r="BY77" s="26"/>
      <c r="BZ77" s="26"/>
      <c r="CA77" s="26"/>
      <c r="CB77" s="26"/>
      <c r="CC77" s="26"/>
      <c r="CD77" s="26"/>
      <c r="CE77" s="26"/>
      <c r="CF77" s="26"/>
      <c r="CG77" s="26"/>
      <c r="CH77" s="26"/>
      <c r="CI77" s="26"/>
      <c r="CJ77" s="26"/>
      <c r="CK77" s="26"/>
      <c r="CL77" s="26"/>
      <c r="CM77" s="26"/>
      <c r="CN77" s="26"/>
      <c r="CO77" s="26"/>
      <c r="CP77" s="26"/>
      <c r="CQ77" s="26"/>
      <c r="CR77" s="26"/>
      <c r="CS77" s="26"/>
      <c r="CT77" s="26"/>
      <c r="CU77" s="26"/>
      <c r="CV77" s="26"/>
      <c r="CW77" s="26"/>
      <c r="CX77" s="26"/>
      <c r="CY77" s="26"/>
      <c r="CZ77" s="26"/>
      <c r="DA77" s="26"/>
      <c r="DB77" s="26"/>
      <c r="DC77" s="26"/>
    </row>
    <row r="78" spans="1:107" s="29" customFormat="1" ht="19.5" customHeight="1" x14ac:dyDescent="0.25">
      <c r="A78" s="32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  <c r="BL78" s="26"/>
      <c r="BM78" s="26"/>
      <c r="BN78" s="26"/>
      <c r="BO78" s="26"/>
      <c r="BP78" s="26"/>
      <c r="BQ78" s="26"/>
      <c r="BR78" s="26"/>
      <c r="BS78" s="26"/>
      <c r="BT78" s="26"/>
      <c r="BU78" s="26"/>
      <c r="BV78" s="26"/>
      <c r="BW78" s="26"/>
      <c r="BX78" s="26"/>
      <c r="BY78" s="26"/>
      <c r="BZ78" s="26"/>
      <c r="CA78" s="26"/>
      <c r="CB78" s="26"/>
      <c r="CC78" s="26"/>
      <c r="CD78" s="26"/>
      <c r="CE78" s="26"/>
      <c r="CF78" s="26"/>
      <c r="CG78" s="26"/>
      <c r="CH78" s="26"/>
      <c r="CI78" s="26"/>
      <c r="CJ78" s="26"/>
      <c r="CK78" s="26"/>
      <c r="CL78" s="26"/>
      <c r="CM78" s="26"/>
      <c r="CN78" s="26"/>
      <c r="CO78" s="26"/>
      <c r="CP78" s="26"/>
      <c r="CQ78" s="26"/>
      <c r="CR78" s="26"/>
      <c r="CS78" s="26"/>
      <c r="CT78" s="26"/>
      <c r="CU78" s="26"/>
      <c r="CV78" s="26"/>
      <c r="CW78" s="26"/>
      <c r="CX78" s="26"/>
      <c r="CY78" s="26"/>
      <c r="CZ78" s="26"/>
      <c r="DA78" s="26"/>
      <c r="DB78" s="26"/>
      <c r="DC78" s="26"/>
    </row>
    <row r="79" spans="1:107" s="29" customFormat="1" ht="19.5" customHeight="1" x14ac:dyDescent="0.25">
      <c r="A79" s="32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  <c r="CO79" s="26"/>
      <c r="CP79" s="26"/>
      <c r="CQ79" s="26"/>
      <c r="CR79" s="26"/>
      <c r="CS79" s="26"/>
      <c r="CT79" s="26"/>
      <c r="CU79" s="26"/>
      <c r="CV79" s="26"/>
      <c r="CW79" s="26"/>
      <c r="CX79" s="26"/>
      <c r="CY79" s="26"/>
      <c r="CZ79" s="26"/>
      <c r="DA79" s="26"/>
      <c r="DB79" s="26"/>
      <c r="DC79" s="26"/>
    </row>
    <row r="80" spans="1:107" s="29" customFormat="1" ht="19.5" customHeight="1" x14ac:dyDescent="0.25">
      <c r="A80" s="32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  <c r="CV80" s="26"/>
      <c r="CW80" s="26"/>
      <c r="CX80" s="26"/>
      <c r="CY80" s="26"/>
      <c r="CZ80" s="26"/>
      <c r="DA80" s="26"/>
      <c r="DB80" s="26"/>
      <c r="DC80" s="26"/>
    </row>
    <row r="81" spans="1:107" s="29" customFormat="1" ht="19.5" customHeight="1" x14ac:dyDescent="0.25">
      <c r="A81" s="32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</row>
    <row r="82" spans="1:107" s="29" customFormat="1" ht="19.5" customHeight="1" x14ac:dyDescent="0.25">
      <c r="A82" s="32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  <c r="CU82" s="26"/>
      <c r="CV82" s="26"/>
      <c r="CW82" s="26"/>
      <c r="CX82" s="26"/>
      <c r="CY82" s="26"/>
      <c r="CZ82" s="26"/>
      <c r="DA82" s="26"/>
      <c r="DB82" s="26"/>
      <c r="DC82" s="26"/>
    </row>
    <row r="83" spans="1:107" s="29" customFormat="1" ht="19.5" customHeight="1" x14ac:dyDescent="0.25">
      <c r="A83" s="32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  <c r="CO83" s="26"/>
      <c r="CP83" s="26"/>
      <c r="CQ83" s="26"/>
      <c r="CR83" s="26"/>
      <c r="CS83" s="26"/>
      <c r="CT83" s="26"/>
      <c r="CU83" s="26"/>
      <c r="CV83" s="26"/>
      <c r="CW83" s="26"/>
      <c r="CX83" s="26"/>
      <c r="CY83" s="26"/>
      <c r="CZ83" s="26"/>
      <c r="DA83" s="26"/>
      <c r="DB83" s="26"/>
      <c r="DC83" s="26"/>
    </row>
    <row r="84" spans="1:107" s="29" customFormat="1" ht="19.5" customHeight="1" x14ac:dyDescent="0.25">
      <c r="A84" s="32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26"/>
      <c r="BK84" s="26"/>
      <c r="BL84" s="26"/>
      <c r="BM84" s="26"/>
      <c r="BN84" s="26"/>
      <c r="BO84" s="26"/>
      <c r="BP84" s="26"/>
      <c r="BQ84" s="26"/>
      <c r="BR84" s="26"/>
      <c r="BS84" s="26"/>
      <c r="BT84" s="26"/>
      <c r="BU84" s="26"/>
      <c r="BV84" s="26"/>
      <c r="BW84" s="26"/>
      <c r="BX84" s="26"/>
      <c r="BY84" s="26"/>
      <c r="BZ84" s="26"/>
      <c r="CA84" s="26"/>
      <c r="CB84" s="26"/>
      <c r="CC84" s="26"/>
      <c r="CD84" s="26"/>
      <c r="CE84" s="26"/>
      <c r="CF84" s="26"/>
      <c r="CG84" s="26"/>
      <c r="CH84" s="26"/>
      <c r="CI84" s="26"/>
      <c r="CJ84" s="26"/>
      <c r="CK84" s="26"/>
      <c r="CL84" s="26"/>
      <c r="CM84" s="26"/>
      <c r="CN84" s="26"/>
      <c r="CO84" s="26"/>
      <c r="CP84" s="26"/>
      <c r="CQ84" s="26"/>
      <c r="CR84" s="26"/>
      <c r="CS84" s="26"/>
      <c r="CT84" s="26"/>
      <c r="CU84" s="26"/>
      <c r="CV84" s="26"/>
      <c r="CW84" s="26"/>
      <c r="CX84" s="26"/>
      <c r="CY84" s="26"/>
      <c r="CZ84" s="26"/>
      <c r="DA84" s="26"/>
      <c r="DB84" s="26"/>
      <c r="DC84" s="26"/>
    </row>
    <row r="85" spans="1:107" s="29" customFormat="1" ht="19.5" customHeight="1" x14ac:dyDescent="0.25">
      <c r="A85" s="32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  <c r="CO85" s="26"/>
      <c r="CP85" s="26"/>
      <c r="CQ85" s="26"/>
      <c r="CR85" s="26"/>
      <c r="CS85" s="26"/>
      <c r="CT85" s="26"/>
      <c r="CU85" s="26"/>
      <c r="CV85" s="26"/>
      <c r="CW85" s="26"/>
      <c r="CX85" s="26"/>
      <c r="CY85" s="26"/>
      <c r="CZ85" s="26"/>
      <c r="DA85" s="26"/>
      <c r="DB85" s="26"/>
      <c r="DC85" s="26"/>
    </row>
    <row r="86" spans="1:107" s="29" customFormat="1" ht="19.5" customHeight="1" x14ac:dyDescent="0.25">
      <c r="A86" s="32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  <c r="CO86" s="26"/>
      <c r="CP86" s="26"/>
      <c r="CQ86" s="26"/>
      <c r="CR86" s="26"/>
      <c r="CS86" s="26"/>
      <c r="CT86" s="26"/>
      <c r="CU86" s="26"/>
      <c r="CV86" s="26"/>
      <c r="CW86" s="26"/>
      <c r="CX86" s="26"/>
      <c r="CY86" s="26"/>
      <c r="CZ86" s="26"/>
      <c r="DA86" s="26"/>
      <c r="DB86" s="26"/>
      <c r="DC86" s="26"/>
    </row>
    <row r="87" spans="1:107" s="29" customFormat="1" ht="19.5" customHeight="1" x14ac:dyDescent="0.25">
      <c r="A87" s="32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</row>
    <row r="88" spans="1:107" s="29" customFormat="1" ht="19.5" customHeight="1" x14ac:dyDescent="0.25">
      <c r="A88" s="32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  <c r="BL88" s="26"/>
      <c r="BM88" s="26"/>
      <c r="BN88" s="26"/>
      <c r="BO88" s="26"/>
      <c r="BP88" s="26"/>
      <c r="BQ88" s="26"/>
      <c r="BR88" s="26"/>
      <c r="BS88" s="26"/>
      <c r="BT88" s="26"/>
      <c r="BU88" s="26"/>
      <c r="BV88" s="26"/>
      <c r="BW88" s="26"/>
      <c r="BX88" s="26"/>
      <c r="BY88" s="26"/>
      <c r="BZ88" s="26"/>
      <c r="CA88" s="26"/>
      <c r="CB88" s="26"/>
      <c r="CC88" s="26"/>
      <c r="CD88" s="26"/>
      <c r="CE88" s="26"/>
      <c r="CF88" s="26"/>
      <c r="CG88" s="26"/>
      <c r="CH88" s="26"/>
      <c r="CI88" s="26"/>
      <c r="CJ88" s="26"/>
      <c r="CK88" s="26"/>
      <c r="CL88" s="26"/>
      <c r="CM88" s="26"/>
      <c r="CN88" s="26"/>
      <c r="CO88" s="26"/>
      <c r="CP88" s="26"/>
      <c r="CQ88" s="26"/>
      <c r="CR88" s="26"/>
      <c r="CS88" s="26"/>
      <c r="CT88" s="26"/>
      <c r="CU88" s="26"/>
      <c r="CV88" s="26"/>
      <c r="CW88" s="26"/>
      <c r="CX88" s="26"/>
      <c r="CY88" s="26"/>
      <c r="CZ88" s="26"/>
      <c r="DA88" s="26"/>
      <c r="DB88" s="26"/>
      <c r="DC88" s="26"/>
    </row>
    <row r="89" spans="1:107" s="29" customFormat="1" ht="15" customHeight="1" x14ac:dyDescent="0.25">
      <c r="A89" s="32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</row>
    <row r="90" spans="1:107" s="29" customFormat="1" ht="15" customHeight="1" x14ac:dyDescent="0.25">
      <c r="A90" s="32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  <c r="DA90" s="26"/>
      <c r="DB90" s="26"/>
      <c r="DC90" s="26"/>
    </row>
    <row r="91" spans="1:107" s="29" customFormat="1" ht="15" customHeight="1" x14ac:dyDescent="0.25">
      <c r="A91" s="32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  <c r="CO91" s="26"/>
      <c r="CP91" s="26"/>
      <c r="CQ91" s="26"/>
      <c r="CR91" s="26"/>
      <c r="CS91" s="26"/>
      <c r="CT91" s="26"/>
      <c r="CU91" s="26"/>
      <c r="CV91" s="26"/>
      <c r="CW91" s="26"/>
      <c r="CX91" s="26"/>
      <c r="CY91" s="26"/>
      <c r="CZ91" s="26"/>
      <c r="DA91" s="26"/>
      <c r="DB91" s="26"/>
      <c r="DC91" s="26"/>
    </row>
    <row r="92" spans="1:107" s="29" customFormat="1" ht="15" customHeight="1" x14ac:dyDescent="0.25">
      <c r="A92" s="32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  <c r="CT92" s="26"/>
      <c r="CU92" s="26"/>
      <c r="CV92" s="26"/>
      <c r="CW92" s="26"/>
      <c r="CX92" s="26"/>
      <c r="CY92" s="26"/>
      <c r="CZ92" s="26"/>
      <c r="DA92" s="26"/>
      <c r="DB92" s="26"/>
      <c r="DC92" s="26"/>
    </row>
    <row r="93" spans="1:107" s="29" customFormat="1" ht="15" customHeight="1" x14ac:dyDescent="0.25">
      <c r="A93" s="32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  <c r="DA93" s="26"/>
      <c r="DB93" s="26"/>
      <c r="DC93" s="26"/>
    </row>
    <row r="94" spans="1:107" s="29" customFormat="1" ht="15" customHeight="1" x14ac:dyDescent="0.25">
      <c r="A94" s="32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  <c r="CO94" s="26"/>
      <c r="CP94" s="26"/>
      <c r="CQ94" s="26"/>
      <c r="CR94" s="26"/>
      <c r="CS94" s="26"/>
      <c r="CT94" s="26"/>
      <c r="CU94" s="26"/>
      <c r="CV94" s="26"/>
      <c r="CW94" s="26"/>
      <c r="CX94" s="26"/>
      <c r="CY94" s="26"/>
      <c r="CZ94" s="26"/>
      <c r="DA94" s="26"/>
      <c r="DB94" s="26"/>
      <c r="DC94" s="26"/>
    </row>
    <row r="95" spans="1:107" s="29" customFormat="1" ht="15" customHeight="1" x14ac:dyDescent="0.25">
      <c r="A95" s="32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/>
    </row>
    <row r="96" spans="1:107" s="29" customFormat="1" ht="15" customHeight="1" x14ac:dyDescent="0.25">
      <c r="A96" s="32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26"/>
      <c r="BK96" s="26"/>
      <c r="BL96" s="26"/>
      <c r="BM96" s="26"/>
      <c r="BN96" s="26"/>
      <c r="BO96" s="26"/>
      <c r="BP96" s="26"/>
      <c r="BQ96" s="26"/>
      <c r="BR96" s="26"/>
      <c r="BS96" s="26"/>
      <c r="BT96" s="26"/>
      <c r="BU96" s="26"/>
      <c r="BV96" s="26"/>
      <c r="BW96" s="26"/>
      <c r="BX96" s="26"/>
      <c r="BY96" s="26"/>
      <c r="BZ96" s="26"/>
      <c r="CA96" s="26"/>
      <c r="CB96" s="26"/>
      <c r="CC96" s="26"/>
      <c r="CD96" s="26"/>
      <c r="CE96" s="26"/>
      <c r="CF96" s="26"/>
      <c r="CG96" s="26"/>
      <c r="CH96" s="26"/>
      <c r="CI96" s="26"/>
      <c r="CJ96" s="26"/>
      <c r="CK96" s="26"/>
      <c r="CL96" s="26"/>
      <c r="CM96" s="26"/>
      <c r="CN96" s="26"/>
      <c r="CO96" s="26"/>
      <c r="CP96" s="26"/>
      <c r="CQ96" s="26"/>
      <c r="CR96" s="26"/>
      <c r="CS96" s="26"/>
      <c r="CT96" s="26"/>
      <c r="CU96" s="26"/>
      <c r="CV96" s="26"/>
      <c r="CW96" s="26"/>
      <c r="CX96" s="26"/>
      <c r="CY96" s="26"/>
      <c r="CZ96" s="26"/>
      <c r="DA96" s="26"/>
      <c r="DB96" s="26"/>
      <c r="DC96" s="26"/>
    </row>
    <row r="97" spans="1:107" s="29" customFormat="1" ht="15" customHeight="1" x14ac:dyDescent="0.25">
      <c r="A97" s="32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</row>
    <row r="98" spans="1:107" s="29" customFormat="1" ht="15" customHeight="1" x14ac:dyDescent="0.25">
      <c r="A98" s="32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</row>
    <row r="99" spans="1:107" s="29" customFormat="1" ht="15" customHeight="1" x14ac:dyDescent="0.25">
      <c r="A99" s="32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</row>
    <row r="100" spans="1:107" s="29" customFormat="1" ht="15" customHeight="1" x14ac:dyDescent="0.25">
      <c r="A100" s="32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</row>
    <row r="101" spans="1:107" s="29" customFormat="1" ht="15" customHeight="1" x14ac:dyDescent="0.25">
      <c r="A101" s="32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</row>
    <row r="102" spans="1:107" s="29" customFormat="1" ht="15" customHeight="1" x14ac:dyDescent="0.25">
      <c r="A102" s="32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</row>
    <row r="103" spans="1:107" s="29" customFormat="1" ht="15" customHeight="1" x14ac:dyDescent="0.25">
      <c r="A103" s="32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</row>
    <row r="104" spans="1:107" s="29" customFormat="1" ht="15" customHeight="1" x14ac:dyDescent="0.25">
      <c r="A104" s="32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</row>
    <row r="105" spans="1:107" s="29" customFormat="1" ht="15" customHeight="1" x14ac:dyDescent="0.25">
      <c r="A105" s="32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</row>
    <row r="106" spans="1:107" s="29" customFormat="1" ht="15" customHeight="1" x14ac:dyDescent="0.25">
      <c r="A106" s="32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</row>
    <row r="107" spans="1:107" s="29" customFormat="1" ht="15" customHeight="1" x14ac:dyDescent="0.25">
      <c r="A107" s="32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  <c r="DA107" s="26"/>
      <c r="DB107" s="26"/>
      <c r="DC107" s="26"/>
    </row>
    <row r="108" spans="1:107" s="29" customFormat="1" ht="15" customHeight="1" x14ac:dyDescent="0.25">
      <c r="A108" s="32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  <c r="BS108" s="26"/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  <c r="CO108" s="26"/>
      <c r="CP108" s="26"/>
      <c r="CQ108" s="26"/>
      <c r="CR108" s="26"/>
      <c r="CS108" s="26"/>
      <c r="CT108" s="26"/>
      <c r="CU108" s="26"/>
      <c r="CV108" s="26"/>
      <c r="CW108" s="26"/>
      <c r="CX108" s="26"/>
      <c r="CY108" s="26"/>
      <c r="CZ108" s="26"/>
      <c r="DA108" s="26"/>
      <c r="DB108" s="26"/>
      <c r="DC108" s="26"/>
    </row>
    <row r="109" spans="1:107" s="29" customFormat="1" ht="15" customHeight="1" x14ac:dyDescent="0.25">
      <c r="A109" s="32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26"/>
      <c r="BO109" s="26"/>
      <c r="BP109" s="26"/>
      <c r="BQ109" s="26"/>
      <c r="BR109" s="26"/>
      <c r="BS109" s="26"/>
      <c r="BT109" s="26"/>
      <c r="BU109" s="26"/>
      <c r="BV109" s="26"/>
      <c r="BW109" s="26"/>
      <c r="BX109" s="26"/>
      <c r="BY109" s="26"/>
      <c r="BZ109" s="26"/>
      <c r="CA109" s="26"/>
      <c r="CB109" s="26"/>
      <c r="CC109" s="26"/>
      <c r="CD109" s="26"/>
      <c r="CE109" s="26"/>
      <c r="CF109" s="26"/>
      <c r="CG109" s="26"/>
      <c r="CH109" s="26"/>
      <c r="CI109" s="26"/>
      <c r="CJ109" s="26"/>
      <c r="CK109" s="26"/>
      <c r="CL109" s="26"/>
      <c r="CM109" s="26"/>
      <c r="CN109" s="26"/>
      <c r="CO109" s="26"/>
      <c r="CP109" s="26"/>
      <c r="CQ109" s="26"/>
      <c r="CR109" s="26"/>
      <c r="CS109" s="26"/>
      <c r="CT109" s="26"/>
      <c r="CU109" s="26"/>
      <c r="CV109" s="26"/>
      <c r="CW109" s="26"/>
      <c r="CX109" s="26"/>
      <c r="CY109" s="26"/>
      <c r="CZ109" s="26"/>
      <c r="DA109" s="26"/>
      <c r="DB109" s="26"/>
      <c r="DC109" s="26"/>
    </row>
    <row r="110" spans="1:107" s="29" customFormat="1" ht="15" customHeight="1" x14ac:dyDescent="0.25">
      <c r="A110" s="32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  <c r="CZ110" s="26"/>
      <c r="DA110" s="26"/>
      <c r="DB110" s="26"/>
      <c r="DC110" s="26"/>
    </row>
    <row r="111" spans="1:107" s="29" customFormat="1" ht="15" customHeight="1" x14ac:dyDescent="0.25">
      <c r="A111" s="32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6"/>
      <c r="CT111" s="26"/>
      <c r="CU111" s="26"/>
      <c r="CV111" s="26"/>
      <c r="CW111" s="26"/>
      <c r="CX111" s="26"/>
      <c r="CY111" s="26"/>
      <c r="CZ111" s="26"/>
      <c r="DA111" s="26"/>
      <c r="DB111" s="26"/>
      <c r="DC111" s="26"/>
    </row>
    <row r="112" spans="1:107" s="29" customFormat="1" ht="15" customHeight="1" x14ac:dyDescent="0.25">
      <c r="A112" s="32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  <c r="DA112" s="26"/>
      <c r="DB112" s="26"/>
      <c r="DC112" s="26"/>
    </row>
    <row r="113" spans="1:107" s="29" customFormat="1" ht="15" customHeight="1" x14ac:dyDescent="0.25">
      <c r="A113" s="32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/>
      <c r="CY113" s="26"/>
      <c r="CZ113" s="26"/>
      <c r="DA113" s="26"/>
      <c r="DB113" s="26"/>
      <c r="DC113" s="26"/>
    </row>
    <row r="114" spans="1:107" s="29" customFormat="1" ht="15" customHeight="1" x14ac:dyDescent="0.25">
      <c r="A114" s="32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  <c r="CO114" s="26"/>
      <c r="CP114" s="26"/>
      <c r="CQ114" s="26"/>
      <c r="CR114" s="26"/>
      <c r="CS114" s="26"/>
      <c r="CT114" s="26"/>
      <c r="CU114" s="26"/>
      <c r="CV114" s="26"/>
      <c r="CW114" s="26"/>
      <c r="CX114" s="26"/>
      <c r="CY114" s="26"/>
      <c r="CZ114" s="26"/>
      <c r="DA114" s="26"/>
      <c r="DB114" s="26"/>
      <c r="DC114" s="26"/>
    </row>
    <row r="115" spans="1:107" s="29" customFormat="1" ht="15" customHeight="1" x14ac:dyDescent="0.25">
      <c r="A115" s="32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  <c r="BK115" s="26"/>
      <c r="BL115" s="26"/>
      <c r="BM115" s="26"/>
      <c r="BN115" s="26"/>
      <c r="BO115" s="26"/>
      <c r="BP115" s="26"/>
      <c r="BQ115" s="26"/>
      <c r="BR115" s="26"/>
      <c r="BS115" s="26"/>
      <c r="BT115" s="26"/>
      <c r="BU115" s="26"/>
      <c r="BV115" s="26"/>
      <c r="BW115" s="26"/>
      <c r="BX115" s="26"/>
      <c r="BY115" s="26"/>
      <c r="BZ115" s="26"/>
      <c r="CA115" s="26"/>
      <c r="CB115" s="26"/>
      <c r="CC115" s="26"/>
      <c r="CD115" s="26"/>
      <c r="CE115" s="26"/>
      <c r="CF115" s="26"/>
      <c r="CG115" s="26"/>
      <c r="CH115" s="26"/>
      <c r="CI115" s="26"/>
      <c r="CJ115" s="26"/>
      <c r="CK115" s="26"/>
      <c r="CL115" s="26"/>
      <c r="CM115" s="26"/>
      <c r="CN115" s="26"/>
      <c r="CO115" s="26"/>
      <c r="CP115" s="26"/>
      <c r="CQ115" s="26"/>
      <c r="CR115" s="26"/>
      <c r="CS115" s="26"/>
      <c r="CT115" s="26"/>
      <c r="CU115" s="26"/>
      <c r="CV115" s="26"/>
      <c r="CW115" s="26"/>
      <c r="CX115" s="26"/>
      <c r="CY115" s="26"/>
      <c r="CZ115" s="26"/>
      <c r="DA115" s="26"/>
      <c r="DB115" s="26"/>
      <c r="DC115" s="26"/>
    </row>
    <row r="116" spans="1:107" s="29" customFormat="1" ht="15" customHeight="1" x14ac:dyDescent="0.25">
      <c r="A116" s="32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26"/>
      <c r="BO116" s="26"/>
      <c r="BP116" s="26"/>
      <c r="BQ116" s="26"/>
      <c r="BR116" s="26"/>
      <c r="BS116" s="26"/>
      <c r="BT116" s="26"/>
      <c r="BU116" s="26"/>
      <c r="BV116" s="26"/>
      <c r="BW116" s="26"/>
      <c r="BX116" s="26"/>
      <c r="BY116" s="26"/>
      <c r="BZ116" s="26"/>
      <c r="CA116" s="26"/>
      <c r="CB116" s="26"/>
      <c r="CC116" s="26"/>
      <c r="CD116" s="26"/>
      <c r="CE116" s="26"/>
      <c r="CF116" s="26"/>
      <c r="CG116" s="26"/>
      <c r="CH116" s="26"/>
      <c r="CI116" s="26"/>
      <c r="CJ116" s="26"/>
      <c r="CK116" s="26"/>
      <c r="CL116" s="26"/>
      <c r="CM116" s="26"/>
      <c r="CN116" s="26"/>
      <c r="CO116" s="26"/>
      <c r="CP116" s="26"/>
      <c r="CQ116" s="26"/>
      <c r="CR116" s="26"/>
      <c r="CS116" s="26"/>
      <c r="CT116" s="26"/>
      <c r="CU116" s="26"/>
      <c r="CV116" s="26"/>
      <c r="CW116" s="26"/>
      <c r="CX116" s="26"/>
      <c r="CY116" s="26"/>
      <c r="CZ116" s="26"/>
      <c r="DA116" s="26"/>
      <c r="DB116" s="26"/>
      <c r="DC116" s="26"/>
    </row>
    <row r="117" spans="1:107" s="29" customFormat="1" ht="15" customHeight="1" x14ac:dyDescent="0.25">
      <c r="A117" s="32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26"/>
      <c r="BK117" s="26"/>
      <c r="BL117" s="26"/>
      <c r="BM117" s="26"/>
      <c r="BN117" s="26"/>
      <c r="BO117" s="26"/>
      <c r="BP117" s="26"/>
      <c r="BQ117" s="26"/>
      <c r="BR117" s="26"/>
      <c r="BS117" s="26"/>
      <c r="BT117" s="26"/>
      <c r="BU117" s="26"/>
      <c r="BV117" s="26"/>
      <c r="BW117" s="26"/>
      <c r="BX117" s="26"/>
      <c r="BY117" s="26"/>
      <c r="BZ117" s="26"/>
      <c r="CA117" s="26"/>
      <c r="CB117" s="26"/>
      <c r="CC117" s="26"/>
      <c r="CD117" s="26"/>
      <c r="CE117" s="26"/>
      <c r="CF117" s="26"/>
      <c r="CG117" s="26"/>
      <c r="CH117" s="26"/>
      <c r="CI117" s="26"/>
      <c r="CJ117" s="26"/>
      <c r="CK117" s="26"/>
      <c r="CL117" s="26"/>
      <c r="CM117" s="26"/>
      <c r="CN117" s="26"/>
      <c r="CO117" s="26"/>
      <c r="CP117" s="26"/>
      <c r="CQ117" s="26"/>
      <c r="CR117" s="26"/>
      <c r="CS117" s="26"/>
      <c r="CT117" s="26"/>
      <c r="CU117" s="26"/>
      <c r="CV117" s="26"/>
      <c r="CW117" s="26"/>
      <c r="CX117" s="26"/>
      <c r="CY117" s="26"/>
      <c r="CZ117" s="26"/>
      <c r="DA117" s="26"/>
      <c r="DB117" s="26"/>
      <c r="DC117" s="26"/>
    </row>
    <row r="118" spans="1:107" s="29" customFormat="1" ht="15" customHeight="1" x14ac:dyDescent="0.25">
      <c r="A118" s="32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  <c r="BL118" s="26"/>
      <c r="BM118" s="26"/>
      <c r="BN118" s="26"/>
      <c r="BO118" s="26"/>
      <c r="BP118" s="26"/>
      <c r="BQ118" s="26"/>
      <c r="BR118" s="26"/>
      <c r="BS118" s="26"/>
      <c r="BT118" s="26"/>
      <c r="BU118" s="26"/>
      <c r="BV118" s="26"/>
      <c r="BW118" s="26"/>
      <c r="BX118" s="26"/>
      <c r="BY118" s="26"/>
      <c r="BZ118" s="26"/>
      <c r="CA118" s="26"/>
      <c r="CB118" s="26"/>
      <c r="CC118" s="26"/>
      <c r="CD118" s="26"/>
      <c r="CE118" s="26"/>
      <c r="CF118" s="26"/>
      <c r="CG118" s="26"/>
      <c r="CH118" s="26"/>
      <c r="CI118" s="26"/>
      <c r="CJ118" s="26"/>
      <c r="CK118" s="26"/>
      <c r="CL118" s="26"/>
      <c r="CM118" s="26"/>
      <c r="CN118" s="26"/>
      <c r="CO118" s="26"/>
      <c r="CP118" s="26"/>
      <c r="CQ118" s="26"/>
      <c r="CR118" s="26"/>
      <c r="CS118" s="26"/>
      <c r="CT118" s="26"/>
      <c r="CU118" s="26"/>
      <c r="CV118" s="26"/>
      <c r="CW118" s="26"/>
      <c r="CX118" s="26"/>
      <c r="CY118" s="26"/>
      <c r="CZ118" s="26"/>
      <c r="DA118" s="26"/>
      <c r="DB118" s="26"/>
      <c r="DC118" s="26"/>
    </row>
    <row r="119" spans="1:107" s="29" customFormat="1" ht="15" customHeight="1" x14ac:dyDescent="0.25">
      <c r="A119" s="32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26"/>
      <c r="BK119" s="26"/>
      <c r="BL119" s="26"/>
      <c r="BM119" s="26"/>
      <c r="BN119" s="26"/>
      <c r="BO119" s="26"/>
      <c r="BP119" s="26"/>
      <c r="BQ119" s="26"/>
      <c r="BR119" s="26"/>
      <c r="BS119" s="26"/>
      <c r="BT119" s="26"/>
      <c r="BU119" s="26"/>
      <c r="BV119" s="26"/>
      <c r="BW119" s="26"/>
      <c r="BX119" s="26"/>
      <c r="BY119" s="26"/>
      <c r="BZ119" s="26"/>
      <c r="CA119" s="26"/>
      <c r="CB119" s="26"/>
      <c r="CC119" s="26"/>
      <c r="CD119" s="26"/>
      <c r="CE119" s="26"/>
      <c r="CF119" s="26"/>
      <c r="CG119" s="26"/>
      <c r="CH119" s="26"/>
      <c r="CI119" s="26"/>
      <c r="CJ119" s="26"/>
      <c r="CK119" s="26"/>
      <c r="CL119" s="26"/>
      <c r="CM119" s="26"/>
      <c r="CN119" s="26"/>
      <c r="CO119" s="26"/>
      <c r="CP119" s="26"/>
      <c r="CQ119" s="26"/>
      <c r="CR119" s="26"/>
      <c r="CS119" s="26"/>
      <c r="CT119" s="26"/>
      <c r="CU119" s="26"/>
      <c r="CV119" s="26"/>
      <c r="CW119" s="26"/>
      <c r="CX119" s="26"/>
      <c r="CY119" s="26"/>
      <c r="CZ119" s="26"/>
      <c r="DA119" s="26"/>
      <c r="DB119" s="26"/>
      <c r="DC119" s="26"/>
    </row>
    <row r="120" spans="1:107" s="29" customFormat="1" ht="15" customHeight="1" x14ac:dyDescent="0.25">
      <c r="A120" s="32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  <c r="BL120" s="26"/>
      <c r="BM120" s="26"/>
      <c r="BN120" s="26"/>
      <c r="BO120" s="26"/>
      <c r="BP120" s="26"/>
      <c r="BQ120" s="26"/>
      <c r="BR120" s="26"/>
      <c r="BS120" s="26"/>
      <c r="BT120" s="26"/>
      <c r="BU120" s="26"/>
      <c r="BV120" s="26"/>
      <c r="BW120" s="26"/>
      <c r="BX120" s="26"/>
      <c r="BY120" s="26"/>
      <c r="BZ120" s="26"/>
      <c r="CA120" s="26"/>
      <c r="CB120" s="26"/>
      <c r="CC120" s="26"/>
      <c r="CD120" s="26"/>
      <c r="CE120" s="26"/>
      <c r="CF120" s="26"/>
      <c r="CG120" s="26"/>
      <c r="CH120" s="26"/>
      <c r="CI120" s="26"/>
      <c r="CJ120" s="26"/>
      <c r="CK120" s="26"/>
      <c r="CL120" s="26"/>
      <c r="CM120" s="26"/>
      <c r="CN120" s="26"/>
      <c r="CO120" s="26"/>
      <c r="CP120" s="26"/>
      <c r="CQ120" s="26"/>
      <c r="CR120" s="26"/>
      <c r="CS120" s="26"/>
      <c r="CT120" s="26"/>
      <c r="CU120" s="26"/>
      <c r="CV120" s="26"/>
      <c r="CW120" s="26"/>
      <c r="CX120" s="26"/>
      <c r="CY120" s="26"/>
      <c r="CZ120" s="26"/>
      <c r="DA120" s="26"/>
      <c r="DB120" s="26"/>
      <c r="DC120" s="26"/>
    </row>
    <row r="121" spans="1:107" s="29" customFormat="1" ht="15" customHeight="1" x14ac:dyDescent="0.25">
      <c r="A121" s="32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  <c r="BK121" s="26"/>
      <c r="BL121" s="26"/>
      <c r="BM121" s="26"/>
      <c r="BN121" s="26"/>
      <c r="BO121" s="26"/>
      <c r="BP121" s="26"/>
      <c r="BQ121" s="26"/>
      <c r="BR121" s="26"/>
      <c r="BS121" s="26"/>
      <c r="BT121" s="26"/>
      <c r="BU121" s="26"/>
      <c r="BV121" s="26"/>
      <c r="BW121" s="26"/>
      <c r="BX121" s="26"/>
      <c r="BY121" s="26"/>
      <c r="BZ121" s="26"/>
      <c r="CA121" s="26"/>
      <c r="CB121" s="26"/>
      <c r="CC121" s="26"/>
      <c r="CD121" s="26"/>
      <c r="CE121" s="26"/>
      <c r="CF121" s="26"/>
      <c r="CG121" s="26"/>
      <c r="CH121" s="26"/>
      <c r="CI121" s="26"/>
      <c r="CJ121" s="26"/>
      <c r="CK121" s="26"/>
      <c r="CL121" s="26"/>
      <c r="CM121" s="26"/>
      <c r="CN121" s="26"/>
      <c r="CO121" s="26"/>
      <c r="CP121" s="26"/>
      <c r="CQ121" s="26"/>
      <c r="CR121" s="26"/>
      <c r="CS121" s="26"/>
      <c r="CT121" s="26"/>
      <c r="CU121" s="26"/>
      <c r="CV121" s="26"/>
      <c r="CW121" s="26"/>
      <c r="CX121" s="26"/>
      <c r="CY121" s="26"/>
      <c r="CZ121" s="26"/>
      <c r="DA121" s="26"/>
      <c r="DB121" s="26"/>
      <c r="DC121" s="26"/>
    </row>
    <row r="122" spans="1:107" s="29" customFormat="1" ht="15" customHeight="1" x14ac:dyDescent="0.25">
      <c r="A122" s="32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  <c r="BL122" s="26"/>
      <c r="BM122" s="26"/>
      <c r="BN122" s="26"/>
      <c r="BO122" s="26"/>
      <c r="BP122" s="26"/>
      <c r="BQ122" s="26"/>
      <c r="BR122" s="26"/>
      <c r="BS122" s="26"/>
      <c r="BT122" s="26"/>
      <c r="BU122" s="26"/>
      <c r="BV122" s="26"/>
      <c r="BW122" s="26"/>
      <c r="BX122" s="26"/>
      <c r="BY122" s="26"/>
      <c r="BZ122" s="26"/>
      <c r="CA122" s="26"/>
      <c r="CB122" s="26"/>
      <c r="CC122" s="26"/>
      <c r="CD122" s="26"/>
      <c r="CE122" s="26"/>
      <c r="CF122" s="26"/>
      <c r="CG122" s="26"/>
      <c r="CH122" s="26"/>
      <c r="CI122" s="26"/>
      <c r="CJ122" s="26"/>
      <c r="CK122" s="26"/>
      <c r="CL122" s="26"/>
      <c r="CM122" s="26"/>
      <c r="CN122" s="26"/>
      <c r="CO122" s="26"/>
      <c r="CP122" s="26"/>
      <c r="CQ122" s="26"/>
      <c r="CR122" s="26"/>
      <c r="CS122" s="26"/>
      <c r="CT122" s="26"/>
      <c r="CU122" s="26"/>
      <c r="CV122" s="26"/>
      <c r="CW122" s="26"/>
      <c r="CX122" s="26"/>
      <c r="CY122" s="26"/>
      <c r="CZ122" s="26"/>
      <c r="DA122" s="26"/>
      <c r="DB122" s="26"/>
      <c r="DC122" s="26"/>
    </row>
    <row r="123" spans="1:107" s="29" customFormat="1" ht="15" customHeight="1" x14ac:dyDescent="0.25">
      <c r="A123" s="32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  <c r="BM123" s="26"/>
      <c r="BN123" s="26"/>
      <c r="BO123" s="26"/>
      <c r="BP123" s="26"/>
      <c r="BQ123" s="26"/>
      <c r="BR123" s="26"/>
      <c r="BS123" s="26"/>
      <c r="BT123" s="26"/>
      <c r="BU123" s="26"/>
      <c r="BV123" s="26"/>
      <c r="BW123" s="26"/>
      <c r="BX123" s="26"/>
      <c r="BY123" s="26"/>
      <c r="BZ123" s="26"/>
      <c r="CA123" s="26"/>
      <c r="CB123" s="26"/>
      <c r="CC123" s="26"/>
      <c r="CD123" s="26"/>
      <c r="CE123" s="26"/>
      <c r="CF123" s="26"/>
      <c r="CG123" s="26"/>
      <c r="CH123" s="26"/>
      <c r="CI123" s="26"/>
      <c r="CJ123" s="26"/>
      <c r="CK123" s="26"/>
      <c r="CL123" s="26"/>
      <c r="CM123" s="26"/>
      <c r="CN123" s="26"/>
      <c r="CO123" s="26"/>
      <c r="CP123" s="26"/>
      <c r="CQ123" s="26"/>
      <c r="CR123" s="26"/>
      <c r="CS123" s="26"/>
      <c r="CT123" s="26"/>
      <c r="CU123" s="26"/>
      <c r="CV123" s="26"/>
      <c r="CW123" s="26"/>
      <c r="CX123" s="26"/>
      <c r="CY123" s="26"/>
      <c r="CZ123" s="26"/>
      <c r="DA123" s="26"/>
      <c r="DB123" s="26"/>
      <c r="DC123" s="26"/>
    </row>
    <row r="124" spans="1:107" s="29" customFormat="1" ht="15" customHeight="1" x14ac:dyDescent="0.25">
      <c r="A124" s="32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26"/>
      <c r="BK124" s="26"/>
      <c r="BL124" s="26"/>
      <c r="BM124" s="26"/>
      <c r="BN124" s="26"/>
      <c r="BO124" s="26"/>
      <c r="BP124" s="26"/>
      <c r="BQ124" s="26"/>
      <c r="BR124" s="26"/>
      <c r="BS124" s="26"/>
      <c r="BT124" s="26"/>
      <c r="BU124" s="26"/>
      <c r="BV124" s="26"/>
      <c r="BW124" s="26"/>
      <c r="BX124" s="26"/>
      <c r="BY124" s="26"/>
      <c r="BZ124" s="26"/>
      <c r="CA124" s="26"/>
      <c r="CB124" s="26"/>
      <c r="CC124" s="26"/>
      <c r="CD124" s="26"/>
      <c r="CE124" s="26"/>
      <c r="CF124" s="26"/>
      <c r="CG124" s="26"/>
      <c r="CH124" s="26"/>
      <c r="CI124" s="26"/>
      <c r="CJ124" s="26"/>
      <c r="CK124" s="26"/>
      <c r="CL124" s="26"/>
      <c r="CM124" s="26"/>
      <c r="CN124" s="26"/>
      <c r="CO124" s="26"/>
      <c r="CP124" s="26"/>
      <c r="CQ124" s="26"/>
      <c r="CR124" s="26"/>
      <c r="CS124" s="26"/>
      <c r="CT124" s="26"/>
      <c r="CU124" s="26"/>
      <c r="CV124" s="26"/>
      <c r="CW124" s="26"/>
      <c r="CX124" s="26"/>
      <c r="CY124" s="26"/>
      <c r="CZ124" s="26"/>
      <c r="DA124" s="26"/>
      <c r="DB124" s="26"/>
      <c r="DC124" s="26"/>
    </row>
    <row r="125" spans="1:107" s="29" customFormat="1" ht="15" customHeight="1" x14ac:dyDescent="0.25">
      <c r="A125" s="32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26"/>
      <c r="BK125" s="26"/>
      <c r="BL125" s="26"/>
      <c r="BM125" s="26"/>
      <c r="BN125" s="26"/>
      <c r="BO125" s="26"/>
      <c r="BP125" s="26"/>
      <c r="BQ125" s="26"/>
      <c r="BR125" s="26"/>
      <c r="BS125" s="26"/>
      <c r="BT125" s="26"/>
      <c r="BU125" s="26"/>
      <c r="BV125" s="26"/>
      <c r="BW125" s="26"/>
      <c r="BX125" s="26"/>
      <c r="BY125" s="26"/>
      <c r="BZ125" s="26"/>
      <c r="CA125" s="26"/>
      <c r="CB125" s="26"/>
      <c r="CC125" s="26"/>
      <c r="CD125" s="26"/>
      <c r="CE125" s="26"/>
      <c r="CF125" s="26"/>
      <c r="CG125" s="26"/>
      <c r="CH125" s="26"/>
      <c r="CI125" s="26"/>
      <c r="CJ125" s="26"/>
      <c r="CK125" s="26"/>
      <c r="CL125" s="26"/>
      <c r="CM125" s="26"/>
      <c r="CN125" s="26"/>
      <c r="CO125" s="26"/>
      <c r="CP125" s="26"/>
      <c r="CQ125" s="26"/>
      <c r="CR125" s="26"/>
      <c r="CS125" s="26"/>
      <c r="CT125" s="26"/>
      <c r="CU125" s="26"/>
      <c r="CV125" s="26"/>
      <c r="CW125" s="26"/>
      <c r="CX125" s="26"/>
      <c r="CY125" s="26"/>
      <c r="CZ125" s="26"/>
      <c r="DA125" s="26"/>
      <c r="DB125" s="26"/>
      <c r="DC125" s="26"/>
    </row>
    <row r="126" spans="1:107" s="29" customFormat="1" ht="15" customHeight="1" x14ac:dyDescent="0.25">
      <c r="A126" s="32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  <c r="BK126" s="26"/>
      <c r="BL126" s="26"/>
      <c r="BM126" s="26"/>
      <c r="BN126" s="26"/>
      <c r="BO126" s="26"/>
      <c r="BP126" s="26"/>
      <c r="BQ126" s="26"/>
      <c r="BR126" s="26"/>
      <c r="BS126" s="26"/>
      <c r="BT126" s="26"/>
      <c r="BU126" s="26"/>
      <c r="BV126" s="26"/>
      <c r="BW126" s="26"/>
      <c r="BX126" s="26"/>
      <c r="BY126" s="26"/>
      <c r="BZ126" s="26"/>
      <c r="CA126" s="26"/>
      <c r="CB126" s="26"/>
      <c r="CC126" s="26"/>
      <c r="CD126" s="26"/>
      <c r="CE126" s="26"/>
      <c r="CF126" s="26"/>
      <c r="CG126" s="26"/>
      <c r="CH126" s="26"/>
      <c r="CI126" s="26"/>
      <c r="CJ126" s="26"/>
      <c r="CK126" s="26"/>
      <c r="CL126" s="26"/>
      <c r="CM126" s="26"/>
      <c r="CN126" s="26"/>
      <c r="CO126" s="26"/>
      <c r="CP126" s="26"/>
      <c r="CQ126" s="26"/>
      <c r="CR126" s="26"/>
      <c r="CS126" s="26"/>
      <c r="CT126" s="26"/>
      <c r="CU126" s="26"/>
      <c r="CV126" s="26"/>
      <c r="CW126" s="26"/>
      <c r="CX126" s="26"/>
      <c r="CY126" s="26"/>
      <c r="CZ126" s="26"/>
      <c r="DA126" s="26"/>
      <c r="DB126" s="26"/>
      <c r="DC126" s="26"/>
    </row>
    <row r="127" spans="1:107" s="29" customFormat="1" ht="15" customHeight="1" x14ac:dyDescent="0.25">
      <c r="A127" s="32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26"/>
      <c r="BK127" s="26"/>
      <c r="BL127" s="26"/>
      <c r="BM127" s="26"/>
      <c r="BN127" s="26"/>
      <c r="BO127" s="26"/>
      <c r="BP127" s="26"/>
      <c r="BQ127" s="26"/>
      <c r="BR127" s="26"/>
      <c r="BS127" s="26"/>
      <c r="BT127" s="26"/>
      <c r="BU127" s="26"/>
      <c r="BV127" s="26"/>
      <c r="BW127" s="26"/>
      <c r="BX127" s="26"/>
      <c r="BY127" s="26"/>
      <c r="BZ127" s="26"/>
      <c r="CA127" s="26"/>
      <c r="CB127" s="26"/>
      <c r="CC127" s="26"/>
      <c r="CD127" s="26"/>
      <c r="CE127" s="26"/>
      <c r="CF127" s="26"/>
      <c r="CG127" s="26"/>
      <c r="CH127" s="26"/>
      <c r="CI127" s="26"/>
      <c r="CJ127" s="26"/>
      <c r="CK127" s="26"/>
      <c r="CL127" s="26"/>
      <c r="CM127" s="26"/>
      <c r="CN127" s="26"/>
      <c r="CO127" s="26"/>
      <c r="CP127" s="26"/>
      <c r="CQ127" s="26"/>
      <c r="CR127" s="26"/>
      <c r="CS127" s="26"/>
      <c r="CT127" s="26"/>
      <c r="CU127" s="26"/>
      <c r="CV127" s="26"/>
      <c r="CW127" s="26"/>
      <c r="CX127" s="26"/>
      <c r="CY127" s="26"/>
      <c r="CZ127" s="26"/>
      <c r="DA127" s="26"/>
      <c r="DB127" s="26"/>
      <c r="DC127" s="26"/>
    </row>
    <row r="128" spans="1:107" s="29" customFormat="1" ht="15" customHeight="1" x14ac:dyDescent="0.25">
      <c r="A128" s="32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26"/>
      <c r="BK128" s="26"/>
      <c r="BL128" s="26"/>
      <c r="BM128" s="26"/>
      <c r="BN128" s="26"/>
      <c r="BO128" s="26"/>
      <c r="BP128" s="26"/>
      <c r="BQ128" s="26"/>
      <c r="BR128" s="26"/>
      <c r="BS128" s="26"/>
      <c r="BT128" s="26"/>
      <c r="BU128" s="26"/>
      <c r="BV128" s="26"/>
      <c r="BW128" s="26"/>
      <c r="BX128" s="26"/>
      <c r="BY128" s="26"/>
      <c r="BZ128" s="26"/>
      <c r="CA128" s="26"/>
      <c r="CB128" s="26"/>
      <c r="CC128" s="26"/>
      <c r="CD128" s="26"/>
      <c r="CE128" s="26"/>
      <c r="CF128" s="26"/>
      <c r="CG128" s="26"/>
      <c r="CH128" s="26"/>
      <c r="CI128" s="26"/>
      <c r="CJ128" s="26"/>
      <c r="CK128" s="26"/>
      <c r="CL128" s="26"/>
      <c r="CM128" s="26"/>
      <c r="CN128" s="26"/>
      <c r="CO128" s="26"/>
      <c r="CP128" s="26"/>
      <c r="CQ128" s="26"/>
      <c r="CR128" s="26"/>
      <c r="CS128" s="26"/>
      <c r="CT128" s="26"/>
      <c r="CU128" s="26"/>
      <c r="CV128" s="26"/>
      <c r="CW128" s="26"/>
      <c r="CX128" s="26"/>
      <c r="CY128" s="26"/>
      <c r="CZ128" s="26"/>
      <c r="DA128" s="26"/>
      <c r="DB128" s="26"/>
      <c r="DC128" s="26"/>
    </row>
    <row r="129" spans="1:107" s="29" customFormat="1" ht="15" customHeight="1" x14ac:dyDescent="0.25">
      <c r="A129" s="32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  <c r="BJ129" s="26"/>
      <c r="BK129" s="26"/>
      <c r="BL129" s="26"/>
      <c r="BM129" s="26"/>
      <c r="BN129" s="26"/>
      <c r="BO129" s="26"/>
      <c r="BP129" s="26"/>
      <c r="BQ129" s="26"/>
      <c r="BR129" s="26"/>
      <c r="BS129" s="26"/>
      <c r="BT129" s="26"/>
      <c r="BU129" s="26"/>
      <c r="BV129" s="26"/>
      <c r="BW129" s="26"/>
      <c r="BX129" s="26"/>
      <c r="BY129" s="26"/>
      <c r="BZ129" s="26"/>
      <c r="CA129" s="26"/>
      <c r="CB129" s="26"/>
      <c r="CC129" s="26"/>
      <c r="CD129" s="26"/>
      <c r="CE129" s="26"/>
      <c r="CF129" s="26"/>
      <c r="CG129" s="26"/>
      <c r="CH129" s="26"/>
      <c r="CI129" s="26"/>
      <c r="CJ129" s="26"/>
      <c r="CK129" s="26"/>
      <c r="CL129" s="26"/>
      <c r="CM129" s="26"/>
      <c r="CN129" s="26"/>
      <c r="CO129" s="26"/>
      <c r="CP129" s="26"/>
      <c r="CQ129" s="26"/>
      <c r="CR129" s="26"/>
      <c r="CS129" s="26"/>
      <c r="CT129" s="26"/>
      <c r="CU129" s="26"/>
      <c r="CV129" s="26"/>
      <c r="CW129" s="26"/>
      <c r="CX129" s="26"/>
      <c r="CY129" s="26"/>
      <c r="CZ129" s="26"/>
      <c r="DA129" s="26"/>
      <c r="DB129" s="26"/>
      <c r="DC129" s="26"/>
    </row>
    <row r="130" spans="1:107" s="29" customFormat="1" ht="15" customHeight="1" x14ac:dyDescent="0.25">
      <c r="A130" s="32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  <c r="BL130" s="26"/>
      <c r="BM130" s="26"/>
      <c r="BN130" s="26"/>
      <c r="BO130" s="26"/>
      <c r="BP130" s="26"/>
      <c r="BQ130" s="26"/>
      <c r="BR130" s="26"/>
      <c r="BS130" s="26"/>
      <c r="BT130" s="26"/>
      <c r="BU130" s="26"/>
      <c r="BV130" s="26"/>
      <c r="BW130" s="26"/>
      <c r="BX130" s="26"/>
      <c r="BY130" s="26"/>
      <c r="BZ130" s="26"/>
      <c r="CA130" s="26"/>
      <c r="CB130" s="26"/>
      <c r="CC130" s="26"/>
      <c r="CD130" s="26"/>
      <c r="CE130" s="26"/>
      <c r="CF130" s="26"/>
      <c r="CG130" s="26"/>
      <c r="CH130" s="26"/>
      <c r="CI130" s="26"/>
      <c r="CJ130" s="26"/>
      <c r="CK130" s="26"/>
      <c r="CL130" s="26"/>
      <c r="CM130" s="26"/>
      <c r="CN130" s="26"/>
      <c r="CO130" s="26"/>
      <c r="CP130" s="26"/>
      <c r="CQ130" s="26"/>
      <c r="CR130" s="26"/>
      <c r="CS130" s="26"/>
      <c r="CT130" s="26"/>
      <c r="CU130" s="26"/>
      <c r="CV130" s="26"/>
      <c r="CW130" s="26"/>
      <c r="CX130" s="26"/>
      <c r="CY130" s="26"/>
      <c r="CZ130" s="26"/>
      <c r="DA130" s="26"/>
      <c r="DB130" s="26"/>
      <c r="DC130" s="26"/>
    </row>
    <row r="131" spans="1:107" s="29" customFormat="1" ht="15" customHeight="1" x14ac:dyDescent="0.25">
      <c r="A131" s="32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  <c r="BJ131" s="26"/>
      <c r="BK131" s="26"/>
      <c r="BL131" s="26"/>
      <c r="BM131" s="26"/>
      <c r="BN131" s="26"/>
      <c r="BO131" s="26"/>
      <c r="BP131" s="26"/>
      <c r="BQ131" s="26"/>
      <c r="BR131" s="26"/>
      <c r="BS131" s="26"/>
      <c r="BT131" s="26"/>
      <c r="BU131" s="26"/>
      <c r="BV131" s="26"/>
      <c r="BW131" s="26"/>
      <c r="BX131" s="26"/>
      <c r="BY131" s="26"/>
      <c r="BZ131" s="26"/>
      <c r="CA131" s="26"/>
      <c r="CB131" s="26"/>
      <c r="CC131" s="26"/>
      <c r="CD131" s="26"/>
      <c r="CE131" s="26"/>
      <c r="CF131" s="26"/>
      <c r="CG131" s="26"/>
      <c r="CH131" s="26"/>
      <c r="CI131" s="26"/>
      <c r="CJ131" s="26"/>
      <c r="CK131" s="26"/>
      <c r="CL131" s="26"/>
      <c r="CM131" s="26"/>
      <c r="CN131" s="26"/>
      <c r="CO131" s="26"/>
      <c r="CP131" s="26"/>
      <c r="CQ131" s="26"/>
      <c r="CR131" s="26"/>
      <c r="CS131" s="26"/>
      <c r="CT131" s="26"/>
      <c r="CU131" s="26"/>
      <c r="CV131" s="26"/>
      <c r="CW131" s="26"/>
      <c r="CX131" s="26"/>
      <c r="CY131" s="26"/>
      <c r="CZ131" s="26"/>
      <c r="DA131" s="26"/>
      <c r="DB131" s="26"/>
      <c r="DC131" s="26"/>
    </row>
    <row r="132" spans="1:107" s="29" customFormat="1" ht="15" customHeight="1" x14ac:dyDescent="0.25">
      <c r="A132" s="32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26"/>
      <c r="BK132" s="26"/>
      <c r="BL132" s="26"/>
      <c r="BM132" s="26"/>
      <c r="BN132" s="26"/>
      <c r="BO132" s="26"/>
      <c r="BP132" s="26"/>
      <c r="BQ132" s="26"/>
      <c r="BR132" s="26"/>
      <c r="BS132" s="26"/>
      <c r="BT132" s="26"/>
      <c r="BU132" s="26"/>
      <c r="BV132" s="26"/>
      <c r="BW132" s="26"/>
      <c r="BX132" s="26"/>
      <c r="BY132" s="26"/>
      <c r="BZ132" s="26"/>
      <c r="CA132" s="26"/>
      <c r="CB132" s="26"/>
      <c r="CC132" s="26"/>
      <c r="CD132" s="26"/>
      <c r="CE132" s="26"/>
      <c r="CF132" s="26"/>
      <c r="CG132" s="26"/>
      <c r="CH132" s="26"/>
      <c r="CI132" s="26"/>
      <c r="CJ132" s="26"/>
      <c r="CK132" s="26"/>
      <c r="CL132" s="26"/>
      <c r="CM132" s="26"/>
      <c r="CN132" s="26"/>
      <c r="CO132" s="26"/>
      <c r="CP132" s="26"/>
      <c r="CQ132" s="26"/>
      <c r="CR132" s="26"/>
      <c r="CS132" s="26"/>
      <c r="CT132" s="26"/>
      <c r="CU132" s="26"/>
      <c r="CV132" s="26"/>
      <c r="CW132" s="26"/>
      <c r="CX132" s="26"/>
      <c r="CY132" s="26"/>
      <c r="CZ132" s="26"/>
      <c r="DA132" s="26"/>
      <c r="DB132" s="26"/>
      <c r="DC132" s="26"/>
    </row>
    <row r="133" spans="1:107" s="29" customFormat="1" ht="15" customHeight="1" x14ac:dyDescent="0.25">
      <c r="A133" s="32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26"/>
      <c r="BK133" s="26"/>
      <c r="BL133" s="26"/>
      <c r="BM133" s="26"/>
      <c r="BN133" s="26"/>
      <c r="BO133" s="26"/>
      <c r="BP133" s="26"/>
      <c r="BQ133" s="26"/>
      <c r="BR133" s="26"/>
      <c r="BS133" s="26"/>
      <c r="BT133" s="26"/>
      <c r="BU133" s="26"/>
      <c r="BV133" s="26"/>
      <c r="BW133" s="26"/>
      <c r="BX133" s="26"/>
      <c r="BY133" s="26"/>
      <c r="BZ133" s="26"/>
      <c r="CA133" s="26"/>
      <c r="CB133" s="26"/>
      <c r="CC133" s="26"/>
      <c r="CD133" s="26"/>
      <c r="CE133" s="26"/>
      <c r="CF133" s="26"/>
      <c r="CG133" s="26"/>
      <c r="CH133" s="26"/>
      <c r="CI133" s="26"/>
      <c r="CJ133" s="26"/>
      <c r="CK133" s="26"/>
      <c r="CL133" s="26"/>
      <c r="CM133" s="26"/>
      <c r="CN133" s="26"/>
      <c r="CO133" s="26"/>
      <c r="CP133" s="26"/>
      <c r="CQ133" s="26"/>
      <c r="CR133" s="26"/>
      <c r="CS133" s="26"/>
      <c r="CT133" s="26"/>
      <c r="CU133" s="26"/>
      <c r="CV133" s="26"/>
      <c r="CW133" s="26"/>
      <c r="CX133" s="26"/>
      <c r="CY133" s="26"/>
      <c r="CZ133" s="26"/>
      <c r="DA133" s="26"/>
      <c r="DB133" s="26"/>
      <c r="DC133" s="26"/>
    </row>
    <row r="134" spans="1:107" s="29" customFormat="1" ht="15" customHeight="1" x14ac:dyDescent="0.25">
      <c r="A134" s="32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  <c r="BI134" s="26"/>
      <c r="BJ134" s="26"/>
      <c r="BK134" s="26"/>
      <c r="BL134" s="26"/>
      <c r="BM134" s="26"/>
      <c r="BN134" s="26"/>
      <c r="BO134" s="26"/>
      <c r="BP134" s="26"/>
      <c r="BQ134" s="26"/>
      <c r="BR134" s="26"/>
      <c r="BS134" s="26"/>
      <c r="BT134" s="26"/>
      <c r="BU134" s="26"/>
      <c r="BV134" s="26"/>
      <c r="BW134" s="26"/>
      <c r="BX134" s="26"/>
      <c r="BY134" s="26"/>
      <c r="BZ134" s="26"/>
      <c r="CA134" s="26"/>
      <c r="CB134" s="26"/>
      <c r="CC134" s="26"/>
      <c r="CD134" s="26"/>
      <c r="CE134" s="26"/>
      <c r="CF134" s="26"/>
      <c r="CG134" s="26"/>
      <c r="CH134" s="26"/>
      <c r="CI134" s="26"/>
      <c r="CJ134" s="26"/>
      <c r="CK134" s="26"/>
      <c r="CL134" s="26"/>
      <c r="CM134" s="26"/>
      <c r="CN134" s="26"/>
      <c r="CO134" s="26"/>
      <c r="CP134" s="26"/>
      <c r="CQ134" s="26"/>
      <c r="CR134" s="26"/>
      <c r="CS134" s="26"/>
      <c r="CT134" s="26"/>
      <c r="CU134" s="26"/>
      <c r="CV134" s="26"/>
      <c r="CW134" s="26"/>
      <c r="CX134" s="26"/>
      <c r="CY134" s="26"/>
      <c r="CZ134" s="26"/>
      <c r="DA134" s="26"/>
      <c r="DB134" s="26"/>
      <c r="DC134" s="26"/>
    </row>
    <row r="135" spans="1:107" s="29" customFormat="1" ht="15" customHeight="1" x14ac:dyDescent="0.25">
      <c r="A135" s="32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  <c r="BI135" s="26"/>
      <c r="BJ135" s="26"/>
      <c r="BK135" s="26"/>
      <c r="BL135" s="26"/>
      <c r="BM135" s="26"/>
      <c r="BN135" s="26"/>
      <c r="BO135" s="26"/>
      <c r="BP135" s="26"/>
      <c r="BQ135" s="26"/>
      <c r="BR135" s="26"/>
      <c r="BS135" s="26"/>
      <c r="BT135" s="26"/>
      <c r="BU135" s="26"/>
      <c r="BV135" s="26"/>
      <c r="BW135" s="26"/>
      <c r="BX135" s="26"/>
      <c r="BY135" s="26"/>
      <c r="BZ135" s="26"/>
      <c r="CA135" s="26"/>
      <c r="CB135" s="26"/>
      <c r="CC135" s="26"/>
      <c r="CD135" s="26"/>
      <c r="CE135" s="26"/>
      <c r="CF135" s="26"/>
      <c r="CG135" s="26"/>
      <c r="CH135" s="26"/>
      <c r="CI135" s="26"/>
      <c r="CJ135" s="26"/>
      <c r="CK135" s="26"/>
      <c r="CL135" s="26"/>
      <c r="CM135" s="26"/>
      <c r="CN135" s="26"/>
      <c r="CO135" s="26"/>
      <c r="CP135" s="26"/>
      <c r="CQ135" s="26"/>
      <c r="CR135" s="26"/>
      <c r="CS135" s="26"/>
      <c r="CT135" s="26"/>
      <c r="CU135" s="26"/>
      <c r="CV135" s="26"/>
      <c r="CW135" s="26"/>
      <c r="CX135" s="26"/>
      <c r="CY135" s="26"/>
      <c r="CZ135" s="26"/>
      <c r="DA135" s="26"/>
      <c r="DB135" s="26"/>
      <c r="DC135" s="26"/>
    </row>
    <row r="136" spans="1:107" s="29" customFormat="1" ht="15" customHeight="1" x14ac:dyDescent="0.25">
      <c r="A136" s="32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26"/>
      <c r="BJ136" s="26"/>
      <c r="BK136" s="26"/>
      <c r="BL136" s="26"/>
      <c r="BM136" s="26"/>
      <c r="BN136" s="26"/>
      <c r="BO136" s="26"/>
      <c r="BP136" s="26"/>
      <c r="BQ136" s="26"/>
      <c r="BR136" s="26"/>
      <c r="BS136" s="26"/>
      <c r="BT136" s="26"/>
      <c r="BU136" s="26"/>
      <c r="BV136" s="26"/>
      <c r="BW136" s="26"/>
      <c r="BX136" s="26"/>
      <c r="BY136" s="26"/>
      <c r="BZ136" s="26"/>
      <c r="CA136" s="26"/>
      <c r="CB136" s="26"/>
      <c r="CC136" s="26"/>
      <c r="CD136" s="26"/>
      <c r="CE136" s="26"/>
      <c r="CF136" s="26"/>
      <c r="CG136" s="26"/>
      <c r="CH136" s="26"/>
      <c r="CI136" s="26"/>
      <c r="CJ136" s="26"/>
      <c r="CK136" s="26"/>
      <c r="CL136" s="26"/>
      <c r="CM136" s="26"/>
      <c r="CN136" s="26"/>
      <c r="CO136" s="26"/>
      <c r="CP136" s="26"/>
      <c r="CQ136" s="26"/>
      <c r="CR136" s="26"/>
      <c r="CS136" s="26"/>
      <c r="CT136" s="26"/>
      <c r="CU136" s="26"/>
      <c r="CV136" s="26"/>
      <c r="CW136" s="26"/>
      <c r="CX136" s="26"/>
      <c r="CY136" s="26"/>
      <c r="CZ136" s="26"/>
      <c r="DA136" s="26"/>
      <c r="DB136" s="26"/>
      <c r="DC136" s="26"/>
    </row>
    <row r="137" spans="1:107" s="29" customFormat="1" ht="15" customHeight="1" x14ac:dyDescent="0.25">
      <c r="A137" s="32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26"/>
      <c r="BK137" s="26"/>
      <c r="BL137" s="26"/>
      <c r="BM137" s="26"/>
      <c r="BN137" s="26"/>
      <c r="BO137" s="26"/>
      <c r="BP137" s="26"/>
      <c r="BQ137" s="26"/>
      <c r="BR137" s="26"/>
      <c r="BS137" s="26"/>
      <c r="BT137" s="26"/>
      <c r="BU137" s="26"/>
      <c r="BV137" s="26"/>
      <c r="BW137" s="26"/>
      <c r="BX137" s="26"/>
      <c r="BY137" s="26"/>
      <c r="BZ137" s="26"/>
      <c r="CA137" s="26"/>
      <c r="CB137" s="26"/>
      <c r="CC137" s="26"/>
      <c r="CD137" s="26"/>
      <c r="CE137" s="26"/>
      <c r="CF137" s="26"/>
      <c r="CG137" s="26"/>
      <c r="CH137" s="26"/>
      <c r="CI137" s="26"/>
      <c r="CJ137" s="26"/>
      <c r="CK137" s="26"/>
      <c r="CL137" s="26"/>
      <c r="CM137" s="26"/>
      <c r="CN137" s="26"/>
      <c r="CO137" s="26"/>
      <c r="CP137" s="26"/>
      <c r="CQ137" s="26"/>
      <c r="CR137" s="26"/>
      <c r="CS137" s="26"/>
      <c r="CT137" s="26"/>
      <c r="CU137" s="26"/>
      <c r="CV137" s="26"/>
      <c r="CW137" s="26"/>
      <c r="CX137" s="26"/>
      <c r="CY137" s="26"/>
      <c r="CZ137" s="26"/>
      <c r="DA137" s="26"/>
      <c r="DB137" s="26"/>
      <c r="DC137" s="26"/>
    </row>
    <row r="138" spans="1:107" s="29" customFormat="1" ht="15" customHeight="1" x14ac:dyDescent="0.25">
      <c r="A138" s="32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  <c r="BH138" s="26"/>
      <c r="BI138" s="26"/>
      <c r="BJ138" s="26"/>
      <c r="BK138" s="26"/>
      <c r="BL138" s="26"/>
      <c r="BM138" s="26"/>
      <c r="BN138" s="26"/>
      <c r="BO138" s="26"/>
      <c r="BP138" s="26"/>
      <c r="BQ138" s="26"/>
      <c r="BR138" s="26"/>
      <c r="BS138" s="26"/>
      <c r="BT138" s="26"/>
      <c r="BU138" s="26"/>
      <c r="BV138" s="26"/>
      <c r="BW138" s="26"/>
      <c r="BX138" s="26"/>
      <c r="BY138" s="26"/>
      <c r="BZ138" s="26"/>
      <c r="CA138" s="26"/>
      <c r="CB138" s="26"/>
      <c r="CC138" s="26"/>
      <c r="CD138" s="26"/>
      <c r="CE138" s="26"/>
      <c r="CF138" s="26"/>
      <c r="CG138" s="26"/>
      <c r="CH138" s="26"/>
      <c r="CI138" s="26"/>
      <c r="CJ138" s="26"/>
      <c r="CK138" s="26"/>
      <c r="CL138" s="26"/>
      <c r="CM138" s="26"/>
      <c r="CN138" s="26"/>
      <c r="CO138" s="26"/>
      <c r="CP138" s="26"/>
      <c r="CQ138" s="26"/>
      <c r="CR138" s="26"/>
      <c r="CS138" s="26"/>
      <c r="CT138" s="26"/>
      <c r="CU138" s="26"/>
      <c r="CV138" s="26"/>
      <c r="CW138" s="26"/>
      <c r="CX138" s="26"/>
      <c r="CY138" s="26"/>
      <c r="CZ138" s="26"/>
      <c r="DA138" s="26"/>
      <c r="DB138" s="26"/>
      <c r="DC138" s="26"/>
    </row>
    <row r="139" spans="1:107" s="29" customFormat="1" ht="15" customHeight="1" x14ac:dyDescent="0.25">
      <c r="A139" s="32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  <c r="BJ139" s="26"/>
      <c r="BK139" s="26"/>
      <c r="BL139" s="26"/>
      <c r="BM139" s="26"/>
      <c r="BN139" s="26"/>
      <c r="BO139" s="26"/>
      <c r="BP139" s="26"/>
      <c r="BQ139" s="26"/>
      <c r="BR139" s="26"/>
      <c r="BS139" s="26"/>
      <c r="BT139" s="26"/>
      <c r="BU139" s="26"/>
      <c r="BV139" s="26"/>
      <c r="BW139" s="26"/>
      <c r="BX139" s="26"/>
      <c r="BY139" s="26"/>
      <c r="BZ139" s="26"/>
      <c r="CA139" s="26"/>
      <c r="CB139" s="26"/>
      <c r="CC139" s="26"/>
      <c r="CD139" s="26"/>
      <c r="CE139" s="26"/>
      <c r="CF139" s="26"/>
      <c r="CG139" s="26"/>
      <c r="CH139" s="26"/>
      <c r="CI139" s="26"/>
      <c r="CJ139" s="26"/>
      <c r="CK139" s="26"/>
      <c r="CL139" s="26"/>
      <c r="CM139" s="26"/>
      <c r="CN139" s="26"/>
      <c r="CO139" s="26"/>
      <c r="CP139" s="26"/>
      <c r="CQ139" s="26"/>
      <c r="CR139" s="26"/>
      <c r="CS139" s="26"/>
      <c r="CT139" s="26"/>
      <c r="CU139" s="26"/>
      <c r="CV139" s="26"/>
      <c r="CW139" s="26"/>
      <c r="CX139" s="26"/>
      <c r="CY139" s="26"/>
      <c r="CZ139" s="26"/>
      <c r="DA139" s="26"/>
      <c r="DB139" s="26"/>
      <c r="DC139" s="26"/>
    </row>
    <row r="140" spans="1:107" s="29" customFormat="1" ht="15" customHeight="1" x14ac:dyDescent="0.25">
      <c r="A140" s="32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  <c r="BH140" s="26"/>
      <c r="BI140" s="26"/>
      <c r="BJ140" s="26"/>
      <c r="BK140" s="26"/>
      <c r="BL140" s="26"/>
      <c r="BM140" s="26"/>
      <c r="BN140" s="26"/>
      <c r="BO140" s="26"/>
      <c r="BP140" s="26"/>
      <c r="BQ140" s="26"/>
      <c r="BR140" s="26"/>
      <c r="BS140" s="26"/>
      <c r="BT140" s="26"/>
      <c r="BU140" s="26"/>
      <c r="BV140" s="26"/>
      <c r="BW140" s="26"/>
      <c r="BX140" s="26"/>
      <c r="BY140" s="26"/>
      <c r="BZ140" s="26"/>
      <c r="CA140" s="26"/>
      <c r="CB140" s="26"/>
      <c r="CC140" s="26"/>
      <c r="CD140" s="26"/>
      <c r="CE140" s="26"/>
      <c r="CF140" s="26"/>
      <c r="CG140" s="26"/>
      <c r="CH140" s="26"/>
      <c r="CI140" s="26"/>
      <c r="CJ140" s="26"/>
      <c r="CK140" s="26"/>
      <c r="CL140" s="26"/>
      <c r="CM140" s="26"/>
      <c r="CN140" s="26"/>
      <c r="CO140" s="26"/>
      <c r="CP140" s="26"/>
      <c r="CQ140" s="26"/>
      <c r="CR140" s="26"/>
      <c r="CS140" s="26"/>
      <c r="CT140" s="26"/>
      <c r="CU140" s="26"/>
      <c r="CV140" s="26"/>
      <c r="CW140" s="26"/>
      <c r="CX140" s="26"/>
      <c r="CY140" s="26"/>
      <c r="CZ140" s="26"/>
      <c r="DA140" s="26"/>
      <c r="DB140" s="26"/>
      <c r="DC140" s="26"/>
    </row>
    <row r="141" spans="1:107" s="29" customFormat="1" ht="15" customHeight="1" x14ac:dyDescent="0.25">
      <c r="A141" s="32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  <c r="BH141" s="26"/>
      <c r="BI141" s="26"/>
      <c r="BJ141" s="26"/>
      <c r="BK141" s="26"/>
      <c r="BL141" s="26"/>
      <c r="BM141" s="26"/>
      <c r="BN141" s="26"/>
      <c r="BO141" s="26"/>
      <c r="BP141" s="26"/>
      <c r="BQ141" s="26"/>
      <c r="BR141" s="26"/>
      <c r="BS141" s="26"/>
      <c r="BT141" s="26"/>
      <c r="BU141" s="26"/>
      <c r="BV141" s="26"/>
      <c r="BW141" s="26"/>
      <c r="BX141" s="26"/>
      <c r="BY141" s="26"/>
      <c r="BZ141" s="26"/>
      <c r="CA141" s="26"/>
      <c r="CB141" s="26"/>
      <c r="CC141" s="26"/>
      <c r="CD141" s="26"/>
      <c r="CE141" s="26"/>
      <c r="CF141" s="26"/>
      <c r="CG141" s="26"/>
      <c r="CH141" s="26"/>
      <c r="CI141" s="26"/>
      <c r="CJ141" s="26"/>
      <c r="CK141" s="26"/>
      <c r="CL141" s="26"/>
      <c r="CM141" s="26"/>
      <c r="CN141" s="26"/>
      <c r="CO141" s="26"/>
      <c r="CP141" s="26"/>
      <c r="CQ141" s="26"/>
      <c r="CR141" s="26"/>
      <c r="CS141" s="26"/>
      <c r="CT141" s="26"/>
      <c r="CU141" s="26"/>
      <c r="CV141" s="26"/>
      <c r="CW141" s="26"/>
      <c r="CX141" s="26"/>
      <c r="CY141" s="26"/>
      <c r="CZ141" s="26"/>
      <c r="DA141" s="26"/>
      <c r="DB141" s="26"/>
      <c r="DC141" s="26"/>
    </row>
    <row r="142" spans="1:107" s="29" customFormat="1" ht="15" customHeight="1" x14ac:dyDescent="0.25">
      <c r="A142" s="32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26"/>
      <c r="BJ142" s="26"/>
      <c r="BK142" s="26"/>
      <c r="BL142" s="26"/>
      <c r="BM142" s="26"/>
      <c r="BN142" s="26"/>
      <c r="BO142" s="26"/>
      <c r="BP142" s="26"/>
      <c r="BQ142" s="26"/>
      <c r="BR142" s="26"/>
      <c r="BS142" s="26"/>
      <c r="BT142" s="26"/>
      <c r="BU142" s="26"/>
      <c r="BV142" s="26"/>
      <c r="BW142" s="26"/>
      <c r="BX142" s="26"/>
      <c r="BY142" s="26"/>
      <c r="BZ142" s="26"/>
      <c r="CA142" s="26"/>
      <c r="CB142" s="26"/>
      <c r="CC142" s="26"/>
      <c r="CD142" s="26"/>
      <c r="CE142" s="26"/>
      <c r="CF142" s="26"/>
      <c r="CG142" s="26"/>
      <c r="CH142" s="26"/>
      <c r="CI142" s="26"/>
      <c r="CJ142" s="26"/>
      <c r="CK142" s="26"/>
      <c r="CL142" s="26"/>
      <c r="CM142" s="26"/>
      <c r="CN142" s="26"/>
      <c r="CO142" s="26"/>
      <c r="CP142" s="26"/>
      <c r="CQ142" s="26"/>
      <c r="CR142" s="26"/>
      <c r="CS142" s="26"/>
      <c r="CT142" s="26"/>
      <c r="CU142" s="26"/>
      <c r="CV142" s="26"/>
      <c r="CW142" s="26"/>
      <c r="CX142" s="26"/>
      <c r="CY142" s="26"/>
      <c r="CZ142" s="26"/>
      <c r="DA142" s="26"/>
      <c r="DB142" s="26"/>
      <c r="DC142" s="26"/>
    </row>
    <row r="143" spans="1:107" s="29" customFormat="1" ht="15" customHeight="1" x14ac:dyDescent="0.25">
      <c r="A143" s="32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</row>
    <row r="144" spans="1:107" s="29" customFormat="1" ht="15" customHeight="1" x14ac:dyDescent="0.25">
      <c r="A144" s="32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</row>
    <row r="145" spans="1:24" s="29" customFormat="1" ht="15" customHeight="1" x14ac:dyDescent="0.25">
      <c r="A145" s="32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</row>
    <row r="146" spans="1:24" ht="15" customHeight="1" x14ac:dyDescent="0.25"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31"/>
      <c r="Q146" s="31"/>
      <c r="R146" s="31"/>
      <c r="S146" s="31"/>
      <c r="T146" s="31"/>
      <c r="U146" s="31"/>
      <c r="V146" s="31"/>
      <c r="W146" s="31"/>
      <c r="X146" s="31"/>
    </row>
    <row r="147" spans="1:24" ht="15" customHeight="1" x14ac:dyDescent="0.25"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31"/>
      <c r="Q147" s="31"/>
      <c r="R147" s="31"/>
      <c r="S147" s="31"/>
      <c r="T147" s="31"/>
      <c r="U147" s="31"/>
      <c r="V147" s="31"/>
      <c r="W147" s="31"/>
      <c r="X147" s="31"/>
    </row>
    <row r="148" spans="1:24" ht="15" customHeight="1" x14ac:dyDescent="0.25"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31"/>
      <c r="Q148" s="31"/>
      <c r="R148" s="31"/>
      <c r="S148" s="31"/>
      <c r="T148" s="31"/>
      <c r="U148" s="31"/>
      <c r="V148" s="31"/>
      <c r="W148" s="31"/>
      <c r="X148" s="31"/>
    </row>
    <row r="149" spans="1:24" ht="15" customHeight="1" x14ac:dyDescent="0.25"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31"/>
      <c r="Q149" s="31"/>
      <c r="R149" s="31"/>
      <c r="S149" s="31"/>
      <c r="T149" s="31"/>
      <c r="U149" s="31"/>
      <c r="V149" s="31"/>
      <c r="W149" s="31"/>
      <c r="X149" s="31"/>
    </row>
  </sheetData>
  <mergeCells count="4">
    <mergeCell ref="A1:A2"/>
    <mergeCell ref="B1:O1"/>
    <mergeCell ref="B2:O2"/>
    <mergeCell ref="F9:J9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D4AF37"/>
  </sheetPr>
  <dimension ref="A1:BP150"/>
  <sheetViews>
    <sheetView showGridLines="0" zoomScaleNormal="100" workbookViewId="0">
      <selection activeCell="H15" sqref="H15"/>
    </sheetView>
  </sheetViews>
  <sheetFormatPr baseColWidth="10" defaultColWidth="9.140625" defaultRowHeight="15" x14ac:dyDescent="0.25"/>
  <cols>
    <col min="1" max="1" width="11.28515625" style="32" customWidth="1"/>
    <col min="2" max="2" width="34" style="3" customWidth="1"/>
    <col min="3" max="15" width="12" style="3" customWidth="1"/>
    <col min="16" max="68" width="9.140625" style="29"/>
  </cols>
  <sheetData>
    <row r="1" spans="1:68" ht="31.5" customHeight="1" x14ac:dyDescent="0.25">
      <c r="A1" s="78"/>
      <c r="B1" s="73" t="s">
        <v>161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28"/>
      <c r="Q1" s="28"/>
      <c r="R1" s="28"/>
      <c r="S1" s="28"/>
      <c r="T1" s="28"/>
      <c r="U1" s="28"/>
      <c r="V1" s="28"/>
      <c r="W1" s="28"/>
      <c r="X1" s="28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</row>
    <row r="2" spans="1:68" ht="25.5" customHeight="1" x14ac:dyDescent="0.25">
      <c r="A2" s="78"/>
      <c r="B2" s="74" t="s">
        <v>162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28"/>
      <c r="Q2" s="28"/>
      <c r="R2" s="28"/>
      <c r="S2" s="28"/>
      <c r="T2" s="28"/>
      <c r="U2" s="28"/>
      <c r="V2" s="28"/>
      <c r="W2" s="28"/>
      <c r="X2" s="28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</row>
    <row r="3" spans="1:68" ht="19.5" customHeight="1" x14ac:dyDescent="0.25">
      <c r="B3" s="2" t="s">
        <v>163</v>
      </c>
      <c r="C3" s="2" t="s">
        <v>31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  <c r="I3" s="2" t="s">
        <v>37</v>
      </c>
      <c r="J3" s="2" t="s">
        <v>38</v>
      </c>
      <c r="K3" s="2" t="s">
        <v>39</v>
      </c>
      <c r="L3" s="2" t="s">
        <v>40</v>
      </c>
      <c r="M3" s="2" t="s">
        <v>41</v>
      </c>
      <c r="N3" s="2" t="s">
        <v>42</v>
      </c>
      <c r="O3" s="2" t="s">
        <v>75</v>
      </c>
      <c r="P3" s="28"/>
      <c r="Q3" s="28"/>
      <c r="R3" s="28"/>
      <c r="S3" s="28"/>
      <c r="T3" s="28"/>
      <c r="U3" s="28"/>
      <c r="V3" s="28"/>
      <c r="W3" s="28"/>
      <c r="X3" s="28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</row>
    <row r="4" spans="1:68" ht="19.5" customHeight="1" x14ac:dyDescent="0.25">
      <c r="B4" s="45" t="s">
        <v>164</v>
      </c>
      <c r="C4" s="49">
        <f>Supuestos!$C$10</f>
        <v>9000000</v>
      </c>
      <c r="D4" s="39">
        <v>0</v>
      </c>
      <c r="E4" s="39">
        <v>0</v>
      </c>
      <c r="F4" s="39">
        <v>0</v>
      </c>
      <c r="G4" s="39">
        <v>0</v>
      </c>
      <c r="H4" s="39">
        <v>0</v>
      </c>
      <c r="I4" s="39">
        <v>0</v>
      </c>
      <c r="J4" s="39">
        <v>0</v>
      </c>
      <c r="K4" s="39">
        <v>0</v>
      </c>
      <c r="L4" s="39">
        <v>0</v>
      </c>
      <c r="M4" s="39">
        <v>0</v>
      </c>
      <c r="N4" s="39">
        <v>0</v>
      </c>
      <c r="O4" s="15">
        <f>SUM(C4:N4)</f>
        <v>9000000</v>
      </c>
      <c r="P4" s="28"/>
      <c r="Q4" s="28"/>
      <c r="R4" s="28"/>
      <c r="S4" s="28"/>
      <c r="T4" s="28"/>
      <c r="U4" s="28"/>
      <c r="V4" s="28"/>
      <c r="W4" s="28"/>
      <c r="X4" s="28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</row>
    <row r="5" spans="1:68" ht="19.5" customHeight="1" x14ac:dyDescent="0.25">
      <c r="B5" s="45" t="s">
        <v>165</v>
      </c>
      <c r="C5" s="39">
        <v>0</v>
      </c>
      <c r="D5" s="39">
        <v>0</v>
      </c>
      <c r="E5" s="39">
        <v>0</v>
      </c>
      <c r="F5" s="39">
        <v>0</v>
      </c>
      <c r="G5" s="39">
        <v>0</v>
      </c>
      <c r="H5" s="39">
        <v>0</v>
      </c>
      <c r="I5" s="39">
        <v>0</v>
      </c>
      <c r="J5" s="39">
        <v>0</v>
      </c>
      <c r="K5" s="39">
        <v>0</v>
      </c>
      <c r="L5" s="39">
        <v>0</v>
      </c>
      <c r="M5" s="39">
        <v>0</v>
      </c>
      <c r="N5" s="39">
        <v>0</v>
      </c>
      <c r="O5" s="15">
        <f>SUM(C5:N5)</f>
        <v>0</v>
      </c>
      <c r="P5" s="28"/>
      <c r="Q5" s="28"/>
      <c r="R5" s="28"/>
      <c r="S5" s="28"/>
      <c r="T5" s="28"/>
      <c r="U5" s="28"/>
      <c r="V5" s="28"/>
      <c r="W5" s="28"/>
      <c r="X5" s="28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</row>
    <row r="6" spans="1:68" ht="19.5" customHeight="1" x14ac:dyDescent="0.25">
      <c r="B6" s="45" t="s">
        <v>166</v>
      </c>
      <c r="C6" s="39">
        <v>0</v>
      </c>
      <c r="D6" s="39">
        <v>0</v>
      </c>
      <c r="E6" s="39">
        <v>0</v>
      </c>
      <c r="F6" s="39">
        <v>0</v>
      </c>
      <c r="G6" s="39">
        <v>0</v>
      </c>
      <c r="H6" s="39">
        <v>0</v>
      </c>
      <c r="I6" s="39">
        <v>0</v>
      </c>
      <c r="J6" s="39">
        <v>0</v>
      </c>
      <c r="K6" s="39">
        <v>0</v>
      </c>
      <c r="L6" s="39">
        <v>0</v>
      </c>
      <c r="M6" s="39">
        <v>0</v>
      </c>
      <c r="N6" s="39">
        <v>0</v>
      </c>
      <c r="O6" s="15">
        <f>SUM(C6:N6)</f>
        <v>0</v>
      </c>
      <c r="P6" s="28"/>
      <c r="Q6" s="28"/>
      <c r="R6" s="28"/>
      <c r="S6" s="28"/>
      <c r="T6" s="28"/>
      <c r="U6" s="28"/>
      <c r="V6" s="28"/>
      <c r="W6" s="28"/>
      <c r="X6" s="28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</row>
    <row r="7" spans="1:68" ht="19.5" customHeight="1" x14ac:dyDescent="0.25">
      <c r="B7" s="45" t="s">
        <v>167</v>
      </c>
      <c r="C7" s="39">
        <v>0</v>
      </c>
      <c r="D7" s="39">
        <v>0</v>
      </c>
      <c r="E7" s="39">
        <v>0</v>
      </c>
      <c r="F7" s="39">
        <v>0</v>
      </c>
      <c r="G7" s="39">
        <v>0</v>
      </c>
      <c r="H7" s="39">
        <v>0</v>
      </c>
      <c r="I7" s="39">
        <v>0</v>
      </c>
      <c r="J7" s="39">
        <v>0</v>
      </c>
      <c r="K7" s="39">
        <v>0</v>
      </c>
      <c r="L7" s="39">
        <v>0</v>
      </c>
      <c r="M7" s="39">
        <v>0</v>
      </c>
      <c r="N7" s="39">
        <v>0</v>
      </c>
      <c r="O7" s="15">
        <f>SUM(C7:N7)</f>
        <v>0</v>
      </c>
      <c r="P7" s="28"/>
      <c r="Q7" s="28"/>
      <c r="R7" s="28"/>
      <c r="S7" s="28"/>
      <c r="T7" s="28"/>
      <c r="U7" s="28"/>
      <c r="V7" s="28"/>
      <c r="W7" s="28"/>
      <c r="X7" s="28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</row>
    <row r="8" spans="1:68" ht="19.5" customHeight="1" x14ac:dyDescent="0.25">
      <c r="B8" s="45" t="s">
        <v>168</v>
      </c>
      <c r="C8" s="39">
        <v>0</v>
      </c>
      <c r="D8" s="39">
        <v>0</v>
      </c>
      <c r="E8" s="39">
        <v>0</v>
      </c>
      <c r="F8" s="39">
        <v>0</v>
      </c>
      <c r="G8" s="39">
        <v>0</v>
      </c>
      <c r="H8" s="39">
        <v>0</v>
      </c>
      <c r="I8" s="39">
        <v>0</v>
      </c>
      <c r="J8" s="39">
        <v>0</v>
      </c>
      <c r="K8" s="39">
        <v>0</v>
      </c>
      <c r="L8" s="39">
        <v>0</v>
      </c>
      <c r="M8" s="39">
        <v>0</v>
      </c>
      <c r="N8" s="39">
        <v>0</v>
      </c>
      <c r="O8" s="15">
        <f>SUM(C8:N8)</f>
        <v>0</v>
      </c>
      <c r="P8" s="28"/>
      <c r="Q8" s="28"/>
      <c r="R8" s="28"/>
      <c r="S8" s="28"/>
      <c r="T8" s="28"/>
      <c r="U8" s="28"/>
      <c r="V8" s="28"/>
      <c r="W8" s="28"/>
      <c r="X8" s="28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</row>
    <row r="9" spans="1:68" s="29" customFormat="1" ht="19.5" customHeight="1" x14ac:dyDescent="0.25">
      <c r="A9" s="32"/>
      <c r="B9" s="28"/>
      <c r="C9" s="28"/>
      <c r="D9" s="28"/>
      <c r="E9" s="87" t="s">
        <v>235</v>
      </c>
      <c r="F9" s="87"/>
      <c r="G9" s="87"/>
      <c r="H9" s="87"/>
      <c r="I9" s="87"/>
      <c r="J9" s="87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</row>
    <row r="10" spans="1:68" ht="19.5" customHeight="1" x14ac:dyDescent="0.25">
      <c r="B10" s="1" t="s">
        <v>169</v>
      </c>
      <c r="C10" s="16">
        <f t="shared" ref="C10:O10" si="0">C4+C5+C6-C7+C8</f>
        <v>9000000</v>
      </c>
      <c r="D10" s="16">
        <f t="shared" si="0"/>
        <v>0</v>
      </c>
      <c r="E10" s="16">
        <f t="shared" si="0"/>
        <v>0</v>
      </c>
      <c r="F10" s="16">
        <f t="shared" si="0"/>
        <v>0</v>
      </c>
      <c r="G10" s="16">
        <f t="shared" si="0"/>
        <v>0</v>
      </c>
      <c r="H10" s="16">
        <f t="shared" si="0"/>
        <v>0</v>
      </c>
      <c r="I10" s="16">
        <f t="shared" si="0"/>
        <v>0</v>
      </c>
      <c r="J10" s="16">
        <f t="shared" si="0"/>
        <v>0</v>
      </c>
      <c r="K10" s="16">
        <f t="shared" si="0"/>
        <v>0</v>
      </c>
      <c r="L10" s="16">
        <f t="shared" si="0"/>
        <v>0</v>
      </c>
      <c r="M10" s="16">
        <f t="shared" si="0"/>
        <v>0</v>
      </c>
      <c r="N10" s="16">
        <f t="shared" si="0"/>
        <v>0</v>
      </c>
      <c r="O10" s="16">
        <f t="shared" si="0"/>
        <v>9000000</v>
      </c>
      <c r="P10" s="28"/>
      <c r="Q10" s="28"/>
      <c r="R10" s="28"/>
      <c r="S10" s="28"/>
      <c r="T10" s="28"/>
      <c r="U10" s="28"/>
      <c r="V10" s="28"/>
      <c r="W10" s="28"/>
      <c r="X10" s="28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</row>
    <row r="11" spans="1:68" s="29" customFormat="1" ht="19.5" customHeight="1" x14ac:dyDescent="0.25">
      <c r="A11" s="32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</row>
    <row r="12" spans="1:68" s="29" customFormat="1" ht="19.5" customHeight="1" x14ac:dyDescent="0.25">
      <c r="A12" s="32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</row>
    <row r="13" spans="1:68" s="29" customFormat="1" ht="19.5" customHeight="1" x14ac:dyDescent="0.25">
      <c r="A13" s="32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</row>
    <row r="14" spans="1:68" s="29" customFormat="1" ht="19.5" customHeight="1" x14ac:dyDescent="0.25">
      <c r="A14" s="32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</row>
    <row r="15" spans="1:68" s="29" customFormat="1" ht="19.5" customHeight="1" x14ac:dyDescent="0.25">
      <c r="A15" s="32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</row>
    <row r="16" spans="1:68" s="29" customFormat="1" ht="19.5" customHeight="1" x14ac:dyDescent="0.25">
      <c r="A16" s="32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</row>
    <row r="17" spans="1:68" s="29" customFormat="1" ht="19.5" customHeight="1" x14ac:dyDescent="0.25">
      <c r="A17" s="32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</row>
    <row r="18" spans="1:68" s="29" customFormat="1" ht="19.5" customHeight="1" x14ac:dyDescent="0.25">
      <c r="A18" s="32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</row>
    <row r="19" spans="1:68" s="29" customFormat="1" ht="19.5" customHeight="1" x14ac:dyDescent="0.25">
      <c r="A19" s="32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</row>
    <row r="20" spans="1:68" s="29" customFormat="1" ht="19.5" customHeight="1" x14ac:dyDescent="0.25">
      <c r="A20" s="32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</row>
    <row r="21" spans="1:68" s="29" customFormat="1" ht="19.5" customHeight="1" x14ac:dyDescent="0.25">
      <c r="A21" s="32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</row>
    <row r="22" spans="1:68" s="29" customFormat="1" ht="19.5" customHeight="1" x14ac:dyDescent="0.25">
      <c r="A22" s="32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</row>
    <row r="23" spans="1:68" s="29" customFormat="1" ht="19.5" customHeight="1" x14ac:dyDescent="0.25">
      <c r="A23" s="32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</row>
    <row r="24" spans="1:68" s="29" customFormat="1" ht="19.5" customHeight="1" x14ac:dyDescent="0.25">
      <c r="A24" s="32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</row>
    <row r="25" spans="1:68" s="29" customFormat="1" ht="19.5" customHeight="1" x14ac:dyDescent="0.25">
      <c r="A25" s="32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</row>
    <row r="26" spans="1:68" s="29" customFormat="1" ht="19.5" customHeight="1" x14ac:dyDescent="0.25">
      <c r="A26" s="32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</row>
    <row r="27" spans="1:68" s="29" customFormat="1" ht="19.5" customHeight="1" x14ac:dyDescent="0.25">
      <c r="A27" s="32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</row>
    <row r="28" spans="1:68" s="29" customFormat="1" ht="19.5" customHeight="1" x14ac:dyDescent="0.25">
      <c r="A28" s="32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</row>
    <row r="29" spans="1:68" s="29" customFormat="1" ht="19.5" customHeight="1" x14ac:dyDescent="0.25">
      <c r="A29" s="32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</row>
    <row r="30" spans="1:68" s="29" customFormat="1" ht="19.5" customHeight="1" x14ac:dyDescent="0.25">
      <c r="A30" s="32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</row>
    <row r="31" spans="1:68" s="29" customFormat="1" ht="19.5" customHeight="1" x14ac:dyDescent="0.25">
      <c r="A31" s="32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</row>
    <row r="32" spans="1:68" s="29" customFormat="1" ht="19.5" customHeight="1" x14ac:dyDescent="0.25">
      <c r="A32" s="32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</row>
    <row r="33" spans="1:68" s="29" customFormat="1" ht="19.5" customHeight="1" x14ac:dyDescent="0.25">
      <c r="A33" s="32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</row>
    <row r="34" spans="1:68" s="29" customFormat="1" ht="19.5" customHeight="1" x14ac:dyDescent="0.25">
      <c r="A34" s="32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</row>
    <row r="35" spans="1:68" s="29" customFormat="1" ht="19.5" customHeight="1" x14ac:dyDescent="0.25">
      <c r="A35" s="32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</row>
    <row r="36" spans="1:68" s="29" customFormat="1" ht="19.5" customHeight="1" x14ac:dyDescent="0.25">
      <c r="A36" s="32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</row>
    <row r="37" spans="1:68" s="29" customFormat="1" ht="19.5" customHeight="1" x14ac:dyDescent="0.25">
      <c r="A37" s="32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</row>
    <row r="38" spans="1:68" s="29" customFormat="1" ht="19.5" customHeight="1" x14ac:dyDescent="0.25">
      <c r="A38" s="32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</row>
    <row r="39" spans="1:68" s="29" customFormat="1" ht="19.5" customHeight="1" x14ac:dyDescent="0.25">
      <c r="A39" s="32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</row>
    <row r="40" spans="1:68" s="29" customFormat="1" ht="19.5" customHeight="1" x14ac:dyDescent="0.25">
      <c r="A40" s="32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</row>
    <row r="41" spans="1:68" s="29" customFormat="1" ht="19.5" customHeight="1" x14ac:dyDescent="0.25">
      <c r="A41" s="32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</row>
    <row r="42" spans="1:68" s="29" customFormat="1" ht="19.5" customHeight="1" x14ac:dyDescent="0.25">
      <c r="A42" s="32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</row>
    <row r="43" spans="1:68" s="29" customFormat="1" ht="19.5" customHeight="1" x14ac:dyDescent="0.25">
      <c r="A43" s="32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</row>
    <row r="44" spans="1:68" s="29" customFormat="1" ht="19.5" customHeight="1" x14ac:dyDescent="0.25">
      <c r="A44" s="32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</row>
    <row r="45" spans="1:68" s="29" customFormat="1" ht="19.5" customHeight="1" x14ac:dyDescent="0.25">
      <c r="A45" s="32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</row>
    <row r="46" spans="1:68" s="29" customFormat="1" ht="19.5" customHeight="1" x14ac:dyDescent="0.25">
      <c r="A46" s="32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</row>
    <row r="47" spans="1:68" s="29" customFormat="1" ht="19.5" customHeight="1" x14ac:dyDescent="0.25">
      <c r="A47" s="32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</row>
    <row r="48" spans="1:68" s="29" customFormat="1" ht="19.5" customHeight="1" x14ac:dyDescent="0.25">
      <c r="A48" s="32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</row>
    <row r="49" spans="1:68" s="29" customFormat="1" ht="19.5" customHeight="1" x14ac:dyDescent="0.25">
      <c r="A49" s="32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</row>
    <row r="50" spans="1:68" s="29" customFormat="1" ht="19.5" customHeight="1" x14ac:dyDescent="0.25">
      <c r="A50" s="32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</row>
    <row r="51" spans="1:68" s="29" customFormat="1" ht="19.5" customHeight="1" x14ac:dyDescent="0.25">
      <c r="A51" s="32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</row>
    <row r="52" spans="1:68" s="29" customFormat="1" ht="19.5" customHeight="1" x14ac:dyDescent="0.25">
      <c r="A52" s="32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</row>
    <row r="53" spans="1:68" s="29" customFormat="1" ht="19.5" customHeight="1" x14ac:dyDescent="0.25">
      <c r="A53" s="32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</row>
    <row r="54" spans="1:68" s="29" customFormat="1" ht="19.5" customHeight="1" x14ac:dyDescent="0.25">
      <c r="A54" s="32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</row>
    <row r="55" spans="1:68" s="29" customFormat="1" ht="19.5" customHeight="1" x14ac:dyDescent="0.25">
      <c r="A55" s="32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</row>
    <row r="56" spans="1:68" s="29" customFormat="1" ht="19.5" customHeight="1" x14ac:dyDescent="0.25">
      <c r="A56" s="32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</row>
    <row r="57" spans="1:68" s="29" customFormat="1" ht="19.5" customHeight="1" x14ac:dyDescent="0.25">
      <c r="A57" s="32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</row>
    <row r="58" spans="1:68" s="29" customFormat="1" ht="19.5" customHeight="1" x14ac:dyDescent="0.25">
      <c r="A58" s="32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</row>
    <row r="59" spans="1:68" s="29" customFormat="1" ht="19.5" customHeight="1" x14ac:dyDescent="0.25">
      <c r="A59" s="32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</row>
    <row r="60" spans="1:68" s="29" customFormat="1" ht="19.5" customHeight="1" x14ac:dyDescent="0.25">
      <c r="A60" s="32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</row>
    <row r="61" spans="1:68" s="29" customFormat="1" ht="19.5" customHeight="1" x14ac:dyDescent="0.25">
      <c r="A61" s="32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</row>
    <row r="62" spans="1:68" s="29" customFormat="1" ht="19.5" customHeight="1" x14ac:dyDescent="0.25">
      <c r="A62" s="32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</row>
    <row r="63" spans="1:68" s="29" customFormat="1" ht="19.5" customHeight="1" x14ac:dyDescent="0.25">
      <c r="A63" s="32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</row>
    <row r="64" spans="1:68" s="29" customFormat="1" ht="19.5" customHeight="1" x14ac:dyDescent="0.25">
      <c r="A64" s="32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/>
      <c r="BO64" s="26"/>
      <c r="BP64" s="26"/>
    </row>
    <row r="65" spans="1:68" s="29" customFormat="1" ht="19.5" customHeight="1" x14ac:dyDescent="0.25">
      <c r="A65" s="32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</row>
    <row r="66" spans="1:68" s="29" customFormat="1" ht="19.5" customHeight="1" x14ac:dyDescent="0.25">
      <c r="A66" s="32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</row>
    <row r="67" spans="1:68" s="29" customFormat="1" ht="19.5" customHeight="1" x14ac:dyDescent="0.25">
      <c r="A67" s="32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</row>
    <row r="68" spans="1:68" s="29" customFormat="1" ht="19.5" customHeight="1" x14ac:dyDescent="0.25">
      <c r="A68" s="32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</row>
    <row r="69" spans="1:68" s="29" customFormat="1" ht="19.5" customHeight="1" x14ac:dyDescent="0.25">
      <c r="A69" s="32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</row>
    <row r="70" spans="1:68" s="29" customFormat="1" ht="19.5" customHeight="1" x14ac:dyDescent="0.25">
      <c r="A70" s="32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  <c r="BL70" s="26"/>
      <c r="BM70" s="26"/>
      <c r="BN70" s="26"/>
      <c r="BO70" s="26"/>
      <c r="BP70" s="26"/>
    </row>
    <row r="71" spans="1:68" s="29" customFormat="1" ht="19.5" customHeight="1" x14ac:dyDescent="0.25">
      <c r="A71" s="32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</row>
    <row r="72" spans="1:68" s="29" customFormat="1" ht="19.5" customHeight="1" x14ac:dyDescent="0.25">
      <c r="A72" s="32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</row>
    <row r="73" spans="1:68" s="29" customFormat="1" ht="19.5" customHeight="1" x14ac:dyDescent="0.25">
      <c r="A73" s="32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</row>
    <row r="74" spans="1:68" s="29" customFormat="1" ht="19.5" customHeight="1" x14ac:dyDescent="0.25">
      <c r="A74" s="32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</row>
    <row r="75" spans="1:68" s="29" customFormat="1" ht="19.5" customHeight="1" x14ac:dyDescent="0.25">
      <c r="A75" s="32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</row>
    <row r="76" spans="1:68" s="29" customFormat="1" ht="19.5" customHeight="1" x14ac:dyDescent="0.25">
      <c r="A76" s="32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</row>
    <row r="77" spans="1:68" s="29" customFormat="1" ht="19.5" customHeight="1" x14ac:dyDescent="0.25">
      <c r="A77" s="32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26"/>
      <c r="BM77" s="26"/>
      <c r="BN77" s="26"/>
      <c r="BO77" s="26"/>
      <c r="BP77" s="26"/>
    </row>
    <row r="78" spans="1:68" s="29" customFormat="1" ht="19.5" customHeight="1" x14ac:dyDescent="0.25">
      <c r="A78" s="32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  <c r="BL78" s="26"/>
      <c r="BM78" s="26"/>
      <c r="BN78" s="26"/>
      <c r="BO78" s="26"/>
      <c r="BP78" s="26"/>
    </row>
    <row r="79" spans="1:68" s="29" customFormat="1" ht="19.5" customHeight="1" x14ac:dyDescent="0.25">
      <c r="A79" s="32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</row>
    <row r="80" spans="1:68" s="29" customFormat="1" ht="19.5" customHeight="1" x14ac:dyDescent="0.25">
      <c r="A80" s="32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</row>
    <row r="81" spans="1:68" s="29" customFormat="1" ht="19.5" customHeight="1" x14ac:dyDescent="0.25">
      <c r="A81" s="32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</row>
    <row r="82" spans="1:68" s="29" customFormat="1" ht="19.5" customHeight="1" x14ac:dyDescent="0.25">
      <c r="A82" s="32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</row>
    <row r="83" spans="1:68" s="29" customFormat="1" ht="19.5" customHeight="1" x14ac:dyDescent="0.25">
      <c r="A83" s="32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</row>
    <row r="84" spans="1:68" s="29" customFormat="1" ht="19.5" customHeight="1" x14ac:dyDescent="0.25">
      <c r="A84" s="32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26"/>
      <c r="BK84" s="26"/>
      <c r="BL84" s="26"/>
      <c r="BM84" s="26"/>
      <c r="BN84" s="26"/>
      <c r="BO84" s="26"/>
      <c r="BP84" s="26"/>
    </row>
    <row r="85" spans="1:68" s="29" customFormat="1" ht="19.5" customHeight="1" x14ac:dyDescent="0.25">
      <c r="A85" s="32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</row>
    <row r="86" spans="1:68" s="29" customFormat="1" ht="19.5" customHeight="1" x14ac:dyDescent="0.25">
      <c r="A86" s="32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</row>
    <row r="87" spans="1:68" s="29" customFormat="1" ht="19.5" customHeight="1" x14ac:dyDescent="0.25">
      <c r="A87" s="32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</row>
    <row r="88" spans="1:68" s="29" customFormat="1" ht="19.5" customHeight="1" x14ac:dyDescent="0.25">
      <c r="A88" s="32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  <c r="BL88" s="26"/>
      <c r="BM88" s="26"/>
      <c r="BN88" s="26"/>
      <c r="BO88" s="26"/>
      <c r="BP88" s="26"/>
    </row>
    <row r="89" spans="1:68" s="29" customFormat="1" ht="15" customHeight="1" x14ac:dyDescent="0.25">
      <c r="A89" s="32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</row>
    <row r="90" spans="1:68" s="29" customFormat="1" ht="15" customHeight="1" x14ac:dyDescent="0.25">
      <c r="A90" s="32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</row>
    <row r="91" spans="1:68" s="29" customFormat="1" ht="15" customHeight="1" x14ac:dyDescent="0.25">
      <c r="A91" s="32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</row>
    <row r="92" spans="1:68" s="29" customFormat="1" ht="15" customHeight="1" x14ac:dyDescent="0.25">
      <c r="A92" s="32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</row>
    <row r="93" spans="1:68" s="29" customFormat="1" ht="15" customHeight="1" x14ac:dyDescent="0.25">
      <c r="A93" s="32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</row>
    <row r="94" spans="1:68" s="29" customFormat="1" ht="15" customHeight="1" x14ac:dyDescent="0.25">
      <c r="A94" s="32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</row>
    <row r="95" spans="1:68" s="29" customFormat="1" ht="15" customHeight="1" x14ac:dyDescent="0.25">
      <c r="A95" s="32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</row>
    <row r="96" spans="1:68" s="29" customFormat="1" ht="15" customHeight="1" x14ac:dyDescent="0.25">
      <c r="A96" s="32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26"/>
      <c r="BK96" s="26"/>
      <c r="BL96" s="26"/>
      <c r="BM96" s="26"/>
      <c r="BN96" s="26"/>
      <c r="BO96" s="26"/>
      <c r="BP96" s="26"/>
    </row>
    <row r="97" spans="1:68" s="29" customFormat="1" ht="15" customHeight="1" x14ac:dyDescent="0.25">
      <c r="A97" s="32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</row>
    <row r="98" spans="1:68" s="29" customFormat="1" ht="15" customHeight="1" x14ac:dyDescent="0.25">
      <c r="A98" s="32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</row>
    <row r="99" spans="1:68" s="29" customFormat="1" ht="15" customHeight="1" x14ac:dyDescent="0.25">
      <c r="A99" s="32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</row>
    <row r="100" spans="1:68" s="29" customFormat="1" ht="15" customHeight="1" x14ac:dyDescent="0.25">
      <c r="A100" s="32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</row>
    <row r="101" spans="1:68" s="29" customFormat="1" ht="15" customHeight="1" x14ac:dyDescent="0.25">
      <c r="A101" s="32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</row>
    <row r="102" spans="1:68" s="29" customFormat="1" ht="15" customHeight="1" x14ac:dyDescent="0.25">
      <c r="A102" s="32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</row>
    <row r="103" spans="1:68" s="29" customFormat="1" ht="15" customHeight="1" x14ac:dyDescent="0.25">
      <c r="A103" s="32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</row>
    <row r="104" spans="1:68" s="29" customFormat="1" ht="15" customHeight="1" x14ac:dyDescent="0.25">
      <c r="A104" s="32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</row>
    <row r="105" spans="1:68" s="29" customFormat="1" ht="15" customHeight="1" x14ac:dyDescent="0.25">
      <c r="A105" s="32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</row>
    <row r="106" spans="1:68" s="29" customFormat="1" ht="15" customHeight="1" x14ac:dyDescent="0.25">
      <c r="A106" s="32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</row>
    <row r="107" spans="1:68" s="29" customFormat="1" ht="15" customHeight="1" x14ac:dyDescent="0.25">
      <c r="A107" s="32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</row>
    <row r="108" spans="1:68" s="29" customFormat="1" ht="15" customHeight="1" x14ac:dyDescent="0.25">
      <c r="A108" s="32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</row>
    <row r="109" spans="1:68" s="29" customFormat="1" ht="15" customHeight="1" x14ac:dyDescent="0.25">
      <c r="A109" s="32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26"/>
      <c r="BO109" s="26"/>
      <c r="BP109" s="26"/>
    </row>
    <row r="110" spans="1:68" s="29" customFormat="1" ht="15" customHeight="1" x14ac:dyDescent="0.25">
      <c r="A110" s="32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</row>
    <row r="111" spans="1:68" s="29" customFormat="1" ht="15" customHeight="1" x14ac:dyDescent="0.25">
      <c r="A111" s="32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</row>
    <row r="112" spans="1:68" s="29" customFormat="1" ht="15" customHeight="1" x14ac:dyDescent="0.25">
      <c r="A112" s="32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</row>
    <row r="113" spans="1:68" s="29" customFormat="1" ht="15" customHeight="1" x14ac:dyDescent="0.25">
      <c r="A113" s="32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</row>
    <row r="114" spans="1:68" s="29" customFormat="1" ht="15" customHeight="1" x14ac:dyDescent="0.25">
      <c r="A114" s="32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</row>
    <row r="115" spans="1:68" s="29" customFormat="1" ht="15" customHeight="1" x14ac:dyDescent="0.25">
      <c r="A115" s="32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  <c r="BK115" s="26"/>
      <c r="BL115" s="26"/>
      <c r="BM115" s="26"/>
      <c r="BN115" s="26"/>
      <c r="BO115" s="26"/>
      <c r="BP115" s="26"/>
    </row>
    <row r="116" spans="1:68" s="29" customFormat="1" ht="15" customHeight="1" x14ac:dyDescent="0.25">
      <c r="A116" s="32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26"/>
      <c r="BO116" s="26"/>
      <c r="BP116" s="26"/>
    </row>
    <row r="117" spans="1:68" s="29" customFormat="1" ht="15" customHeight="1" x14ac:dyDescent="0.25">
      <c r="A117" s="32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26"/>
      <c r="BK117" s="26"/>
      <c r="BL117" s="26"/>
      <c r="BM117" s="26"/>
      <c r="BN117" s="26"/>
      <c r="BO117" s="26"/>
      <c r="BP117" s="26"/>
    </row>
    <row r="118" spans="1:68" s="29" customFormat="1" ht="15" customHeight="1" x14ac:dyDescent="0.25">
      <c r="A118" s="32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  <c r="BL118" s="26"/>
      <c r="BM118" s="26"/>
      <c r="BN118" s="26"/>
      <c r="BO118" s="26"/>
      <c r="BP118" s="26"/>
    </row>
    <row r="119" spans="1:68" s="29" customFormat="1" ht="15" customHeight="1" x14ac:dyDescent="0.25">
      <c r="A119" s="32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26"/>
      <c r="BK119" s="26"/>
      <c r="BL119" s="26"/>
      <c r="BM119" s="26"/>
      <c r="BN119" s="26"/>
      <c r="BO119" s="26"/>
      <c r="BP119" s="26"/>
    </row>
    <row r="120" spans="1:68" s="29" customFormat="1" ht="15" customHeight="1" x14ac:dyDescent="0.25">
      <c r="A120" s="32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  <c r="BL120" s="26"/>
      <c r="BM120" s="26"/>
      <c r="BN120" s="26"/>
      <c r="BO120" s="26"/>
      <c r="BP120" s="26"/>
    </row>
    <row r="121" spans="1:68" s="29" customFormat="1" ht="15" customHeight="1" x14ac:dyDescent="0.25">
      <c r="A121" s="32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  <c r="BK121" s="26"/>
      <c r="BL121" s="26"/>
      <c r="BM121" s="26"/>
      <c r="BN121" s="26"/>
      <c r="BO121" s="26"/>
      <c r="BP121" s="26"/>
    </row>
    <row r="122" spans="1:68" s="29" customFormat="1" ht="15" customHeight="1" x14ac:dyDescent="0.25">
      <c r="A122" s="32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  <c r="BL122" s="26"/>
      <c r="BM122" s="26"/>
      <c r="BN122" s="26"/>
      <c r="BO122" s="26"/>
      <c r="BP122" s="26"/>
    </row>
    <row r="123" spans="1:68" s="29" customFormat="1" ht="15" customHeight="1" x14ac:dyDescent="0.25">
      <c r="A123" s="32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  <c r="BM123" s="26"/>
      <c r="BN123" s="26"/>
      <c r="BO123" s="26"/>
      <c r="BP123" s="26"/>
    </row>
    <row r="124" spans="1:68" s="29" customFormat="1" ht="15" customHeight="1" x14ac:dyDescent="0.25">
      <c r="A124" s="32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26"/>
      <c r="BK124" s="26"/>
      <c r="BL124" s="26"/>
      <c r="BM124" s="26"/>
      <c r="BN124" s="26"/>
      <c r="BO124" s="26"/>
      <c r="BP124" s="26"/>
    </row>
    <row r="125" spans="1:68" s="29" customFormat="1" ht="15" customHeight="1" x14ac:dyDescent="0.25">
      <c r="A125" s="32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26"/>
      <c r="BK125" s="26"/>
      <c r="BL125" s="26"/>
      <c r="BM125" s="26"/>
      <c r="BN125" s="26"/>
      <c r="BO125" s="26"/>
      <c r="BP125" s="26"/>
    </row>
    <row r="126" spans="1:68" s="29" customFormat="1" ht="15" customHeight="1" x14ac:dyDescent="0.25">
      <c r="A126" s="32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  <c r="BK126" s="26"/>
      <c r="BL126" s="26"/>
      <c r="BM126" s="26"/>
      <c r="BN126" s="26"/>
      <c r="BO126" s="26"/>
      <c r="BP126" s="26"/>
    </row>
    <row r="127" spans="1:68" s="29" customFormat="1" ht="15" customHeight="1" x14ac:dyDescent="0.25">
      <c r="A127" s="32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26"/>
      <c r="BK127" s="26"/>
      <c r="BL127" s="26"/>
      <c r="BM127" s="26"/>
      <c r="BN127" s="26"/>
      <c r="BO127" s="26"/>
      <c r="BP127" s="26"/>
    </row>
    <row r="128" spans="1:68" s="29" customFormat="1" ht="15" customHeight="1" x14ac:dyDescent="0.25">
      <c r="A128" s="32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26"/>
      <c r="BK128" s="26"/>
      <c r="BL128" s="26"/>
      <c r="BM128" s="26"/>
      <c r="BN128" s="26"/>
      <c r="BO128" s="26"/>
      <c r="BP128" s="26"/>
    </row>
    <row r="129" spans="1:68" s="29" customFormat="1" ht="15" customHeight="1" x14ac:dyDescent="0.25">
      <c r="A129" s="32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  <c r="BJ129" s="26"/>
      <c r="BK129" s="26"/>
      <c r="BL129" s="26"/>
      <c r="BM129" s="26"/>
      <c r="BN129" s="26"/>
      <c r="BO129" s="26"/>
      <c r="BP129" s="26"/>
    </row>
    <row r="130" spans="1:68" s="29" customFormat="1" ht="15" customHeight="1" x14ac:dyDescent="0.25">
      <c r="A130" s="32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  <c r="BL130" s="26"/>
      <c r="BM130" s="26"/>
      <c r="BN130" s="26"/>
      <c r="BO130" s="26"/>
      <c r="BP130" s="26"/>
    </row>
    <row r="131" spans="1:68" s="29" customFormat="1" ht="15" customHeight="1" x14ac:dyDescent="0.25">
      <c r="A131" s="32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  <c r="BJ131" s="26"/>
      <c r="BK131" s="26"/>
      <c r="BL131" s="26"/>
      <c r="BM131" s="26"/>
      <c r="BN131" s="26"/>
      <c r="BO131" s="26"/>
      <c r="BP131" s="26"/>
    </row>
    <row r="132" spans="1:68" s="29" customFormat="1" ht="15" customHeight="1" x14ac:dyDescent="0.25">
      <c r="A132" s="32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26"/>
      <c r="BK132" s="26"/>
      <c r="BL132" s="26"/>
      <c r="BM132" s="26"/>
      <c r="BN132" s="26"/>
      <c r="BO132" s="26"/>
      <c r="BP132" s="26"/>
    </row>
    <row r="133" spans="1:68" s="29" customFormat="1" ht="15" customHeight="1" x14ac:dyDescent="0.25">
      <c r="A133" s="32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26"/>
      <c r="BK133" s="26"/>
      <c r="BL133" s="26"/>
      <c r="BM133" s="26"/>
      <c r="BN133" s="26"/>
      <c r="BO133" s="26"/>
      <c r="BP133" s="26"/>
    </row>
    <row r="134" spans="1:68" s="29" customFormat="1" ht="15" customHeight="1" x14ac:dyDescent="0.25">
      <c r="A134" s="32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  <c r="BI134" s="26"/>
      <c r="BJ134" s="26"/>
      <c r="BK134" s="26"/>
      <c r="BL134" s="26"/>
      <c r="BM134" s="26"/>
      <c r="BN134" s="26"/>
      <c r="BO134" s="26"/>
      <c r="BP134" s="26"/>
    </row>
    <row r="135" spans="1:68" s="29" customFormat="1" ht="15" customHeight="1" x14ac:dyDescent="0.25">
      <c r="A135" s="32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  <c r="BI135" s="26"/>
      <c r="BJ135" s="26"/>
      <c r="BK135" s="26"/>
      <c r="BL135" s="26"/>
      <c r="BM135" s="26"/>
      <c r="BN135" s="26"/>
      <c r="BO135" s="26"/>
      <c r="BP135" s="26"/>
    </row>
    <row r="136" spans="1:68" s="29" customFormat="1" ht="15" customHeight="1" x14ac:dyDescent="0.25">
      <c r="A136" s="32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26"/>
      <c r="BJ136" s="26"/>
      <c r="BK136" s="26"/>
      <c r="BL136" s="26"/>
      <c r="BM136" s="26"/>
      <c r="BN136" s="26"/>
      <c r="BO136" s="26"/>
      <c r="BP136" s="26"/>
    </row>
    <row r="137" spans="1:68" s="29" customFormat="1" ht="15" customHeight="1" x14ac:dyDescent="0.25">
      <c r="A137" s="32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26"/>
      <c r="BK137" s="26"/>
      <c r="BL137" s="26"/>
      <c r="BM137" s="26"/>
      <c r="BN137" s="26"/>
      <c r="BO137" s="26"/>
      <c r="BP137" s="26"/>
    </row>
    <row r="138" spans="1:68" s="29" customFormat="1" ht="15" customHeight="1" x14ac:dyDescent="0.25">
      <c r="A138" s="32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  <c r="BH138" s="26"/>
      <c r="BI138" s="26"/>
      <c r="BJ138" s="26"/>
      <c r="BK138" s="26"/>
      <c r="BL138" s="26"/>
      <c r="BM138" s="26"/>
      <c r="BN138" s="26"/>
      <c r="BO138" s="26"/>
      <c r="BP138" s="26"/>
    </row>
    <row r="139" spans="1:68" s="29" customFormat="1" ht="15" customHeight="1" x14ac:dyDescent="0.25">
      <c r="A139" s="32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  <c r="BJ139" s="26"/>
      <c r="BK139" s="26"/>
      <c r="BL139" s="26"/>
      <c r="BM139" s="26"/>
      <c r="BN139" s="26"/>
      <c r="BO139" s="26"/>
      <c r="BP139" s="26"/>
    </row>
    <row r="140" spans="1:68" s="29" customFormat="1" ht="15" customHeight="1" x14ac:dyDescent="0.25">
      <c r="A140" s="32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  <c r="BH140" s="26"/>
      <c r="BI140" s="26"/>
      <c r="BJ140" s="26"/>
      <c r="BK140" s="26"/>
      <c r="BL140" s="26"/>
      <c r="BM140" s="26"/>
      <c r="BN140" s="26"/>
      <c r="BO140" s="26"/>
      <c r="BP140" s="26"/>
    </row>
    <row r="141" spans="1:68" s="29" customFormat="1" ht="15" customHeight="1" x14ac:dyDescent="0.25">
      <c r="A141" s="32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  <c r="BH141" s="26"/>
      <c r="BI141" s="26"/>
      <c r="BJ141" s="26"/>
      <c r="BK141" s="26"/>
      <c r="BL141" s="26"/>
      <c r="BM141" s="26"/>
      <c r="BN141" s="26"/>
      <c r="BO141" s="26"/>
      <c r="BP141" s="26"/>
    </row>
    <row r="142" spans="1:68" s="29" customFormat="1" ht="15" customHeight="1" x14ac:dyDescent="0.25">
      <c r="A142" s="32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26"/>
      <c r="BJ142" s="26"/>
      <c r="BK142" s="26"/>
      <c r="BL142" s="26"/>
      <c r="BM142" s="26"/>
      <c r="BN142" s="26"/>
      <c r="BO142" s="26"/>
      <c r="BP142" s="26"/>
    </row>
    <row r="143" spans="1:68" s="29" customFormat="1" ht="15" customHeight="1" x14ac:dyDescent="0.25">
      <c r="A143" s="32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  <c r="BM143" s="26"/>
      <c r="BN143" s="26"/>
      <c r="BO143" s="26"/>
      <c r="BP143" s="26"/>
    </row>
    <row r="144" spans="1:68" s="29" customFormat="1" ht="15" customHeight="1" x14ac:dyDescent="0.25">
      <c r="A144" s="32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26"/>
      <c r="BK144" s="26"/>
      <c r="BL144" s="26"/>
      <c r="BM144" s="26"/>
      <c r="BN144" s="26"/>
      <c r="BO144" s="26"/>
      <c r="BP144" s="26"/>
    </row>
    <row r="145" spans="1:68" s="29" customFormat="1" ht="15" customHeight="1" x14ac:dyDescent="0.25">
      <c r="A145" s="32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  <c r="BH145" s="26"/>
      <c r="BI145" s="26"/>
      <c r="BJ145" s="26"/>
      <c r="BK145" s="26"/>
      <c r="BL145" s="26"/>
      <c r="BM145" s="26"/>
      <c r="BN145" s="26"/>
      <c r="BO145" s="26"/>
      <c r="BP145" s="26"/>
    </row>
    <row r="146" spans="1:68" s="29" customFormat="1" ht="15" customHeight="1" x14ac:dyDescent="0.25">
      <c r="A146" s="32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  <c r="BH146" s="26"/>
      <c r="BI146" s="26"/>
      <c r="BJ146" s="26"/>
      <c r="BK146" s="26"/>
      <c r="BL146" s="26"/>
      <c r="BM146" s="26"/>
      <c r="BN146" s="26"/>
      <c r="BO146" s="26"/>
      <c r="BP146" s="26"/>
    </row>
    <row r="147" spans="1:68" s="29" customFormat="1" ht="15" customHeight="1" x14ac:dyDescent="0.25">
      <c r="A147" s="32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  <c r="BH147" s="26"/>
      <c r="BI147" s="26"/>
      <c r="BJ147" s="26"/>
      <c r="BK147" s="26"/>
      <c r="BL147" s="26"/>
      <c r="BM147" s="26"/>
      <c r="BN147" s="26"/>
      <c r="BO147" s="26"/>
      <c r="BP147" s="26"/>
    </row>
    <row r="148" spans="1:68" s="29" customFormat="1" ht="15" customHeight="1" x14ac:dyDescent="0.25">
      <c r="A148" s="32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  <c r="BH148" s="26"/>
      <c r="BI148" s="26"/>
      <c r="BJ148" s="26"/>
      <c r="BK148" s="26"/>
      <c r="BL148" s="26"/>
      <c r="BM148" s="26"/>
      <c r="BN148" s="26"/>
      <c r="BO148" s="26"/>
      <c r="BP148" s="26"/>
    </row>
    <row r="149" spans="1:68" s="29" customFormat="1" ht="15" customHeight="1" x14ac:dyDescent="0.25">
      <c r="A149" s="32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  <c r="BH149" s="26"/>
      <c r="BI149" s="26"/>
      <c r="BJ149" s="26"/>
      <c r="BK149" s="26"/>
      <c r="BL149" s="26"/>
      <c r="BM149" s="26"/>
      <c r="BN149" s="26"/>
      <c r="BO149" s="26"/>
      <c r="BP149" s="26"/>
    </row>
    <row r="150" spans="1:68" s="29" customFormat="1" ht="15" customHeight="1" x14ac:dyDescent="0.25">
      <c r="A150" s="32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26"/>
      <c r="BH150" s="26"/>
      <c r="BI150" s="26"/>
      <c r="BJ150" s="26"/>
      <c r="BK150" s="26"/>
      <c r="BL150" s="26"/>
      <c r="BM150" s="26"/>
      <c r="BN150" s="26"/>
      <c r="BO150" s="26"/>
      <c r="BP150" s="26"/>
    </row>
  </sheetData>
  <mergeCells count="4">
    <mergeCell ref="A1:A2"/>
    <mergeCell ref="B1:O1"/>
    <mergeCell ref="B2:O2"/>
    <mergeCell ref="E9:J9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3A3677"/>
  </sheetPr>
  <dimension ref="A1:BT150"/>
  <sheetViews>
    <sheetView showGridLines="0" zoomScaleNormal="100" workbookViewId="0">
      <selection activeCell="D12" sqref="D12"/>
    </sheetView>
  </sheetViews>
  <sheetFormatPr baseColWidth="10" defaultColWidth="9.140625" defaultRowHeight="15" x14ac:dyDescent="0.25"/>
  <cols>
    <col min="1" max="1" width="12" style="32" customWidth="1"/>
    <col min="2" max="2" width="34" style="3" customWidth="1"/>
    <col min="3" max="3" width="14.5703125" style="3" customWidth="1"/>
    <col min="4" max="4" width="14.42578125" style="3" customWidth="1"/>
    <col min="5" max="5" width="13.7109375" style="3" customWidth="1"/>
    <col min="6" max="6" width="14" style="3" customWidth="1"/>
    <col min="7" max="7" width="13.7109375" style="3" customWidth="1"/>
    <col min="8" max="8" width="14.140625" style="3" customWidth="1"/>
    <col min="9" max="9" width="13.7109375" style="3" customWidth="1"/>
    <col min="10" max="10" width="14" style="3" customWidth="1"/>
    <col min="11" max="11" width="13.42578125" style="3" customWidth="1"/>
    <col min="12" max="12" width="14.140625" style="3" customWidth="1"/>
    <col min="13" max="13" width="14" style="3" customWidth="1"/>
    <col min="14" max="14" width="13.140625" style="3" customWidth="1"/>
    <col min="15" max="15" width="14.28515625" style="3" customWidth="1"/>
    <col min="16" max="72" width="9.140625" style="29"/>
  </cols>
  <sheetData>
    <row r="1" spans="1:72" ht="30" customHeight="1" x14ac:dyDescent="0.25">
      <c r="A1" s="78"/>
      <c r="B1" s="73" t="s">
        <v>170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28"/>
      <c r="Q1" s="28"/>
      <c r="R1" s="28"/>
      <c r="S1" s="28"/>
      <c r="T1" s="28"/>
      <c r="U1" s="28"/>
      <c r="V1" s="28"/>
      <c r="W1" s="28"/>
      <c r="X1" s="28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</row>
    <row r="2" spans="1:72" ht="21.75" customHeight="1" x14ac:dyDescent="0.25">
      <c r="A2" s="78"/>
      <c r="B2" s="74" t="s">
        <v>171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28"/>
      <c r="Q2" s="28"/>
      <c r="R2" s="28"/>
      <c r="S2" s="28"/>
      <c r="T2" s="28"/>
      <c r="U2" s="28"/>
      <c r="V2" s="28"/>
      <c r="W2" s="28"/>
      <c r="X2" s="28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</row>
    <row r="3" spans="1:72" s="29" customFormat="1" ht="19.5" customHeight="1" x14ac:dyDescent="0.25">
      <c r="A3" s="7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</row>
    <row r="4" spans="1:72" ht="19.5" customHeight="1" x14ac:dyDescent="0.25">
      <c r="B4" s="2" t="s">
        <v>146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37</v>
      </c>
      <c r="J4" s="2" t="s">
        <v>38</v>
      </c>
      <c r="K4" s="2" t="s">
        <v>39</v>
      </c>
      <c r="L4" s="2" t="s">
        <v>40</v>
      </c>
      <c r="M4" s="2" t="s">
        <v>41</v>
      </c>
      <c r="N4" s="2" t="s">
        <v>42</v>
      </c>
      <c r="O4" s="2" t="s">
        <v>75</v>
      </c>
      <c r="P4" s="28"/>
      <c r="Q4" s="28"/>
      <c r="R4" s="28"/>
      <c r="S4" s="28"/>
      <c r="T4" s="28"/>
      <c r="U4" s="28"/>
      <c r="V4" s="28"/>
      <c r="W4" s="28"/>
      <c r="X4" s="28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</row>
    <row r="5" spans="1:72" ht="19.5" customHeight="1" x14ac:dyDescent="0.25">
      <c r="B5" s="85" t="s">
        <v>172</v>
      </c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28"/>
      <c r="Q5" s="28"/>
      <c r="R5" s="28"/>
      <c r="S5" s="28"/>
      <c r="T5" s="28"/>
      <c r="U5" s="28"/>
      <c r="V5" s="28"/>
      <c r="W5" s="28"/>
      <c r="X5" s="28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</row>
    <row r="6" spans="1:72" ht="19.5" customHeight="1" x14ac:dyDescent="0.25">
      <c r="B6" s="53" t="s">
        <v>173</v>
      </c>
      <c r="C6" s="52">
        <f>Ventas!D$15</f>
        <v>1500000</v>
      </c>
      <c r="D6" s="52">
        <f>Ventas!E$15</f>
        <v>0</v>
      </c>
      <c r="E6" s="52">
        <f>Ventas!F$15</f>
        <v>0</v>
      </c>
      <c r="F6" s="52">
        <f>Ventas!G$15</f>
        <v>0</v>
      </c>
      <c r="G6" s="52">
        <f>Ventas!H$15</f>
        <v>0</v>
      </c>
      <c r="H6" s="52">
        <f>Ventas!I$15</f>
        <v>0</v>
      </c>
      <c r="I6" s="52">
        <f>Ventas!J$15</f>
        <v>0</v>
      </c>
      <c r="J6" s="52">
        <f>Ventas!K$15</f>
        <v>0</v>
      </c>
      <c r="K6" s="52">
        <f>Ventas!L$15</f>
        <v>0</v>
      </c>
      <c r="L6" s="52">
        <f>Ventas!M$15</f>
        <v>0</v>
      </c>
      <c r="M6" s="52">
        <f>Ventas!N$15</f>
        <v>0</v>
      </c>
      <c r="N6" s="52">
        <f>Ventas!O$15</f>
        <v>0</v>
      </c>
      <c r="O6" s="15">
        <f>SUM(C6:N6)</f>
        <v>1500000</v>
      </c>
      <c r="P6" s="28"/>
      <c r="Q6" s="28"/>
      <c r="R6" s="28"/>
      <c r="S6" s="28"/>
      <c r="T6" s="28"/>
      <c r="U6" s="28"/>
      <c r="V6" s="28"/>
      <c r="W6" s="28"/>
      <c r="X6" s="28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</row>
    <row r="7" spans="1:72" ht="19.5" customHeight="1" x14ac:dyDescent="0.25">
      <c r="B7" s="53" t="s">
        <v>174</v>
      </c>
      <c r="C7" s="52">
        <f>Financiamiento!C$10</f>
        <v>9000000</v>
      </c>
      <c r="D7" s="52">
        <f>Financiamiento!D$10</f>
        <v>0</v>
      </c>
      <c r="E7" s="52">
        <f>Financiamiento!E$10</f>
        <v>0</v>
      </c>
      <c r="F7" s="52">
        <f>Financiamiento!F$10</f>
        <v>0</v>
      </c>
      <c r="G7" s="52">
        <f>Financiamiento!G$10</f>
        <v>0</v>
      </c>
      <c r="H7" s="52">
        <f>Financiamiento!H$10</f>
        <v>0</v>
      </c>
      <c r="I7" s="52">
        <f>Financiamiento!I$10</f>
        <v>0</v>
      </c>
      <c r="J7" s="52">
        <f>Financiamiento!J$10</f>
        <v>0</v>
      </c>
      <c r="K7" s="52">
        <f>Financiamiento!K$10</f>
        <v>0</v>
      </c>
      <c r="L7" s="52">
        <f>Financiamiento!L$10</f>
        <v>0</v>
      </c>
      <c r="M7" s="52">
        <f>Financiamiento!M$10</f>
        <v>0</v>
      </c>
      <c r="N7" s="52">
        <f>Financiamiento!N$10</f>
        <v>0</v>
      </c>
      <c r="O7" s="15">
        <f>SUM(C7:N7)</f>
        <v>9000000</v>
      </c>
      <c r="P7" s="28"/>
      <c r="Q7" s="28"/>
      <c r="R7" s="28"/>
      <c r="S7" s="28"/>
      <c r="T7" s="28"/>
      <c r="U7" s="28"/>
      <c r="V7" s="28"/>
      <c r="W7" s="28"/>
      <c r="X7" s="28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</row>
    <row r="8" spans="1:72" ht="19.5" customHeight="1" x14ac:dyDescent="0.25">
      <c r="B8" s="1" t="s">
        <v>107</v>
      </c>
      <c r="C8" s="16">
        <f t="shared" ref="C8:N8" si="0">C6+C7</f>
        <v>10500000</v>
      </c>
      <c r="D8" s="16">
        <f t="shared" si="0"/>
        <v>0</v>
      </c>
      <c r="E8" s="16">
        <f t="shared" si="0"/>
        <v>0</v>
      </c>
      <c r="F8" s="16">
        <f t="shared" si="0"/>
        <v>0</v>
      </c>
      <c r="G8" s="16">
        <f t="shared" si="0"/>
        <v>0</v>
      </c>
      <c r="H8" s="16">
        <f t="shared" si="0"/>
        <v>0</v>
      </c>
      <c r="I8" s="16">
        <f t="shared" si="0"/>
        <v>0</v>
      </c>
      <c r="J8" s="16">
        <f t="shared" si="0"/>
        <v>0</v>
      </c>
      <c r="K8" s="16">
        <f t="shared" si="0"/>
        <v>0</v>
      </c>
      <c r="L8" s="16">
        <f t="shared" si="0"/>
        <v>0</v>
      </c>
      <c r="M8" s="16">
        <f t="shared" si="0"/>
        <v>0</v>
      </c>
      <c r="N8" s="16">
        <f t="shared" si="0"/>
        <v>0</v>
      </c>
      <c r="O8" s="16">
        <f>SUM(C8:N8)</f>
        <v>10500000</v>
      </c>
      <c r="P8" s="28"/>
      <c r="Q8" s="28"/>
      <c r="R8" s="28"/>
      <c r="S8" s="28"/>
      <c r="T8" s="28"/>
      <c r="U8" s="28"/>
      <c r="V8" s="28"/>
      <c r="W8" s="28"/>
      <c r="X8" s="28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</row>
    <row r="9" spans="1:72" s="29" customFormat="1" ht="19.5" customHeight="1" x14ac:dyDescent="0.25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28"/>
      <c r="Q9" s="28"/>
      <c r="R9" s="28"/>
      <c r="S9" s="28"/>
      <c r="T9" s="28"/>
      <c r="U9" s="28"/>
      <c r="V9" s="28"/>
      <c r="W9" s="28"/>
      <c r="X9" s="28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</row>
    <row r="10" spans="1:72" ht="19.5" customHeight="1" x14ac:dyDescent="0.25">
      <c r="B10" s="84" t="s">
        <v>175</v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28"/>
      <c r="Q10" s="28"/>
      <c r="R10" s="28"/>
      <c r="S10" s="28"/>
      <c r="T10" s="28"/>
      <c r="U10" s="28"/>
      <c r="V10" s="28"/>
      <c r="W10" s="28"/>
      <c r="X10" s="28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</row>
    <row r="11" spans="1:72" ht="19.5" customHeight="1" x14ac:dyDescent="0.25">
      <c r="B11" s="53" t="s">
        <v>25</v>
      </c>
      <c r="C11" s="52">
        <f>'Inversion Inicial'!E$15</f>
        <v>7150000</v>
      </c>
      <c r="D11" s="52">
        <f>'Inversion Inicial'!F$15</f>
        <v>0</v>
      </c>
      <c r="E11" s="52">
        <f>'Inversion Inicial'!G$15</f>
        <v>0</v>
      </c>
      <c r="F11" s="52">
        <f>'Inversion Inicial'!H$15</f>
        <v>0</v>
      </c>
      <c r="G11" s="52">
        <f>'Inversion Inicial'!I$15</f>
        <v>0</v>
      </c>
      <c r="H11" s="52">
        <f>'Inversion Inicial'!J$15</f>
        <v>0</v>
      </c>
      <c r="I11" s="52">
        <f>'Inversion Inicial'!K$15</f>
        <v>0</v>
      </c>
      <c r="J11" s="52">
        <f>'Inversion Inicial'!L$15</f>
        <v>0</v>
      </c>
      <c r="K11" s="52">
        <f>'Inversion Inicial'!M$15</f>
        <v>0</v>
      </c>
      <c r="L11" s="52">
        <f>'Inversion Inicial'!N$15</f>
        <v>0</v>
      </c>
      <c r="M11" s="52">
        <f>'Inversion Inicial'!O$15</f>
        <v>0</v>
      </c>
      <c r="N11" s="52">
        <f>'Inversion Inicial'!P$15</f>
        <v>0</v>
      </c>
      <c r="O11" s="15">
        <f>SUM(C11:N11)</f>
        <v>7150000</v>
      </c>
      <c r="P11" s="28"/>
      <c r="Q11" s="28"/>
      <c r="R11" s="28"/>
      <c r="S11" s="28"/>
      <c r="T11" s="28"/>
      <c r="U11" s="28"/>
      <c r="V11" s="28"/>
      <c r="W11" s="28"/>
      <c r="X11" s="28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</row>
    <row r="12" spans="1:72" ht="19.5" customHeight="1" x14ac:dyDescent="0.25">
      <c r="B12" s="53" t="s">
        <v>176</v>
      </c>
      <c r="C12" s="52">
        <f>'Costos Variables'!D$18</f>
        <v>845000</v>
      </c>
      <c r="D12" s="52">
        <f>'Costos Variables'!E$18</f>
        <v>0</v>
      </c>
      <c r="E12" s="52">
        <f>'Costos Variables'!F$18</f>
        <v>0</v>
      </c>
      <c r="F12" s="52">
        <f>'Costos Variables'!G$18</f>
        <v>0</v>
      </c>
      <c r="G12" s="52">
        <f>'Costos Variables'!H$18</f>
        <v>0</v>
      </c>
      <c r="H12" s="52">
        <f>'Costos Variables'!I$18</f>
        <v>0</v>
      </c>
      <c r="I12" s="52">
        <f>'Costos Variables'!J$18</f>
        <v>0</v>
      </c>
      <c r="J12" s="52">
        <f>'Costos Variables'!K$18</f>
        <v>0</v>
      </c>
      <c r="K12" s="52">
        <f>'Costos Variables'!L$18</f>
        <v>0</v>
      </c>
      <c r="L12" s="52">
        <f>'Costos Variables'!M$18</f>
        <v>0</v>
      </c>
      <c r="M12" s="52">
        <f>'Costos Variables'!N$18</f>
        <v>0</v>
      </c>
      <c r="N12" s="52">
        <f>'Costos Variables'!O$18</f>
        <v>0</v>
      </c>
      <c r="O12" s="15">
        <f>SUM(C12:N12)</f>
        <v>845000</v>
      </c>
      <c r="P12" s="28"/>
      <c r="Q12" s="28"/>
      <c r="R12" s="28"/>
      <c r="S12" s="28"/>
      <c r="T12" s="28"/>
      <c r="U12" s="28"/>
      <c r="V12" s="28"/>
      <c r="W12" s="28"/>
      <c r="X12" s="28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</row>
    <row r="13" spans="1:72" ht="19.5" customHeight="1" x14ac:dyDescent="0.25">
      <c r="B13" s="53" t="s">
        <v>177</v>
      </c>
      <c r="C13" s="52">
        <f>'Costos Fijos'!D$20</f>
        <v>120000</v>
      </c>
      <c r="D13" s="52">
        <f>'Costos Fijos'!E$20</f>
        <v>0</v>
      </c>
      <c r="E13" s="52">
        <f>'Costos Fijos'!F$20</f>
        <v>0</v>
      </c>
      <c r="F13" s="52">
        <f>'Costos Fijos'!G$20</f>
        <v>0</v>
      </c>
      <c r="G13" s="52">
        <f>'Costos Fijos'!H$20</f>
        <v>0</v>
      </c>
      <c r="H13" s="52">
        <f>'Costos Fijos'!I$20</f>
        <v>0</v>
      </c>
      <c r="I13" s="52">
        <f>'Costos Fijos'!J$20</f>
        <v>0</v>
      </c>
      <c r="J13" s="52">
        <f>'Costos Fijos'!K$20</f>
        <v>0</v>
      </c>
      <c r="K13" s="52">
        <f>'Costos Fijos'!L$20</f>
        <v>0</v>
      </c>
      <c r="L13" s="52">
        <f>'Costos Fijos'!M$20</f>
        <v>0</v>
      </c>
      <c r="M13" s="52">
        <f>'Costos Fijos'!N$20</f>
        <v>0</v>
      </c>
      <c r="N13" s="52">
        <f>'Costos Fijos'!O$20</f>
        <v>0</v>
      </c>
      <c r="O13" s="15">
        <f>SUM(C13:N13)</f>
        <v>120000</v>
      </c>
      <c r="P13" s="28"/>
      <c r="Q13" s="28"/>
      <c r="R13" s="28"/>
      <c r="S13" s="28"/>
      <c r="T13" s="28"/>
      <c r="U13" s="28"/>
      <c r="V13" s="28"/>
      <c r="W13" s="28"/>
      <c r="X13" s="28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</row>
    <row r="14" spans="1:72" ht="19.5" customHeight="1" x14ac:dyDescent="0.25">
      <c r="B14" s="53" t="s">
        <v>178</v>
      </c>
      <c r="C14" s="52">
        <f>Impuestos!C$10</f>
        <v>0</v>
      </c>
      <c r="D14" s="52">
        <f>Impuestos!D$10</f>
        <v>119579.83193277314</v>
      </c>
      <c r="E14" s="52">
        <f>Impuestos!E$10</f>
        <v>0</v>
      </c>
      <c r="F14" s="52">
        <f>Impuestos!F$10</f>
        <v>0</v>
      </c>
      <c r="G14" s="52">
        <f>Impuestos!G$10</f>
        <v>0</v>
      </c>
      <c r="H14" s="52">
        <f>Impuestos!H$10</f>
        <v>0</v>
      </c>
      <c r="I14" s="52">
        <f>Impuestos!I$10</f>
        <v>0</v>
      </c>
      <c r="J14" s="52">
        <f>Impuestos!J$10</f>
        <v>0</v>
      </c>
      <c r="K14" s="52">
        <f>Impuestos!K$10</f>
        <v>0</v>
      </c>
      <c r="L14" s="52">
        <f>Impuestos!L$10</f>
        <v>0</v>
      </c>
      <c r="M14" s="52">
        <f>Impuestos!M$10</f>
        <v>0</v>
      </c>
      <c r="N14" s="52">
        <f>Impuestos!N$10</f>
        <v>0</v>
      </c>
      <c r="O14" s="15">
        <f>SUM(C14:N14)</f>
        <v>119579.83193277314</v>
      </c>
      <c r="P14" s="28"/>
      <c r="Q14" s="28"/>
      <c r="R14" s="28"/>
      <c r="S14" s="28"/>
      <c r="T14" s="28"/>
      <c r="U14" s="28"/>
      <c r="V14" s="28"/>
      <c r="W14" s="28"/>
      <c r="X14" s="28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</row>
    <row r="15" spans="1:72" ht="19.5" customHeight="1" x14ac:dyDescent="0.25">
      <c r="B15" s="1" t="s">
        <v>179</v>
      </c>
      <c r="C15" s="16">
        <f t="shared" ref="C15:N15" si="1">SUM(C11:C14)</f>
        <v>8115000</v>
      </c>
      <c r="D15" s="16">
        <f t="shared" si="1"/>
        <v>119579.83193277314</v>
      </c>
      <c r="E15" s="16">
        <f t="shared" si="1"/>
        <v>0</v>
      </c>
      <c r="F15" s="16">
        <f t="shared" si="1"/>
        <v>0</v>
      </c>
      <c r="G15" s="16">
        <f t="shared" si="1"/>
        <v>0</v>
      </c>
      <c r="H15" s="16">
        <f t="shared" si="1"/>
        <v>0</v>
      </c>
      <c r="I15" s="16">
        <f t="shared" si="1"/>
        <v>0</v>
      </c>
      <c r="J15" s="16">
        <f t="shared" si="1"/>
        <v>0</v>
      </c>
      <c r="K15" s="16">
        <f t="shared" si="1"/>
        <v>0</v>
      </c>
      <c r="L15" s="16">
        <f t="shared" si="1"/>
        <v>0</v>
      </c>
      <c r="M15" s="16">
        <f t="shared" si="1"/>
        <v>0</v>
      </c>
      <c r="N15" s="16">
        <f t="shared" si="1"/>
        <v>0</v>
      </c>
      <c r="O15" s="16">
        <f>SUM(C15:N15)</f>
        <v>8234579.8319327729</v>
      </c>
      <c r="P15" s="28"/>
      <c r="Q15" s="28"/>
      <c r="R15" s="28"/>
      <c r="S15" s="28"/>
      <c r="T15" s="28"/>
      <c r="U15" s="28"/>
      <c r="V15" s="28"/>
      <c r="W15" s="28"/>
      <c r="X15" s="28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</row>
    <row r="16" spans="1:72" s="29" customFormat="1" ht="19.5" customHeight="1" x14ac:dyDescent="0.25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28"/>
      <c r="S16" s="28"/>
      <c r="T16" s="28"/>
      <c r="U16" s="28"/>
      <c r="V16" s="28"/>
      <c r="W16" s="28"/>
      <c r="X16" s="28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</row>
    <row r="17" spans="1:72" ht="19.5" customHeight="1" x14ac:dyDescent="0.25">
      <c r="B17" s="84" t="s">
        <v>180</v>
      </c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28"/>
      <c r="Q17" s="28"/>
      <c r="R17" s="28"/>
      <c r="S17" s="28"/>
      <c r="T17" s="28"/>
      <c r="U17" s="28"/>
      <c r="V17" s="28"/>
      <c r="W17" s="28"/>
      <c r="X17" s="28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</row>
    <row r="18" spans="1:72" ht="19.5" customHeight="1" x14ac:dyDescent="0.25">
      <c r="B18" s="53" t="s">
        <v>181</v>
      </c>
      <c r="C18" s="52">
        <f t="shared" ref="C18:N18" si="2">C6-SUM(C11:C14)</f>
        <v>-6615000</v>
      </c>
      <c r="D18" s="52">
        <f t="shared" si="2"/>
        <v>-119579.83193277314</v>
      </c>
      <c r="E18" s="52">
        <f t="shared" si="2"/>
        <v>0</v>
      </c>
      <c r="F18" s="52">
        <f t="shared" si="2"/>
        <v>0</v>
      </c>
      <c r="G18" s="52">
        <f t="shared" si="2"/>
        <v>0</v>
      </c>
      <c r="H18" s="52">
        <f t="shared" si="2"/>
        <v>0</v>
      </c>
      <c r="I18" s="52">
        <f t="shared" si="2"/>
        <v>0</v>
      </c>
      <c r="J18" s="52">
        <f t="shared" si="2"/>
        <v>0</v>
      </c>
      <c r="K18" s="52">
        <f t="shared" si="2"/>
        <v>0</v>
      </c>
      <c r="L18" s="52">
        <f t="shared" si="2"/>
        <v>0</v>
      </c>
      <c r="M18" s="52">
        <f t="shared" si="2"/>
        <v>0</v>
      </c>
      <c r="N18" s="52">
        <f t="shared" si="2"/>
        <v>0</v>
      </c>
      <c r="O18" s="54">
        <f>SUM(C18:N18)</f>
        <v>-6734579.8319327729</v>
      </c>
      <c r="P18" s="28"/>
      <c r="Q18" s="28"/>
      <c r="R18" s="28"/>
      <c r="S18" s="28"/>
      <c r="T18" s="28"/>
      <c r="U18" s="28"/>
      <c r="V18" s="28"/>
      <c r="W18" s="28"/>
      <c r="X18" s="28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</row>
    <row r="19" spans="1:72" ht="19.5" customHeight="1" x14ac:dyDescent="0.25">
      <c r="B19" s="1" t="s">
        <v>182</v>
      </c>
      <c r="C19" s="55">
        <f t="shared" ref="C19:N19" si="3">C8-C15</f>
        <v>2385000</v>
      </c>
      <c r="D19" s="55">
        <f t="shared" si="3"/>
        <v>-119579.83193277314</v>
      </c>
      <c r="E19" s="55">
        <f t="shared" si="3"/>
        <v>0</v>
      </c>
      <c r="F19" s="55">
        <f t="shared" si="3"/>
        <v>0</v>
      </c>
      <c r="G19" s="55">
        <f t="shared" si="3"/>
        <v>0</v>
      </c>
      <c r="H19" s="55">
        <f t="shared" si="3"/>
        <v>0</v>
      </c>
      <c r="I19" s="55">
        <f t="shared" si="3"/>
        <v>0</v>
      </c>
      <c r="J19" s="55">
        <f t="shared" si="3"/>
        <v>0</v>
      </c>
      <c r="K19" s="55">
        <f t="shared" si="3"/>
        <v>0</v>
      </c>
      <c r="L19" s="55">
        <f t="shared" si="3"/>
        <v>0</v>
      </c>
      <c r="M19" s="55">
        <f t="shared" si="3"/>
        <v>0</v>
      </c>
      <c r="N19" s="55">
        <f t="shared" si="3"/>
        <v>0</v>
      </c>
      <c r="O19" s="55">
        <f>SUM(C19:N19)</f>
        <v>2265420.1680672267</v>
      </c>
      <c r="P19" s="28"/>
      <c r="Q19" s="28"/>
      <c r="R19" s="28"/>
      <c r="S19" s="28"/>
      <c r="T19" s="28"/>
      <c r="U19" s="28"/>
      <c r="V19" s="28"/>
      <c r="W19" s="28"/>
      <c r="X19" s="28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</row>
    <row r="20" spans="1:72" ht="19.5" customHeight="1" x14ac:dyDescent="0.25">
      <c r="B20" s="53" t="s">
        <v>183</v>
      </c>
      <c r="C20" s="52">
        <v>0</v>
      </c>
      <c r="D20" s="52">
        <f t="shared" ref="D20:N20" si="4">C21</f>
        <v>2385000</v>
      </c>
      <c r="E20" s="52">
        <f t="shared" si="4"/>
        <v>2265420.1680672267</v>
      </c>
      <c r="F20" s="52">
        <f t="shared" si="4"/>
        <v>2265420.1680672267</v>
      </c>
      <c r="G20" s="52">
        <f t="shared" si="4"/>
        <v>2265420.1680672267</v>
      </c>
      <c r="H20" s="52">
        <f t="shared" si="4"/>
        <v>2265420.1680672267</v>
      </c>
      <c r="I20" s="52">
        <f t="shared" si="4"/>
        <v>2265420.1680672267</v>
      </c>
      <c r="J20" s="52">
        <f t="shared" si="4"/>
        <v>2265420.1680672267</v>
      </c>
      <c r="K20" s="52">
        <f t="shared" si="4"/>
        <v>2265420.1680672267</v>
      </c>
      <c r="L20" s="52">
        <f t="shared" si="4"/>
        <v>2265420.1680672267</v>
      </c>
      <c r="M20" s="52">
        <f t="shared" si="4"/>
        <v>2265420.1680672267</v>
      </c>
      <c r="N20" s="52">
        <f t="shared" si="4"/>
        <v>2265420.1680672267</v>
      </c>
      <c r="O20" s="54">
        <f>N20</f>
        <v>2265420.1680672267</v>
      </c>
      <c r="P20" s="28"/>
      <c r="Q20" s="28"/>
      <c r="R20" s="28"/>
      <c r="S20" s="28"/>
      <c r="T20" s="28"/>
      <c r="U20" s="28"/>
      <c r="V20" s="28"/>
      <c r="W20" s="28"/>
      <c r="X20" s="28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</row>
    <row r="21" spans="1:72" ht="19.5" customHeight="1" x14ac:dyDescent="0.25">
      <c r="B21" s="1" t="s">
        <v>30</v>
      </c>
      <c r="C21" s="55">
        <f t="shared" ref="C21:N21" si="5">C20+C19</f>
        <v>2385000</v>
      </c>
      <c r="D21" s="55">
        <f t="shared" si="5"/>
        <v>2265420.1680672267</v>
      </c>
      <c r="E21" s="55">
        <f t="shared" si="5"/>
        <v>2265420.1680672267</v>
      </c>
      <c r="F21" s="55">
        <f t="shared" si="5"/>
        <v>2265420.1680672267</v>
      </c>
      <c r="G21" s="55">
        <f t="shared" si="5"/>
        <v>2265420.1680672267</v>
      </c>
      <c r="H21" s="55">
        <f t="shared" si="5"/>
        <v>2265420.1680672267</v>
      </c>
      <c r="I21" s="55">
        <f t="shared" si="5"/>
        <v>2265420.1680672267</v>
      </c>
      <c r="J21" s="55">
        <f t="shared" si="5"/>
        <v>2265420.1680672267</v>
      </c>
      <c r="K21" s="55">
        <f t="shared" si="5"/>
        <v>2265420.1680672267</v>
      </c>
      <c r="L21" s="55">
        <f t="shared" si="5"/>
        <v>2265420.1680672267</v>
      </c>
      <c r="M21" s="55">
        <f t="shared" si="5"/>
        <v>2265420.1680672267</v>
      </c>
      <c r="N21" s="55">
        <f t="shared" si="5"/>
        <v>2265420.1680672267</v>
      </c>
      <c r="O21" s="55">
        <f>N21</f>
        <v>2265420.1680672267</v>
      </c>
      <c r="P21" s="28"/>
      <c r="Q21" s="28"/>
      <c r="R21" s="28"/>
      <c r="S21" s="28"/>
      <c r="T21" s="28"/>
      <c r="U21" s="28"/>
      <c r="V21" s="28"/>
      <c r="W21" s="28"/>
      <c r="X21" s="28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</row>
    <row r="22" spans="1:72" ht="19.5" customHeight="1" x14ac:dyDescent="0.25">
      <c r="B22" s="53" t="s">
        <v>184</v>
      </c>
      <c r="C22" s="52">
        <f>'Punto Equilibrio'!$C$10</f>
        <v>20000</v>
      </c>
      <c r="D22" s="52">
        <f>'Punto Equilibrio'!$C$10</f>
        <v>20000</v>
      </c>
      <c r="E22" s="52">
        <f>'Punto Equilibrio'!$C$10</f>
        <v>20000</v>
      </c>
      <c r="F22" s="52">
        <f>'Punto Equilibrio'!$C$10</f>
        <v>20000</v>
      </c>
      <c r="G22" s="52">
        <f>'Punto Equilibrio'!$C$10</f>
        <v>20000</v>
      </c>
      <c r="H22" s="52">
        <f>'Punto Equilibrio'!$C$10</f>
        <v>20000</v>
      </c>
      <c r="I22" s="52">
        <f>'Punto Equilibrio'!$C$10</f>
        <v>20000</v>
      </c>
      <c r="J22" s="52">
        <f>'Punto Equilibrio'!$C$10</f>
        <v>20000</v>
      </c>
      <c r="K22" s="52">
        <f>'Punto Equilibrio'!$C$10</f>
        <v>20000</v>
      </c>
      <c r="L22" s="52">
        <f>'Punto Equilibrio'!$C$10</f>
        <v>20000</v>
      </c>
      <c r="M22" s="52">
        <f>'Punto Equilibrio'!$C$10</f>
        <v>20000</v>
      </c>
      <c r="N22" s="52">
        <f>'Punto Equilibrio'!$C$10</f>
        <v>20000</v>
      </c>
      <c r="O22" s="54">
        <f>N22</f>
        <v>20000</v>
      </c>
      <c r="P22" s="28"/>
      <c r="Q22" s="28"/>
      <c r="R22" s="28"/>
      <c r="S22" s="28"/>
      <c r="T22" s="28"/>
      <c r="U22" s="28"/>
      <c r="V22" s="28"/>
      <c r="W22" s="28"/>
      <c r="X22" s="28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</row>
    <row r="23" spans="1:72" ht="19.5" customHeight="1" x14ac:dyDescent="0.25">
      <c r="B23" s="1" t="s">
        <v>185</v>
      </c>
      <c r="C23" s="55">
        <f t="shared" ref="C23:N23" si="6">C21-C22</f>
        <v>2365000</v>
      </c>
      <c r="D23" s="55">
        <f t="shared" si="6"/>
        <v>2245420.1680672267</v>
      </c>
      <c r="E23" s="55">
        <f t="shared" si="6"/>
        <v>2245420.1680672267</v>
      </c>
      <c r="F23" s="55">
        <f t="shared" si="6"/>
        <v>2245420.1680672267</v>
      </c>
      <c r="G23" s="55">
        <f t="shared" si="6"/>
        <v>2245420.1680672267</v>
      </c>
      <c r="H23" s="55">
        <f t="shared" si="6"/>
        <v>2245420.1680672267</v>
      </c>
      <c r="I23" s="55">
        <f t="shared" si="6"/>
        <v>2245420.1680672267</v>
      </c>
      <c r="J23" s="55">
        <f t="shared" si="6"/>
        <v>2245420.1680672267</v>
      </c>
      <c r="K23" s="55">
        <f t="shared" si="6"/>
        <v>2245420.1680672267</v>
      </c>
      <c r="L23" s="55">
        <f t="shared" si="6"/>
        <v>2245420.1680672267</v>
      </c>
      <c r="M23" s="55">
        <f t="shared" si="6"/>
        <v>2245420.1680672267</v>
      </c>
      <c r="N23" s="55">
        <f t="shared" si="6"/>
        <v>2245420.1680672267</v>
      </c>
      <c r="O23" s="55">
        <f>N23</f>
        <v>2245420.1680672267</v>
      </c>
      <c r="P23" s="28"/>
      <c r="Q23" s="28"/>
      <c r="R23" s="28"/>
      <c r="S23" s="28"/>
      <c r="T23" s="28"/>
      <c r="U23" s="28"/>
      <c r="V23" s="28"/>
      <c r="W23" s="28"/>
      <c r="X23" s="28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</row>
    <row r="24" spans="1:72" ht="19.5" customHeight="1" x14ac:dyDescent="0.25">
      <c r="B24" s="53" t="s">
        <v>186</v>
      </c>
      <c r="C24" s="56" t="str">
        <f t="shared" ref="C24:N24" si="7">IF(C21&lt;0,"NEGATIVO",IF(C21&lt;C22,"BAJO RESERVA","OK"))</f>
        <v>OK</v>
      </c>
      <c r="D24" s="56" t="str">
        <f t="shared" si="7"/>
        <v>OK</v>
      </c>
      <c r="E24" s="56" t="str">
        <f t="shared" si="7"/>
        <v>OK</v>
      </c>
      <c r="F24" s="56" t="str">
        <f t="shared" si="7"/>
        <v>OK</v>
      </c>
      <c r="G24" s="56" t="str">
        <f t="shared" si="7"/>
        <v>OK</v>
      </c>
      <c r="H24" s="56" t="str">
        <f t="shared" si="7"/>
        <v>OK</v>
      </c>
      <c r="I24" s="56" t="str">
        <f t="shared" si="7"/>
        <v>OK</v>
      </c>
      <c r="J24" s="56" t="str">
        <f t="shared" si="7"/>
        <v>OK</v>
      </c>
      <c r="K24" s="56" t="str">
        <f t="shared" si="7"/>
        <v>OK</v>
      </c>
      <c r="L24" s="56" t="str">
        <f t="shared" si="7"/>
        <v>OK</v>
      </c>
      <c r="M24" s="56" t="str">
        <f t="shared" si="7"/>
        <v>OK</v>
      </c>
      <c r="N24" s="56" t="str">
        <f t="shared" si="7"/>
        <v>OK</v>
      </c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</row>
    <row r="25" spans="1:72" s="29" customFormat="1" ht="19.5" customHeight="1" x14ac:dyDescent="0.25">
      <c r="A25" s="32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</row>
    <row r="26" spans="1:72" s="29" customFormat="1" ht="19.5" customHeight="1" x14ac:dyDescent="0.25">
      <c r="A26" s="32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</row>
    <row r="27" spans="1:72" s="29" customFormat="1" ht="19.5" customHeight="1" x14ac:dyDescent="0.25">
      <c r="A27" s="32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</row>
    <row r="28" spans="1:72" s="29" customFormat="1" ht="19.5" customHeight="1" x14ac:dyDescent="0.25">
      <c r="A28" s="32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</row>
    <row r="29" spans="1:72" s="29" customFormat="1" ht="19.5" customHeight="1" x14ac:dyDescent="0.25">
      <c r="A29" s="32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</row>
    <row r="30" spans="1:72" s="29" customFormat="1" ht="19.5" customHeight="1" x14ac:dyDescent="0.25">
      <c r="A30" s="32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</row>
    <row r="31" spans="1:72" s="29" customFormat="1" ht="19.5" customHeight="1" x14ac:dyDescent="0.25">
      <c r="A31" s="32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</row>
    <row r="32" spans="1:72" s="29" customFormat="1" ht="19.5" customHeight="1" x14ac:dyDescent="0.25">
      <c r="A32" s="32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</row>
    <row r="33" spans="1:72" s="29" customFormat="1" ht="19.5" customHeight="1" x14ac:dyDescent="0.25">
      <c r="A33" s="32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</row>
    <row r="34" spans="1:72" s="29" customFormat="1" ht="19.5" customHeight="1" x14ac:dyDescent="0.25">
      <c r="A34" s="32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</row>
    <row r="35" spans="1:72" s="29" customFormat="1" ht="19.5" customHeight="1" x14ac:dyDescent="0.25">
      <c r="A35" s="32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</row>
    <row r="36" spans="1:72" s="29" customFormat="1" ht="19.5" customHeight="1" x14ac:dyDescent="0.25">
      <c r="A36" s="32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</row>
    <row r="37" spans="1:72" s="29" customFormat="1" ht="19.5" customHeight="1" x14ac:dyDescent="0.25">
      <c r="A37" s="32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</row>
    <row r="38" spans="1:72" s="29" customFormat="1" ht="19.5" customHeight="1" x14ac:dyDescent="0.25">
      <c r="A38" s="32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</row>
    <row r="39" spans="1:72" s="29" customFormat="1" ht="19.5" customHeight="1" x14ac:dyDescent="0.25">
      <c r="A39" s="32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</row>
    <row r="40" spans="1:72" s="29" customFormat="1" ht="19.5" customHeight="1" x14ac:dyDescent="0.25">
      <c r="A40" s="32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</row>
    <row r="41" spans="1:72" s="29" customFormat="1" ht="19.5" customHeight="1" x14ac:dyDescent="0.25">
      <c r="A41" s="32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</row>
    <row r="42" spans="1:72" s="29" customFormat="1" ht="19.5" customHeight="1" x14ac:dyDescent="0.25">
      <c r="A42" s="32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</row>
    <row r="43" spans="1:72" s="29" customFormat="1" ht="19.5" customHeight="1" x14ac:dyDescent="0.25">
      <c r="A43" s="32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</row>
    <row r="44" spans="1:72" s="29" customFormat="1" ht="19.5" customHeight="1" x14ac:dyDescent="0.25">
      <c r="A44" s="32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</row>
    <row r="45" spans="1:72" s="29" customFormat="1" ht="19.5" customHeight="1" x14ac:dyDescent="0.25">
      <c r="A45" s="32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</row>
    <row r="46" spans="1:72" s="29" customFormat="1" ht="19.5" customHeight="1" x14ac:dyDescent="0.25">
      <c r="A46" s="32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</row>
    <row r="47" spans="1:72" s="29" customFormat="1" ht="19.5" customHeight="1" x14ac:dyDescent="0.25">
      <c r="A47" s="32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</row>
    <row r="48" spans="1:72" s="29" customFormat="1" ht="19.5" customHeight="1" x14ac:dyDescent="0.25">
      <c r="A48" s="32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</row>
    <row r="49" spans="1:72" s="29" customFormat="1" ht="19.5" customHeight="1" x14ac:dyDescent="0.25">
      <c r="A49" s="32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</row>
    <row r="50" spans="1:72" s="29" customFormat="1" ht="19.5" customHeight="1" x14ac:dyDescent="0.25">
      <c r="A50" s="32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</row>
    <row r="51" spans="1:72" s="29" customFormat="1" ht="19.5" customHeight="1" x14ac:dyDescent="0.25">
      <c r="A51" s="32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</row>
    <row r="52" spans="1:72" s="29" customFormat="1" ht="19.5" customHeight="1" x14ac:dyDescent="0.25">
      <c r="A52" s="32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</row>
    <row r="53" spans="1:72" s="29" customFormat="1" ht="19.5" customHeight="1" x14ac:dyDescent="0.25">
      <c r="A53" s="32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</row>
    <row r="54" spans="1:72" s="29" customFormat="1" ht="19.5" customHeight="1" x14ac:dyDescent="0.25">
      <c r="A54" s="32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</row>
    <row r="55" spans="1:72" s="29" customFormat="1" ht="19.5" customHeight="1" x14ac:dyDescent="0.25">
      <c r="A55" s="32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</row>
    <row r="56" spans="1:72" s="29" customFormat="1" ht="19.5" customHeight="1" x14ac:dyDescent="0.25">
      <c r="A56" s="32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</row>
    <row r="57" spans="1:72" s="29" customFormat="1" ht="19.5" customHeight="1" x14ac:dyDescent="0.25">
      <c r="A57" s="32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</row>
    <row r="58" spans="1:72" s="29" customFormat="1" ht="19.5" customHeight="1" x14ac:dyDescent="0.25">
      <c r="A58" s="32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</row>
    <row r="59" spans="1:72" s="29" customFormat="1" ht="19.5" customHeight="1" x14ac:dyDescent="0.25">
      <c r="A59" s="32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</row>
    <row r="60" spans="1:72" s="29" customFormat="1" ht="19.5" customHeight="1" x14ac:dyDescent="0.25">
      <c r="A60" s="32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</row>
    <row r="61" spans="1:72" s="29" customFormat="1" ht="19.5" customHeight="1" x14ac:dyDescent="0.25">
      <c r="A61" s="32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</row>
    <row r="62" spans="1:72" s="29" customFormat="1" ht="19.5" customHeight="1" x14ac:dyDescent="0.25">
      <c r="A62" s="32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</row>
    <row r="63" spans="1:72" s="29" customFormat="1" ht="19.5" customHeight="1" x14ac:dyDescent="0.25">
      <c r="A63" s="32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</row>
    <row r="64" spans="1:72" s="29" customFormat="1" ht="19.5" customHeight="1" x14ac:dyDescent="0.25">
      <c r="A64" s="32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/>
      <c r="BO64" s="26"/>
      <c r="BP64" s="26"/>
      <c r="BQ64" s="26"/>
      <c r="BR64" s="26"/>
      <c r="BS64" s="26"/>
      <c r="BT64" s="26"/>
    </row>
    <row r="65" spans="1:72" s="29" customFormat="1" ht="19.5" customHeight="1" x14ac:dyDescent="0.25">
      <c r="A65" s="32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</row>
    <row r="66" spans="1:72" s="29" customFormat="1" ht="19.5" customHeight="1" x14ac:dyDescent="0.25">
      <c r="A66" s="32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</row>
    <row r="67" spans="1:72" s="29" customFormat="1" ht="19.5" customHeight="1" x14ac:dyDescent="0.25">
      <c r="A67" s="32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</row>
    <row r="68" spans="1:72" s="29" customFormat="1" ht="19.5" customHeight="1" x14ac:dyDescent="0.25">
      <c r="A68" s="32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</row>
    <row r="69" spans="1:72" s="29" customFormat="1" ht="19.5" customHeight="1" x14ac:dyDescent="0.25">
      <c r="A69" s="32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</row>
    <row r="70" spans="1:72" s="29" customFormat="1" ht="19.5" customHeight="1" x14ac:dyDescent="0.25">
      <c r="A70" s="32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  <c r="BL70" s="26"/>
      <c r="BM70" s="26"/>
      <c r="BN70" s="26"/>
      <c r="BO70" s="26"/>
      <c r="BP70" s="26"/>
      <c r="BQ70" s="26"/>
      <c r="BR70" s="26"/>
      <c r="BS70" s="26"/>
      <c r="BT70" s="26"/>
    </row>
    <row r="71" spans="1:72" s="29" customFormat="1" ht="19.5" customHeight="1" x14ac:dyDescent="0.25">
      <c r="A71" s="32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</row>
    <row r="72" spans="1:72" s="29" customFormat="1" ht="19.5" customHeight="1" x14ac:dyDescent="0.25">
      <c r="A72" s="32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</row>
    <row r="73" spans="1:72" s="29" customFormat="1" ht="19.5" customHeight="1" x14ac:dyDescent="0.25">
      <c r="A73" s="32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</row>
    <row r="74" spans="1:72" s="29" customFormat="1" ht="19.5" customHeight="1" x14ac:dyDescent="0.25">
      <c r="A74" s="32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</row>
    <row r="75" spans="1:72" s="29" customFormat="1" ht="19.5" customHeight="1" x14ac:dyDescent="0.25">
      <c r="A75" s="32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</row>
    <row r="76" spans="1:72" s="29" customFormat="1" ht="19.5" customHeight="1" x14ac:dyDescent="0.25">
      <c r="A76" s="32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</row>
    <row r="77" spans="1:72" s="29" customFormat="1" ht="19.5" customHeight="1" x14ac:dyDescent="0.25">
      <c r="A77" s="32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26"/>
      <c r="BM77" s="26"/>
      <c r="BN77" s="26"/>
      <c r="BO77" s="26"/>
      <c r="BP77" s="26"/>
      <c r="BQ77" s="26"/>
      <c r="BR77" s="26"/>
      <c r="BS77" s="26"/>
      <c r="BT77" s="26"/>
    </row>
    <row r="78" spans="1:72" s="29" customFormat="1" ht="19.5" customHeight="1" x14ac:dyDescent="0.25">
      <c r="A78" s="32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  <c r="BL78" s="26"/>
      <c r="BM78" s="26"/>
      <c r="BN78" s="26"/>
      <c r="BO78" s="26"/>
      <c r="BP78" s="26"/>
      <c r="BQ78" s="26"/>
      <c r="BR78" s="26"/>
      <c r="BS78" s="26"/>
      <c r="BT78" s="26"/>
    </row>
    <row r="79" spans="1:72" s="29" customFormat="1" ht="19.5" customHeight="1" x14ac:dyDescent="0.25">
      <c r="A79" s="32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</row>
    <row r="80" spans="1:72" s="29" customFormat="1" ht="19.5" customHeight="1" x14ac:dyDescent="0.25">
      <c r="A80" s="32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</row>
    <row r="81" spans="1:72" s="29" customFormat="1" ht="19.5" customHeight="1" x14ac:dyDescent="0.25">
      <c r="A81" s="32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</row>
    <row r="82" spans="1:72" s="29" customFormat="1" ht="19.5" customHeight="1" x14ac:dyDescent="0.25">
      <c r="A82" s="32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</row>
    <row r="83" spans="1:72" s="29" customFormat="1" ht="19.5" customHeight="1" x14ac:dyDescent="0.25">
      <c r="A83" s="32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</row>
    <row r="84" spans="1:72" s="29" customFormat="1" ht="19.5" customHeight="1" x14ac:dyDescent="0.25">
      <c r="A84" s="32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26"/>
      <c r="BK84" s="26"/>
      <c r="BL84" s="26"/>
      <c r="BM84" s="26"/>
      <c r="BN84" s="26"/>
      <c r="BO84" s="26"/>
      <c r="BP84" s="26"/>
      <c r="BQ84" s="26"/>
      <c r="BR84" s="26"/>
      <c r="BS84" s="26"/>
      <c r="BT84" s="26"/>
    </row>
    <row r="85" spans="1:72" s="29" customFormat="1" ht="19.5" customHeight="1" x14ac:dyDescent="0.25">
      <c r="A85" s="32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</row>
    <row r="86" spans="1:72" s="29" customFormat="1" ht="19.5" customHeight="1" x14ac:dyDescent="0.25">
      <c r="A86" s="32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</row>
    <row r="87" spans="1:72" s="29" customFormat="1" ht="19.5" customHeight="1" x14ac:dyDescent="0.25">
      <c r="A87" s="32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</row>
    <row r="88" spans="1:72" s="29" customFormat="1" ht="19.5" customHeight="1" x14ac:dyDescent="0.25">
      <c r="A88" s="32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  <c r="BL88" s="26"/>
      <c r="BM88" s="26"/>
      <c r="BN88" s="26"/>
      <c r="BO88" s="26"/>
      <c r="BP88" s="26"/>
      <c r="BQ88" s="26"/>
      <c r="BR88" s="26"/>
      <c r="BS88" s="26"/>
      <c r="BT88" s="26"/>
    </row>
    <row r="89" spans="1:72" s="29" customFormat="1" ht="19.5" customHeight="1" x14ac:dyDescent="0.25">
      <c r="A89" s="32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</row>
    <row r="90" spans="1:72" s="29" customFormat="1" ht="15" customHeight="1" x14ac:dyDescent="0.25">
      <c r="A90" s="32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</row>
    <row r="91" spans="1:72" s="29" customFormat="1" ht="15" customHeight="1" x14ac:dyDescent="0.25">
      <c r="A91" s="32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</row>
    <row r="92" spans="1:72" s="29" customFormat="1" ht="15" customHeight="1" x14ac:dyDescent="0.25">
      <c r="A92" s="32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</row>
    <row r="93" spans="1:72" s="29" customFormat="1" ht="15" customHeight="1" x14ac:dyDescent="0.25">
      <c r="A93" s="32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</row>
    <row r="94" spans="1:72" s="29" customFormat="1" ht="15" customHeight="1" x14ac:dyDescent="0.25">
      <c r="A94" s="32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</row>
    <row r="95" spans="1:72" s="29" customFormat="1" ht="15" customHeight="1" x14ac:dyDescent="0.25">
      <c r="A95" s="32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</row>
    <row r="96" spans="1:72" s="29" customFormat="1" ht="15" customHeight="1" x14ac:dyDescent="0.25">
      <c r="A96" s="32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26"/>
      <c r="BK96" s="26"/>
      <c r="BL96" s="26"/>
      <c r="BM96" s="26"/>
      <c r="BN96" s="26"/>
      <c r="BO96" s="26"/>
      <c r="BP96" s="26"/>
      <c r="BQ96" s="26"/>
      <c r="BR96" s="26"/>
      <c r="BS96" s="26"/>
      <c r="BT96" s="26"/>
    </row>
    <row r="97" spans="1:72" s="29" customFormat="1" ht="15" customHeight="1" x14ac:dyDescent="0.25">
      <c r="A97" s="32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</row>
    <row r="98" spans="1:72" s="29" customFormat="1" ht="15" customHeight="1" x14ac:dyDescent="0.25">
      <c r="A98" s="32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</row>
    <row r="99" spans="1:72" s="29" customFormat="1" ht="15" customHeight="1" x14ac:dyDescent="0.25">
      <c r="A99" s="32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</row>
    <row r="100" spans="1:72" s="29" customFormat="1" ht="15" customHeight="1" x14ac:dyDescent="0.25">
      <c r="A100" s="32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</row>
    <row r="101" spans="1:72" s="29" customFormat="1" ht="15" customHeight="1" x14ac:dyDescent="0.25">
      <c r="A101" s="32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</row>
    <row r="102" spans="1:72" s="29" customFormat="1" ht="15" customHeight="1" x14ac:dyDescent="0.25">
      <c r="A102" s="32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</row>
    <row r="103" spans="1:72" s="29" customFormat="1" ht="15" customHeight="1" x14ac:dyDescent="0.25">
      <c r="A103" s="32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</row>
    <row r="104" spans="1:72" s="29" customFormat="1" ht="15" customHeight="1" x14ac:dyDescent="0.25">
      <c r="A104" s="32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</row>
    <row r="105" spans="1:72" s="29" customFormat="1" ht="15" customHeight="1" x14ac:dyDescent="0.25">
      <c r="A105" s="32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</row>
    <row r="106" spans="1:72" s="29" customFormat="1" ht="15" customHeight="1" x14ac:dyDescent="0.25">
      <c r="A106" s="32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</row>
    <row r="107" spans="1:72" s="29" customFormat="1" ht="15" customHeight="1" x14ac:dyDescent="0.25">
      <c r="A107" s="32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</row>
    <row r="108" spans="1:72" s="29" customFormat="1" ht="15" customHeight="1" x14ac:dyDescent="0.25">
      <c r="A108" s="32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  <c r="BS108" s="26"/>
      <c r="BT108" s="26"/>
    </row>
    <row r="109" spans="1:72" s="29" customFormat="1" ht="15" customHeight="1" x14ac:dyDescent="0.25">
      <c r="A109" s="32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26"/>
      <c r="BO109" s="26"/>
      <c r="BP109" s="26"/>
      <c r="BQ109" s="26"/>
      <c r="BR109" s="26"/>
      <c r="BS109" s="26"/>
      <c r="BT109" s="26"/>
    </row>
    <row r="110" spans="1:72" s="29" customFormat="1" ht="15" customHeight="1" x14ac:dyDescent="0.25">
      <c r="A110" s="32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</row>
    <row r="111" spans="1:72" s="29" customFormat="1" ht="15" customHeight="1" x14ac:dyDescent="0.25">
      <c r="A111" s="32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</row>
    <row r="112" spans="1:72" s="29" customFormat="1" ht="15" customHeight="1" x14ac:dyDescent="0.25">
      <c r="A112" s="32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</row>
    <row r="113" spans="1:72" s="29" customFormat="1" ht="15" customHeight="1" x14ac:dyDescent="0.25">
      <c r="A113" s="32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</row>
    <row r="114" spans="1:72" s="29" customFormat="1" ht="15" customHeight="1" x14ac:dyDescent="0.25">
      <c r="A114" s="32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</row>
    <row r="115" spans="1:72" s="29" customFormat="1" ht="15" customHeight="1" x14ac:dyDescent="0.25">
      <c r="A115" s="32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  <c r="BK115" s="26"/>
      <c r="BL115" s="26"/>
      <c r="BM115" s="26"/>
      <c r="BN115" s="26"/>
      <c r="BO115" s="26"/>
      <c r="BP115" s="26"/>
      <c r="BQ115" s="26"/>
      <c r="BR115" s="26"/>
      <c r="BS115" s="26"/>
      <c r="BT115" s="26"/>
    </row>
    <row r="116" spans="1:72" s="29" customFormat="1" ht="15" customHeight="1" x14ac:dyDescent="0.25">
      <c r="A116" s="32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26"/>
      <c r="BO116" s="26"/>
      <c r="BP116" s="26"/>
      <c r="BQ116" s="26"/>
      <c r="BR116" s="26"/>
      <c r="BS116" s="26"/>
      <c r="BT116" s="26"/>
    </row>
    <row r="117" spans="1:72" s="29" customFormat="1" ht="15" customHeight="1" x14ac:dyDescent="0.25">
      <c r="A117" s="32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26"/>
      <c r="BK117" s="26"/>
      <c r="BL117" s="26"/>
      <c r="BM117" s="26"/>
      <c r="BN117" s="26"/>
      <c r="BO117" s="26"/>
      <c r="BP117" s="26"/>
      <c r="BQ117" s="26"/>
      <c r="BR117" s="26"/>
      <c r="BS117" s="26"/>
      <c r="BT117" s="26"/>
    </row>
    <row r="118" spans="1:72" s="29" customFormat="1" ht="15" customHeight="1" x14ac:dyDescent="0.25">
      <c r="A118" s="32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  <c r="BL118" s="26"/>
      <c r="BM118" s="26"/>
      <c r="BN118" s="26"/>
      <c r="BO118" s="26"/>
      <c r="BP118" s="26"/>
      <c r="BQ118" s="26"/>
      <c r="BR118" s="26"/>
      <c r="BS118" s="26"/>
      <c r="BT118" s="26"/>
    </row>
    <row r="119" spans="1:72" s="29" customFormat="1" ht="15" customHeight="1" x14ac:dyDescent="0.25">
      <c r="A119" s="32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26"/>
      <c r="BK119" s="26"/>
      <c r="BL119" s="26"/>
      <c r="BM119" s="26"/>
      <c r="BN119" s="26"/>
      <c r="BO119" s="26"/>
      <c r="BP119" s="26"/>
      <c r="BQ119" s="26"/>
      <c r="BR119" s="26"/>
      <c r="BS119" s="26"/>
      <c r="BT119" s="26"/>
    </row>
    <row r="120" spans="1:72" s="29" customFormat="1" ht="15" customHeight="1" x14ac:dyDescent="0.25">
      <c r="A120" s="32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  <c r="BL120" s="26"/>
      <c r="BM120" s="26"/>
      <c r="BN120" s="26"/>
      <c r="BO120" s="26"/>
      <c r="BP120" s="26"/>
      <c r="BQ120" s="26"/>
      <c r="BR120" s="26"/>
      <c r="BS120" s="26"/>
      <c r="BT120" s="26"/>
    </row>
    <row r="121" spans="1:72" s="29" customFormat="1" ht="15" customHeight="1" x14ac:dyDescent="0.25">
      <c r="A121" s="32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  <c r="BK121" s="26"/>
      <c r="BL121" s="26"/>
      <c r="BM121" s="26"/>
      <c r="BN121" s="26"/>
      <c r="BO121" s="26"/>
      <c r="BP121" s="26"/>
      <c r="BQ121" s="26"/>
      <c r="BR121" s="26"/>
      <c r="BS121" s="26"/>
      <c r="BT121" s="26"/>
    </row>
    <row r="122" spans="1:72" s="29" customFormat="1" ht="15" customHeight="1" x14ac:dyDescent="0.25">
      <c r="A122" s="32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  <c r="BL122" s="26"/>
      <c r="BM122" s="26"/>
      <c r="BN122" s="26"/>
      <c r="BO122" s="26"/>
      <c r="BP122" s="26"/>
      <c r="BQ122" s="26"/>
      <c r="BR122" s="26"/>
      <c r="BS122" s="26"/>
      <c r="BT122" s="26"/>
    </row>
    <row r="123" spans="1:72" s="29" customFormat="1" ht="15" customHeight="1" x14ac:dyDescent="0.25">
      <c r="A123" s="32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  <c r="BM123" s="26"/>
      <c r="BN123" s="26"/>
      <c r="BO123" s="26"/>
      <c r="BP123" s="26"/>
      <c r="BQ123" s="26"/>
      <c r="BR123" s="26"/>
      <c r="BS123" s="26"/>
      <c r="BT123" s="26"/>
    </row>
    <row r="124" spans="1:72" s="29" customFormat="1" ht="15" customHeight="1" x14ac:dyDescent="0.25">
      <c r="A124" s="32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26"/>
      <c r="BK124" s="26"/>
      <c r="BL124" s="26"/>
      <c r="BM124" s="26"/>
      <c r="BN124" s="26"/>
      <c r="BO124" s="26"/>
      <c r="BP124" s="26"/>
      <c r="BQ124" s="26"/>
      <c r="BR124" s="26"/>
      <c r="BS124" s="26"/>
      <c r="BT124" s="26"/>
    </row>
    <row r="125" spans="1:72" s="29" customFormat="1" ht="15" customHeight="1" x14ac:dyDescent="0.25">
      <c r="A125" s="32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26"/>
      <c r="BK125" s="26"/>
      <c r="BL125" s="26"/>
      <c r="BM125" s="26"/>
      <c r="BN125" s="26"/>
      <c r="BO125" s="26"/>
      <c r="BP125" s="26"/>
      <c r="BQ125" s="26"/>
      <c r="BR125" s="26"/>
      <c r="BS125" s="26"/>
      <c r="BT125" s="26"/>
    </row>
    <row r="126" spans="1:72" s="29" customFormat="1" ht="15" customHeight="1" x14ac:dyDescent="0.25">
      <c r="A126" s="32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  <c r="BK126" s="26"/>
      <c r="BL126" s="26"/>
      <c r="BM126" s="26"/>
      <c r="BN126" s="26"/>
      <c r="BO126" s="26"/>
      <c r="BP126" s="26"/>
      <c r="BQ126" s="26"/>
      <c r="BR126" s="26"/>
      <c r="BS126" s="26"/>
      <c r="BT126" s="26"/>
    </row>
    <row r="127" spans="1:72" s="29" customFormat="1" ht="15" customHeight="1" x14ac:dyDescent="0.25">
      <c r="A127" s="32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26"/>
      <c r="BK127" s="26"/>
      <c r="BL127" s="26"/>
      <c r="BM127" s="26"/>
      <c r="BN127" s="26"/>
      <c r="BO127" s="26"/>
      <c r="BP127" s="26"/>
      <c r="BQ127" s="26"/>
      <c r="BR127" s="26"/>
      <c r="BS127" s="26"/>
      <c r="BT127" s="26"/>
    </row>
    <row r="128" spans="1:72" s="29" customFormat="1" ht="15" customHeight="1" x14ac:dyDescent="0.25">
      <c r="A128" s="32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26"/>
      <c r="BK128" s="26"/>
      <c r="BL128" s="26"/>
      <c r="BM128" s="26"/>
      <c r="BN128" s="26"/>
      <c r="BO128" s="26"/>
      <c r="BP128" s="26"/>
      <c r="BQ128" s="26"/>
      <c r="BR128" s="26"/>
      <c r="BS128" s="26"/>
      <c r="BT128" s="26"/>
    </row>
    <row r="129" spans="1:72" s="29" customFormat="1" ht="15" customHeight="1" x14ac:dyDescent="0.25">
      <c r="A129" s="32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  <c r="BJ129" s="26"/>
      <c r="BK129" s="26"/>
      <c r="BL129" s="26"/>
      <c r="BM129" s="26"/>
      <c r="BN129" s="26"/>
      <c r="BO129" s="26"/>
      <c r="BP129" s="26"/>
      <c r="BQ129" s="26"/>
      <c r="BR129" s="26"/>
      <c r="BS129" s="26"/>
      <c r="BT129" s="26"/>
    </row>
    <row r="130" spans="1:72" s="29" customFormat="1" ht="15" customHeight="1" x14ac:dyDescent="0.25">
      <c r="A130" s="32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  <c r="BL130" s="26"/>
      <c r="BM130" s="26"/>
      <c r="BN130" s="26"/>
      <c r="BO130" s="26"/>
      <c r="BP130" s="26"/>
      <c r="BQ130" s="26"/>
      <c r="BR130" s="26"/>
      <c r="BS130" s="26"/>
      <c r="BT130" s="26"/>
    </row>
    <row r="131" spans="1:72" s="29" customFormat="1" ht="15" customHeight="1" x14ac:dyDescent="0.25">
      <c r="A131" s="32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  <c r="BJ131" s="26"/>
      <c r="BK131" s="26"/>
      <c r="BL131" s="26"/>
      <c r="BM131" s="26"/>
      <c r="BN131" s="26"/>
      <c r="BO131" s="26"/>
      <c r="BP131" s="26"/>
      <c r="BQ131" s="26"/>
      <c r="BR131" s="26"/>
      <c r="BS131" s="26"/>
      <c r="BT131" s="26"/>
    </row>
    <row r="132" spans="1:72" s="29" customFormat="1" ht="15" customHeight="1" x14ac:dyDescent="0.25">
      <c r="A132" s="32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26"/>
      <c r="BK132" s="26"/>
      <c r="BL132" s="26"/>
      <c r="BM132" s="26"/>
      <c r="BN132" s="26"/>
      <c r="BO132" s="26"/>
      <c r="BP132" s="26"/>
      <c r="BQ132" s="26"/>
      <c r="BR132" s="26"/>
      <c r="BS132" s="26"/>
      <c r="BT132" s="26"/>
    </row>
    <row r="133" spans="1:72" s="29" customFormat="1" ht="15" customHeight="1" x14ac:dyDescent="0.25">
      <c r="A133" s="32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26"/>
      <c r="BK133" s="26"/>
      <c r="BL133" s="26"/>
      <c r="BM133" s="26"/>
      <c r="BN133" s="26"/>
      <c r="BO133" s="26"/>
      <c r="BP133" s="26"/>
      <c r="BQ133" s="26"/>
      <c r="BR133" s="26"/>
      <c r="BS133" s="26"/>
      <c r="BT133" s="26"/>
    </row>
    <row r="134" spans="1:72" s="29" customFormat="1" ht="15" customHeight="1" x14ac:dyDescent="0.25">
      <c r="A134" s="32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  <c r="BI134" s="26"/>
      <c r="BJ134" s="26"/>
      <c r="BK134" s="26"/>
      <c r="BL134" s="26"/>
      <c r="BM134" s="26"/>
      <c r="BN134" s="26"/>
      <c r="BO134" s="26"/>
      <c r="BP134" s="26"/>
      <c r="BQ134" s="26"/>
      <c r="BR134" s="26"/>
      <c r="BS134" s="26"/>
      <c r="BT134" s="26"/>
    </row>
    <row r="135" spans="1:72" s="29" customFormat="1" ht="15" customHeight="1" x14ac:dyDescent="0.25">
      <c r="A135" s="32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  <c r="BI135" s="26"/>
      <c r="BJ135" s="26"/>
      <c r="BK135" s="26"/>
      <c r="BL135" s="26"/>
      <c r="BM135" s="26"/>
      <c r="BN135" s="26"/>
      <c r="BO135" s="26"/>
      <c r="BP135" s="26"/>
      <c r="BQ135" s="26"/>
      <c r="BR135" s="26"/>
      <c r="BS135" s="26"/>
      <c r="BT135" s="26"/>
    </row>
    <row r="136" spans="1:72" s="29" customFormat="1" ht="15" customHeight="1" x14ac:dyDescent="0.25">
      <c r="A136" s="32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26"/>
      <c r="BJ136" s="26"/>
      <c r="BK136" s="26"/>
      <c r="BL136" s="26"/>
      <c r="BM136" s="26"/>
      <c r="BN136" s="26"/>
      <c r="BO136" s="26"/>
      <c r="BP136" s="26"/>
      <c r="BQ136" s="26"/>
      <c r="BR136" s="26"/>
      <c r="BS136" s="26"/>
      <c r="BT136" s="26"/>
    </row>
    <row r="137" spans="1:72" s="29" customFormat="1" ht="15" customHeight="1" x14ac:dyDescent="0.25">
      <c r="A137" s="32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26"/>
      <c r="BK137" s="26"/>
      <c r="BL137" s="26"/>
      <c r="BM137" s="26"/>
      <c r="BN137" s="26"/>
      <c r="BO137" s="26"/>
      <c r="BP137" s="26"/>
      <c r="BQ137" s="26"/>
      <c r="BR137" s="26"/>
      <c r="BS137" s="26"/>
      <c r="BT137" s="26"/>
    </row>
    <row r="138" spans="1:72" s="29" customFormat="1" ht="15" customHeight="1" x14ac:dyDescent="0.25">
      <c r="A138" s="32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  <c r="BH138" s="26"/>
      <c r="BI138" s="26"/>
      <c r="BJ138" s="26"/>
      <c r="BK138" s="26"/>
      <c r="BL138" s="26"/>
      <c r="BM138" s="26"/>
      <c r="BN138" s="26"/>
      <c r="BO138" s="26"/>
      <c r="BP138" s="26"/>
      <c r="BQ138" s="26"/>
      <c r="BR138" s="26"/>
      <c r="BS138" s="26"/>
      <c r="BT138" s="26"/>
    </row>
    <row r="139" spans="1:72" s="29" customFormat="1" ht="15" customHeight="1" x14ac:dyDescent="0.25">
      <c r="A139" s="32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  <c r="BJ139" s="26"/>
      <c r="BK139" s="26"/>
      <c r="BL139" s="26"/>
      <c r="BM139" s="26"/>
      <c r="BN139" s="26"/>
      <c r="BO139" s="26"/>
      <c r="BP139" s="26"/>
      <c r="BQ139" s="26"/>
      <c r="BR139" s="26"/>
      <c r="BS139" s="26"/>
      <c r="BT139" s="26"/>
    </row>
    <row r="140" spans="1:72" s="29" customFormat="1" ht="15" customHeight="1" x14ac:dyDescent="0.25">
      <c r="A140" s="32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  <c r="BH140" s="26"/>
      <c r="BI140" s="26"/>
      <c r="BJ140" s="26"/>
      <c r="BK140" s="26"/>
      <c r="BL140" s="26"/>
      <c r="BM140" s="26"/>
      <c r="BN140" s="26"/>
      <c r="BO140" s="26"/>
      <c r="BP140" s="26"/>
      <c r="BQ140" s="26"/>
      <c r="BR140" s="26"/>
      <c r="BS140" s="26"/>
      <c r="BT140" s="26"/>
    </row>
    <row r="141" spans="1:72" s="29" customFormat="1" ht="15" customHeight="1" x14ac:dyDescent="0.25">
      <c r="A141" s="32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  <c r="BH141" s="26"/>
      <c r="BI141" s="26"/>
      <c r="BJ141" s="26"/>
      <c r="BK141" s="26"/>
      <c r="BL141" s="26"/>
      <c r="BM141" s="26"/>
      <c r="BN141" s="26"/>
      <c r="BO141" s="26"/>
      <c r="BP141" s="26"/>
      <c r="BQ141" s="26"/>
      <c r="BR141" s="26"/>
      <c r="BS141" s="26"/>
      <c r="BT141" s="26"/>
    </row>
    <row r="142" spans="1:72" s="29" customFormat="1" ht="15" customHeight="1" x14ac:dyDescent="0.25">
      <c r="A142" s="32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26"/>
      <c r="BJ142" s="26"/>
      <c r="BK142" s="26"/>
      <c r="BL142" s="26"/>
      <c r="BM142" s="26"/>
      <c r="BN142" s="26"/>
      <c r="BO142" s="26"/>
      <c r="BP142" s="26"/>
      <c r="BQ142" s="26"/>
      <c r="BR142" s="26"/>
      <c r="BS142" s="26"/>
      <c r="BT142" s="26"/>
    </row>
    <row r="143" spans="1:72" s="29" customFormat="1" ht="15" customHeight="1" x14ac:dyDescent="0.25">
      <c r="A143" s="32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  <c r="BM143" s="26"/>
      <c r="BN143" s="26"/>
      <c r="BO143" s="26"/>
      <c r="BP143" s="26"/>
      <c r="BQ143" s="26"/>
      <c r="BR143" s="26"/>
      <c r="BS143" s="26"/>
      <c r="BT143" s="26"/>
    </row>
    <row r="144" spans="1:72" s="29" customFormat="1" ht="15" customHeight="1" x14ac:dyDescent="0.25">
      <c r="A144" s="32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26"/>
      <c r="BK144" s="26"/>
      <c r="BL144" s="26"/>
      <c r="BM144" s="26"/>
      <c r="BN144" s="26"/>
      <c r="BO144" s="26"/>
      <c r="BP144" s="26"/>
      <c r="BQ144" s="26"/>
      <c r="BR144" s="26"/>
      <c r="BS144" s="26"/>
      <c r="BT144" s="26"/>
    </row>
    <row r="145" spans="1:72" s="29" customFormat="1" ht="15" customHeight="1" x14ac:dyDescent="0.25">
      <c r="A145" s="32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  <c r="BH145" s="26"/>
      <c r="BI145" s="26"/>
      <c r="BJ145" s="26"/>
      <c r="BK145" s="26"/>
      <c r="BL145" s="26"/>
      <c r="BM145" s="26"/>
      <c r="BN145" s="26"/>
      <c r="BO145" s="26"/>
      <c r="BP145" s="26"/>
      <c r="BQ145" s="26"/>
      <c r="BR145" s="26"/>
      <c r="BS145" s="26"/>
      <c r="BT145" s="26"/>
    </row>
    <row r="146" spans="1:72" s="29" customFormat="1" ht="15" customHeight="1" x14ac:dyDescent="0.25">
      <c r="A146" s="32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  <c r="BH146" s="26"/>
      <c r="BI146" s="26"/>
      <c r="BJ146" s="26"/>
      <c r="BK146" s="26"/>
      <c r="BL146" s="26"/>
      <c r="BM146" s="26"/>
      <c r="BN146" s="26"/>
      <c r="BO146" s="26"/>
      <c r="BP146" s="26"/>
      <c r="BQ146" s="26"/>
      <c r="BR146" s="26"/>
      <c r="BS146" s="26"/>
      <c r="BT146" s="26"/>
    </row>
    <row r="147" spans="1:72" s="29" customFormat="1" ht="15" customHeight="1" x14ac:dyDescent="0.25">
      <c r="A147" s="32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  <c r="BH147" s="26"/>
      <c r="BI147" s="26"/>
      <c r="BJ147" s="26"/>
      <c r="BK147" s="26"/>
      <c r="BL147" s="26"/>
      <c r="BM147" s="26"/>
      <c r="BN147" s="26"/>
      <c r="BO147" s="26"/>
      <c r="BP147" s="26"/>
      <c r="BQ147" s="26"/>
      <c r="BR147" s="26"/>
      <c r="BS147" s="26"/>
      <c r="BT147" s="26"/>
    </row>
    <row r="148" spans="1:72" s="29" customFormat="1" ht="15" customHeight="1" x14ac:dyDescent="0.25">
      <c r="A148" s="32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  <c r="BH148" s="26"/>
      <c r="BI148" s="26"/>
      <c r="BJ148" s="26"/>
      <c r="BK148" s="26"/>
      <c r="BL148" s="26"/>
      <c r="BM148" s="26"/>
      <c r="BN148" s="26"/>
      <c r="BO148" s="26"/>
      <c r="BP148" s="26"/>
      <c r="BQ148" s="26"/>
      <c r="BR148" s="26"/>
      <c r="BS148" s="26"/>
      <c r="BT148" s="26"/>
    </row>
    <row r="149" spans="1:72" s="29" customFormat="1" ht="15" customHeight="1" x14ac:dyDescent="0.25">
      <c r="A149" s="32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</row>
    <row r="150" spans="1:72" s="29" customFormat="1" ht="15" customHeight="1" x14ac:dyDescent="0.25">
      <c r="A150" s="32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</row>
  </sheetData>
  <mergeCells count="6">
    <mergeCell ref="B17:O17"/>
    <mergeCell ref="A1:A3"/>
    <mergeCell ref="B1:O1"/>
    <mergeCell ref="B2:O2"/>
    <mergeCell ref="B5:O5"/>
    <mergeCell ref="B10:O1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D4AF37"/>
  </sheetPr>
  <dimension ref="A1:BB202"/>
  <sheetViews>
    <sheetView showGridLines="0" zoomScaleNormal="100" workbookViewId="0">
      <selection activeCell="C19" sqref="C19"/>
    </sheetView>
  </sheetViews>
  <sheetFormatPr baseColWidth="10" defaultColWidth="9.140625" defaultRowHeight="15" x14ac:dyDescent="0.25"/>
  <cols>
    <col min="1" max="1" width="12.7109375" style="32" customWidth="1"/>
    <col min="2" max="2" width="42" style="3" customWidth="1"/>
    <col min="3" max="3" width="22" style="3" customWidth="1"/>
    <col min="4" max="4" width="48" style="3" customWidth="1"/>
    <col min="5" max="54" width="9.140625" style="29"/>
  </cols>
  <sheetData>
    <row r="1" spans="1:54" ht="30" customHeight="1" x14ac:dyDescent="0.25">
      <c r="A1" s="72"/>
      <c r="B1" s="73" t="s">
        <v>187</v>
      </c>
      <c r="C1" s="73"/>
      <c r="D1" s="73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</row>
    <row r="2" spans="1:54" ht="21.75" customHeight="1" x14ac:dyDescent="0.25">
      <c r="A2" s="72"/>
      <c r="B2" s="74" t="s">
        <v>188</v>
      </c>
      <c r="C2" s="74"/>
      <c r="D2" s="74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</row>
    <row r="3" spans="1:54" ht="19.5" customHeight="1" x14ac:dyDescent="0.25">
      <c r="B3" s="12" t="s">
        <v>146</v>
      </c>
      <c r="C3" s="12" t="s">
        <v>189</v>
      </c>
      <c r="D3" s="12" t="s">
        <v>190</v>
      </c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</row>
    <row r="4" spans="1:54" ht="19.5" customHeight="1" x14ac:dyDescent="0.25">
      <c r="B4" s="58" t="s">
        <v>191</v>
      </c>
      <c r="C4" s="57">
        <f>IFERROR(SUM(Ventas!P4:P8)/SUM(Ventas!D4:O8),0)/(1+Supuestos!$C$7)</f>
        <v>12605.042016806723</v>
      </c>
      <c r="D4" s="59" t="s">
        <v>192</v>
      </c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</row>
    <row r="5" spans="1:54" ht="19.5" customHeight="1" x14ac:dyDescent="0.25">
      <c r="B5" s="58" t="s">
        <v>193</v>
      </c>
      <c r="C5" s="57">
        <f>IFERROR(SUM('Costos Variables'!P4:P8)/SUM('Costos Variables'!D4:O8),0)/(1+Supuestos!$C$7)</f>
        <v>6722.6890756302528</v>
      </c>
      <c r="D5" s="59" t="s">
        <v>194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</row>
    <row r="6" spans="1:54" ht="19.5" customHeight="1" x14ac:dyDescent="0.25">
      <c r="B6" s="58" t="s">
        <v>195</v>
      </c>
      <c r="C6" s="57">
        <f>C4-C5</f>
        <v>5882.3529411764703</v>
      </c>
      <c r="D6" s="59" t="s">
        <v>196</v>
      </c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</row>
    <row r="7" spans="1:54" ht="19.5" customHeight="1" x14ac:dyDescent="0.25">
      <c r="B7" s="58" t="s">
        <v>197</v>
      </c>
      <c r="C7" s="57">
        <f>AVERAGE('Costos Fijos'!D20:O20)</f>
        <v>10000</v>
      </c>
      <c r="D7" s="59" t="s">
        <v>198</v>
      </c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</row>
    <row r="8" spans="1:54" ht="34.5" customHeight="1" x14ac:dyDescent="0.25">
      <c r="B8" s="22" t="s">
        <v>199</v>
      </c>
      <c r="C8" s="21">
        <f>IFERROR(C7/C6,0)</f>
        <v>1.7000000000000002</v>
      </c>
      <c r="D8" s="22" t="s">
        <v>200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</row>
    <row r="9" spans="1:54" ht="19.5" customHeight="1" x14ac:dyDescent="0.25">
      <c r="B9" s="22" t="s">
        <v>201</v>
      </c>
      <c r="C9" s="16">
        <f>C8*C4</f>
        <v>21428.571428571431</v>
      </c>
      <c r="D9" s="22" t="s">
        <v>202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</row>
    <row r="10" spans="1:54" ht="35.25" customHeight="1" x14ac:dyDescent="0.25">
      <c r="B10" s="22" t="s">
        <v>26</v>
      </c>
      <c r="C10" s="16">
        <f>C7*Supuestos!$C$9</f>
        <v>20000</v>
      </c>
      <c r="D10" s="22" t="s">
        <v>203</v>
      </c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</row>
    <row r="11" spans="1:54" s="29" customFormat="1" ht="19.5" customHeight="1" x14ac:dyDescent="0.25">
      <c r="A11" s="32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</row>
    <row r="12" spans="1:54" s="29" customFormat="1" ht="19.5" customHeight="1" x14ac:dyDescent="0.25">
      <c r="A12" s="32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</row>
    <row r="13" spans="1:54" s="29" customFormat="1" ht="19.5" customHeight="1" x14ac:dyDescent="0.25">
      <c r="A13" s="32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</row>
    <row r="14" spans="1:54" s="29" customFormat="1" ht="19.5" customHeight="1" x14ac:dyDescent="0.25">
      <c r="A14" s="32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</row>
    <row r="15" spans="1:54" s="29" customFormat="1" ht="19.5" customHeight="1" x14ac:dyDescent="0.25">
      <c r="A15" s="32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</row>
    <row r="16" spans="1:54" s="29" customFormat="1" ht="19.5" customHeight="1" x14ac:dyDescent="0.25">
      <c r="A16" s="32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</row>
    <row r="17" spans="1:54" s="29" customFormat="1" ht="19.5" customHeight="1" x14ac:dyDescent="0.25">
      <c r="A17" s="32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</row>
    <row r="18" spans="1:54" s="29" customFormat="1" ht="19.5" customHeight="1" x14ac:dyDescent="0.25">
      <c r="A18" s="32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</row>
    <row r="19" spans="1:54" s="29" customFormat="1" ht="19.5" customHeight="1" x14ac:dyDescent="0.25">
      <c r="A19" s="32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</row>
    <row r="20" spans="1:54" s="29" customFormat="1" ht="19.5" customHeight="1" x14ac:dyDescent="0.25">
      <c r="A20" s="32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</row>
    <row r="21" spans="1:54" s="29" customFormat="1" ht="19.5" customHeight="1" x14ac:dyDescent="0.25">
      <c r="A21" s="32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</row>
    <row r="22" spans="1:54" s="29" customFormat="1" ht="19.5" customHeight="1" x14ac:dyDescent="0.25">
      <c r="A22" s="32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</row>
    <row r="23" spans="1:54" s="29" customFormat="1" ht="19.5" customHeight="1" x14ac:dyDescent="0.25">
      <c r="A23" s="32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</row>
    <row r="24" spans="1:54" s="29" customFormat="1" ht="19.5" customHeight="1" x14ac:dyDescent="0.25">
      <c r="A24" s="32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</row>
    <row r="25" spans="1:54" s="29" customFormat="1" ht="19.5" customHeight="1" x14ac:dyDescent="0.25">
      <c r="A25" s="32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</row>
    <row r="26" spans="1:54" s="29" customFormat="1" ht="19.5" customHeight="1" x14ac:dyDescent="0.25">
      <c r="A26" s="32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</row>
    <row r="27" spans="1:54" s="29" customFormat="1" ht="19.5" customHeight="1" x14ac:dyDescent="0.25">
      <c r="A27" s="32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</row>
    <row r="28" spans="1:54" s="29" customFormat="1" ht="19.5" customHeight="1" x14ac:dyDescent="0.25">
      <c r="A28" s="32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</row>
    <row r="29" spans="1:54" s="29" customFormat="1" ht="19.5" customHeight="1" x14ac:dyDescent="0.25">
      <c r="A29" s="32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</row>
    <row r="30" spans="1:54" s="29" customFormat="1" ht="19.5" customHeight="1" x14ac:dyDescent="0.25">
      <c r="A30" s="32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</row>
    <row r="31" spans="1:54" s="29" customFormat="1" ht="19.5" customHeight="1" x14ac:dyDescent="0.25">
      <c r="A31" s="32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</row>
    <row r="32" spans="1:54" s="29" customFormat="1" ht="19.5" customHeight="1" x14ac:dyDescent="0.25">
      <c r="A32" s="32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</row>
    <row r="33" spans="1:54" s="29" customFormat="1" ht="19.5" customHeight="1" x14ac:dyDescent="0.25">
      <c r="A33" s="32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</row>
    <row r="34" spans="1:54" s="29" customFormat="1" ht="19.5" customHeight="1" x14ac:dyDescent="0.25">
      <c r="A34" s="32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</row>
    <row r="35" spans="1:54" s="29" customFormat="1" ht="19.5" customHeight="1" x14ac:dyDescent="0.25">
      <c r="A35" s="32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</row>
    <row r="36" spans="1:54" s="29" customFormat="1" ht="19.5" customHeight="1" x14ac:dyDescent="0.25">
      <c r="A36" s="32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</row>
    <row r="37" spans="1:54" s="29" customFormat="1" ht="19.5" customHeight="1" x14ac:dyDescent="0.25">
      <c r="A37" s="32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</row>
    <row r="38" spans="1:54" s="29" customFormat="1" ht="19.5" customHeight="1" x14ac:dyDescent="0.25">
      <c r="A38" s="32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</row>
    <row r="39" spans="1:54" s="29" customFormat="1" ht="19.5" customHeight="1" x14ac:dyDescent="0.25">
      <c r="A39" s="32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</row>
    <row r="40" spans="1:54" s="29" customFormat="1" ht="19.5" customHeight="1" x14ac:dyDescent="0.25">
      <c r="A40" s="32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</row>
    <row r="41" spans="1:54" s="29" customFormat="1" ht="19.5" customHeight="1" x14ac:dyDescent="0.25">
      <c r="A41" s="32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</row>
    <row r="42" spans="1:54" s="29" customFormat="1" ht="19.5" customHeight="1" x14ac:dyDescent="0.25">
      <c r="A42" s="32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</row>
    <row r="43" spans="1:54" s="29" customFormat="1" ht="19.5" customHeight="1" x14ac:dyDescent="0.25">
      <c r="A43" s="32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</row>
    <row r="44" spans="1:54" s="29" customFormat="1" ht="19.5" customHeight="1" x14ac:dyDescent="0.25">
      <c r="A44" s="32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</row>
    <row r="45" spans="1:54" s="29" customFormat="1" ht="19.5" customHeight="1" x14ac:dyDescent="0.25">
      <c r="A45" s="32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</row>
    <row r="46" spans="1:54" s="29" customFormat="1" ht="19.5" customHeight="1" x14ac:dyDescent="0.25">
      <c r="A46" s="32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</row>
    <row r="47" spans="1:54" s="29" customFormat="1" ht="19.5" customHeight="1" x14ac:dyDescent="0.25">
      <c r="A47" s="32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</row>
    <row r="48" spans="1:54" s="29" customFormat="1" ht="19.5" customHeight="1" x14ac:dyDescent="0.25">
      <c r="A48" s="32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</row>
    <row r="49" spans="1:54" s="29" customFormat="1" ht="19.5" customHeight="1" x14ac:dyDescent="0.25">
      <c r="A49" s="32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</row>
    <row r="50" spans="1:54" s="29" customFormat="1" ht="19.5" customHeight="1" x14ac:dyDescent="0.25">
      <c r="A50" s="32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</row>
    <row r="51" spans="1:54" s="29" customFormat="1" ht="19.5" customHeight="1" x14ac:dyDescent="0.25">
      <c r="A51" s="32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</row>
    <row r="52" spans="1:54" s="29" customFormat="1" ht="19.5" customHeight="1" x14ac:dyDescent="0.25">
      <c r="A52" s="32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</row>
    <row r="53" spans="1:54" s="29" customFormat="1" ht="19.5" customHeight="1" x14ac:dyDescent="0.25">
      <c r="A53" s="32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</row>
    <row r="54" spans="1:54" s="29" customFormat="1" ht="19.5" customHeight="1" x14ac:dyDescent="0.25">
      <c r="A54" s="32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</row>
    <row r="55" spans="1:54" s="29" customFormat="1" ht="19.5" customHeight="1" x14ac:dyDescent="0.25">
      <c r="A55" s="32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</row>
    <row r="56" spans="1:54" s="29" customFormat="1" ht="19.5" customHeight="1" x14ac:dyDescent="0.25">
      <c r="A56" s="32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</row>
    <row r="57" spans="1:54" s="29" customFormat="1" ht="19.5" customHeight="1" x14ac:dyDescent="0.25">
      <c r="A57" s="32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</row>
    <row r="58" spans="1:54" s="29" customFormat="1" ht="19.5" customHeight="1" x14ac:dyDescent="0.25">
      <c r="A58" s="32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</row>
    <row r="59" spans="1:54" s="29" customFormat="1" ht="19.5" customHeight="1" x14ac:dyDescent="0.25">
      <c r="A59" s="32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</row>
    <row r="60" spans="1:54" s="29" customFormat="1" ht="19.5" customHeight="1" x14ac:dyDescent="0.25">
      <c r="A60" s="32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</row>
    <row r="61" spans="1:54" s="29" customFormat="1" ht="19.5" customHeight="1" x14ac:dyDescent="0.25">
      <c r="A61" s="32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</row>
    <row r="62" spans="1:54" s="29" customFormat="1" ht="19.5" customHeight="1" x14ac:dyDescent="0.25">
      <c r="A62" s="32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</row>
    <row r="63" spans="1:54" s="29" customFormat="1" ht="19.5" customHeight="1" x14ac:dyDescent="0.25">
      <c r="A63" s="32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</row>
    <row r="64" spans="1:54" s="29" customFormat="1" ht="19.5" customHeight="1" x14ac:dyDescent="0.25">
      <c r="A64" s="32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</row>
    <row r="65" spans="1:54" s="29" customFormat="1" ht="19.5" customHeight="1" x14ac:dyDescent="0.25">
      <c r="A65" s="32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</row>
    <row r="66" spans="1:54" s="29" customFormat="1" ht="19.5" customHeight="1" x14ac:dyDescent="0.25">
      <c r="A66" s="32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</row>
    <row r="67" spans="1:54" s="29" customFormat="1" ht="19.5" customHeight="1" x14ac:dyDescent="0.25">
      <c r="A67" s="32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</row>
    <row r="68" spans="1:54" s="29" customFormat="1" ht="19.5" customHeight="1" x14ac:dyDescent="0.25">
      <c r="A68" s="32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</row>
    <row r="69" spans="1:54" s="29" customFormat="1" ht="19.5" customHeight="1" x14ac:dyDescent="0.25">
      <c r="A69" s="32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</row>
    <row r="70" spans="1:54" s="29" customFormat="1" ht="19.5" customHeight="1" x14ac:dyDescent="0.25">
      <c r="A70" s="32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</row>
    <row r="71" spans="1:54" s="29" customFormat="1" ht="19.5" customHeight="1" x14ac:dyDescent="0.25">
      <c r="A71" s="32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</row>
    <row r="72" spans="1:54" s="29" customFormat="1" ht="19.5" customHeight="1" x14ac:dyDescent="0.25">
      <c r="A72" s="32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</row>
    <row r="73" spans="1:54" s="29" customFormat="1" ht="19.5" customHeight="1" x14ac:dyDescent="0.25">
      <c r="A73" s="32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</row>
    <row r="74" spans="1:54" s="29" customFormat="1" ht="19.5" customHeight="1" x14ac:dyDescent="0.25">
      <c r="A74" s="32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</row>
    <row r="75" spans="1:54" s="29" customFormat="1" ht="19.5" customHeight="1" x14ac:dyDescent="0.25">
      <c r="A75" s="32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</row>
    <row r="76" spans="1:54" s="29" customFormat="1" ht="19.5" customHeight="1" x14ac:dyDescent="0.25">
      <c r="A76" s="32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</row>
    <row r="77" spans="1:54" s="29" customFormat="1" ht="19.5" customHeight="1" x14ac:dyDescent="0.25">
      <c r="A77" s="32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</row>
    <row r="78" spans="1:54" s="29" customFormat="1" ht="19.5" customHeight="1" x14ac:dyDescent="0.25">
      <c r="A78" s="32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</row>
    <row r="79" spans="1:54" s="29" customFormat="1" ht="19.5" customHeight="1" x14ac:dyDescent="0.25">
      <c r="A79" s="32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</row>
    <row r="80" spans="1:54" s="29" customFormat="1" ht="19.5" customHeight="1" x14ac:dyDescent="0.25">
      <c r="A80" s="32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</row>
    <row r="81" spans="1:54" s="29" customFormat="1" ht="19.5" customHeight="1" x14ac:dyDescent="0.25">
      <c r="A81" s="32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</row>
    <row r="82" spans="1:54" s="29" customFormat="1" ht="19.5" customHeight="1" x14ac:dyDescent="0.25">
      <c r="A82" s="32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</row>
    <row r="83" spans="1:54" s="29" customFormat="1" ht="19.5" customHeight="1" x14ac:dyDescent="0.25">
      <c r="A83" s="32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</row>
    <row r="84" spans="1:54" s="29" customFormat="1" ht="19.5" customHeight="1" x14ac:dyDescent="0.25">
      <c r="A84" s="32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</row>
    <row r="85" spans="1:54" s="29" customFormat="1" ht="19.5" customHeight="1" x14ac:dyDescent="0.25">
      <c r="A85" s="32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</row>
    <row r="86" spans="1:54" s="29" customFormat="1" ht="19.5" customHeight="1" x14ac:dyDescent="0.25">
      <c r="A86" s="32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</row>
    <row r="87" spans="1:54" s="29" customFormat="1" ht="19.5" customHeight="1" x14ac:dyDescent="0.25">
      <c r="A87" s="32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</row>
    <row r="88" spans="1:54" s="29" customFormat="1" ht="19.5" customHeight="1" x14ac:dyDescent="0.25">
      <c r="A88" s="32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</row>
    <row r="89" spans="1:54" s="29" customFormat="1" ht="15" customHeight="1" x14ac:dyDescent="0.25">
      <c r="A89" s="32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</row>
    <row r="90" spans="1:54" s="29" customFormat="1" ht="15" customHeight="1" x14ac:dyDescent="0.25">
      <c r="A90" s="32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</row>
    <row r="91" spans="1:54" s="29" customFormat="1" ht="15" customHeight="1" x14ac:dyDescent="0.25">
      <c r="A91" s="32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</row>
    <row r="92" spans="1:54" s="29" customFormat="1" ht="15" customHeight="1" x14ac:dyDescent="0.25">
      <c r="A92" s="32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</row>
    <row r="93" spans="1:54" s="29" customFormat="1" ht="15" customHeight="1" x14ac:dyDescent="0.25">
      <c r="A93" s="32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</row>
    <row r="94" spans="1:54" s="29" customFormat="1" ht="15" customHeight="1" x14ac:dyDescent="0.25">
      <c r="A94" s="32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</row>
    <row r="95" spans="1:54" s="29" customFormat="1" ht="15" customHeight="1" x14ac:dyDescent="0.25">
      <c r="A95" s="32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</row>
    <row r="96" spans="1:54" s="29" customFormat="1" ht="15" customHeight="1" x14ac:dyDescent="0.25">
      <c r="A96" s="32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</row>
    <row r="97" spans="1:54" s="29" customFormat="1" ht="15" customHeight="1" x14ac:dyDescent="0.25">
      <c r="A97" s="32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</row>
    <row r="98" spans="1:54" s="29" customFormat="1" ht="15" customHeight="1" x14ac:dyDescent="0.25">
      <c r="A98" s="32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</row>
    <row r="99" spans="1:54" s="29" customFormat="1" ht="15" customHeight="1" x14ac:dyDescent="0.25">
      <c r="A99" s="32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</row>
    <row r="100" spans="1:54" s="29" customFormat="1" ht="15" customHeight="1" x14ac:dyDescent="0.25">
      <c r="A100" s="32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</row>
    <row r="101" spans="1:54" s="29" customFormat="1" ht="15" customHeight="1" x14ac:dyDescent="0.25">
      <c r="A101" s="32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</row>
    <row r="102" spans="1:54" s="29" customFormat="1" ht="15" customHeight="1" x14ac:dyDescent="0.25">
      <c r="A102" s="32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</row>
    <row r="103" spans="1:54" s="29" customFormat="1" ht="15" customHeight="1" x14ac:dyDescent="0.25">
      <c r="A103" s="32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</row>
    <row r="104" spans="1:54" s="29" customFormat="1" ht="15" customHeight="1" x14ac:dyDescent="0.25">
      <c r="A104" s="32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</row>
    <row r="105" spans="1:54" s="29" customFormat="1" ht="15" customHeight="1" x14ac:dyDescent="0.25">
      <c r="A105" s="32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</row>
    <row r="106" spans="1:54" s="29" customFormat="1" ht="15" customHeight="1" x14ac:dyDescent="0.25">
      <c r="A106" s="32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</row>
    <row r="107" spans="1:54" s="29" customFormat="1" ht="15" customHeight="1" x14ac:dyDescent="0.25">
      <c r="A107" s="32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</row>
    <row r="108" spans="1:54" s="29" customFormat="1" ht="15" customHeight="1" x14ac:dyDescent="0.25">
      <c r="A108" s="32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</row>
    <row r="109" spans="1:54" s="29" customFormat="1" ht="15" customHeight="1" x14ac:dyDescent="0.25">
      <c r="A109" s="32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</row>
    <row r="110" spans="1:54" s="29" customFormat="1" ht="15" customHeight="1" x14ac:dyDescent="0.25">
      <c r="A110" s="32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</row>
    <row r="111" spans="1:54" s="29" customFormat="1" ht="15" customHeight="1" x14ac:dyDescent="0.25">
      <c r="A111" s="32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</row>
    <row r="112" spans="1:54" s="29" customFormat="1" ht="15" customHeight="1" x14ac:dyDescent="0.25">
      <c r="A112" s="32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</row>
    <row r="113" spans="1:54" s="29" customFormat="1" ht="15" customHeight="1" x14ac:dyDescent="0.25">
      <c r="A113" s="32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</row>
    <row r="114" spans="1:54" s="29" customFormat="1" ht="15" customHeight="1" x14ac:dyDescent="0.25">
      <c r="A114" s="32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</row>
    <row r="115" spans="1:54" s="29" customFormat="1" ht="15" customHeight="1" x14ac:dyDescent="0.25">
      <c r="A115" s="32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</row>
    <row r="116" spans="1:54" s="29" customFormat="1" ht="15" customHeight="1" x14ac:dyDescent="0.25">
      <c r="A116" s="32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</row>
    <row r="117" spans="1:54" s="29" customFormat="1" ht="15" customHeight="1" x14ac:dyDescent="0.25">
      <c r="A117" s="32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</row>
    <row r="118" spans="1:54" s="29" customFormat="1" ht="15" customHeight="1" x14ac:dyDescent="0.25">
      <c r="A118" s="32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</row>
    <row r="119" spans="1:54" s="29" customFormat="1" ht="15" customHeight="1" x14ac:dyDescent="0.25">
      <c r="A119" s="32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</row>
    <row r="120" spans="1:54" s="29" customFormat="1" ht="15" customHeight="1" x14ac:dyDescent="0.25">
      <c r="A120" s="32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</row>
    <row r="121" spans="1:54" s="29" customFormat="1" ht="15" customHeight="1" x14ac:dyDescent="0.25">
      <c r="A121" s="32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</row>
    <row r="122" spans="1:54" s="29" customFormat="1" ht="15" customHeight="1" x14ac:dyDescent="0.25">
      <c r="A122" s="32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</row>
    <row r="123" spans="1:54" s="29" customFormat="1" ht="15" customHeight="1" x14ac:dyDescent="0.25">
      <c r="A123" s="32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</row>
    <row r="124" spans="1:54" s="29" customFormat="1" ht="15" customHeight="1" x14ac:dyDescent="0.25">
      <c r="A124" s="32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</row>
    <row r="125" spans="1:54" s="29" customFormat="1" ht="15" customHeight="1" x14ac:dyDescent="0.25">
      <c r="A125" s="32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</row>
    <row r="126" spans="1:54" s="29" customFormat="1" ht="15" customHeight="1" x14ac:dyDescent="0.25">
      <c r="A126" s="32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</row>
    <row r="127" spans="1:54" s="29" customFormat="1" ht="15" customHeight="1" x14ac:dyDescent="0.25">
      <c r="A127" s="32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</row>
    <row r="128" spans="1:54" s="29" customFormat="1" ht="15" customHeight="1" x14ac:dyDescent="0.25">
      <c r="A128" s="32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</row>
    <row r="129" spans="1:54" s="29" customFormat="1" ht="15" customHeight="1" x14ac:dyDescent="0.25">
      <c r="A129" s="32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</row>
    <row r="130" spans="1:54" s="29" customFormat="1" ht="15" customHeight="1" x14ac:dyDescent="0.25">
      <c r="A130" s="32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</row>
    <row r="131" spans="1:54" s="29" customFormat="1" ht="15" customHeight="1" x14ac:dyDescent="0.25">
      <c r="A131" s="32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</row>
    <row r="132" spans="1:54" s="29" customFormat="1" ht="15" customHeight="1" x14ac:dyDescent="0.25">
      <c r="A132" s="32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</row>
    <row r="133" spans="1:54" s="29" customFormat="1" ht="15" customHeight="1" x14ac:dyDescent="0.25">
      <c r="A133" s="32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</row>
    <row r="134" spans="1:54" s="29" customFormat="1" ht="15" customHeight="1" x14ac:dyDescent="0.25">
      <c r="A134" s="32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  <c r="AZ134" s="26"/>
      <c r="BA134" s="26"/>
      <c r="BB134" s="26"/>
    </row>
    <row r="135" spans="1:54" s="29" customFormat="1" ht="15" customHeight="1" x14ac:dyDescent="0.25">
      <c r="A135" s="32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/>
      <c r="BB135" s="26"/>
    </row>
    <row r="136" spans="1:54" s="29" customFormat="1" ht="15" customHeight="1" x14ac:dyDescent="0.25">
      <c r="A136" s="32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  <c r="BA136" s="26"/>
      <c r="BB136" s="26"/>
    </row>
    <row r="137" spans="1:54" s="29" customFormat="1" ht="15" customHeight="1" x14ac:dyDescent="0.25">
      <c r="A137" s="32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</row>
    <row r="138" spans="1:54" s="29" customFormat="1" ht="15" customHeight="1" x14ac:dyDescent="0.25">
      <c r="A138" s="32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</row>
    <row r="139" spans="1:54" s="29" customFormat="1" ht="15" customHeight="1" x14ac:dyDescent="0.25">
      <c r="A139" s="32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</row>
    <row r="140" spans="1:54" s="29" customFormat="1" ht="15" customHeight="1" x14ac:dyDescent="0.25">
      <c r="A140" s="32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</row>
    <row r="141" spans="1:54" s="29" customFormat="1" ht="15" customHeight="1" x14ac:dyDescent="0.25">
      <c r="A141" s="32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</row>
    <row r="142" spans="1:54" s="29" customFormat="1" ht="15" customHeight="1" x14ac:dyDescent="0.25">
      <c r="A142" s="32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6"/>
      <c r="BA142" s="26"/>
      <c r="BB142" s="26"/>
    </row>
    <row r="143" spans="1:54" s="29" customFormat="1" ht="15" customHeight="1" x14ac:dyDescent="0.25">
      <c r="A143" s="32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</row>
    <row r="144" spans="1:54" s="29" customFormat="1" ht="15" customHeight="1" x14ac:dyDescent="0.25">
      <c r="A144" s="32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</row>
    <row r="145" spans="1:54" s="29" customFormat="1" ht="15" customHeight="1" x14ac:dyDescent="0.25">
      <c r="A145" s="32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</row>
    <row r="146" spans="1:54" s="29" customFormat="1" ht="15" customHeight="1" x14ac:dyDescent="0.25">
      <c r="A146" s="32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</row>
    <row r="147" spans="1:54" s="29" customFormat="1" ht="15" customHeight="1" x14ac:dyDescent="0.25">
      <c r="A147" s="32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</row>
    <row r="148" spans="1:54" s="29" customFormat="1" ht="15" customHeight="1" x14ac:dyDescent="0.25">
      <c r="A148" s="32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</row>
    <row r="149" spans="1:54" s="29" customFormat="1" ht="15" customHeight="1" x14ac:dyDescent="0.25">
      <c r="A149" s="32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</row>
    <row r="150" spans="1:54" s="29" customFormat="1" ht="15" customHeight="1" x14ac:dyDescent="0.25">
      <c r="A150" s="32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6"/>
      <c r="AX150" s="26"/>
      <c r="AY150" s="26"/>
      <c r="AZ150" s="26"/>
      <c r="BA150" s="26"/>
      <c r="BB150" s="26"/>
    </row>
    <row r="151" spans="1:54" s="29" customFormat="1" ht="15" customHeight="1" x14ac:dyDescent="0.25">
      <c r="A151" s="32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  <c r="AX151" s="26"/>
      <c r="AY151" s="26"/>
      <c r="AZ151" s="26"/>
      <c r="BA151" s="26"/>
      <c r="BB151" s="26"/>
    </row>
    <row r="152" spans="1:54" s="29" customFormat="1" ht="15" customHeight="1" x14ac:dyDescent="0.25">
      <c r="A152" s="32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6"/>
      <c r="AV152" s="26"/>
      <c r="AW152" s="26"/>
      <c r="AX152" s="26"/>
      <c r="AY152" s="26"/>
      <c r="AZ152" s="26"/>
      <c r="BA152" s="26"/>
      <c r="BB152" s="26"/>
    </row>
    <row r="153" spans="1:54" s="29" customFormat="1" ht="15" customHeight="1" x14ac:dyDescent="0.25">
      <c r="A153" s="32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  <c r="AZ153" s="26"/>
      <c r="BA153" s="26"/>
      <c r="BB153" s="26"/>
    </row>
    <row r="154" spans="1:54" s="29" customFormat="1" ht="15" customHeight="1" x14ac:dyDescent="0.25">
      <c r="A154" s="32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  <c r="BA154" s="26"/>
      <c r="BB154" s="26"/>
    </row>
    <row r="155" spans="1:54" s="29" customFormat="1" ht="15" customHeight="1" x14ac:dyDescent="0.25">
      <c r="A155" s="32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26"/>
      <c r="BA155" s="26"/>
      <c r="BB155" s="26"/>
    </row>
    <row r="156" spans="1:54" s="29" customFormat="1" ht="15" customHeight="1" x14ac:dyDescent="0.25">
      <c r="A156" s="32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26"/>
      <c r="BA156" s="26"/>
      <c r="BB156" s="26"/>
    </row>
    <row r="157" spans="1:54" s="29" customFormat="1" ht="15" customHeight="1" x14ac:dyDescent="0.25">
      <c r="A157" s="32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  <c r="AW157" s="26"/>
      <c r="AX157" s="26"/>
      <c r="AY157" s="26"/>
      <c r="AZ157" s="26"/>
      <c r="BA157" s="26"/>
      <c r="BB157" s="26"/>
    </row>
    <row r="158" spans="1:54" s="29" customFormat="1" ht="15" customHeight="1" x14ac:dyDescent="0.25">
      <c r="A158" s="32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  <c r="AW158" s="26"/>
      <c r="AX158" s="26"/>
      <c r="AY158" s="26"/>
      <c r="AZ158" s="26"/>
      <c r="BA158" s="26"/>
      <c r="BB158" s="26"/>
    </row>
    <row r="159" spans="1:54" s="29" customFormat="1" ht="15" customHeight="1" x14ac:dyDescent="0.25">
      <c r="A159" s="32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6"/>
      <c r="AV159" s="26"/>
      <c r="AW159" s="26"/>
      <c r="AX159" s="26"/>
      <c r="AY159" s="26"/>
      <c r="AZ159" s="26"/>
      <c r="BA159" s="26"/>
      <c r="BB159" s="26"/>
    </row>
    <row r="160" spans="1:54" s="29" customFormat="1" ht="15" customHeight="1" x14ac:dyDescent="0.25">
      <c r="A160" s="32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6"/>
      <c r="AX160" s="26"/>
      <c r="AY160" s="26"/>
      <c r="AZ160" s="26"/>
      <c r="BA160" s="26"/>
      <c r="BB160" s="26"/>
    </row>
    <row r="161" spans="1:54" s="29" customFormat="1" ht="15" customHeight="1" x14ac:dyDescent="0.25">
      <c r="A161" s="32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26"/>
      <c r="BA161" s="26"/>
      <c r="BB161" s="26"/>
    </row>
    <row r="162" spans="1:54" s="29" customFormat="1" ht="15" customHeight="1" x14ac:dyDescent="0.25">
      <c r="A162" s="32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  <c r="AZ162" s="26"/>
      <c r="BA162" s="26"/>
      <c r="BB162" s="26"/>
    </row>
    <row r="163" spans="1:54" s="29" customFormat="1" ht="15" customHeight="1" x14ac:dyDescent="0.25">
      <c r="A163" s="32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6"/>
      <c r="AY163" s="26"/>
      <c r="AZ163" s="26"/>
      <c r="BA163" s="26"/>
      <c r="BB163" s="26"/>
    </row>
    <row r="164" spans="1:54" s="29" customFormat="1" ht="15" customHeight="1" x14ac:dyDescent="0.25">
      <c r="A164" s="32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6"/>
      <c r="AX164" s="26"/>
      <c r="AY164" s="26"/>
      <c r="AZ164" s="26"/>
      <c r="BA164" s="26"/>
      <c r="BB164" s="26"/>
    </row>
    <row r="165" spans="1:54" s="29" customFormat="1" ht="15" customHeight="1" x14ac:dyDescent="0.25">
      <c r="A165" s="32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  <c r="BA165" s="26"/>
      <c r="BB165" s="26"/>
    </row>
    <row r="166" spans="1:54" s="29" customFormat="1" ht="15" customHeight="1" x14ac:dyDescent="0.25">
      <c r="A166" s="32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26"/>
      <c r="AV166" s="26"/>
      <c r="AW166" s="26"/>
      <c r="AX166" s="26"/>
      <c r="AY166" s="26"/>
      <c r="AZ166" s="26"/>
      <c r="BA166" s="26"/>
      <c r="BB166" s="26"/>
    </row>
    <row r="167" spans="1:54" s="29" customFormat="1" ht="15" customHeight="1" x14ac:dyDescent="0.25">
      <c r="A167" s="32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  <c r="AQ167" s="26"/>
      <c r="AR167" s="26"/>
      <c r="AS167" s="26"/>
      <c r="AT167" s="26"/>
      <c r="AU167" s="26"/>
      <c r="AV167" s="26"/>
      <c r="AW167" s="26"/>
      <c r="AX167" s="26"/>
      <c r="AY167" s="26"/>
      <c r="AZ167" s="26"/>
      <c r="BA167" s="26"/>
      <c r="BB167" s="26"/>
    </row>
    <row r="168" spans="1:54" s="29" customFormat="1" ht="15" customHeight="1" x14ac:dyDescent="0.25">
      <c r="A168" s="32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26"/>
      <c r="AS168" s="26"/>
      <c r="AT168" s="26"/>
      <c r="AU168" s="26"/>
      <c r="AV168" s="26"/>
      <c r="AW168" s="26"/>
      <c r="AX168" s="26"/>
      <c r="AY168" s="26"/>
      <c r="AZ168" s="26"/>
      <c r="BA168" s="26"/>
      <c r="BB168" s="26"/>
    </row>
    <row r="169" spans="1:54" s="29" customFormat="1" ht="15" customHeight="1" x14ac:dyDescent="0.25">
      <c r="A169" s="32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/>
      <c r="AV169" s="26"/>
      <c r="AW169" s="26"/>
      <c r="AX169" s="26"/>
      <c r="AY169" s="26"/>
      <c r="AZ169" s="26"/>
      <c r="BA169" s="26"/>
      <c r="BB169" s="26"/>
    </row>
    <row r="170" spans="1:54" s="29" customFormat="1" ht="15" customHeight="1" x14ac:dyDescent="0.25">
      <c r="A170" s="32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/>
      <c r="AV170" s="26"/>
      <c r="AW170" s="26"/>
      <c r="AX170" s="26"/>
      <c r="AY170" s="26"/>
      <c r="AZ170" s="26"/>
      <c r="BA170" s="26"/>
      <c r="BB170" s="26"/>
    </row>
    <row r="171" spans="1:54" s="29" customFormat="1" ht="15" customHeight="1" x14ac:dyDescent="0.25">
      <c r="A171" s="32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  <c r="AU171" s="26"/>
      <c r="AV171" s="26"/>
      <c r="AW171" s="26"/>
      <c r="AX171" s="26"/>
      <c r="AY171" s="26"/>
      <c r="AZ171" s="26"/>
      <c r="BA171" s="26"/>
      <c r="BB171" s="26"/>
    </row>
    <row r="172" spans="1:54" s="29" customFormat="1" ht="15" customHeight="1" x14ac:dyDescent="0.25">
      <c r="A172" s="32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26"/>
      <c r="BA172" s="26"/>
      <c r="BB172" s="26"/>
    </row>
    <row r="173" spans="1:54" s="29" customFormat="1" ht="15" customHeight="1" x14ac:dyDescent="0.25">
      <c r="A173" s="32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  <c r="AU173" s="26"/>
      <c r="AV173" s="26"/>
      <c r="AW173" s="26"/>
      <c r="AX173" s="26"/>
      <c r="AY173" s="26"/>
      <c r="AZ173" s="26"/>
      <c r="BA173" s="26"/>
      <c r="BB173" s="26"/>
    </row>
    <row r="174" spans="1:54" s="29" customFormat="1" ht="15" customHeight="1" x14ac:dyDescent="0.25">
      <c r="A174" s="32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26"/>
      <c r="AQ174" s="26"/>
      <c r="AR174" s="26"/>
      <c r="AS174" s="26"/>
      <c r="AT174" s="26"/>
      <c r="AU174" s="26"/>
      <c r="AV174" s="26"/>
      <c r="AW174" s="26"/>
      <c r="AX174" s="26"/>
      <c r="AY174" s="26"/>
      <c r="AZ174" s="26"/>
      <c r="BA174" s="26"/>
      <c r="BB174" s="26"/>
    </row>
    <row r="175" spans="1:54" s="29" customFormat="1" ht="15" customHeight="1" x14ac:dyDescent="0.25">
      <c r="A175" s="32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  <c r="AP175" s="26"/>
      <c r="AQ175" s="26"/>
      <c r="AR175" s="26"/>
      <c r="AS175" s="26"/>
      <c r="AT175" s="26"/>
      <c r="AU175" s="26"/>
      <c r="AV175" s="26"/>
      <c r="AW175" s="26"/>
      <c r="AX175" s="26"/>
      <c r="AY175" s="26"/>
      <c r="AZ175" s="26"/>
      <c r="BA175" s="26"/>
      <c r="BB175" s="26"/>
    </row>
    <row r="176" spans="1:54" s="29" customFormat="1" ht="15" customHeight="1" x14ac:dyDescent="0.25">
      <c r="A176" s="32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  <c r="AQ176" s="26"/>
      <c r="AR176" s="26"/>
      <c r="AS176" s="26"/>
      <c r="AT176" s="26"/>
      <c r="AU176" s="26"/>
      <c r="AV176" s="26"/>
      <c r="AW176" s="26"/>
      <c r="AX176" s="26"/>
      <c r="AY176" s="26"/>
      <c r="AZ176" s="26"/>
      <c r="BA176" s="26"/>
      <c r="BB176" s="26"/>
    </row>
    <row r="177" spans="1:54" s="29" customFormat="1" ht="15" customHeight="1" x14ac:dyDescent="0.25">
      <c r="A177" s="32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  <c r="AU177" s="26"/>
      <c r="AV177" s="26"/>
      <c r="AW177" s="26"/>
      <c r="AX177" s="26"/>
      <c r="AY177" s="26"/>
      <c r="AZ177" s="26"/>
      <c r="BA177" s="26"/>
      <c r="BB177" s="26"/>
    </row>
    <row r="178" spans="1:54" s="29" customFormat="1" ht="15" customHeight="1" x14ac:dyDescent="0.25">
      <c r="A178" s="32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  <c r="AY178" s="26"/>
      <c r="AZ178" s="26"/>
      <c r="BA178" s="26"/>
      <c r="BB178" s="26"/>
    </row>
    <row r="179" spans="1:54" s="29" customFormat="1" ht="15" customHeight="1" x14ac:dyDescent="0.25">
      <c r="A179" s="32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</row>
    <row r="180" spans="1:54" s="29" customFormat="1" ht="15" customHeight="1" x14ac:dyDescent="0.25">
      <c r="A180" s="32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  <c r="AU180" s="26"/>
      <c r="AV180" s="26"/>
      <c r="AW180" s="26"/>
      <c r="AX180" s="26"/>
      <c r="AY180" s="26"/>
      <c r="AZ180" s="26"/>
      <c r="BA180" s="26"/>
      <c r="BB180" s="26"/>
    </row>
    <row r="181" spans="1:54" s="29" customFormat="1" ht="15" customHeight="1" x14ac:dyDescent="0.25">
      <c r="A181" s="32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/>
      <c r="AW181" s="26"/>
      <c r="AX181" s="26"/>
      <c r="AY181" s="26"/>
      <c r="AZ181" s="26"/>
      <c r="BA181" s="26"/>
      <c r="BB181" s="26"/>
    </row>
    <row r="182" spans="1:54" s="29" customFormat="1" ht="15" customHeight="1" x14ac:dyDescent="0.25">
      <c r="A182" s="32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  <c r="AP182" s="26"/>
      <c r="AQ182" s="26"/>
      <c r="AR182" s="26"/>
      <c r="AS182" s="26"/>
      <c r="AT182" s="26"/>
      <c r="AU182" s="26"/>
      <c r="AV182" s="26"/>
      <c r="AW182" s="26"/>
      <c r="AX182" s="26"/>
      <c r="AY182" s="26"/>
      <c r="AZ182" s="26"/>
      <c r="BA182" s="26"/>
      <c r="BB182" s="26"/>
    </row>
    <row r="183" spans="1:54" s="29" customFormat="1" ht="15" customHeight="1" x14ac:dyDescent="0.25">
      <c r="A183" s="32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  <c r="AP183" s="26"/>
      <c r="AQ183" s="26"/>
      <c r="AR183" s="26"/>
      <c r="AS183" s="26"/>
      <c r="AT183" s="26"/>
      <c r="AU183" s="26"/>
      <c r="AV183" s="26"/>
      <c r="AW183" s="26"/>
      <c r="AX183" s="26"/>
      <c r="AY183" s="26"/>
      <c r="AZ183" s="26"/>
      <c r="BA183" s="26"/>
      <c r="BB183" s="26"/>
    </row>
    <row r="184" spans="1:54" s="29" customFormat="1" ht="15" customHeight="1" x14ac:dyDescent="0.25">
      <c r="A184" s="32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26"/>
      <c r="AQ184" s="26"/>
      <c r="AR184" s="26"/>
      <c r="AS184" s="26"/>
      <c r="AT184" s="26"/>
      <c r="AU184" s="26"/>
      <c r="AV184" s="26"/>
      <c r="AW184" s="26"/>
      <c r="AX184" s="26"/>
      <c r="AY184" s="26"/>
      <c r="AZ184" s="26"/>
      <c r="BA184" s="26"/>
      <c r="BB184" s="26"/>
    </row>
    <row r="185" spans="1:54" s="29" customFormat="1" ht="15" customHeight="1" x14ac:dyDescent="0.25">
      <c r="A185" s="32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26"/>
      <c r="BA185" s="26"/>
      <c r="BB185" s="26"/>
    </row>
    <row r="186" spans="1:54" s="29" customFormat="1" ht="15" customHeight="1" x14ac:dyDescent="0.25">
      <c r="A186" s="32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  <c r="AX186" s="26"/>
      <c r="AY186" s="26"/>
      <c r="AZ186" s="26"/>
      <c r="BA186" s="26"/>
      <c r="BB186" s="26"/>
    </row>
    <row r="187" spans="1:54" s="29" customFormat="1" ht="15" customHeight="1" x14ac:dyDescent="0.25">
      <c r="A187" s="32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26"/>
      <c r="AY187" s="26"/>
      <c r="AZ187" s="26"/>
      <c r="BA187" s="26"/>
      <c r="BB187" s="26"/>
    </row>
    <row r="188" spans="1:54" s="29" customFormat="1" ht="15" customHeight="1" x14ac:dyDescent="0.25">
      <c r="A188" s="32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  <c r="AU188" s="26"/>
      <c r="AV188" s="26"/>
      <c r="AW188" s="26"/>
      <c r="AX188" s="26"/>
      <c r="AY188" s="26"/>
      <c r="AZ188" s="26"/>
      <c r="BA188" s="26"/>
      <c r="BB188" s="26"/>
    </row>
    <row r="189" spans="1:54" s="29" customFormat="1" ht="15" customHeight="1" x14ac:dyDescent="0.25">
      <c r="A189" s="32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  <c r="AX189" s="26"/>
      <c r="AY189" s="26"/>
      <c r="AZ189" s="26"/>
      <c r="BA189" s="26"/>
      <c r="BB189" s="26"/>
    </row>
    <row r="190" spans="1:54" s="29" customFormat="1" ht="15" customHeight="1" x14ac:dyDescent="0.25">
      <c r="A190" s="32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  <c r="AO190" s="26"/>
      <c r="AP190" s="26"/>
      <c r="AQ190" s="26"/>
      <c r="AR190" s="26"/>
      <c r="AS190" s="26"/>
      <c r="AT190" s="26"/>
      <c r="AU190" s="26"/>
      <c r="AV190" s="26"/>
      <c r="AW190" s="26"/>
      <c r="AX190" s="26"/>
      <c r="AY190" s="26"/>
      <c r="AZ190" s="26"/>
      <c r="BA190" s="26"/>
      <c r="BB190" s="26"/>
    </row>
    <row r="191" spans="1:54" s="29" customFormat="1" ht="15" customHeight="1" x14ac:dyDescent="0.25">
      <c r="A191" s="32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  <c r="AO191" s="26"/>
      <c r="AP191" s="26"/>
      <c r="AQ191" s="26"/>
      <c r="AR191" s="26"/>
      <c r="AS191" s="26"/>
      <c r="AT191" s="26"/>
      <c r="AU191" s="26"/>
      <c r="AV191" s="26"/>
      <c r="AW191" s="26"/>
      <c r="AX191" s="26"/>
      <c r="AY191" s="26"/>
      <c r="AZ191" s="26"/>
      <c r="BA191" s="26"/>
      <c r="BB191" s="26"/>
    </row>
    <row r="192" spans="1:54" s="29" customFormat="1" ht="15" customHeight="1" x14ac:dyDescent="0.25">
      <c r="A192" s="32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  <c r="AP192" s="26"/>
      <c r="AQ192" s="26"/>
      <c r="AR192" s="26"/>
      <c r="AS192" s="26"/>
      <c r="AT192" s="26"/>
      <c r="AU192" s="26"/>
      <c r="AV192" s="26"/>
      <c r="AW192" s="26"/>
      <c r="AX192" s="26"/>
      <c r="AY192" s="26"/>
      <c r="AZ192" s="26"/>
      <c r="BA192" s="26"/>
      <c r="BB192" s="26"/>
    </row>
    <row r="193" spans="1:54" s="29" customFormat="1" ht="15" customHeight="1" x14ac:dyDescent="0.25">
      <c r="A193" s="32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  <c r="AX193" s="26"/>
      <c r="AY193" s="26"/>
      <c r="AZ193" s="26"/>
      <c r="BA193" s="26"/>
      <c r="BB193" s="26"/>
    </row>
    <row r="194" spans="1:54" s="29" customFormat="1" ht="15" customHeight="1" x14ac:dyDescent="0.25">
      <c r="A194" s="32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  <c r="AO194" s="26"/>
      <c r="AP194" s="26"/>
      <c r="AQ194" s="26"/>
      <c r="AR194" s="26"/>
      <c r="AS194" s="26"/>
      <c r="AT194" s="26"/>
      <c r="AU194" s="26"/>
      <c r="AV194" s="26"/>
      <c r="AW194" s="26"/>
      <c r="AX194" s="26"/>
      <c r="AY194" s="26"/>
      <c r="AZ194" s="26"/>
      <c r="BA194" s="26"/>
      <c r="BB194" s="26"/>
    </row>
    <row r="195" spans="1:54" s="29" customFormat="1" ht="15" customHeight="1" x14ac:dyDescent="0.25">
      <c r="A195" s="32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  <c r="AO195" s="26"/>
      <c r="AP195" s="26"/>
      <c r="AQ195" s="26"/>
      <c r="AR195" s="26"/>
      <c r="AS195" s="26"/>
      <c r="AT195" s="26"/>
      <c r="AU195" s="26"/>
      <c r="AV195" s="26"/>
      <c r="AW195" s="26"/>
      <c r="AX195" s="26"/>
      <c r="AY195" s="26"/>
      <c r="AZ195" s="26"/>
      <c r="BA195" s="26"/>
      <c r="BB195" s="26"/>
    </row>
    <row r="196" spans="1:54" s="29" customFormat="1" ht="15" customHeight="1" x14ac:dyDescent="0.25">
      <c r="A196" s="32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  <c r="AU196" s="26"/>
      <c r="AV196" s="26"/>
      <c r="AW196" s="26"/>
      <c r="AX196" s="26"/>
      <c r="AY196" s="26"/>
      <c r="AZ196" s="26"/>
      <c r="BA196" s="26"/>
      <c r="BB196" s="26"/>
    </row>
    <row r="197" spans="1:54" s="29" customFormat="1" ht="15" customHeight="1" x14ac:dyDescent="0.25">
      <c r="A197" s="32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  <c r="AO197" s="26"/>
      <c r="AP197" s="26"/>
      <c r="AQ197" s="26"/>
      <c r="AR197" s="26"/>
      <c r="AS197" s="26"/>
      <c r="AT197" s="26"/>
      <c r="AU197" s="26"/>
      <c r="AV197" s="26"/>
      <c r="AW197" s="26"/>
      <c r="AX197" s="26"/>
      <c r="AY197" s="26"/>
      <c r="AZ197" s="26"/>
      <c r="BA197" s="26"/>
      <c r="BB197" s="26"/>
    </row>
    <row r="198" spans="1:54" s="29" customFormat="1" ht="15" customHeight="1" x14ac:dyDescent="0.25">
      <c r="A198" s="32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26"/>
      <c r="AP198" s="26"/>
      <c r="AQ198" s="26"/>
      <c r="AR198" s="26"/>
      <c r="AS198" s="26"/>
      <c r="AT198" s="26"/>
      <c r="AU198" s="26"/>
      <c r="AV198" s="26"/>
      <c r="AW198" s="26"/>
      <c r="AX198" s="26"/>
      <c r="AY198" s="26"/>
      <c r="AZ198" s="26"/>
      <c r="BA198" s="26"/>
      <c r="BB198" s="26"/>
    </row>
    <row r="199" spans="1:54" s="29" customFormat="1" ht="15" customHeight="1" x14ac:dyDescent="0.25">
      <c r="A199" s="32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  <c r="AO199" s="26"/>
      <c r="AP199" s="26"/>
      <c r="AQ199" s="26"/>
      <c r="AR199" s="26"/>
      <c r="AS199" s="26"/>
      <c r="AT199" s="26"/>
      <c r="AU199" s="26"/>
      <c r="AV199" s="26"/>
      <c r="AW199" s="26"/>
      <c r="AX199" s="26"/>
      <c r="AY199" s="26"/>
      <c r="AZ199" s="26"/>
      <c r="BA199" s="26"/>
      <c r="BB199" s="26"/>
    </row>
    <row r="200" spans="1:54" s="29" customFormat="1" ht="15" customHeight="1" x14ac:dyDescent="0.25">
      <c r="A200" s="32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26"/>
      <c r="AP200" s="26"/>
      <c r="AQ200" s="26"/>
      <c r="AR200" s="26"/>
      <c r="AS200" s="26"/>
      <c r="AT200" s="26"/>
      <c r="AU200" s="26"/>
      <c r="AV200" s="26"/>
      <c r="AW200" s="26"/>
      <c r="AX200" s="26"/>
      <c r="AY200" s="26"/>
      <c r="AZ200" s="26"/>
      <c r="BA200" s="26"/>
      <c r="BB200" s="26"/>
    </row>
    <row r="201" spans="1:54" s="29" customFormat="1" ht="15" customHeight="1" x14ac:dyDescent="0.25">
      <c r="A201" s="32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  <c r="AO201" s="26"/>
      <c r="AP201" s="26"/>
      <c r="AQ201" s="26"/>
      <c r="AR201" s="26"/>
      <c r="AS201" s="26"/>
      <c r="AT201" s="26"/>
      <c r="AU201" s="26"/>
      <c r="AV201" s="26"/>
      <c r="AW201" s="26"/>
      <c r="AX201" s="26"/>
      <c r="AY201" s="26"/>
      <c r="AZ201" s="26"/>
      <c r="BA201" s="26"/>
      <c r="BB201" s="26"/>
    </row>
    <row r="202" spans="1:54" s="29" customFormat="1" ht="15" customHeight="1" x14ac:dyDescent="0.25">
      <c r="A202" s="32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  <c r="AO202" s="26"/>
      <c r="AP202" s="26"/>
      <c r="AQ202" s="26"/>
      <c r="AR202" s="26"/>
      <c r="AS202" s="26"/>
      <c r="AT202" s="26"/>
      <c r="AU202" s="26"/>
      <c r="AV202" s="26"/>
      <c r="AW202" s="26"/>
      <c r="AX202" s="26"/>
      <c r="AY202" s="26"/>
      <c r="AZ202" s="26"/>
      <c r="BA202" s="26"/>
      <c r="BB202" s="26"/>
    </row>
  </sheetData>
  <mergeCells count="3">
    <mergeCell ref="A1:A2"/>
    <mergeCell ref="B1:D1"/>
    <mergeCell ref="B2:D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5287A5"/>
  </sheetPr>
  <dimension ref="A1:AN149"/>
  <sheetViews>
    <sheetView showGridLines="0" tabSelected="1" zoomScaleNormal="100" workbookViewId="0">
      <selection activeCell="F20" sqref="F20"/>
    </sheetView>
  </sheetViews>
  <sheetFormatPr baseColWidth="10" defaultColWidth="9.140625" defaultRowHeight="15" x14ac:dyDescent="0.25"/>
  <cols>
    <col min="1" max="1" width="12.5703125" style="32" customWidth="1"/>
    <col min="2" max="2" width="12.5703125" style="26" customWidth="1"/>
    <col min="3" max="3" width="34" style="3" customWidth="1"/>
    <col min="4" max="6" width="18" style="3" customWidth="1"/>
    <col min="7" max="7" width="48" style="3" customWidth="1"/>
    <col min="8" max="40" width="9.140625" style="29"/>
  </cols>
  <sheetData>
    <row r="1" spans="1:40" ht="30" customHeight="1" x14ac:dyDescent="0.25">
      <c r="A1" s="72"/>
      <c r="B1" s="25"/>
      <c r="C1" s="73" t="s">
        <v>204</v>
      </c>
      <c r="D1" s="73"/>
      <c r="E1" s="73"/>
      <c r="F1" s="73"/>
      <c r="G1" s="73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</row>
    <row r="2" spans="1:40" ht="21.75" customHeight="1" x14ac:dyDescent="0.25">
      <c r="A2" s="72"/>
      <c r="B2" s="25"/>
      <c r="C2" s="74" t="s">
        <v>205</v>
      </c>
      <c r="D2" s="74"/>
      <c r="E2" s="74"/>
      <c r="F2" s="74"/>
      <c r="G2" s="74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</row>
    <row r="3" spans="1:40" ht="19.5" customHeight="1" x14ac:dyDescent="0.25">
      <c r="C3" s="12" t="s">
        <v>206</v>
      </c>
      <c r="D3" s="12" t="s">
        <v>207</v>
      </c>
      <c r="E3" s="12" t="s">
        <v>208</v>
      </c>
      <c r="F3" s="12" t="s">
        <v>209</v>
      </c>
      <c r="G3" s="12" t="s">
        <v>3</v>
      </c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</row>
    <row r="4" spans="1:40" ht="19.5" customHeight="1" x14ac:dyDescent="0.25">
      <c r="C4" s="40" t="s">
        <v>210</v>
      </c>
      <c r="D4" s="23">
        <v>0.85</v>
      </c>
      <c r="E4" s="23">
        <v>1</v>
      </c>
      <c r="F4" s="23">
        <v>1.1499999999999999</v>
      </c>
      <c r="G4" s="40" t="s">
        <v>211</v>
      </c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</row>
    <row r="5" spans="1:40" ht="19.5" customHeight="1" x14ac:dyDescent="0.25">
      <c r="C5" s="40" t="s">
        <v>212</v>
      </c>
      <c r="D5" s="23">
        <v>1.1000000000000001</v>
      </c>
      <c r="E5" s="23">
        <v>1</v>
      </c>
      <c r="F5" s="23">
        <v>0.95</v>
      </c>
      <c r="G5" s="40" t="s">
        <v>213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</row>
    <row r="6" spans="1:40" ht="19.5" customHeight="1" x14ac:dyDescent="0.25">
      <c r="C6" s="40" t="s">
        <v>214</v>
      </c>
      <c r="D6" s="61">
        <f>SUM('Flujo de Caja'!C6:N6)*D4</f>
        <v>1275000</v>
      </c>
      <c r="E6" s="61">
        <f>SUM('Flujo de Caja'!C6:N6)*E4</f>
        <v>1500000</v>
      </c>
      <c r="F6" s="61">
        <f>SUM('Flujo de Caja'!C6:N6)*F4</f>
        <v>1724999.9999999998</v>
      </c>
      <c r="G6" s="40" t="s">
        <v>215</v>
      </c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</row>
    <row r="7" spans="1:40" ht="19.5" customHeight="1" x14ac:dyDescent="0.25">
      <c r="C7" s="40" t="s">
        <v>216</v>
      </c>
      <c r="D7" s="61">
        <f>SUM('Flujo de Caja'!C15:N15)*D5</f>
        <v>9058037.8151260503</v>
      </c>
      <c r="E7" s="61">
        <f>SUM('Flujo de Caja'!C15:N15)*E5</f>
        <v>8234579.8319327729</v>
      </c>
      <c r="F7" s="61">
        <f>SUM('Flujo de Caja'!C15:N15)*F5</f>
        <v>7822850.8403361337</v>
      </c>
      <c r="G7" s="40" t="s">
        <v>217</v>
      </c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</row>
    <row r="8" spans="1:40" ht="19.5" customHeight="1" x14ac:dyDescent="0.25">
      <c r="C8" s="24" t="s">
        <v>218</v>
      </c>
      <c r="D8" s="16">
        <f>Supuestos!$C$10+D6-D7</f>
        <v>1216962.1848739497</v>
      </c>
      <c r="E8" s="16">
        <f>Supuestos!$C$10+E6-E7</f>
        <v>2265420.1680672271</v>
      </c>
      <c r="F8" s="16">
        <f>Supuestos!$C$10+F6-F7</f>
        <v>2902149.1596638663</v>
      </c>
      <c r="G8" s="40" t="s">
        <v>219</v>
      </c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</row>
    <row r="9" spans="1:40" ht="19.5" customHeight="1" x14ac:dyDescent="0.25">
      <c r="C9" s="40" t="s">
        <v>189</v>
      </c>
      <c r="D9" s="60" t="str">
        <f>IF(D8&lt;-'Punto Equilibrio'!$C$10,"Crítico",IF(D8&lt;0,"Riesgo alto",IF(D8&lt;'Punto Equilibrio'!$C$10,"Revisar reserva","Viable")))</f>
        <v>Viable</v>
      </c>
      <c r="E9" s="60" t="str">
        <f>IF(E8&lt;-'Punto Equilibrio'!$C$10,"Crítico",IF(E8&lt;0,"Riesgo alto",IF(E8&lt;'Punto Equilibrio'!$C$10,"Revisar reserva","Viable")))</f>
        <v>Viable</v>
      </c>
      <c r="F9" s="60" t="str">
        <f>IF(F8&lt;-'Punto Equilibrio'!$C$10,"Crítico",IF(F8&lt;0,"Riesgo alto",IF(F8&lt;'Punto Equilibrio'!$C$10,"Revisar reserva","Viable")))</f>
        <v>Viable</v>
      </c>
      <c r="G9" s="40" t="s">
        <v>220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</row>
    <row r="10" spans="1:40" s="29" customFormat="1" ht="19.5" customHeight="1" x14ac:dyDescent="0.25">
      <c r="A10" s="32"/>
      <c r="B10" s="26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</row>
    <row r="11" spans="1:40" s="29" customFormat="1" ht="19.5" customHeight="1" x14ac:dyDescent="0.25">
      <c r="A11" s="32"/>
      <c r="B11" s="26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</row>
    <row r="12" spans="1:40" s="29" customFormat="1" ht="19.5" customHeight="1" x14ac:dyDescent="0.25">
      <c r="A12" s="32"/>
      <c r="B12" s="26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</row>
    <row r="13" spans="1:40" s="29" customFormat="1" ht="19.5" customHeight="1" x14ac:dyDescent="0.25">
      <c r="A13" s="32"/>
      <c r="B13" s="26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</row>
    <row r="14" spans="1:40" s="29" customFormat="1" ht="19.5" customHeight="1" x14ac:dyDescent="0.25">
      <c r="A14" s="32"/>
      <c r="B14" s="26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</row>
    <row r="15" spans="1:40" s="29" customFormat="1" ht="19.5" customHeight="1" x14ac:dyDescent="0.25">
      <c r="A15" s="32"/>
      <c r="B15" s="26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</row>
    <row r="16" spans="1:40" s="29" customFormat="1" ht="19.5" customHeight="1" x14ac:dyDescent="0.25">
      <c r="A16" s="32"/>
      <c r="B16" s="26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</row>
    <row r="17" spans="1:40" s="29" customFormat="1" ht="19.5" customHeight="1" x14ac:dyDescent="0.25">
      <c r="A17" s="32"/>
      <c r="B17" s="26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</row>
    <row r="18" spans="1:40" s="29" customFormat="1" ht="19.5" customHeight="1" x14ac:dyDescent="0.25">
      <c r="A18" s="32"/>
      <c r="B18" s="26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</row>
    <row r="19" spans="1:40" s="29" customFormat="1" ht="19.5" customHeight="1" x14ac:dyDescent="0.25">
      <c r="A19" s="32"/>
      <c r="B19" s="26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</row>
    <row r="20" spans="1:40" s="29" customFormat="1" ht="19.5" customHeight="1" x14ac:dyDescent="0.25">
      <c r="A20" s="32"/>
      <c r="B20" s="26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</row>
    <row r="21" spans="1:40" s="29" customFormat="1" ht="19.5" customHeight="1" x14ac:dyDescent="0.25">
      <c r="A21" s="32"/>
      <c r="B21" s="26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</row>
    <row r="22" spans="1:40" s="29" customFormat="1" ht="19.5" customHeight="1" x14ac:dyDescent="0.25">
      <c r="A22" s="32"/>
      <c r="B22" s="26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</row>
    <row r="23" spans="1:40" s="29" customFormat="1" ht="19.5" customHeight="1" x14ac:dyDescent="0.25">
      <c r="A23" s="32"/>
      <c r="B23" s="26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</row>
    <row r="24" spans="1:40" s="29" customFormat="1" ht="19.5" customHeight="1" x14ac:dyDescent="0.25">
      <c r="A24" s="32"/>
      <c r="B24" s="26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</row>
    <row r="25" spans="1:40" s="29" customFormat="1" ht="19.5" customHeight="1" x14ac:dyDescent="0.25">
      <c r="A25" s="32"/>
      <c r="B25" s="26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</row>
    <row r="26" spans="1:40" s="29" customFormat="1" ht="19.5" customHeight="1" x14ac:dyDescent="0.25">
      <c r="A26" s="32"/>
      <c r="B26" s="26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</row>
    <row r="27" spans="1:40" s="29" customFormat="1" ht="19.5" customHeight="1" x14ac:dyDescent="0.25">
      <c r="A27" s="32"/>
      <c r="B27" s="26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</row>
    <row r="28" spans="1:40" s="29" customFormat="1" ht="19.5" customHeight="1" x14ac:dyDescent="0.25">
      <c r="A28" s="32"/>
      <c r="B28" s="26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</row>
    <row r="29" spans="1:40" s="29" customFormat="1" ht="19.5" customHeight="1" x14ac:dyDescent="0.25">
      <c r="A29" s="32"/>
      <c r="B29" s="26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</row>
    <row r="30" spans="1:40" s="29" customFormat="1" ht="19.5" customHeight="1" x14ac:dyDescent="0.25">
      <c r="A30" s="32"/>
      <c r="B30" s="26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</row>
    <row r="31" spans="1:40" s="29" customFormat="1" ht="19.5" customHeight="1" x14ac:dyDescent="0.25">
      <c r="A31" s="32"/>
      <c r="B31" s="26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</row>
    <row r="32" spans="1:40" s="29" customFormat="1" ht="19.5" customHeight="1" x14ac:dyDescent="0.25">
      <c r="A32" s="32"/>
      <c r="B32" s="26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</row>
    <row r="33" spans="1:40" s="29" customFormat="1" ht="19.5" customHeight="1" x14ac:dyDescent="0.25">
      <c r="A33" s="32"/>
      <c r="B33" s="26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</row>
    <row r="34" spans="1:40" s="29" customFormat="1" ht="19.5" customHeight="1" x14ac:dyDescent="0.25">
      <c r="A34" s="32"/>
      <c r="B34" s="26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</row>
    <row r="35" spans="1:40" s="29" customFormat="1" ht="19.5" customHeight="1" x14ac:dyDescent="0.25">
      <c r="A35" s="32"/>
      <c r="B35" s="26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</row>
    <row r="36" spans="1:40" s="29" customFormat="1" ht="19.5" customHeight="1" x14ac:dyDescent="0.25">
      <c r="A36" s="32"/>
      <c r="B36" s="26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</row>
    <row r="37" spans="1:40" s="29" customFormat="1" ht="19.5" customHeight="1" x14ac:dyDescent="0.25">
      <c r="A37" s="32"/>
      <c r="B37" s="26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</row>
    <row r="38" spans="1:40" s="29" customFormat="1" ht="19.5" customHeight="1" x14ac:dyDescent="0.25">
      <c r="A38" s="32"/>
      <c r="B38" s="26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</row>
    <row r="39" spans="1:40" s="29" customFormat="1" ht="19.5" customHeight="1" x14ac:dyDescent="0.25">
      <c r="A39" s="32"/>
      <c r="B39" s="26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</row>
    <row r="40" spans="1:40" s="29" customFormat="1" ht="19.5" customHeight="1" x14ac:dyDescent="0.25">
      <c r="A40" s="32"/>
      <c r="B40" s="26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</row>
    <row r="41" spans="1:40" s="29" customFormat="1" ht="19.5" customHeight="1" x14ac:dyDescent="0.25">
      <c r="A41" s="32"/>
      <c r="B41" s="26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</row>
    <row r="42" spans="1:40" s="29" customFormat="1" ht="19.5" customHeight="1" x14ac:dyDescent="0.25">
      <c r="A42" s="32"/>
      <c r="B42" s="26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</row>
    <row r="43" spans="1:40" s="29" customFormat="1" ht="19.5" customHeight="1" x14ac:dyDescent="0.25">
      <c r="A43" s="32"/>
      <c r="B43" s="26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</row>
    <row r="44" spans="1:40" s="29" customFormat="1" ht="19.5" customHeight="1" x14ac:dyDescent="0.25">
      <c r="A44" s="32"/>
      <c r="B44" s="26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</row>
    <row r="45" spans="1:40" s="29" customFormat="1" ht="19.5" customHeight="1" x14ac:dyDescent="0.25">
      <c r="A45" s="32"/>
      <c r="B45" s="26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</row>
    <row r="46" spans="1:40" s="29" customFormat="1" ht="19.5" customHeight="1" x14ac:dyDescent="0.25">
      <c r="A46" s="32"/>
      <c r="B46" s="26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</row>
    <row r="47" spans="1:40" s="29" customFormat="1" ht="19.5" customHeight="1" x14ac:dyDescent="0.25">
      <c r="A47" s="32"/>
      <c r="B47" s="26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</row>
    <row r="48" spans="1:40" s="29" customFormat="1" ht="19.5" customHeight="1" x14ac:dyDescent="0.25">
      <c r="A48" s="32"/>
      <c r="B48" s="26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</row>
    <row r="49" spans="1:40" s="29" customFormat="1" ht="19.5" customHeight="1" x14ac:dyDescent="0.25">
      <c r="A49" s="32"/>
      <c r="B49" s="26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</row>
    <row r="50" spans="1:40" s="29" customFormat="1" ht="19.5" customHeight="1" x14ac:dyDescent="0.25">
      <c r="A50" s="32"/>
      <c r="B50" s="26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</row>
    <row r="51" spans="1:40" s="29" customFormat="1" ht="19.5" customHeight="1" x14ac:dyDescent="0.25">
      <c r="A51" s="32"/>
      <c r="B51" s="26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</row>
    <row r="52" spans="1:40" s="29" customFormat="1" ht="19.5" customHeight="1" x14ac:dyDescent="0.25">
      <c r="A52" s="32"/>
      <c r="B52" s="26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</row>
    <row r="53" spans="1:40" s="29" customFormat="1" ht="19.5" customHeight="1" x14ac:dyDescent="0.25">
      <c r="A53" s="32"/>
      <c r="B53" s="26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</row>
    <row r="54" spans="1:40" s="29" customFormat="1" ht="19.5" customHeight="1" x14ac:dyDescent="0.25">
      <c r="A54" s="32"/>
      <c r="B54" s="26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</row>
    <row r="55" spans="1:40" s="29" customFormat="1" ht="19.5" customHeight="1" x14ac:dyDescent="0.25">
      <c r="A55" s="32"/>
      <c r="B55" s="26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</row>
    <row r="56" spans="1:40" s="29" customFormat="1" ht="19.5" customHeight="1" x14ac:dyDescent="0.25">
      <c r="A56" s="32"/>
      <c r="B56" s="26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</row>
    <row r="57" spans="1:40" s="29" customFormat="1" ht="19.5" customHeight="1" x14ac:dyDescent="0.25">
      <c r="A57" s="32"/>
      <c r="B57" s="26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</row>
    <row r="58" spans="1:40" s="29" customFormat="1" ht="19.5" customHeight="1" x14ac:dyDescent="0.25">
      <c r="A58" s="32"/>
      <c r="B58" s="26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</row>
    <row r="59" spans="1:40" s="29" customFormat="1" ht="19.5" customHeight="1" x14ac:dyDescent="0.25">
      <c r="A59" s="32"/>
      <c r="B59" s="26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</row>
    <row r="60" spans="1:40" s="29" customFormat="1" ht="19.5" customHeight="1" x14ac:dyDescent="0.25">
      <c r="A60" s="32"/>
      <c r="B60" s="26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</row>
    <row r="61" spans="1:40" s="29" customFormat="1" ht="19.5" customHeight="1" x14ac:dyDescent="0.25">
      <c r="A61" s="32"/>
      <c r="B61" s="26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</row>
    <row r="62" spans="1:40" s="29" customFormat="1" ht="19.5" customHeight="1" x14ac:dyDescent="0.25">
      <c r="A62" s="32"/>
      <c r="B62" s="26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</row>
    <row r="63" spans="1:40" s="29" customFormat="1" ht="19.5" customHeight="1" x14ac:dyDescent="0.25">
      <c r="A63" s="32"/>
      <c r="B63" s="26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</row>
    <row r="64" spans="1:40" s="29" customFormat="1" ht="19.5" customHeight="1" x14ac:dyDescent="0.25">
      <c r="A64" s="32"/>
      <c r="B64" s="26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</row>
    <row r="65" spans="1:40" s="29" customFormat="1" ht="19.5" customHeight="1" x14ac:dyDescent="0.25">
      <c r="A65" s="32"/>
      <c r="B65" s="26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</row>
    <row r="66" spans="1:40" s="29" customFormat="1" ht="19.5" customHeight="1" x14ac:dyDescent="0.25">
      <c r="A66" s="32"/>
      <c r="B66" s="26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</row>
    <row r="67" spans="1:40" s="29" customFormat="1" ht="19.5" customHeight="1" x14ac:dyDescent="0.25">
      <c r="A67" s="32"/>
      <c r="B67" s="26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</row>
    <row r="68" spans="1:40" s="29" customFormat="1" ht="19.5" customHeight="1" x14ac:dyDescent="0.25">
      <c r="A68" s="32"/>
      <c r="B68" s="26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</row>
    <row r="69" spans="1:40" s="29" customFormat="1" ht="19.5" customHeight="1" x14ac:dyDescent="0.25">
      <c r="A69" s="32"/>
      <c r="B69" s="26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</row>
    <row r="70" spans="1:40" s="29" customFormat="1" ht="19.5" customHeight="1" x14ac:dyDescent="0.25">
      <c r="A70" s="32"/>
      <c r="B70" s="26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</row>
    <row r="71" spans="1:40" s="29" customFormat="1" ht="19.5" customHeight="1" x14ac:dyDescent="0.25">
      <c r="A71" s="32"/>
      <c r="B71" s="26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</row>
    <row r="72" spans="1:40" s="29" customFormat="1" ht="19.5" customHeight="1" x14ac:dyDescent="0.25">
      <c r="A72" s="32"/>
      <c r="B72" s="26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</row>
    <row r="73" spans="1:40" s="29" customFormat="1" ht="19.5" customHeight="1" x14ac:dyDescent="0.25">
      <c r="A73" s="32"/>
      <c r="B73" s="26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</row>
    <row r="74" spans="1:40" s="29" customFormat="1" ht="19.5" customHeight="1" x14ac:dyDescent="0.25">
      <c r="A74" s="32"/>
      <c r="B74" s="26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</row>
    <row r="75" spans="1:40" s="29" customFormat="1" ht="19.5" customHeight="1" x14ac:dyDescent="0.25">
      <c r="A75" s="32"/>
      <c r="B75" s="26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</row>
    <row r="76" spans="1:40" s="29" customFormat="1" ht="19.5" customHeight="1" x14ac:dyDescent="0.25">
      <c r="A76" s="32"/>
      <c r="B76" s="26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</row>
    <row r="77" spans="1:40" s="29" customFormat="1" ht="19.5" customHeight="1" x14ac:dyDescent="0.25">
      <c r="A77" s="32"/>
      <c r="B77" s="26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</row>
    <row r="78" spans="1:40" s="29" customFormat="1" ht="19.5" customHeight="1" x14ac:dyDescent="0.25">
      <c r="A78" s="32"/>
      <c r="B78" s="26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</row>
    <row r="79" spans="1:40" s="29" customFormat="1" ht="19.5" customHeight="1" x14ac:dyDescent="0.25">
      <c r="A79" s="32"/>
      <c r="B79" s="26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</row>
    <row r="80" spans="1:40" s="29" customFormat="1" ht="19.5" customHeight="1" x14ac:dyDescent="0.25">
      <c r="A80" s="32"/>
      <c r="B80" s="26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</row>
    <row r="81" spans="1:40" s="29" customFormat="1" ht="19.5" customHeight="1" x14ac:dyDescent="0.25">
      <c r="A81" s="32"/>
      <c r="B81" s="26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</row>
    <row r="82" spans="1:40" s="29" customFormat="1" ht="19.5" customHeight="1" x14ac:dyDescent="0.25">
      <c r="A82" s="32"/>
      <c r="B82" s="26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</row>
    <row r="83" spans="1:40" s="29" customFormat="1" ht="19.5" customHeight="1" x14ac:dyDescent="0.25">
      <c r="A83" s="32"/>
      <c r="B83" s="26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</row>
    <row r="84" spans="1:40" s="29" customFormat="1" ht="19.5" customHeight="1" x14ac:dyDescent="0.25">
      <c r="A84" s="32"/>
      <c r="B84" s="26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</row>
    <row r="85" spans="1:40" s="29" customFormat="1" ht="19.5" customHeight="1" x14ac:dyDescent="0.25">
      <c r="A85" s="32"/>
      <c r="B85" s="26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</row>
    <row r="86" spans="1:40" s="29" customFormat="1" ht="19.5" customHeight="1" x14ac:dyDescent="0.25">
      <c r="A86" s="32"/>
      <c r="B86" s="26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</row>
    <row r="87" spans="1:40" s="29" customFormat="1" ht="19.5" customHeight="1" x14ac:dyDescent="0.25">
      <c r="A87" s="32"/>
      <c r="B87" s="26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</row>
    <row r="88" spans="1:40" s="29" customFormat="1" ht="19.5" customHeight="1" x14ac:dyDescent="0.25">
      <c r="A88" s="32"/>
      <c r="B88" s="26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</row>
    <row r="89" spans="1:40" s="29" customFormat="1" ht="15" customHeight="1" x14ac:dyDescent="0.25">
      <c r="A89" s="32"/>
      <c r="B89" s="26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</row>
    <row r="90" spans="1:40" s="29" customFormat="1" ht="15" customHeight="1" x14ac:dyDescent="0.25">
      <c r="A90" s="32"/>
      <c r="B90" s="26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</row>
    <row r="91" spans="1:40" s="29" customFormat="1" ht="15" customHeight="1" x14ac:dyDescent="0.25">
      <c r="A91" s="32"/>
      <c r="B91" s="26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</row>
    <row r="92" spans="1:40" s="29" customFormat="1" ht="15" customHeight="1" x14ac:dyDescent="0.25">
      <c r="A92" s="32"/>
      <c r="B92" s="26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</row>
    <row r="93" spans="1:40" s="29" customFormat="1" ht="15" customHeight="1" x14ac:dyDescent="0.25">
      <c r="A93" s="32"/>
      <c r="B93" s="26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</row>
    <row r="94" spans="1:40" s="29" customFormat="1" ht="15" customHeight="1" x14ac:dyDescent="0.25">
      <c r="A94" s="32"/>
      <c r="B94" s="26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</row>
    <row r="95" spans="1:40" s="29" customFormat="1" ht="15" customHeight="1" x14ac:dyDescent="0.25">
      <c r="A95" s="32"/>
      <c r="B95" s="26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</row>
    <row r="96" spans="1:40" s="29" customFormat="1" ht="15" customHeight="1" x14ac:dyDescent="0.25">
      <c r="A96" s="32"/>
      <c r="B96" s="26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</row>
    <row r="97" spans="1:40" s="29" customFormat="1" ht="15" customHeight="1" x14ac:dyDescent="0.25">
      <c r="A97" s="32"/>
      <c r="B97" s="26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</row>
    <row r="98" spans="1:40" s="29" customFormat="1" ht="15" customHeight="1" x14ac:dyDescent="0.25">
      <c r="A98" s="32"/>
      <c r="B98" s="26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</row>
    <row r="99" spans="1:40" s="29" customFormat="1" ht="15" customHeight="1" x14ac:dyDescent="0.25">
      <c r="A99" s="32"/>
      <c r="B99" s="26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</row>
    <row r="100" spans="1:40" s="29" customFormat="1" ht="15" customHeight="1" x14ac:dyDescent="0.25">
      <c r="A100" s="32"/>
      <c r="B100" s="26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</row>
    <row r="101" spans="1:40" s="29" customFormat="1" ht="15" customHeight="1" x14ac:dyDescent="0.25">
      <c r="A101" s="32"/>
      <c r="B101" s="26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</row>
    <row r="102" spans="1:40" s="29" customFormat="1" ht="15" customHeight="1" x14ac:dyDescent="0.25">
      <c r="A102" s="32"/>
      <c r="B102" s="26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</row>
    <row r="103" spans="1:40" s="29" customFormat="1" ht="15" customHeight="1" x14ac:dyDescent="0.25">
      <c r="A103" s="32"/>
      <c r="B103" s="26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</row>
    <row r="104" spans="1:40" s="29" customFormat="1" ht="15" customHeight="1" x14ac:dyDescent="0.25">
      <c r="A104" s="32"/>
      <c r="B104" s="26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</row>
    <row r="105" spans="1:40" s="29" customFormat="1" ht="15" customHeight="1" x14ac:dyDescent="0.25">
      <c r="A105" s="32"/>
      <c r="B105" s="26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</row>
    <row r="106" spans="1:40" s="29" customFormat="1" ht="15" customHeight="1" x14ac:dyDescent="0.25">
      <c r="A106" s="32"/>
      <c r="B106" s="26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</row>
    <row r="107" spans="1:40" s="29" customFormat="1" ht="15" customHeight="1" x14ac:dyDescent="0.25">
      <c r="A107" s="32"/>
      <c r="B107" s="26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</row>
    <row r="108" spans="1:40" s="29" customFormat="1" ht="15" customHeight="1" x14ac:dyDescent="0.25">
      <c r="A108" s="32"/>
      <c r="B108" s="26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</row>
    <row r="109" spans="1:40" s="29" customFormat="1" ht="15" customHeight="1" x14ac:dyDescent="0.25">
      <c r="A109" s="32"/>
      <c r="B109" s="26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</row>
    <row r="110" spans="1:40" s="29" customFormat="1" ht="15" customHeight="1" x14ac:dyDescent="0.25">
      <c r="A110" s="32"/>
      <c r="B110" s="26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</row>
    <row r="111" spans="1:40" s="29" customFormat="1" ht="15" customHeight="1" x14ac:dyDescent="0.25">
      <c r="A111" s="32"/>
      <c r="B111" s="26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</row>
    <row r="112" spans="1:40" s="29" customFormat="1" ht="15" customHeight="1" x14ac:dyDescent="0.25">
      <c r="A112" s="32"/>
      <c r="B112" s="26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</row>
    <row r="113" spans="1:40" s="29" customFormat="1" ht="15" customHeight="1" x14ac:dyDescent="0.25">
      <c r="A113" s="32"/>
      <c r="B113" s="26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</row>
    <row r="114" spans="1:40" s="29" customFormat="1" ht="15" customHeight="1" x14ac:dyDescent="0.25">
      <c r="A114" s="32"/>
      <c r="B114" s="26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</row>
    <row r="115" spans="1:40" s="29" customFormat="1" ht="15" customHeight="1" x14ac:dyDescent="0.25">
      <c r="A115" s="32"/>
      <c r="B115" s="26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</row>
    <row r="116" spans="1:40" s="29" customFormat="1" ht="15" customHeight="1" x14ac:dyDescent="0.25">
      <c r="A116" s="32"/>
      <c r="B116" s="26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</row>
    <row r="117" spans="1:40" s="29" customFormat="1" ht="15" customHeight="1" x14ac:dyDescent="0.25">
      <c r="A117" s="32"/>
      <c r="B117" s="26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</row>
    <row r="118" spans="1:40" s="29" customFormat="1" ht="15" customHeight="1" x14ac:dyDescent="0.25">
      <c r="A118" s="32"/>
      <c r="B118" s="26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</row>
    <row r="119" spans="1:40" s="29" customFormat="1" ht="15" customHeight="1" x14ac:dyDescent="0.25">
      <c r="A119" s="32"/>
      <c r="B119" s="26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</row>
    <row r="120" spans="1:40" s="29" customFormat="1" ht="15" customHeight="1" x14ac:dyDescent="0.25">
      <c r="A120" s="32"/>
      <c r="B120" s="26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</row>
    <row r="121" spans="1:40" s="29" customFormat="1" ht="15" customHeight="1" x14ac:dyDescent="0.25">
      <c r="A121" s="32"/>
      <c r="B121" s="26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</row>
    <row r="122" spans="1:40" s="29" customFormat="1" ht="15" customHeight="1" x14ac:dyDescent="0.25">
      <c r="A122" s="32"/>
      <c r="B122" s="26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</row>
    <row r="123" spans="1:40" s="29" customFormat="1" ht="15" customHeight="1" x14ac:dyDescent="0.25">
      <c r="A123" s="32"/>
      <c r="B123" s="26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</row>
    <row r="124" spans="1:40" s="29" customFormat="1" ht="15" customHeight="1" x14ac:dyDescent="0.25">
      <c r="A124" s="32"/>
      <c r="B124" s="26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</row>
    <row r="125" spans="1:40" s="29" customFormat="1" ht="15" customHeight="1" x14ac:dyDescent="0.25">
      <c r="A125" s="32"/>
      <c r="B125" s="26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</row>
    <row r="126" spans="1:40" s="29" customFormat="1" ht="15" customHeight="1" x14ac:dyDescent="0.25">
      <c r="A126" s="32"/>
      <c r="B126" s="26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</row>
    <row r="127" spans="1:40" s="29" customFormat="1" ht="15" customHeight="1" x14ac:dyDescent="0.25">
      <c r="A127" s="32"/>
      <c r="B127" s="26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</row>
    <row r="128" spans="1:40" s="29" customFormat="1" ht="15" customHeight="1" x14ac:dyDescent="0.25">
      <c r="A128" s="32"/>
      <c r="B128" s="26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</row>
    <row r="129" spans="1:40" s="29" customFormat="1" ht="15" customHeight="1" x14ac:dyDescent="0.25">
      <c r="A129" s="32"/>
      <c r="B129" s="26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</row>
    <row r="130" spans="1:40" s="29" customFormat="1" ht="15" customHeight="1" x14ac:dyDescent="0.25">
      <c r="A130" s="32"/>
      <c r="B130" s="26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</row>
    <row r="131" spans="1:40" s="29" customFormat="1" ht="15" customHeight="1" x14ac:dyDescent="0.25">
      <c r="A131" s="32"/>
      <c r="B131" s="26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</row>
    <row r="132" spans="1:40" s="29" customFormat="1" ht="15" customHeight="1" x14ac:dyDescent="0.25">
      <c r="A132" s="32"/>
      <c r="B132" s="26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</row>
    <row r="133" spans="1:40" s="29" customFormat="1" ht="15" customHeight="1" x14ac:dyDescent="0.25">
      <c r="A133" s="32"/>
      <c r="B133" s="26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</row>
    <row r="134" spans="1:40" s="29" customFormat="1" ht="15" customHeight="1" x14ac:dyDescent="0.25">
      <c r="A134" s="32"/>
      <c r="B134" s="26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</row>
    <row r="135" spans="1:40" s="29" customFormat="1" ht="15" customHeight="1" x14ac:dyDescent="0.25">
      <c r="A135" s="32"/>
      <c r="B135" s="26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</row>
    <row r="136" spans="1:40" s="29" customFormat="1" ht="15" customHeight="1" x14ac:dyDescent="0.25">
      <c r="A136" s="32"/>
      <c r="B136" s="26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</row>
    <row r="137" spans="1:40" s="29" customFormat="1" ht="15" customHeight="1" x14ac:dyDescent="0.25">
      <c r="A137" s="32"/>
      <c r="B137" s="26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</row>
    <row r="138" spans="1:40" s="29" customFormat="1" ht="15" customHeight="1" x14ac:dyDescent="0.25">
      <c r="A138" s="32"/>
      <c r="B138" s="26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</row>
    <row r="139" spans="1:40" s="29" customFormat="1" ht="15" customHeight="1" x14ac:dyDescent="0.25">
      <c r="A139" s="32"/>
      <c r="B139" s="26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</row>
    <row r="140" spans="1:40" s="29" customFormat="1" ht="15" customHeight="1" x14ac:dyDescent="0.25">
      <c r="A140" s="32"/>
      <c r="B140" s="26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</row>
    <row r="141" spans="1:40" s="29" customFormat="1" ht="15" customHeight="1" x14ac:dyDescent="0.25">
      <c r="A141" s="32"/>
      <c r="B141" s="26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</row>
    <row r="142" spans="1:40" s="29" customFormat="1" ht="15" customHeight="1" x14ac:dyDescent="0.25">
      <c r="A142" s="32"/>
      <c r="B142" s="26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</row>
    <row r="143" spans="1:40" s="29" customFormat="1" ht="15" customHeight="1" x14ac:dyDescent="0.25">
      <c r="A143" s="32"/>
      <c r="B143" s="26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</row>
    <row r="144" spans="1:40" s="29" customFormat="1" ht="15" customHeight="1" x14ac:dyDescent="0.25">
      <c r="A144" s="32"/>
      <c r="B144" s="26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</row>
    <row r="145" spans="1:40" s="29" customFormat="1" ht="15" customHeight="1" x14ac:dyDescent="0.25">
      <c r="A145" s="32"/>
      <c r="B145" s="26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</row>
    <row r="146" spans="1:40" s="29" customFormat="1" ht="15" customHeight="1" x14ac:dyDescent="0.25">
      <c r="A146" s="32"/>
      <c r="B146" s="26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</row>
    <row r="147" spans="1:40" s="29" customFormat="1" ht="15" customHeight="1" x14ac:dyDescent="0.25">
      <c r="A147" s="32"/>
      <c r="B147" s="26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</row>
    <row r="148" spans="1:40" s="29" customFormat="1" ht="15" customHeight="1" x14ac:dyDescent="0.25">
      <c r="A148" s="32"/>
      <c r="B148" s="26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</row>
    <row r="149" spans="1:40" s="29" customFormat="1" ht="15" customHeight="1" x14ac:dyDescent="0.25">
      <c r="A149" s="32"/>
      <c r="B149" s="26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</row>
  </sheetData>
  <mergeCells count="3">
    <mergeCell ref="A1:A2"/>
    <mergeCell ref="C1:G1"/>
    <mergeCell ref="C2:G2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Inicio</vt:lpstr>
      <vt:lpstr>Dashboard</vt:lpstr>
      <vt:lpstr>Supuestos</vt:lpstr>
      <vt:lpstr>Inversion Inicial</vt:lpstr>
      <vt:lpstr>Ventas</vt:lpstr>
      <vt:lpstr>Costos Variables</vt:lpstr>
      <vt:lpstr>Costos Fijos</vt:lpstr>
      <vt:lpstr>Impuestos</vt:lpstr>
      <vt:lpstr>Inventario</vt:lpstr>
      <vt:lpstr>Financiamiento</vt:lpstr>
      <vt:lpstr>Flujo de Caja</vt:lpstr>
      <vt:lpstr>Punto Equilibrio</vt:lpstr>
      <vt:lpstr>Escenarios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202437656</cp:lastModifiedBy>
  <cp:revision>2</cp:revision>
  <dcterms:created xsi:type="dcterms:W3CDTF">2026-06-13T08:43:39Z</dcterms:created>
  <dcterms:modified xsi:type="dcterms:W3CDTF">2026-07-12T19:15:14Z</dcterms:modified>
  <dc:language>en-US</dc:language>
</cp:coreProperties>
</file>