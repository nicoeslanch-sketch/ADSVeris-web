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royecto\plantillas_pymex\"/>
    </mc:Choice>
  </mc:AlternateContent>
  <xr:revisionPtr revIDLastSave="0" documentId="13_ncr:1_{48DB8E8C-00E7-433A-8E18-AE5526AE2FD5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Inicio" sheetId="1" r:id="rId1"/>
    <sheet name="Dashboard" sheetId="2" r:id="rId2"/>
    <sheet name="Parametros" sheetId="3" r:id="rId3"/>
    <sheet name="CRM" sheetId="4" r:id="rId4"/>
    <sheet name="Cobranza" sheetId="5" r:id="rId5"/>
    <sheet name="Reporte" sheetId="6" r:id="rId6"/>
  </sheets>
  <definedNames>
    <definedName name="Lista_Canal">Parametros!$L$5:$L$11</definedName>
    <definedName name="Lista_CondicionPago">Parametros!$N$5:$N$10</definedName>
    <definedName name="Lista_EstadoCobranza">Parametros!$J$5:$J$9</definedName>
    <definedName name="Lista_EstadoVenta">Parametros!$D$5:$D$9</definedName>
    <definedName name="Lista_IDCliente">CRM!$B$8:$B$1007</definedName>
    <definedName name="Lista_ProximaAccion">Parametros!$F$5:$F$11</definedName>
    <definedName name="Lista_Responsable">Parametros!$H$5:$H$8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08" i="5" l="1"/>
  <c r="M1008" i="5"/>
  <c r="L1008" i="5"/>
  <c r="F1008" i="5"/>
  <c r="D1008" i="5"/>
  <c r="N1007" i="5"/>
  <c r="M1007" i="5"/>
  <c r="L1007" i="5"/>
  <c r="F1007" i="5"/>
  <c r="D1007" i="5"/>
  <c r="N1006" i="5"/>
  <c r="M1006" i="5"/>
  <c r="L1006" i="5"/>
  <c r="F1006" i="5"/>
  <c r="D1006" i="5"/>
  <c r="N1005" i="5"/>
  <c r="M1005" i="5"/>
  <c r="L1005" i="5"/>
  <c r="F1005" i="5"/>
  <c r="D1005" i="5"/>
  <c r="N1004" i="5"/>
  <c r="M1004" i="5"/>
  <c r="L1004" i="5"/>
  <c r="F1004" i="5"/>
  <c r="D1004" i="5"/>
  <c r="N1003" i="5"/>
  <c r="M1003" i="5"/>
  <c r="L1003" i="5"/>
  <c r="F1003" i="5"/>
  <c r="D1003" i="5"/>
  <c r="N1002" i="5"/>
  <c r="M1002" i="5"/>
  <c r="L1002" i="5"/>
  <c r="F1002" i="5"/>
  <c r="D1002" i="5"/>
  <c r="N1001" i="5"/>
  <c r="M1001" i="5"/>
  <c r="L1001" i="5"/>
  <c r="F1001" i="5"/>
  <c r="D1001" i="5"/>
  <c r="N1000" i="5"/>
  <c r="M1000" i="5"/>
  <c r="L1000" i="5"/>
  <c r="F1000" i="5"/>
  <c r="D1000" i="5"/>
  <c r="N999" i="5"/>
  <c r="M999" i="5"/>
  <c r="L999" i="5"/>
  <c r="F999" i="5"/>
  <c r="D999" i="5"/>
  <c r="N998" i="5"/>
  <c r="M998" i="5"/>
  <c r="L998" i="5"/>
  <c r="F998" i="5"/>
  <c r="D998" i="5"/>
  <c r="N997" i="5"/>
  <c r="M997" i="5"/>
  <c r="L997" i="5"/>
  <c r="F997" i="5"/>
  <c r="D997" i="5"/>
  <c r="N996" i="5"/>
  <c r="M996" i="5"/>
  <c r="L996" i="5"/>
  <c r="F996" i="5"/>
  <c r="D996" i="5"/>
  <c r="N995" i="5"/>
  <c r="M995" i="5"/>
  <c r="L995" i="5"/>
  <c r="F995" i="5"/>
  <c r="D995" i="5"/>
  <c r="N994" i="5"/>
  <c r="M994" i="5"/>
  <c r="L994" i="5"/>
  <c r="F994" i="5"/>
  <c r="D994" i="5"/>
  <c r="N993" i="5"/>
  <c r="M993" i="5"/>
  <c r="L993" i="5"/>
  <c r="F993" i="5"/>
  <c r="D993" i="5"/>
  <c r="N992" i="5"/>
  <c r="M992" i="5"/>
  <c r="L992" i="5"/>
  <c r="F992" i="5"/>
  <c r="D992" i="5"/>
  <c r="N991" i="5"/>
  <c r="M991" i="5"/>
  <c r="L991" i="5"/>
  <c r="F991" i="5"/>
  <c r="D991" i="5"/>
  <c r="N990" i="5"/>
  <c r="M990" i="5"/>
  <c r="L990" i="5"/>
  <c r="F990" i="5"/>
  <c r="D990" i="5"/>
  <c r="N989" i="5"/>
  <c r="M989" i="5"/>
  <c r="L989" i="5"/>
  <c r="F989" i="5"/>
  <c r="D989" i="5"/>
  <c r="N988" i="5"/>
  <c r="M988" i="5"/>
  <c r="L988" i="5"/>
  <c r="F988" i="5"/>
  <c r="D988" i="5"/>
  <c r="N987" i="5"/>
  <c r="M987" i="5"/>
  <c r="L987" i="5"/>
  <c r="F987" i="5"/>
  <c r="D987" i="5"/>
  <c r="N986" i="5"/>
  <c r="M986" i="5"/>
  <c r="L986" i="5"/>
  <c r="F986" i="5"/>
  <c r="D986" i="5"/>
  <c r="N985" i="5"/>
  <c r="M985" i="5"/>
  <c r="L985" i="5"/>
  <c r="F985" i="5"/>
  <c r="D985" i="5"/>
  <c r="N984" i="5"/>
  <c r="M984" i="5"/>
  <c r="L984" i="5"/>
  <c r="F984" i="5"/>
  <c r="D984" i="5"/>
  <c r="N983" i="5"/>
  <c r="M983" i="5"/>
  <c r="L983" i="5"/>
  <c r="F983" i="5"/>
  <c r="D983" i="5"/>
  <c r="N982" i="5"/>
  <c r="M982" i="5"/>
  <c r="L982" i="5"/>
  <c r="F982" i="5"/>
  <c r="D982" i="5"/>
  <c r="N981" i="5"/>
  <c r="M981" i="5"/>
  <c r="L981" i="5"/>
  <c r="F981" i="5"/>
  <c r="D981" i="5"/>
  <c r="N980" i="5"/>
  <c r="M980" i="5"/>
  <c r="L980" i="5"/>
  <c r="F980" i="5"/>
  <c r="D980" i="5"/>
  <c r="N979" i="5"/>
  <c r="M979" i="5"/>
  <c r="L979" i="5"/>
  <c r="F979" i="5"/>
  <c r="D979" i="5"/>
  <c r="N978" i="5"/>
  <c r="M978" i="5"/>
  <c r="L978" i="5"/>
  <c r="F978" i="5"/>
  <c r="D978" i="5"/>
  <c r="N977" i="5"/>
  <c r="M977" i="5"/>
  <c r="L977" i="5"/>
  <c r="F977" i="5"/>
  <c r="D977" i="5"/>
  <c r="N976" i="5"/>
  <c r="M976" i="5"/>
  <c r="L976" i="5"/>
  <c r="F976" i="5"/>
  <c r="D976" i="5"/>
  <c r="N975" i="5"/>
  <c r="M975" i="5"/>
  <c r="L975" i="5"/>
  <c r="F975" i="5"/>
  <c r="D975" i="5"/>
  <c r="N974" i="5"/>
  <c r="M974" i="5"/>
  <c r="L974" i="5"/>
  <c r="F974" i="5"/>
  <c r="D974" i="5"/>
  <c r="N973" i="5"/>
  <c r="M973" i="5"/>
  <c r="L973" i="5"/>
  <c r="F973" i="5"/>
  <c r="D973" i="5"/>
  <c r="N972" i="5"/>
  <c r="M972" i="5"/>
  <c r="L972" i="5"/>
  <c r="F972" i="5"/>
  <c r="D972" i="5"/>
  <c r="N971" i="5"/>
  <c r="M971" i="5"/>
  <c r="L971" i="5"/>
  <c r="F971" i="5"/>
  <c r="D971" i="5"/>
  <c r="N970" i="5"/>
  <c r="M970" i="5"/>
  <c r="L970" i="5"/>
  <c r="F970" i="5"/>
  <c r="D970" i="5"/>
  <c r="N969" i="5"/>
  <c r="M969" i="5"/>
  <c r="L969" i="5"/>
  <c r="F969" i="5"/>
  <c r="D969" i="5"/>
  <c r="N968" i="5"/>
  <c r="M968" i="5"/>
  <c r="L968" i="5"/>
  <c r="F968" i="5"/>
  <c r="D968" i="5"/>
  <c r="N967" i="5"/>
  <c r="M967" i="5"/>
  <c r="L967" i="5"/>
  <c r="F967" i="5"/>
  <c r="D967" i="5"/>
  <c r="N966" i="5"/>
  <c r="M966" i="5"/>
  <c r="L966" i="5"/>
  <c r="F966" i="5"/>
  <c r="D966" i="5"/>
  <c r="N965" i="5"/>
  <c r="M965" i="5"/>
  <c r="L965" i="5"/>
  <c r="F965" i="5"/>
  <c r="D965" i="5"/>
  <c r="N964" i="5"/>
  <c r="M964" i="5"/>
  <c r="L964" i="5"/>
  <c r="F964" i="5"/>
  <c r="D964" i="5"/>
  <c r="N963" i="5"/>
  <c r="M963" i="5"/>
  <c r="L963" i="5"/>
  <c r="F963" i="5"/>
  <c r="D963" i="5"/>
  <c r="N962" i="5"/>
  <c r="M962" i="5"/>
  <c r="L962" i="5"/>
  <c r="F962" i="5"/>
  <c r="D962" i="5"/>
  <c r="N961" i="5"/>
  <c r="M961" i="5"/>
  <c r="L961" i="5"/>
  <c r="F961" i="5"/>
  <c r="D961" i="5"/>
  <c r="N960" i="5"/>
  <c r="M960" i="5"/>
  <c r="L960" i="5"/>
  <c r="F960" i="5"/>
  <c r="D960" i="5"/>
  <c r="N959" i="5"/>
  <c r="M959" i="5"/>
  <c r="L959" i="5"/>
  <c r="F959" i="5"/>
  <c r="D959" i="5"/>
  <c r="N958" i="5"/>
  <c r="M958" i="5"/>
  <c r="L958" i="5"/>
  <c r="F958" i="5"/>
  <c r="D958" i="5"/>
  <c r="N957" i="5"/>
  <c r="M957" i="5"/>
  <c r="L957" i="5"/>
  <c r="F957" i="5"/>
  <c r="D957" i="5"/>
  <c r="N956" i="5"/>
  <c r="M956" i="5"/>
  <c r="L956" i="5"/>
  <c r="F956" i="5"/>
  <c r="D956" i="5"/>
  <c r="N955" i="5"/>
  <c r="M955" i="5"/>
  <c r="L955" i="5"/>
  <c r="F955" i="5"/>
  <c r="D955" i="5"/>
  <c r="N954" i="5"/>
  <c r="M954" i="5"/>
  <c r="L954" i="5"/>
  <c r="F954" i="5"/>
  <c r="D954" i="5"/>
  <c r="N953" i="5"/>
  <c r="M953" i="5"/>
  <c r="L953" i="5"/>
  <c r="F953" i="5"/>
  <c r="D953" i="5"/>
  <c r="N952" i="5"/>
  <c r="M952" i="5"/>
  <c r="L952" i="5"/>
  <c r="F952" i="5"/>
  <c r="D952" i="5"/>
  <c r="N951" i="5"/>
  <c r="M951" i="5"/>
  <c r="L951" i="5"/>
  <c r="F951" i="5"/>
  <c r="D951" i="5"/>
  <c r="N950" i="5"/>
  <c r="M950" i="5"/>
  <c r="L950" i="5"/>
  <c r="F950" i="5"/>
  <c r="D950" i="5"/>
  <c r="N949" i="5"/>
  <c r="M949" i="5"/>
  <c r="L949" i="5"/>
  <c r="F949" i="5"/>
  <c r="D949" i="5"/>
  <c r="N948" i="5"/>
  <c r="M948" i="5"/>
  <c r="L948" i="5"/>
  <c r="F948" i="5"/>
  <c r="D948" i="5"/>
  <c r="N947" i="5"/>
  <c r="M947" i="5"/>
  <c r="L947" i="5"/>
  <c r="F947" i="5"/>
  <c r="D947" i="5"/>
  <c r="N946" i="5"/>
  <c r="M946" i="5"/>
  <c r="L946" i="5"/>
  <c r="F946" i="5"/>
  <c r="D946" i="5"/>
  <c r="N945" i="5"/>
  <c r="M945" i="5"/>
  <c r="L945" i="5"/>
  <c r="F945" i="5"/>
  <c r="D945" i="5"/>
  <c r="N944" i="5"/>
  <c r="M944" i="5"/>
  <c r="L944" i="5"/>
  <c r="F944" i="5"/>
  <c r="D944" i="5"/>
  <c r="N943" i="5"/>
  <c r="M943" i="5"/>
  <c r="L943" i="5"/>
  <c r="F943" i="5"/>
  <c r="D943" i="5"/>
  <c r="N942" i="5"/>
  <c r="M942" i="5"/>
  <c r="L942" i="5"/>
  <c r="F942" i="5"/>
  <c r="D942" i="5"/>
  <c r="N941" i="5"/>
  <c r="M941" i="5"/>
  <c r="L941" i="5"/>
  <c r="F941" i="5"/>
  <c r="D941" i="5"/>
  <c r="N940" i="5"/>
  <c r="M940" i="5"/>
  <c r="L940" i="5"/>
  <c r="F940" i="5"/>
  <c r="D940" i="5"/>
  <c r="N939" i="5"/>
  <c r="M939" i="5"/>
  <c r="L939" i="5"/>
  <c r="F939" i="5"/>
  <c r="D939" i="5"/>
  <c r="N938" i="5"/>
  <c r="M938" i="5"/>
  <c r="L938" i="5"/>
  <c r="F938" i="5"/>
  <c r="D938" i="5"/>
  <c r="N937" i="5"/>
  <c r="M937" i="5"/>
  <c r="L937" i="5"/>
  <c r="F937" i="5"/>
  <c r="D937" i="5"/>
  <c r="N936" i="5"/>
  <c r="M936" i="5"/>
  <c r="L936" i="5"/>
  <c r="F936" i="5"/>
  <c r="D936" i="5"/>
  <c r="N935" i="5"/>
  <c r="M935" i="5"/>
  <c r="L935" i="5"/>
  <c r="F935" i="5"/>
  <c r="D935" i="5"/>
  <c r="N934" i="5"/>
  <c r="M934" i="5"/>
  <c r="L934" i="5"/>
  <c r="F934" i="5"/>
  <c r="D934" i="5"/>
  <c r="N933" i="5"/>
  <c r="M933" i="5"/>
  <c r="L933" i="5"/>
  <c r="F933" i="5"/>
  <c r="D933" i="5"/>
  <c r="N932" i="5"/>
  <c r="M932" i="5"/>
  <c r="L932" i="5"/>
  <c r="F932" i="5"/>
  <c r="D932" i="5"/>
  <c r="N931" i="5"/>
  <c r="M931" i="5"/>
  <c r="L931" i="5"/>
  <c r="F931" i="5"/>
  <c r="D931" i="5"/>
  <c r="N930" i="5"/>
  <c r="M930" i="5"/>
  <c r="L930" i="5"/>
  <c r="F930" i="5"/>
  <c r="D930" i="5"/>
  <c r="N929" i="5"/>
  <c r="M929" i="5"/>
  <c r="L929" i="5"/>
  <c r="F929" i="5"/>
  <c r="D929" i="5"/>
  <c r="N928" i="5"/>
  <c r="M928" i="5"/>
  <c r="L928" i="5"/>
  <c r="F928" i="5"/>
  <c r="D928" i="5"/>
  <c r="N927" i="5"/>
  <c r="M927" i="5"/>
  <c r="L927" i="5"/>
  <c r="F927" i="5"/>
  <c r="D927" i="5"/>
  <c r="N926" i="5"/>
  <c r="M926" i="5"/>
  <c r="L926" i="5"/>
  <c r="F926" i="5"/>
  <c r="D926" i="5"/>
  <c r="N925" i="5"/>
  <c r="M925" i="5"/>
  <c r="L925" i="5"/>
  <c r="F925" i="5"/>
  <c r="D925" i="5"/>
  <c r="N924" i="5"/>
  <c r="M924" i="5"/>
  <c r="L924" i="5"/>
  <c r="F924" i="5"/>
  <c r="D924" i="5"/>
  <c r="N923" i="5"/>
  <c r="M923" i="5"/>
  <c r="L923" i="5"/>
  <c r="F923" i="5"/>
  <c r="D923" i="5"/>
  <c r="N922" i="5"/>
  <c r="M922" i="5"/>
  <c r="L922" i="5"/>
  <c r="F922" i="5"/>
  <c r="D922" i="5"/>
  <c r="N921" i="5"/>
  <c r="M921" i="5"/>
  <c r="L921" i="5"/>
  <c r="F921" i="5"/>
  <c r="D921" i="5"/>
  <c r="N920" i="5"/>
  <c r="M920" i="5"/>
  <c r="L920" i="5"/>
  <c r="F920" i="5"/>
  <c r="D920" i="5"/>
  <c r="N919" i="5"/>
  <c r="M919" i="5"/>
  <c r="L919" i="5"/>
  <c r="F919" i="5"/>
  <c r="D919" i="5"/>
  <c r="N918" i="5"/>
  <c r="M918" i="5"/>
  <c r="L918" i="5"/>
  <c r="F918" i="5"/>
  <c r="D918" i="5"/>
  <c r="N917" i="5"/>
  <c r="M917" i="5"/>
  <c r="L917" i="5"/>
  <c r="F917" i="5"/>
  <c r="D917" i="5"/>
  <c r="N916" i="5"/>
  <c r="M916" i="5"/>
  <c r="L916" i="5"/>
  <c r="F916" i="5"/>
  <c r="D916" i="5"/>
  <c r="N915" i="5"/>
  <c r="M915" i="5"/>
  <c r="L915" i="5"/>
  <c r="F915" i="5"/>
  <c r="D915" i="5"/>
  <c r="N914" i="5"/>
  <c r="M914" i="5"/>
  <c r="L914" i="5"/>
  <c r="F914" i="5"/>
  <c r="D914" i="5"/>
  <c r="N913" i="5"/>
  <c r="M913" i="5"/>
  <c r="L913" i="5"/>
  <c r="F913" i="5"/>
  <c r="D913" i="5"/>
  <c r="N912" i="5"/>
  <c r="M912" i="5"/>
  <c r="L912" i="5"/>
  <c r="F912" i="5"/>
  <c r="D912" i="5"/>
  <c r="N911" i="5"/>
  <c r="M911" i="5"/>
  <c r="L911" i="5"/>
  <c r="F911" i="5"/>
  <c r="D911" i="5"/>
  <c r="N910" i="5"/>
  <c r="M910" i="5"/>
  <c r="L910" i="5"/>
  <c r="F910" i="5"/>
  <c r="D910" i="5"/>
  <c r="N909" i="5"/>
  <c r="M909" i="5"/>
  <c r="L909" i="5"/>
  <c r="F909" i="5"/>
  <c r="D909" i="5"/>
  <c r="N908" i="5"/>
  <c r="M908" i="5"/>
  <c r="L908" i="5"/>
  <c r="F908" i="5"/>
  <c r="D908" i="5"/>
  <c r="N907" i="5"/>
  <c r="M907" i="5"/>
  <c r="L907" i="5"/>
  <c r="F907" i="5"/>
  <c r="D907" i="5"/>
  <c r="N906" i="5"/>
  <c r="M906" i="5"/>
  <c r="L906" i="5"/>
  <c r="F906" i="5"/>
  <c r="D906" i="5"/>
  <c r="N905" i="5"/>
  <c r="M905" i="5"/>
  <c r="L905" i="5"/>
  <c r="F905" i="5"/>
  <c r="D905" i="5"/>
  <c r="N904" i="5"/>
  <c r="M904" i="5"/>
  <c r="L904" i="5"/>
  <c r="F904" i="5"/>
  <c r="D904" i="5"/>
  <c r="N903" i="5"/>
  <c r="M903" i="5"/>
  <c r="L903" i="5"/>
  <c r="F903" i="5"/>
  <c r="D903" i="5"/>
  <c r="N902" i="5"/>
  <c r="M902" i="5"/>
  <c r="L902" i="5"/>
  <c r="F902" i="5"/>
  <c r="D902" i="5"/>
  <c r="N901" i="5"/>
  <c r="M901" i="5"/>
  <c r="L901" i="5"/>
  <c r="F901" i="5"/>
  <c r="D901" i="5"/>
  <c r="N900" i="5"/>
  <c r="M900" i="5"/>
  <c r="L900" i="5"/>
  <c r="F900" i="5"/>
  <c r="D900" i="5"/>
  <c r="N899" i="5"/>
  <c r="M899" i="5"/>
  <c r="L899" i="5"/>
  <c r="F899" i="5"/>
  <c r="D899" i="5"/>
  <c r="N898" i="5"/>
  <c r="M898" i="5"/>
  <c r="L898" i="5"/>
  <c r="F898" i="5"/>
  <c r="D898" i="5"/>
  <c r="N897" i="5"/>
  <c r="M897" i="5"/>
  <c r="L897" i="5"/>
  <c r="F897" i="5"/>
  <c r="D897" i="5"/>
  <c r="N896" i="5"/>
  <c r="M896" i="5"/>
  <c r="L896" i="5"/>
  <c r="F896" i="5"/>
  <c r="D896" i="5"/>
  <c r="N895" i="5"/>
  <c r="M895" i="5"/>
  <c r="L895" i="5"/>
  <c r="F895" i="5"/>
  <c r="D895" i="5"/>
  <c r="N894" i="5"/>
  <c r="M894" i="5"/>
  <c r="L894" i="5"/>
  <c r="F894" i="5"/>
  <c r="D894" i="5"/>
  <c r="N893" i="5"/>
  <c r="M893" i="5"/>
  <c r="L893" i="5"/>
  <c r="F893" i="5"/>
  <c r="D893" i="5"/>
  <c r="N892" i="5"/>
  <c r="M892" i="5"/>
  <c r="L892" i="5"/>
  <c r="F892" i="5"/>
  <c r="D892" i="5"/>
  <c r="N891" i="5"/>
  <c r="M891" i="5"/>
  <c r="L891" i="5"/>
  <c r="F891" i="5"/>
  <c r="D891" i="5"/>
  <c r="N890" i="5"/>
  <c r="M890" i="5"/>
  <c r="L890" i="5"/>
  <c r="F890" i="5"/>
  <c r="D890" i="5"/>
  <c r="N889" i="5"/>
  <c r="M889" i="5"/>
  <c r="L889" i="5"/>
  <c r="F889" i="5"/>
  <c r="D889" i="5"/>
  <c r="N888" i="5"/>
  <c r="M888" i="5"/>
  <c r="L888" i="5"/>
  <c r="F888" i="5"/>
  <c r="D888" i="5"/>
  <c r="N887" i="5"/>
  <c r="M887" i="5"/>
  <c r="L887" i="5"/>
  <c r="F887" i="5"/>
  <c r="D887" i="5"/>
  <c r="N886" i="5"/>
  <c r="M886" i="5"/>
  <c r="L886" i="5"/>
  <c r="F886" i="5"/>
  <c r="D886" i="5"/>
  <c r="N885" i="5"/>
  <c r="M885" i="5"/>
  <c r="L885" i="5"/>
  <c r="F885" i="5"/>
  <c r="D885" i="5"/>
  <c r="N884" i="5"/>
  <c r="M884" i="5"/>
  <c r="L884" i="5"/>
  <c r="F884" i="5"/>
  <c r="D884" i="5"/>
  <c r="N883" i="5"/>
  <c r="M883" i="5"/>
  <c r="L883" i="5"/>
  <c r="F883" i="5"/>
  <c r="D883" i="5"/>
  <c r="N882" i="5"/>
  <c r="M882" i="5"/>
  <c r="L882" i="5"/>
  <c r="F882" i="5"/>
  <c r="D882" i="5"/>
  <c r="N881" i="5"/>
  <c r="M881" i="5"/>
  <c r="L881" i="5"/>
  <c r="F881" i="5"/>
  <c r="D881" i="5"/>
  <c r="N880" i="5"/>
  <c r="M880" i="5"/>
  <c r="L880" i="5"/>
  <c r="F880" i="5"/>
  <c r="D880" i="5"/>
  <c r="N879" i="5"/>
  <c r="M879" i="5"/>
  <c r="L879" i="5"/>
  <c r="F879" i="5"/>
  <c r="D879" i="5"/>
  <c r="N878" i="5"/>
  <c r="M878" i="5"/>
  <c r="L878" i="5"/>
  <c r="F878" i="5"/>
  <c r="D878" i="5"/>
  <c r="N877" i="5"/>
  <c r="M877" i="5"/>
  <c r="L877" i="5"/>
  <c r="F877" i="5"/>
  <c r="D877" i="5"/>
  <c r="N876" i="5"/>
  <c r="M876" i="5"/>
  <c r="L876" i="5"/>
  <c r="F876" i="5"/>
  <c r="D876" i="5"/>
  <c r="N875" i="5"/>
  <c r="M875" i="5"/>
  <c r="L875" i="5"/>
  <c r="F875" i="5"/>
  <c r="D875" i="5"/>
  <c r="N874" i="5"/>
  <c r="M874" i="5"/>
  <c r="L874" i="5"/>
  <c r="F874" i="5"/>
  <c r="D874" i="5"/>
  <c r="N873" i="5"/>
  <c r="M873" i="5"/>
  <c r="L873" i="5"/>
  <c r="F873" i="5"/>
  <c r="D873" i="5"/>
  <c r="N872" i="5"/>
  <c r="M872" i="5"/>
  <c r="L872" i="5"/>
  <c r="F872" i="5"/>
  <c r="D872" i="5"/>
  <c r="N871" i="5"/>
  <c r="M871" i="5"/>
  <c r="L871" i="5"/>
  <c r="F871" i="5"/>
  <c r="D871" i="5"/>
  <c r="N870" i="5"/>
  <c r="M870" i="5"/>
  <c r="L870" i="5"/>
  <c r="F870" i="5"/>
  <c r="D870" i="5"/>
  <c r="N869" i="5"/>
  <c r="M869" i="5"/>
  <c r="L869" i="5"/>
  <c r="F869" i="5"/>
  <c r="D869" i="5"/>
  <c r="N868" i="5"/>
  <c r="M868" i="5"/>
  <c r="L868" i="5"/>
  <c r="F868" i="5"/>
  <c r="D868" i="5"/>
  <c r="N867" i="5"/>
  <c r="M867" i="5"/>
  <c r="L867" i="5"/>
  <c r="F867" i="5"/>
  <c r="D867" i="5"/>
  <c r="N866" i="5"/>
  <c r="M866" i="5"/>
  <c r="L866" i="5"/>
  <c r="F866" i="5"/>
  <c r="D866" i="5"/>
  <c r="N865" i="5"/>
  <c r="M865" i="5"/>
  <c r="L865" i="5"/>
  <c r="F865" i="5"/>
  <c r="D865" i="5"/>
  <c r="N864" i="5"/>
  <c r="M864" i="5"/>
  <c r="L864" i="5"/>
  <c r="F864" i="5"/>
  <c r="D864" i="5"/>
  <c r="N863" i="5"/>
  <c r="M863" i="5"/>
  <c r="L863" i="5"/>
  <c r="F863" i="5"/>
  <c r="D863" i="5"/>
  <c r="N862" i="5"/>
  <c r="M862" i="5"/>
  <c r="L862" i="5"/>
  <c r="F862" i="5"/>
  <c r="D862" i="5"/>
  <c r="N861" i="5"/>
  <c r="M861" i="5"/>
  <c r="L861" i="5"/>
  <c r="F861" i="5"/>
  <c r="D861" i="5"/>
  <c r="N860" i="5"/>
  <c r="M860" i="5"/>
  <c r="L860" i="5"/>
  <c r="F860" i="5"/>
  <c r="D860" i="5"/>
  <c r="N859" i="5"/>
  <c r="M859" i="5"/>
  <c r="L859" i="5"/>
  <c r="F859" i="5"/>
  <c r="D859" i="5"/>
  <c r="N858" i="5"/>
  <c r="M858" i="5"/>
  <c r="L858" i="5"/>
  <c r="F858" i="5"/>
  <c r="D858" i="5"/>
  <c r="N857" i="5"/>
  <c r="M857" i="5"/>
  <c r="L857" i="5"/>
  <c r="F857" i="5"/>
  <c r="D857" i="5"/>
  <c r="N856" i="5"/>
  <c r="M856" i="5"/>
  <c r="L856" i="5"/>
  <c r="F856" i="5"/>
  <c r="D856" i="5"/>
  <c r="N855" i="5"/>
  <c r="M855" i="5"/>
  <c r="L855" i="5"/>
  <c r="F855" i="5"/>
  <c r="D855" i="5"/>
  <c r="N854" i="5"/>
  <c r="M854" i="5"/>
  <c r="L854" i="5"/>
  <c r="F854" i="5"/>
  <c r="D854" i="5"/>
  <c r="N853" i="5"/>
  <c r="M853" i="5"/>
  <c r="L853" i="5"/>
  <c r="F853" i="5"/>
  <c r="D853" i="5"/>
  <c r="N852" i="5"/>
  <c r="M852" i="5"/>
  <c r="L852" i="5"/>
  <c r="F852" i="5"/>
  <c r="D852" i="5"/>
  <c r="N851" i="5"/>
  <c r="M851" i="5"/>
  <c r="L851" i="5"/>
  <c r="F851" i="5"/>
  <c r="D851" i="5"/>
  <c r="N850" i="5"/>
  <c r="M850" i="5"/>
  <c r="L850" i="5"/>
  <c r="F850" i="5"/>
  <c r="D850" i="5"/>
  <c r="N849" i="5"/>
  <c r="M849" i="5"/>
  <c r="L849" i="5"/>
  <c r="F849" i="5"/>
  <c r="D849" i="5"/>
  <c r="N848" i="5"/>
  <c r="M848" i="5"/>
  <c r="L848" i="5"/>
  <c r="F848" i="5"/>
  <c r="D848" i="5"/>
  <c r="N847" i="5"/>
  <c r="M847" i="5"/>
  <c r="L847" i="5"/>
  <c r="F847" i="5"/>
  <c r="D847" i="5"/>
  <c r="N846" i="5"/>
  <c r="M846" i="5"/>
  <c r="L846" i="5"/>
  <c r="F846" i="5"/>
  <c r="D846" i="5"/>
  <c r="N845" i="5"/>
  <c r="M845" i="5"/>
  <c r="L845" i="5"/>
  <c r="F845" i="5"/>
  <c r="D845" i="5"/>
  <c r="N844" i="5"/>
  <c r="M844" i="5"/>
  <c r="L844" i="5"/>
  <c r="F844" i="5"/>
  <c r="D844" i="5"/>
  <c r="N843" i="5"/>
  <c r="M843" i="5"/>
  <c r="L843" i="5"/>
  <c r="F843" i="5"/>
  <c r="D843" i="5"/>
  <c r="N842" i="5"/>
  <c r="M842" i="5"/>
  <c r="L842" i="5"/>
  <c r="F842" i="5"/>
  <c r="D842" i="5"/>
  <c r="N841" i="5"/>
  <c r="M841" i="5"/>
  <c r="L841" i="5"/>
  <c r="F841" i="5"/>
  <c r="D841" i="5"/>
  <c r="N840" i="5"/>
  <c r="M840" i="5"/>
  <c r="L840" i="5"/>
  <c r="F840" i="5"/>
  <c r="D840" i="5"/>
  <c r="N839" i="5"/>
  <c r="M839" i="5"/>
  <c r="L839" i="5"/>
  <c r="F839" i="5"/>
  <c r="D839" i="5"/>
  <c r="N838" i="5"/>
  <c r="M838" i="5"/>
  <c r="L838" i="5"/>
  <c r="F838" i="5"/>
  <c r="D838" i="5"/>
  <c r="N837" i="5"/>
  <c r="M837" i="5"/>
  <c r="L837" i="5"/>
  <c r="F837" i="5"/>
  <c r="D837" i="5"/>
  <c r="N836" i="5"/>
  <c r="M836" i="5"/>
  <c r="L836" i="5"/>
  <c r="F836" i="5"/>
  <c r="D836" i="5"/>
  <c r="N835" i="5"/>
  <c r="M835" i="5"/>
  <c r="L835" i="5"/>
  <c r="F835" i="5"/>
  <c r="D835" i="5"/>
  <c r="N834" i="5"/>
  <c r="M834" i="5"/>
  <c r="L834" i="5"/>
  <c r="F834" i="5"/>
  <c r="D834" i="5"/>
  <c r="N833" i="5"/>
  <c r="M833" i="5"/>
  <c r="L833" i="5"/>
  <c r="F833" i="5"/>
  <c r="D833" i="5"/>
  <c r="N832" i="5"/>
  <c r="M832" i="5"/>
  <c r="L832" i="5"/>
  <c r="F832" i="5"/>
  <c r="D832" i="5"/>
  <c r="N831" i="5"/>
  <c r="M831" i="5"/>
  <c r="L831" i="5"/>
  <c r="F831" i="5"/>
  <c r="D831" i="5"/>
  <c r="N830" i="5"/>
  <c r="M830" i="5"/>
  <c r="L830" i="5"/>
  <c r="F830" i="5"/>
  <c r="D830" i="5"/>
  <c r="N829" i="5"/>
  <c r="M829" i="5"/>
  <c r="L829" i="5"/>
  <c r="F829" i="5"/>
  <c r="D829" i="5"/>
  <c r="N828" i="5"/>
  <c r="M828" i="5"/>
  <c r="L828" i="5"/>
  <c r="F828" i="5"/>
  <c r="D828" i="5"/>
  <c r="N827" i="5"/>
  <c r="M827" i="5"/>
  <c r="L827" i="5"/>
  <c r="F827" i="5"/>
  <c r="D827" i="5"/>
  <c r="N826" i="5"/>
  <c r="M826" i="5"/>
  <c r="L826" i="5"/>
  <c r="F826" i="5"/>
  <c r="D826" i="5"/>
  <c r="N825" i="5"/>
  <c r="M825" i="5"/>
  <c r="L825" i="5"/>
  <c r="F825" i="5"/>
  <c r="D825" i="5"/>
  <c r="N824" i="5"/>
  <c r="M824" i="5"/>
  <c r="L824" i="5"/>
  <c r="F824" i="5"/>
  <c r="D824" i="5"/>
  <c r="N823" i="5"/>
  <c r="M823" i="5"/>
  <c r="L823" i="5"/>
  <c r="F823" i="5"/>
  <c r="D823" i="5"/>
  <c r="N822" i="5"/>
  <c r="M822" i="5"/>
  <c r="L822" i="5"/>
  <c r="F822" i="5"/>
  <c r="D822" i="5"/>
  <c r="N821" i="5"/>
  <c r="M821" i="5"/>
  <c r="L821" i="5"/>
  <c r="F821" i="5"/>
  <c r="D821" i="5"/>
  <c r="N820" i="5"/>
  <c r="M820" i="5"/>
  <c r="L820" i="5"/>
  <c r="F820" i="5"/>
  <c r="D820" i="5"/>
  <c r="N819" i="5"/>
  <c r="M819" i="5"/>
  <c r="L819" i="5"/>
  <c r="F819" i="5"/>
  <c r="D819" i="5"/>
  <c r="N818" i="5"/>
  <c r="M818" i="5"/>
  <c r="L818" i="5"/>
  <c r="F818" i="5"/>
  <c r="D818" i="5"/>
  <c r="N817" i="5"/>
  <c r="M817" i="5"/>
  <c r="L817" i="5"/>
  <c r="F817" i="5"/>
  <c r="D817" i="5"/>
  <c r="N816" i="5"/>
  <c r="M816" i="5"/>
  <c r="L816" i="5"/>
  <c r="F816" i="5"/>
  <c r="D816" i="5"/>
  <c r="N815" i="5"/>
  <c r="M815" i="5"/>
  <c r="L815" i="5"/>
  <c r="F815" i="5"/>
  <c r="D815" i="5"/>
  <c r="N814" i="5"/>
  <c r="M814" i="5"/>
  <c r="L814" i="5"/>
  <c r="F814" i="5"/>
  <c r="D814" i="5"/>
  <c r="N813" i="5"/>
  <c r="M813" i="5"/>
  <c r="L813" i="5"/>
  <c r="F813" i="5"/>
  <c r="D813" i="5"/>
  <c r="N812" i="5"/>
  <c r="M812" i="5"/>
  <c r="L812" i="5"/>
  <c r="F812" i="5"/>
  <c r="D812" i="5"/>
  <c r="N811" i="5"/>
  <c r="M811" i="5"/>
  <c r="L811" i="5"/>
  <c r="F811" i="5"/>
  <c r="D811" i="5"/>
  <c r="N810" i="5"/>
  <c r="M810" i="5"/>
  <c r="L810" i="5"/>
  <c r="F810" i="5"/>
  <c r="D810" i="5"/>
  <c r="N809" i="5"/>
  <c r="M809" i="5"/>
  <c r="L809" i="5"/>
  <c r="F809" i="5"/>
  <c r="D809" i="5"/>
  <c r="N808" i="5"/>
  <c r="M808" i="5"/>
  <c r="L808" i="5"/>
  <c r="F808" i="5"/>
  <c r="D808" i="5"/>
  <c r="N807" i="5"/>
  <c r="M807" i="5"/>
  <c r="L807" i="5"/>
  <c r="F807" i="5"/>
  <c r="D807" i="5"/>
  <c r="N806" i="5"/>
  <c r="M806" i="5"/>
  <c r="L806" i="5"/>
  <c r="F806" i="5"/>
  <c r="D806" i="5"/>
  <c r="N805" i="5"/>
  <c r="M805" i="5"/>
  <c r="L805" i="5"/>
  <c r="F805" i="5"/>
  <c r="D805" i="5"/>
  <c r="N804" i="5"/>
  <c r="M804" i="5"/>
  <c r="L804" i="5"/>
  <c r="F804" i="5"/>
  <c r="D804" i="5"/>
  <c r="N803" i="5"/>
  <c r="M803" i="5"/>
  <c r="L803" i="5"/>
  <c r="F803" i="5"/>
  <c r="D803" i="5"/>
  <c r="N802" i="5"/>
  <c r="M802" i="5"/>
  <c r="L802" i="5"/>
  <c r="F802" i="5"/>
  <c r="D802" i="5"/>
  <c r="N801" i="5"/>
  <c r="M801" i="5"/>
  <c r="L801" i="5"/>
  <c r="F801" i="5"/>
  <c r="D801" i="5"/>
  <c r="N800" i="5"/>
  <c r="M800" i="5"/>
  <c r="L800" i="5"/>
  <c r="F800" i="5"/>
  <c r="D800" i="5"/>
  <c r="N799" i="5"/>
  <c r="M799" i="5"/>
  <c r="L799" i="5"/>
  <c r="F799" i="5"/>
  <c r="D799" i="5"/>
  <c r="N798" i="5"/>
  <c r="M798" i="5"/>
  <c r="L798" i="5"/>
  <c r="F798" i="5"/>
  <c r="D798" i="5"/>
  <c r="N797" i="5"/>
  <c r="M797" i="5"/>
  <c r="L797" i="5"/>
  <c r="F797" i="5"/>
  <c r="D797" i="5"/>
  <c r="N796" i="5"/>
  <c r="M796" i="5"/>
  <c r="L796" i="5"/>
  <c r="F796" i="5"/>
  <c r="D796" i="5"/>
  <c r="N795" i="5"/>
  <c r="M795" i="5"/>
  <c r="L795" i="5"/>
  <c r="F795" i="5"/>
  <c r="D795" i="5"/>
  <c r="N794" i="5"/>
  <c r="M794" i="5"/>
  <c r="L794" i="5"/>
  <c r="F794" i="5"/>
  <c r="D794" i="5"/>
  <c r="N793" i="5"/>
  <c r="M793" i="5"/>
  <c r="L793" i="5"/>
  <c r="F793" i="5"/>
  <c r="D793" i="5"/>
  <c r="N792" i="5"/>
  <c r="M792" i="5"/>
  <c r="L792" i="5"/>
  <c r="F792" i="5"/>
  <c r="D792" i="5"/>
  <c r="N791" i="5"/>
  <c r="M791" i="5"/>
  <c r="L791" i="5"/>
  <c r="F791" i="5"/>
  <c r="D791" i="5"/>
  <c r="N790" i="5"/>
  <c r="M790" i="5"/>
  <c r="L790" i="5"/>
  <c r="F790" i="5"/>
  <c r="D790" i="5"/>
  <c r="N789" i="5"/>
  <c r="M789" i="5"/>
  <c r="L789" i="5"/>
  <c r="F789" i="5"/>
  <c r="D789" i="5"/>
  <c r="N788" i="5"/>
  <c r="M788" i="5"/>
  <c r="L788" i="5"/>
  <c r="F788" i="5"/>
  <c r="D788" i="5"/>
  <c r="N787" i="5"/>
  <c r="M787" i="5"/>
  <c r="L787" i="5"/>
  <c r="F787" i="5"/>
  <c r="D787" i="5"/>
  <c r="N786" i="5"/>
  <c r="M786" i="5"/>
  <c r="L786" i="5"/>
  <c r="F786" i="5"/>
  <c r="D786" i="5"/>
  <c r="N785" i="5"/>
  <c r="M785" i="5"/>
  <c r="L785" i="5"/>
  <c r="F785" i="5"/>
  <c r="D785" i="5"/>
  <c r="N784" i="5"/>
  <c r="M784" i="5"/>
  <c r="L784" i="5"/>
  <c r="F784" i="5"/>
  <c r="D784" i="5"/>
  <c r="N783" i="5"/>
  <c r="M783" i="5"/>
  <c r="L783" i="5"/>
  <c r="F783" i="5"/>
  <c r="D783" i="5"/>
  <c r="N782" i="5"/>
  <c r="M782" i="5"/>
  <c r="L782" i="5"/>
  <c r="F782" i="5"/>
  <c r="D782" i="5"/>
  <c r="N781" i="5"/>
  <c r="M781" i="5"/>
  <c r="L781" i="5"/>
  <c r="F781" i="5"/>
  <c r="D781" i="5"/>
  <c r="N780" i="5"/>
  <c r="M780" i="5"/>
  <c r="L780" i="5"/>
  <c r="F780" i="5"/>
  <c r="D780" i="5"/>
  <c r="N779" i="5"/>
  <c r="M779" i="5"/>
  <c r="L779" i="5"/>
  <c r="F779" i="5"/>
  <c r="D779" i="5"/>
  <c r="N778" i="5"/>
  <c r="M778" i="5"/>
  <c r="L778" i="5"/>
  <c r="F778" i="5"/>
  <c r="D778" i="5"/>
  <c r="N777" i="5"/>
  <c r="M777" i="5"/>
  <c r="L777" i="5"/>
  <c r="F777" i="5"/>
  <c r="D777" i="5"/>
  <c r="N776" i="5"/>
  <c r="M776" i="5"/>
  <c r="L776" i="5"/>
  <c r="F776" i="5"/>
  <c r="D776" i="5"/>
  <c r="N775" i="5"/>
  <c r="M775" i="5"/>
  <c r="L775" i="5"/>
  <c r="F775" i="5"/>
  <c r="D775" i="5"/>
  <c r="N774" i="5"/>
  <c r="M774" i="5"/>
  <c r="L774" i="5"/>
  <c r="F774" i="5"/>
  <c r="D774" i="5"/>
  <c r="N773" i="5"/>
  <c r="M773" i="5"/>
  <c r="L773" i="5"/>
  <c r="F773" i="5"/>
  <c r="D773" i="5"/>
  <c r="N772" i="5"/>
  <c r="M772" i="5"/>
  <c r="L772" i="5"/>
  <c r="F772" i="5"/>
  <c r="D772" i="5"/>
  <c r="N771" i="5"/>
  <c r="M771" i="5"/>
  <c r="L771" i="5"/>
  <c r="F771" i="5"/>
  <c r="D771" i="5"/>
  <c r="N770" i="5"/>
  <c r="M770" i="5"/>
  <c r="L770" i="5"/>
  <c r="F770" i="5"/>
  <c r="D770" i="5"/>
  <c r="N769" i="5"/>
  <c r="M769" i="5"/>
  <c r="L769" i="5"/>
  <c r="F769" i="5"/>
  <c r="D769" i="5"/>
  <c r="N768" i="5"/>
  <c r="M768" i="5"/>
  <c r="L768" i="5"/>
  <c r="F768" i="5"/>
  <c r="D768" i="5"/>
  <c r="N767" i="5"/>
  <c r="M767" i="5"/>
  <c r="L767" i="5"/>
  <c r="F767" i="5"/>
  <c r="D767" i="5"/>
  <c r="N766" i="5"/>
  <c r="M766" i="5"/>
  <c r="L766" i="5"/>
  <c r="F766" i="5"/>
  <c r="D766" i="5"/>
  <c r="N765" i="5"/>
  <c r="M765" i="5"/>
  <c r="L765" i="5"/>
  <c r="F765" i="5"/>
  <c r="D765" i="5"/>
  <c r="N764" i="5"/>
  <c r="M764" i="5"/>
  <c r="L764" i="5"/>
  <c r="F764" i="5"/>
  <c r="D764" i="5"/>
  <c r="N763" i="5"/>
  <c r="M763" i="5"/>
  <c r="L763" i="5"/>
  <c r="F763" i="5"/>
  <c r="D763" i="5"/>
  <c r="N762" i="5"/>
  <c r="M762" i="5"/>
  <c r="L762" i="5"/>
  <c r="F762" i="5"/>
  <c r="D762" i="5"/>
  <c r="N761" i="5"/>
  <c r="M761" i="5"/>
  <c r="L761" i="5"/>
  <c r="F761" i="5"/>
  <c r="D761" i="5"/>
  <c r="N760" i="5"/>
  <c r="M760" i="5"/>
  <c r="L760" i="5"/>
  <c r="F760" i="5"/>
  <c r="D760" i="5"/>
  <c r="N759" i="5"/>
  <c r="M759" i="5"/>
  <c r="L759" i="5"/>
  <c r="F759" i="5"/>
  <c r="D759" i="5"/>
  <c r="N758" i="5"/>
  <c r="M758" i="5"/>
  <c r="L758" i="5"/>
  <c r="F758" i="5"/>
  <c r="D758" i="5"/>
  <c r="N757" i="5"/>
  <c r="M757" i="5"/>
  <c r="L757" i="5"/>
  <c r="F757" i="5"/>
  <c r="D757" i="5"/>
  <c r="N756" i="5"/>
  <c r="M756" i="5"/>
  <c r="L756" i="5"/>
  <c r="F756" i="5"/>
  <c r="D756" i="5"/>
  <c r="N755" i="5"/>
  <c r="M755" i="5"/>
  <c r="L755" i="5"/>
  <c r="F755" i="5"/>
  <c r="D755" i="5"/>
  <c r="N754" i="5"/>
  <c r="M754" i="5"/>
  <c r="L754" i="5"/>
  <c r="F754" i="5"/>
  <c r="D754" i="5"/>
  <c r="N753" i="5"/>
  <c r="M753" i="5"/>
  <c r="L753" i="5"/>
  <c r="F753" i="5"/>
  <c r="D753" i="5"/>
  <c r="N752" i="5"/>
  <c r="M752" i="5"/>
  <c r="L752" i="5"/>
  <c r="F752" i="5"/>
  <c r="D752" i="5"/>
  <c r="N751" i="5"/>
  <c r="M751" i="5"/>
  <c r="L751" i="5"/>
  <c r="F751" i="5"/>
  <c r="D751" i="5"/>
  <c r="N750" i="5"/>
  <c r="M750" i="5"/>
  <c r="L750" i="5"/>
  <c r="F750" i="5"/>
  <c r="D750" i="5"/>
  <c r="N749" i="5"/>
  <c r="M749" i="5"/>
  <c r="L749" i="5"/>
  <c r="F749" i="5"/>
  <c r="D749" i="5"/>
  <c r="N748" i="5"/>
  <c r="M748" i="5"/>
  <c r="L748" i="5"/>
  <c r="F748" i="5"/>
  <c r="D748" i="5"/>
  <c r="N747" i="5"/>
  <c r="M747" i="5"/>
  <c r="L747" i="5"/>
  <c r="F747" i="5"/>
  <c r="D747" i="5"/>
  <c r="N746" i="5"/>
  <c r="M746" i="5"/>
  <c r="L746" i="5"/>
  <c r="F746" i="5"/>
  <c r="D746" i="5"/>
  <c r="N745" i="5"/>
  <c r="M745" i="5"/>
  <c r="L745" i="5"/>
  <c r="F745" i="5"/>
  <c r="D745" i="5"/>
  <c r="N744" i="5"/>
  <c r="M744" i="5"/>
  <c r="L744" i="5"/>
  <c r="F744" i="5"/>
  <c r="D744" i="5"/>
  <c r="N743" i="5"/>
  <c r="M743" i="5"/>
  <c r="L743" i="5"/>
  <c r="F743" i="5"/>
  <c r="D743" i="5"/>
  <c r="N742" i="5"/>
  <c r="M742" i="5"/>
  <c r="L742" i="5"/>
  <c r="F742" i="5"/>
  <c r="D742" i="5"/>
  <c r="N741" i="5"/>
  <c r="M741" i="5"/>
  <c r="L741" i="5"/>
  <c r="F741" i="5"/>
  <c r="D741" i="5"/>
  <c r="N740" i="5"/>
  <c r="M740" i="5"/>
  <c r="L740" i="5"/>
  <c r="F740" i="5"/>
  <c r="D740" i="5"/>
  <c r="N739" i="5"/>
  <c r="M739" i="5"/>
  <c r="L739" i="5"/>
  <c r="F739" i="5"/>
  <c r="D739" i="5"/>
  <c r="N738" i="5"/>
  <c r="M738" i="5"/>
  <c r="L738" i="5"/>
  <c r="F738" i="5"/>
  <c r="D738" i="5"/>
  <c r="N737" i="5"/>
  <c r="M737" i="5"/>
  <c r="L737" i="5"/>
  <c r="F737" i="5"/>
  <c r="D737" i="5"/>
  <c r="N736" i="5"/>
  <c r="M736" i="5"/>
  <c r="L736" i="5"/>
  <c r="F736" i="5"/>
  <c r="D736" i="5"/>
  <c r="N735" i="5"/>
  <c r="M735" i="5"/>
  <c r="L735" i="5"/>
  <c r="F735" i="5"/>
  <c r="D735" i="5"/>
  <c r="N734" i="5"/>
  <c r="M734" i="5"/>
  <c r="L734" i="5"/>
  <c r="F734" i="5"/>
  <c r="D734" i="5"/>
  <c r="N733" i="5"/>
  <c r="M733" i="5"/>
  <c r="L733" i="5"/>
  <c r="F733" i="5"/>
  <c r="D733" i="5"/>
  <c r="N732" i="5"/>
  <c r="M732" i="5"/>
  <c r="L732" i="5"/>
  <c r="F732" i="5"/>
  <c r="D732" i="5"/>
  <c r="N731" i="5"/>
  <c r="M731" i="5"/>
  <c r="L731" i="5"/>
  <c r="F731" i="5"/>
  <c r="D731" i="5"/>
  <c r="N730" i="5"/>
  <c r="M730" i="5"/>
  <c r="L730" i="5"/>
  <c r="F730" i="5"/>
  <c r="D730" i="5"/>
  <c r="N729" i="5"/>
  <c r="M729" i="5"/>
  <c r="L729" i="5"/>
  <c r="F729" i="5"/>
  <c r="D729" i="5"/>
  <c r="N728" i="5"/>
  <c r="M728" i="5"/>
  <c r="L728" i="5"/>
  <c r="F728" i="5"/>
  <c r="D728" i="5"/>
  <c r="N727" i="5"/>
  <c r="M727" i="5"/>
  <c r="L727" i="5"/>
  <c r="F727" i="5"/>
  <c r="D727" i="5"/>
  <c r="N726" i="5"/>
  <c r="M726" i="5"/>
  <c r="L726" i="5"/>
  <c r="F726" i="5"/>
  <c r="D726" i="5"/>
  <c r="N725" i="5"/>
  <c r="M725" i="5"/>
  <c r="L725" i="5"/>
  <c r="F725" i="5"/>
  <c r="D725" i="5"/>
  <c r="N724" i="5"/>
  <c r="M724" i="5"/>
  <c r="L724" i="5"/>
  <c r="F724" i="5"/>
  <c r="D724" i="5"/>
  <c r="N723" i="5"/>
  <c r="M723" i="5"/>
  <c r="L723" i="5"/>
  <c r="F723" i="5"/>
  <c r="D723" i="5"/>
  <c r="N722" i="5"/>
  <c r="M722" i="5"/>
  <c r="L722" i="5"/>
  <c r="F722" i="5"/>
  <c r="D722" i="5"/>
  <c r="N721" i="5"/>
  <c r="M721" i="5"/>
  <c r="L721" i="5"/>
  <c r="F721" i="5"/>
  <c r="D721" i="5"/>
  <c r="N720" i="5"/>
  <c r="M720" i="5"/>
  <c r="L720" i="5"/>
  <c r="F720" i="5"/>
  <c r="D720" i="5"/>
  <c r="N719" i="5"/>
  <c r="M719" i="5"/>
  <c r="L719" i="5"/>
  <c r="F719" i="5"/>
  <c r="D719" i="5"/>
  <c r="N718" i="5"/>
  <c r="M718" i="5"/>
  <c r="L718" i="5"/>
  <c r="F718" i="5"/>
  <c r="D718" i="5"/>
  <c r="N717" i="5"/>
  <c r="M717" i="5"/>
  <c r="L717" i="5"/>
  <c r="F717" i="5"/>
  <c r="D717" i="5"/>
  <c r="N716" i="5"/>
  <c r="M716" i="5"/>
  <c r="L716" i="5"/>
  <c r="F716" i="5"/>
  <c r="D716" i="5"/>
  <c r="N715" i="5"/>
  <c r="M715" i="5"/>
  <c r="L715" i="5"/>
  <c r="F715" i="5"/>
  <c r="D715" i="5"/>
  <c r="N714" i="5"/>
  <c r="M714" i="5"/>
  <c r="L714" i="5"/>
  <c r="F714" i="5"/>
  <c r="D714" i="5"/>
  <c r="N713" i="5"/>
  <c r="M713" i="5"/>
  <c r="L713" i="5"/>
  <c r="F713" i="5"/>
  <c r="D713" i="5"/>
  <c r="N712" i="5"/>
  <c r="M712" i="5"/>
  <c r="L712" i="5"/>
  <c r="F712" i="5"/>
  <c r="D712" i="5"/>
  <c r="N711" i="5"/>
  <c r="M711" i="5"/>
  <c r="L711" i="5"/>
  <c r="F711" i="5"/>
  <c r="D711" i="5"/>
  <c r="N710" i="5"/>
  <c r="M710" i="5"/>
  <c r="L710" i="5"/>
  <c r="F710" i="5"/>
  <c r="D710" i="5"/>
  <c r="N709" i="5"/>
  <c r="M709" i="5"/>
  <c r="L709" i="5"/>
  <c r="F709" i="5"/>
  <c r="D709" i="5"/>
  <c r="N708" i="5"/>
  <c r="M708" i="5"/>
  <c r="L708" i="5"/>
  <c r="F708" i="5"/>
  <c r="D708" i="5"/>
  <c r="N707" i="5"/>
  <c r="M707" i="5"/>
  <c r="L707" i="5"/>
  <c r="F707" i="5"/>
  <c r="D707" i="5"/>
  <c r="N706" i="5"/>
  <c r="M706" i="5"/>
  <c r="L706" i="5"/>
  <c r="F706" i="5"/>
  <c r="D706" i="5"/>
  <c r="N705" i="5"/>
  <c r="M705" i="5"/>
  <c r="L705" i="5"/>
  <c r="F705" i="5"/>
  <c r="D705" i="5"/>
  <c r="N704" i="5"/>
  <c r="M704" i="5"/>
  <c r="L704" i="5"/>
  <c r="F704" i="5"/>
  <c r="D704" i="5"/>
  <c r="N703" i="5"/>
  <c r="M703" i="5"/>
  <c r="L703" i="5"/>
  <c r="F703" i="5"/>
  <c r="D703" i="5"/>
  <c r="N702" i="5"/>
  <c r="M702" i="5"/>
  <c r="L702" i="5"/>
  <c r="F702" i="5"/>
  <c r="D702" i="5"/>
  <c r="N701" i="5"/>
  <c r="M701" i="5"/>
  <c r="L701" i="5"/>
  <c r="F701" i="5"/>
  <c r="D701" i="5"/>
  <c r="N700" i="5"/>
  <c r="M700" i="5"/>
  <c r="L700" i="5"/>
  <c r="F700" i="5"/>
  <c r="D700" i="5"/>
  <c r="N699" i="5"/>
  <c r="M699" i="5"/>
  <c r="L699" i="5"/>
  <c r="F699" i="5"/>
  <c r="D699" i="5"/>
  <c r="N698" i="5"/>
  <c r="M698" i="5"/>
  <c r="L698" i="5"/>
  <c r="F698" i="5"/>
  <c r="D698" i="5"/>
  <c r="N697" i="5"/>
  <c r="M697" i="5"/>
  <c r="L697" i="5"/>
  <c r="F697" i="5"/>
  <c r="D697" i="5"/>
  <c r="N696" i="5"/>
  <c r="M696" i="5"/>
  <c r="L696" i="5"/>
  <c r="F696" i="5"/>
  <c r="D696" i="5"/>
  <c r="N695" i="5"/>
  <c r="M695" i="5"/>
  <c r="L695" i="5"/>
  <c r="F695" i="5"/>
  <c r="D695" i="5"/>
  <c r="N694" i="5"/>
  <c r="M694" i="5"/>
  <c r="L694" i="5"/>
  <c r="F694" i="5"/>
  <c r="D694" i="5"/>
  <c r="N693" i="5"/>
  <c r="M693" i="5"/>
  <c r="L693" i="5"/>
  <c r="F693" i="5"/>
  <c r="D693" i="5"/>
  <c r="N692" i="5"/>
  <c r="M692" i="5"/>
  <c r="L692" i="5"/>
  <c r="F692" i="5"/>
  <c r="D692" i="5"/>
  <c r="N691" i="5"/>
  <c r="M691" i="5"/>
  <c r="L691" i="5"/>
  <c r="F691" i="5"/>
  <c r="D691" i="5"/>
  <c r="N690" i="5"/>
  <c r="M690" i="5"/>
  <c r="L690" i="5"/>
  <c r="F690" i="5"/>
  <c r="D690" i="5"/>
  <c r="N689" i="5"/>
  <c r="M689" i="5"/>
  <c r="L689" i="5"/>
  <c r="F689" i="5"/>
  <c r="D689" i="5"/>
  <c r="N688" i="5"/>
  <c r="M688" i="5"/>
  <c r="L688" i="5"/>
  <c r="F688" i="5"/>
  <c r="D688" i="5"/>
  <c r="N687" i="5"/>
  <c r="M687" i="5"/>
  <c r="L687" i="5"/>
  <c r="F687" i="5"/>
  <c r="D687" i="5"/>
  <c r="N686" i="5"/>
  <c r="M686" i="5"/>
  <c r="L686" i="5"/>
  <c r="F686" i="5"/>
  <c r="D686" i="5"/>
  <c r="N685" i="5"/>
  <c r="M685" i="5"/>
  <c r="L685" i="5"/>
  <c r="F685" i="5"/>
  <c r="D685" i="5"/>
  <c r="N684" i="5"/>
  <c r="M684" i="5"/>
  <c r="L684" i="5"/>
  <c r="F684" i="5"/>
  <c r="D684" i="5"/>
  <c r="N683" i="5"/>
  <c r="M683" i="5"/>
  <c r="L683" i="5"/>
  <c r="F683" i="5"/>
  <c r="D683" i="5"/>
  <c r="N682" i="5"/>
  <c r="M682" i="5"/>
  <c r="L682" i="5"/>
  <c r="F682" i="5"/>
  <c r="D682" i="5"/>
  <c r="N681" i="5"/>
  <c r="M681" i="5"/>
  <c r="L681" i="5"/>
  <c r="F681" i="5"/>
  <c r="D681" i="5"/>
  <c r="N680" i="5"/>
  <c r="M680" i="5"/>
  <c r="L680" i="5"/>
  <c r="F680" i="5"/>
  <c r="D680" i="5"/>
  <c r="N679" i="5"/>
  <c r="M679" i="5"/>
  <c r="L679" i="5"/>
  <c r="F679" i="5"/>
  <c r="D679" i="5"/>
  <c r="N678" i="5"/>
  <c r="M678" i="5"/>
  <c r="L678" i="5"/>
  <c r="F678" i="5"/>
  <c r="D678" i="5"/>
  <c r="N677" i="5"/>
  <c r="M677" i="5"/>
  <c r="L677" i="5"/>
  <c r="F677" i="5"/>
  <c r="D677" i="5"/>
  <c r="N676" i="5"/>
  <c r="M676" i="5"/>
  <c r="L676" i="5"/>
  <c r="F676" i="5"/>
  <c r="D676" i="5"/>
  <c r="N675" i="5"/>
  <c r="M675" i="5"/>
  <c r="L675" i="5"/>
  <c r="F675" i="5"/>
  <c r="D675" i="5"/>
  <c r="N674" i="5"/>
  <c r="M674" i="5"/>
  <c r="L674" i="5"/>
  <c r="F674" i="5"/>
  <c r="D674" i="5"/>
  <c r="N673" i="5"/>
  <c r="M673" i="5"/>
  <c r="L673" i="5"/>
  <c r="F673" i="5"/>
  <c r="D673" i="5"/>
  <c r="N672" i="5"/>
  <c r="M672" i="5"/>
  <c r="L672" i="5"/>
  <c r="F672" i="5"/>
  <c r="D672" i="5"/>
  <c r="N671" i="5"/>
  <c r="M671" i="5"/>
  <c r="L671" i="5"/>
  <c r="F671" i="5"/>
  <c r="D671" i="5"/>
  <c r="N670" i="5"/>
  <c r="M670" i="5"/>
  <c r="L670" i="5"/>
  <c r="F670" i="5"/>
  <c r="D670" i="5"/>
  <c r="N669" i="5"/>
  <c r="M669" i="5"/>
  <c r="L669" i="5"/>
  <c r="F669" i="5"/>
  <c r="D669" i="5"/>
  <c r="N668" i="5"/>
  <c r="M668" i="5"/>
  <c r="L668" i="5"/>
  <c r="F668" i="5"/>
  <c r="D668" i="5"/>
  <c r="N667" i="5"/>
  <c r="M667" i="5"/>
  <c r="L667" i="5"/>
  <c r="F667" i="5"/>
  <c r="D667" i="5"/>
  <c r="N666" i="5"/>
  <c r="M666" i="5"/>
  <c r="L666" i="5"/>
  <c r="F666" i="5"/>
  <c r="D666" i="5"/>
  <c r="N665" i="5"/>
  <c r="M665" i="5"/>
  <c r="L665" i="5"/>
  <c r="F665" i="5"/>
  <c r="D665" i="5"/>
  <c r="N664" i="5"/>
  <c r="M664" i="5"/>
  <c r="L664" i="5"/>
  <c r="F664" i="5"/>
  <c r="D664" i="5"/>
  <c r="N663" i="5"/>
  <c r="M663" i="5"/>
  <c r="L663" i="5"/>
  <c r="F663" i="5"/>
  <c r="D663" i="5"/>
  <c r="N662" i="5"/>
  <c r="M662" i="5"/>
  <c r="L662" i="5"/>
  <c r="F662" i="5"/>
  <c r="D662" i="5"/>
  <c r="N661" i="5"/>
  <c r="M661" i="5"/>
  <c r="L661" i="5"/>
  <c r="F661" i="5"/>
  <c r="D661" i="5"/>
  <c r="N660" i="5"/>
  <c r="M660" i="5"/>
  <c r="L660" i="5"/>
  <c r="F660" i="5"/>
  <c r="D660" i="5"/>
  <c r="N659" i="5"/>
  <c r="M659" i="5"/>
  <c r="L659" i="5"/>
  <c r="F659" i="5"/>
  <c r="D659" i="5"/>
  <c r="N658" i="5"/>
  <c r="M658" i="5"/>
  <c r="L658" i="5"/>
  <c r="F658" i="5"/>
  <c r="D658" i="5"/>
  <c r="N657" i="5"/>
  <c r="M657" i="5"/>
  <c r="L657" i="5"/>
  <c r="F657" i="5"/>
  <c r="D657" i="5"/>
  <c r="N656" i="5"/>
  <c r="M656" i="5"/>
  <c r="L656" i="5"/>
  <c r="F656" i="5"/>
  <c r="D656" i="5"/>
  <c r="N655" i="5"/>
  <c r="M655" i="5"/>
  <c r="L655" i="5"/>
  <c r="F655" i="5"/>
  <c r="D655" i="5"/>
  <c r="N654" i="5"/>
  <c r="M654" i="5"/>
  <c r="L654" i="5"/>
  <c r="F654" i="5"/>
  <c r="D654" i="5"/>
  <c r="N653" i="5"/>
  <c r="M653" i="5"/>
  <c r="L653" i="5"/>
  <c r="F653" i="5"/>
  <c r="D653" i="5"/>
  <c r="N652" i="5"/>
  <c r="M652" i="5"/>
  <c r="L652" i="5"/>
  <c r="F652" i="5"/>
  <c r="D652" i="5"/>
  <c r="N651" i="5"/>
  <c r="M651" i="5"/>
  <c r="L651" i="5"/>
  <c r="F651" i="5"/>
  <c r="D651" i="5"/>
  <c r="N650" i="5"/>
  <c r="M650" i="5"/>
  <c r="L650" i="5"/>
  <c r="F650" i="5"/>
  <c r="D650" i="5"/>
  <c r="N649" i="5"/>
  <c r="M649" i="5"/>
  <c r="L649" i="5"/>
  <c r="F649" i="5"/>
  <c r="D649" i="5"/>
  <c r="N648" i="5"/>
  <c r="M648" i="5"/>
  <c r="L648" i="5"/>
  <c r="F648" i="5"/>
  <c r="D648" i="5"/>
  <c r="N647" i="5"/>
  <c r="M647" i="5"/>
  <c r="L647" i="5"/>
  <c r="F647" i="5"/>
  <c r="D647" i="5"/>
  <c r="N646" i="5"/>
  <c r="M646" i="5"/>
  <c r="L646" i="5"/>
  <c r="F646" i="5"/>
  <c r="D646" i="5"/>
  <c r="N645" i="5"/>
  <c r="M645" i="5"/>
  <c r="L645" i="5"/>
  <c r="F645" i="5"/>
  <c r="D645" i="5"/>
  <c r="N644" i="5"/>
  <c r="M644" i="5"/>
  <c r="L644" i="5"/>
  <c r="F644" i="5"/>
  <c r="D644" i="5"/>
  <c r="N643" i="5"/>
  <c r="M643" i="5"/>
  <c r="L643" i="5"/>
  <c r="F643" i="5"/>
  <c r="D643" i="5"/>
  <c r="N642" i="5"/>
  <c r="M642" i="5"/>
  <c r="L642" i="5"/>
  <c r="F642" i="5"/>
  <c r="D642" i="5"/>
  <c r="N641" i="5"/>
  <c r="M641" i="5"/>
  <c r="L641" i="5"/>
  <c r="F641" i="5"/>
  <c r="D641" i="5"/>
  <c r="N640" i="5"/>
  <c r="M640" i="5"/>
  <c r="L640" i="5"/>
  <c r="F640" i="5"/>
  <c r="D640" i="5"/>
  <c r="N639" i="5"/>
  <c r="M639" i="5"/>
  <c r="L639" i="5"/>
  <c r="F639" i="5"/>
  <c r="D639" i="5"/>
  <c r="N638" i="5"/>
  <c r="M638" i="5"/>
  <c r="L638" i="5"/>
  <c r="F638" i="5"/>
  <c r="D638" i="5"/>
  <c r="N637" i="5"/>
  <c r="M637" i="5"/>
  <c r="L637" i="5"/>
  <c r="F637" i="5"/>
  <c r="D637" i="5"/>
  <c r="N636" i="5"/>
  <c r="M636" i="5"/>
  <c r="L636" i="5"/>
  <c r="F636" i="5"/>
  <c r="D636" i="5"/>
  <c r="N635" i="5"/>
  <c r="M635" i="5"/>
  <c r="L635" i="5"/>
  <c r="F635" i="5"/>
  <c r="D635" i="5"/>
  <c r="N634" i="5"/>
  <c r="M634" i="5"/>
  <c r="L634" i="5"/>
  <c r="F634" i="5"/>
  <c r="D634" i="5"/>
  <c r="N633" i="5"/>
  <c r="M633" i="5"/>
  <c r="L633" i="5"/>
  <c r="F633" i="5"/>
  <c r="D633" i="5"/>
  <c r="N632" i="5"/>
  <c r="M632" i="5"/>
  <c r="L632" i="5"/>
  <c r="F632" i="5"/>
  <c r="D632" i="5"/>
  <c r="N631" i="5"/>
  <c r="M631" i="5"/>
  <c r="L631" i="5"/>
  <c r="F631" i="5"/>
  <c r="D631" i="5"/>
  <c r="N630" i="5"/>
  <c r="M630" i="5"/>
  <c r="L630" i="5"/>
  <c r="F630" i="5"/>
  <c r="D630" i="5"/>
  <c r="N629" i="5"/>
  <c r="M629" i="5"/>
  <c r="L629" i="5"/>
  <c r="F629" i="5"/>
  <c r="D629" i="5"/>
  <c r="N628" i="5"/>
  <c r="M628" i="5"/>
  <c r="L628" i="5"/>
  <c r="F628" i="5"/>
  <c r="D628" i="5"/>
  <c r="N627" i="5"/>
  <c r="M627" i="5"/>
  <c r="L627" i="5"/>
  <c r="F627" i="5"/>
  <c r="D627" i="5"/>
  <c r="N626" i="5"/>
  <c r="M626" i="5"/>
  <c r="L626" i="5"/>
  <c r="F626" i="5"/>
  <c r="D626" i="5"/>
  <c r="N625" i="5"/>
  <c r="M625" i="5"/>
  <c r="L625" i="5"/>
  <c r="F625" i="5"/>
  <c r="D625" i="5"/>
  <c r="N624" i="5"/>
  <c r="M624" i="5"/>
  <c r="L624" i="5"/>
  <c r="F624" i="5"/>
  <c r="D624" i="5"/>
  <c r="N623" i="5"/>
  <c r="M623" i="5"/>
  <c r="L623" i="5"/>
  <c r="F623" i="5"/>
  <c r="D623" i="5"/>
  <c r="N622" i="5"/>
  <c r="M622" i="5"/>
  <c r="L622" i="5"/>
  <c r="F622" i="5"/>
  <c r="D622" i="5"/>
  <c r="N621" i="5"/>
  <c r="M621" i="5"/>
  <c r="L621" i="5"/>
  <c r="F621" i="5"/>
  <c r="D621" i="5"/>
  <c r="N620" i="5"/>
  <c r="M620" i="5"/>
  <c r="L620" i="5"/>
  <c r="F620" i="5"/>
  <c r="D620" i="5"/>
  <c r="N619" i="5"/>
  <c r="M619" i="5"/>
  <c r="L619" i="5"/>
  <c r="F619" i="5"/>
  <c r="D619" i="5"/>
  <c r="N618" i="5"/>
  <c r="M618" i="5"/>
  <c r="L618" i="5"/>
  <c r="F618" i="5"/>
  <c r="D618" i="5"/>
  <c r="N617" i="5"/>
  <c r="M617" i="5"/>
  <c r="L617" i="5"/>
  <c r="F617" i="5"/>
  <c r="D617" i="5"/>
  <c r="N616" i="5"/>
  <c r="M616" i="5"/>
  <c r="L616" i="5"/>
  <c r="F616" i="5"/>
  <c r="D616" i="5"/>
  <c r="N615" i="5"/>
  <c r="M615" i="5"/>
  <c r="L615" i="5"/>
  <c r="F615" i="5"/>
  <c r="D615" i="5"/>
  <c r="N614" i="5"/>
  <c r="M614" i="5"/>
  <c r="L614" i="5"/>
  <c r="F614" i="5"/>
  <c r="D614" i="5"/>
  <c r="N613" i="5"/>
  <c r="M613" i="5"/>
  <c r="L613" i="5"/>
  <c r="F613" i="5"/>
  <c r="D613" i="5"/>
  <c r="N612" i="5"/>
  <c r="M612" i="5"/>
  <c r="L612" i="5"/>
  <c r="F612" i="5"/>
  <c r="D612" i="5"/>
  <c r="N611" i="5"/>
  <c r="M611" i="5"/>
  <c r="L611" i="5"/>
  <c r="F611" i="5"/>
  <c r="D611" i="5"/>
  <c r="N610" i="5"/>
  <c r="M610" i="5"/>
  <c r="L610" i="5"/>
  <c r="F610" i="5"/>
  <c r="D610" i="5"/>
  <c r="N609" i="5"/>
  <c r="M609" i="5"/>
  <c r="L609" i="5"/>
  <c r="F609" i="5"/>
  <c r="D609" i="5"/>
  <c r="N608" i="5"/>
  <c r="M608" i="5"/>
  <c r="L608" i="5"/>
  <c r="F608" i="5"/>
  <c r="D608" i="5"/>
  <c r="N607" i="5"/>
  <c r="M607" i="5"/>
  <c r="L607" i="5"/>
  <c r="F607" i="5"/>
  <c r="D607" i="5"/>
  <c r="N606" i="5"/>
  <c r="M606" i="5"/>
  <c r="L606" i="5"/>
  <c r="F606" i="5"/>
  <c r="D606" i="5"/>
  <c r="N605" i="5"/>
  <c r="M605" i="5"/>
  <c r="L605" i="5"/>
  <c r="F605" i="5"/>
  <c r="D605" i="5"/>
  <c r="N604" i="5"/>
  <c r="M604" i="5"/>
  <c r="L604" i="5"/>
  <c r="F604" i="5"/>
  <c r="D604" i="5"/>
  <c r="N603" i="5"/>
  <c r="M603" i="5"/>
  <c r="L603" i="5"/>
  <c r="F603" i="5"/>
  <c r="D603" i="5"/>
  <c r="N602" i="5"/>
  <c r="M602" i="5"/>
  <c r="L602" i="5"/>
  <c r="F602" i="5"/>
  <c r="D602" i="5"/>
  <c r="N601" i="5"/>
  <c r="M601" i="5"/>
  <c r="L601" i="5"/>
  <c r="F601" i="5"/>
  <c r="D601" i="5"/>
  <c r="N600" i="5"/>
  <c r="M600" i="5"/>
  <c r="L600" i="5"/>
  <c r="F600" i="5"/>
  <c r="D600" i="5"/>
  <c r="N599" i="5"/>
  <c r="M599" i="5"/>
  <c r="L599" i="5"/>
  <c r="F599" i="5"/>
  <c r="D599" i="5"/>
  <c r="N598" i="5"/>
  <c r="M598" i="5"/>
  <c r="L598" i="5"/>
  <c r="F598" i="5"/>
  <c r="D598" i="5"/>
  <c r="N597" i="5"/>
  <c r="M597" i="5"/>
  <c r="L597" i="5"/>
  <c r="F597" i="5"/>
  <c r="D597" i="5"/>
  <c r="N596" i="5"/>
  <c r="M596" i="5"/>
  <c r="L596" i="5"/>
  <c r="F596" i="5"/>
  <c r="D596" i="5"/>
  <c r="N595" i="5"/>
  <c r="M595" i="5"/>
  <c r="L595" i="5"/>
  <c r="F595" i="5"/>
  <c r="D595" i="5"/>
  <c r="N594" i="5"/>
  <c r="M594" i="5"/>
  <c r="L594" i="5"/>
  <c r="F594" i="5"/>
  <c r="D594" i="5"/>
  <c r="N593" i="5"/>
  <c r="M593" i="5"/>
  <c r="L593" i="5"/>
  <c r="F593" i="5"/>
  <c r="D593" i="5"/>
  <c r="N592" i="5"/>
  <c r="M592" i="5"/>
  <c r="L592" i="5"/>
  <c r="F592" i="5"/>
  <c r="D592" i="5"/>
  <c r="N591" i="5"/>
  <c r="M591" i="5"/>
  <c r="L591" i="5"/>
  <c r="F591" i="5"/>
  <c r="D591" i="5"/>
  <c r="N590" i="5"/>
  <c r="M590" i="5"/>
  <c r="L590" i="5"/>
  <c r="F590" i="5"/>
  <c r="D590" i="5"/>
  <c r="N589" i="5"/>
  <c r="M589" i="5"/>
  <c r="L589" i="5"/>
  <c r="F589" i="5"/>
  <c r="D589" i="5"/>
  <c r="N588" i="5"/>
  <c r="M588" i="5"/>
  <c r="L588" i="5"/>
  <c r="F588" i="5"/>
  <c r="D588" i="5"/>
  <c r="N587" i="5"/>
  <c r="M587" i="5"/>
  <c r="L587" i="5"/>
  <c r="F587" i="5"/>
  <c r="D587" i="5"/>
  <c r="N586" i="5"/>
  <c r="M586" i="5"/>
  <c r="L586" i="5"/>
  <c r="F586" i="5"/>
  <c r="D586" i="5"/>
  <c r="N585" i="5"/>
  <c r="M585" i="5"/>
  <c r="L585" i="5"/>
  <c r="F585" i="5"/>
  <c r="D585" i="5"/>
  <c r="N584" i="5"/>
  <c r="M584" i="5"/>
  <c r="L584" i="5"/>
  <c r="F584" i="5"/>
  <c r="D584" i="5"/>
  <c r="N583" i="5"/>
  <c r="M583" i="5"/>
  <c r="L583" i="5"/>
  <c r="F583" i="5"/>
  <c r="D583" i="5"/>
  <c r="N582" i="5"/>
  <c r="M582" i="5"/>
  <c r="L582" i="5"/>
  <c r="F582" i="5"/>
  <c r="D582" i="5"/>
  <c r="N581" i="5"/>
  <c r="M581" i="5"/>
  <c r="L581" i="5"/>
  <c r="F581" i="5"/>
  <c r="D581" i="5"/>
  <c r="N580" i="5"/>
  <c r="M580" i="5"/>
  <c r="L580" i="5"/>
  <c r="F580" i="5"/>
  <c r="D580" i="5"/>
  <c r="N579" i="5"/>
  <c r="M579" i="5"/>
  <c r="L579" i="5"/>
  <c r="F579" i="5"/>
  <c r="D579" i="5"/>
  <c r="N578" i="5"/>
  <c r="M578" i="5"/>
  <c r="L578" i="5"/>
  <c r="F578" i="5"/>
  <c r="D578" i="5"/>
  <c r="N577" i="5"/>
  <c r="M577" i="5"/>
  <c r="L577" i="5"/>
  <c r="F577" i="5"/>
  <c r="D577" i="5"/>
  <c r="N576" i="5"/>
  <c r="M576" i="5"/>
  <c r="L576" i="5"/>
  <c r="F576" i="5"/>
  <c r="D576" i="5"/>
  <c r="N575" i="5"/>
  <c r="M575" i="5"/>
  <c r="L575" i="5"/>
  <c r="F575" i="5"/>
  <c r="D575" i="5"/>
  <c r="N574" i="5"/>
  <c r="M574" i="5"/>
  <c r="L574" i="5"/>
  <c r="F574" i="5"/>
  <c r="D574" i="5"/>
  <c r="N573" i="5"/>
  <c r="M573" i="5"/>
  <c r="L573" i="5"/>
  <c r="F573" i="5"/>
  <c r="D573" i="5"/>
  <c r="N572" i="5"/>
  <c r="M572" i="5"/>
  <c r="L572" i="5"/>
  <c r="F572" i="5"/>
  <c r="D572" i="5"/>
  <c r="N571" i="5"/>
  <c r="M571" i="5"/>
  <c r="L571" i="5"/>
  <c r="F571" i="5"/>
  <c r="D571" i="5"/>
  <c r="N570" i="5"/>
  <c r="M570" i="5"/>
  <c r="L570" i="5"/>
  <c r="F570" i="5"/>
  <c r="D570" i="5"/>
  <c r="N569" i="5"/>
  <c r="M569" i="5"/>
  <c r="L569" i="5"/>
  <c r="F569" i="5"/>
  <c r="D569" i="5"/>
  <c r="N568" i="5"/>
  <c r="M568" i="5"/>
  <c r="L568" i="5"/>
  <c r="F568" i="5"/>
  <c r="D568" i="5"/>
  <c r="N567" i="5"/>
  <c r="M567" i="5"/>
  <c r="L567" i="5"/>
  <c r="F567" i="5"/>
  <c r="D567" i="5"/>
  <c r="N566" i="5"/>
  <c r="M566" i="5"/>
  <c r="L566" i="5"/>
  <c r="F566" i="5"/>
  <c r="D566" i="5"/>
  <c r="N565" i="5"/>
  <c r="M565" i="5"/>
  <c r="L565" i="5"/>
  <c r="F565" i="5"/>
  <c r="D565" i="5"/>
  <c r="N564" i="5"/>
  <c r="M564" i="5"/>
  <c r="L564" i="5"/>
  <c r="F564" i="5"/>
  <c r="D564" i="5"/>
  <c r="N563" i="5"/>
  <c r="M563" i="5"/>
  <c r="L563" i="5"/>
  <c r="F563" i="5"/>
  <c r="D563" i="5"/>
  <c r="N562" i="5"/>
  <c r="M562" i="5"/>
  <c r="L562" i="5"/>
  <c r="F562" i="5"/>
  <c r="D562" i="5"/>
  <c r="N561" i="5"/>
  <c r="M561" i="5"/>
  <c r="L561" i="5"/>
  <c r="F561" i="5"/>
  <c r="D561" i="5"/>
  <c r="N560" i="5"/>
  <c r="M560" i="5"/>
  <c r="L560" i="5"/>
  <c r="F560" i="5"/>
  <c r="D560" i="5"/>
  <c r="N559" i="5"/>
  <c r="M559" i="5"/>
  <c r="L559" i="5"/>
  <c r="F559" i="5"/>
  <c r="D559" i="5"/>
  <c r="N558" i="5"/>
  <c r="M558" i="5"/>
  <c r="L558" i="5"/>
  <c r="F558" i="5"/>
  <c r="D558" i="5"/>
  <c r="N557" i="5"/>
  <c r="M557" i="5"/>
  <c r="L557" i="5"/>
  <c r="F557" i="5"/>
  <c r="D557" i="5"/>
  <c r="N556" i="5"/>
  <c r="M556" i="5"/>
  <c r="L556" i="5"/>
  <c r="F556" i="5"/>
  <c r="D556" i="5"/>
  <c r="N555" i="5"/>
  <c r="M555" i="5"/>
  <c r="L555" i="5"/>
  <c r="F555" i="5"/>
  <c r="D555" i="5"/>
  <c r="N554" i="5"/>
  <c r="M554" i="5"/>
  <c r="L554" i="5"/>
  <c r="F554" i="5"/>
  <c r="D554" i="5"/>
  <c r="N553" i="5"/>
  <c r="M553" i="5"/>
  <c r="L553" i="5"/>
  <c r="F553" i="5"/>
  <c r="D553" i="5"/>
  <c r="N552" i="5"/>
  <c r="M552" i="5"/>
  <c r="L552" i="5"/>
  <c r="F552" i="5"/>
  <c r="D552" i="5"/>
  <c r="N551" i="5"/>
  <c r="M551" i="5"/>
  <c r="L551" i="5"/>
  <c r="F551" i="5"/>
  <c r="D551" i="5"/>
  <c r="N550" i="5"/>
  <c r="M550" i="5"/>
  <c r="L550" i="5"/>
  <c r="F550" i="5"/>
  <c r="D550" i="5"/>
  <c r="N549" i="5"/>
  <c r="M549" i="5"/>
  <c r="L549" i="5"/>
  <c r="F549" i="5"/>
  <c r="D549" i="5"/>
  <c r="N548" i="5"/>
  <c r="M548" i="5"/>
  <c r="L548" i="5"/>
  <c r="F548" i="5"/>
  <c r="D548" i="5"/>
  <c r="N547" i="5"/>
  <c r="M547" i="5"/>
  <c r="L547" i="5"/>
  <c r="F547" i="5"/>
  <c r="D547" i="5"/>
  <c r="N546" i="5"/>
  <c r="M546" i="5"/>
  <c r="L546" i="5"/>
  <c r="F546" i="5"/>
  <c r="D546" i="5"/>
  <c r="N545" i="5"/>
  <c r="M545" i="5"/>
  <c r="L545" i="5"/>
  <c r="F545" i="5"/>
  <c r="D545" i="5"/>
  <c r="N544" i="5"/>
  <c r="M544" i="5"/>
  <c r="L544" i="5"/>
  <c r="F544" i="5"/>
  <c r="D544" i="5"/>
  <c r="N543" i="5"/>
  <c r="M543" i="5"/>
  <c r="L543" i="5"/>
  <c r="F543" i="5"/>
  <c r="D543" i="5"/>
  <c r="N542" i="5"/>
  <c r="M542" i="5"/>
  <c r="L542" i="5"/>
  <c r="F542" i="5"/>
  <c r="D542" i="5"/>
  <c r="N541" i="5"/>
  <c r="M541" i="5"/>
  <c r="L541" i="5"/>
  <c r="F541" i="5"/>
  <c r="D541" i="5"/>
  <c r="N540" i="5"/>
  <c r="M540" i="5"/>
  <c r="L540" i="5"/>
  <c r="F540" i="5"/>
  <c r="D540" i="5"/>
  <c r="N539" i="5"/>
  <c r="M539" i="5"/>
  <c r="L539" i="5"/>
  <c r="F539" i="5"/>
  <c r="D539" i="5"/>
  <c r="N538" i="5"/>
  <c r="M538" i="5"/>
  <c r="L538" i="5"/>
  <c r="F538" i="5"/>
  <c r="D538" i="5"/>
  <c r="N537" i="5"/>
  <c r="M537" i="5"/>
  <c r="L537" i="5"/>
  <c r="F537" i="5"/>
  <c r="D537" i="5"/>
  <c r="N536" i="5"/>
  <c r="M536" i="5"/>
  <c r="L536" i="5"/>
  <c r="F536" i="5"/>
  <c r="D536" i="5"/>
  <c r="N535" i="5"/>
  <c r="M535" i="5"/>
  <c r="L535" i="5"/>
  <c r="F535" i="5"/>
  <c r="D535" i="5"/>
  <c r="N534" i="5"/>
  <c r="M534" i="5"/>
  <c r="L534" i="5"/>
  <c r="F534" i="5"/>
  <c r="D534" i="5"/>
  <c r="N533" i="5"/>
  <c r="M533" i="5"/>
  <c r="L533" i="5"/>
  <c r="F533" i="5"/>
  <c r="D533" i="5"/>
  <c r="N532" i="5"/>
  <c r="M532" i="5"/>
  <c r="L532" i="5"/>
  <c r="F532" i="5"/>
  <c r="D532" i="5"/>
  <c r="N531" i="5"/>
  <c r="M531" i="5"/>
  <c r="L531" i="5"/>
  <c r="F531" i="5"/>
  <c r="D531" i="5"/>
  <c r="N530" i="5"/>
  <c r="M530" i="5"/>
  <c r="L530" i="5"/>
  <c r="F530" i="5"/>
  <c r="D530" i="5"/>
  <c r="N529" i="5"/>
  <c r="M529" i="5"/>
  <c r="L529" i="5"/>
  <c r="F529" i="5"/>
  <c r="D529" i="5"/>
  <c r="N528" i="5"/>
  <c r="M528" i="5"/>
  <c r="L528" i="5"/>
  <c r="F528" i="5"/>
  <c r="D528" i="5"/>
  <c r="N527" i="5"/>
  <c r="M527" i="5"/>
  <c r="L527" i="5"/>
  <c r="F527" i="5"/>
  <c r="D527" i="5"/>
  <c r="N526" i="5"/>
  <c r="M526" i="5"/>
  <c r="L526" i="5"/>
  <c r="F526" i="5"/>
  <c r="D526" i="5"/>
  <c r="N525" i="5"/>
  <c r="M525" i="5"/>
  <c r="L525" i="5"/>
  <c r="F525" i="5"/>
  <c r="D525" i="5"/>
  <c r="N524" i="5"/>
  <c r="M524" i="5"/>
  <c r="L524" i="5"/>
  <c r="F524" i="5"/>
  <c r="D524" i="5"/>
  <c r="N523" i="5"/>
  <c r="M523" i="5"/>
  <c r="L523" i="5"/>
  <c r="F523" i="5"/>
  <c r="D523" i="5"/>
  <c r="N522" i="5"/>
  <c r="M522" i="5"/>
  <c r="L522" i="5"/>
  <c r="F522" i="5"/>
  <c r="D522" i="5"/>
  <c r="N521" i="5"/>
  <c r="M521" i="5"/>
  <c r="L521" i="5"/>
  <c r="F521" i="5"/>
  <c r="D521" i="5"/>
  <c r="N520" i="5"/>
  <c r="M520" i="5"/>
  <c r="L520" i="5"/>
  <c r="F520" i="5"/>
  <c r="D520" i="5"/>
  <c r="N519" i="5"/>
  <c r="M519" i="5"/>
  <c r="L519" i="5"/>
  <c r="F519" i="5"/>
  <c r="D519" i="5"/>
  <c r="N518" i="5"/>
  <c r="M518" i="5"/>
  <c r="L518" i="5"/>
  <c r="F518" i="5"/>
  <c r="D518" i="5"/>
  <c r="N517" i="5"/>
  <c r="M517" i="5"/>
  <c r="L517" i="5"/>
  <c r="F517" i="5"/>
  <c r="D517" i="5"/>
  <c r="N516" i="5"/>
  <c r="M516" i="5"/>
  <c r="L516" i="5"/>
  <c r="F516" i="5"/>
  <c r="D516" i="5"/>
  <c r="N515" i="5"/>
  <c r="M515" i="5"/>
  <c r="L515" i="5"/>
  <c r="F515" i="5"/>
  <c r="D515" i="5"/>
  <c r="N514" i="5"/>
  <c r="M514" i="5"/>
  <c r="L514" i="5"/>
  <c r="F514" i="5"/>
  <c r="D514" i="5"/>
  <c r="N513" i="5"/>
  <c r="M513" i="5"/>
  <c r="L513" i="5"/>
  <c r="F513" i="5"/>
  <c r="D513" i="5"/>
  <c r="N512" i="5"/>
  <c r="M512" i="5"/>
  <c r="L512" i="5"/>
  <c r="F512" i="5"/>
  <c r="D512" i="5"/>
  <c r="N511" i="5"/>
  <c r="M511" i="5"/>
  <c r="L511" i="5"/>
  <c r="F511" i="5"/>
  <c r="D511" i="5"/>
  <c r="N510" i="5"/>
  <c r="M510" i="5"/>
  <c r="L510" i="5"/>
  <c r="F510" i="5"/>
  <c r="D510" i="5"/>
  <c r="N509" i="5"/>
  <c r="M509" i="5"/>
  <c r="L509" i="5"/>
  <c r="F509" i="5"/>
  <c r="D509" i="5"/>
  <c r="N508" i="5"/>
  <c r="M508" i="5"/>
  <c r="L508" i="5"/>
  <c r="F508" i="5"/>
  <c r="D508" i="5"/>
  <c r="N507" i="5"/>
  <c r="M507" i="5"/>
  <c r="L507" i="5"/>
  <c r="F507" i="5"/>
  <c r="D507" i="5"/>
  <c r="N506" i="5"/>
  <c r="M506" i="5"/>
  <c r="L506" i="5"/>
  <c r="F506" i="5"/>
  <c r="D506" i="5"/>
  <c r="N505" i="5"/>
  <c r="M505" i="5"/>
  <c r="L505" i="5"/>
  <c r="F505" i="5"/>
  <c r="D505" i="5"/>
  <c r="N504" i="5"/>
  <c r="M504" i="5"/>
  <c r="L504" i="5"/>
  <c r="F504" i="5"/>
  <c r="D504" i="5"/>
  <c r="N503" i="5"/>
  <c r="M503" i="5"/>
  <c r="L503" i="5"/>
  <c r="F503" i="5"/>
  <c r="D503" i="5"/>
  <c r="N502" i="5"/>
  <c r="M502" i="5"/>
  <c r="L502" i="5"/>
  <c r="F502" i="5"/>
  <c r="D502" i="5"/>
  <c r="N501" i="5"/>
  <c r="M501" i="5"/>
  <c r="L501" i="5"/>
  <c r="F501" i="5"/>
  <c r="D501" i="5"/>
  <c r="N500" i="5"/>
  <c r="M500" i="5"/>
  <c r="L500" i="5"/>
  <c r="F500" i="5"/>
  <c r="D500" i="5"/>
  <c r="N499" i="5"/>
  <c r="M499" i="5"/>
  <c r="L499" i="5"/>
  <c r="F499" i="5"/>
  <c r="D499" i="5"/>
  <c r="N498" i="5"/>
  <c r="M498" i="5"/>
  <c r="L498" i="5"/>
  <c r="F498" i="5"/>
  <c r="D498" i="5"/>
  <c r="N497" i="5"/>
  <c r="M497" i="5"/>
  <c r="L497" i="5"/>
  <c r="F497" i="5"/>
  <c r="D497" i="5"/>
  <c r="N496" i="5"/>
  <c r="M496" i="5"/>
  <c r="L496" i="5"/>
  <c r="F496" i="5"/>
  <c r="D496" i="5"/>
  <c r="N495" i="5"/>
  <c r="M495" i="5"/>
  <c r="L495" i="5"/>
  <c r="F495" i="5"/>
  <c r="D495" i="5"/>
  <c r="N494" i="5"/>
  <c r="M494" i="5"/>
  <c r="L494" i="5"/>
  <c r="F494" i="5"/>
  <c r="D494" i="5"/>
  <c r="N493" i="5"/>
  <c r="M493" i="5"/>
  <c r="L493" i="5"/>
  <c r="F493" i="5"/>
  <c r="D493" i="5"/>
  <c r="N492" i="5"/>
  <c r="M492" i="5"/>
  <c r="L492" i="5"/>
  <c r="F492" i="5"/>
  <c r="D492" i="5"/>
  <c r="N491" i="5"/>
  <c r="M491" i="5"/>
  <c r="L491" i="5"/>
  <c r="F491" i="5"/>
  <c r="D491" i="5"/>
  <c r="N490" i="5"/>
  <c r="M490" i="5"/>
  <c r="L490" i="5"/>
  <c r="F490" i="5"/>
  <c r="D490" i="5"/>
  <c r="N489" i="5"/>
  <c r="M489" i="5"/>
  <c r="L489" i="5"/>
  <c r="F489" i="5"/>
  <c r="D489" i="5"/>
  <c r="N488" i="5"/>
  <c r="M488" i="5"/>
  <c r="L488" i="5"/>
  <c r="F488" i="5"/>
  <c r="D488" i="5"/>
  <c r="N487" i="5"/>
  <c r="M487" i="5"/>
  <c r="L487" i="5"/>
  <c r="F487" i="5"/>
  <c r="D487" i="5"/>
  <c r="N486" i="5"/>
  <c r="M486" i="5"/>
  <c r="L486" i="5"/>
  <c r="F486" i="5"/>
  <c r="D486" i="5"/>
  <c r="N485" i="5"/>
  <c r="M485" i="5"/>
  <c r="L485" i="5"/>
  <c r="F485" i="5"/>
  <c r="D485" i="5"/>
  <c r="N484" i="5"/>
  <c r="M484" i="5"/>
  <c r="L484" i="5"/>
  <c r="F484" i="5"/>
  <c r="D484" i="5"/>
  <c r="N483" i="5"/>
  <c r="M483" i="5"/>
  <c r="L483" i="5"/>
  <c r="F483" i="5"/>
  <c r="D483" i="5"/>
  <c r="N482" i="5"/>
  <c r="M482" i="5"/>
  <c r="L482" i="5"/>
  <c r="F482" i="5"/>
  <c r="D482" i="5"/>
  <c r="N481" i="5"/>
  <c r="M481" i="5"/>
  <c r="L481" i="5"/>
  <c r="F481" i="5"/>
  <c r="D481" i="5"/>
  <c r="N480" i="5"/>
  <c r="M480" i="5"/>
  <c r="L480" i="5"/>
  <c r="F480" i="5"/>
  <c r="D480" i="5"/>
  <c r="N479" i="5"/>
  <c r="M479" i="5"/>
  <c r="L479" i="5"/>
  <c r="F479" i="5"/>
  <c r="D479" i="5"/>
  <c r="N478" i="5"/>
  <c r="M478" i="5"/>
  <c r="L478" i="5"/>
  <c r="F478" i="5"/>
  <c r="D478" i="5"/>
  <c r="N477" i="5"/>
  <c r="M477" i="5"/>
  <c r="L477" i="5"/>
  <c r="F477" i="5"/>
  <c r="D477" i="5"/>
  <c r="N476" i="5"/>
  <c r="M476" i="5"/>
  <c r="L476" i="5"/>
  <c r="F476" i="5"/>
  <c r="D476" i="5"/>
  <c r="N475" i="5"/>
  <c r="M475" i="5"/>
  <c r="L475" i="5"/>
  <c r="F475" i="5"/>
  <c r="D475" i="5"/>
  <c r="N474" i="5"/>
  <c r="M474" i="5"/>
  <c r="L474" i="5"/>
  <c r="F474" i="5"/>
  <c r="D474" i="5"/>
  <c r="N473" i="5"/>
  <c r="M473" i="5"/>
  <c r="L473" i="5"/>
  <c r="F473" i="5"/>
  <c r="D473" i="5"/>
  <c r="N472" i="5"/>
  <c r="M472" i="5"/>
  <c r="L472" i="5"/>
  <c r="F472" i="5"/>
  <c r="D472" i="5"/>
  <c r="N471" i="5"/>
  <c r="M471" i="5"/>
  <c r="L471" i="5"/>
  <c r="F471" i="5"/>
  <c r="D471" i="5"/>
  <c r="N470" i="5"/>
  <c r="M470" i="5"/>
  <c r="L470" i="5"/>
  <c r="F470" i="5"/>
  <c r="D470" i="5"/>
  <c r="N469" i="5"/>
  <c r="M469" i="5"/>
  <c r="L469" i="5"/>
  <c r="F469" i="5"/>
  <c r="D469" i="5"/>
  <c r="N468" i="5"/>
  <c r="M468" i="5"/>
  <c r="L468" i="5"/>
  <c r="F468" i="5"/>
  <c r="D468" i="5"/>
  <c r="N467" i="5"/>
  <c r="M467" i="5"/>
  <c r="L467" i="5"/>
  <c r="F467" i="5"/>
  <c r="D467" i="5"/>
  <c r="N466" i="5"/>
  <c r="M466" i="5"/>
  <c r="L466" i="5"/>
  <c r="F466" i="5"/>
  <c r="D466" i="5"/>
  <c r="N465" i="5"/>
  <c r="M465" i="5"/>
  <c r="L465" i="5"/>
  <c r="F465" i="5"/>
  <c r="D465" i="5"/>
  <c r="N464" i="5"/>
  <c r="M464" i="5"/>
  <c r="L464" i="5"/>
  <c r="F464" i="5"/>
  <c r="D464" i="5"/>
  <c r="N463" i="5"/>
  <c r="M463" i="5"/>
  <c r="L463" i="5"/>
  <c r="F463" i="5"/>
  <c r="D463" i="5"/>
  <c r="N462" i="5"/>
  <c r="M462" i="5"/>
  <c r="L462" i="5"/>
  <c r="F462" i="5"/>
  <c r="D462" i="5"/>
  <c r="N461" i="5"/>
  <c r="M461" i="5"/>
  <c r="L461" i="5"/>
  <c r="F461" i="5"/>
  <c r="D461" i="5"/>
  <c r="N460" i="5"/>
  <c r="M460" i="5"/>
  <c r="L460" i="5"/>
  <c r="F460" i="5"/>
  <c r="D460" i="5"/>
  <c r="N459" i="5"/>
  <c r="M459" i="5"/>
  <c r="L459" i="5"/>
  <c r="F459" i="5"/>
  <c r="D459" i="5"/>
  <c r="N458" i="5"/>
  <c r="M458" i="5"/>
  <c r="L458" i="5"/>
  <c r="F458" i="5"/>
  <c r="D458" i="5"/>
  <c r="N457" i="5"/>
  <c r="M457" i="5"/>
  <c r="L457" i="5"/>
  <c r="F457" i="5"/>
  <c r="D457" i="5"/>
  <c r="N456" i="5"/>
  <c r="M456" i="5"/>
  <c r="L456" i="5"/>
  <c r="F456" i="5"/>
  <c r="D456" i="5"/>
  <c r="N455" i="5"/>
  <c r="M455" i="5"/>
  <c r="L455" i="5"/>
  <c r="F455" i="5"/>
  <c r="D455" i="5"/>
  <c r="N454" i="5"/>
  <c r="M454" i="5"/>
  <c r="L454" i="5"/>
  <c r="F454" i="5"/>
  <c r="D454" i="5"/>
  <c r="N453" i="5"/>
  <c r="M453" i="5"/>
  <c r="L453" i="5"/>
  <c r="F453" i="5"/>
  <c r="D453" i="5"/>
  <c r="N452" i="5"/>
  <c r="M452" i="5"/>
  <c r="L452" i="5"/>
  <c r="F452" i="5"/>
  <c r="D452" i="5"/>
  <c r="N451" i="5"/>
  <c r="M451" i="5"/>
  <c r="L451" i="5"/>
  <c r="F451" i="5"/>
  <c r="D451" i="5"/>
  <c r="N450" i="5"/>
  <c r="M450" i="5"/>
  <c r="L450" i="5"/>
  <c r="F450" i="5"/>
  <c r="D450" i="5"/>
  <c r="N449" i="5"/>
  <c r="M449" i="5"/>
  <c r="L449" i="5"/>
  <c r="F449" i="5"/>
  <c r="D449" i="5"/>
  <c r="N448" i="5"/>
  <c r="M448" i="5"/>
  <c r="L448" i="5"/>
  <c r="F448" i="5"/>
  <c r="D448" i="5"/>
  <c r="N447" i="5"/>
  <c r="M447" i="5"/>
  <c r="L447" i="5"/>
  <c r="F447" i="5"/>
  <c r="D447" i="5"/>
  <c r="N446" i="5"/>
  <c r="M446" i="5"/>
  <c r="L446" i="5"/>
  <c r="F446" i="5"/>
  <c r="D446" i="5"/>
  <c r="N445" i="5"/>
  <c r="M445" i="5"/>
  <c r="L445" i="5"/>
  <c r="F445" i="5"/>
  <c r="D445" i="5"/>
  <c r="N444" i="5"/>
  <c r="M444" i="5"/>
  <c r="L444" i="5"/>
  <c r="F444" i="5"/>
  <c r="D444" i="5"/>
  <c r="N443" i="5"/>
  <c r="M443" i="5"/>
  <c r="L443" i="5"/>
  <c r="F443" i="5"/>
  <c r="D443" i="5"/>
  <c r="N442" i="5"/>
  <c r="M442" i="5"/>
  <c r="L442" i="5"/>
  <c r="F442" i="5"/>
  <c r="D442" i="5"/>
  <c r="N441" i="5"/>
  <c r="M441" i="5"/>
  <c r="L441" i="5"/>
  <c r="F441" i="5"/>
  <c r="D441" i="5"/>
  <c r="N440" i="5"/>
  <c r="M440" i="5"/>
  <c r="L440" i="5"/>
  <c r="F440" i="5"/>
  <c r="D440" i="5"/>
  <c r="N439" i="5"/>
  <c r="M439" i="5"/>
  <c r="L439" i="5"/>
  <c r="F439" i="5"/>
  <c r="D439" i="5"/>
  <c r="N438" i="5"/>
  <c r="M438" i="5"/>
  <c r="L438" i="5"/>
  <c r="F438" i="5"/>
  <c r="D438" i="5"/>
  <c r="N437" i="5"/>
  <c r="M437" i="5"/>
  <c r="L437" i="5"/>
  <c r="F437" i="5"/>
  <c r="D437" i="5"/>
  <c r="N436" i="5"/>
  <c r="M436" i="5"/>
  <c r="L436" i="5"/>
  <c r="F436" i="5"/>
  <c r="D436" i="5"/>
  <c r="N435" i="5"/>
  <c r="M435" i="5"/>
  <c r="L435" i="5"/>
  <c r="F435" i="5"/>
  <c r="D435" i="5"/>
  <c r="N434" i="5"/>
  <c r="M434" i="5"/>
  <c r="L434" i="5"/>
  <c r="F434" i="5"/>
  <c r="D434" i="5"/>
  <c r="N433" i="5"/>
  <c r="M433" i="5"/>
  <c r="L433" i="5"/>
  <c r="F433" i="5"/>
  <c r="D433" i="5"/>
  <c r="N432" i="5"/>
  <c r="M432" i="5"/>
  <c r="L432" i="5"/>
  <c r="F432" i="5"/>
  <c r="D432" i="5"/>
  <c r="N431" i="5"/>
  <c r="M431" i="5"/>
  <c r="L431" i="5"/>
  <c r="F431" i="5"/>
  <c r="D431" i="5"/>
  <c r="N430" i="5"/>
  <c r="M430" i="5"/>
  <c r="L430" i="5"/>
  <c r="F430" i="5"/>
  <c r="D430" i="5"/>
  <c r="N429" i="5"/>
  <c r="M429" i="5"/>
  <c r="L429" i="5"/>
  <c r="F429" i="5"/>
  <c r="D429" i="5"/>
  <c r="N428" i="5"/>
  <c r="M428" i="5"/>
  <c r="L428" i="5"/>
  <c r="F428" i="5"/>
  <c r="D428" i="5"/>
  <c r="N427" i="5"/>
  <c r="M427" i="5"/>
  <c r="L427" i="5"/>
  <c r="F427" i="5"/>
  <c r="D427" i="5"/>
  <c r="N426" i="5"/>
  <c r="M426" i="5"/>
  <c r="L426" i="5"/>
  <c r="F426" i="5"/>
  <c r="D426" i="5"/>
  <c r="N425" i="5"/>
  <c r="M425" i="5"/>
  <c r="L425" i="5"/>
  <c r="F425" i="5"/>
  <c r="D425" i="5"/>
  <c r="N424" i="5"/>
  <c r="M424" i="5"/>
  <c r="L424" i="5"/>
  <c r="F424" i="5"/>
  <c r="D424" i="5"/>
  <c r="N423" i="5"/>
  <c r="M423" i="5"/>
  <c r="L423" i="5"/>
  <c r="F423" i="5"/>
  <c r="D423" i="5"/>
  <c r="N422" i="5"/>
  <c r="M422" i="5"/>
  <c r="L422" i="5"/>
  <c r="F422" i="5"/>
  <c r="D422" i="5"/>
  <c r="N421" i="5"/>
  <c r="M421" i="5"/>
  <c r="L421" i="5"/>
  <c r="F421" i="5"/>
  <c r="D421" i="5"/>
  <c r="N420" i="5"/>
  <c r="M420" i="5"/>
  <c r="L420" i="5"/>
  <c r="F420" i="5"/>
  <c r="D420" i="5"/>
  <c r="N419" i="5"/>
  <c r="M419" i="5"/>
  <c r="L419" i="5"/>
  <c r="F419" i="5"/>
  <c r="D419" i="5"/>
  <c r="N418" i="5"/>
  <c r="M418" i="5"/>
  <c r="L418" i="5"/>
  <c r="F418" i="5"/>
  <c r="D418" i="5"/>
  <c r="N417" i="5"/>
  <c r="M417" i="5"/>
  <c r="L417" i="5"/>
  <c r="F417" i="5"/>
  <c r="D417" i="5"/>
  <c r="N416" i="5"/>
  <c r="M416" i="5"/>
  <c r="L416" i="5"/>
  <c r="F416" i="5"/>
  <c r="D416" i="5"/>
  <c r="N415" i="5"/>
  <c r="M415" i="5"/>
  <c r="L415" i="5"/>
  <c r="F415" i="5"/>
  <c r="D415" i="5"/>
  <c r="N414" i="5"/>
  <c r="M414" i="5"/>
  <c r="L414" i="5"/>
  <c r="F414" i="5"/>
  <c r="D414" i="5"/>
  <c r="N413" i="5"/>
  <c r="M413" i="5"/>
  <c r="L413" i="5"/>
  <c r="F413" i="5"/>
  <c r="D413" i="5"/>
  <c r="N412" i="5"/>
  <c r="M412" i="5"/>
  <c r="L412" i="5"/>
  <c r="F412" i="5"/>
  <c r="D412" i="5"/>
  <c r="N411" i="5"/>
  <c r="M411" i="5"/>
  <c r="L411" i="5"/>
  <c r="F411" i="5"/>
  <c r="D411" i="5"/>
  <c r="N410" i="5"/>
  <c r="M410" i="5"/>
  <c r="L410" i="5"/>
  <c r="F410" i="5"/>
  <c r="D410" i="5"/>
  <c r="N409" i="5"/>
  <c r="M409" i="5"/>
  <c r="L409" i="5"/>
  <c r="F409" i="5"/>
  <c r="D409" i="5"/>
  <c r="N408" i="5"/>
  <c r="M408" i="5"/>
  <c r="L408" i="5"/>
  <c r="F408" i="5"/>
  <c r="D408" i="5"/>
  <c r="N407" i="5"/>
  <c r="M407" i="5"/>
  <c r="L407" i="5"/>
  <c r="F407" i="5"/>
  <c r="D407" i="5"/>
  <c r="N406" i="5"/>
  <c r="M406" i="5"/>
  <c r="L406" i="5"/>
  <c r="F406" i="5"/>
  <c r="D406" i="5"/>
  <c r="N405" i="5"/>
  <c r="M405" i="5"/>
  <c r="L405" i="5"/>
  <c r="F405" i="5"/>
  <c r="D405" i="5"/>
  <c r="N404" i="5"/>
  <c r="M404" i="5"/>
  <c r="L404" i="5"/>
  <c r="F404" i="5"/>
  <c r="D404" i="5"/>
  <c r="N403" i="5"/>
  <c r="M403" i="5"/>
  <c r="L403" i="5"/>
  <c r="F403" i="5"/>
  <c r="D403" i="5"/>
  <c r="N402" i="5"/>
  <c r="M402" i="5"/>
  <c r="L402" i="5"/>
  <c r="F402" i="5"/>
  <c r="D402" i="5"/>
  <c r="N401" i="5"/>
  <c r="M401" i="5"/>
  <c r="L401" i="5"/>
  <c r="F401" i="5"/>
  <c r="D401" i="5"/>
  <c r="N400" i="5"/>
  <c r="M400" i="5"/>
  <c r="L400" i="5"/>
  <c r="F400" i="5"/>
  <c r="D400" i="5"/>
  <c r="N399" i="5"/>
  <c r="M399" i="5"/>
  <c r="L399" i="5"/>
  <c r="F399" i="5"/>
  <c r="D399" i="5"/>
  <c r="N398" i="5"/>
  <c r="M398" i="5"/>
  <c r="L398" i="5"/>
  <c r="F398" i="5"/>
  <c r="D398" i="5"/>
  <c r="N397" i="5"/>
  <c r="M397" i="5"/>
  <c r="L397" i="5"/>
  <c r="F397" i="5"/>
  <c r="D397" i="5"/>
  <c r="N396" i="5"/>
  <c r="M396" i="5"/>
  <c r="L396" i="5"/>
  <c r="F396" i="5"/>
  <c r="D396" i="5"/>
  <c r="N395" i="5"/>
  <c r="M395" i="5"/>
  <c r="L395" i="5"/>
  <c r="F395" i="5"/>
  <c r="D395" i="5"/>
  <c r="N394" i="5"/>
  <c r="M394" i="5"/>
  <c r="L394" i="5"/>
  <c r="F394" i="5"/>
  <c r="D394" i="5"/>
  <c r="N393" i="5"/>
  <c r="M393" i="5"/>
  <c r="L393" i="5"/>
  <c r="F393" i="5"/>
  <c r="D393" i="5"/>
  <c r="N392" i="5"/>
  <c r="M392" i="5"/>
  <c r="L392" i="5"/>
  <c r="F392" i="5"/>
  <c r="D392" i="5"/>
  <c r="N391" i="5"/>
  <c r="M391" i="5"/>
  <c r="L391" i="5"/>
  <c r="F391" i="5"/>
  <c r="D391" i="5"/>
  <c r="N390" i="5"/>
  <c r="M390" i="5"/>
  <c r="L390" i="5"/>
  <c r="F390" i="5"/>
  <c r="D390" i="5"/>
  <c r="N389" i="5"/>
  <c r="M389" i="5"/>
  <c r="L389" i="5"/>
  <c r="F389" i="5"/>
  <c r="D389" i="5"/>
  <c r="N388" i="5"/>
  <c r="M388" i="5"/>
  <c r="L388" i="5"/>
  <c r="F388" i="5"/>
  <c r="D388" i="5"/>
  <c r="N387" i="5"/>
  <c r="M387" i="5"/>
  <c r="L387" i="5"/>
  <c r="F387" i="5"/>
  <c r="D387" i="5"/>
  <c r="N386" i="5"/>
  <c r="M386" i="5"/>
  <c r="L386" i="5"/>
  <c r="F386" i="5"/>
  <c r="D386" i="5"/>
  <c r="N385" i="5"/>
  <c r="M385" i="5"/>
  <c r="L385" i="5"/>
  <c r="F385" i="5"/>
  <c r="D385" i="5"/>
  <c r="N384" i="5"/>
  <c r="M384" i="5"/>
  <c r="L384" i="5"/>
  <c r="F384" i="5"/>
  <c r="D384" i="5"/>
  <c r="N383" i="5"/>
  <c r="M383" i="5"/>
  <c r="L383" i="5"/>
  <c r="F383" i="5"/>
  <c r="D383" i="5"/>
  <c r="N382" i="5"/>
  <c r="M382" i="5"/>
  <c r="L382" i="5"/>
  <c r="F382" i="5"/>
  <c r="D382" i="5"/>
  <c r="N381" i="5"/>
  <c r="M381" i="5"/>
  <c r="L381" i="5"/>
  <c r="F381" i="5"/>
  <c r="D381" i="5"/>
  <c r="N380" i="5"/>
  <c r="M380" i="5"/>
  <c r="L380" i="5"/>
  <c r="F380" i="5"/>
  <c r="D380" i="5"/>
  <c r="N379" i="5"/>
  <c r="M379" i="5"/>
  <c r="L379" i="5"/>
  <c r="F379" i="5"/>
  <c r="D379" i="5"/>
  <c r="N378" i="5"/>
  <c r="M378" i="5"/>
  <c r="L378" i="5"/>
  <c r="F378" i="5"/>
  <c r="D378" i="5"/>
  <c r="N377" i="5"/>
  <c r="M377" i="5"/>
  <c r="L377" i="5"/>
  <c r="F377" i="5"/>
  <c r="D377" i="5"/>
  <c r="N376" i="5"/>
  <c r="M376" i="5"/>
  <c r="L376" i="5"/>
  <c r="F376" i="5"/>
  <c r="D376" i="5"/>
  <c r="N375" i="5"/>
  <c r="M375" i="5"/>
  <c r="L375" i="5"/>
  <c r="F375" i="5"/>
  <c r="D375" i="5"/>
  <c r="N374" i="5"/>
  <c r="M374" i="5"/>
  <c r="L374" i="5"/>
  <c r="F374" i="5"/>
  <c r="D374" i="5"/>
  <c r="N373" i="5"/>
  <c r="M373" i="5"/>
  <c r="L373" i="5"/>
  <c r="F373" i="5"/>
  <c r="D373" i="5"/>
  <c r="N372" i="5"/>
  <c r="M372" i="5"/>
  <c r="L372" i="5"/>
  <c r="F372" i="5"/>
  <c r="D372" i="5"/>
  <c r="N371" i="5"/>
  <c r="M371" i="5"/>
  <c r="L371" i="5"/>
  <c r="F371" i="5"/>
  <c r="D371" i="5"/>
  <c r="N370" i="5"/>
  <c r="M370" i="5"/>
  <c r="L370" i="5"/>
  <c r="F370" i="5"/>
  <c r="D370" i="5"/>
  <c r="N369" i="5"/>
  <c r="M369" i="5"/>
  <c r="L369" i="5"/>
  <c r="F369" i="5"/>
  <c r="D369" i="5"/>
  <c r="N368" i="5"/>
  <c r="M368" i="5"/>
  <c r="L368" i="5"/>
  <c r="F368" i="5"/>
  <c r="D368" i="5"/>
  <c r="N367" i="5"/>
  <c r="M367" i="5"/>
  <c r="L367" i="5"/>
  <c r="F367" i="5"/>
  <c r="D367" i="5"/>
  <c r="N366" i="5"/>
  <c r="M366" i="5"/>
  <c r="L366" i="5"/>
  <c r="F366" i="5"/>
  <c r="D366" i="5"/>
  <c r="N365" i="5"/>
  <c r="M365" i="5"/>
  <c r="L365" i="5"/>
  <c r="F365" i="5"/>
  <c r="D365" i="5"/>
  <c r="N364" i="5"/>
  <c r="M364" i="5"/>
  <c r="L364" i="5"/>
  <c r="F364" i="5"/>
  <c r="D364" i="5"/>
  <c r="N363" i="5"/>
  <c r="M363" i="5"/>
  <c r="L363" i="5"/>
  <c r="F363" i="5"/>
  <c r="D363" i="5"/>
  <c r="N362" i="5"/>
  <c r="M362" i="5"/>
  <c r="L362" i="5"/>
  <c r="F362" i="5"/>
  <c r="D362" i="5"/>
  <c r="N361" i="5"/>
  <c r="M361" i="5"/>
  <c r="L361" i="5"/>
  <c r="F361" i="5"/>
  <c r="D361" i="5"/>
  <c r="N360" i="5"/>
  <c r="M360" i="5"/>
  <c r="L360" i="5"/>
  <c r="F360" i="5"/>
  <c r="D360" i="5"/>
  <c r="N359" i="5"/>
  <c r="M359" i="5"/>
  <c r="L359" i="5"/>
  <c r="F359" i="5"/>
  <c r="D359" i="5"/>
  <c r="N358" i="5"/>
  <c r="M358" i="5"/>
  <c r="L358" i="5"/>
  <c r="F358" i="5"/>
  <c r="D358" i="5"/>
  <c r="N357" i="5"/>
  <c r="M357" i="5"/>
  <c r="L357" i="5"/>
  <c r="F357" i="5"/>
  <c r="D357" i="5"/>
  <c r="N356" i="5"/>
  <c r="M356" i="5"/>
  <c r="L356" i="5"/>
  <c r="F356" i="5"/>
  <c r="D356" i="5"/>
  <c r="N355" i="5"/>
  <c r="M355" i="5"/>
  <c r="L355" i="5"/>
  <c r="F355" i="5"/>
  <c r="D355" i="5"/>
  <c r="N354" i="5"/>
  <c r="M354" i="5"/>
  <c r="L354" i="5"/>
  <c r="F354" i="5"/>
  <c r="D354" i="5"/>
  <c r="N353" i="5"/>
  <c r="M353" i="5"/>
  <c r="L353" i="5"/>
  <c r="F353" i="5"/>
  <c r="D353" i="5"/>
  <c r="N352" i="5"/>
  <c r="M352" i="5"/>
  <c r="L352" i="5"/>
  <c r="F352" i="5"/>
  <c r="D352" i="5"/>
  <c r="N351" i="5"/>
  <c r="M351" i="5"/>
  <c r="L351" i="5"/>
  <c r="F351" i="5"/>
  <c r="D351" i="5"/>
  <c r="N350" i="5"/>
  <c r="M350" i="5"/>
  <c r="L350" i="5"/>
  <c r="F350" i="5"/>
  <c r="D350" i="5"/>
  <c r="N349" i="5"/>
  <c r="M349" i="5"/>
  <c r="L349" i="5"/>
  <c r="F349" i="5"/>
  <c r="D349" i="5"/>
  <c r="N348" i="5"/>
  <c r="M348" i="5"/>
  <c r="L348" i="5"/>
  <c r="F348" i="5"/>
  <c r="D348" i="5"/>
  <c r="N347" i="5"/>
  <c r="M347" i="5"/>
  <c r="L347" i="5"/>
  <c r="F347" i="5"/>
  <c r="D347" i="5"/>
  <c r="N346" i="5"/>
  <c r="M346" i="5"/>
  <c r="L346" i="5"/>
  <c r="F346" i="5"/>
  <c r="D346" i="5"/>
  <c r="N345" i="5"/>
  <c r="M345" i="5"/>
  <c r="L345" i="5"/>
  <c r="F345" i="5"/>
  <c r="D345" i="5"/>
  <c r="N344" i="5"/>
  <c r="M344" i="5"/>
  <c r="L344" i="5"/>
  <c r="F344" i="5"/>
  <c r="D344" i="5"/>
  <c r="N343" i="5"/>
  <c r="M343" i="5"/>
  <c r="L343" i="5"/>
  <c r="F343" i="5"/>
  <c r="D343" i="5"/>
  <c r="N342" i="5"/>
  <c r="M342" i="5"/>
  <c r="L342" i="5"/>
  <c r="F342" i="5"/>
  <c r="D342" i="5"/>
  <c r="N341" i="5"/>
  <c r="M341" i="5"/>
  <c r="L341" i="5"/>
  <c r="F341" i="5"/>
  <c r="D341" i="5"/>
  <c r="N340" i="5"/>
  <c r="M340" i="5"/>
  <c r="L340" i="5"/>
  <c r="F340" i="5"/>
  <c r="D340" i="5"/>
  <c r="N339" i="5"/>
  <c r="M339" i="5"/>
  <c r="L339" i="5"/>
  <c r="F339" i="5"/>
  <c r="D339" i="5"/>
  <c r="N338" i="5"/>
  <c r="M338" i="5"/>
  <c r="L338" i="5"/>
  <c r="F338" i="5"/>
  <c r="D338" i="5"/>
  <c r="N337" i="5"/>
  <c r="M337" i="5"/>
  <c r="L337" i="5"/>
  <c r="F337" i="5"/>
  <c r="D337" i="5"/>
  <c r="N336" i="5"/>
  <c r="M336" i="5"/>
  <c r="L336" i="5"/>
  <c r="F336" i="5"/>
  <c r="D336" i="5"/>
  <c r="N335" i="5"/>
  <c r="M335" i="5"/>
  <c r="L335" i="5"/>
  <c r="F335" i="5"/>
  <c r="D335" i="5"/>
  <c r="N334" i="5"/>
  <c r="M334" i="5"/>
  <c r="L334" i="5"/>
  <c r="F334" i="5"/>
  <c r="D334" i="5"/>
  <c r="N333" i="5"/>
  <c r="M333" i="5"/>
  <c r="L333" i="5"/>
  <c r="F333" i="5"/>
  <c r="D333" i="5"/>
  <c r="N332" i="5"/>
  <c r="M332" i="5"/>
  <c r="L332" i="5"/>
  <c r="F332" i="5"/>
  <c r="D332" i="5"/>
  <c r="N331" i="5"/>
  <c r="M331" i="5"/>
  <c r="L331" i="5"/>
  <c r="F331" i="5"/>
  <c r="D331" i="5"/>
  <c r="N330" i="5"/>
  <c r="M330" i="5"/>
  <c r="L330" i="5"/>
  <c r="F330" i="5"/>
  <c r="D330" i="5"/>
  <c r="N329" i="5"/>
  <c r="M329" i="5"/>
  <c r="L329" i="5"/>
  <c r="F329" i="5"/>
  <c r="D329" i="5"/>
  <c r="N328" i="5"/>
  <c r="M328" i="5"/>
  <c r="L328" i="5"/>
  <c r="F328" i="5"/>
  <c r="D328" i="5"/>
  <c r="N327" i="5"/>
  <c r="M327" i="5"/>
  <c r="L327" i="5"/>
  <c r="F327" i="5"/>
  <c r="D327" i="5"/>
  <c r="N326" i="5"/>
  <c r="M326" i="5"/>
  <c r="L326" i="5"/>
  <c r="F326" i="5"/>
  <c r="D326" i="5"/>
  <c r="N325" i="5"/>
  <c r="M325" i="5"/>
  <c r="L325" i="5"/>
  <c r="F325" i="5"/>
  <c r="D325" i="5"/>
  <c r="N324" i="5"/>
  <c r="M324" i="5"/>
  <c r="L324" i="5"/>
  <c r="F324" i="5"/>
  <c r="D324" i="5"/>
  <c r="N323" i="5"/>
  <c r="M323" i="5"/>
  <c r="L323" i="5"/>
  <c r="F323" i="5"/>
  <c r="D323" i="5"/>
  <c r="N322" i="5"/>
  <c r="M322" i="5"/>
  <c r="L322" i="5"/>
  <c r="F322" i="5"/>
  <c r="D322" i="5"/>
  <c r="N321" i="5"/>
  <c r="M321" i="5"/>
  <c r="L321" i="5"/>
  <c r="F321" i="5"/>
  <c r="D321" i="5"/>
  <c r="N320" i="5"/>
  <c r="M320" i="5"/>
  <c r="L320" i="5"/>
  <c r="F320" i="5"/>
  <c r="D320" i="5"/>
  <c r="N319" i="5"/>
  <c r="M319" i="5"/>
  <c r="L319" i="5"/>
  <c r="F319" i="5"/>
  <c r="D319" i="5"/>
  <c r="N318" i="5"/>
  <c r="M318" i="5"/>
  <c r="L318" i="5"/>
  <c r="F318" i="5"/>
  <c r="D318" i="5"/>
  <c r="N317" i="5"/>
  <c r="M317" i="5"/>
  <c r="L317" i="5"/>
  <c r="F317" i="5"/>
  <c r="D317" i="5"/>
  <c r="N316" i="5"/>
  <c r="M316" i="5"/>
  <c r="L316" i="5"/>
  <c r="F316" i="5"/>
  <c r="D316" i="5"/>
  <c r="N315" i="5"/>
  <c r="M315" i="5"/>
  <c r="L315" i="5"/>
  <c r="F315" i="5"/>
  <c r="D315" i="5"/>
  <c r="N314" i="5"/>
  <c r="M314" i="5"/>
  <c r="L314" i="5"/>
  <c r="F314" i="5"/>
  <c r="D314" i="5"/>
  <c r="N313" i="5"/>
  <c r="M313" i="5"/>
  <c r="L313" i="5"/>
  <c r="F313" i="5"/>
  <c r="D313" i="5"/>
  <c r="N312" i="5"/>
  <c r="M312" i="5"/>
  <c r="L312" i="5"/>
  <c r="F312" i="5"/>
  <c r="D312" i="5"/>
  <c r="N311" i="5"/>
  <c r="M311" i="5"/>
  <c r="L311" i="5"/>
  <c r="F311" i="5"/>
  <c r="D311" i="5"/>
  <c r="N310" i="5"/>
  <c r="M310" i="5"/>
  <c r="L310" i="5"/>
  <c r="F310" i="5"/>
  <c r="D310" i="5"/>
  <c r="N309" i="5"/>
  <c r="M309" i="5"/>
  <c r="L309" i="5"/>
  <c r="F309" i="5"/>
  <c r="D309" i="5"/>
  <c r="N308" i="5"/>
  <c r="M308" i="5"/>
  <c r="L308" i="5"/>
  <c r="F308" i="5"/>
  <c r="D308" i="5"/>
  <c r="N307" i="5"/>
  <c r="M307" i="5"/>
  <c r="L307" i="5"/>
  <c r="F307" i="5"/>
  <c r="D307" i="5"/>
  <c r="N306" i="5"/>
  <c r="M306" i="5"/>
  <c r="L306" i="5"/>
  <c r="F306" i="5"/>
  <c r="D306" i="5"/>
  <c r="N305" i="5"/>
  <c r="M305" i="5"/>
  <c r="L305" i="5"/>
  <c r="F305" i="5"/>
  <c r="D305" i="5"/>
  <c r="N304" i="5"/>
  <c r="M304" i="5"/>
  <c r="L304" i="5"/>
  <c r="F304" i="5"/>
  <c r="D304" i="5"/>
  <c r="N303" i="5"/>
  <c r="M303" i="5"/>
  <c r="L303" i="5"/>
  <c r="F303" i="5"/>
  <c r="D303" i="5"/>
  <c r="N302" i="5"/>
  <c r="M302" i="5"/>
  <c r="L302" i="5"/>
  <c r="F302" i="5"/>
  <c r="D302" i="5"/>
  <c r="N301" i="5"/>
  <c r="M301" i="5"/>
  <c r="L301" i="5"/>
  <c r="F301" i="5"/>
  <c r="D301" i="5"/>
  <c r="N300" i="5"/>
  <c r="M300" i="5"/>
  <c r="L300" i="5"/>
  <c r="F300" i="5"/>
  <c r="D300" i="5"/>
  <c r="N299" i="5"/>
  <c r="M299" i="5"/>
  <c r="L299" i="5"/>
  <c r="F299" i="5"/>
  <c r="D299" i="5"/>
  <c r="N298" i="5"/>
  <c r="M298" i="5"/>
  <c r="L298" i="5"/>
  <c r="F298" i="5"/>
  <c r="D298" i="5"/>
  <c r="N297" i="5"/>
  <c r="M297" i="5"/>
  <c r="L297" i="5"/>
  <c r="F297" i="5"/>
  <c r="D297" i="5"/>
  <c r="N296" i="5"/>
  <c r="M296" i="5"/>
  <c r="L296" i="5"/>
  <c r="F296" i="5"/>
  <c r="D296" i="5"/>
  <c r="N295" i="5"/>
  <c r="M295" i="5"/>
  <c r="L295" i="5"/>
  <c r="F295" i="5"/>
  <c r="D295" i="5"/>
  <c r="N294" i="5"/>
  <c r="M294" i="5"/>
  <c r="L294" i="5"/>
  <c r="F294" i="5"/>
  <c r="D294" i="5"/>
  <c r="N293" i="5"/>
  <c r="M293" i="5"/>
  <c r="L293" i="5"/>
  <c r="F293" i="5"/>
  <c r="D293" i="5"/>
  <c r="N292" i="5"/>
  <c r="M292" i="5"/>
  <c r="L292" i="5"/>
  <c r="F292" i="5"/>
  <c r="D292" i="5"/>
  <c r="N291" i="5"/>
  <c r="M291" i="5"/>
  <c r="L291" i="5"/>
  <c r="F291" i="5"/>
  <c r="D291" i="5"/>
  <c r="N290" i="5"/>
  <c r="M290" i="5"/>
  <c r="L290" i="5"/>
  <c r="F290" i="5"/>
  <c r="D290" i="5"/>
  <c r="N289" i="5"/>
  <c r="M289" i="5"/>
  <c r="L289" i="5"/>
  <c r="F289" i="5"/>
  <c r="D289" i="5"/>
  <c r="N288" i="5"/>
  <c r="M288" i="5"/>
  <c r="L288" i="5"/>
  <c r="F288" i="5"/>
  <c r="D288" i="5"/>
  <c r="N287" i="5"/>
  <c r="M287" i="5"/>
  <c r="L287" i="5"/>
  <c r="F287" i="5"/>
  <c r="D287" i="5"/>
  <c r="N286" i="5"/>
  <c r="M286" i="5"/>
  <c r="L286" i="5"/>
  <c r="F286" i="5"/>
  <c r="D286" i="5"/>
  <c r="N285" i="5"/>
  <c r="M285" i="5"/>
  <c r="L285" i="5"/>
  <c r="F285" i="5"/>
  <c r="D285" i="5"/>
  <c r="N284" i="5"/>
  <c r="M284" i="5"/>
  <c r="L284" i="5"/>
  <c r="F284" i="5"/>
  <c r="D284" i="5"/>
  <c r="N283" i="5"/>
  <c r="M283" i="5"/>
  <c r="L283" i="5"/>
  <c r="F283" i="5"/>
  <c r="D283" i="5"/>
  <c r="N282" i="5"/>
  <c r="M282" i="5"/>
  <c r="L282" i="5"/>
  <c r="F282" i="5"/>
  <c r="D282" i="5"/>
  <c r="N281" i="5"/>
  <c r="M281" i="5"/>
  <c r="L281" i="5"/>
  <c r="F281" i="5"/>
  <c r="D281" i="5"/>
  <c r="N280" i="5"/>
  <c r="M280" i="5"/>
  <c r="L280" i="5"/>
  <c r="F280" i="5"/>
  <c r="D280" i="5"/>
  <c r="N279" i="5"/>
  <c r="M279" i="5"/>
  <c r="L279" i="5"/>
  <c r="F279" i="5"/>
  <c r="D279" i="5"/>
  <c r="N278" i="5"/>
  <c r="M278" i="5"/>
  <c r="L278" i="5"/>
  <c r="F278" i="5"/>
  <c r="D278" i="5"/>
  <c r="N277" i="5"/>
  <c r="M277" i="5"/>
  <c r="L277" i="5"/>
  <c r="F277" i="5"/>
  <c r="D277" i="5"/>
  <c r="N276" i="5"/>
  <c r="M276" i="5"/>
  <c r="L276" i="5"/>
  <c r="F276" i="5"/>
  <c r="D276" i="5"/>
  <c r="N275" i="5"/>
  <c r="M275" i="5"/>
  <c r="L275" i="5"/>
  <c r="F275" i="5"/>
  <c r="D275" i="5"/>
  <c r="N274" i="5"/>
  <c r="M274" i="5"/>
  <c r="L274" i="5"/>
  <c r="F274" i="5"/>
  <c r="D274" i="5"/>
  <c r="N273" i="5"/>
  <c r="M273" i="5"/>
  <c r="L273" i="5"/>
  <c r="F273" i="5"/>
  <c r="D273" i="5"/>
  <c r="N272" i="5"/>
  <c r="M272" i="5"/>
  <c r="L272" i="5"/>
  <c r="F272" i="5"/>
  <c r="D272" i="5"/>
  <c r="N271" i="5"/>
  <c r="M271" i="5"/>
  <c r="L271" i="5"/>
  <c r="F271" i="5"/>
  <c r="D271" i="5"/>
  <c r="N270" i="5"/>
  <c r="M270" i="5"/>
  <c r="L270" i="5"/>
  <c r="F270" i="5"/>
  <c r="D270" i="5"/>
  <c r="N269" i="5"/>
  <c r="M269" i="5"/>
  <c r="L269" i="5"/>
  <c r="F269" i="5"/>
  <c r="D269" i="5"/>
  <c r="N268" i="5"/>
  <c r="M268" i="5"/>
  <c r="L268" i="5"/>
  <c r="F268" i="5"/>
  <c r="D268" i="5"/>
  <c r="N267" i="5"/>
  <c r="M267" i="5"/>
  <c r="L267" i="5"/>
  <c r="F267" i="5"/>
  <c r="D267" i="5"/>
  <c r="N266" i="5"/>
  <c r="M266" i="5"/>
  <c r="L266" i="5"/>
  <c r="F266" i="5"/>
  <c r="D266" i="5"/>
  <c r="N265" i="5"/>
  <c r="M265" i="5"/>
  <c r="L265" i="5"/>
  <c r="F265" i="5"/>
  <c r="D265" i="5"/>
  <c r="N264" i="5"/>
  <c r="M264" i="5"/>
  <c r="L264" i="5"/>
  <c r="F264" i="5"/>
  <c r="D264" i="5"/>
  <c r="N263" i="5"/>
  <c r="M263" i="5"/>
  <c r="L263" i="5"/>
  <c r="F263" i="5"/>
  <c r="D263" i="5"/>
  <c r="N262" i="5"/>
  <c r="M262" i="5"/>
  <c r="L262" i="5"/>
  <c r="F262" i="5"/>
  <c r="D262" i="5"/>
  <c r="N261" i="5"/>
  <c r="M261" i="5"/>
  <c r="L261" i="5"/>
  <c r="F261" i="5"/>
  <c r="D261" i="5"/>
  <c r="N260" i="5"/>
  <c r="M260" i="5"/>
  <c r="L260" i="5"/>
  <c r="F260" i="5"/>
  <c r="D260" i="5"/>
  <c r="N259" i="5"/>
  <c r="M259" i="5"/>
  <c r="L259" i="5"/>
  <c r="F259" i="5"/>
  <c r="D259" i="5"/>
  <c r="N258" i="5"/>
  <c r="M258" i="5"/>
  <c r="L258" i="5"/>
  <c r="F258" i="5"/>
  <c r="D258" i="5"/>
  <c r="N257" i="5"/>
  <c r="M257" i="5"/>
  <c r="L257" i="5"/>
  <c r="F257" i="5"/>
  <c r="D257" i="5"/>
  <c r="N256" i="5"/>
  <c r="M256" i="5"/>
  <c r="L256" i="5"/>
  <c r="F256" i="5"/>
  <c r="D256" i="5"/>
  <c r="N255" i="5"/>
  <c r="M255" i="5"/>
  <c r="L255" i="5"/>
  <c r="F255" i="5"/>
  <c r="D255" i="5"/>
  <c r="N254" i="5"/>
  <c r="M254" i="5"/>
  <c r="L254" i="5"/>
  <c r="F254" i="5"/>
  <c r="D254" i="5"/>
  <c r="N253" i="5"/>
  <c r="M253" i="5"/>
  <c r="L253" i="5"/>
  <c r="F253" i="5"/>
  <c r="D253" i="5"/>
  <c r="N252" i="5"/>
  <c r="M252" i="5"/>
  <c r="L252" i="5"/>
  <c r="F252" i="5"/>
  <c r="D252" i="5"/>
  <c r="N251" i="5"/>
  <c r="M251" i="5"/>
  <c r="L251" i="5"/>
  <c r="F251" i="5"/>
  <c r="D251" i="5"/>
  <c r="N250" i="5"/>
  <c r="M250" i="5"/>
  <c r="L250" i="5"/>
  <c r="F250" i="5"/>
  <c r="D250" i="5"/>
  <c r="N249" i="5"/>
  <c r="M249" i="5"/>
  <c r="L249" i="5"/>
  <c r="F249" i="5"/>
  <c r="D249" i="5"/>
  <c r="N248" i="5"/>
  <c r="M248" i="5"/>
  <c r="L248" i="5"/>
  <c r="F248" i="5"/>
  <c r="D248" i="5"/>
  <c r="N247" i="5"/>
  <c r="M247" i="5"/>
  <c r="L247" i="5"/>
  <c r="F247" i="5"/>
  <c r="D247" i="5"/>
  <c r="N246" i="5"/>
  <c r="M246" i="5"/>
  <c r="L246" i="5"/>
  <c r="F246" i="5"/>
  <c r="D246" i="5"/>
  <c r="N245" i="5"/>
  <c r="M245" i="5"/>
  <c r="L245" i="5"/>
  <c r="F245" i="5"/>
  <c r="D245" i="5"/>
  <c r="N244" i="5"/>
  <c r="M244" i="5"/>
  <c r="L244" i="5"/>
  <c r="F244" i="5"/>
  <c r="D244" i="5"/>
  <c r="N243" i="5"/>
  <c r="M243" i="5"/>
  <c r="L243" i="5"/>
  <c r="F243" i="5"/>
  <c r="D243" i="5"/>
  <c r="N242" i="5"/>
  <c r="M242" i="5"/>
  <c r="L242" i="5"/>
  <c r="F242" i="5"/>
  <c r="D242" i="5"/>
  <c r="N241" i="5"/>
  <c r="M241" i="5"/>
  <c r="L241" i="5"/>
  <c r="F241" i="5"/>
  <c r="D241" i="5"/>
  <c r="N240" i="5"/>
  <c r="M240" i="5"/>
  <c r="L240" i="5"/>
  <c r="F240" i="5"/>
  <c r="D240" i="5"/>
  <c r="N239" i="5"/>
  <c r="M239" i="5"/>
  <c r="L239" i="5"/>
  <c r="F239" i="5"/>
  <c r="D239" i="5"/>
  <c r="N238" i="5"/>
  <c r="M238" i="5"/>
  <c r="L238" i="5"/>
  <c r="F238" i="5"/>
  <c r="D238" i="5"/>
  <c r="N237" i="5"/>
  <c r="M237" i="5"/>
  <c r="L237" i="5"/>
  <c r="F237" i="5"/>
  <c r="D237" i="5"/>
  <c r="N236" i="5"/>
  <c r="M236" i="5"/>
  <c r="L236" i="5"/>
  <c r="F236" i="5"/>
  <c r="D236" i="5"/>
  <c r="N235" i="5"/>
  <c r="M235" i="5"/>
  <c r="L235" i="5"/>
  <c r="F235" i="5"/>
  <c r="D235" i="5"/>
  <c r="N234" i="5"/>
  <c r="M234" i="5"/>
  <c r="L234" i="5"/>
  <c r="F234" i="5"/>
  <c r="D234" i="5"/>
  <c r="N233" i="5"/>
  <c r="M233" i="5"/>
  <c r="L233" i="5"/>
  <c r="F233" i="5"/>
  <c r="D233" i="5"/>
  <c r="N232" i="5"/>
  <c r="M232" i="5"/>
  <c r="L232" i="5"/>
  <c r="F232" i="5"/>
  <c r="D232" i="5"/>
  <c r="N231" i="5"/>
  <c r="M231" i="5"/>
  <c r="L231" i="5"/>
  <c r="F231" i="5"/>
  <c r="D231" i="5"/>
  <c r="N230" i="5"/>
  <c r="M230" i="5"/>
  <c r="L230" i="5"/>
  <c r="F230" i="5"/>
  <c r="D230" i="5"/>
  <c r="N229" i="5"/>
  <c r="M229" i="5"/>
  <c r="L229" i="5"/>
  <c r="F229" i="5"/>
  <c r="D229" i="5"/>
  <c r="N228" i="5"/>
  <c r="M228" i="5"/>
  <c r="L228" i="5"/>
  <c r="F228" i="5"/>
  <c r="D228" i="5"/>
  <c r="N227" i="5"/>
  <c r="M227" i="5"/>
  <c r="L227" i="5"/>
  <c r="F227" i="5"/>
  <c r="D227" i="5"/>
  <c r="N226" i="5"/>
  <c r="M226" i="5"/>
  <c r="L226" i="5"/>
  <c r="F226" i="5"/>
  <c r="D226" i="5"/>
  <c r="N225" i="5"/>
  <c r="M225" i="5"/>
  <c r="L225" i="5"/>
  <c r="F225" i="5"/>
  <c r="D225" i="5"/>
  <c r="N224" i="5"/>
  <c r="M224" i="5"/>
  <c r="L224" i="5"/>
  <c r="F224" i="5"/>
  <c r="D224" i="5"/>
  <c r="N223" i="5"/>
  <c r="M223" i="5"/>
  <c r="L223" i="5"/>
  <c r="F223" i="5"/>
  <c r="D223" i="5"/>
  <c r="N222" i="5"/>
  <c r="M222" i="5"/>
  <c r="L222" i="5"/>
  <c r="F222" i="5"/>
  <c r="D222" i="5"/>
  <c r="N221" i="5"/>
  <c r="M221" i="5"/>
  <c r="L221" i="5"/>
  <c r="F221" i="5"/>
  <c r="D221" i="5"/>
  <c r="N220" i="5"/>
  <c r="M220" i="5"/>
  <c r="L220" i="5"/>
  <c r="F220" i="5"/>
  <c r="D220" i="5"/>
  <c r="N219" i="5"/>
  <c r="M219" i="5"/>
  <c r="L219" i="5"/>
  <c r="F219" i="5"/>
  <c r="D219" i="5"/>
  <c r="N218" i="5"/>
  <c r="M218" i="5"/>
  <c r="L218" i="5"/>
  <c r="F218" i="5"/>
  <c r="D218" i="5"/>
  <c r="N217" i="5"/>
  <c r="M217" i="5"/>
  <c r="L217" i="5"/>
  <c r="F217" i="5"/>
  <c r="D217" i="5"/>
  <c r="N216" i="5"/>
  <c r="M216" i="5"/>
  <c r="L216" i="5"/>
  <c r="F216" i="5"/>
  <c r="D216" i="5"/>
  <c r="N215" i="5"/>
  <c r="M215" i="5"/>
  <c r="L215" i="5"/>
  <c r="F215" i="5"/>
  <c r="D215" i="5"/>
  <c r="N214" i="5"/>
  <c r="M214" i="5"/>
  <c r="L214" i="5"/>
  <c r="F214" i="5"/>
  <c r="D214" i="5"/>
  <c r="N213" i="5"/>
  <c r="M213" i="5"/>
  <c r="L213" i="5"/>
  <c r="F213" i="5"/>
  <c r="D213" i="5"/>
  <c r="N212" i="5"/>
  <c r="M212" i="5"/>
  <c r="L212" i="5"/>
  <c r="F212" i="5"/>
  <c r="D212" i="5"/>
  <c r="N211" i="5"/>
  <c r="M211" i="5"/>
  <c r="L211" i="5"/>
  <c r="F211" i="5"/>
  <c r="D211" i="5"/>
  <c r="N210" i="5"/>
  <c r="M210" i="5"/>
  <c r="L210" i="5"/>
  <c r="F210" i="5"/>
  <c r="D210" i="5"/>
  <c r="N209" i="5"/>
  <c r="M209" i="5"/>
  <c r="L209" i="5"/>
  <c r="F209" i="5"/>
  <c r="D209" i="5"/>
  <c r="N208" i="5"/>
  <c r="M208" i="5"/>
  <c r="L208" i="5"/>
  <c r="F208" i="5"/>
  <c r="D208" i="5"/>
  <c r="N207" i="5"/>
  <c r="M207" i="5"/>
  <c r="L207" i="5"/>
  <c r="F207" i="5"/>
  <c r="D207" i="5"/>
  <c r="N206" i="5"/>
  <c r="M206" i="5"/>
  <c r="L206" i="5"/>
  <c r="F206" i="5"/>
  <c r="D206" i="5"/>
  <c r="N205" i="5"/>
  <c r="M205" i="5"/>
  <c r="L205" i="5"/>
  <c r="F205" i="5"/>
  <c r="D205" i="5"/>
  <c r="N204" i="5"/>
  <c r="M204" i="5"/>
  <c r="L204" i="5"/>
  <c r="F204" i="5"/>
  <c r="D204" i="5"/>
  <c r="N203" i="5"/>
  <c r="M203" i="5"/>
  <c r="L203" i="5"/>
  <c r="F203" i="5"/>
  <c r="D203" i="5"/>
  <c r="N202" i="5"/>
  <c r="M202" i="5"/>
  <c r="L202" i="5"/>
  <c r="F202" i="5"/>
  <c r="D202" i="5"/>
  <c r="N201" i="5"/>
  <c r="M201" i="5"/>
  <c r="L201" i="5"/>
  <c r="F201" i="5"/>
  <c r="D201" i="5"/>
  <c r="N200" i="5"/>
  <c r="M200" i="5"/>
  <c r="L200" i="5"/>
  <c r="F200" i="5"/>
  <c r="D200" i="5"/>
  <c r="N199" i="5"/>
  <c r="M199" i="5"/>
  <c r="L199" i="5"/>
  <c r="F199" i="5"/>
  <c r="D199" i="5"/>
  <c r="N198" i="5"/>
  <c r="M198" i="5"/>
  <c r="L198" i="5"/>
  <c r="F198" i="5"/>
  <c r="D198" i="5"/>
  <c r="N197" i="5"/>
  <c r="M197" i="5"/>
  <c r="L197" i="5"/>
  <c r="F197" i="5"/>
  <c r="D197" i="5"/>
  <c r="N196" i="5"/>
  <c r="M196" i="5"/>
  <c r="L196" i="5"/>
  <c r="F196" i="5"/>
  <c r="D196" i="5"/>
  <c r="N195" i="5"/>
  <c r="M195" i="5"/>
  <c r="L195" i="5"/>
  <c r="F195" i="5"/>
  <c r="D195" i="5"/>
  <c r="N194" i="5"/>
  <c r="M194" i="5"/>
  <c r="L194" i="5"/>
  <c r="F194" i="5"/>
  <c r="D194" i="5"/>
  <c r="N193" i="5"/>
  <c r="M193" i="5"/>
  <c r="L193" i="5"/>
  <c r="F193" i="5"/>
  <c r="D193" i="5"/>
  <c r="N192" i="5"/>
  <c r="M192" i="5"/>
  <c r="L192" i="5"/>
  <c r="F192" i="5"/>
  <c r="D192" i="5"/>
  <c r="N191" i="5"/>
  <c r="M191" i="5"/>
  <c r="L191" i="5"/>
  <c r="F191" i="5"/>
  <c r="D191" i="5"/>
  <c r="N190" i="5"/>
  <c r="M190" i="5"/>
  <c r="L190" i="5"/>
  <c r="F190" i="5"/>
  <c r="D190" i="5"/>
  <c r="N189" i="5"/>
  <c r="M189" i="5"/>
  <c r="L189" i="5"/>
  <c r="F189" i="5"/>
  <c r="D189" i="5"/>
  <c r="N188" i="5"/>
  <c r="M188" i="5"/>
  <c r="L188" i="5"/>
  <c r="F188" i="5"/>
  <c r="D188" i="5"/>
  <c r="N187" i="5"/>
  <c r="M187" i="5"/>
  <c r="L187" i="5"/>
  <c r="F187" i="5"/>
  <c r="D187" i="5"/>
  <c r="N186" i="5"/>
  <c r="M186" i="5"/>
  <c r="L186" i="5"/>
  <c r="F186" i="5"/>
  <c r="D186" i="5"/>
  <c r="N185" i="5"/>
  <c r="M185" i="5"/>
  <c r="L185" i="5"/>
  <c r="F185" i="5"/>
  <c r="D185" i="5"/>
  <c r="N184" i="5"/>
  <c r="M184" i="5"/>
  <c r="L184" i="5"/>
  <c r="F184" i="5"/>
  <c r="D184" i="5"/>
  <c r="N183" i="5"/>
  <c r="M183" i="5"/>
  <c r="L183" i="5"/>
  <c r="F183" i="5"/>
  <c r="D183" i="5"/>
  <c r="N182" i="5"/>
  <c r="M182" i="5"/>
  <c r="L182" i="5"/>
  <c r="F182" i="5"/>
  <c r="D182" i="5"/>
  <c r="N181" i="5"/>
  <c r="M181" i="5"/>
  <c r="L181" i="5"/>
  <c r="F181" i="5"/>
  <c r="D181" i="5"/>
  <c r="N180" i="5"/>
  <c r="M180" i="5"/>
  <c r="L180" i="5"/>
  <c r="F180" i="5"/>
  <c r="D180" i="5"/>
  <c r="N179" i="5"/>
  <c r="M179" i="5"/>
  <c r="L179" i="5"/>
  <c r="F179" i="5"/>
  <c r="D179" i="5"/>
  <c r="N178" i="5"/>
  <c r="M178" i="5"/>
  <c r="L178" i="5"/>
  <c r="F178" i="5"/>
  <c r="D178" i="5"/>
  <c r="N177" i="5"/>
  <c r="M177" i="5"/>
  <c r="L177" i="5"/>
  <c r="F177" i="5"/>
  <c r="D177" i="5"/>
  <c r="N176" i="5"/>
  <c r="M176" i="5"/>
  <c r="L176" i="5"/>
  <c r="F176" i="5"/>
  <c r="D176" i="5"/>
  <c r="N175" i="5"/>
  <c r="M175" i="5"/>
  <c r="L175" i="5"/>
  <c r="F175" i="5"/>
  <c r="D175" i="5"/>
  <c r="N174" i="5"/>
  <c r="M174" i="5"/>
  <c r="L174" i="5"/>
  <c r="F174" i="5"/>
  <c r="D174" i="5"/>
  <c r="N173" i="5"/>
  <c r="M173" i="5"/>
  <c r="L173" i="5"/>
  <c r="F173" i="5"/>
  <c r="D173" i="5"/>
  <c r="N172" i="5"/>
  <c r="M172" i="5"/>
  <c r="L172" i="5"/>
  <c r="F172" i="5"/>
  <c r="D172" i="5"/>
  <c r="N171" i="5"/>
  <c r="M171" i="5"/>
  <c r="L171" i="5"/>
  <c r="F171" i="5"/>
  <c r="D171" i="5"/>
  <c r="N170" i="5"/>
  <c r="M170" i="5"/>
  <c r="L170" i="5"/>
  <c r="F170" i="5"/>
  <c r="D170" i="5"/>
  <c r="N169" i="5"/>
  <c r="M169" i="5"/>
  <c r="L169" i="5"/>
  <c r="F169" i="5"/>
  <c r="D169" i="5"/>
  <c r="N168" i="5"/>
  <c r="M168" i="5"/>
  <c r="L168" i="5"/>
  <c r="F168" i="5"/>
  <c r="D168" i="5"/>
  <c r="N167" i="5"/>
  <c r="M167" i="5"/>
  <c r="L167" i="5"/>
  <c r="F167" i="5"/>
  <c r="D167" i="5"/>
  <c r="N166" i="5"/>
  <c r="M166" i="5"/>
  <c r="L166" i="5"/>
  <c r="F166" i="5"/>
  <c r="D166" i="5"/>
  <c r="N165" i="5"/>
  <c r="M165" i="5"/>
  <c r="L165" i="5"/>
  <c r="F165" i="5"/>
  <c r="D165" i="5"/>
  <c r="N164" i="5"/>
  <c r="M164" i="5"/>
  <c r="L164" i="5"/>
  <c r="F164" i="5"/>
  <c r="D164" i="5"/>
  <c r="N163" i="5"/>
  <c r="M163" i="5"/>
  <c r="L163" i="5"/>
  <c r="F163" i="5"/>
  <c r="D163" i="5"/>
  <c r="N162" i="5"/>
  <c r="M162" i="5"/>
  <c r="L162" i="5"/>
  <c r="F162" i="5"/>
  <c r="D162" i="5"/>
  <c r="N161" i="5"/>
  <c r="M161" i="5"/>
  <c r="L161" i="5"/>
  <c r="F161" i="5"/>
  <c r="D161" i="5"/>
  <c r="N160" i="5"/>
  <c r="M160" i="5"/>
  <c r="L160" i="5"/>
  <c r="F160" i="5"/>
  <c r="D160" i="5"/>
  <c r="N159" i="5"/>
  <c r="M159" i="5"/>
  <c r="L159" i="5"/>
  <c r="F159" i="5"/>
  <c r="D159" i="5"/>
  <c r="N158" i="5"/>
  <c r="M158" i="5"/>
  <c r="L158" i="5"/>
  <c r="F158" i="5"/>
  <c r="D158" i="5"/>
  <c r="N157" i="5"/>
  <c r="M157" i="5"/>
  <c r="L157" i="5"/>
  <c r="F157" i="5"/>
  <c r="D157" i="5"/>
  <c r="N156" i="5"/>
  <c r="M156" i="5"/>
  <c r="L156" i="5"/>
  <c r="F156" i="5"/>
  <c r="D156" i="5"/>
  <c r="N155" i="5"/>
  <c r="M155" i="5"/>
  <c r="L155" i="5"/>
  <c r="F155" i="5"/>
  <c r="D155" i="5"/>
  <c r="N154" i="5"/>
  <c r="M154" i="5"/>
  <c r="L154" i="5"/>
  <c r="F154" i="5"/>
  <c r="D154" i="5"/>
  <c r="N153" i="5"/>
  <c r="M153" i="5"/>
  <c r="L153" i="5"/>
  <c r="F153" i="5"/>
  <c r="D153" i="5"/>
  <c r="N152" i="5"/>
  <c r="M152" i="5"/>
  <c r="L152" i="5"/>
  <c r="F152" i="5"/>
  <c r="D152" i="5"/>
  <c r="N151" i="5"/>
  <c r="M151" i="5"/>
  <c r="L151" i="5"/>
  <c r="F151" i="5"/>
  <c r="D151" i="5"/>
  <c r="N150" i="5"/>
  <c r="M150" i="5"/>
  <c r="L150" i="5"/>
  <c r="F150" i="5"/>
  <c r="D150" i="5"/>
  <c r="N149" i="5"/>
  <c r="M149" i="5"/>
  <c r="L149" i="5"/>
  <c r="F149" i="5"/>
  <c r="D149" i="5"/>
  <c r="N148" i="5"/>
  <c r="M148" i="5"/>
  <c r="L148" i="5"/>
  <c r="F148" i="5"/>
  <c r="D148" i="5"/>
  <c r="N147" i="5"/>
  <c r="M147" i="5"/>
  <c r="L147" i="5"/>
  <c r="F147" i="5"/>
  <c r="D147" i="5"/>
  <c r="N146" i="5"/>
  <c r="M146" i="5"/>
  <c r="L146" i="5"/>
  <c r="F146" i="5"/>
  <c r="D146" i="5"/>
  <c r="N145" i="5"/>
  <c r="M145" i="5"/>
  <c r="L145" i="5"/>
  <c r="F145" i="5"/>
  <c r="D145" i="5"/>
  <c r="N144" i="5"/>
  <c r="M144" i="5"/>
  <c r="L144" i="5"/>
  <c r="F144" i="5"/>
  <c r="D144" i="5"/>
  <c r="N143" i="5"/>
  <c r="M143" i="5"/>
  <c r="L143" i="5"/>
  <c r="F143" i="5"/>
  <c r="D143" i="5"/>
  <c r="N142" i="5"/>
  <c r="M142" i="5"/>
  <c r="L142" i="5"/>
  <c r="F142" i="5"/>
  <c r="D142" i="5"/>
  <c r="N141" i="5"/>
  <c r="M141" i="5"/>
  <c r="L141" i="5"/>
  <c r="F141" i="5"/>
  <c r="D141" i="5"/>
  <c r="N140" i="5"/>
  <c r="M140" i="5"/>
  <c r="L140" i="5"/>
  <c r="F140" i="5"/>
  <c r="D140" i="5"/>
  <c r="N139" i="5"/>
  <c r="M139" i="5"/>
  <c r="L139" i="5"/>
  <c r="F139" i="5"/>
  <c r="D139" i="5"/>
  <c r="N138" i="5"/>
  <c r="M138" i="5"/>
  <c r="L138" i="5"/>
  <c r="F138" i="5"/>
  <c r="D138" i="5"/>
  <c r="N137" i="5"/>
  <c r="M137" i="5"/>
  <c r="L137" i="5"/>
  <c r="F137" i="5"/>
  <c r="D137" i="5"/>
  <c r="N136" i="5"/>
  <c r="M136" i="5"/>
  <c r="L136" i="5"/>
  <c r="F136" i="5"/>
  <c r="D136" i="5"/>
  <c r="N135" i="5"/>
  <c r="M135" i="5"/>
  <c r="L135" i="5"/>
  <c r="F135" i="5"/>
  <c r="D135" i="5"/>
  <c r="N134" i="5"/>
  <c r="M134" i="5"/>
  <c r="L134" i="5"/>
  <c r="F134" i="5"/>
  <c r="D134" i="5"/>
  <c r="N133" i="5"/>
  <c r="M133" i="5"/>
  <c r="L133" i="5"/>
  <c r="F133" i="5"/>
  <c r="D133" i="5"/>
  <c r="N132" i="5"/>
  <c r="M132" i="5"/>
  <c r="L132" i="5"/>
  <c r="F132" i="5"/>
  <c r="D132" i="5"/>
  <c r="N131" i="5"/>
  <c r="M131" i="5"/>
  <c r="L131" i="5"/>
  <c r="F131" i="5"/>
  <c r="D131" i="5"/>
  <c r="N130" i="5"/>
  <c r="M130" i="5"/>
  <c r="L130" i="5"/>
  <c r="F130" i="5"/>
  <c r="D130" i="5"/>
  <c r="N129" i="5"/>
  <c r="M129" i="5"/>
  <c r="L129" i="5"/>
  <c r="F129" i="5"/>
  <c r="D129" i="5"/>
  <c r="N128" i="5"/>
  <c r="M128" i="5"/>
  <c r="L128" i="5"/>
  <c r="F128" i="5"/>
  <c r="D128" i="5"/>
  <c r="N127" i="5"/>
  <c r="M127" i="5"/>
  <c r="L127" i="5"/>
  <c r="F127" i="5"/>
  <c r="D127" i="5"/>
  <c r="N126" i="5"/>
  <c r="M126" i="5"/>
  <c r="L126" i="5"/>
  <c r="F126" i="5"/>
  <c r="D126" i="5"/>
  <c r="N125" i="5"/>
  <c r="M125" i="5"/>
  <c r="L125" i="5"/>
  <c r="F125" i="5"/>
  <c r="D125" i="5"/>
  <c r="N124" i="5"/>
  <c r="M124" i="5"/>
  <c r="L124" i="5"/>
  <c r="F124" i="5"/>
  <c r="D124" i="5"/>
  <c r="N123" i="5"/>
  <c r="M123" i="5"/>
  <c r="L123" i="5"/>
  <c r="F123" i="5"/>
  <c r="D123" i="5"/>
  <c r="N122" i="5"/>
  <c r="M122" i="5"/>
  <c r="L122" i="5"/>
  <c r="F122" i="5"/>
  <c r="D122" i="5"/>
  <c r="N121" i="5"/>
  <c r="M121" i="5"/>
  <c r="L121" i="5"/>
  <c r="F121" i="5"/>
  <c r="D121" i="5"/>
  <c r="N120" i="5"/>
  <c r="M120" i="5"/>
  <c r="L120" i="5"/>
  <c r="F120" i="5"/>
  <c r="D120" i="5"/>
  <c r="N119" i="5"/>
  <c r="M119" i="5"/>
  <c r="L119" i="5"/>
  <c r="F119" i="5"/>
  <c r="D119" i="5"/>
  <c r="N118" i="5"/>
  <c r="M118" i="5"/>
  <c r="L118" i="5"/>
  <c r="F118" i="5"/>
  <c r="D118" i="5"/>
  <c r="N117" i="5"/>
  <c r="M117" i="5"/>
  <c r="L117" i="5"/>
  <c r="F117" i="5"/>
  <c r="D117" i="5"/>
  <c r="N116" i="5"/>
  <c r="M116" i="5"/>
  <c r="L116" i="5"/>
  <c r="F116" i="5"/>
  <c r="D116" i="5"/>
  <c r="N115" i="5"/>
  <c r="M115" i="5"/>
  <c r="L115" i="5"/>
  <c r="F115" i="5"/>
  <c r="D115" i="5"/>
  <c r="N114" i="5"/>
  <c r="M114" i="5"/>
  <c r="L114" i="5"/>
  <c r="F114" i="5"/>
  <c r="D114" i="5"/>
  <c r="N113" i="5"/>
  <c r="M113" i="5"/>
  <c r="L113" i="5"/>
  <c r="F113" i="5"/>
  <c r="D113" i="5"/>
  <c r="N112" i="5"/>
  <c r="M112" i="5"/>
  <c r="L112" i="5"/>
  <c r="F112" i="5"/>
  <c r="D112" i="5"/>
  <c r="N111" i="5"/>
  <c r="M111" i="5"/>
  <c r="L111" i="5"/>
  <c r="F111" i="5"/>
  <c r="D111" i="5"/>
  <c r="N110" i="5"/>
  <c r="M110" i="5"/>
  <c r="L110" i="5"/>
  <c r="F110" i="5"/>
  <c r="D110" i="5"/>
  <c r="N109" i="5"/>
  <c r="M109" i="5"/>
  <c r="L109" i="5"/>
  <c r="F109" i="5"/>
  <c r="D109" i="5"/>
  <c r="N108" i="5"/>
  <c r="M108" i="5"/>
  <c r="L108" i="5"/>
  <c r="F108" i="5"/>
  <c r="D108" i="5"/>
  <c r="N107" i="5"/>
  <c r="M107" i="5"/>
  <c r="L107" i="5"/>
  <c r="F107" i="5"/>
  <c r="D107" i="5"/>
  <c r="N106" i="5"/>
  <c r="M106" i="5"/>
  <c r="L106" i="5"/>
  <c r="F106" i="5"/>
  <c r="D106" i="5"/>
  <c r="N105" i="5"/>
  <c r="M105" i="5"/>
  <c r="L105" i="5"/>
  <c r="F105" i="5"/>
  <c r="D105" i="5"/>
  <c r="N104" i="5"/>
  <c r="M104" i="5"/>
  <c r="L104" i="5"/>
  <c r="F104" i="5"/>
  <c r="D104" i="5"/>
  <c r="N103" i="5"/>
  <c r="M103" i="5"/>
  <c r="L103" i="5"/>
  <c r="F103" i="5"/>
  <c r="D103" i="5"/>
  <c r="N102" i="5"/>
  <c r="M102" i="5"/>
  <c r="L102" i="5"/>
  <c r="F102" i="5"/>
  <c r="D102" i="5"/>
  <c r="N101" i="5"/>
  <c r="M101" i="5"/>
  <c r="L101" i="5"/>
  <c r="F101" i="5"/>
  <c r="D101" i="5"/>
  <c r="N100" i="5"/>
  <c r="M100" i="5"/>
  <c r="L100" i="5"/>
  <c r="F100" i="5"/>
  <c r="D100" i="5"/>
  <c r="N99" i="5"/>
  <c r="M99" i="5"/>
  <c r="L99" i="5"/>
  <c r="F99" i="5"/>
  <c r="D99" i="5"/>
  <c r="N98" i="5"/>
  <c r="M98" i="5"/>
  <c r="L98" i="5"/>
  <c r="F98" i="5"/>
  <c r="D98" i="5"/>
  <c r="N97" i="5"/>
  <c r="M97" i="5"/>
  <c r="L97" i="5"/>
  <c r="F97" i="5"/>
  <c r="D97" i="5"/>
  <c r="N96" i="5"/>
  <c r="M96" i="5"/>
  <c r="L96" i="5"/>
  <c r="F96" i="5"/>
  <c r="D96" i="5"/>
  <c r="N95" i="5"/>
  <c r="M95" i="5"/>
  <c r="L95" i="5"/>
  <c r="F95" i="5"/>
  <c r="D95" i="5"/>
  <c r="N94" i="5"/>
  <c r="M94" i="5"/>
  <c r="L94" i="5"/>
  <c r="F94" i="5"/>
  <c r="D94" i="5"/>
  <c r="N93" i="5"/>
  <c r="M93" i="5"/>
  <c r="L93" i="5"/>
  <c r="F93" i="5"/>
  <c r="D93" i="5"/>
  <c r="N92" i="5"/>
  <c r="M92" i="5"/>
  <c r="L92" i="5"/>
  <c r="F92" i="5"/>
  <c r="D92" i="5"/>
  <c r="N91" i="5"/>
  <c r="M91" i="5"/>
  <c r="L91" i="5"/>
  <c r="F91" i="5"/>
  <c r="D91" i="5"/>
  <c r="N90" i="5"/>
  <c r="M90" i="5"/>
  <c r="L90" i="5"/>
  <c r="F90" i="5"/>
  <c r="D90" i="5"/>
  <c r="N89" i="5"/>
  <c r="M89" i="5"/>
  <c r="L89" i="5"/>
  <c r="F89" i="5"/>
  <c r="D89" i="5"/>
  <c r="N88" i="5"/>
  <c r="M88" i="5"/>
  <c r="L88" i="5"/>
  <c r="F88" i="5"/>
  <c r="D88" i="5"/>
  <c r="N87" i="5"/>
  <c r="M87" i="5"/>
  <c r="L87" i="5"/>
  <c r="F87" i="5"/>
  <c r="D87" i="5"/>
  <c r="N86" i="5"/>
  <c r="M86" i="5"/>
  <c r="L86" i="5"/>
  <c r="F86" i="5"/>
  <c r="D86" i="5"/>
  <c r="N85" i="5"/>
  <c r="M85" i="5"/>
  <c r="L85" i="5"/>
  <c r="F85" i="5"/>
  <c r="D85" i="5"/>
  <c r="N84" i="5"/>
  <c r="M84" i="5"/>
  <c r="L84" i="5"/>
  <c r="F84" i="5"/>
  <c r="D84" i="5"/>
  <c r="N83" i="5"/>
  <c r="M83" i="5"/>
  <c r="L83" i="5"/>
  <c r="F83" i="5"/>
  <c r="D83" i="5"/>
  <c r="N82" i="5"/>
  <c r="M82" i="5"/>
  <c r="L82" i="5"/>
  <c r="F82" i="5"/>
  <c r="D82" i="5"/>
  <c r="N81" i="5"/>
  <c r="M81" i="5"/>
  <c r="L81" i="5"/>
  <c r="F81" i="5"/>
  <c r="D81" i="5"/>
  <c r="N80" i="5"/>
  <c r="M80" i="5"/>
  <c r="L80" i="5"/>
  <c r="F80" i="5"/>
  <c r="D80" i="5"/>
  <c r="N79" i="5"/>
  <c r="M79" i="5"/>
  <c r="L79" i="5"/>
  <c r="F79" i="5"/>
  <c r="D79" i="5"/>
  <c r="N78" i="5"/>
  <c r="M78" i="5"/>
  <c r="L78" i="5"/>
  <c r="F78" i="5"/>
  <c r="D78" i="5"/>
  <c r="N77" i="5"/>
  <c r="M77" i="5"/>
  <c r="L77" i="5"/>
  <c r="F77" i="5"/>
  <c r="D77" i="5"/>
  <c r="N76" i="5"/>
  <c r="M76" i="5"/>
  <c r="L76" i="5"/>
  <c r="F76" i="5"/>
  <c r="D76" i="5"/>
  <c r="N75" i="5"/>
  <c r="M75" i="5"/>
  <c r="L75" i="5"/>
  <c r="F75" i="5"/>
  <c r="D75" i="5"/>
  <c r="N74" i="5"/>
  <c r="M74" i="5"/>
  <c r="L74" i="5"/>
  <c r="F74" i="5"/>
  <c r="D74" i="5"/>
  <c r="N73" i="5"/>
  <c r="M73" i="5"/>
  <c r="L73" i="5"/>
  <c r="F73" i="5"/>
  <c r="D73" i="5"/>
  <c r="N72" i="5"/>
  <c r="M72" i="5"/>
  <c r="L72" i="5"/>
  <c r="F72" i="5"/>
  <c r="D72" i="5"/>
  <c r="N71" i="5"/>
  <c r="M71" i="5"/>
  <c r="L71" i="5"/>
  <c r="F71" i="5"/>
  <c r="D71" i="5"/>
  <c r="N70" i="5"/>
  <c r="M70" i="5"/>
  <c r="L70" i="5"/>
  <c r="F70" i="5"/>
  <c r="D70" i="5"/>
  <c r="N69" i="5"/>
  <c r="M69" i="5"/>
  <c r="L69" i="5"/>
  <c r="F69" i="5"/>
  <c r="D69" i="5"/>
  <c r="N68" i="5"/>
  <c r="M68" i="5"/>
  <c r="L68" i="5"/>
  <c r="F68" i="5"/>
  <c r="D68" i="5"/>
  <c r="N67" i="5"/>
  <c r="M67" i="5"/>
  <c r="L67" i="5"/>
  <c r="F67" i="5"/>
  <c r="D67" i="5"/>
  <c r="N66" i="5"/>
  <c r="M66" i="5"/>
  <c r="L66" i="5"/>
  <c r="F66" i="5"/>
  <c r="D66" i="5"/>
  <c r="N65" i="5"/>
  <c r="M65" i="5"/>
  <c r="L65" i="5"/>
  <c r="F65" i="5"/>
  <c r="D65" i="5"/>
  <c r="N64" i="5"/>
  <c r="M64" i="5"/>
  <c r="L64" i="5"/>
  <c r="F64" i="5"/>
  <c r="D64" i="5"/>
  <c r="N63" i="5"/>
  <c r="M63" i="5"/>
  <c r="L63" i="5"/>
  <c r="F63" i="5"/>
  <c r="D63" i="5"/>
  <c r="N62" i="5"/>
  <c r="M62" i="5"/>
  <c r="L62" i="5"/>
  <c r="F62" i="5"/>
  <c r="D62" i="5"/>
  <c r="N61" i="5"/>
  <c r="M61" i="5"/>
  <c r="L61" i="5"/>
  <c r="F61" i="5"/>
  <c r="D61" i="5"/>
  <c r="N60" i="5"/>
  <c r="M60" i="5"/>
  <c r="L60" i="5"/>
  <c r="F60" i="5"/>
  <c r="D60" i="5"/>
  <c r="N59" i="5"/>
  <c r="M59" i="5"/>
  <c r="L59" i="5"/>
  <c r="F59" i="5"/>
  <c r="D59" i="5"/>
  <c r="N58" i="5"/>
  <c r="M58" i="5"/>
  <c r="L58" i="5"/>
  <c r="F58" i="5"/>
  <c r="D58" i="5"/>
  <c r="N57" i="5"/>
  <c r="M57" i="5"/>
  <c r="L57" i="5"/>
  <c r="F57" i="5"/>
  <c r="D57" i="5"/>
  <c r="N56" i="5"/>
  <c r="M56" i="5"/>
  <c r="L56" i="5"/>
  <c r="F56" i="5"/>
  <c r="D56" i="5"/>
  <c r="N55" i="5"/>
  <c r="M55" i="5"/>
  <c r="L55" i="5"/>
  <c r="F55" i="5"/>
  <c r="D55" i="5"/>
  <c r="N54" i="5"/>
  <c r="M54" i="5"/>
  <c r="L54" i="5"/>
  <c r="F54" i="5"/>
  <c r="D54" i="5"/>
  <c r="N53" i="5"/>
  <c r="M53" i="5"/>
  <c r="L53" i="5"/>
  <c r="F53" i="5"/>
  <c r="D53" i="5"/>
  <c r="N52" i="5"/>
  <c r="M52" i="5"/>
  <c r="L52" i="5"/>
  <c r="F52" i="5"/>
  <c r="D52" i="5"/>
  <c r="N51" i="5"/>
  <c r="M51" i="5"/>
  <c r="L51" i="5"/>
  <c r="F51" i="5"/>
  <c r="D51" i="5"/>
  <c r="N50" i="5"/>
  <c r="M50" i="5"/>
  <c r="L50" i="5"/>
  <c r="F50" i="5"/>
  <c r="D50" i="5"/>
  <c r="N49" i="5"/>
  <c r="M49" i="5"/>
  <c r="L49" i="5"/>
  <c r="F49" i="5"/>
  <c r="D49" i="5"/>
  <c r="N48" i="5"/>
  <c r="M48" i="5"/>
  <c r="L48" i="5"/>
  <c r="F48" i="5"/>
  <c r="D48" i="5"/>
  <c r="N47" i="5"/>
  <c r="M47" i="5"/>
  <c r="L47" i="5"/>
  <c r="F47" i="5"/>
  <c r="D47" i="5"/>
  <c r="N46" i="5"/>
  <c r="M46" i="5"/>
  <c r="L46" i="5"/>
  <c r="F46" i="5"/>
  <c r="D46" i="5"/>
  <c r="N45" i="5"/>
  <c r="M45" i="5"/>
  <c r="L45" i="5"/>
  <c r="F45" i="5"/>
  <c r="D45" i="5"/>
  <c r="N44" i="5"/>
  <c r="M44" i="5"/>
  <c r="L44" i="5"/>
  <c r="F44" i="5"/>
  <c r="D44" i="5"/>
  <c r="N43" i="5"/>
  <c r="M43" i="5"/>
  <c r="L43" i="5"/>
  <c r="F43" i="5"/>
  <c r="D43" i="5"/>
  <c r="N42" i="5"/>
  <c r="M42" i="5"/>
  <c r="L42" i="5"/>
  <c r="F42" i="5"/>
  <c r="D42" i="5"/>
  <c r="N41" i="5"/>
  <c r="M41" i="5"/>
  <c r="L41" i="5"/>
  <c r="F41" i="5"/>
  <c r="D41" i="5"/>
  <c r="N40" i="5"/>
  <c r="M40" i="5"/>
  <c r="L40" i="5"/>
  <c r="F40" i="5"/>
  <c r="D40" i="5"/>
  <c r="N39" i="5"/>
  <c r="M39" i="5"/>
  <c r="L39" i="5"/>
  <c r="F39" i="5"/>
  <c r="D39" i="5"/>
  <c r="N38" i="5"/>
  <c r="M38" i="5"/>
  <c r="L38" i="5"/>
  <c r="F38" i="5"/>
  <c r="D38" i="5"/>
  <c r="N37" i="5"/>
  <c r="M37" i="5"/>
  <c r="L37" i="5"/>
  <c r="F37" i="5"/>
  <c r="D37" i="5"/>
  <c r="N36" i="5"/>
  <c r="M36" i="5"/>
  <c r="L36" i="5"/>
  <c r="F36" i="5"/>
  <c r="D36" i="5"/>
  <c r="N35" i="5"/>
  <c r="M35" i="5"/>
  <c r="L35" i="5"/>
  <c r="F35" i="5"/>
  <c r="D35" i="5"/>
  <c r="N34" i="5"/>
  <c r="M34" i="5"/>
  <c r="L34" i="5"/>
  <c r="F34" i="5"/>
  <c r="D34" i="5"/>
  <c r="N33" i="5"/>
  <c r="M33" i="5"/>
  <c r="L33" i="5"/>
  <c r="F33" i="5"/>
  <c r="D33" i="5"/>
  <c r="N32" i="5"/>
  <c r="M32" i="5"/>
  <c r="L32" i="5"/>
  <c r="F32" i="5"/>
  <c r="D32" i="5"/>
  <c r="N31" i="5"/>
  <c r="M31" i="5"/>
  <c r="L31" i="5"/>
  <c r="F31" i="5"/>
  <c r="D31" i="5"/>
  <c r="N30" i="5"/>
  <c r="M30" i="5"/>
  <c r="L30" i="5"/>
  <c r="F30" i="5"/>
  <c r="D30" i="5"/>
  <c r="N29" i="5"/>
  <c r="M29" i="5"/>
  <c r="L29" i="5"/>
  <c r="F29" i="5"/>
  <c r="D29" i="5"/>
  <c r="N28" i="5"/>
  <c r="M28" i="5"/>
  <c r="L28" i="5"/>
  <c r="F28" i="5"/>
  <c r="D28" i="5"/>
  <c r="N27" i="5"/>
  <c r="M27" i="5"/>
  <c r="L27" i="5"/>
  <c r="F27" i="5"/>
  <c r="D27" i="5"/>
  <c r="N26" i="5"/>
  <c r="M26" i="5"/>
  <c r="L26" i="5"/>
  <c r="F26" i="5"/>
  <c r="D26" i="5"/>
  <c r="N25" i="5"/>
  <c r="M25" i="5"/>
  <c r="L25" i="5"/>
  <c r="F25" i="5"/>
  <c r="D25" i="5"/>
  <c r="N24" i="5"/>
  <c r="M24" i="5"/>
  <c r="L24" i="5"/>
  <c r="F24" i="5"/>
  <c r="D24" i="5"/>
  <c r="N23" i="5"/>
  <c r="M23" i="5"/>
  <c r="L23" i="5"/>
  <c r="F23" i="5"/>
  <c r="D23" i="5"/>
  <c r="N22" i="5"/>
  <c r="M22" i="5"/>
  <c r="L22" i="5"/>
  <c r="F22" i="5"/>
  <c r="D22" i="5"/>
  <c r="N21" i="5"/>
  <c r="M21" i="5"/>
  <c r="L21" i="5"/>
  <c r="F21" i="5"/>
  <c r="D21" i="5"/>
  <c r="N20" i="5"/>
  <c r="M20" i="5"/>
  <c r="L20" i="5"/>
  <c r="F20" i="5"/>
  <c r="D20" i="5"/>
  <c r="N19" i="5"/>
  <c r="M19" i="5"/>
  <c r="L19" i="5"/>
  <c r="F19" i="5"/>
  <c r="D19" i="5"/>
  <c r="N18" i="5"/>
  <c r="M18" i="5"/>
  <c r="L18" i="5"/>
  <c r="F18" i="5"/>
  <c r="D18" i="5"/>
  <c r="N17" i="5"/>
  <c r="M17" i="5"/>
  <c r="L17" i="5"/>
  <c r="F17" i="5"/>
  <c r="D17" i="5"/>
  <c r="N16" i="5"/>
  <c r="M16" i="5"/>
  <c r="L16" i="5"/>
  <c r="F16" i="5"/>
  <c r="D16" i="5"/>
  <c r="N15" i="5"/>
  <c r="M15" i="5"/>
  <c r="L15" i="5"/>
  <c r="F15" i="5"/>
  <c r="D15" i="5"/>
  <c r="L14" i="5"/>
  <c r="N14" i="5" s="1"/>
  <c r="F14" i="5"/>
  <c r="D14" i="5"/>
  <c r="M13" i="5"/>
  <c r="L13" i="5"/>
  <c r="N13" i="5" s="1"/>
  <c r="F13" i="5"/>
  <c r="D13" i="5"/>
  <c r="L12" i="5"/>
  <c r="F12" i="5"/>
  <c r="D12" i="5"/>
  <c r="L11" i="5"/>
  <c r="F11" i="5"/>
  <c r="D11" i="5"/>
  <c r="M10" i="5"/>
  <c r="N10" i="5" s="1"/>
  <c r="M15" i="4" s="1"/>
  <c r="L10" i="5"/>
  <c r="F10" i="5"/>
  <c r="D10" i="5"/>
  <c r="N9" i="5"/>
  <c r="L9" i="5"/>
  <c r="M9" i="5" s="1"/>
  <c r="F9" i="5"/>
  <c r="D9" i="5"/>
  <c r="D5" i="5"/>
  <c r="A5" i="5"/>
  <c r="N1007" i="4"/>
  <c r="P1007" i="4" s="1"/>
  <c r="M1007" i="4"/>
  <c r="N1006" i="4"/>
  <c r="P1006" i="4" s="1"/>
  <c r="M1006" i="4"/>
  <c r="N1005" i="4"/>
  <c r="P1005" i="4" s="1"/>
  <c r="M1005" i="4"/>
  <c r="N1004" i="4"/>
  <c r="P1004" i="4" s="1"/>
  <c r="M1004" i="4"/>
  <c r="N1003" i="4"/>
  <c r="P1003" i="4" s="1"/>
  <c r="M1003" i="4"/>
  <c r="N1002" i="4"/>
  <c r="P1002" i="4" s="1"/>
  <c r="M1002" i="4"/>
  <c r="N1001" i="4"/>
  <c r="P1001" i="4" s="1"/>
  <c r="M1001" i="4"/>
  <c r="N1000" i="4"/>
  <c r="P1000" i="4" s="1"/>
  <c r="M1000" i="4"/>
  <c r="N999" i="4"/>
  <c r="P999" i="4" s="1"/>
  <c r="M999" i="4"/>
  <c r="N998" i="4"/>
  <c r="P998" i="4" s="1"/>
  <c r="M998" i="4"/>
  <c r="N997" i="4"/>
  <c r="P997" i="4" s="1"/>
  <c r="M997" i="4"/>
  <c r="N996" i="4"/>
  <c r="P996" i="4" s="1"/>
  <c r="M996" i="4"/>
  <c r="N995" i="4"/>
  <c r="P995" i="4" s="1"/>
  <c r="M995" i="4"/>
  <c r="N994" i="4"/>
  <c r="P994" i="4" s="1"/>
  <c r="M994" i="4"/>
  <c r="N993" i="4"/>
  <c r="P993" i="4" s="1"/>
  <c r="M993" i="4"/>
  <c r="N992" i="4"/>
  <c r="P992" i="4" s="1"/>
  <c r="M992" i="4"/>
  <c r="N991" i="4"/>
  <c r="P991" i="4" s="1"/>
  <c r="M991" i="4"/>
  <c r="N990" i="4"/>
  <c r="P990" i="4" s="1"/>
  <c r="M990" i="4"/>
  <c r="N989" i="4"/>
  <c r="P989" i="4" s="1"/>
  <c r="M989" i="4"/>
  <c r="N988" i="4"/>
  <c r="P988" i="4" s="1"/>
  <c r="M988" i="4"/>
  <c r="N987" i="4"/>
  <c r="P987" i="4" s="1"/>
  <c r="M987" i="4"/>
  <c r="N986" i="4"/>
  <c r="P986" i="4" s="1"/>
  <c r="M986" i="4"/>
  <c r="N985" i="4"/>
  <c r="P985" i="4" s="1"/>
  <c r="M985" i="4"/>
  <c r="N984" i="4"/>
  <c r="P984" i="4" s="1"/>
  <c r="M984" i="4"/>
  <c r="N983" i="4"/>
  <c r="P983" i="4" s="1"/>
  <c r="M983" i="4"/>
  <c r="N982" i="4"/>
  <c r="P982" i="4" s="1"/>
  <c r="M982" i="4"/>
  <c r="N981" i="4"/>
  <c r="P981" i="4" s="1"/>
  <c r="M981" i="4"/>
  <c r="N980" i="4"/>
  <c r="P980" i="4" s="1"/>
  <c r="M980" i="4"/>
  <c r="N979" i="4"/>
  <c r="P979" i="4" s="1"/>
  <c r="M979" i="4"/>
  <c r="N978" i="4"/>
  <c r="P978" i="4" s="1"/>
  <c r="M978" i="4"/>
  <c r="N977" i="4"/>
  <c r="P977" i="4" s="1"/>
  <c r="M977" i="4"/>
  <c r="N976" i="4"/>
  <c r="P976" i="4" s="1"/>
  <c r="M976" i="4"/>
  <c r="N975" i="4"/>
  <c r="P975" i="4" s="1"/>
  <c r="M975" i="4"/>
  <c r="N974" i="4"/>
  <c r="P974" i="4" s="1"/>
  <c r="M974" i="4"/>
  <c r="N973" i="4"/>
  <c r="P973" i="4" s="1"/>
  <c r="M973" i="4"/>
  <c r="N972" i="4"/>
  <c r="P972" i="4" s="1"/>
  <c r="M972" i="4"/>
  <c r="N971" i="4"/>
  <c r="P971" i="4" s="1"/>
  <c r="M971" i="4"/>
  <c r="N970" i="4"/>
  <c r="P970" i="4" s="1"/>
  <c r="M970" i="4"/>
  <c r="N969" i="4"/>
  <c r="P969" i="4" s="1"/>
  <c r="M969" i="4"/>
  <c r="N968" i="4"/>
  <c r="P968" i="4" s="1"/>
  <c r="M968" i="4"/>
  <c r="N967" i="4"/>
  <c r="P967" i="4" s="1"/>
  <c r="M967" i="4"/>
  <c r="N966" i="4"/>
  <c r="P966" i="4" s="1"/>
  <c r="M966" i="4"/>
  <c r="N965" i="4"/>
  <c r="P965" i="4" s="1"/>
  <c r="M965" i="4"/>
  <c r="N964" i="4"/>
  <c r="P964" i="4" s="1"/>
  <c r="M964" i="4"/>
  <c r="N963" i="4"/>
  <c r="P963" i="4" s="1"/>
  <c r="M963" i="4"/>
  <c r="N962" i="4"/>
  <c r="P962" i="4" s="1"/>
  <c r="M962" i="4"/>
  <c r="N961" i="4"/>
  <c r="P961" i="4" s="1"/>
  <c r="M961" i="4"/>
  <c r="N960" i="4"/>
  <c r="P960" i="4" s="1"/>
  <c r="M960" i="4"/>
  <c r="N959" i="4"/>
  <c r="P959" i="4" s="1"/>
  <c r="M959" i="4"/>
  <c r="N958" i="4"/>
  <c r="P958" i="4" s="1"/>
  <c r="M958" i="4"/>
  <c r="N957" i="4"/>
  <c r="P957" i="4" s="1"/>
  <c r="M957" i="4"/>
  <c r="N956" i="4"/>
  <c r="P956" i="4" s="1"/>
  <c r="M956" i="4"/>
  <c r="N955" i="4"/>
  <c r="P955" i="4" s="1"/>
  <c r="M955" i="4"/>
  <c r="N954" i="4"/>
  <c r="P954" i="4" s="1"/>
  <c r="M954" i="4"/>
  <c r="N953" i="4"/>
  <c r="P953" i="4" s="1"/>
  <c r="M953" i="4"/>
  <c r="N952" i="4"/>
  <c r="P952" i="4" s="1"/>
  <c r="M952" i="4"/>
  <c r="N951" i="4"/>
  <c r="P951" i="4" s="1"/>
  <c r="M951" i="4"/>
  <c r="N950" i="4"/>
  <c r="P950" i="4" s="1"/>
  <c r="M950" i="4"/>
  <c r="N949" i="4"/>
  <c r="P949" i="4" s="1"/>
  <c r="M949" i="4"/>
  <c r="N948" i="4"/>
  <c r="P948" i="4" s="1"/>
  <c r="M948" i="4"/>
  <c r="N947" i="4"/>
  <c r="P947" i="4" s="1"/>
  <c r="M947" i="4"/>
  <c r="N946" i="4"/>
  <c r="P946" i="4" s="1"/>
  <c r="M946" i="4"/>
  <c r="N945" i="4"/>
  <c r="P945" i="4" s="1"/>
  <c r="M945" i="4"/>
  <c r="N944" i="4"/>
  <c r="P944" i="4" s="1"/>
  <c r="M944" i="4"/>
  <c r="N943" i="4"/>
  <c r="P943" i="4" s="1"/>
  <c r="M943" i="4"/>
  <c r="N942" i="4"/>
  <c r="P942" i="4" s="1"/>
  <c r="M942" i="4"/>
  <c r="N941" i="4"/>
  <c r="P941" i="4" s="1"/>
  <c r="M941" i="4"/>
  <c r="N940" i="4"/>
  <c r="P940" i="4" s="1"/>
  <c r="M940" i="4"/>
  <c r="N939" i="4"/>
  <c r="P939" i="4" s="1"/>
  <c r="M939" i="4"/>
  <c r="N938" i="4"/>
  <c r="P938" i="4" s="1"/>
  <c r="M938" i="4"/>
  <c r="N937" i="4"/>
  <c r="P937" i="4" s="1"/>
  <c r="M937" i="4"/>
  <c r="N936" i="4"/>
  <c r="P936" i="4" s="1"/>
  <c r="M936" i="4"/>
  <c r="N935" i="4"/>
  <c r="P935" i="4" s="1"/>
  <c r="M935" i="4"/>
  <c r="N934" i="4"/>
  <c r="P934" i="4" s="1"/>
  <c r="M934" i="4"/>
  <c r="N933" i="4"/>
  <c r="P933" i="4" s="1"/>
  <c r="M933" i="4"/>
  <c r="N932" i="4"/>
  <c r="P932" i="4" s="1"/>
  <c r="M932" i="4"/>
  <c r="N931" i="4"/>
  <c r="P931" i="4" s="1"/>
  <c r="M931" i="4"/>
  <c r="N930" i="4"/>
  <c r="P930" i="4" s="1"/>
  <c r="M930" i="4"/>
  <c r="N929" i="4"/>
  <c r="P929" i="4" s="1"/>
  <c r="M929" i="4"/>
  <c r="N928" i="4"/>
  <c r="P928" i="4" s="1"/>
  <c r="M928" i="4"/>
  <c r="N927" i="4"/>
  <c r="P927" i="4" s="1"/>
  <c r="M927" i="4"/>
  <c r="N926" i="4"/>
  <c r="P926" i="4" s="1"/>
  <c r="M926" i="4"/>
  <c r="N925" i="4"/>
  <c r="P925" i="4" s="1"/>
  <c r="M925" i="4"/>
  <c r="N924" i="4"/>
  <c r="P924" i="4" s="1"/>
  <c r="M924" i="4"/>
  <c r="N923" i="4"/>
  <c r="P923" i="4" s="1"/>
  <c r="M923" i="4"/>
  <c r="N922" i="4"/>
  <c r="P922" i="4" s="1"/>
  <c r="M922" i="4"/>
  <c r="N921" i="4"/>
  <c r="P921" i="4" s="1"/>
  <c r="M921" i="4"/>
  <c r="N920" i="4"/>
  <c r="P920" i="4" s="1"/>
  <c r="M920" i="4"/>
  <c r="N919" i="4"/>
  <c r="P919" i="4" s="1"/>
  <c r="M919" i="4"/>
  <c r="N918" i="4"/>
  <c r="P918" i="4" s="1"/>
  <c r="M918" i="4"/>
  <c r="N917" i="4"/>
  <c r="P917" i="4" s="1"/>
  <c r="M917" i="4"/>
  <c r="N916" i="4"/>
  <c r="P916" i="4" s="1"/>
  <c r="M916" i="4"/>
  <c r="N915" i="4"/>
  <c r="P915" i="4" s="1"/>
  <c r="M915" i="4"/>
  <c r="N914" i="4"/>
  <c r="P914" i="4" s="1"/>
  <c r="M914" i="4"/>
  <c r="N913" i="4"/>
  <c r="P913" i="4" s="1"/>
  <c r="M913" i="4"/>
  <c r="N912" i="4"/>
  <c r="P912" i="4" s="1"/>
  <c r="M912" i="4"/>
  <c r="N911" i="4"/>
  <c r="P911" i="4" s="1"/>
  <c r="M911" i="4"/>
  <c r="N910" i="4"/>
  <c r="P910" i="4" s="1"/>
  <c r="M910" i="4"/>
  <c r="N909" i="4"/>
  <c r="P909" i="4" s="1"/>
  <c r="M909" i="4"/>
  <c r="N908" i="4"/>
  <c r="P908" i="4" s="1"/>
  <c r="M908" i="4"/>
  <c r="N907" i="4"/>
  <c r="P907" i="4" s="1"/>
  <c r="M907" i="4"/>
  <c r="N906" i="4"/>
  <c r="P906" i="4" s="1"/>
  <c r="M906" i="4"/>
  <c r="N905" i="4"/>
  <c r="P905" i="4" s="1"/>
  <c r="M905" i="4"/>
  <c r="N904" i="4"/>
  <c r="P904" i="4" s="1"/>
  <c r="M904" i="4"/>
  <c r="N903" i="4"/>
  <c r="P903" i="4" s="1"/>
  <c r="M903" i="4"/>
  <c r="N902" i="4"/>
  <c r="P902" i="4" s="1"/>
  <c r="M902" i="4"/>
  <c r="N901" i="4"/>
  <c r="P901" i="4" s="1"/>
  <c r="M901" i="4"/>
  <c r="N900" i="4"/>
  <c r="P900" i="4" s="1"/>
  <c r="M900" i="4"/>
  <c r="N899" i="4"/>
  <c r="P899" i="4" s="1"/>
  <c r="M899" i="4"/>
  <c r="N898" i="4"/>
  <c r="P898" i="4" s="1"/>
  <c r="M898" i="4"/>
  <c r="N897" i="4"/>
  <c r="P897" i="4" s="1"/>
  <c r="M897" i="4"/>
  <c r="N896" i="4"/>
  <c r="P896" i="4" s="1"/>
  <c r="M896" i="4"/>
  <c r="N895" i="4"/>
  <c r="P895" i="4" s="1"/>
  <c r="M895" i="4"/>
  <c r="N894" i="4"/>
  <c r="P894" i="4" s="1"/>
  <c r="M894" i="4"/>
  <c r="N893" i="4"/>
  <c r="P893" i="4" s="1"/>
  <c r="M893" i="4"/>
  <c r="N892" i="4"/>
  <c r="P892" i="4" s="1"/>
  <c r="M892" i="4"/>
  <c r="N891" i="4"/>
  <c r="P891" i="4" s="1"/>
  <c r="M891" i="4"/>
  <c r="N890" i="4"/>
  <c r="P890" i="4" s="1"/>
  <c r="M890" i="4"/>
  <c r="N889" i="4"/>
  <c r="P889" i="4" s="1"/>
  <c r="M889" i="4"/>
  <c r="N888" i="4"/>
  <c r="P888" i="4" s="1"/>
  <c r="M888" i="4"/>
  <c r="N887" i="4"/>
  <c r="P887" i="4" s="1"/>
  <c r="M887" i="4"/>
  <c r="N886" i="4"/>
  <c r="P886" i="4" s="1"/>
  <c r="M886" i="4"/>
  <c r="N885" i="4"/>
  <c r="P885" i="4" s="1"/>
  <c r="M885" i="4"/>
  <c r="N884" i="4"/>
  <c r="P884" i="4" s="1"/>
  <c r="M884" i="4"/>
  <c r="N883" i="4"/>
  <c r="P883" i="4" s="1"/>
  <c r="M883" i="4"/>
  <c r="N882" i="4"/>
  <c r="P882" i="4" s="1"/>
  <c r="M882" i="4"/>
  <c r="N881" i="4"/>
  <c r="P881" i="4" s="1"/>
  <c r="M881" i="4"/>
  <c r="N880" i="4"/>
  <c r="P880" i="4" s="1"/>
  <c r="M880" i="4"/>
  <c r="N879" i="4"/>
  <c r="P879" i="4" s="1"/>
  <c r="M879" i="4"/>
  <c r="N878" i="4"/>
  <c r="P878" i="4" s="1"/>
  <c r="M878" i="4"/>
  <c r="N877" i="4"/>
  <c r="P877" i="4" s="1"/>
  <c r="M877" i="4"/>
  <c r="N876" i="4"/>
  <c r="P876" i="4" s="1"/>
  <c r="M876" i="4"/>
  <c r="N875" i="4"/>
  <c r="P875" i="4" s="1"/>
  <c r="M875" i="4"/>
  <c r="N874" i="4"/>
  <c r="P874" i="4" s="1"/>
  <c r="M874" i="4"/>
  <c r="N873" i="4"/>
  <c r="P873" i="4" s="1"/>
  <c r="M873" i="4"/>
  <c r="N872" i="4"/>
  <c r="P872" i="4" s="1"/>
  <c r="M872" i="4"/>
  <c r="N871" i="4"/>
  <c r="P871" i="4" s="1"/>
  <c r="M871" i="4"/>
  <c r="N870" i="4"/>
  <c r="P870" i="4" s="1"/>
  <c r="M870" i="4"/>
  <c r="N869" i="4"/>
  <c r="P869" i="4" s="1"/>
  <c r="M869" i="4"/>
  <c r="N868" i="4"/>
  <c r="P868" i="4" s="1"/>
  <c r="M868" i="4"/>
  <c r="N867" i="4"/>
  <c r="P867" i="4" s="1"/>
  <c r="M867" i="4"/>
  <c r="N866" i="4"/>
  <c r="P866" i="4" s="1"/>
  <c r="M866" i="4"/>
  <c r="N865" i="4"/>
  <c r="P865" i="4" s="1"/>
  <c r="M865" i="4"/>
  <c r="N864" i="4"/>
  <c r="P864" i="4" s="1"/>
  <c r="M864" i="4"/>
  <c r="N863" i="4"/>
  <c r="P863" i="4" s="1"/>
  <c r="M863" i="4"/>
  <c r="N862" i="4"/>
  <c r="P862" i="4" s="1"/>
  <c r="M862" i="4"/>
  <c r="N861" i="4"/>
  <c r="P861" i="4" s="1"/>
  <c r="M861" i="4"/>
  <c r="N860" i="4"/>
  <c r="P860" i="4" s="1"/>
  <c r="M860" i="4"/>
  <c r="N859" i="4"/>
  <c r="P859" i="4" s="1"/>
  <c r="M859" i="4"/>
  <c r="N858" i="4"/>
  <c r="P858" i="4" s="1"/>
  <c r="M858" i="4"/>
  <c r="N857" i="4"/>
  <c r="P857" i="4" s="1"/>
  <c r="M857" i="4"/>
  <c r="N856" i="4"/>
  <c r="P856" i="4" s="1"/>
  <c r="M856" i="4"/>
  <c r="N855" i="4"/>
  <c r="P855" i="4" s="1"/>
  <c r="M855" i="4"/>
  <c r="N854" i="4"/>
  <c r="P854" i="4" s="1"/>
  <c r="M854" i="4"/>
  <c r="N853" i="4"/>
  <c r="P853" i="4" s="1"/>
  <c r="M853" i="4"/>
  <c r="N852" i="4"/>
  <c r="P852" i="4" s="1"/>
  <c r="M852" i="4"/>
  <c r="N851" i="4"/>
  <c r="P851" i="4" s="1"/>
  <c r="M851" i="4"/>
  <c r="N850" i="4"/>
  <c r="P850" i="4" s="1"/>
  <c r="M850" i="4"/>
  <c r="N849" i="4"/>
  <c r="P849" i="4" s="1"/>
  <c r="M849" i="4"/>
  <c r="N848" i="4"/>
  <c r="P848" i="4" s="1"/>
  <c r="M848" i="4"/>
  <c r="N847" i="4"/>
  <c r="P847" i="4" s="1"/>
  <c r="M847" i="4"/>
  <c r="N846" i="4"/>
  <c r="P846" i="4" s="1"/>
  <c r="M846" i="4"/>
  <c r="N845" i="4"/>
  <c r="P845" i="4" s="1"/>
  <c r="M845" i="4"/>
  <c r="N844" i="4"/>
  <c r="P844" i="4" s="1"/>
  <c r="M844" i="4"/>
  <c r="N843" i="4"/>
  <c r="P843" i="4" s="1"/>
  <c r="M843" i="4"/>
  <c r="N842" i="4"/>
  <c r="P842" i="4" s="1"/>
  <c r="M842" i="4"/>
  <c r="N841" i="4"/>
  <c r="P841" i="4" s="1"/>
  <c r="M841" i="4"/>
  <c r="N840" i="4"/>
  <c r="P840" i="4" s="1"/>
  <c r="M840" i="4"/>
  <c r="N839" i="4"/>
  <c r="P839" i="4" s="1"/>
  <c r="M839" i="4"/>
  <c r="N838" i="4"/>
  <c r="P838" i="4" s="1"/>
  <c r="M838" i="4"/>
  <c r="N837" i="4"/>
  <c r="P837" i="4" s="1"/>
  <c r="M837" i="4"/>
  <c r="N836" i="4"/>
  <c r="P836" i="4" s="1"/>
  <c r="M836" i="4"/>
  <c r="N835" i="4"/>
  <c r="P835" i="4" s="1"/>
  <c r="M835" i="4"/>
  <c r="N834" i="4"/>
  <c r="P834" i="4" s="1"/>
  <c r="M834" i="4"/>
  <c r="N833" i="4"/>
  <c r="P833" i="4" s="1"/>
  <c r="M833" i="4"/>
  <c r="N832" i="4"/>
  <c r="P832" i="4" s="1"/>
  <c r="M832" i="4"/>
  <c r="N831" i="4"/>
  <c r="P831" i="4" s="1"/>
  <c r="M831" i="4"/>
  <c r="N830" i="4"/>
  <c r="P830" i="4" s="1"/>
  <c r="M830" i="4"/>
  <c r="N829" i="4"/>
  <c r="P829" i="4" s="1"/>
  <c r="M829" i="4"/>
  <c r="N828" i="4"/>
  <c r="P828" i="4" s="1"/>
  <c r="M828" i="4"/>
  <c r="N827" i="4"/>
  <c r="P827" i="4" s="1"/>
  <c r="M827" i="4"/>
  <c r="N826" i="4"/>
  <c r="P826" i="4" s="1"/>
  <c r="M826" i="4"/>
  <c r="N825" i="4"/>
  <c r="P825" i="4" s="1"/>
  <c r="M825" i="4"/>
  <c r="N824" i="4"/>
  <c r="P824" i="4" s="1"/>
  <c r="M824" i="4"/>
  <c r="N823" i="4"/>
  <c r="P823" i="4" s="1"/>
  <c r="M823" i="4"/>
  <c r="N822" i="4"/>
  <c r="P822" i="4" s="1"/>
  <c r="M822" i="4"/>
  <c r="N821" i="4"/>
  <c r="P821" i="4" s="1"/>
  <c r="M821" i="4"/>
  <c r="N820" i="4"/>
  <c r="P820" i="4" s="1"/>
  <c r="M820" i="4"/>
  <c r="N819" i="4"/>
  <c r="P819" i="4" s="1"/>
  <c r="M819" i="4"/>
  <c r="N818" i="4"/>
  <c r="P818" i="4" s="1"/>
  <c r="M818" i="4"/>
  <c r="N817" i="4"/>
  <c r="P817" i="4" s="1"/>
  <c r="M817" i="4"/>
  <c r="N816" i="4"/>
  <c r="P816" i="4" s="1"/>
  <c r="M816" i="4"/>
  <c r="N815" i="4"/>
  <c r="P815" i="4" s="1"/>
  <c r="M815" i="4"/>
  <c r="N814" i="4"/>
  <c r="P814" i="4" s="1"/>
  <c r="M814" i="4"/>
  <c r="N813" i="4"/>
  <c r="P813" i="4" s="1"/>
  <c r="M813" i="4"/>
  <c r="N812" i="4"/>
  <c r="P812" i="4" s="1"/>
  <c r="M812" i="4"/>
  <c r="N811" i="4"/>
  <c r="P811" i="4" s="1"/>
  <c r="M811" i="4"/>
  <c r="N810" i="4"/>
  <c r="P810" i="4" s="1"/>
  <c r="M810" i="4"/>
  <c r="N809" i="4"/>
  <c r="P809" i="4" s="1"/>
  <c r="M809" i="4"/>
  <c r="N808" i="4"/>
  <c r="P808" i="4" s="1"/>
  <c r="M808" i="4"/>
  <c r="N807" i="4"/>
  <c r="P807" i="4" s="1"/>
  <c r="M807" i="4"/>
  <c r="N806" i="4"/>
  <c r="P806" i="4" s="1"/>
  <c r="M806" i="4"/>
  <c r="N805" i="4"/>
  <c r="P805" i="4" s="1"/>
  <c r="M805" i="4"/>
  <c r="N804" i="4"/>
  <c r="P804" i="4" s="1"/>
  <c r="M804" i="4"/>
  <c r="N803" i="4"/>
  <c r="P803" i="4" s="1"/>
  <c r="M803" i="4"/>
  <c r="N802" i="4"/>
  <c r="P802" i="4" s="1"/>
  <c r="M802" i="4"/>
  <c r="N801" i="4"/>
  <c r="P801" i="4" s="1"/>
  <c r="M801" i="4"/>
  <c r="N800" i="4"/>
  <c r="P800" i="4" s="1"/>
  <c r="M800" i="4"/>
  <c r="N799" i="4"/>
  <c r="P799" i="4" s="1"/>
  <c r="M799" i="4"/>
  <c r="N798" i="4"/>
  <c r="P798" i="4" s="1"/>
  <c r="M798" i="4"/>
  <c r="N797" i="4"/>
  <c r="P797" i="4" s="1"/>
  <c r="M797" i="4"/>
  <c r="N796" i="4"/>
  <c r="P796" i="4" s="1"/>
  <c r="M796" i="4"/>
  <c r="N795" i="4"/>
  <c r="P795" i="4" s="1"/>
  <c r="M795" i="4"/>
  <c r="N794" i="4"/>
  <c r="P794" i="4" s="1"/>
  <c r="M794" i="4"/>
  <c r="N793" i="4"/>
  <c r="P793" i="4" s="1"/>
  <c r="M793" i="4"/>
  <c r="N792" i="4"/>
  <c r="P792" i="4" s="1"/>
  <c r="M792" i="4"/>
  <c r="N791" i="4"/>
  <c r="P791" i="4" s="1"/>
  <c r="M791" i="4"/>
  <c r="N790" i="4"/>
  <c r="P790" i="4" s="1"/>
  <c r="M790" i="4"/>
  <c r="N789" i="4"/>
  <c r="P789" i="4" s="1"/>
  <c r="M789" i="4"/>
  <c r="N788" i="4"/>
  <c r="P788" i="4" s="1"/>
  <c r="M788" i="4"/>
  <c r="N787" i="4"/>
  <c r="P787" i="4" s="1"/>
  <c r="M787" i="4"/>
  <c r="N786" i="4"/>
  <c r="P786" i="4" s="1"/>
  <c r="M786" i="4"/>
  <c r="N785" i="4"/>
  <c r="P785" i="4" s="1"/>
  <c r="M785" i="4"/>
  <c r="N784" i="4"/>
  <c r="P784" i="4" s="1"/>
  <c r="M784" i="4"/>
  <c r="N783" i="4"/>
  <c r="P783" i="4" s="1"/>
  <c r="M783" i="4"/>
  <c r="N782" i="4"/>
  <c r="P782" i="4" s="1"/>
  <c r="M782" i="4"/>
  <c r="N781" i="4"/>
  <c r="P781" i="4" s="1"/>
  <c r="M781" i="4"/>
  <c r="N780" i="4"/>
  <c r="P780" i="4" s="1"/>
  <c r="M780" i="4"/>
  <c r="N779" i="4"/>
  <c r="P779" i="4" s="1"/>
  <c r="M779" i="4"/>
  <c r="N778" i="4"/>
  <c r="P778" i="4" s="1"/>
  <c r="M778" i="4"/>
  <c r="N777" i="4"/>
  <c r="P777" i="4" s="1"/>
  <c r="M777" i="4"/>
  <c r="N776" i="4"/>
  <c r="P776" i="4" s="1"/>
  <c r="M776" i="4"/>
  <c r="N775" i="4"/>
  <c r="P775" i="4" s="1"/>
  <c r="M775" i="4"/>
  <c r="N774" i="4"/>
  <c r="P774" i="4" s="1"/>
  <c r="M774" i="4"/>
  <c r="N773" i="4"/>
  <c r="P773" i="4" s="1"/>
  <c r="M773" i="4"/>
  <c r="N772" i="4"/>
  <c r="P772" i="4" s="1"/>
  <c r="M772" i="4"/>
  <c r="N771" i="4"/>
  <c r="P771" i="4" s="1"/>
  <c r="M771" i="4"/>
  <c r="N770" i="4"/>
  <c r="P770" i="4" s="1"/>
  <c r="M770" i="4"/>
  <c r="N769" i="4"/>
  <c r="P769" i="4" s="1"/>
  <c r="M769" i="4"/>
  <c r="N768" i="4"/>
  <c r="P768" i="4" s="1"/>
  <c r="M768" i="4"/>
  <c r="N767" i="4"/>
  <c r="P767" i="4" s="1"/>
  <c r="M767" i="4"/>
  <c r="N766" i="4"/>
  <c r="P766" i="4" s="1"/>
  <c r="M766" i="4"/>
  <c r="N765" i="4"/>
  <c r="P765" i="4" s="1"/>
  <c r="M765" i="4"/>
  <c r="N764" i="4"/>
  <c r="P764" i="4" s="1"/>
  <c r="M764" i="4"/>
  <c r="N763" i="4"/>
  <c r="P763" i="4" s="1"/>
  <c r="M763" i="4"/>
  <c r="N762" i="4"/>
  <c r="P762" i="4" s="1"/>
  <c r="M762" i="4"/>
  <c r="N761" i="4"/>
  <c r="P761" i="4" s="1"/>
  <c r="M761" i="4"/>
  <c r="N760" i="4"/>
  <c r="P760" i="4" s="1"/>
  <c r="M760" i="4"/>
  <c r="N759" i="4"/>
  <c r="P759" i="4" s="1"/>
  <c r="M759" i="4"/>
  <c r="N758" i="4"/>
  <c r="P758" i="4" s="1"/>
  <c r="M758" i="4"/>
  <c r="N757" i="4"/>
  <c r="P757" i="4" s="1"/>
  <c r="M757" i="4"/>
  <c r="N756" i="4"/>
  <c r="P756" i="4" s="1"/>
  <c r="M756" i="4"/>
  <c r="N755" i="4"/>
  <c r="P755" i="4" s="1"/>
  <c r="M755" i="4"/>
  <c r="N754" i="4"/>
  <c r="P754" i="4" s="1"/>
  <c r="M754" i="4"/>
  <c r="N753" i="4"/>
  <c r="P753" i="4" s="1"/>
  <c r="M753" i="4"/>
  <c r="N752" i="4"/>
  <c r="P752" i="4" s="1"/>
  <c r="M752" i="4"/>
  <c r="N751" i="4"/>
  <c r="P751" i="4" s="1"/>
  <c r="M751" i="4"/>
  <c r="N750" i="4"/>
  <c r="P750" i="4" s="1"/>
  <c r="M750" i="4"/>
  <c r="N749" i="4"/>
  <c r="P749" i="4" s="1"/>
  <c r="M749" i="4"/>
  <c r="N748" i="4"/>
  <c r="P748" i="4" s="1"/>
  <c r="M748" i="4"/>
  <c r="N747" i="4"/>
  <c r="P747" i="4" s="1"/>
  <c r="M747" i="4"/>
  <c r="N746" i="4"/>
  <c r="P746" i="4" s="1"/>
  <c r="M746" i="4"/>
  <c r="N745" i="4"/>
  <c r="P745" i="4" s="1"/>
  <c r="M745" i="4"/>
  <c r="N744" i="4"/>
  <c r="P744" i="4" s="1"/>
  <c r="M744" i="4"/>
  <c r="N743" i="4"/>
  <c r="P743" i="4" s="1"/>
  <c r="M743" i="4"/>
  <c r="N742" i="4"/>
  <c r="P742" i="4" s="1"/>
  <c r="M742" i="4"/>
  <c r="N741" i="4"/>
  <c r="P741" i="4" s="1"/>
  <c r="M741" i="4"/>
  <c r="N740" i="4"/>
  <c r="P740" i="4" s="1"/>
  <c r="M740" i="4"/>
  <c r="N739" i="4"/>
  <c r="P739" i="4" s="1"/>
  <c r="M739" i="4"/>
  <c r="N738" i="4"/>
  <c r="P738" i="4" s="1"/>
  <c r="M738" i="4"/>
  <c r="N737" i="4"/>
  <c r="P737" i="4" s="1"/>
  <c r="M737" i="4"/>
  <c r="N736" i="4"/>
  <c r="P736" i="4" s="1"/>
  <c r="M736" i="4"/>
  <c r="N735" i="4"/>
  <c r="P735" i="4" s="1"/>
  <c r="M735" i="4"/>
  <c r="N734" i="4"/>
  <c r="P734" i="4" s="1"/>
  <c r="M734" i="4"/>
  <c r="N733" i="4"/>
  <c r="P733" i="4" s="1"/>
  <c r="M733" i="4"/>
  <c r="N732" i="4"/>
  <c r="P732" i="4" s="1"/>
  <c r="M732" i="4"/>
  <c r="N731" i="4"/>
  <c r="P731" i="4" s="1"/>
  <c r="M731" i="4"/>
  <c r="N730" i="4"/>
  <c r="P730" i="4" s="1"/>
  <c r="M730" i="4"/>
  <c r="N729" i="4"/>
  <c r="P729" i="4" s="1"/>
  <c r="M729" i="4"/>
  <c r="N728" i="4"/>
  <c r="P728" i="4" s="1"/>
  <c r="M728" i="4"/>
  <c r="N727" i="4"/>
  <c r="P727" i="4" s="1"/>
  <c r="M727" i="4"/>
  <c r="N726" i="4"/>
  <c r="P726" i="4" s="1"/>
  <c r="M726" i="4"/>
  <c r="N725" i="4"/>
  <c r="P725" i="4" s="1"/>
  <c r="M725" i="4"/>
  <c r="N724" i="4"/>
  <c r="P724" i="4" s="1"/>
  <c r="M724" i="4"/>
  <c r="N723" i="4"/>
  <c r="P723" i="4" s="1"/>
  <c r="M723" i="4"/>
  <c r="N722" i="4"/>
  <c r="P722" i="4" s="1"/>
  <c r="M722" i="4"/>
  <c r="N721" i="4"/>
  <c r="P721" i="4" s="1"/>
  <c r="M721" i="4"/>
  <c r="N720" i="4"/>
  <c r="P720" i="4" s="1"/>
  <c r="M720" i="4"/>
  <c r="N719" i="4"/>
  <c r="P719" i="4" s="1"/>
  <c r="M719" i="4"/>
  <c r="N718" i="4"/>
  <c r="P718" i="4" s="1"/>
  <c r="M718" i="4"/>
  <c r="N717" i="4"/>
  <c r="P717" i="4" s="1"/>
  <c r="M717" i="4"/>
  <c r="N716" i="4"/>
  <c r="P716" i="4" s="1"/>
  <c r="M716" i="4"/>
  <c r="N715" i="4"/>
  <c r="P715" i="4" s="1"/>
  <c r="M715" i="4"/>
  <c r="N714" i="4"/>
  <c r="P714" i="4" s="1"/>
  <c r="M714" i="4"/>
  <c r="N713" i="4"/>
  <c r="P713" i="4" s="1"/>
  <c r="M713" i="4"/>
  <c r="N712" i="4"/>
  <c r="P712" i="4" s="1"/>
  <c r="M712" i="4"/>
  <c r="N711" i="4"/>
  <c r="P711" i="4" s="1"/>
  <c r="M711" i="4"/>
  <c r="N710" i="4"/>
  <c r="P710" i="4" s="1"/>
  <c r="M710" i="4"/>
  <c r="N709" i="4"/>
  <c r="P709" i="4" s="1"/>
  <c r="M709" i="4"/>
  <c r="N708" i="4"/>
  <c r="P708" i="4" s="1"/>
  <c r="M708" i="4"/>
  <c r="N707" i="4"/>
  <c r="P707" i="4" s="1"/>
  <c r="M707" i="4"/>
  <c r="N706" i="4"/>
  <c r="P706" i="4" s="1"/>
  <c r="M706" i="4"/>
  <c r="N705" i="4"/>
  <c r="P705" i="4" s="1"/>
  <c r="M705" i="4"/>
  <c r="N704" i="4"/>
  <c r="P704" i="4" s="1"/>
  <c r="M704" i="4"/>
  <c r="N703" i="4"/>
  <c r="P703" i="4" s="1"/>
  <c r="M703" i="4"/>
  <c r="N702" i="4"/>
  <c r="P702" i="4" s="1"/>
  <c r="M702" i="4"/>
  <c r="N701" i="4"/>
  <c r="P701" i="4" s="1"/>
  <c r="M701" i="4"/>
  <c r="N700" i="4"/>
  <c r="P700" i="4" s="1"/>
  <c r="M700" i="4"/>
  <c r="N699" i="4"/>
  <c r="P699" i="4" s="1"/>
  <c r="M699" i="4"/>
  <c r="N698" i="4"/>
  <c r="P698" i="4" s="1"/>
  <c r="M698" i="4"/>
  <c r="N697" i="4"/>
  <c r="P697" i="4" s="1"/>
  <c r="M697" i="4"/>
  <c r="N696" i="4"/>
  <c r="P696" i="4" s="1"/>
  <c r="M696" i="4"/>
  <c r="N695" i="4"/>
  <c r="P695" i="4" s="1"/>
  <c r="M695" i="4"/>
  <c r="N694" i="4"/>
  <c r="P694" i="4" s="1"/>
  <c r="M694" i="4"/>
  <c r="N693" i="4"/>
  <c r="P693" i="4" s="1"/>
  <c r="M693" i="4"/>
  <c r="N692" i="4"/>
  <c r="P692" i="4" s="1"/>
  <c r="M692" i="4"/>
  <c r="N691" i="4"/>
  <c r="P691" i="4" s="1"/>
  <c r="M691" i="4"/>
  <c r="N690" i="4"/>
  <c r="P690" i="4" s="1"/>
  <c r="M690" i="4"/>
  <c r="N689" i="4"/>
  <c r="P689" i="4" s="1"/>
  <c r="M689" i="4"/>
  <c r="N688" i="4"/>
  <c r="P688" i="4" s="1"/>
  <c r="M688" i="4"/>
  <c r="N687" i="4"/>
  <c r="P687" i="4" s="1"/>
  <c r="M687" i="4"/>
  <c r="N686" i="4"/>
  <c r="P686" i="4" s="1"/>
  <c r="M686" i="4"/>
  <c r="N685" i="4"/>
  <c r="P685" i="4" s="1"/>
  <c r="M685" i="4"/>
  <c r="N684" i="4"/>
  <c r="P684" i="4" s="1"/>
  <c r="M684" i="4"/>
  <c r="N683" i="4"/>
  <c r="P683" i="4" s="1"/>
  <c r="M683" i="4"/>
  <c r="N682" i="4"/>
  <c r="P682" i="4" s="1"/>
  <c r="M682" i="4"/>
  <c r="N681" i="4"/>
  <c r="P681" i="4" s="1"/>
  <c r="M681" i="4"/>
  <c r="N680" i="4"/>
  <c r="P680" i="4" s="1"/>
  <c r="M680" i="4"/>
  <c r="N679" i="4"/>
  <c r="P679" i="4" s="1"/>
  <c r="M679" i="4"/>
  <c r="N678" i="4"/>
  <c r="P678" i="4" s="1"/>
  <c r="M678" i="4"/>
  <c r="N677" i="4"/>
  <c r="P677" i="4" s="1"/>
  <c r="M677" i="4"/>
  <c r="N676" i="4"/>
  <c r="P676" i="4" s="1"/>
  <c r="M676" i="4"/>
  <c r="N675" i="4"/>
  <c r="P675" i="4" s="1"/>
  <c r="M675" i="4"/>
  <c r="N674" i="4"/>
  <c r="P674" i="4" s="1"/>
  <c r="M674" i="4"/>
  <c r="N673" i="4"/>
  <c r="P673" i="4" s="1"/>
  <c r="M673" i="4"/>
  <c r="N672" i="4"/>
  <c r="P672" i="4" s="1"/>
  <c r="M672" i="4"/>
  <c r="N671" i="4"/>
  <c r="P671" i="4" s="1"/>
  <c r="M671" i="4"/>
  <c r="N670" i="4"/>
  <c r="P670" i="4" s="1"/>
  <c r="M670" i="4"/>
  <c r="N669" i="4"/>
  <c r="P669" i="4" s="1"/>
  <c r="M669" i="4"/>
  <c r="N668" i="4"/>
  <c r="P668" i="4" s="1"/>
  <c r="M668" i="4"/>
  <c r="N667" i="4"/>
  <c r="P667" i="4" s="1"/>
  <c r="M667" i="4"/>
  <c r="N666" i="4"/>
  <c r="P666" i="4" s="1"/>
  <c r="M666" i="4"/>
  <c r="N665" i="4"/>
  <c r="P665" i="4" s="1"/>
  <c r="M665" i="4"/>
  <c r="N664" i="4"/>
  <c r="P664" i="4" s="1"/>
  <c r="M664" i="4"/>
  <c r="N663" i="4"/>
  <c r="P663" i="4" s="1"/>
  <c r="M663" i="4"/>
  <c r="N662" i="4"/>
  <c r="P662" i="4" s="1"/>
  <c r="M662" i="4"/>
  <c r="N661" i="4"/>
  <c r="P661" i="4" s="1"/>
  <c r="M661" i="4"/>
  <c r="N660" i="4"/>
  <c r="P660" i="4" s="1"/>
  <c r="M660" i="4"/>
  <c r="N659" i="4"/>
  <c r="P659" i="4" s="1"/>
  <c r="M659" i="4"/>
  <c r="N658" i="4"/>
  <c r="P658" i="4" s="1"/>
  <c r="M658" i="4"/>
  <c r="N657" i="4"/>
  <c r="P657" i="4" s="1"/>
  <c r="M657" i="4"/>
  <c r="N656" i="4"/>
  <c r="P656" i="4" s="1"/>
  <c r="M656" i="4"/>
  <c r="N655" i="4"/>
  <c r="P655" i="4" s="1"/>
  <c r="M655" i="4"/>
  <c r="N654" i="4"/>
  <c r="P654" i="4" s="1"/>
  <c r="M654" i="4"/>
  <c r="N653" i="4"/>
  <c r="P653" i="4" s="1"/>
  <c r="M653" i="4"/>
  <c r="N652" i="4"/>
  <c r="P652" i="4" s="1"/>
  <c r="M652" i="4"/>
  <c r="N651" i="4"/>
  <c r="P651" i="4" s="1"/>
  <c r="M651" i="4"/>
  <c r="N650" i="4"/>
  <c r="P650" i="4" s="1"/>
  <c r="M650" i="4"/>
  <c r="N649" i="4"/>
  <c r="P649" i="4" s="1"/>
  <c r="M649" i="4"/>
  <c r="N648" i="4"/>
  <c r="P648" i="4" s="1"/>
  <c r="M648" i="4"/>
  <c r="N647" i="4"/>
  <c r="P647" i="4" s="1"/>
  <c r="M647" i="4"/>
  <c r="N646" i="4"/>
  <c r="P646" i="4" s="1"/>
  <c r="M646" i="4"/>
  <c r="N645" i="4"/>
  <c r="P645" i="4" s="1"/>
  <c r="M645" i="4"/>
  <c r="N644" i="4"/>
  <c r="P644" i="4" s="1"/>
  <c r="M644" i="4"/>
  <c r="N643" i="4"/>
  <c r="P643" i="4" s="1"/>
  <c r="M643" i="4"/>
  <c r="N642" i="4"/>
  <c r="P642" i="4" s="1"/>
  <c r="M642" i="4"/>
  <c r="N641" i="4"/>
  <c r="P641" i="4" s="1"/>
  <c r="M641" i="4"/>
  <c r="N640" i="4"/>
  <c r="P640" i="4" s="1"/>
  <c r="M640" i="4"/>
  <c r="N639" i="4"/>
  <c r="P639" i="4" s="1"/>
  <c r="M639" i="4"/>
  <c r="N638" i="4"/>
  <c r="P638" i="4" s="1"/>
  <c r="M638" i="4"/>
  <c r="N637" i="4"/>
  <c r="P637" i="4" s="1"/>
  <c r="M637" i="4"/>
  <c r="N636" i="4"/>
  <c r="P636" i="4" s="1"/>
  <c r="M636" i="4"/>
  <c r="N635" i="4"/>
  <c r="P635" i="4" s="1"/>
  <c r="M635" i="4"/>
  <c r="N634" i="4"/>
  <c r="P634" i="4" s="1"/>
  <c r="M634" i="4"/>
  <c r="N633" i="4"/>
  <c r="P633" i="4" s="1"/>
  <c r="M633" i="4"/>
  <c r="N632" i="4"/>
  <c r="P632" i="4" s="1"/>
  <c r="M632" i="4"/>
  <c r="N631" i="4"/>
  <c r="P631" i="4" s="1"/>
  <c r="M631" i="4"/>
  <c r="N630" i="4"/>
  <c r="P630" i="4" s="1"/>
  <c r="M630" i="4"/>
  <c r="N629" i="4"/>
  <c r="P629" i="4" s="1"/>
  <c r="M629" i="4"/>
  <c r="N628" i="4"/>
  <c r="P628" i="4" s="1"/>
  <c r="M628" i="4"/>
  <c r="N627" i="4"/>
  <c r="P627" i="4" s="1"/>
  <c r="M627" i="4"/>
  <c r="N626" i="4"/>
  <c r="P626" i="4" s="1"/>
  <c r="M626" i="4"/>
  <c r="N625" i="4"/>
  <c r="P625" i="4" s="1"/>
  <c r="M625" i="4"/>
  <c r="N624" i="4"/>
  <c r="P624" i="4" s="1"/>
  <c r="M624" i="4"/>
  <c r="N623" i="4"/>
  <c r="P623" i="4" s="1"/>
  <c r="M623" i="4"/>
  <c r="N622" i="4"/>
  <c r="P622" i="4" s="1"/>
  <c r="M622" i="4"/>
  <c r="N621" i="4"/>
  <c r="P621" i="4" s="1"/>
  <c r="M621" i="4"/>
  <c r="N620" i="4"/>
  <c r="P620" i="4" s="1"/>
  <c r="M620" i="4"/>
  <c r="N619" i="4"/>
  <c r="P619" i="4" s="1"/>
  <c r="M619" i="4"/>
  <c r="N618" i="4"/>
  <c r="P618" i="4" s="1"/>
  <c r="M618" i="4"/>
  <c r="N617" i="4"/>
  <c r="P617" i="4" s="1"/>
  <c r="M617" i="4"/>
  <c r="N616" i="4"/>
  <c r="P616" i="4" s="1"/>
  <c r="M616" i="4"/>
  <c r="N615" i="4"/>
  <c r="P615" i="4" s="1"/>
  <c r="M615" i="4"/>
  <c r="N614" i="4"/>
  <c r="P614" i="4" s="1"/>
  <c r="M614" i="4"/>
  <c r="N613" i="4"/>
  <c r="P613" i="4" s="1"/>
  <c r="M613" i="4"/>
  <c r="N612" i="4"/>
  <c r="P612" i="4" s="1"/>
  <c r="M612" i="4"/>
  <c r="N611" i="4"/>
  <c r="P611" i="4" s="1"/>
  <c r="M611" i="4"/>
  <c r="N610" i="4"/>
  <c r="P610" i="4" s="1"/>
  <c r="M610" i="4"/>
  <c r="N609" i="4"/>
  <c r="P609" i="4" s="1"/>
  <c r="M609" i="4"/>
  <c r="N608" i="4"/>
  <c r="P608" i="4" s="1"/>
  <c r="M608" i="4"/>
  <c r="N607" i="4"/>
  <c r="P607" i="4" s="1"/>
  <c r="M607" i="4"/>
  <c r="N606" i="4"/>
  <c r="P606" i="4" s="1"/>
  <c r="M606" i="4"/>
  <c r="N605" i="4"/>
  <c r="P605" i="4" s="1"/>
  <c r="M605" i="4"/>
  <c r="N604" i="4"/>
  <c r="P604" i="4" s="1"/>
  <c r="M604" i="4"/>
  <c r="N603" i="4"/>
  <c r="P603" i="4" s="1"/>
  <c r="M603" i="4"/>
  <c r="N602" i="4"/>
  <c r="P602" i="4" s="1"/>
  <c r="M602" i="4"/>
  <c r="N601" i="4"/>
  <c r="P601" i="4" s="1"/>
  <c r="M601" i="4"/>
  <c r="N600" i="4"/>
  <c r="P600" i="4" s="1"/>
  <c r="M600" i="4"/>
  <c r="N599" i="4"/>
  <c r="P599" i="4" s="1"/>
  <c r="M599" i="4"/>
  <c r="N598" i="4"/>
  <c r="P598" i="4" s="1"/>
  <c r="M598" i="4"/>
  <c r="N597" i="4"/>
  <c r="P597" i="4" s="1"/>
  <c r="M597" i="4"/>
  <c r="N596" i="4"/>
  <c r="P596" i="4" s="1"/>
  <c r="M596" i="4"/>
  <c r="N595" i="4"/>
  <c r="P595" i="4" s="1"/>
  <c r="M595" i="4"/>
  <c r="N594" i="4"/>
  <c r="P594" i="4" s="1"/>
  <c r="M594" i="4"/>
  <c r="N593" i="4"/>
  <c r="P593" i="4" s="1"/>
  <c r="M593" i="4"/>
  <c r="N592" i="4"/>
  <c r="P592" i="4" s="1"/>
  <c r="M592" i="4"/>
  <c r="N591" i="4"/>
  <c r="P591" i="4" s="1"/>
  <c r="M591" i="4"/>
  <c r="N590" i="4"/>
  <c r="P590" i="4" s="1"/>
  <c r="M590" i="4"/>
  <c r="N589" i="4"/>
  <c r="P589" i="4" s="1"/>
  <c r="M589" i="4"/>
  <c r="N588" i="4"/>
  <c r="P588" i="4" s="1"/>
  <c r="M588" i="4"/>
  <c r="N587" i="4"/>
  <c r="P587" i="4" s="1"/>
  <c r="M587" i="4"/>
  <c r="N586" i="4"/>
  <c r="P586" i="4" s="1"/>
  <c r="M586" i="4"/>
  <c r="N585" i="4"/>
  <c r="P585" i="4" s="1"/>
  <c r="M585" i="4"/>
  <c r="N584" i="4"/>
  <c r="P584" i="4" s="1"/>
  <c r="M584" i="4"/>
  <c r="N583" i="4"/>
  <c r="P583" i="4" s="1"/>
  <c r="M583" i="4"/>
  <c r="N582" i="4"/>
  <c r="P582" i="4" s="1"/>
  <c r="M582" i="4"/>
  <c r="N581" i="4"/>
  <c r="P581" i="4" s="1"/>
  <c r="M581" i="4"/>
  <c r="N580" i="4"/>
  <c r="P580" i="4" s="1"/>
  <c r="M580" i="4"/>
  <c r="N579" i="4"/>
  <c r="P579" i="4" s="1"/>
  <c r="M579" i="4"/>
  <c r="N578" i="4"/>
  <c r="P578" i="4" s="1"/>
  <c r="M578" i="4"/>
  <c r="N577" i="4"/>
  <c r="P577" i="4" s="1"/>
  <c r="M577" i="4"/>
  <c r="N576" i="4"/>
  <c r="P576" i="4" s="1"/>
  <c r="M576" i="4"/>
  <c r="N575" i="4"/>
  <c r="P575" i="4" s="1"/>
  <c r="M575" i="4"/>
  <c r="N574" i="4"/>
  <c r="P574" i="4" s="1"/>
  <c r="M574" i="4"/>
  <c r="N573" i="4"/>
  <c r="P573" i="4" s="1"/>
  <c r="M573" i="4"/>
  <c r="N572" i="4"/>
  <c r="P572" i="4" s="1"/>
  <c r="M572" i="4"/>
  <c r="N571" i="4"/>
  <c r="P571" i="4" s="1"/>
  <c r="M571" i="4"/>
  <c r="N570" i="4"/>
  <c r="P570" i="4" s="1"/>
  <c r="M570" i="4"/>
  <c r="N569" i="4"/>
  <c r="P569" i="4" s="1"/>
  <c r="M569" i="4"/>
  <c r="N568" i="4"/>
  <c r="P568" i="4" s="1"/>
  <c r="M568" i="4"/>
  <c r="N567" i="4"/>
  <c r="P567" i="4" s="1"/>
  <c r="M567" i="4"/>
  <c r="N566" i="4"/>
  <c r="P566" i="4" s="1"/>
  <c r="M566" i="4"/>
  <c r="N565" i="4"/>
  <c r="P565" i="4" s="1"/>
  <c r="M565" i="4"/>
  <c r="N564" i="4"/>
  <c r="P564" i="4" s="1"/>
  <c r="M564" i="4"/>
  <c r="N563" i="4"/>
  <c r="P563" i="4" s="1"/>
  <c r="M563" i="4"/>
  <c r="N562" i="4"/>
  <c r="P562" i="4" s="1"/>
  <c r="M562" i="4"/>
  <c r="N561" i="4"/>
  <c r="P561" i="4" s="1"/>
  <c r="M561" i="4"/>
  <c r="N560" i="4"/>
  <c r="P560" i="4" s="1"/>
  <c r="M560" i="4"/>
  <c r="N559" i="4"/>
  <c r="P559" i="4" s="1"/>
  <c r="M559" i="4"/>
  <c r="N558" i="4"/>
  <c r="P558" i="4" s="1"/>
  <c r="M558" i="4"/>
  <c r="N557" i="4"/>
  <c r="P557" i="4" s="1"/>
  <c r="M557" i="4"/>
  <c r="N556" i="4"/>
  <c r="P556" i="4" s="1"/>
  <c r="M556" i="4"/>
  <c r="N555" i="4"/>
  <c r="P555" i="4" s="1"/>
  <c r="M555" i="4"/>
  <c r="N554" i="4"/>
  <c r="P554" i="4" s="1"/>
  <c r="M554" i="4"/>
  <c r="N553" i="4"/>
  <c r="P553" i="4" s="1"/>
  <c r="M553" i="4"/>
  <c r="N552" i="4"/>
  <c r="P552" i="4" s="1"/>
  <c r="M552" i="4"/>
  <c r="N551" i="4"/>
  <c r="P551" i="4" s="1"/>
  <c r="M551" i="4"/>
  <c r="N550" i="4"/>
  <c r="P550" i="4" s="1"/>
  <c r="M550" i="4"/>
  <c r="N549" i="4"/>
  <c r="P549" i="4" s="1"/>
  <c r="M549" i="4"/>
  <c r="N548" i="4"/>
  <c r="P548" i="4" s="1"/>
  <c r="M548" i="4"/>
  <c r="N547" i="4"/>
  <c r="P547" i="4" s="1"/>
  <c r="M547" i="4"/>
  <c r="N546" i="4"/>
  <c r="P546" i="4" s="1"/>
  <c r="M546" i="4"/>
  <c r="N545" i="4"/>
  <c r="P545" i="4" s="1"/>
  <c r="M545" i="4"/>
  <c r="N544" i="4"/>
  <c r="P544" i="4" s="1"/>
  <c r="M544" i="4"/>
  <c r="N543" i="4"/>
  <c r="P543" i="4" s="1"/>
  <c r="M543" i="4"/>
  <c r="N542" i="4"/>
  <c r="P542" i="4" s="1"/>
  <c r="M542" i="4"/>
  <c r="N541" i="4"/>
  <c r="P541" i="4" s="1"/>
  <c r="M541" i="4"/>
  <c r="N540" i="4"/>
  <c r="P540" i="4" s="1"/>
  <c r="M540" i="4"/>
  <c r="N539" i="4"/>
  <c r="P539" i="4" s="1"/>
  <c r="M539" i="4"/>
  <c r="N538" i="4"/>
  <c r="P538" i="4" s="1"/>
  <c r="M538" i="4"/>
  <c r="N537" i="4"/>
  <c r="P537" i="4" s="1"/>
  <c r="M537" i="4"/>
  <c r="N536" i="4"/>
  <c r="P536" i="4" s="1"/>
  <c r="M536" i="4"/>
  <c r="N535" i="4"/>
  <c r="P535" i="4" s="1"/>
  <c r="M535" i="4"/>
  <c r="N534" i="4"/>
  <c r="P534" i="4" s="1"/>
  <c r="M534" i="4"/>
  <c r="N533" i="4"/>
  <c r="P533" i="4" s="1"/>
  <c r="M533" i="4"/>
  <c r="N532" i="4"/>
  <c r="P532" i="4" s="1"/>
  <c r="M532" i="4"/>
  <c r="N531" i="4"/>
  <c r="P531" i="4" s="1"/>
  <c r="M531" i="4"/>
  <c r="N530" i="4"/>
  <c r="P530" i="4" s="1"/>
  <c r="M530" i="4"/>
  <c r="N529" i="4"/>
  <c r="P529" i="4" s="1"/>
  <c r="M529" i="4"/>
  <c r="N528" i="4"/>
  <c r="P528" i="4" s="1"/>
  <c r="M528" i="4"/>
  <c r="N527" i="4"/>
  <c r="P527" i="4" s="1"/>
  <c r="M527" i="4"/>
  <c r="N526" i="4"/>
  <c r="P526" i="4" s="1"/>
  <c r="M526" i="4"/>
  <c r="N525" i="4"/>
  <c r="P525" i="4" s="1"/>
  <c r="M525" i="4"/>
  <c r="N524" i="4"/>
  <c r="P524" i="4" s="1"/>
  <c r="M524" i="4"/>
  <c r="N523" i="4"/>
  <c r="P523" i="4" s="1"/>
  <c r="M523" i="4"/>
  <c r="N522" i="4"/>
  <c r="P522" i="4" s="1"/>
  <c r="M522" i="4"/>
  <c r="N521" i="4"/>
  <c r="P521" i="4" s="1"/>
  <c r="M521" i="4"/>
  <c r="N520" i="4"/>
  <c r="P520" i="4" s="1"/>
  <c r="M520" i="4"/>
  <c r="N519" i="4"/>
  <c r="P519" i="4" s="1"/>
  <c r="M519" i="4"/>
  <c r="N518" i="4"/>
  <c r="P518" i="4" s="1"/>
  <c r="M518" i="4"/>
  <c r="N517" i="4"/>
  <c r="P517" i="4" s="1"/>
  <c r="M517" i="4"/>
  <c r="N516" i="4"/>
  <c r="P516" i="4" s="1"/>
  <c r="M516" i="4"/>
  <c r="N515" i="4"/>
  <c r="P515" i="4" s="1"/>
  <c r="M515" i="4"/>
  <c r="N514" i="4"/>
  <c r="P514" i="4" s="1"/>
  <c r="M514" i="4"/>
  <c r="N513" i="4"/>
  <c r="P513" i="4" s="1"/>
  <c r="M513" i="4"/>
  <c r="N512" i="4"/>
  <c r="P512" i="4" s="1"/>
  <c r="M512" i="4"/>
  <c r="N511" i="4"/>
  <c r="P511" i="4" s="1"/>
  <c r="M511" i="4"/>
  <c r="N510" i="4"/>
  <c r="P510" i="4" s="1"/>
  <c r="M510" i="4"/>
  <c r="N509" i="4"/>
  <c r="P509" i="4" s="1"/>
  <c r="M509" i="4"/>
  <c r="N508" i="4"/>
  <c r="P508" i="4" s="1"/>
  <c r="M508" i="4"/>
  <c r="N507" i="4"/>
  <c r="P507" i="4" s="1"/>
  <c r="M507" i="4"/>
  <c r="N506" i="4"/>
  <c r="P506" i="4" s="1"/>
  <c r="M506" i="4"/>
  <c r="N505" i="4"/>
  <c r="P505" i="4" s="1"/>
  <c r="M505" i="4"/>
  <c r="N504" i="4"/>
  <c r="P504" i="4" s="1"/>
  <c r="M504" i="4"/>
  <c r="N503" i="4"/>
  <c r="P503" i="4" s="1"/>
  <c r="M503" i="4"/>
  <c r="N502" i="4"/>
  <c r="P502" i="4" s="1"/>
  <c r="M502" i="4"/>
  <c r="N501" i="4"/>
  <c r="P501" i="4" s="1"/>
  <c r="M501" i="4"/>
  <c r="N500" i="4"/>
  <c r="P500" i="4" s="1"/>
  <c r="M500" i="4"/>
  <c r="N499" i="4"/>
  <c r="P499" i="4" s="1"/>
  <c r="M499" i="4"/>
  <c r="N498" i="4"/>
  <c r="P498" i="4" s="1"/>
  <c r="M498" i="4"/>
  <c r="N497" i="4"/>
  <c r="P497" i="4" s="1"/>
  <c r="M497" i="4"/>
  <c r="N496" i="4"/>
  <c r="P496" i="4" s="1"/>
  <c r="M496" i="4"/>
  <c r="N495" i="4"/>
  <c r="P495" i="4" s="1"/>
  <c r="M495" i="4"/>
  <c r="N494" i="4"/>
  <c r="P494" i="4" s="1"/>
  <c r="M494" i="4"/>
  <c r="N493" i="4"/>
  <c r="P493" i="4" s="1"/>
  <c r="M493" i="4"/>
  <c r="N492" i="4"/>
  <c r="P492" i="4" s="1"/>
  <c r="M492" i="4"/>
  <c r="N491" i="4"/>
  <c r="P491" i="4" s="1"/>
  <c r="M491" i="4"/>
  <c r="N490" i="4"/>
  <c r="P490" i="4" s="1"/>
  <c r="M490" i="4"/>
  <c r="N489" i="4"/>
  <c r="P489" i="4" s="1"/>
  <c r="M489" i="4"/>
  <c r="N488" i="4"/>
  <c r="P488" i="4" s="1"/>
  <c r="M488" i="4"/>
  <c r="N487" i="4"/>
  <c r="P487" i="4" s="1"/>
  <c r="M487" i="4"/>
  <c r="N486" i="4"/>
  <c r="P486" i="4" s="1"/>
  <c r="M486" i="4"/>
  <c r="N485" i="4"/>
  <c r="P485" i="4" s="1"/>
  <c r="M485" i="4"/>
  <c r="N484" i="4"/>
  <c r="P484" i="4" s="1"/>
  <c r="M484" i="4"/>
  <c r="N483" i="4"/>
  <c r="P483" i="4" s="1"/>
  <c r="M483" i="4"/>
  <c r="N482" i="4"/>
  <c r="P482" i="4" s="1"/>
  <c r="M482" i="4"/>
  <c r="N481" i="4"/>
  <c r="P481" i="4" s="1"/>
  <c r="M481" i="4"/>
  <c r="N480" i="4"/>
  <c r="P480" i="4" s="1"/>
  <c r="M480" i="4"/>
  <c r="N479" i="4"/>
  <c r="P479" i="4" s="1"/>
  <c r="M479" i="4"/>
  <c r="N478" i="4"/>
  <c r="P478" i="4" s="1"/>
  <c r="M478" i="4"/>
  <c r="N477" i="4"/>
  <c r="P477" i="4" s="1"/>
  <c r="M477" i="4"/>
  <c r="N476" i="4"/>
  <c r="P476" i="4" s="1"/>
  <c r="M476" i="4"/>
  <c r="N475" i="4"/>
  <c r="P475" i="4" s="1"/>
  <c r="M475" i="4"/>
  <c r="N474" i="4"/>
  <c r="P474" i="4" s="1"/>
  <c r="M474" i="4"/>
  <c r="N473" i="4"/>
  <c r="P473" i="4" s="1"/>
  <c r="M473" i="4"/>
  <c r="N472" i="4"/>
  <c r="P472" i="4" s="1"/>
  <c r="M472" i="4"/>
  <c r="N471" i="4"/>
  <c r="P471" i="4" s="1"/>
  <c r="M471" i="4"/>
  <c r="N470" i="4"/>
  <c r="P470" i="4" s="1"/>
  <c r="M470" i="4"/>
  <c r="N469" i="4"/>
  <c r="P469" i="4" s="1"/>
  <c r="M469" i="4"/>
  <c r="N468" i="4"/>
  <c r="P468" i="4" s="1"/>
  <c r="M468" i="4"/>
  <c r="N467" i="4"/>
  <c r="P467" i="4" s="1"/>
  <c r="M467" i="4"/>
  <c r="N466" i="4"/>
  <c r="P466" i="4" s="1"/>
  <c r="M466" i="4"/>
  <c r="N465" i="4"/>
  <c r="P465" i="4" s="1"/>
  <c r="M465" i="4"/>
  <c r="N464" i="4"/>
  <c r="P464" i="4" s="1"/>
  <c r="M464" i="4"/>
  <c r="N463" i="4"/>
  <c r="P463" i="4" s="1"/>
  <c r="M463" i="4"/>
  <c r="N462" i="4"/>
  <c r="P462" i="4" s="1"/>
  <c r="M462" i="4"/>
  <c r="N461" i="4"/>
  <c r="P461" i="4" s="1"/>
  <c r="M461" i="4"/>
  <c r="N460" i="4"/>
  <c r="P460" i="4" s="1"/>
  <c r="M460" i="4"/>
  <c r="N459" i="4"/>
  <c r="P459" i="4" s="1"/>
  <c r="M459" i="4"/>
  <c r="N458" i="4"/>
  <c r="P458" i="4" s="1"/>
  <c r="M458" i="4"/>
  <c r="N457" i="4"/>
  <c r="P457" i="4" s="1"/>
  <c r="M457" i="4"/>
  <c r="N456" i="4"/>
  <c r="P456" i="4" s="1"/>
  <c r="M456" i="4"/>
  <c r="N455" i="4"/>
  <c r="P455" i="4" s="1"/>
  <c r="M455" i="4"/>
  <c r="N454" i="4"/>
  <c r="P454" i="4" s="1"/>
  <c r="M454" i="4"/>
  <c r="N453" i="4"/>
  <c r="P453" i="4" s="1"/>
  <c r="M453" i="4"/>
  <c r="N452" i="4"/>
  <c r="P452" i="4" s="1"/>
  <c r="M452" i="4"/>
  <c r="N451" i="4"/>
  <c r="P451" i="4" s="1"/>
  <c r="M451" i="4"/>
  <c r="N450" i="4"/>
  <c r="P450" i="4" s="1"/>
  <c r="M450" i="4"/>
  <c r="N449" i="4"/>
  <c r="P449" i="4" s="1"/>
  <c r="M449" i="4"/>
  <c r="N448" i="4"/>
  <c r="P448" i="4" s="1"/>
  <c r="M448" i="4"/>
  <c r="N447" i="4"/>
  <c r="P447" i="4" s="1"/>
  <c r="M447" i="4"/>
  <c r="N446" i="4"/>
  <c r="P446" i="4" s="1"/>
  <c r="M446" i="4"/>
  <c r="N445" i="4"/>
  <c r="P445" i="4" s="1"/>
  <c r="M445" i="4"/>
  <c r="N444" i="4"/>
  <c r="P444" i="4" s="1"/>
  <c r="M444" i="4"/>
  <c r="N443" i="4"/>
  <c r="P443" i="4" s="1"/>
  <c r="M443" i="4"/>
  <c r="N442" i="4"/>
  <c r="P442" i="4" s="1"/>
  <c r="M442" i="4"/>
  <c r="N441" i="4"/>
  <c r="P441" i="4" s="1"/>
  <c r="M441" i="4"/>
  <c r="N440" i="4"/>
  <c r="P440" i="4" s="1"/>
  <c r="M440" i="4"/>
  <c r="N439" i="4"/>
  <c r="P439" i="4" s="1"/>
  <c r="M439" i="4"/>
  <c r="N438" i="4"/>
  <c r="P438" i="4" s="1"/>
  <c r="M438" i="4"/>
  <c r="N437" i="4"/>
  <c r="P437" i="4" s="1"/>
  <c r="M437" i="4"/>
  <c r="N436" i="4"/>
  <c r="P436" i="4" s="1"/>
  <c r="M436" i="4"/>
  <c r="N435" i="4"/>
  <c r="P435" i="4" s="1"/>
  <c r="M435" i="4"/>
  <c r="N434" i="4"/>
  <c r="P434" i="4" s="1"/>
  <c r="M434" i="4"/>
  <c r="N433" i="4"/>
  <c r="P433" i="4" s="1"/>
  <c r="M433" i="4"/>
  <c r="N432" i="4"/>
  <c r="P432" i="4" s="1"/>
  <c r="M432" i="4"/>
  <c r="N431" i="4"/>
  <c r="P431" i="4" s="1"/>
  <c r="M431" i="4"/>
  <c r="N430" i="4"/>
  <c r="P430" i="4" s="1"/>
  <c r="M430" i="4"/>
  <c r="N429" i="4"/>
  <c r="P429" i="4" s="1"/>
  <c r="M429" i="4"/>
  <c r="N428" i="4"/>
  <c r="P428" i="4" s="1"/>
  <c r="M428" i="4"/>
  <c r="N427" i="4"/>
  <c r="P427" i="4" s="1"/>
  <c r="M427" i="4"/>
  <c r="N426" i="4"/>
  <c r="P426" i="4" s="1"/>
  <c r="M426" i="4"/>
  <c r="N425" i="4"/>
  <c r="P425" i="4" s="1"/>
  <c r="M425" i="4"/>
  <c r="N424" i="4"/>
  <c r="P424" i="4" s="1"/>
  <c r="M424" i="4"/>
  <c r="N423" i="4"/>
  <c r="P423" i="4" s="1"/>
  <c r="M423" i="4"/>
  <c r="N422" i="4"/>
  <c r="P422" i="4" s="1"/>
  <c r="M422" i="4"/>
  <c r="N421" i="4"/>
  <c r="P421" i="4" s="1"/>
  <c r="M421" i="4"/>
  <c r="N420" i="4"/>
  <c r="P420" i="4" s="1"/>
  <c r="M420" i="4"/>
  <c r="N419" i="4"/>
  <c r="P419" i="4" s="1"/>
  <c r="M419" i="4"/>
  <c r="N418" i="4"/>
  <c r="P418" i="4" s="1"/>
  <c r="M418" i="4"/>
  <c r="N417" i="4"/>
  <c r="P417" i="4" s="1"/>
  <c r="M417" i="4"/>
  <c r="N416" i="4"/>
  <c r="P416" i="4" s="1"/>
  <c r="M416" i="4"/>
  <c r="N415" i="4"/>
  <c r="P415" i="4" s="1"/>
  <c r="M415" i="4"/>
  <c r="N414" i="4"/>
  <c r="P414" i="4" s="1"/>
  <c r="M414" i="4"/>
  <c r="N413" i="4"/>
  <c r="P413" i="4" s="1"/>
  <c r="M413" i="4"/>
  <c r="N412" i="4"/>
  <c r="P412" i="4" s="1"/>
  <c r="M412" i="4"/>
  <c r="N411" i="4"/>
  <c r="P411" i="4" s="1"/>
  <c r="M411" i="4"/>
  <c r="N410" i="4"/>
  <c r="P410" i="4" s="1"/>
  <c r="M410" i="4"/>
  <c r="N409" i="4"/>
  <c r="P409" i="4" s="1"/>
  <c r="M409" i="4"/>
  <c r="N408" i="4"/>
  <c r="P408" i="4" s="1"/>
  <c r="M408" i="4"/>
  <c r="N407" i="4"/>
  <c r="P407" i="4" s="1"/>
  <c r="M407" i="4"/>
  <c r="N406" i="4"/>
  <c r="P406" i="4" s="1"/>
  <c r="M406" i="4"/>
  <c r="N405" i="4"/>
  <c r="P405" i="4" s="1"/>
  <c r="M405" i="4"/>
  <c r="N404" i="4"/>
  <c r="P404" i="4" s="1"/>
  <c r="M404" i="4"/>
  <c r="N403" i="4"/>
  <c r="P403" i="4" s="1"/>
  <c r="M403" i="4"/>
  <c r="N402" i="4"/>
  <c r="P402" i="4" s="1"/>
  <c r="M402" i="4"/>
  <c r="N401" i="4"/>
  <c r="P401" i="4" s="1"/>
  <c r="M401" i="4"/>
  <c r="N400" i="4"/>
  <c r="P400" i="4" s="1"/>
  <c r="M400" i="4"/>
  <c r="N399" i="4"/>
  <c r="P399" i="4" s="1"/>
  <c r="M399" i="4"/>
  <c r="N398" i="4"/>
  <c r="P398" i="4" s="1"/>
  <c r="M398" i="4"/>
  <c r="N397" i="4"/>
  <c r="P397" i="4" s="1"/>
  <c r="M397" i="4"/>
  <c r="N396" i="4"/>
  <c r="P396" i="4" s="1"/>
  <c r="M396" i="4"/>
  <c r="N395" i="4"/>
  <c r="P395" i="4" s="1"/>
  <c r="M395" i="4"/>
  <c r="N394" i="4"/>
  <c r="P394" i="4" s="1"/>
  <c r="M394" i="4"/>
  <c r="N393" i="4"/>
  <c r="P393" i="4" s="1"/>
  <c r="M393" i="4"/>
  <c r="N392" i="4"/>
  <c r="P392" i="4" s="1"/>
  <c r="M392" i="4"/>
  <c r="N391" i="4"/>
  <c r="P391" i="4" s="1"/>
  <c r="M391" i="4"/>
  <c r="N390" i="4"/>
  <c r="P390" i="4" s="1"/>
  <c r="M390" i="4"/>
  <c r="N389" i="4"/>
  <c r="P389" i="4" s="1"/>
  <c r="M389" i="4"/>
  <c r="N388" i="4"/>
  <c r="P388" i="4" s="1"/>
  <c r="M388" i="4"/>
  <c r="N387" i="4"/>
  <c r="P387" i="4" s="1"/>
  <c r="M387" i="4"/>
  <c r="N386" i="4"/>
  <c r="P386" i="4" s="1"/>
  <c r="M386" i="4"/>
  <c r="N385" i="4"/>
  <c r="P385" i="4" s="1"/>
  <c r="M385" i="4"/>
  <c r="N384" i="4"/>
  <c r="P384" i="4" s="1"/>
  <c r="M384" i="4"/>
  <c r="N383" i="4"/>
  <c r="P383" i="4" s="1"/>
  <c r="M383" i="4"/>
  <c r="N382" i="4"/>
  <c r="P382" i="4" s="1"/>
  <c r="M382" i="4"/>
  <c r="N381" i="4"/>
  <c r="P381" i="4" s="1"/>
  <c r="M381" i="4"/>
  <c r="N380" i="4"/>
  <c r="P380" i="4" s="1"/>
  <c r="M380" i="4"/>
  <c r="N379" i="4"/>
  <c r="P379" i="4" s="1"/>
  <c r="M379" i="4"/>
  <c r="N378" i="4"/>
  <c r="P378" i="4" s="1"/>
  <c r="M378" i="4"/>
  <c r="N377" i="4"/>
  <c r="P377" i="4" s="1"/>
  <c r="M377" i="4"/>
  <c r="N376" i="4"/>
  <c r="P376" i="4" s="1"/>
  <c r="M376" i="4"/>
  <c r="N375" i="4"/>
  <c r="P375" i="4" s="1"/>
  <c r="M375" i="4"/>
  <c r="N374" i="4"/>
  <c r="P374" i="4" s="1"/>
  <c r="M374" i="4"/>
  <c r="N373" i="4"/>
  <c r="P373" i="4" s="1"/>
  <c r="M373" i="4"/>
  <c r="N372" i="4"/>
  <c r="P372" i="4" s="1"/>
  <c r="M372" i="4"/>
  <c r="N371" i="4"/>
  <c r="P371" i="4" s="1"/>
  <c r="M371" i="4"/>
  <c r="N370" i="4"/>
  <c r="P370" i="4" s="1"/>
  <c r="M370" i="4"/>
  <c r="N369" i="4"/>
  <c r="P369" i="4" s="1"/>
  <c r="M369" i="4"/>
  <c r="P368" i="4"/>
  <c r="N368" i="4"/>
  <c r="M368" i="4"/>
  <c r="N367" i="4"/>
  <c r="P367" i="4" s="1"/>
  <c r="M367" i="4"/>
  <c r="N366" i="4"/>
  <c r="P366" i="4" s="1"/>
  <c r="M366" i="4"/>
  <c r="N365" i="4"/>
  <c r="P365" i="4" s="1"/>
  <c r="M365" i="4"/>
  <c r="N364" i="4"/>
  <c r="P364" i="4" s="1"/>
  <c r="M364" i="4"/>
  <c r="N363" i="4"/>
  <c r="P363" i="4" s="1"/>
  <c r="M363" i="4"/>
  <c r="N362" i="4"/>
  <c r="P362" i="4" s="1"/>
  <c r="M362" i="4"/>
  <c r="N361" i="4"/>
  <c r="P361" i="4" s="1"/>
  <c r="M361" i="4"/>
  <c r="N360" i="4"/>
  <c r="P360" i="4" s="1"/>
  <c r="M360" i="4"/>
  <c r="N359" i="4"/>
  <c r="P359" i="4" s="1"/>
  <c r="M359" i="4"/>
  <c r="N358" i="4"/>
  <c r="P358" i="4" s="1"/>
  <c r="M358" i="4"/>
  <c r="N357" i="4"/>
  <c r="P357" i="4" s="1"/>
  <c r="M357" i="4"/>
  <c r="N356" i="4"/>
  <c r="P356" i="4" s="1"/>
  <c r="M356" i="4"/>
  <c r="N355" i="4"/>
  <c r="P355" i="4" s="1"/>
  <c r="M355" i="4"/>
  <c r="N354" i="4"/>
  <c r="P354" i="4" s="1"/>
  <c r="M354" i="4"/>
  <c r="N353" i="4"/>
  <c r="P353" i="4" s="1"/>
  <c r="M353" i="4"/>
  <c r="N352" i="4"/>
  <c r="P352" i="4" s="1"/>
  <c r="M352" i="4"/>
  <c r="N351" i="4"/>
  <c r="P351" i="4" s="1"/>
  <c r="M351" i="4"/>
  <c r="N350" i="4"/>
  <c r="P350" i="4" s="1"/>
  <c r="M350" i="4"/>
  <c r="N349" i="4"/>
  <c r="P349" i="4" s="1"/>
  <c r="M349" i="4"/>
  <c r="N348" i="4"/>
  <c r="P348" i="4" s="1"/>
  <c r="M348" i="4"/>
  <c r="N347" i="4"/>
  <c r="P347" i="4" s="1"/>
  <c r="M347" i="4"/>
  <c r="N346" i="4"/>
  <c r="P346" i="4" s="1"/>
  <c r="M346" i="4"/>
  <c r="N345" i="4"/>
  <c r="P345" i="4" s="1"/>
  <c r="M345" i="4"/>
  <c r="N344" i="4"/>
  <c r="P344" i="4" s="1"/>
  <c r="M344" i="4"/>
  <c r="N343" i="4"/>
  <c r="P343" i="4" s="1"/>
  <c r="M343" i="4"/>
  <c r="N342" i="4"/>
  <c r="P342" i="4" s="1"/>
  <c r="M342" i="4"/>
  <c r="N341" i="4"/>
  <c r="P341" i="4" s="1"/>
  <c r="M341" i="4"/>
  <c r="N340" i="4"/>
  <c r="P340" i="4" s="1"/>
  <c r="M340" i="4"/>
  <c r="N339" i="4"/>
  <c r="P339" i="4" s="1"/>
  <c r="M339" i="4"/>
  <c r="N338" i="4"/>
  <c r="P338" i="4" s="1"/>
  <c r="M338" i="4"/>
  <c r="N337" i="4"/>
  <c r="P337" i="4" s="1"/>
  <c r="M337" i="4"/>
  <c r="N336" i="4"/>
  <c r="P336" i="4" s="1"/>
  <c r="M336" i="4"/>
  <c r="N335" i="4"/>
  <c r="P335" i="4" s="1"/>
  <c r="M335" i="4"/>
  <c r="N334" i="4"/>
  <c r="P334" i="4" s="1"/>
  <c r="M334" i="4"/>
  <c r="N333" i="4"/>
  <c r="P333" i="4" s="1"/>
  <c r="M333" i="4"/>
  <c r="N332" i="4"/>
  <c r="P332" i="4" s="1"/>
  <c r="M332" i="4"/>
  <c r="N331" i="4"/>
  <c r="P331" i="4" s="1"/>
  <c r="M331" i="4"/>
  <c r="N330" i="4"/>
  <c r="P330" i="4" s="1"/>
  <c r="M330" i="4"/>
  <c r="N329" i="4"/>
  <c r="P329" i="4" s="1"/>
  <c r="M329" i="4"/>
  <c r="N328" i="4"/>
  <c r="P328" i="4" s="1"/>
  <c r="M328" i="4"/>
  <c r="N327" i="4"/>
  <c r="P327" i="4" s="1"/>
  <c r="M327" i="4"/>
  <c r="N326" i="4"/>
  <c r="P326" i="4" s="1"/>
  <c r="M326" i="4"/>
  <c r="N325" i="4"/>
  <c r="P325" i="4" s="1"/>
  <c r="M325" i="4"/>
  <c r="N324" i="4"/>
  <c r="P324" i="4" s="1"/>
  <c r="M324" i="4"/>
  <c r="N323" i="4"/>
  <c r="P323" i="4" s="1"/>
  <c r="M323" i="4"/>
  <c r="N322" i="4"/>
  <c r="P322" i="4" s="1"/>
  <c r="M322" i="4"/>
  <c r="N321" i="4"/>
  <c r="P321" i="4" s="1"/>
  <c r="M321" i="4"/>
  <c r="N320" i="4"/>
  <c r="P320" i="4" s="1"/>
  <c r="M320" i="4"/>
  <c r="N319" i="4"/>
  <c r="P319" i="4" s="1"/>
  <c r="M319" i="4"/>
  <c r="N318" i="4"/>
  <c r="P318" i="4" s="1"/>
  <c r="M318" i="4"/>
  <c r="N317" i="4"/>
  <c r="P317" i="4" s="1"/>
  <c r="M317" i="4"/>
  <c r="N316" i="4"/>
  <c r="P316" i="4" s="1"/>
  <c r="M316" i="4"/>
  <c r="N315" i="4"/>
  <c r="P315" i="4" s="1"/>
  <c r="M315" i="4"/>
  <c r="N314" i="4"/>
  <c r="P314" i="4" s="1"/>
  <c r="M314" i="4"/>
  <c r="N313" i="4"/>
  <c r="P313" i="4" s="1"/>
  <c r="M313" i="4"/>
  <c r="N312" i="4"/>
  <c r="P312" i="4" s="1"/>
  <c r="M312" i="4"/>
  <c r="N311" i="4"/>
  <c r="P311" i="4" s="1"/>
  <c r="M311" i="4"/>
  <c r="N310" i="4"/>
  <c r="P310" i="4" s="1"/>
  <c r="M310" i="4"/>
  <c r="N309" i="4"/>
  <c r="P309" i="4" s="1"/>
  <c r="M309" i="4"/>
  <c r="N308" i="4"/>
  <c r="P308" i="4" s="1"/>
  <c r="M308" i="4"/>
  <c r="N307" i="4"/>
  <c r="P307" i="4" s="1"/>
  <c r="M307" i="4"/>
  <c r="N306" i="4"/>
  <c r="P306" i="4" s="1"/>
  <c r="M306" i="4"/>
  <c r="N305" i="4"/>
  <c r="P305" i="4" s="1"/>
  <c r="M305" i="4"/>
  <c r="N304" i="4"/>
  <c r="P304" i="4" s="1"/>
  <c r="M304" i="4"/>
  <c r="N303" i="4"/>
  <c r="P303" i="4" s="1"/>
  <c r="M303" i="4"/>
  <c r="N302" i="4"/>
  <c r="P302" i="4" s="1"/>
  <c r="M302" i="4"/>
  <c r="N301" i="4"/>
  <c r="P301" i="4" s="1"/>
  <c r="M301" i="4"/>
  <c r="N300" i="4"/>
  <c r="P300" i="4" s="1"/>
  <c r="M300" i="4"/>
  <c r="N299" i="4"/>
  <c r="P299" i="4" s="1"/>
  <c r="M299" i="4"/>
  <c r="N298" i="4"/>
  <c r="P298" i="4" s="1"/>
  <c r="M298" i="4"/>
  <c r="N297" i="4"/>
  <c r="P297" i="4" s="1"/>
  <c r="M297" i="4"/>
  <c r="N296" i="4"/>
  <c r="P296" i="4" s="1"/>
  <c r="M296" i="4"/>
  <c r="N295" i="4"/>
  <c r="P295" i="4" s="1"/>
  <c r="M295" i="4"/>
  <c r="N294" i="4"/>
  <c r="P294" i="4" s="1"/>
  <c r="M294" i="4"/>
  <c r="N293" i="4"/>
  <c r="P293" i="4" s="1"/>
  <c r="M293" i="4"/>
  <c r="N292" i="4"/>
  <c r="P292" i="4" s="1"/>
  <c r="M292" i="4"/>
  <c r="N291" i="4"/>
  <c r="P291" i="4" s="1"/>
  <c r="M291" i="4"/>
  <c r="N290" i="4"/>
  <c r="P290" i="4" s="1"/>
  <c r="M290" i="4"/>
  <c r="N289" i="4"/>
  <c r="P289" i="4" s="1"/>
  <c r="M289" i="4"/>
  <c r="N288" i="4"/>
  <c r="P288" i="4" s="1"/>
  <c r="M288" i="4"/>
  <c r="N287" i="4"/>
  <c r="P287" i="4" s="1"/>
  <c r="M287" i="4"/>
  <c r="N286" i="4"/>
  <c r="P286" i="4" s="1"/>
  <c r="M286" i="4"/>
  <c r="N285" i="4"/>
  <c r="P285" i="4" s="1"/>
  <c r="M285" i="4"/>
  <c r="N284" i="4"/>
  <c r="P284" i="4" s="1"/>
  <c r="M284" i="4"/>
  <c r="N283" i="4"/>
  <c r="P283" i="4" s="1"/>
  <c r="M283" i="4"/>
  <c r="N282" i="4"/>
  <c r="P282" i="4" s="1"/>
  <c r="M282" i="4"/>
  <c r="N281" i="4"/>
  <c r="P281" i="4" s="1"/>
  <c r="M281" i="4"/>
  <c r="N280" i="4"/>
  <c r="P280" i="4" s="1"/>
  <c r="M280" i="4"/>
  <c r="N279" i="4"/>
  <c r="P279" i="4" s="1"/>
  <c r="M279" i="4"/>
  <c r="N278" i="4"/>
  <c r="P278" i="4" s="1"/>
  <c r="M278" i="4"/>
  <c r="N277" i="4"/>
  <c r="P277" i="4" s="1"/>
  <c r="M277" i="4"/>
  <c r="N276" i="4"/>
  <c r="P276" i="4" s="1"/>
  <c r="M276" i="4"/>
  <c r="N275" i="4"/>
  <c r="P275" i="4" s="1"/>
  <c r="M275" i="4"/>
  <c r="N274" i="4"/>
  <c r="P274" i="4" s="1"/>
  <c r="M274" i="4"/>
  <c r="N273" i="4"/>
  <c r="P273" i="4" s="1"/>
  <c r="M273" i="4"/>
  <c r="N272" i="4"/>
  <c r="P272" i="4" s="1"/>
  <c r="M272" i="4"/>
  <c r="N271" i="4"/>
  <c r="P271" i="4" s="1"/>
  <c r="M271" i="4"/>
  <c r="N270" i="4"/>
  <c r="P270" i="4" s="1"/>
  <c r="M270" i="4"/>
  <c r="N269" i="4"/>
  <c r="P269" i="4" s="1"/>
  <c r="M269" i="4"/>
  <c r="N268" i="4"/>
  <c r="P268" i="4" s="1"/>
  <c r="M268" i="4"/>
  <c r="N267" i="4"/>
  <c r="P267" i="4" s="1"/>
  <c r="M267" i="4"/>
  <c r="N266" i="4"/>
  <c r="P266" i="4" s="1"/>
  <c r="M266" i="4"/>
  <c r="N265" i="4"/>
  <c r="P265" i="4" s="1"/>
  <c r="M265" i="4"/>
  <c r="N264" i="4"/>
  <c r="P264" i="4" s="1"/>
  <c r="M264" i="4"/>
  <c r="N263" i="4"/>
  <c r="P263" i="4" s="1"/>
  <c r="M263" i="4"/>
  <c r="N262" i="4"/>
  <c r="P262" i="4" s="1"/>
  <c r="M262" i="4"/>
  <c r="N261" i="4"/>
  <c r="P261" i="4" s="1"/>
  <c r="M261" i="4"/>
  <c r="N260" i="4"/>
  <c r="P260" i="4" s="1"/>
  <c r="M260" i="4"/>
  <c r="N259" i="4"/>
  <c r="P259" i="4" s="1"/>
  <c r="M259" i="4"/>
  <c r="N258" i="4"/>
  <c r="P258" i="4" s="1"/>
  <c r="M258" i="4"/>
  <c r="N257" i="4"/>
  <c r="P257" i="4" s="1"/>
  <c r="M257" i="4"/>
  <c r="N256" i="4"/>
  <c r="P256" i="4" s="1"/>
  <c r="M256" i="4"/>
  <c r="N255" i="4"/>
  <c r="P255" i="4" s="1"/>
  <c r="M255" i="4"/>
  <c r="N254" i="4"/>
  <c r="P254" i="4" s="1"/>
  <c r="M254" i="4"/>
  <c r="N253" i="4"/>
  <c r="P253" i="4" s="1"/>
  <c r="M253" i="4"/>
  <c r="N252" i="4"/>
  <c r="P252" i="4" s="1"/>
  <c r="M252" i="4"/>
  <c r="N251" i="4"/>
  <c r="P251" i="4" s="1"/>
  <c r="M251" i="4"/>
  <c r="N250" i="4"/>
  <c r="P250" i="4" s="1"/>
  <c r="M250" i="4"/>
  <c r="N249" i="4"/>
  <c r="P249" i="4" s="1"/>
  <c r="M249" i="4"/>
  <c r="N248" i="4"/>
  <c r="P248" i="4" s="1"/>
  <c r="M248" i="4"/>
  <c r="N247" i="4"/>
  <c r="P247" i="4" s="1"/>
  <c r="M247" i="4"/>
  <c r="N246" i="4"/>
  <c r="P246" i="4" s="1"/>
  <c r="M246" i="4"/>
  <c r="N245" i="4"/>
  <c r="P245" i="4" s="1"/>
  <c r="M245" i="4"/>
  <c r="N244" i="4"/>
  <c r="P244" i="4" s="1"/>
  <c r="M244" i="4"/>
  <c r="N243" i="4"/>
  <c r="P243" i="4" s="1"/>
  <c r="M243" i="4"/>
  <c r="N242" i="4"/>
  <c r="P242" i="4" s="1"/>
  <c r="M242" i="4"/>
  <c r="N241" i="4"/>
  <c r="P241" i="4" s="1"/>
  <c r="M241" i="4"/>
  <c r="N240" i="4"/>
  <c r="P240" i="4" s="1"/>
  <c r="M240" i="4"/>
  <c r="N239" i="4"/>
  <c r="P239" i="4" s="1"/>
  <c r="M239" i="4"/>
  <c r="N238" i="4"/>
  <c r="P238" i="4" s="1"/>
  <c r="M238" i="4"/>
  <c r="N237" i="4"/>
  <c r="P237" i="4" s="1"/>
  <c r="M237" i="4"/>
  <c r="N236" i="4"/>
  <c r="P236" i="4" s="1"/>
  <c r="M236" i="4"/>
  <c r="N235" i="4"/>
  <c r="P235" i="4" s="1"/>
  <c r="M235" i="4"/>
  <c r="N234" i="4"/>
  <c r="P234" i="4" s="1"/>
  <c r="M234" i="4"/>
  <c r="N233" i="4"/>
  <c r="P233" i="4" s="1"/>
  <c r="M233" i="4"/>
  <c r="N232" i="4"/>
  <c r="P232" i="4" s="1"/>
  <c r="M232" i="4"/>
  <c r="N231" i="4"/>
  <c r="P231" i="4" s="1"/>
  <c r="M231" i="4"/>
  <c r="N230" i="4"/>
  <c r="P230" i="4" s="1"/>
  <c r="M230" i="4"/>
  <c r="N229" i="4"/>
  <c r="P229" i="4" s="1"/>
  <c r="M229" i="4"/>
  <c r="N228" i="4"/>
  <c r="P228" i="4" s="1"/>
  <c r="M228" i="4"/>
  <c r="N227" i="4"/>
  <c r="P227" i="4" s="1"/>
  <c r="M227" i="4"/>
  <c r="N226" i="4"/>
  <c r="P226" i="4" s="1"/>
  <c r="M226" i="4"/>
  <c r="N225" i="4"/>
  <c r="P225" i="4" s="1"/>
  <c r="M225" i="4"/>
  <c r="N224" i="4"/>
  <c r="P224" i="4" s="1"/>
  <c r="M224" i="4"/>
  <c r="N223" i="4"/>
  <c r="P223" i="4" s="1"/>
  <c r="M223" i="4"/>
  <c r="N222" i="4"/>
  <c r="P222" i="4" s="1"/>
  <c r="M222" i="4"/>
  <c r="N221" i="4"/>
  <c r="P221" i="4" s="1"/>
  <c r="M221" i="4"/>
  <c r="N220" i="4"/>
  <c r="P220" i="4" s="1"/>
  <c r="M220" i="4"/>
  <c r="N219" i="4"/>
  <c r="P219" i="4" s="1"/>
  <c r="M219" i="4"/>
  <c r="N218" i="4"/>
  <c r="P218" i="4" s="1"/>
  <c r="M218" i="4"/>
  <c r="N217" i="4"/>
  <c r="P217" i="4" s="1"/>
  <c r="M217" i="4"/>
  <c r="N216" i="4"/>
  <c r="P216" i="4" s="1"/>
  <c r="M216" i="4"/>
  <c r="N215" i="4"/>
  <c r="P215" i="4" s="1"/>
  <c r="M215" i="4"/>
  <c r="N214" i="4"/>
  <c r="P214" i="4" s="1"/>
  <c r="M214" i="4"/>
  <c r="N213" i="4"/>
  <c r="P213" i="4" s="1"/>
  <c r="M213" i="4"/>
  <c r="N212" i="4"/>
  <c r="P212" i="4" s="1"/>
  <c r="M212" i="4"/>
  <c r="N211" i="4"/>
  <c r="P211" i="4" s="1"/>
  <c r="M211" i="4"/>
  <c r="N210" i="4"/>
  <c r="P210" i="4" s="1"/>
  <c r="M210" i="4"/>
  <c r="N209" i="4"/>
  <c r="P209" i="4" s="1"/>
  <c r="M209" i="4"/>
  <c r="N208" i="4"/>
  <c r="P208" i="4" s="1"/>
  <c r="M208" i="4"/>
  <c r="N207" i="4"/>
  <c r="P207" i="4" s="1"/>
  <c r="M207" i="4"/>
  <c r="N206" i="4"/>
  <c r="P206" i="4" s="1"/>
  <c r="M206" i="4"/>
  <c r="N205" i="4"/>
  <c r="P205" i="4" s="1"/>
  <c r="M205" i="4"/>
  <c r="N204" i="4"/>
  <c r="P204" i="4" s="1"/>
  <c r="M204" i="4"/>
  <c r="N203" i="4"/>
  <c r="P203" i="4" s="1"/>
  <c r="M203" i="4"/>
  <c r="N202" i="4"/>
  <c r="P202" i="4" s="1"/>
  <c r="M202" i="4"/>
  <c r="N201" i="4"/>
  <c r="P201" i="4" s="1"/>
  <c r="M201" i="4"/>
  <c r="N200" i="4"/>
  <c r="P200" i="4" s="1"/>
  <c r="M200" i="4"/>
  <c r="N199" i="4"/>
  <c r="P199" i="4" s="1"/>
  <c r="M199" i="4"/>
  <c r="N198" i="4"/>
  <c r="P198" i="4" s="1"/>
  <c r="M198" i="4"/>
  <c r="N197" i="4"/>
  <c r="P197" i="4" s="1"/>
  <c r="M197" i="4"/>
  <c r="N196" i="4"/>
  <c r="P196" i="4" s="1"/>
  <c r="M196" i="4"/>
  <c r="N195" i="4"/>
  <c r="P195" i="4" s="1"/>
  <c r="M195" i="4"/>
  <c r="N194" i="4"/>
  <c r="P194" i="4" s="1"/>
  <c r="M194" i="4"/>
  <c r="N193" i="4"/>
  <c r="P193" i="4" s="1"/>
  <c r="M193" i="4"/>
  <c r="N192" i="4"/>
  <c r="P192" i="4" s="1"/>
  <c r="M192" i="4"/>
  <c r="N191" i="4"/>
  <c r="P191" i="4" s="1"/>
  <c r="M191" i="4"/>
  <c r="N190" i="4"/>
  <c r="P190" i="4" s="1"/>
  <c r="M190" i="4"/>
  <c r="N189" i="4"/>
  <c r="P189" i="4" s="1"/>
  <c r="M189" i="4"/>
  <c r="N188" i="4"/>
  <c r="P188" i="4" s="1"/>
  <c r="M188" i="4"/>
  <c r="N187" i="4"/>
  <c r="P187" i="4" s="1"/>
  <c r="M187" i="4"/>
  <c r="N186" i="4"/>
  <c r="P186" i="4" s="1"/>
  <c r="M186" i="4"/>
  <c r="N185" i="4"/>
  <c r="P185" i="4" s="1"/>
  <c r="M185" i="4"/>
  <c r="N184" i="4"/>
  <c r="P184" i="4" s="1"/>
  <c r="M184" i="4"/>
  <c r="N183" i="4"/>
  <c r="P183" i="4" s="1"/>
  <c r="M183" i="4"/>
  <c r="N182" i="4"/>
  <c r="P182" i="4" s="1"/>
  <c r="M182" i="4"/>
  <c r="N181" i="4"/>
  <c r="P181" i="4" s="1"/>
  <c r="M181" i="4"/>
  <c r="N180" i="4"/>
  <c r="P180" i="4" s="1"/>
  <c r="M180" i="4"/>
  <c r="N179" i="4"/>
  <c r="P179" i="4" s="1"/>
  <c r="M179" i="4"/>
  <c r="N178" i="4"/>
  <c r="P178" i="4" s="1"/>
  <c r="M178" i="4"/>
  <c r="N177" i="4"/>
  <c r="P177" i="4" s="1"/>
  <c r="M177" i="4"/>
  <c r="N176" i="4"/>
  <c r="P176" i="4" s="1"/>
  <c r="M176" i="4"/>
  <c r="N175" i="4"/>
  <c r="P175" i="4" s="1"/>
  <c r="M175" i="4"/>
  <c r="N174" i="4"/>
  <c r="P174" i="4" s="1"/>
  <c r="M174" i="4"/>
  <c r="N173" i="4"/>
  <c r="P173" i="4" s="1"/>
  <c r="M173" i="4"/>
  <c r="N172" i="4"/>
  <c r="P172" i="4" s="1"/>
  <c r="M172" i="4"/>
  <c r="N171" i="4"/>
  <c r="P171" i="4" s="1"/>
  <c r="M171" i="4"/>
  <c r="N170" i="4"/>
  <c r="P170" i="4" s="1"/>
  <c r="M170" i="4"/>
  <c r="N169" i="4"/>
  <c r="P169" i="4" s="1"/>
  <c r="M169" i="4"/>
  <c r="N168" i="4"/>
  <c r="P168" i="4" s="1"/>
  <c r="M168" i="4"/>
  <c r="N167" i="4"/>
  <c r="P167" i="4" s="1"/>
  <c r="M167" i="4"/>
  <c r="N166" i="4"/>
  <c r="P166" i="4" s="1"/>
  <c r="M166" i="4"/>
  <c r="N165" i="4"/>
  <c r="P165" i="4" s="1"/>
  <c r="M165" i="4"/>
  <c r="N164" i="4"/>
  <c r="P164" i="4" s="1"/>
  <c r="M164" i="4"/>
  <c r="N163" i="4"/>
  <c r="P163" i="4" s="1"/>
  <c r="M163" i="4"/>
  <c r="N162" i="4"/>
  <c r="P162" i="4" s="1"/>
  <c r="M162" i="4"/>
  <c r="N161" i="4"/>
  <c r="P161" i="4" s="1"/>
  <c r="M161" i="4"/>
  <c r="N160" i="4"/>
  <c r="P160" i="4" s="1"/>
  <c r="M160" i="4"/>
  <c r="N159" i="4"/>
  <c r="P159" i="4" s="1"/>
  <c r="M159" i="4"/>
  <c r="N158" i="4"/>
  <c r="P158" i="4" s="1"/>
  <c r="M158" i="4"/>
  <c r="N157" i="4"/>
  <c r="P157" i="4" s="1"/>
  <c r="M157" i="4"/>
  <c r="N156" i="4"/>
  <c r="P156" i="4" s="1"/>
  <c r="M156" i="4"/>
  <c r="N155" i="4"/>
  <c r="P155" i="4" s="1"/>
  <c r="M155" i="4"/>
  <c r="N154" i="4"/>
  <c r="P154" i="4" s="1"/>
  <c r="M154" i="4"/>
  <c r="N153" i="4"/>
  <c r="P153" i="4" s="1"/>
  <c r="M153" i="4"/>
  <c r="N152" i="4"/>
  <c r="P152" i="4" s="1"/>
  <c r="M152" i="4"/>
  <c r="N151" i="4"/>
  <c r="P151" i="4" s="1"/>
  <c r="M151" i="4"/>
  <c r="N150" i="4"/>
  <c r="P150" i="4" s="1"/>
  <c r="M150" i="4"/>
  <c r="N149" i="4"/>
  <c r="P149" i="4" s="1"/>
  <c r="M149" i="4"/>
  <c r="N148" i="4"/>
  <c r="P148" i="4" s="1"/>
  <c r="M148" i="4"/>
  <c r="N147" i="4"/>
  <c r="P147" i="4" s="1"/>
  <c r="M147" i="4"/>
  <c r="N146" i="4"/>
  <c r="P146" i="4" s="1"/>
  <c r="M146" i="4"/>
  <c r="N145" i="4"/>
  <c r="P145" i="4" s="1"/>
  <c r="M145" i="4"/>
  <c r="N144" i="4"/>
  <c r="P144" i="4" s="1"/>
  <c r="M144" i="4"/>
  <c r="N143" i="4"/>
  <c r="P143" i="4" s="1"/>
  <c r="M143" i="4"/>
  <c r="N142" i="4"/>
  <c r="P142" i="4" s="1"/>
  <c r="M142" i="4"/>
  <c r="N141" i="4"/>
  <c r="P141" i="4" s="1"/>
  <c r="M141" i="4"/>
  <c r="N140" i="4"/>
  <c r="P140" i="4" s="1"/>
  <c r="M140" i="4"/>
  <c r="N139" i="4"/>
  <c r="P139" i="4" s="1"/>
  <c r="M139" i="4"/>
  <c r="N138" i="4"/>
  <c r="P138" i="4" s="1"/>
  <c r="M138" i="4"/>
  <c r="N137" i="4"/>
  <c r="P137" i="4" s="1"/>
  <c r="M137" i="4"/>
  <c r="N136" i="4"/>
  <c r="P136" i="4" s="1"/>
  <c r="M136" i="4"/>
  <c r="N135" i="4"/>
  <c r="P135" i="4" s="1"/>
  <c r="M135" i="4"/>
  <c r="N134" i="4"/>
  <c r="P134" i="4" s="1"/>
  <c r="M134" i="4"/>
  <c r="N133" i="4"/>
  <c r="P133" i="4" s="1"/>
  <c r="M133" i="4"/>
  <c r="N132" i="4"/>
  <c r="P132" i="4" s="1"/>
  <c r="M132" i="4"/>
  <c r="N131" i="4"/>
  <c r="P131" i="4" s="1"/>
  <c r="M131" i="4"/>
  <c r="N130" i="4"/>
  <c r="P130" i="4" s="1"/>
  <c r="M130" i="4"/>
  <c r="N129" i="4"/>
  <c r="P129" i="4" s="1"/>
  <c r="M129" i="4"/>
  <c r="N128" i="4"/>
  <c r="P128" i="4" s="1"/>
  <c r="M128" i="4"/>
  <c r="N127" i="4"/>
  <c r="P127" i="4" s="1"/>
  <c r="M127" i="4"/>
  <c r="N126" i="4"/>
  <c r="P126" i="4" s="1"/>
  <c r="M126" i="4"/>
  <c r="N125" i="4"/>
  <c r="P125" i="4" s="1"/>
  <c r="M125" i="4"/>
  <c r="N124" i="4"/>
  <c r="P124" i="4" s="1"/>
  <c r="M124" i="4"/>
  <c r="N123" i="4"/>
  <c r="P123" i="4" s="1"/>
  <c r="M123" i="4"/>
  <c r="N122" i="4"/>
  <c r="P122" i="4" s="1"/>
  <c r="M122" i="4"/>
  <c r="N121" i="4"/>
  <c r="P121" i="4" s="1"/>
  <c r="M121" i="4"/>
  <c r="N120" i="4"/>
  <c r="P120" i="4" s="1"/>
  <c r="M120" i="4"/>
  <c r="N119" i="4"/>
  <c r="P119" i="4" s="1"/>
  <c r="M119" i="4"/>
  <c r="N118" i="4"/>
  <c r="P118" i="4" s="1"/>
  <c r="M118" i="4"/>
  <c r="N117" i="4"/>
  <c r="P117" i="4" s="1"/>
  <c r="M117" i="4"/>
  <c r="N116" i="4"/>
  <c r="P116" i="4" s="1"/>
  <c r="M116" i="4"/>
  <c r="N115" i="4"/>
  <c r="P115" i="4" s="1"/>
  <c r="M115" i="4"/>
  <c r="N114" i="4"/>
  <c r="P114" i="4" s="1"/>
  <c r="M114" i="4"/>
  <c r="N113" i="4"/>
  <c r="P113" i="4" s="1"/>
  <c r="M113" i="4"/>
  <c r="N112" i="4"/>
  <c r="P112" i="4" s="1"/>
  <c r="M112" i="4"/>
  <c r="N111" i="4"/>
  <c r="P111" i="4" s="1"/>
  <c r="M111" i="4"/>
  <c r="N110" i="4"/>
  <c r="P110" i="4" s="1"/>
  <c r="M110" i="4"/>
  <c r="N109" i="4"/>
  <c r="P109" i="4" s="1"/>
  <c r="M109" i="4"/>
  <c r="N108" i="4"/>
  <c r="P108" i="4" s="1"/>
  <c r="M108" i="4"/>
  <c r="N107" i="4"/>
  <c r="P107" i="4" s="1"/>
  <c r="M107" i="4"/>
  <c r="N106" i="4"/>
  <c r="P106" i="4" s="1"/>
  <c r="M106" i="4"/>
  <c r="N105" i="4"/>
  <c r="P105" i="4" s="1"/>
  <c r="M105" i="4"/>
  <c r="N104" i="4"/>
  <c r="P104" i="4" s="1"/>
  <c r="M104" i="4"/>
  <c r="N103" i="4"/>
  <c r="P103" i="4" s="1"/>
  <c r="M103" i="4"/>
  <c r="N102" i="4"/>
  <c r="P102" i="4" s="1"/>
  <c r="M102" i="4"/>
  <c r="N101" i="4"/>
  <c r="P101" i="4" s="1"/>
  <c r="M101" i="4"/>
  <c r="N100" i="4"/>
  <c r="P100" i="4" s="1"/>
  <c r="M100" i="4"/>
  <c r="N99" i="4"/>
  <c r="P99" i="4" s="1"/>
  <c r="M99" i="4"/>
  <c r="N98" i="4"/>
  <c r="P98" i="4" s="1"/>
  <c r="M98" i="4"/>
  <c r="N97" i="4"/>
  <c r="P97" i="4" s="1"/>
  <c r="M97" i="4"/>
  <c r="N96" i="4"/>
  <c r="P96" i="4" s="1"/>
  <c r="M96" i="4"/>
  <c r="N95" i="4"/>
  <c r="P95" i="4" s="1"/>
  <c r="M95" i="4"/>
  <c r="N94" i="4"/>
  <c r="P94" i="4" s="1"/>
  <c r="M94" i="4"/>
  <c r="N93" i="4"/>
  <c r="P93" i="4" s="1"/>
  <c r="M93" i="4"/>
  <c r="N92" i="4"/>
  <c r="P92" i="4" s="1"/>
  <c r="M92" i="4"/>
  <c r="N91" i="4"/>
  <c r="P91" i="4" s="1"/>
  <c r="M91" i="4"/>
  <c r="N90" i="4"/>
  <c r="P90" i="4" s="1"/>
  <c r="M90" i="4"/>
  <c r="N89" i="4"/>
  <c r="P89" i="4" s="1"/>
  <c r="M89" i="4"/>
  <c r="N88" i="4"/>
  <c r="P88" i="4" s="1"/>
  <c r="M88" i="4"/>
  <c r="N87" i="4"/>
  <c r="P87" i="4" s="1"/>
  <c r="M87" i="4"/>
  <c r="N86" i="4"/>
  <c r="P86" i="4" s="1"/>
  <c r="M86" i="4"/>
  <c r="N85" i="4"/>
  <c r="P85" i="4" s="1"/>
  <c r="M85" i="4"/>
  <c r="N84" i="4"/>
  <c r="P84" i="4" s="1"/>
  <c r="M84" i="4"/>
  <c r="N83" i="4"/>
  <c r="P83" i="4" s="1"/>
  <c r="M83" i="4"/>
  <c r="N82" i="4"/>
  <c r="P82" i="4" s="1"/>
  <c r="M82" i="4"/>
  <c r="N81" i="4"/>
  <c r="P81" i="4" s="1"/>
  <c r="M81" i="4"/>
  <c r="N80" i="4"/>
  <c r="P80" i="4" s="1"/>
  <c r="M80" i="4"/>
  <c r="N79" i="4"/>
  <c r="P79" i="4" s="1"/>
  <c r="M79" i="4"/>
  <c r="N78" i="4"/>
  <c r="P78" i="4" s="1"/>
  <c r="M78" i="4"/>
  <c r="N77" i="4"/>
  <c r="P77" i="4" s="1"/>
  <c r="M77" i="4"/>
  <c r="N76" i="4"/>
  <c r="P76" i="4" s="1"/>
  <c r="M76" i="4"/>
  <c r="N75" i="4"/>
  <c r="P75" i="4" s="1"/>
  <c r="M75" i="4"/>
  <c r="N74" i="4"/>
  <c r="P74" i="4" s="1"/>
  <c r="M74" i="4"/>
  <c r="N73" i="4"/>
  <c r="P73" i="4" s="1"/>
  <c r="M73" i="4"/>
  <c r="N72" i="4"/>
  <c r="P72" i="4" s="1"/>
  <c r="M72" i="4"/>
  <c r="N71" i="4"/>
  <c r="P71" i="4" s="1"/>
  <c r="M71" i="4"/>
  <c r="N70" i="4"/>
  <c r="P70" i="4" s="1"/>
  <c r="M70" i="4"/>
  <c r="N69" i="4"/>
  <c r="P69" i="4" s="1"/>
  <c r="M69" i="4"/>
  <c r="N68" i="4"/>
  <c r="P68" i="4" s="1"/>
  <c r="M68" i="4"/>
  <c r="N67" i="4"/>
  <c r="P67" i="4" s="1"/>
  <c r="M67" i="4"/>
  <c r="N66" i="4"/>
  <c r="P66" i="4" s="1"/>
  <c r="M66" i="4"/>
  <c r="N65" i="4"/>
  <c r="P65" i="4" s="1"/>
  <c r="M65" i="4"/>
  <c r="N64" i="4"/>
  <c r="P64" i="4" s="1"/>
  <c r="M64" i="4"/>
  <c r="N63" i="4"/>
  <c r="P63" i="4" s="1"/>
  <c r="M63" i="4"/>
  <c r="N62" i="4"/>
  <c r="P62" i="4" s="1"/>
  <c r="M62" i="4"/>
  <c r="N61" i="4"/>
  <c r="P61" i="4" s="1"/>
  <c r="M61" i="4"/>
  <c r="N60" i="4"/>
  <c r="P60" i="4" s="1"/>
  <c r="M60" i="4"/>
  <c r="N59" i="4"/>
  <c r="P59" i="4" s="1"/>
  <c r="M59" i="4"/>
  <c r="N58" i="4"/>
  <c r="P58" i="4" s="1"/>
  <c r="M58" i="4"/>
  <c r="N57" i="4"/>
  <c r="P57" i="4" s="1"/>
  <c r="M57" i="4"/>
  <c r="N56" i="4"/>
  <c r="P56" i="4" s="1"/>
  <c r="M56" i="4"/>
  <c r="N55" i="4"/>
  <c r="P55" i="4" s="1"/>
  <c r="M55" i="4"/>
  <c r="N54" i="4"/>
  <c r="P54" i="4" s="1"/>
  <c r="M54" i="4"/>
  <c r="N53" i="4"/>
  <c r="P53" i="4" s="1"/>
  <c r="M53" i="4"/>
  <c r="N52" i="4"/>
  <c r="P52" i="4" s="1"/>
  <c r="M52" i="4"/>
  <c r="N51" i="4"/>
  <c r="P51" i="4" s="1"/>
  <c r="M51" i="4"/>
  <c r="N50" i="4"/>
  <c r="P50" i="4" s="1"/>
  <c r="M50" i="4"/>
  <c r="N49" i="4"/>
  <c r="P49" i="4" s="1"/>
  <c r="M49" i="4"/>
  <c r="N48" i="4"/>
  <c r="P48" i="4" s="1"/>
  <c r="M48" i="4"/>
  <c r="N47" i="4"/>
  <c r="P47" i="4" s="1"/>
  <c r="M47" i="4"/>
  <c r="N46" i="4"/>
  <c r="P46" i="4" s="1"/>
  <c r="M46" i="4"/>
  <c r="N45" i="4"/>
  <c r="P45" i="4" s="1"/>
  <c r="M45" i="4"/>
  <c r="N44" i="4"/>
  <c r="P44" i="4" s="1"/>
  <c r="M44" i="4"/>
  <c r="N43" i="4"/>
  <c r="P43" i="4" s="1"/>
  <c r="M43" i="4"/>
  <c r="N42" i="4"/>
  <c r="P42" i="4" s="1"/>
  <c r="M42" i="4"/>
  <c r="N41" i="4"/>
  <c r="P41" i="4" s="1"/>
  <c r="M41" i="4"/>
  <c r="N40" i="4"/>
  <c r="P40" i="4" s="1"/>
  <c r="M40" i="4"/>
  <c r="N39" i="4"/>
  <c r="P39" i="4" s="1"/>
  <c r="M39" i="4"/>
  <c r="N38" i="4"/>
  <c r="P38" i="4" s="1"/>
  <c r="M38" i="4"/>
  <c r="N37" i="4"/>
  <c r="P37" i="4" s="1"/>
  <c r="M37" i="4"/>
  <c r="N36" i="4"/>
  <c r="P36" i="4" s="1"/>
  <c r="M36" i="4"/>
  <c r="N35" i="4"/>
  <c r="P35" i="4" s="1"/>
  <c r="M35" i="4"/>
  <c r="N34" i="4"/>
  <c r="P34" i="4" s="1"/>
  <c r="M34" i="4"/>
  <c r="N33" i="4"/>
  <c r="P33" i="4" s="1"/>
  <c r="M33" i="4"/>
  <c r="N32" i="4"/>
  <c r="P32" i="4" s="1"/>
  <c r="M32" i="4"/>
  <c r="N31" i="4"/>
  <c r="P31" i="4" s="1"/>
  <c r="M31" i="4"/>
  <c r="N30" i="4"/>
  <c r="P30" i="4" s="1"/>
  <c r="M30" i="4"/>
  <c r="N29" i="4"/>
  <c r="P29" i="4" s="1"/>
  <c r="M29" i="4"/>
  <c r="N28" i="4"/>
  <c r="P28" i="4" s="1"/>
  <c r="M28" i="4"/>
  <c r="N27" i="4"/>
  <c r="P27" i="4" s="1"/>
  <c r="M27" i="4"/>
  <c r="N26" i="4"/>
  <c r="P26" i="4" s="1"/>
  <c r="M26" i="4"/>
  <c r="N25" i="4"/>
  <c r="P25" i="4" s="1"/>
  <c r="M25" i="4"/>
  <c r="N24" i="4"/>
  <c r="P24" i="4" s="1"/>
  <c r="M24" i="4"/>
  <c r="N23" i="4"/>
  <c r="P23" i="4" s="1"/>
  <c r="M23" i="4"/>
  <c r="N22" i="4"/>
  <c r="P22" i="4" s="1"/>
  <c r="M22" i="4"/>
  <c r="N21" i="4"/>
  <c r="P21" i="4" s="1"/>
  <c r="M21" i="4"/>
  <c r="N20" i="4"/>
  <c r="P20" i="4" s="1"/>
  <c r="M20" i="4"/>
  <c r="N19" i="4"/>
  <c r="P19" i="4" s="1"/>
  <c r="M19" i="4"/>
  <c r="N18" i="4"/>
  <c r="P18" i="4" s="1"/>
  <c r="M18" i="4"/>
  <c r="N17" i="4"/>
  <c r="P17" i="4" s="1"/>
  <c r="N16" i="4"/>
  <c r="P16" i="4" s="1"/>
  <c r="M16" i="4"/>
  <c r="N15" i="4"/>
  <c r="P15" i="4" s="1"/>
  <c r="N14" i="4"/>
  <c r="N13" i="4"/>
  <c r="P13" i="4" s="1"/>
  <c r="M13" i="4"/>
  <c r="N12" i="4"/>
  <c r="P12" i="4" s="1"/>
  <c r="M12" i="4"/>
  <c r="N11" i="4"/>
  <c r="M11" i="4"/>
  <c r="N10" i="4"/>
  <c r="P10" i="4" s="1"/>
  <c r="M10" i="4"/>
  <c r="N9" i="4"/>
  <c r="M9" i="4"/>
  <c r="N8" i="4"/>
  <c r="P8" i="4" s="1"/>
  <c r="M8" i="4"/>
  <c r="K5" i="4"/>
  <c r="H5" i="4"/>
  <c r="E5" i="4"/>
  <c r="B5" i="4"/>
  <c r="E23" i="2"/>
  <c r="D23" i="2"/>
  <c r="C23" i="2"/>
  <c r="E22" i="2"/>
  <c r="D22" i="2"/>
  <c r="C22" i="2"/>
  <c r="E21" i="2"/>
  <c r="D21" i="2"/>
  <c r="C21" i="2"/>
  <c r="E20" i="2"/>
  <c r="D20" i="2"/>
  <c r="C20" i="2"/>
  <c r="D17" i="2"/>
  <c r="C17" i="2"/>
  <c r="D16" i="2"/>
  <c r="C16" i="2"/>
  <c r="D15" i="2"/>
  <c r="C15" i="2"/>
  <c r="D14" i="2"/>
  <c r="C14" i="2"/>
  <c r="D13" i="2"/>
  <c r="C13" i="2"/>
  <c r="K9" i="2"/>
  <c r="C12" i="6" s="1"/>
  <c r="B9" i="2"/>
  <c r="C9" i="6" s="1"/>
  <c r="K5" i="2"/>
  <c r="C8" i="6" s="1"/>
  <c r="H5" i="2"/>
  <c r="C7" i="6" s="1"/>
  <c r="E5" i="2"/>
  <c r="C6" i="6" s="1"/>
  <c r="B5" i="2"/>
  <c r="C5" i="6" s="1"/>
  <c r="P11" i="4" l="1"/>
  <c r="P14" i="4"/>
  <c r="P9" i="4"/>
  <c r="G5" i="5"/>
  <c r="M11" i="5"/>
  <c r="N11" i="5" s="1"/>
  <c r="M14" i="5"/>
  <c r="M12" i="5"/>
  <c r="N12" i="5" s="1"/>
  <c r="M17" i="4" s="1"/>
  <c r="F38" i="2" l="1"/>
  <c r="H27" i="2"/>
  <c r="G29" i="2"/>
  <c r="G37" i="2"/>
  <c r="E27" i="2"/>
  <c r="E35" i="2"/>
  <c r="B31" i="2"/>
  <c r="H30" i="2"/>
  <c r="G31" i="2"/>
  <c r="H28" i="2"/>
  <c r="E29" i="2"/>
  <c r="E37" i="2"/>
  <c r="B33" i="2"/>
  <c r="D34" i="2"/>
  <c r="G33" i="2"/>
  <c r="H33" i="2"/>
  <c r="E31" i="2"/>
  <c r="B27" i="2"/>
  <c r="B35" i="2"/>
  <c r="G27" i="2"/>
  <c r="G35" i="2"/>
  <c r="D37" i="2"/>
  <c r="E33" i="2"/>
  <c r="B29" i="2"/>
  <c r="B37" i="2"/>
  <c r="N5" i="4"/>
  <c r="G17" i="2"/>
  <c r="G14" i="2"/>
  <c r="G13" i="2"/>
  <c r="M14" i="4"/>
  <c r="H17" i="2"/>
  <c r="H16" i="2"/>
  <c r="H15" i="2"/>
  <c r="H14" i="2"/>
  <c r="H13" i="2"/>
  <c r="G16" i="2"/>
  <c r="E9" i="2"/>
  <c r="C10" i="6" s="1"/>
  <c r="G15" i="2"/>
  <c r="H9" i="2"/>
  <c r="C11" i="6" s="1"/>
  <c r="J5" i="5"/>
  <c r="D28" i="2"/>
  <c r="H31" i="2"/>
  <c r="D35" i="2"/>
  <c r="C28" i="2"/>
  <c r="C30" i="2"/>
  <c r="C32" i="2"/>
  <c r="C34" i="2"/>
  <c r="C36" i="2"/>
  <c r="C38" i="2"/>
  <c r="D30" i="2"/>
  <c r="H34" i="2"/>
  <c r="H37" i="2"/>
  <c r="I27" i="2"/>
  <c r="I29" i="2"/>
  <c r="I31" i="2"/>
  <c r="I33" i="2"/>
  <c r="I35" i="2"/>
  <c r="I37" i="2"/>
  <c r="F27" i="2"/>
  <c r="F29" i="2"/>
  <c r="F31" i="2"/>
  <c r="F33" i="2"/>
  <c r="F35" i="2"/>
  <c r="F37" i="2"/>
  <c r="D29" i="2"/>
  <c r="D32" i="2"/>
  <c r="H36" i="2"/>
  <c r="G28" i="2"/>
  <c r="G30" i="2"/>
  <c r="G32" i="2"/>
  <c r="G34" i="2"/>
  <c r="G36" i="2"/>
  <c r="G38" i="2"/>
  <c r="D31" i="2"/>
  <c r="H35" i="2"/>
  <c r="D38" i="2"/>
  <c r="E28" i="2"/>
  <c r="E30" i="2"/>
  <c r="E32" i="2"/>
  <c r="E34" i="2"/>
  <c r="E36" i="2"/>
  <c r="E38" i="2"/>
  <c r="B28" i="2"/>
  <c r="B30" i="2"/>
  <c r="B32" i="2"/>
  <c r="B34" i="2"/>
  <c r="B36" i="2"/>
  <c r="B38" i="2"/>
  <c r="H29" i="2"/>
  <c r="D33" i="2"/>
  <c r="C27" i="2"/>
  <c r="C29" i="2"/>
  <c r="C31" i="2"/>
  <c r="C33" i="2"/>
  <c r="C35" i="2"/>
  <c r="C37" i="2"/>
  <c r="D27" i="2"/>
  <c r="H32" i="2"/>
  <c r="D36" i="2"/>
  <c r="H38" i="2"/>
  <c r="I28" i="2"/>
  <c r="I30" i="2"/>
  <c r="I32" i="2"/>
  <c r="I34" i="2"/>
  <c r="I36" i="2"/>
  <c r="I38" i="2"/>
  <c r="F28" i="2"/>
  <c r="F30" i="2"/>
  <c r="F32" i="2"/>
  <c r="F34" i="2"/>
  <c r="F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7" authorId="0" shapeId="0" xr:uid="{00000000-0006-0000-0300-000001000000}">
      <text>
        <r>
          <rPr>
            <sz val="10"/>
            <rFont val="Arial"/>
            <family val="2"/>
          </rPr>
          <t>Campo automático: se actualiza según las facturas registradas en la hoja Cobranza.</t>
        </r>
      </text>
    </comment>
  </commentList>
</comments>
</file>

<file path=xl/sharedStrings.xml><?xml version="1.0" encoding="utf-8"?>
<sst xmlns="http://schemas.openxmlformats.org/spreadsheetml/2006/main" count="271" uniqueCount="169">
  <si>
    <t>CRM CLIENTES, VENTAS Y COBRANZA PARA PYMES</t>
  </si>
  <si>
    <t>Gestiona clientes, oportunidades, próximas acciones, ventas cerradas y cobranzas pendientes.</t>
  </si>
  <si>
    <t>Promesa de la plantilla</t>
  </si>
  <si>
    <t>Organiza tus clientes, controla oportunidades de venta y revisa automáticamente qué ventas están cerradas, pendientes de cobro o vencidas.</t>
  </si>
  <si>
    <t>Paso</t>
  </si>
  <si>
    <t>Hoja</t>
  </si>
  <si>
    <t>Qué hace</t>
  </si>
  <si>
    <t>Idea clave</t>
  </si>
  <si>
    <t>1</t>
  </si>
  <si>
    <t>CRM</t>
  </si>
  <si>
    <t>Registra clientes, estado de venta, próxima acción, valor del servicio y responsable.</t>
  </si>
  <si>
    <t>Solo rellena CRM y Cobranza. El Dashboard y Reporte se actualizan automáticamente con fórmulas.</t>
  </si>
  <si>
    <t>2</t>
  </si>
  <si>
    <t>Cobranza</t>
  </si>
  <si>
    <t>Registra facturas, montos, pagos, vencimientos y saldo pendiente.</t>
  </si>
  <si>
    <t>3</t>
  </si>
  <si>
    <t>Parametros</t>
  </si>
  <si>
    <t>Edita estados, acciones, responsables, canales y condiciones de pago.</t>
  </si>
  <si>
    <t>4</t>
  </si>
  <si>
    <t>Dashboard</t>
  </si>
  <si>
    <t>Visualiza oportunidades, ventas cerradas, cobranza pendiente y vencida.</t>
  </si>
  <si>
    <t>5</t>
  </si>
  <si>
    <t>Reporte</t>
  </si>
  <si>
    <t>Revisa un resumen limpio para análisis mensual o comercial.</t>
  </si>
  <si>
    <t>DASHBOARD CRM, VENTAS Y COBRANZA</t>
  </si>
  <si>
    <t>Visualiza oportunidades, ventas cerradas, responsables, cobranza pendiente y cuentas vencidas.</t>
  </si>
  <si>
    <t>Clientes</t>
  </si>
  <si>
    <t>Valor total ventas</t>
  </si>
  <si>
    <t>En negociación</t>
  </si>
  <si>
    <t>Ventas cerradas</t>
  </si>
  <si>
    <t>Cobranza pendiente</t>
  </si>
  <si>
    <t>Monto vencido</t>
  </si>
  <si>
    <t>Cuentas vencidas</t>
  </si>
  <si>
    <t>Tasa cierre</t>
  </si>
  <si>
    <t>Estado venta</t>
  </si>
  <si>
    <t>Valor</t>
  </si>
  <si>
    <t>Estado cobranza</t>
  </si>
  <si>
    <t>Facturas</t>
  </si>
  <si>
    <t>Saldo</t>
  </si>
  <si>
    <t>Prospecto</t>
  </si>
  <si>
    <t>Pendiente</t>
  </si>
  <si>
    <t>Parcial</t>
  </si>
  <si>
    <t>Cerrada</t>
  </si>
  <si>
    <t>Pagada</t>
  </si>
  <si>
    <t>Perdida</t>
  </si>
  <si>
    <t>Vencida</t>
  </si>
  <si>
    <t>Pausada</t>
  </si>
  <si>
    <t>Incobrable</t>
  </si>
  <si>
    <t>Responsable</t>
  </si>
  <si>
    <t>Cerradas</t>
  </si>
  <si>
    <t>Kevin Ramírez</t>
  </si>
  <si>
    <t>José González</t>
  </si>
  <si>
    <t>Ana López</t>
  </si>
  <si>
    <t>María Fernández</t>
  </si>
  <si>
    <t>SEGUIMIENTO URGENTE</t>
  </si>
  <si>
    <t>ID</t>
  </si>
  <si>
    <t>Cliente</t>
  </si>
  <si>
    <t>Estado</t>
  </si>
  <si>
    <t>Próxima acción</t>
  </si>
  <si>
    <t>Días sin actualizar</t>
  </si>
  <si>
    <t>Nota</t>
  </si>
  <si>
    <t>PARÁMETROS</t>
  </si>
  <si>
    <t>Listas editables para estados, próximas acciones, responsables, canales y cobranza.</t>
  </si>
  <si>
    <t>Estado de venta</t>
  </si>
  <si>
    <t>Llamar para presentación</t>
  </si>
  <si>
    <t>Enviar propuesta</t>
  </si>
  <si>
    <t>Llamar para seguimiento</t>
  </si>
  <si>
    <t>Reunión de cierre</t>
  </si>
  <si>
    <t>Enviar contrato</t>
  </si>
  <si>
    <t>Enviar encuesta de satisfacción</t>
  </si>
  <si>
    <t>Reactivar cliente</t>
  </si>
  <si>
    <t>Sin acción</t>
  </si>
  <si>
    <t>Canal</t>
  </si>
  <si>
    <t>Condición de pago</t>
  </si>
  <si>
    <t>Instagram</t>
  </si>
  <si>
    <t>Contado</t>
  </si>
  <si>
    <t>WhatsApp</t>
  </si>
  <si>
    <t>7 días</t>
  </si>
  <si>
    <t>Referido</t>
  </si>
  <si>
    <t>15 días</t>
  </si>
  <si>
    <t>Página web</t>
  </si>
  <si>
    <t>30 días</t>
  </si>
  <si>
    <t>Tienda física</t>
  </si>
  <si>
    <t>45 días</t>
  </si>
  <si>
    <t>Email</t>
  </si>
  <si>
    <t>60 días</t>
  </si>
  <si>
    <t>Otro</t>
  </si>
  <si>
    <t>GESTIÓN DE CLIENTES Y VENTAS</t>
  </si>
  <si>
    <t>Registra clientes, oportunidades, acciones comerciales y responsables.</t>
  </si>
  <si>
    <t>Clientes registrados</t>
  </si>
  <si>
    <t>Nombre del cliente</t>
  </si>
  <si>
    <t>Correo electrónico</t>
  </si>
  <si>
    <t>Teléfono</t>
  </si>
  <si>
    <t>Fecha primer contacto</t>
  </si>
  <si>
    <t>Última actualización</t>
  </si>
  <si>
    <t>Valor del servicio</t>
  </si>
  <si>
    <t>Orden urgente</t>
  </si>
  <si>
    <t>Juan Pérez</t>
  </si>
  <si>
    <t>juanp@ejemplo.com</t>
  </si>
  <si>
    <t>321-1234567</t>
  </si>
  <si>
    <t>Cliente nuevo</t>
  </si>
  <si>
    <t>Andrea Morales</t>
  </si>
  <si>
    <t>andream@ejemplo.com</t>
  </si>
  <si>
    <t>312-7654321</t>
  </si>
  <si>
    <t>Seguimiento activo</t>
  </si>
  <si>
    <t>Carlos García</t>
  </si>
  <si>
    <t>carlosg@ejemplo.com</t>
  </si>
  <si>
    <t>314-1239874</t>
  </si>
  <si>
    <t>Venta cerrada</t>
  </si>
  <si>
    <t>Lucía Méndez</t>
  </si>
  <si>
    <t>luciam@ejemplo.com</t>
  </si>
  <si>
    <t>315-2223344</t>
  </si>
  <si>
    <t>Propuesta enviada</t>
  </si>
  <si>
    <t>Pedro Sánchez</t>
  </si>
  <si>
    <t>pedros@ejemplo.com</t>
  </si>
  <si>
    <t>316-5556677</t>
  </si>
  <si>
    <t>Interesado</t>
  </si>
  <si>
    <t>Laura Díaz</t>
  </si>
  <si>
    <t>laurad@ejemplo.com</t>
  </si>
  <si>
    <t>317-8889900</t>
  </si>
  <si>
    <t>No avanzó</t>
  </si>
  <si>
    <t>Diego Ramírez</t>
  </si>
  <si>
    <t>diegor@ejemplo.com</t>
  </si>
  <si>
    <t>318-1112233</t>
  </si>
  <si>
    <t>Contrato en revisión</t>
  </si>
  <si>
    <t>Sofía Castro</t>
  </si>
  <si>
    <t>sofiac@ejemplo.com</t>
  </si>
  <si>
    <t>319-4445566</t>
  </si>
  <si>
    <t>Cliente recurrente</t>
  </si>
  <si>
    <t>Miguel Ruiz</t>
  </si>
  <si>
    <t>miguelr@ejemplo.com</t>
  </si>
  <si>
    <t>320-7778899</t>
  </si>
  <si>
    <t>En pausa</t>
  </si>
  <si>
    <t>Valentina Gómez</t>
  </si>
  <si>
    <t>valentinag@ejemplo.com</t>
  </si>
  <si>
    <t>321-3334455</t>
  </si>
  <si>
    <t>Reunión agendada</t>
  </si>
  <si>
    <t>COBRANZA Y CUENTAS POR COBRAR</t>
  </si>
  <si>
    <t>Registra facturas, vencimientos, pagos, saldo pendiente y estado automático de cobranza.</t>
  </si>
  <si>
    <t>Facturado total</t>
  </si>
  <si>
    <t>Cobrado total</t>
  </si>
  <si>
    <t>Saldo pendiente</t>
  </si>
  <si>
    <t>N° factura</t>
  </si>
  <si>
    <t>Fecha emisión</t>
  </si>
  <si>
    <t>ID cliente</t>
  </si>
  <si>
    <t>Condición pago</t>
  </si>
  <si>
    <t>Fecha vencimiento</t>
  </si>
  <si>
    <t>Monto factura</t>
  </si>
  <si>
    <t>Fecha pago 1</t>
  </si>
  <si>
    <t>Monto pago 1</t>
  </si>
  <si>
    <t>Fecha pago 2</t>
  </si>
  <si>
    <t>Monto pago 2</t>
  </si>
  <si>
    <t>Días vencido</t>
  </si>
  <si>
    <t>F-001</t>
  </si>
  <si>
    <t>F-002</t>
  </si>
  <si>
    <t>Por cobrar</t>
  </si>
  <si>
    <t>F-003</t>
  </si>
  <si>
    <t>Abono recibido</t>
  </si>
  <si>
    <t>F-004</t>
  </si>
  <si>
    <t>Reciente</t>
  </si>
  <si>
    <t>F-005</t>
  </si>
  <si>
    <t>F-006</t>
  </si>
  <si>
    <t>REPORTE COMERCIAL Y COBRANZA</t>
  </si>
  <si>
    <t>Resumen ejecutivo para revisión mensual de clientes, ventas y cuentas por cobrar.</t>
  </si>
  <si>
    <t>Indicador</t>
  </si>
  <si>
    <t>Resultado</t>
  </si>
  <si>
    <t>Lectura rápida</t>
  </si>
  <si>
    <t>Este reporte permite revisar si la PYME está generando oportunidades, cerrando ventas y cobrando a tiempo. Revisar especialmente las cuentas vencidas y los clientes con más días sin actualización.</t>
  </si>
  <si>
    <t>Tasa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</si>
</sst>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\$#,##0;[Red]&quot;($&quot;#,##0\);\-"/>
    <numFmt numFmtId="166" formatCode="0.0%;[Red]\(0.0%\);\-"/>
    <numFmt numFmtId="167" formatCode="\$#,##0;[Red]&quot;-$&quot;#,##0;\-"/>
    <numFmt numFmtId="168" formatCode="dd\-mm\-yyyy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Segoe UI"/>
      <family val="2"/>
    </font>
    <font>
      <sz val="10"/>
      <color rgb="FFFFFFFF"/>
      <name val="Segoe UI"/>
      <family val="2"/>
    </font>
    <font>
      <b/>
      <sz val="15"/>
      <color rgb="FF161524"/>
      <name val="Segoe UI"/>
      <family val="2"/>
    </font>
    <font>
      <b/>
      <sz val="12"/>
      <color rgb="FF161524"/>
      <name val="Segoe UI"/>
      <family val="2"/>
    </font>
    <font>
      <b/>
      <sz val="10"/>
      <color rgb="FFFFFFFF"/>
      <name val="Segoe UI"/>
      <family val="2"/>
    </font>
    <font>
      <b/>
      <sz val="10"/>
      <color rgb="FF161524"/>
      <name val="Segoe UI"/>
      <family val="2"/>
    </font>
    <font>
      <sz val="10"/>
      <color rgb="FF161524"/>
      <name val="Segoe UI"/>
      <family val="2"/>
    </font>
    <font>
      <sz val="10"/>
      <name val="Arial"/>
      <family val="2"/>
    </font>
    <font>
      <sz val="11"/>
      <color rgb="FF161524"/>
      <name val="Segoe UI"/>
      <family val="2"/>
    </font>
    <font>
      <sz val="10"/>
      <name val="Segoe UI"/>
      <family val="2"/>
    </font>
    <font>
      <sz val="1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3F6F91"/>
        <bgColor rgb="FF4F81BD"/>
      </patternFill>
    </fill>
    <fill>
      <patternFill patternType="solid">
        <fgColor rgb="FF000000"/>
        <bgColor rgb="FF161524"/>
      </patternFill>
    </fill>
    <fill>
      <patternFill patternType="solid">
        <fgColor rgb="FF8B3333"/>
        <bgColor rgb="FFC0504D"/>
      </patternFill>
    </fill>
    <fill>
      <patternFill patternType="solid">
        <fgColor rgb="FFD4AF37"/>
        <bgColor rgb="FF9BBB59"/>
      </patternFill>
    </fill>
    <fill>
      <patternFill patternType="solid">
        <fgColor rgb="FFFFFEF9"/>
        <bgColor rgb="FFFFFFFF"/>
      </patternFill>
    </fill>
    <fill>
      <patternFill patternType="solid">
        <fgColor rgb="FF244765"/>
        <bgColor rgb="FF1F4E79"/>
      </patternFill>
    </fill>
    <fill>
      <patternFill patternType="solid">
        <fgColor rgb="FFB00002"/>
        <bgColor rgb="FF161524"/>
      </patternFill>
    </fill>
    <fill>
      <patternFill patternType="solid">
        <fgColor theme="1"/>
        <bgColor rgb="FF161524"/>
      </patternFill>
    </fill>
    <fill>
      <patternFill patternType="solid">
        <fgColor rgb="FFFFF6D8"/>
        <bgColor rgb="FF1F4E79"/>
      </patternFill>
    </fill>
    <fill>
      <patternFill patternType="solid">
        <fgColor rgb="FFE7E6E6"/>
        <bgColor rgb="FFD9EAD3"/>
      </patternFill>
    </fill>
    <fill>
      <patternFill patternType="solid">
        <fgColor rgb="FFE7E6E6"/>
        <bgColor rgb="FF1F4E79"/>
      </patternFill>
    </fill>
    <fill>
      <patternFill patternType="solid">
        <fgColor rgb="FFFFF6D8"/>
        <bgColor rgb="FFFFFFFF"/>
      </patternFill>
    </fill>
    <fill>
      <patternFill patternType="solid">
        <fgColor rgb="FFFFF6D8"/>
        <bgColor indexed="64"/>
      </patternFill>
    </fill>
  </fills>
  <borders count="1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/>
      <right/>
      <top style="thin">
        <color rgb="FF1F1F1F"/>
      </top>
      <bottom/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/>
      <bottom/>
      <diagonal/>
    </border>
    <border>
      <left/>
      <right style="thin">
        <color rgb="FF1F1F1F"/>
      </right>
      <top/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66">
    <xf numFmtId="0" fontId="0" fillId="0" borderId="0" xfId="0"/>
    <xf numFmtId="166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5" fillId="0" borderId="0" xfId="0" applyFont="1" applyAlignment="1">
      <alignment horizontal="center" vertical="center" wrapText="1"/>
    </xf>
    <xf numFmtId="1" fontId="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7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10" fillId="10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>
      <alignment horizontal="center" vertical="center" wrapText="1"/>
    </xf>
    <xf numFmtId="167" fontId="10" fillId="10" borderId="1" xfId="0" applyNumberFormat="1" applyFont="1" applyFill="1" applyBorder="1" applyAlignment="1" applyProtection="1">
      <alignment horizontal="center" vertical="center" wrapText="1"/>
      <protection locked="0"/>
    </xf>
    <xf numFmtId="168" fontId="10" fillId="10" borderId="1" xfId="0" applyNumberFormat="1" applyFont="1" applyFill="1" applyBorder="1" applyAlignment="1" applyProtection="1">
      <alignment horizontal="center" vertical="center" wrapText="1"/>
      <protection locked="0"/>
    </xf>
    <xf numFmtId="167" fontId="2" fillId="10" borderId="1" xfId="0" applyNumberFormat="1" applyFont="1" applyFill="1" applyBorder="1" applyAlignment="1" applyProtection="1">
      <alignment horizontal="center" vertical="center" wrapText="1"/>
      <protection locked="0"/>
    </xf>
    <xf numFmtId="168" fontId="2" fillId="10" borderId="1" xfId="0" applyNumberFormat="1" applyFont="1" applyFill="1" applyBorder="1" applyAlignment="1" applyProtection="1">
      <alignment horizontal="center" vertical="center" wrapText="1"/>
      <protection locked="0"/>
    </xf>
    <xf numFmtId="167" fontId="10" fillId="11" borderId="1" xfId="0" applyNumberFormat="1" applyFont="1" applyFill="1" applyBorder="1" applyAlignment="1">
      <alignment horizontal="center" vertical="center" wrapText="1"/>
    </xf>
    <xf numFmtId="1" fontId="10" fillId="11" borderId="1" xfId="0" applyNumberFormat="1" applyFont="1" applyFill="1" applyBorder="1" applyAlignment="1">
      <alignment horizontal="center" vertical="center" wrapText="1"/>
    </xf>
    <xf numFmtId="167" fontId="7" fillId="11" borderId="1" xfId="0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168" fontId="10" fillId="11" borderId="1" xfId="0" applyNumberFormat="1" applyFont="1" applyFill="1" applyBorder="1" applyAlignment="1">
      <alignment horizontal="center" vertical="center" wrapText="1"/>
    </xf>
    <xf numFmtId="168" fontId="7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 applyProtection="1">
      <alignment horizontal="center" vertical="center" wrapText="1"/>
      <protection locked="0"/>
    </xf>
    <xf numFmtId="0" fontId="2" fillId="1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168" fontId="10" fillId="10" borderId="1" xfId="0" applyNumberFormat="1" applyFont="1" applyFill="1" applyBorder="1" applyAlignment="1">
      <alignment horizontal="center" vertical="center" wrapText="1"/>
    </xf>
    <xf numFmtId="167" fontId="10" fillId="10" borderId="1" xfId="0" applyNumberFormat="1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 applyProtection="1">
      <alignment horizontal="center" vertical="center" wrapText="1"/>
      <protection locked="0"/>
    </xf>
    <xf numFmtId="0" fontId="11" fillId="14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 wrapText="1"/>
    </xf>
    <xf numFmtId="165" fontId="7" fillId="11" borderId="1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>
          <bgColor rgb="FFFFF6D8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rgb="FF1F4E79"/>
          <bgColor rgb="FFFFF6D8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1F4E79"/>
      </font>
      <fill>
        <patternFill>
          <bgColor rgb="FFBDD7EE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ont>
        <b/>
        <color rgb="FF9C6500"/>
      </font>
      <fill>
        <patternFill>
          <bgColor rgb="FFFCE4D6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1F4E79"/>
      </font>
      <fill>
        <patternFill>
          <bgColor rgb="FFBDD7EE"/>
        </patternFill>
      </fill>
    </dxf>
    <dxf>
      <font>
        <b/>
        <color rgb="FF9C6500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7F6000"/>
      <rgbColor rgb="FF800080"/>
      <rgbColor rgb="FF008080"/>
      <rgbColor rgb="FFD9D9D9"/>
      <rgbColor rgb="FF878787"/>
      <rgbColor rgb="FF9999FF"/>
      <rgbColor rgb="FF8B3333"/>
      <rgbColor rgb="FFFFF2CC"/>
      <rgbColor rgb="FFDCEA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D9EAD3"/>
      <rgbColor rgb="FFC6EFCE"/>
      <rgbColor rgb="FFFCE4D6"/>
      <rgbColor rgb="FFFFFEF9"/>
      <rgbColor rgb="FFFFC7CE"/>
      <rgbColor rgb="FFCC99FF"/>
      <rgbColor rgb="FFF4CCCC"/>
      <rgbColor rgb="FF4F81BD"/>
      <rgbColor rgb="FF4BACC6"/>
      <rgbColor rgb="FF9BBB59"/>
      <rgbColor rgb="FFFFCC00"/>
      <rgbColor rgb="FFD4AF37"/>
      <rgbColor rgb="FFFF6600"/>
      <rgbColor rgb="FF8064A2"/>
      <rgbColor rgb="FF969696"/>
      <rgbColor rgb="FF1F4E79"/>
      <rgbColor rgb="FF3F6F91"/>
      <rgbColor rgb="FF161524"/>
      <rgbColor rgb="FF274E13"/>
      <rgbColor rgb="FF9C6500"/>
      <rgbColor rgb="FFC0504D"/>
      <rgbColor rgb="FF24476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E6E6"/>
      <color rgb="FFFFF6D8"/>
      <color rgb="FFB00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Clientes por estado de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Clientes</c:v>
                </c:pt>
              </c:strCache>
            </c:strRef>
          </c:tx>
          <c:invertIfNegative val="0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9-4FA7-B9DA-5E32E99BF18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9-4FA7-B9DA-5E32E99BF18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E9-4FA7-B9DA-5E32E99BF18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E9-4FA7-B9DA-5E32E99BF18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E9-4FA7-B9DA-5E32E99BF180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E9-4FA7-B9DA-5E32E99BF180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E9-4FA7-B9DA-5E32E99BF180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E9-4FA7-B9DA-5E32E99BF180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E9-4FA7-B9DA-5E32E99BF180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E9-4FA7-B9DA-5E32E99BF1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Dashboard!$B$13:$B$17</c:f>
              <c:strCache>
                <c:ptCount val="5"/>
                <c:pt idx="0">
                  <c:v>Prospecto</c:v>
                </c:pt>
                <c:pt idx="1">
                  <c:v>En negociación</c:v>
                </c:pt>
                <c:pt idx="2">
                  <c:v>Cerrada</c:v>
                </c:pt>
                <c:pt idx="3">
                  <c:v>Perdida</c:v>
                </c:pt>
                <c:pt idx="4">
                  <c:v>Pausada</c:v>
                </c:pt>
              </c:strCache>
            </c:strRef>
          </c:cat>
          <c:val>
            <c:numRef>
              <c:f>Dashboard!$C$13:$C$17</c:f>
              <c:numCache>
                <c:formatCode>#,##0;[Red]\(#,##0\);\-</c:formatCode>
                <c:ptCount val="5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E9-4FA7-B9DA-5E32E99BF1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732152"/>
        <c:axId val="68536597"/>
      </c:barChart>
      <c:catAx>
        <c:axId val="65732152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Estado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536597"/>
        <c:crosses val="autoZero"/>
        <c:auto val="1"/>
        <c:lblAlgn val="ctr"/>
        <c:lblOffset val="100"/>
        <c:noMultiLvlLbl val="0"/>
      </c:catAx>
      <c:valAx>
        <c:axId val="6853659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Clientes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;[Red]\(#,##0\);\-" sourceLinked="1"/>
        <c:majorTickMark val="none"/>
        <c:minorTickMark val="none"/>
        <c:tickLblPos val="nextTo"/>
        <c:crossAx val="6573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Saldo por estado de cobranza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Dashboard!$H$12</c:f>
              <c:strCache>
                <c:ptCount val="1"/>
                <c:pt idx="0">
                  <c:v>Saldo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79-452D-A1F7-002DAD6AF8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79-452D-A1F7-002DAD6AF8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79-452D-A1F7-002DAD6AF8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79-452D-A1F7-002DAD6AF8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79-452D-A1F7-002DAD6AF812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79-452D-A1F7-002DAD6AF812}"/>
                </c:ext>
              </c:extLst>
            </c:dLbl>
            <c:dLbl>
              <c:idx val="1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79-452D-A1F7-002DAD6AF812}"/>
                </c:ext>
              </c:extLst>
            </c:dLbl>
            <c:dLbl>
              <c:idx val="2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79-452D-A1F7-002DAD6AF812}"/>
                </c:ext>
              </c:extLst>
            </c:dLbl>
            <c:dLbl>
              <c:idx val="3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79-452D-A1F7-002DAD6AF812}"/>
                </c:ext>
              </c:extLst>
            </c:dLbl>
            <c:dLbl>
              <c:idx val="4"/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79-452D-A1F7-002DAD6AF81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Dashboard!$F$13:$F$17</c:f>
              <c:strCache>
                <c:ptCount val="5"/>
                <c:pt idx="0">
                  <c:v>Pendiente</c:v>
                </c:pt>
                <c:pt idx="1">
                  <c:v>Parcial</c:v>
                </c:pt>
                <c:pt idx="2">
                  <c:v>Pagada</c:v>
                </c:pt>
                <c:pt idx="3">
                  <c:v>Vencida</c:v>
                </c:pt>
                <c:pt idx="4">
                  <c:v>Incobrable</c:v>
                </c:pt>
              </c:strCache>
            </c:strRef>
          </c:cat>
          <c:val>
            <c:numRef>
              <c:f>Dashboard!$H$13:$H$17</c:f>
              <c:numCache>
                <c:formatCode>\$#,##0;[Red]"($"#,##0\);\-</c:formatCode>
                <c:ptCount val="5"/>
                <c:pt idx="0">
                  <c:v>1300000</c:v>
                </c:pt>
                <c:pt idx="1">
                  <c:v>1100000</c:v>
                </c:pt>
                <c:pt idx="2">
                  <c:v>0</c:v>
                </c:pt>
                <c:pt idx="3">
                  <c:v>1100000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79-452D-A1F7-002DAD6AF8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13</xdr:col>
      <xdr:colOff>372240</xdr:colOff>
      <xdr:row>21</xdr:row>
      <xdr:rowOff>79260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9525</xdr:colOff>
      <xdr:row>21</xdr:row>
      <xdr:rowOff>180975</xdr:rowOff>
    </xdr:from>
    <xdr:to>
      <xdr:col>13</xdr:col>
      <xdr:colOff>381765</xdr:colOff>
      <xdr:row>30</xdr:row>
      <xdr:rowOff>69375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cciones" displayName="TablaAcciones" ref="F4:F12" totalsRowShown="0" dataDxfId="6">
  <autoFilter ref="F4:F12" xr:uid="{00000000-0009-0000-0100-000001000000}"/>
  <tableColumns count="1">
    <tableColumn id="1" xr3:uid="{00000000-0010-0000-0000-000001000000}" name="Próxima acción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ondicionesPago" displayName="TablaCondicionesPago" ref="N4:N10" totalsRowShown="0" dataDxfId="0">
  <autoFilter ref="N4:N10" xr:uid="{00000000-0009-0000-0100-000003000000}"/>
  <tableColumns count="1">
    <tableColumn id="1" xr3:uid="{00000000-0010-0000-0200-000001000000}" name="Condición de pago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stadosCobranza" displayName="TablaEstadosCobranza" ref="J4:J9" totalsRowShown="0" dataDxfId="2">
  <autoFilter ref="J4:J9" xr:uid="{00000000-0009-0000-0100-000004000000}"/>
  <tableColumns count="1">
    <tableColumn id="1" xr3:uid="{00000000-0010-0000-0300-000001000000}" name="Estado cobranza" dataDxf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stadosVenta" displayName="TablaEstadosVenta" ref="D4:D9" totalsRowShown="0" dataDxfId="8">
  <autoFilter ref="D4:D9" xr:uid="{00000000-0009-0000-0100-000005000000}"/>
  <tableColumns count="1">
    <tableColumn id="1" xr3:uid="{00000000-0010-0000-0400-000001000000}" name="Estado de venta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Responsables" displayName="TablaResponsables" ref="H4:H9" totalsRowShown="0" dataDxfId="4">
  <autoFilter ref="H4:H9" xr:uid="{00000000-0009-0000-0100-000006000000}"/>
  <tableColumns count="1">
    <tableColumn id="1" xr3:uid="{00000000-0010-0000-0500-000001000000}" name="Responsable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864"/>
  <sheetViews>
    <sheetView showGridLines="0" tabSelected="1" zoomScale="70" zoomScaleNormal="70" workbookViewId="0">
      <selection activeCell="G19" sqref="G19"/>
    </sheetView>
  </sheetViews>
  <sheetFormatPr baseColWidth="10" defaultColWidth="9.140625" defaultRowHeight="15" x14ac:dyDescent="0.25"/>
  <cols>
    <col min="2" max="2" width="7.7109375" customWidth="1"/>
    <col min="3" max="3" width="7.42578125" customWidth="1"/>
    <col min="4" max="4" width="17" customWidth="1"/>
    <col min="5" max="5" width="34" customWidth="1"/>
    <col min="6" max="6" width="42" customWidth="1"/>
    <col min="7" max="7" width="20" customWidth="1"/>
    <col min="8" max="11" width="22" customWidth="1"/>
    <col min="12" max="12" width="8.140625" customWidth="1"/>
    <col min="14" max="14" width="7.7109375" customWidth="1"/>
    <col min="16" max="16" width="7.7109375" customWidth="1"/>
    <col min="18" max="18" width="7.7109375" customWidth="1"/>
    <col min="20" max="20" width="7.7109375" customWidth="1"/>
  </cols>
  <sheetData>
    <row r="1" spans="3:12" ht="21.75" customHeight="1" x14ac:dyDescent="0.25"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2"/>
    </row>
    <row r="2" spans="3:12" ht="21.75" customHeight="1" x14ac:dyDescent="0.25">
      <c r="C2" s="13" t="s">
        <v>1</v>
      </c>
      <c r="D2" s="13"/>
      <c r="E2" s="13"/>
      <c r="F2" s="13"/>
      <c r="G2" s="13"/>
      <c r="H2" s="13"/>
      <c r="I2" s="13"/>
      <c r="J2" s="13"/>
      <c r="K2" s="13"/>
      <c r="L2" s="13"/>
    </row>
    <row r="3" spans="3:12" ht="21.75" customHeight="1" x14ac:dyDescent="0.25"/>
    <row r="4" spans="3:12" ht="21.75" customHeight="1" x14ac:dyDescent="0.25">
      <c r="D4" s="51" t="s">
        <v>2</v>
      </c>
      <c r="E4" s="51"/>
      <c r="F4" s="51"/>
      <c r="G4" s="51"/>
      <c r="H4" s="51"/>
      <c r="I4" s="51"/>
      <c r="J4" s="51"/>
      <c r="K4" s="51"/>
    </row>
    <row r="5" spans="3:12" ht="21.75" customHeight="1" x14ac:dyDescent="0.25">
      <c r="D5" s="51"/>
      <c r="E5" s="51"/>
      <c r="F5" s="51"/>
      <c r="G5" s="51"/>
      <c r="H5" s="51"/>
      <c r="I5" s="51"/>
      <c r="J5" s="51"/>
      <c r="K5" s="51"/>
    </row>
    <row r="6" spans="3:12" ht="21.75" customHeight="1" x14ac:dyDescent="0.25">
      <c r="D6" s="56" t="s">
        <v>3</v>
      </c>
      <c r="E6" s="56"/>
      <c r="F6" s="56"/>
      <c r="G6" s="56"/>
      <c r="H6" s="56"/>
      <c r="I6" s="56"/>
      <c r="J6" s="56"/>
      <c r="K6" s="56"/>
    </row>
    <row r="7" spans="3:12" ht="21.75" customHeight="1" x14ac:dyDescent="0.25">
      <c r="D7" s="56"/>
      <c r="E7" s="56"/>
      <c r="F7" s="56"/>
      <c r="G7" s="56"/>
      <c r="H7" s="56"/>
      <c r="I7" s="56"/>
      <c r="J7" s="56"/>
      <c r="K7" s="56"/>
    </row>
    <row r="8" spans="3:12" ht="21.75" customHeight="1" x14ac:dyDescent="0.25"/>
    <row r="9" spans="3:12" ht="21.75" customHeight="1" x14ac:dyDescent="0.25"/>
    <row r="10" spans="3:12" ht="21.75" customHeight="1" x14ac:dyDescent="0.25">
      <c r="D10" s="4" t="s">
        <v>4</v>
      </c>
      <c r="E10" s="4" t="s">
        <v>5</v>
      </c>
      <c r="F10" s="4" t="s">
        <v>6</v>
      </c>
      <c r="H10" s="50" t="s">
        <v>7</v>
      </c>
      <c r="I10" s="50"/>
      <c r="J10" s="50"/>
      <c r="K10" s="50"/>
    </row>
    <row r="11" spans="3:12" ht="29.25" customHeight="1" x14ac:dyDescent="0.25">
      <c r="D11" s="54" t="s">
        <v>8</v>
      </c>
      <c r="E11" s="55" t="s">
        <v>9</v>
      </c>
      <c r="F11" s="55" t="s">
        <v>10</v>
      </c>
      <c r="H11" s="43" t="s">
        <v>11</v>
      </c>
      <c r="I11" s="43"/>
      <c r="J11" s="43"/>
      <c r="K11" s="43"/>
    </row>
    <row r="12" spans="3:12" ht="28.5" customHeight="1" x14ac:dyDescent="0.25">
      <c r="D12" s="52" t="s">
        <v>12</v>
      </c>
      <c r="E12" s="53" t="s">
        <v>13</v>
      </c>
      <c r="F12" s="53" t="s">
        <v>14</v>
      </c>
      <c r="H12" s="43"/>
      <c r="I12" s="43"/>
      <c r="J12" s="43"/>
      <c r="K12" s="43"/>
    </row>
    <row r="13" spans="3:12" ht="29.25" customHeight="1" x14ac:dyDescent="0.25">
      <c r="D13" s="54" t="s">
        <v>15</v>
      </c>
      <c r="E13" s="55" t="s">
        <v>16</v>
      </c>
      <c r="F13" s="55" t="s">
        <v>17</v>
      </c>
      <c r="H13" s="43"/>
      <c r="I13" s="43"/>
      <c r="J13" s="43"/>
      <c r="K13" s="43"/>
    </row>
    <row r="14" spans="3:12" ht="30" customHeight="1" x14ac:dyDescent="0.25">
      <c r="D14" s="52" t="s">
        <v>18</v>
      </c>
      <c r="E14" s="53" t="s">
        <v>19</v>
      </c>
      <c r="F14" s="53" t="s">
        <v>20</v>
      </c>
      <c r="H14" s="43"/>
      <c r="I14" s="43"/>
      <c r="J14" s="43"/>
      <c r="K14" s="43"/>
    </row>
    <row r="15" spans="3:12" ht="29.25" customHeight="1" x14ac:dyDescent="0.25">
      <c r="D15" s="54" t="s">
        <v>21</v>
      </c>
      <c r="E15" s="55" t="s">
        <v>22</v>
      </c>
      <c r="F15" s="55" t="s">
        <v>23</v>
      </c>
    </row>
    <row r="16" spans="3:12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  <row r="855" ht="21.75" customHeight="1" x14ac:dyDescent="0.25"/>
    <row r="856" ht="21.75" customHeight="1" x14ac:dyDescent="0.25"/>
    <row r="857" ht="21.75" customHeight="1" x14ac:dyDescent="0.25"/>
    <row r="858" ht="21.75" customHeight="1" x14ac:dyDescent="0.25"/>
    <row r="859" ht="21.75" customHeight="1" x14ac:dyDescent="0.25"/>
    <row r="860" ht="21.75" customHeight="1" x14ac:dyDescent="0.25"/>
    <row r="861" ht="21.75" customHeight="1" x14ac:dyDescent="0.25"/>
    <row r="862" ht="21.75" customHeight="1" x14ac:dyDescent="0.25"/>
    <row r="863" ht="21.75" customHeight="1" x14ac:dyDescent="0.25"/>
    <row r="864" ht="21.75" customHeight="1" x14ac:dyDescent="0.25"/>
  </sheetData>
  <mergeCells count="6">
    <mergeCell ref="H11:K14"/>
    <mergeCell ref="C1:L1"/>
    <mergeCell ref="C2:L2"/>
    <mergeCell ref="D4:K5"/>
    <mergeCell ref="D6:K7"/>
    <mergeCell ref="H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854"/>
  <sheetViews>
    <sheetView showGridLines="0" zoomScale="90" zoomScaleNormal="90" workbookViewId="0">
      <selection activeCell="A18" sqref="A18"/>
    </sheetView>
  </sheetViews>
  <sheetFormatPr baseColWidth="10" defaultColWidth="9.140625" defaultRowHeight="15" x14ac:dyDescent="0.25"/>
  <cols>
    <col min="2" max="15" width="14" customWidth="1"/>
  </cols>
  <sheetData>
    <row r="1" spans="2:15" ht="21.75" customHeight="1" x14ac:dyDescent="0.25">
      <c r="B1" s="12" t="s">
        <v>24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21.75" customHeight="1" x14ac:dyDescent="0.25">
      <c r="B2" s="13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ht="21.75" customHeight="1" x14ac:dyDescent="0.25"/>
    <row r="4" spans="2:15" ht="21.75" customHeight="1" x14ac:dyDescent="0.25">
      <c r="B4" s="14" t="s">
        <v>26</v>
      </c>
      <c r="C4" s="14"/>
      <c r="D4" s="14"/>
      <c r="E4" s="14" t="s">
        <v>27</v>
      </c>
      <c r="F4" s="14"/>
      <c r="G4" s="14"/>
      <c r="H4" s="14" t="s">
        <v>28</v>
      </c>
      <c r="I4" s="14"/>
      <c r="J4" s="14"/>
      <c r="K4" s="14" t="s">
        <v>29</v>
      </c>
      <c r="L4" s="14"/>
      <c r="M4" s="14"/>
    </row>
    <row r="5" spans="2:15" ht="21.75" customHeight="1" x14ac:dyDescent="0.25">
      <c r="B5" s="16">
        <f>COUNTA(CRM!B8:B1007)</f>
        <v>10</v>
      </c>
      <c r="C5" s="16"/>
      <c r="D5" s="16"/>
      <c r="E5" s="15">
        <f>SUMIFS(CRM!J8:J1007,CRM!F8:F1007,"&lt;&gt;Perdida")</f>
        <v>11250000</v>
      </c>
      <c r="F5" s="15"/>
      <c r="G5" s="15"/>
      <c r="H5" s="15">
        <f>SUMIFS(CRM!J8:J1007,CRM!F8:F1007,"En negociación")</f>
        <v>5950000</v>
      </c>
      <c r="I5" s="15"/>
      <c r="J5" s="15"/>
      <c r="K5" s="15">
        <f>SUMIFS(CRM!J8:J1007,CRM!F8:F1007,"Cerrada")</f>
        <v>1900000</v>
      </c>
      <c r="L5" s="15"/>
      <c r="M5" s="15"/>
    </row>
    <row r="6" spans="2:15" ht="21.75" customHeight="1" x14ac:dyDescent="0.25">
      <c r="B6" s="16"/>
      <c r="C6" s="16"/>
      <c r="D6" s="16"/>
      <c r="E6" s="15"/>
      <c r="F6" s="15"/>
      <c r="G6" s="15"/>
      <c r="H6" s="15"/>
      <c r="I6" s="15"/>
      <c r="J6" s="15"/>
      <c r="K6" s="15"/>
      <c r="L6" s="15"/>
      <c r="M6" s="15"/>
    </row>
    <row r="7" spans="2:15" ht="21.75" customHeight="1" x14ac:dyDescent="0.25"/>
    <row r="8" spans="2:15" ht="21.75" customHeight="1" x14ac:dyDescent="0.25">
      <c r="B8" s="14" t="s">
        <v>30</v>
      </c>
      <c r="C8" s="14"/>
      <c r="D8" s="14"/>
      <c r="E8" s="14" t="s">
        <v>31</v>
      </c>
      <c r="F8" s="14"/>
      <c r="G8" s="14"/>
      <c r="H8" s="14" t="s">
        <v>32</v>
      </c>
      <c r="I8" s="14"/>
      <c r="J8" s="14"/>
      <c r="K8" s="14" t="s">
        <v>33</v>
      </c>
      <c r="L8" s="14"/>
      <c r="M8" s="14"/>
    </row>
    <row r="9" spans="2:15" ht="21.75" customHeight="1" x14ac:dyDescent="0.25">
      <c r="B9" s="15">
        <f>SUM(Cobranza!L9:L1008)</f>
        <v>3500000</v>
      </c>
      <c r="C9" s="15"/>
      <c r="D9" s="15"/>
      <c r="E9" s="15">
        <f ca="1">SUMIFS(Cobranza!L9:L1008,Cobranza!N9:N1008,"Vencida")</f>
        <v>1100000</v>
      </c>
      <c r="F9" s="15"/>
      <c r="G9" s="15"/>
      <c r="H9" s="16">
        <f ca="1">COUNTIF(Cobranza!N9:N1008,"Vencida")</f>
        <v>1</v>
      </c>
      <c r="I9" s="16"/>
      <c r="J9" s="16"/>
      <c r="K9" s="17">
        <f>IFERROR(COUNTIF(CRM!F8:F1007,"Cerrada")/COUNTA(CRM!B8:B1007),0)</f>
        <v>0.2</v>
      </c>
      <c r="L9" s="17"/>
      <c r="M9" s="17"/>
    </row>
    <row r="10" spans="2:15" ht="21.75" customHeight="1" x14ac:dyDescent="0.25">
      <c r="B10" s="15"/>
      <c r="C10" s="15"/>
      <c r="D10" s="15"/>
      <c r="E10" s="15"/>
      <c r="F10" s="15"/>
      <c r="G10" s="15"/>
      <c r="H10" s="16"/>
      <c r="I10" s="16"/>
      <c r="J10" s="16"/>
      <c r="K10" s="17"/>
      <c r="L10" s="17"/>
      <c r="M10" s="17"/>
    </row>
    <row r="11" spans="2:15" customFormat="1" ht="21.75" customHeight="1" x14ac:dyDescent="0.25"/>
    <row r="12" spans="2:15" ht="24.75" customHeight="1" x14ac:dyDescent="0.25">
      <c r="B12" s="18" t="s">
        <v>34</v>
      </c>
      <c r="C12" s="18" t="s">
        <v>26</v>
      </c>
      <c r="D12" s="18" t="s">
        <v>35</v>
      </c>
      <c r="F12" s="18" t="s">
        <v>36</v>
      </c>
      <c r="G12" s="18" t="s">
        <v>37</v>
      </c>
      <c r="H12" s="18" t="s">
        <v>38</v>
      </c>
      <c r="M12" s="5"/>
    </row>
    <row r="13" spans="2:15" ht="21.75" customHeight="1" x14ac:dyDescent="0.25">
      <c r="B13" s="34" t="s">
        <v>39</v>
      </c>
      <c r="C13" s="48">
        <f>COUNTIF(CRM!$F$8:$F$1007,B13)</f>
        <v>2</v>
      </c>
      <c r="D13" s="49">
        <f>SUMIF(CRM!$F$8:$F$1007,B13,CRM!$J$8:$J$1007)</f>
        <v>2800000</v>
      </c>
      <c r="F13" s="34" t="s">
        <v>40</v>
      </c>
      <c r="G13" s="48">
        <f ca="1">COUNTIF(Cobranza!$N$9:$N$1008,F13)</f>
        <v>1</v>
      </c>
      <c r="H13" s="49">
        <f ca="1">SUMIF(Cobranza!$N$9:$N$1008,F13,Cobranza!$L$9:$L$1008)</f>
        <v>1300000</v>
      </c>
      <c r="M13" s="5"/>
    </row>
    <row r="14" spans="2:15" ht="21.75" customHeight="1" x14ac:dyDescent="0.25">
      <c r="B14" s="34" t="s">
        <v>28</v>
      </c>
      <c r="C14" s="48">
        <f>COUNTIF(CRM!$F$8:$F$1007,B14)</f>
        <v>4</v>
      </c>
      <c r="D14" s="49">
        <f>SUMIF(CRM!$F$8:$F$1007,B14,CRM!$J$8:$J$1007)</f>
        <v>5950000</v>
      </c>
      <c r="F14" s="34" t="s">
        <v>41</v>
      </c>
      <c r="G14" s="48">
        <f ca="1">COUNTIF(Cobranza!$N$9:$N$1008,F14)</f>
        <v>1</v>
      </c>
      <c r="H14" s="49">
        <f ca="1">SUMIF(Cobranza!$N$9:$N$1008,F14,Cobranza!$L$9:$L$1008)</f>
        <v>1100000</v>
      </c>
      <c r="M14" s="5"/>
    </row>
    <row r="15" spans="2:15" ht="21.75" customHeight="1" x14ac:dyDescent="0.25">
      <c r="B15" s="34" t="s">
        <v>42</v>
      </c>
      <c r="C15" s="48">
        <f>COUNTIF(CRM!$F$8:$F$1007,B15)</f>
        <v>2</v>
      </c>
      <c r="D15" s="49">
        <f>SUMIF(CRM!$F$8:$F$1007,B15,CRM!$J$8:$J$1007)</f>
        <v>1900000</v>
      </c>
      <c r="F15" s="34" t="s">
        <v>43</v>
      </c>
      <c r="G15" s="48">
        <f ca="1">COUNTIF(Cobranza!$N$9:$N$1008,F15)</f>
        <v>3</v>
      </c>
      <c r="H15" s="49">
        <f ca="1">SUMIF(Cobranza!$N$9:$N$1008,F15,Cobranza!$L$9:$L$1008)</f>
        <v>0</v>
      </c>
      <c r="M15" s="5"/>
    </row>
    <row r="16" spans="2:15" ht="21.75" customHeight="1" x14ac:dyDescent="0.25">
      <c r="B16" s="34" t="s">
        <v>44</v>
      </c>
      <c r="C16" s="48">
        <f>COUNTIF(CRM!$F$8:$F$1007,B16)</f>
        <v>1</v>
      </c>
      <c r="D16" s="49">
        <f>SUMIF(CRM!$F$8:$F$1007,B16,CRM!$J$8:$J$1007)</f>
        <v>700000</v>
      </c>
      <c r="F16" s="34" t="s">
        <v>45</v>
      </c>
      <c r="G16" s="48">
        <f ca="1">COUNTIF(Cobranza!$N$9:$N$1008,F16)</f>
        <v>1</v>
      </c>
      <c r="H16" s="49">
        <f ca="1">SUMIF(Cobranza!$N$9:$N$1008,F16,Cobranza!$L$9:$L$1008)</f>
        <v>1100000</v>
      </c>
      <c r="M16" s="5"/>
    </row>
    <row r="17" spans="2:13" ht="21.75" customHeight="1" x14ac:dyDescent="0.25">
      <c r="B17" s="34" t="s">
        <v>46</v>
      </c>
      <c r="C17" s="48">
        <f>COUNTIF(CRM!$F$8:$F$1007,B17)</f>
        <v>1</v>
      </c>
      <c r="D17" s="49">
        <f>SUMIF(CRM!$F$8:$F$1007,B17,CRM!$J$8:$J$1007)</f>
        <v>600000</v>
      </c>
      <c r="F17" s="34" t="s">
        <v>47</v>
      </c>
      <c r="G17" s="48">
        <f ca="1">COUNTIF(Cobranza!$N$9:$N$1008,F17)</f>
        <v>0</v>
      </c>
      <c r="H17" s="49">
        <f ca="1">SUMIF(Cobranza!$N$9:$N$1008,F17,Cobranza!$L$9:$L$1008)</f>
        <v>0</v>
      </c>
      <c r="M17" s="5"/>
    </row>
    <row r="18" spans="2:13" customFormat="1" ht="21.75" customHeight="1" x14ac:dyDescent="0.25"/>
    <row r="19" spans="2:13" ht="21.75" customHeight="1" x14ac:dyDescent="0.25">
      <c r="B19" s="18" t="s">
        <v>48</v>
      </c>
      <c r="C19" s="18" t="s">
        <v>26</v>
      </c>
      <c r="D19" s="18" t="s">
        <v>35</v>
      </c>
      <c r="E19" s="18" t="s">
        <v>49</v>
      </c>
    </row>
    <row r="20" spans="2:13" ht="21.75" customHeight="1" x14ac:dyDescent="0.25">
      <c r="B20" s="34" t="s">
        <v>50</v>
      </c>
      <c r="C20" s="48">
        <f>COUNTIF(CRM!$K$8:$K$1007,B20)</f>
        <v>3</v>
      </c>
      <c r="D20" s="49">
        <f>SUMIF(CRM!$K$8:$K$1007,B20,CRM!$J$8:$J$1007)</f>
        <v>4100000</v>
      </c>
      <c r="E20" s="48">
        <f>COUNTIFS(CRM!$K$8:$K$1007,B20,CRM!$F$8:$F$1007,"Cerrada")</f>
        <v>1</v>
      </c>
    </row>
    <row r="21" spans="2:13" ht="21.75" customHeight="1" x14ac:dyDescent="0.25">
      <c r="B21" s="34" t="s">
        <v>51</v>
      </c>
      <c r="C21" s="48">
        <f>COUNTIF(CRM!$K$8:$K$1007,B21)</f>
        <v>3</v>
      </c>
      <c r="D21" s="49">
        <f>SUMIF(CRM!$K$8:$K$1007,B21,CRM!$J$8:$J$1007)</f>
        <v>3200000</v>
      </c>
      <c r="E21" s="48">
        <f>COUNTIFS(CRM!$K$8:$K$1007,B21,CRM!$F$8:$F$1007,"Cerrada")</f>
        <v>0</v>
      </c>
    </row>
    <row r="22" spans="2:13" ht="21.75" customHeight="1" x14ac:dyDescent="0.25">
      <c r="B22" s="34" t="s">
        <v>52</v>
      </c>
      <c r="C22" s="48">
        <f>COUNTIF(CRM!$K$8:$K$1007,B22)</f>
        <v>2</v>
      </c>
      <c r="D22" s="49">
        <f>SUMIF(CRM!$K$8:$K$1007,B22,CRM!$J$8:$J$1007)</f>
        <v>3100000</v>
      </c>
      <c r="E22" s="48">
        <f>COUNTIFS(CRM!$K$8:$K$1007,B22,CRM!$F$8:$F$1007,"Cerrada")</f>
        <v>1</v>
      </c>
    </row>
    <row r="23" spans="2:13" ht="28.5" customHeight="1" x14ac:dyDescent="0.25">
      <c r="B23" s="34" t="s">
        <v>53</v>
      </c>
      <c r="C23" s="48">
        <f>COUNTIF(CRM!$K$8:$K$1007,B23)</f>
        <v>2</v>
      </c>
      <c r="D23" s="49">
        <f>SUMIF(CRM!$K$8:$K$1007,B23,CRM!$J$8:$J$1007)</f>
        <v>1550000</v>
      </c>
      <c r="E23" s="48">
        <f>COUNTIFS(CRM!$K$8:$K$1007,B23,CRM!$F$8:$F$1007,"Cerrada")</f>
        <v>0</v>
      </c>
    </row>
    <row r="24" spans="2:13" ht="21.75" customHeight="1" x14ac:dyDescent="0.25"/>
    <row r="25" spans="2:13" ht="21.75" customHeight="1" x14ac:dyDescent="0.25">
      <c r="B25" s="19" t="s">
        <v>54</v>
      </c>
      <c r="C25" s="20"/>
      <c r="D25" s="20"/>
      <c r="E25" s="20"/>
      <c r="F25" s="20"/>
      <c r="G25" s="20"/>
      <c r="H25" s="20"/>
      <c r="I25" s="21"/>
    </row>
    <row r="26" spans="2:13" ht="28.5" customHeight="1" x14ac:dyDescent="0.25">
      <c r="B26" s="22" t="s">
        <v>55</v>
      </c>
      <c r="C26" s="22" t="s">
        <v>56</v>
      </c>
      <c r="D26" s="22" t="s">
        <v>57</v>
      </c>
      <c r="E26" s="22" t="s">
        <v>58</v>
      </c>
      <c r="F26" s="22" t="s">
        <v>48</v>
      </c>
      <c r="G26" s="22" t="s">
        <v>59</v>
      </c>
      <c r="H26" s="22" t="s">
        <v>35</v>
      </c>
      <c r="I26" s="22" t="s">
        <v>60</v>
      </c>
    </row>
    <row r="27" spans="2:13" ht="31.5" customHeight="1" x14ac:dyDescent="0.25">
      <c r="B27" s="34">
        <f ca="1">IFERROR(INDEX(CRM!$B$8:$B$1007,MATCH(1,CRM!$P$8:$P$1007,0)),"")</f>
        <v>2</v>
      </c>
      <c r="C27" s="34" t="str">
        <f ca="1">IFERROR(INDEX(CRM!$C$8:$C$1007,MATCH(1,CRM!$P$8:$P$1007,0)),"")</f>
        <v>Andrea Morales</v>
      </c>
      <c r="D27" s="34" t="str">
        <f ca="1">IFERROR(INDEX(CRM!$F$8:$F$1007,MATCH(1,CRM!$P$8:$P$1007,0)),"")</f>
        <v>En negociación</v>
      </c>
      <c r="E27" s="34" t="str">
        <f ca="1">IFERROR(INDEX(CRM!$H$8:$H$1007,MATCH(1,CRM!$P$8:$P$1007,0)),"")</f>
        <v>Reunión de cierre</v>
      </c>
      <c r="F27" s="34" t="str">
        <f ca="1">IFERROR(INDEX(CRM!$K$8:$K$1007,MATCH(1,CRM!$P$8:$P$1007,0)),"")</f>
        <v>José González</v>
      </c>
      <c r="G27" s="33">
        <f ca="1">IFERROR(INDEX(CRM!$N$8:$N$1007,MATCH(1,CRM!$P$8:$P$1007,0)),"")</f>
        <v>30</v>
      </c>
      <c r="H27" s="32">
        <f ca="1">IFERROR(INDEX(CRM!$J$8:$J$1007,MATCH(1,CRM!$P$8:$P$1007,0)),"")</f>
        <v>1200000</v>
      </c>
      <c r="I27" s="34" t="str">
        <f ca="1">IFERROR(INDEX(CRM!$O$8:$O$1007,MATCH(1,CRM!$P$8:$P$1007,0)),"")</f>
        <v>Seguimiento activo</v>
      </c>
    </row>
    <row r="28" spans="2:13" ht="27.75" customHeight="1" x14ac:dyDescent="0.25">
      <c r="B28" s="34">
        <f ca="1">IFERROR(INDEX(CRM!$B$8:$B$1007,MATCH(2,CRM!$P$8:$P$1007,0)),"")</f>
        <v>7</v>
      </c>
      <c r="C28" s="34" t="str">
        <f ca="1">IFERROR(INDEX(CRM!$C$8:$C$1007,MATCH(2,CRM!$P$8:$P$1007,0)),"")</f>
        <v>Diego Ramírez</v>
      </c>
      <c r="D28" s="34" t="str">
        <f ca="1">IFERROR(INDEX(CRM!$F$8:$F$1007,MATCH(2,CRM!$P$8:$P$1007,0)),"")</f>
        <v>En negociación</v>
      </c>
      <c r="E28" s="34" t="str">
        <f ca="1">IFERROR(INDEX(CRM!$H$8:$H$1007,MATCH(2,CRM!$P$8:$P$1007,0)),"")</f>
        <v>Enviar contrato</v>
      </c>
      <c r="F28" s="34" t="str">
        <f ca="1">IFERROR(INDEX(CRM!$K$8:$K$1007,MATCH(2,CRM!$P$8:$P$1007,0)),"")</f>
        <v>Kevin Ramírez</v>
      </c>
      <c r="G28" s="33">
        <f ca="1">IFERROR(INDEX(CRM!$N$8:$N$1007,MATCH(2,CRM!$P$8:$P$1007,0)),"")</f>
        <v>22</v>
      </c>
      <c r="H28" s="32">
        <f ca="1">IFERROR(INDEX(CRM!$J$8:$J$1007,MATCH(2,CRM!$P$8:$P$1007,0)),"")</f>
        <v>1800000</v>
      </c>
      <c r="I28" s="34" t="str">
        <f ca="1">IFERROR(INDEX(CRM!$O$8:$O$1007,MATCH(2,CRM!$P$8:$P$1007,0)),"")</f>
        <v>Contrato en revisión</v>
      </c>
    </row>
    <row r="29" spans="2:13" ht="27" customHeight="1" x14ac:dyDescent="0.25">
      <c r="B29" s="34" t="str">
        <f ca="1">IFERROR(INDEX(CRM!$B$8:$B$1007,MATCH(3,CRM!$P$8:$P$1007,0)),"")</f>
        <v/>
      </c>
      <c r="C29" s="34" t="str">
        <f ca="1">IFERROR(INDEX(CRM!$C$8:$C$1007,MATCH(3,CRM!$P$8:$P$1007,0)),"")</f>
        <v/>
      </c>
      <c r="D29" s="34" t="str">
        <f ca="1">IFERROR(INDEX(CRM!$F$8:$F$1007,MATCH(3,CRM!$P$8:$P$1007,0)),"")</f>
        <v/>
      </c>
      <c r="E29" s="34" t="str">
        <f ca="1">IFERROR(INDEX(CRM!$H$8:$H$1007,MATCH(3,CRM!$P$8:$P$1007,0)),"")</f>
        <v/>
      </c>
      <c r="F29" s="34" t="str">
        <f ca="1">IFERROR(INDEX(CRM!$K$8:$K$1007,MATCH(3,CRM!$P$8:$P$1007,0)),"")</f>
        <v/>
      </c>
      <c r="G29" s="33" t="str">
        <f ca="1">IFERROR(INDEX(CRM!$N$8:$N$1007,MATCH(3,CRM!$P$8:$P$1007,0)),"")</f>
        <v/>
      </c>
      <c r="H29" s="32" t="str">
        <f ca="1">IFERROR(INDEX(CRM!$J$8:$J$1007,MATCH(3,CRM!$P$8:$P$1007,0)),"")</f>
        <v/>
      </c>
      <c r="I29" s="34" t="str">
        <f ca="1">IFERROR(INDEX(CRM!$O$8:$O$1007,MATCH(3,CRM!$P$8:$P$1007,0)),"")</f>
        <v/>
      </c>
    </row>
    <row r="30" spans="2:13" ht="27" customHeight="1" x14ac:dyDescent="0.25">
      <c r="B30" s="34" t="str">
        <f ca="1">IFERROR(INDEX(CRM!$B$8:$B$1007,MATCH(4,CRM!$P$8:$P$1007,0)),"")</f>
        <v/>
      </c>
      <c r="C30" s="34" t="str">
        <f ca="1">IFERROR(INDEX(CRM!$C$8:$C$1007,MATCH(4,CRM!$P$8:$P$1007,0)),"")</f>
        <v/>
      </c>
      <c r="D30" s="34" t="str">
        <f ca="1">IFERROR(INDEX(CRM!$F$8:$F$1007,MATCH(4,CRM!$P$8:$P$1007,0)),"")</f>
        <v/>
      </c>
      <c r="E30" s="34" t="str">
        <f ca="1">IFERROR(INDEX(CRM!$H$8:$H$1007,MATCH(4,CRM!$P$8:$P$1007,0)),"")</f>
        <v/>
      </c>
      <c r="F30" s="34" t="str">
        <f ca="1">IFERROR(INDEX(CRM!$K$8:$K$1007,MATCH(4,CRM!$P$8:$P$1007,0)),"")</f>
        <v/>
      </c>
      <c r="G30" s="33" t="str">
        <f ca="1">IFERROR(INDEX(CRM!$N$8:$N$1007,MATCH(4,CRM!$P$8:$P$1007,0)),"")</f>
        <v/>
      </c>
      <c r="H30" s="32" t="str">
        <f ca="1">IFERROR(INDEX(CRM!$J$8:$J$1007,MATCH(4,CRM!$P$8:$P$1007,0)),"")</f>
        <v/>
      </c>
      <c r="I30" s="34" t="str">
        <f ca="1">IFERROR(INDEX(CRM!$O$8:$O$1007,MATCH(4,CRM!$P$8:$P$1007,0)),"")</f>
        <v/>
      </c>
    </row>
    <row r="31" spans="2:13" ht="21.75" customHeight="1" x14ac:dyDescent="0.25">
      <c r="B31" s="34" t="str">
        <f ca="1">IFERROR(INDEX(CRM!$B$8:$B$1007,MATCH(5,CRM!$P$8:$P$1007,0)),"")</f>
        <v/>
      </c>
      <c r="C31" s="34" t="str">
        <f ca="1">IFERROR(INDEX(CRM!$C$8:$C$1007,MATCH(5,CRM!$P$8:$P$1007,0)),"")</f>
        <v/>
      </c>
      <c r="D31" s="34" t="str">
        <f ca="1">IFERROR(INDEX(CRM!$F$8:$F$1007,MATCH(5,CRM!$P$8:$P$1007,0)),"")</f>
        <v/>
      </c>
      <c r="E31" s="34" t="str">
        <f ca="1">IFERROR(INDEX(CRM!$H$8:$H$1007,MATCH(5,CRM!$P$8:$P$1007,0)),"")</f>
        <v/>
      </c>
      <c r="F31" s="34" t="str">
        <f ca="1">IFERROR(INDEX(CRM!$K$8:$K$1007,MATCH(5,CRM!$P$8:$P$1007,0)),"")</f>
        <v/>
      </c>
      <c r="G31" s="33" t="str">
        <f ca="1">IFERROR(INDEX(CRM!$N$8:$N$1007,MATCH(5,CRM!$P$8:$P$1007,0)),"")</f>
        <v/>
      </c>
      <c r="H31" s="32" t="str">
        <f ca="1">IFERROR(INDEX(CRM!$J$8:$J$1007,MATCH(5,CRM!$P$8:$P$1007,0)),"")</f>
        <v/>
      </c>
      <c r="I31" s="34" t="str">
        <f ca="1">IFERROR(INDEX(CRM!$O$8:$O$1007,MATCH(5,CRM!$P$8:$P$1007,0)),"")</f>
        <v/>
      </c>
    </row>
    <row r="32" spans="2:13" ht="21.75" customHeight="1" x14ac:dyDescent="0.25">
      <c r="B32" s="34" t="str">
        <f ca="1">IFERROR(INDEX(CRM!$B$8:$B$1007,MATCH(6,CRM!$P$8:$P$1007,0)),"")</f>
        <v/>
      </c>
      <c r="C32" s="34" t="str">
        <f ca="1">IFERROR(INDEX(CRM!$C$8:$C$1007,MATCH(6,CRM!$P$8:$P$1007,0)),"")</f>
        <v/>
      </c>
      <c r="D32" s="34" t="str">
        <f ca="1">IFERROR(INDEX(CRM!$F$8:$F$1007,MATCH(6,CRM!$P$8:$P$1007,0)),"")</f>
        <v/>
      </c>
      <c r="E32" s="34" t="str">
        <f ca="1">IFERROR(INDEX(CRM!$H$8:$H$1007,MATCH(6,CRM!$P$8:$P$1007,0)),"")</f>
        <v/>
      </c>
      <c r="F32" s="34" t="str">
        <f ca="1">IFERROR(INDEX(CRM!$K$8:$K$1007,MATCH(6,CRM!$P$8:$P$1007,0)),"")</f>
        <v/>
      </c>
      <c r="G32" s="33" t="str">
        <f ca="1">IFERROR(INDEX(CRM!$N$8:$N$1007,MATCH(6,CRM!$P$8:$P$1007,0)),"")</f>
        <v/>
      </c>
      <c r="H32" s="32" t="str">
        <f ca="1">IFERROR(INDEX(CRM!$J$8:$J$1007,MATCH(6,CRM!$P$8:$P$1007,0)),"")</f>
        <v/>
      </c>
      <c r="I32" s="34" t="str">
        <f ca="1">IFERROR(INDEX(CRM!$O$8:$O$1007,MATCH(6,CRM!$P$8:$P$1007,0)),"")</f>
        <v/>
      </c>
    </row>
    <row r="33" spans="2:9" ht="21.75" customHeight="1" x14ac:dyDescent="0.25">
      <c r="B33" s="34" t="str">
        <f ca="1">IFERROR(INDEX(CRM!$B$8:$B$1007,MATCH(7,CRM!$P$8:$P$1007,0)),"")</f>
        <v/>
      </c>
      <c r="C33" s="34" t="str">
        <f ca="1">IFERROR(INDEX(CRM!$C$8:$C$1007,MATCH(7,CRM!$P$8:$P$1007,0)),"")</f>
        <v/>
      </c>
      <c r="D33" s="34" t="str">
        <f ca="1">IFERROR(INDEX(CRM!$F$8:$F$1007,MATCH(7,CRM!$P$8:$P$1007,0)),"")</f>
        <v/>
      </c>
      <c r="E33" s="34" t="str">
        <f ca="1">IFERROR(INDEX(CRM!$H$8:$H$1007,MATCH(7,CRM!$P$8:$P$1007,0)),"")</f>
        <v/>
      </c>
      <c r="F33" s="34" t="str">
        <f ca="1">IFERROR(INDEX(CRM!$K$8:$K$1007,MATCH(7,CRM!$P$8:$P$1007,0)),"")</f>
        <v/>
      </c>
      <c r="G33" s="33" t="str">
        <f ca="1">IFERROR(INDEX(CRM!$N$8:$N$1007,MATCH(7,CRM!$P$8:$P$1007,0)),"")</f>
        <v/>
      </c>
      <c r="H33" s="32" t="str">
        <f ca="1">IFERROR(INDEX(CRM!$J$8:$J$1007,MATCH(7,CRM!$P$8:$P$1007,0)),"")</f>
        <v/>
      </c>
      <c r="I33" s="34" t="str">
        <f ca="1">IFERROR(INDEX(CRM!$O$8:$O$1007,MATCH(7,CRM!$P$8:$P$1007,0)),"")</f>
        <v/>
      </c>
    </row>
    <row r="34" spans="2:9" ht="21.75" customHeight="1" x14ac:dyDescent="0.25">
      <c r="B34" s="34" t="str">
        <f ca="1">IFERROR(INDEX(CRM!$B$8:$B$1007,MATCH(8,CRM!$P$8:$P$1007,0)),"")</f>
        <v/>
      </c>
      <c r="C34" s="34" t="str">
        <f ca="1">IFERROR(INDEX(CRM!$C$8:$C$1007,MATCH(8,CRM!$P$8:$P$1007,0)),"")</f>
        <v/>
      </c>
      <c r="D34" s="34" t="str">
        <f ca="1">IFERROR(INDEX(CRM!$F$8:$F$1007,MATCH(8,CRM!$P$8:$P$1007,0)),"")</f>
        <v/>
      </c>
      <c r="E34" s="34" t="str">
        <f ca="1">IFERROR(INDEX(CRM!$H$8:$H$1007,MATCH(8,CRM!$P$8:$P$1007,0)),"")</f>
        <v/>
      </c>
      <c r="F34" s="34" t="str">
        <f ca="1">IFERROR(INDEX(CRM!$K$8:$K$1007,MATCH(8,CRM!$P$8:$P$1007,0)),"")</f>
        <v/>
      </c>
      <c r="G34" s="33" t="str">
        <f ca="1">IFERROR(INDEX(CRM!$N$8:$N$1007,MATCH(8,CRM!$P$8:$P$1007,0)),"")</f>
        <v/>
      </c>
      <c r="H34" s="32" t="str">
        <f ca="1">IFERROR(INDEX(CRM!$J$8:$J$1007,MATCH(8,CRM!$P$8:$P$1007,0)),"")</f>
        <v/>
      </c>
      <c r="I34" s="34" t="str">
        <f ca="1">IFERROR(INDEX(CRM!$O$8:$O$1007,MATCH(8,CRM!$P$8:$P$1007,0)),"")</f>
        <v/>
      </c>
    </row>
    <row r="35" spans="2:9" ht="21.75" customHeight="1" x14ac:dyDescent="0.25">
      <c r="B35" s="34" t="str">
        <f ca="1">IFERROR(INDEX(CRM!$B$8:$B$1007,MATCH(9,CRM!$P$8:$P$1007,0)),"")</f>
        <v/>
      </c>
      <c r="C35" s="34" t="str">
        <f ca="1">IFERROR(INDEX(CRM!$C$8:$C$1007,MATCH(9,CRM!$P$8:$P$1007,0)),"")</f>
        <v/>
      </c>
      <c r="D35" s="34" t="str">
        <f ca="1">IFERROR(INDEX(CRM!$F$8:$F$1007,MATCH(9,CRM!$P$8:$P$1007,0)),"")</f>
        <v/>
      </c>
      <c r="E35" s="34" t="str">
        <f ca="1">IFERROR(INDEX(CRM!$H$8:$H$1007,MATCH(9,CRM!$P$8:$P$1007,0)),"")</f>
        <v/>
      </c>
      <c r="F35" s="34" t="str">
        <f ca="1">IFERROR(INDEX(CRM!$K$8:$K$1007,MATCH(9,CRM!$P$8:$P$1007,0)),"")</f>
        <v/>
      </c>
      <c r="G35" s="33" t="str">
        <f ca="1">IFERROR(INDEX(CRM!$N$8:$N$1007,MATCH(9,CRM!$P$8:$P$1007,0)),"")</f>
        <v/>
      </c>
      <c r="H35" s="32" t="str">
        <f ca="1">IFERROR(INDEX(CRM!$J$8:$J$1007,MATCH(9,CRM!$P$8:$P$1007,0)),"")</f>
        <v/>
      </c>
      <c r="I35" s="34" t="str">
        <f ca="1">IFERROR(INDEX(CRM!$O$8:$O$1007,MATCH(9,CRM!$P$8:$P$1007,0)),"")</f>
        <v/>
      </c>
    </row>
    <row r="36" spans="2:9" ht="21.75" customHeight="1" x14ac:dyDescent="0.25">
      <c r="B36" s="34" t="str">
        <f ca="1">IFERROR(INDEX(CRM!$B$8:$B$1007,MATCH(10,CRM!$P$8:$P$1007,0)),"")</f>
        <v/>
      </c>
      <c r="C36" s="34" t="str">
        <f ca="1">IFERROR(INDEX(CRM!$C$8:$C$1007,MATCH(10,CRM!$P$8:$P$1007,0)),"")</f>
        <v/>
      </c>
      <c r="D36" s="34" t="str">
        <f ca="1">IFERROR(INDEX(CRM!$F$8:$F$1007,MATCH(10,CRM!$P$8:$P$1007,0)),"")</f>
        <v/>
      </c>
      <c r="E36" s="34" t="str">
        <f ca="1">IFERROR(INDEX(CRM!$H$8:$H$1007,MATCH(10,CRM!$P$8:$P$1007,0)),"")</f>
        <v/>
      </c>
      <c r="F36" s="34" t="str">
        <f ca="1">IFERROR(INDEX(CRM!$K$8:$K$1007,MATCH(10,CRM!$P$8:$P$1007,0)),"")</f>
        <v/>
      </c>
      <c r="G36" s="33" t="str">
        <f ca="1">IFERROR(INDEX(CRM!$N$8:$N$1007,MATCH(10,CRM!$P$8:$P$1007,0)),"")</f>
        <v/>
      </c>
      <c r="H36" s="32" t="str">
        <f ca="1">IFERROR(INDEX(CRM!$J$8:$J$1007,MATCH(10,CRM!$P$8:$P$1007,0)),"")</f>
        <v/>
      </c>
      <c r="I36" s="34" t="str">
        <f ca="1">IFERROR(INDEX(CRM!$O$8:$O$1007,MATCH(10,CRM!$P$8:$P$1007,0)),"")</f>
        <v/>
      </c>
    </row>
    <row r="37" spans="2:9" ht="21.75" customHeight="1" x14ac:dyDescent="0.25">
      <c r="B37" s="34" t="str">
        <f ca="1">IFERROR(INDEX(CRM!$B$8:$B$1007,MATCH(11,CRM!$P$8:$P$1007,0)),"")</f>
        <v/>
      </c>
      <c r="C37" s="34" t="str">
        <f ca="1">IFERROR(INDEX(CRM!$C$8:$C$1007,MATCH(11,CRM!$P$8:$P$1007,0)),"")</f>
        <v/>
      </c>
      <c r="D37" s="34" t="str">
        <f ca="1">IFERROR(INDEX(CRM!$F$8:$F$1007,MATCH(11,CRM!$P$8:$P$1007,0)),"")</f>
        <v/>
      </c>
      <c r="E37" s="34" t="str">
        <f ca="1">IFERROR(INDEX(CRM!$H$8:$H$1007,MATCH(11,CRM!$P$8:$P$1007,0)),"")</f>
        <v/>
      </c>
      <c r="F37" s="34" t="str">
        <f ca="1">IFERROR(INDEX(CRM!$K$8:$K$1007,MATCH(11,CRM!$P$8:$P$1007,0)),"")</f>
        <v/>
      </c>
      <c r="G37" s="33" t="str">
        <f ca="1">IFERROR(INDEX(CRM!$N$8:$N$1007,MATCH(11,CRM!$P$8:$P$1007,0)),"")</f>
        <v/>
      </c>
      <c r="H37" s="32" t="str">
        <f ca="1">IFERROR(INDEX(CRM!$J$8:$J$1007,MATCH(11,CRM!$P$8:$P$1007,0)),"")</f>
        <v/>
      </c>
      <c r="I37" s="34" t="str">
        <f ca="1">IFERROR(INDEX(CRM!$O$8:$O$1007,MATCH(11,CRM!$P$8:$P$1007,0)),"")</f>
        <v/>
      </c>
    </row>
    <row r="38" spans="2:9" ht="21.75" customHeight="1" x14ac:dyDescent="0.25">
      <c r="B38" s="34" t="str">
        <f ca="1">IFERROR(INDEX(CRM!$B$8:$B$1007,MATCH(12,CRM!$P$8:$P$1007,0)),"")</f>
        <v/>
      </c>
      <c r="C38" s="34" t="str">
        <f ca="1">IFERROR(INDEX(CRM!$C$8:$C$1007,MATCH(12,CRM!$P$8:$P$1007,0)),"")</f>
        <v/>
      </c>
      <c r="D38" s="34" t="str">
        <f ca="1">IFERROR(INDEX(CRM!$F$8:$F$1007,MATCH(12,CRM!$P$8:$P$1007,0)),"")</f>
        <v/>
      </c>
      <c r="E38" s="34" t="str">
        <f ca="1">IFERROR(INDEX(CRM!$H$8:$H$1007,MATCH(12,CRM!$P$8:$P$1007,0)),"")</f>
        <v/>
      </c>
      <c r="F38" s="34" t="str">
        <f ca="1">IFERROR(INDEX(CRM!$K$8:$K$1007,MATCH(12,CRM!$P$8:$P$1007,0)),"")</f>
        <v/>
      </c>
      <c r="G38" s="33" t="str">
        <f ca="1">IFERROR(INDEX(CRM!$N$8:$N$1007,MATCH(12,CRM!$P$8:$P$1007,0)),"")</f>
        <v/>
      </c>
      <c r="H38" s="32" t="str">
        <f ca="1">IFERROR(INDEX(CRM!$J$8:$J$1007,MATCH(12,CRM!$P$8:$P$1007,0)),"")</f>
        <v/>
      </c>
      <c r="I38" s="34" t="str">
        <f ca="1">IFERROR(INDEX(CRM!$O$8:$O$1007,MATCH(12,CRM!$P$8:$P$1007,0)),"")</f>
        <v/>
      </c>
    </row>
    <row r="39" spans="2:9" ht="21.75" customHeight="1" x14ac:dyDescent="0.25"/>
    <row r="40" spans="2:9" ht="21.75" customHeight="1" x14ac:dyDescent="0.25"/>
    <row r="41" spans="2:9" ht="21.75" customHeight="1" x14ac:dyDescent="0.25"/>
    <row r="42" spans="2:9" ht="21.75" customHeight="1" x14ac:dyDescent="0.25"/>
    <row r="43" spans="2:9" ht="21.75" customHeight="1" x14ac:dyDescent="0.25"/>
    <row r="44" spans="2:9" ht="21.75" customHeight="1" x14ac:dyDescent="0.25"/>
    <row r="45" spans="2:9" ht="21.75" customHeight="1" x14ac:dyDescent="0.25"/>
    <row r="46" spans="2:9" ht="21.75" customHeight="1" x14ac:dyDescent="0.25"/>
    <row r="47" spans="2:9" ht="21.75" customHeight="1" x14ac:dyDescent="0.25"/>
    <row r="48" spans="2:9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</sheetData>
  <mergeCells count="19">
    <mergeCell ref="B1:O1"/>
    <mergeCell ref="B2:O2"/>
    <mergeCell ref="B4:D4"/>
    <mergeCell ref="E4:G4"/>
    <mergeCell ref="H4:J4"/>
    <mergeCell ref="K4:M4"/>
    <mergeCell ref="B5:D6"/>
    <mergeCell ref="E5:G6"/>
    <mergeCell ref="H5:J6"/>
    <mergeCell ref="K5:M6"/>
    <mergeCell ref="B8:D8"/>
    <mergeCell ref="E8:G8"/>
    <mergeCell ref="H8:J8"/>
    <mergeCell ref="K8:M8"/>
    <mergeCell ref="B9:D10"/>
    <mergeCell ref="E9:G10"/>
    <mergeCell ref="H9:J10"/>
    <mergeCell ref="K9:M10"/>
    <mergeCell ref="B25:I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O863"/>
  <sheetViews>
    <sheetView showGridLines="0" zoomScaleNormal="100" workbookViewId="0">
      <selection activeCell="J17" sqref="J17"/>
    </sheetView>
  </sheetViews>
  <sheetFormatPr baseColWidth="10" defaultColWidth="9.140625" defaultRowHeight="15" x14ac:dyDescent="0.25"/>
  <cols>
    <col min="3" max="3" width="4" customWidth="1"/>
    <col min="4" max="4" width="26" customWidth="1"/>
    <col min="5" max="5" width="4" customWidth="1"/>
    <col min="6" max="6" width="30" customWidth="1"/>
    <col min="7" max="7" width="4" customWidth="1"/>
    <col min="8" max="8" width="26" customWidth="1"/>
    <col min="9" max="9" width="5.140625" customWidth="1"/>
    <col min="10" max="10" width="26" customWidth="1"/>
    <col min="11" max="11" width="4.42578125" customWidth="1"/>
    <col min="12" max="12" width="24" customWidth="1"/>
    <col min="13" max="13" width="5.5703125" customWidth="1"/>
    <col min="14" max="14" width="23.7109375" customWidth="1"/>
  </cols>
  <sheetData>
    <row r="1" spans="3:15" ht="21.75" customHeight="1" x14ac:dyDescent="0.25">
      <c r="C1" s="46" t="s">
        <v>61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3:15" ht="21.75" customHeight="1" x14ac:dyDescent="0.25">
      <c r="C2" s="47" t="s">
        <v>62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3:15" ht="21.75" customHeight="1" x14ac:dyDescent="0.25"/>
    <row r="4" spans="3:15" ht="21.75" customHeight="1" x14ac:dyDescent="0.25">
      <c r="D4" s="4" t="s">
        <v>63</v>
      </c>
      <c r="F4" s="4" t="s">
        <v>58</v>
      </c>
      <c r="H4" s="4" t="s">
        <v>48</v>
      </c>
      <c r="J4" s="4" t="s">
        <v>36</v>
      </c>
      <c r="L4" s="4" t="s">
        <v>72</v>
      </c>
      <c r="N4" s="4" t="s">
        <v>73</v>
      </c>
    </row>
    <row r="5" spans="3:15" ht="21.75" customHeight="1" x14ac:dyDescent="0.25">
      <c r="D5" s="24" t="s">
        <v>39</v>
      </c>
      <c r="F5" s="24" t="s">
        <v>64</v>
      </c>
      <c r="H5" s="24" t="s">
        <v>50</v>
      </c>
      <c r="J5" s="24" t="s">
        <v>40</v>
      </c>
      <c r="L5" s="24" t="s">
        <v>74</v>
      </c>
      <c r="N5" s="24" t="s">
        <v>75</v>
      </c>
    </row>
    <row r="6" spans="3:15" ht="21.75" customHeight="1" x14ac:dyDescent="0.25">
      <c r="D6" s="24" t="s">
        <v>28</v>
      </c>
      <c r="F6" s="24" t="s">
        <v>65</v>
      </c>
      <c r="H6" s="24" t="s">
        <v>51</v>
      </c>
      <c r="J6" s="24" t="s">
        <v>41</v>
      </c>
      <c r="L6" s="24" t="s">
        <v>76</v>
      </c>
      <c r="N6" s="24" t="s">
        <v>77</v>
      </c>
    </row>
    <row r="7" spans="3:15" ht="21.75" customHeight="1" x14ac:dyDescent="0.25">
      <c r="D7" s="24" t="s">
        <v>42</v>
      </c>
      <c r="F7" s="24" t="s">
        <v>66</v>
      </c>
      <c r="H7" s="24" t="s">
        <v>52</v>
      </c>
      <c r="J7" s="24" t="s">
        <v>43</v>
      </c>
      <c r="L7" s="24" t="s">
        <v>78</v>
      </c>
      <c r="N7" s="24" t="s">
        <v>79</v>
      </c>
    </row>
    <row r="8" spans="3:15" ht="21.75" customHeight="1" x14ac:dyDescent="0.25">
      <c r="D8" s="24" t="s">
        <v>44</v>
      </c>
      <c r="F8" s="24" t="s">
        <v>67</v>
      </c>
      <c r="H8" s="44" t="s">
        <v>53</v>
      </c>
      <c r="J8" s="24" t="s">
        <v>45</v>
      </c>
      <c r="L8" s="24" t="s">
        <v>80</v>
      </c>
      <c r="N8" s="24" t="s">
        <v>81</v>
      </c>
    </row>
    <row r="9" spans="3:15" ht="21.75" customHeight="1" x14ac:dyDescent="0.25">
      <c r="D9" s="24" t="s">
        <v>46</v>
      </c>
      <c r="F9" s="24" t="s">
        <v>68</v>
      </c>
      <c r="H9" s="45"/>
      <c r="J9" s="24" t="s">
        <v>47</v>
      </c>
      <c r="L9" s="24" t="s">
        <v>82</v>
      </c>
      <c r="N9" s="24" t="s">
        <v>83</v>
      </c>
    </row>
    <row r="10" spans="3:15" ht="21.75" customHeight="1" x14ac:dyDescent="0.25">
      <c r="F10" s="24" t="s">
        <v>69</v>
      </c>
      <c r="H10" s="45"/>
      <c r="L10" s="24" t="s">
        <v>84</v>
      </c>
      <c r="N10" s="24" t="s">
        <v>85</v>
      </c>
    </row>
    <row r="11" spans="3:15" ht="21.75" customHeight="1" x14ac:dyDescent="0.25">
      <c r="F11" s="24" t="s">
        <v>70</v>
      </c>
      <c r="L11" s="24" t="s">
        <v>86</v>
      </c>
    </row>
    <row r="12" spans="3:15" ht="21.75" customHeight="1" x14ac:dyDescent="0.25">
      <c r="F12" s="40" t="s">
        <v>71</v>
      </c>
    </row>
    <row r="13" spans="3:15" ht="21.75" customHeight="1" x14ac:dyDescent="0.25"/>
    <row r="14" spans="3:15" ht="21.75" customHeight="1" x14ac:dyDescent="0.25"/>
    <row r="15" spans="3:15" ht="21.75" customHeight="1" x14ac:dyDescent="0.25"/>
    <row r="16" spans="3:15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spans="3:3" ht="21.75" customHeight="1" x14ac:dyDescent="0.25"/>
    <row r="34" spans="3:3" ht="21.75" customHeight="1" x14ac:dyDescent="0.25"/>
    <row r="35" spans="3:3" ht="21.75" customHeight="1" x14ac:dyDescent="0.25"/>
    <row r="36" spans="3:3" ht="21.75" customHeight="1" x14ac:dyDescent="0.25"/>
    <row r="37" spans="3:3" ht="21.75" customHeight="1" x14ac:dyDescent="0.25"/>
    <row r="38" spans="3:3" ht="21.75" customHeight="1" x14ac:dyDescent="0.25"/>
    <row r="39" spans="3:3" ht="21.75" customHeight="1" x14ac:dyDescent="0.25"/>
    <row r="40" spans="3:3" ht="21.75" customHeight="1" x14ac:dyDescent="0.25">
      <c r="C40" s="5"/>
    </row>
    <row r="41" spans="3:3" ht="21.75" customHeight="1" x14ac:dyDescent="0.25">
      <c r="C41" s="5"/>
    </row>
    <row r="42" spans="3:3" ht="21.75" customHeight="1" x14ac:dyDescent="0.25">
      <c r="C42" s="5"/>
    </row>
    <row r="43" spans="3:3" ht="21.75" customHeight="1" x14ac:dyDescent="0.25">
      <c r="C43" s="5"/>
    </row>
    <row r="44" spans="3:3" ht="21.75" customHeight="1" x14ac:dyDescent="0.25">
      <c r="C44" s="5"/>
    </row>
    <row r="45" spans="3:3" ht="21.75" customHeight="1" x14ac:dyDescent="0.25">
      <c r="C45" s="5"/>
    </row>
    <row r="46" spans="3:3" ht="21.75" customHeight="1" x14ac:dyDescent="0.25">
      <c r="C46" s="5"/>
    </row>
    <row r="47" spans="3:3" ht="21.75" customHeight="1" x14ac:dyDescent="0.25">
      <c r="C47" s="5"/>
    </row>
    <row r="48" spans="3:3" ht="21.75" customHeight="1" x14ac:dyDescent="0.25">
      <c r="C48" s="5"/>
    </row>
    <row r="49" spans="3:3" ht="21.75" customHeight="1" x14ac:dyDescent="0.25">
      <c r="C49" s="5"/>
    </row>
    <row r="50" spans="3:3" ht="21.75" customHeight="1" x14ac:dyDescent="0.25">
      <c r="C50" s="5"/>
    </row>
    <row r="51" spans="3:3" ht="21.75" customHeight="1" x14ac:dyDescent="0.25">
      <c r="C51" s="5"/>
    </row>
    <row r="52" spans="3:3" ht="21.75" customHeight="1" x14ac:dyDescent="0.25">
      <c r="C52" s="5"/>
    </row>
    <row r="53" spans="3:3" ht="21.75" customHeight="1" x14ac:dyDescent="0.25">
      <c r="C53" s="5"/>
    </row>
    <row r="54" spans="3:3" ht="21.75" customHeight="1" x14ac:dyDescent="0.25">
      <c r="C54" s="5"/>
    </row>
    <row r="55" spans="3:3" ht="21.75" customHeight="1" x14ac:dyDescent="0.25">
      <c r="C55" s="5"/>
    </row>
    <row r="56" spans="3:3" ht="21.75" customHeight="1" x14ac:dyDescent="0.25">
      <c r="C56" s="5"/>
    </row>
    <row r="57" spans="3:3" ht="21.75" customHeight="1" x14ac:dyDescent="0.25">
      <c r="C57" s="5"/>
    </row>
    <row r="58" spans="3:3" ht="21.75" customHeight="1" x14ac:dyDescent="0.25">
      <c r="C58" s="5"/>
    </row>
    <row r="59" spans="3:3" ht="21.75" customHeight="1" x14ac:dyDescent="0.25">
      <c r="C59" s="5"/>
    </row>
    <row r="60" spans="3:3" ht="21.75" customHeight="1" x14ac:dyDescent="0.25">
      <c r="C60" s="5"/>
    </row>
    <row r="61" spans="3:3" ht="21.75" customHeight="1" x14ac:dyDescent="0.25">
      <c r="C61" s="5"/>
    </row>
    <row r="62" spans="3:3" ht="21.75" customHeight="1" x14ac:dyDescent="0.25">
      <c r="C62" s="5"/>
    </row>
    <row r="63" spans="3:3" ht="21.75" customHeight="1" x14ac:dyDescent="0.25">
      <c r="C63" s="5"/>
    </row>
    <row r="64" spans="3:3" ht="21.75" customHeight="1" x14ac:dyDescent="0.25">
      <c r="C64" s="5"/>
    </row>
    <row r="65" spans="3:3" ht="21.75" customHeight="1" x14ac:dyDescent="0.25">
      <c r="C65" s="5"/>
    </row>
    <row r="66" spans="3:3" ht="21.75" customHeight="1" x14ac:dyDescent="0.25">
      <c r="C66" s="5"/>
    </row>
    <row r="67" spans="3:3" ht="21.75" customHeight="1" x14ac:dyDescent="0.25">
      <c r="C67" s="5"/>
    </row>
    <row r="68" spans="3:3" ht="21.75" customHeight="1" x14ac:dyDescent="0.25">
      <c r="C68" s="5"/>
    </row>
    <row r="69" spans="3:3" ht="21.75" customHeight="1" x14ac:dyDescent="0.25">
      <c r="C69" s="5"/>
    </row>
    <row r="70" spans="3:3" ht="21.75" customHeight="1" x14ac:dyDescent="0.25">
      <c r="C70" s="5"/>
    </row>
    <row r="71" spans="3:3" ht="21.75" customHeight="1" x14ac:dyDescent="0.25">
      <c r="C71" s="5"/>
    </row>
    <row r="72" spans="3:3" ht="21.75" customHeight="1" x14ac:dyDescent="0.25">
      <c r="C72" s="5"/>
    </row>
    <row r="73" spans="3:3" ht="21.75" customHeight="1" x14ac:dyDescent="0.25">
      <c r="C73" s="5"/>
    </row>
    <row r="74" spans="3:3" ht="21.75" customHeight="1" x14ac:dyDescent="0.25">
      <c r="C74" s="5"/>
    </row>
    <row r="75" spans="3:3" ht="21.75" customHeight="1" x14ac:dyDescent="0.25">
      <c r="C75" s="5"/>
    </row>
    <row r="76" spans="3:3" ht="21.75" customHeight="1" x14ac:dyDescent="0.25">
      <c r="C76" s="5"/>
    </row>
    <row r="77" spans="3:3" ht="21.75" customHeight="1" x14ac:dyDescent="0.25">
      <c r="C77" s="5"/>
    </row>
    <row r="78" spans="3:3" ht="21.75" customHeight="1" x14ac:dyDescent="0.25">
      <c r="C78" s="5"/>
    </row>
    <row r="79" spans="3:3" ht="21.75" customHeight="1" x14ac:dyDescent="0.25">
      <c r="C79" s="5"/>
    </row>
    <row r="80" spans="3:3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  <row r="855" ht="21.75" customHeight="1" x14ac:dyDescent="0.25"/>
    <row r="856" ht="21.75" customHeight="1" x14ac:dyDescent="0.25"/>
    <row r="857" ht="21.75" customHeight="1" x14ac:dyDescent="0.25"/>
    <row r="858" ht="21.75" customHeight="1" x14ac:dyDescent="0.25"/>
    <row r="859" ht="21.75" customHeight="1" x14ac:dyDescent="0.25"/>
    <row r="860" ht="21.75" customHeight="1" x14ac:dyDescent="0.25"/>
    <row r="861" ht="21.75" customHeight="1" x14ac:dyDescent="0.25"/>
    <row r="862" ht="21.75" customHeight="1" x14ac:dyDescent="0.25"/>
    <row r="863" ht="21.75" customHeight="1" x14ac:dyDescent="0.25"/>
  </sheetData>
  <mergeCells count="2">
    <mergeCell ref="C1:O1"/>
    <mergeCell ref="C2:O2"/>
  </mergeCells>
  <pageMargins left="0.75" right="0.75" top="1" bottom="1" header="0.511811023622047" footer="0.511811023622047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1007"/>
  <sheetViews>
    <sheetView showGridLines="0" zoomScale="70" zoomScaleNormal="70" workbookViewId="0">
      <pane ySplit="7" topLeftCell="A8" activePane="bottomLeft" state="frozen"/>
      <selection pane="bottomLeft" activeCell="G25" sqref="G25"/>
    </sheetView>
  </sheetViews>
  <sheetFormatPr baseColWidth="10" defaultColWidth="9.140625" defaultRowHeight="15" x14ac:dyDescent="0.25"/>
  <cols>
    <col min="2" max="2" width="10" customWidth="1"/>
    <col min="3" max="3" width="24" customWidth="1"/>
    <col min="4" max="4" width="28" customWidth="1"/>
    <col min="5" max="5" width="16" customWidth="1"/>
    <col min="6" max="6" width="18" customWidth="1"/>
    <col min="7" max="7" width="16" customWidth="1"/>
    <col min="8" max="8" width="26" customWidth="1"/>
    <col min="9" max="11" width="18" customWidth="1"/>
    <col min="12" max="13" width="16" customWidth="1"/>
    <col min="14" max="14" width="18" customWidth="1"/>
    <col min="15" max="15" width="28" customWidth="1"/>
    <col min="16" max="16" width="12" hidden="1" customWidth="1"/>
    <col min="17" max="19" width="9" customWidth="1"/>
  </cols>
  <sheetData>
    <row r="1" spans="2:19" ht="21.75" customHeight="1" x14ac:dyDescent="0.25">
      <c r="B1" s="12" t="s">
        <v>87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2:19" ht="21.75" customHeight="1" x14ac:dyDescent="0.25">
      <c r="B2" s="13" t="s">
        <v>88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2:19" ht="21.75" customHeight="1" x14ac:dyDescent="0.25"/>
    <row r="4" spans="2:19" ht="21.75" customHeight="1" x14ac:dyDescent="0.25">
      <c r="B4" s="14" t="s">
        <v>89</v>
      </c>
      <c r="C4" s="14"/>
      <c r="D4" s="14"/>
      <c r="E4" s="14" t="s">
        <v>27</v>
      </c>
      <c r="F4" s="14"/>
      <c r="G4" s="14"/>
      <c r="H4" s="14" t="s">
        <v>29</v>
      </c>
      <c r="I4" s="14"/>
      <c r="J4" s="14"/>
      <c r="K4" s="14" t="s">
        <v>30</v>
      </c>
      <c r="L4" s="14"/>
      <c r="M4" s="14"/>
      <c r="N4" s="14" t="s">
        <v>32</v>
      </c>
      <c r="O4" s="14"/>
      <c r="P4" s="14"/>
    </row>
    <row r="5" spans="2:19" ht="21.75" customHeight="1" x14ac:dyDescent="0.25">
      <c r="B5" s="16">
        <f>COUNTA(B8:B1007)</f>
        <v>10</v>
      </c>
      <c r="C5" s="16"/>
      <c r="D5" s="16"/>
      <c r="E5" s="15">
        <f>SUMIFS(J8:J1007,F8:F1007,"&lt;&gt;Perdida")</f>
        <v>11250000</v>
      </c>
      <c r="F5" s="15"/>
      <c r="G5" s="15"/>
      <c r="H5" s="15">
        <f>SUMIFS(J8:J1007,F8:F1007,"Cerrada")</f>
        <v>1900000</v>
      </c>
      <c r="I5" s="15"/>
      <c r="J5" s="15"/>
      <c r="K5" s="15">
        <f>SUM(Cobranza!L9:L1008)</f>
        <v>3500000</v>
      </c>
      <c r="L5" s="15"/>
      <c r="M5" s="15"/>
      <c r="N5" s="16">
        <f ca="1">COUNTIF(Cobranza!N9:N1008,"Vencida")</f>
        <v>1</v>
      </c>
      <c r="O5" s="16"/>
      <c r="P5" s="16"/>
    </row>
    <row r="6" spans="2:19" ht="21.75" customHeight="1" x14ac:dyDescent="0.25"/>
    <row r="7" spans="2:19" ht="28.5" customHeight="1" x14ac:dyDescent="0.25">
      <c r="B7" s="4" t="s">
        <v>55</v>
      </c>
      <c r="C7" s="4" t="s">
        <v>90</v>
      </c>
      <c r="D7" s="4" t="s">
        <v>91</v>
      </c>
      <c r="E7" s="4" t="s">
        <v>92</v>
      </c>
      <c r="F7" s="4" t="s">
        <v>63</v>
      </c>
      <c r="G7" s="4" t="s">
        <v>93</v>
      </c>
      <c r="H7" s="4" t="s">
        <v>58</v>
      </c>
      <c r="I7" s="4" t="s">
        <v>94</v>
      </c>
      <c r="J7" s="4" t="s">
        <v>95</v>
      </c>
      <c r="K7" s="4" t="s">
        <v>48</v>
      </c>
      <c r="L7" s="4" t="s">
        <v>72</v>
      </c>
      <c r="M7" s="4" t="s">
        <v>36</v>
      </c>
      <c r="N7" s="4" t="s">
        <v>59</v>
      </c>
      <c r="O7" s="4" t="s">
        <v>60</v>
      </c>
      <c r="P7" s="4" t="s">
        <v>96</v>
      </c>
      <c r="Q7" s="6"/>
      <c r="R7" s="6"/>
      <c r="S7" s="6"/>
    </row>
    <row r="8" spans="2:19" ht="21.75" customHeight="1" x14ac:dyDescent="0.25">
      <c r="B8" s="24">
        <v>1</v>
      </c>
      <c r="C8" s="24" t="s">
        <v>97</v>
      </c>
      <c r="D8" s="24" t="s">
        <v>98</v>
      </c>
      <c r="E8" s="24" t="s">
        <v>99</v>
      </c>
      <c r="F8" s="38" t="s">
        <v>39</v>
      </c>
      <c r="G8" s="27">
        <v>46144</v>
      </c>
      <c r="H8" s="24" t="s">
        <v>64</v>
      </c>
      <c r="I8" s="27">
        <v>46185</v>
      </c>
      <c r="J8" s="26">
        <v>1500000</v>
      </c>
      <c r="K8" s="24" t="s">
        <v>50</v>
      </c>
      <c r="L8" s="24" t="s">
        <v>76</v>
      </c>
      <c r="M8" s="24" t="str">
        <f>IF(B8="","",IF(COUNTIFS(Cobranza!$C$9:$C$1008,B8,Cobranza!$N$9:$N$1008,"Vencida")&gt;0,"Vencida",IF(COUNTIFS(Cobranza!$C$9:$C$1008,B8,Cobranza!$N$9:$N$1008,"Parcial")&gt;0,"Parcial",IF(COUNTIFS(Cobranza!$C$9:$C$1008,B8,Cobranza!$N$9:$N$1008,"Pendiente")&gt;0,"Pendiente",IF(COUNTIFS(Cobranza!$C$9:$C$1008,B8,Cobranza!$N$9:$N$1008,"Pagada")&gt;0,"Pagada","")))))</f>
        <v/>
      </c>
      <c r="N8" s="33">
        <f t="shared" ref="N8:N71" ca="1" si="0">IF(I8="","",MAX(0,TODAY()-I8))</f>
        <v>7</v>
      </c>
      <c r="O8" s="23" t="s">
        <v>100</v>
      </c>
      <c r="P8" s="7" t="str">
        <f ca="1">IF(AND(B8&lt;&gt;"",F8&lt;&gt;"Cerrada",F8&lt;&gt;"Perdida",N8&lt;&gt;"",N8&gt;14),COUNTIFS($F$8:$F8,"&lt;&gt;Cerrada",$F$8:$F8,"&lt;&gt;Perdida",$N$8:$N8,"&gt;14"),"")</f>
        <v/>
      </c>
      <c r="Q8" s="8"/>
      <c r="R8" s="9"/>
      <c r="S8" s="10"/>
    </row>
    <row r="9" spans="2:19" ht="21.75" customHeight="1" x14ac:dyDescent="0.25">
      <c r="B9" s="24">
        <v>2</v>
      </c>
      <c r="C9" s="24" t="s">
        <v>101</v>
      </c>
      <c r="D9" s="24" t="s">
        <v>102</v>
      </c>
      <c r="E9" s="24" t="s">
        <v>103</v>
      </c>
      <c r="F9" s="38" t="s">
        <v>28</v>
      </c>
      <c r="G9" s="27">
        <v>46122</v>
      </c>
      <c r="H9" s="24" t="s">
        <v>67</v>
      </c>
      <c r="I9" s="27">
        <v>46162</v>
      </c>
      <c r="J9" s="26">
        <v>1200000</v>
      </c>
      <c r="K9" s="24" t="s">
        <v>51</v>
      </c>
      <c r="L9" s="24" t="s">
        <v>74</v>
      </c>
      <c r="M9" s="24" t="str">
        <f>IF(B9="","",IF(COUNTIFS(Cobranza!$C$9:$C$1008,B9,Cobranza!$N$9:$N$1008,"Vencida")&gt;0,"Vencida",IF(COUNTIFS(Cobranza!$C$9:$C$1008,B9,Cobranza!$N$9:$N$1008,"Parcial")&gt;0,"Parcial",IF(COUNTIFS(Cobranza!$C$9:$C$1008,B9,Cobranza!$N$9:$N$1008,"Pendiente")&gt;0,"Pendiente",IF(COUNTIFS(Cobranza!$C$9:$C$1008,B9,Cobranza!$N$9:$N$1008,"Pagada")&gt;0,"Pagada","")))))</f>
        <v>Pagada</v>
      </c>
      <c r="N9" s="33">
        <f t="shared" ca="1" si="0"/>
        <v>30</v>
      </c>
      <c r="O9" s="23" t="s">
        <v>104</v>
      </c>
      <c r="P9" s="7">
        <f ca="1">IF(AND(B9&lt;&gt;"",F9&lt;&gt;"Cerrada",F9&lt;&gt;"Perdida",N9&lt;&gt;"",N9&gt;14),COUNTIFS($F$8:$F9,"&lt;&gt;Cerrada",$F$8:$F9,"&lt;&gt;Perdida",$N$8:$N9,"&gt;14"),"")</f>
        <v>1</v>
      </c>
      <c r="Q9" s="8"/>
      <c r="R9" s="9"/>
      <c r="S9" s="10"/>
    </row>
    <row r="10" spans="2:19" ht="21.75" customHeight="1" x14ac:dyDescent="0.25">
      <c r="B10" s="24">
        <v>3</v>
      </c>
      <c r="C10" s="24" t="s">
        <v>105</v>
      </c>
      <c r="D10" s="24" t="s">
        <v>106</v>
      </c>
      <c r="E10" s="24" t="s">
        <v>107</v>
      </c>
      <c r="F10" s="38" t="s">
        <v>42</v>
      </c>
      <c r="G10" s="27">
        <v>46096</v>
      </c>
      <c r="H10" s="24" t="s">
        <v>69</v>
      </c>
      <c r="I10" s="27">
        <v>46183</v>
      </c>
      <c r="J10" s="26">
        <v>800000</v>
      </c>
      <c r="K10" s="24" t="s">
        <v>50</v>
      </c>
      <c r="L10" s="24" t="s">
        <v>78</v>
      </c>
      <c r="M10" s="24" t="str">
        <f>IF(B10="","",IF(COUNTIFS(Cobranza!$C$9:$C$1008,B10,Cobranza!$N$9:$N$1008,"Vencida")&gt;0,"Vencida",IF(COUNTIFS(Cobranza!$C$9:$C$1008,B10,Cobranza!$N$9:$N$1008,"Parcial")&gt;0,"Parcial",IF(COUNTIFS(Cobranza!$C$9:$C$1008,B10,Cobranza!$N$9:$N$1008,"Pendiente")&gt;0,"Pendiente",IF(COUNTIFS(Cobranza!$C$9:$C$1008,B10,Cobranza!$N$9:$N$1008,"Pagada")&gt;0,"Pagada","")))))</f>
        <v>Pagada</v>
      </c>
      <c r="N10" s="33">
        <f t="shared" ca="1" si="0"/>
        <v>9</v>
      </c>
      <c r="O10" s="23" t="s">
        <v>108</v>
      </c>
      <c r="P10" s="7" t="str">
        <f ca="1">IF(AND(B10&lt;&gt;"",F10&lt;&gt;"Cerrada",F10&lt;&gt;"Perdida",N10&lt;&gt;"",N10&gt;14),COUNTIFS($F$8:$F10,"&lt;&gt;Cerrada",$F$8:$F10,"&lt;&gt;Perdida",$N$8:$N10,"&gt;14"),"")</f>
        <v/>
      </c>
      <c r="Q10" s="8"/>
      <c r="R10" s="9"/>
      <c r="S10" s="10"/>
    </row>
    <row r="11" spans="2:19" ht="21.75" customHeight="1" x14ac:dyDescent="0.25">
      <c r="B11" s="24">
        <v>4</v>
      </c>
      <c r="C11" s="24" t="s">
        <v>109</v>
      </c>
      <c r="D11" s="24" t="s">
        <v>110</v>
      </c>
      <c r="E11" s="24" t="s">
        <v>111</v>
      </c>
      <c r="F11" s="38" t="s">
        <v>28</v>
      </c>
      <c r="G11" s="27">
        <v>46134</v>
      </c>
      <c r="H11" s="24" t="s">
        <v>65</v>
      </c>
      <c r="I11" s="27">
        <v>46198</v>
      </c>
      <c r="J11" s="26">
        <v>2000000</v>
      </c>
      <c r="K11" s="24" t="s">
        <v>52</v>
      </c>
      <c r="L11" s="24" t="s">
        <v>80</v>
      </c>
      <c r="M11" s="24" t="str">
        <f>IF(B11="","",IF(COUNTIFS(Cobranza!$C$9:$C$1008,B11,Cobranza!$N$9:$N$1008,"Vencida")&gt;0,"Vencida",IF(COUNTIFS(Cobranza!$C$9:$C$1008,B11,Cobranza!$N$9:$N$1008,"Parcial")&gt;0,"Parcial",IF(COUNTIFS(Cobranza!$C$9:$C$1008,B11,Cobranza!$N$9:$N$1008,"Pendiente")&gt;0,"Pendiente",IF(COUNTIFS(Cobranza!$C$9:$C$1008,B11,Cobranza!$N$9:$N$1008,"Pagada")&gt;0,"Pagada","")))))</f>
        <v/>
      </c>
      <c r="N11" s="33">
        <f t="shared" ca="1" si="0"/>
        <v>0</v>
      </c>
      <c r="O11" s="23" t="s">
        <v>112</v>
      </c>
      <c r="P11" s="7" t="str">
        <f ca="1">IF(AND(B11&lt;&gt;"",F11&lt;&gt;"Cerrada",F11&lt;&gt;"Perdida",N11&lt;&gt;"",N11&gt;14),COUNTIFS($F$8:$F11,"&lt;&gt;Cerrada",$F$8:$F11,"&lt;&gt;Perdida",$N$8:$N11,"&gt;14"),"")</f>
        <v/>
      </c>
      <c r="Q11" s="8"/>
      <c r="R11" s="9"/>
      <c r="S11" s="10"/>
    </row>
    <row r="12" spans="2:19" ht="21.75" customHeight="1" x14ac:dyDescent="0.25">
      <c r="B12" s="24">
        <v>5</v>
      </c>
      <c r="C12" s="24" t="s">
        <v>113</v>
      </c>
      <c r="D12" s="24" t="s">
        <v>114</v>
      </c>
      <c r="E12" s="24" t="s">
        <v>115</v>
      </c>
      <c r="F12" s="38" t="s">
        <v>28</v>
      </c>
      <c r="G12" s="27">
        <v>46040</v>
      </c>
      <c r="H12" s="24" t="s">
        <v>66</v>
      </c>
      <c r="I12" s="27">
        <v>46186</v>
      </c>
      <c r="J12" s="26">
        <v>950000</v>
      </c>
      <c r="K12" s="24" t="s">
        <v>53</v>
      </c>
      <c r="L12" s="24" t="s">
        <v>84</v>
      </c>
      <c r="M12" s="24" t="str">
        <f>IF(B12="","",IF(COUNTIFS(Cobranza!$C$9:$C$1008,B12,Cobranza!$N$9:$N$1008,"Vencida")&gt;0,"Vencida",IF(COUNTIFS(Cobranza!$C$9:$C$1008,B12,Cobranza!$N$9:$N$1008,"Parcial")&gt;0,"Parcial",IF(COUNTIFS(Cobranza!$C$9:$C$1008,B12,Cobranza!$N$9:$N$1008,"Pendiente")&gt;0,"Pendiente",IF(COUNTIFS(Cobranza!$C$9:$C$1008,B12,Cobranza!$N$9:$N$1008,"Pagada")&gt;0,"Pagada","")))))</f>
        <v/>
      </c>
      <c r="N12" s="33">
        <f t="shared" ca="1" si="0"/>
        <v>6</v>
      </c>
      <c r="O12" s="23" t="s">
        <v>116</v>
      </c>
      <c r="P12" s="7" t="str">
        <f ca="1">IF(AND(B12&lt;&gt;"",F12&lt;&gt;"Cerrada",F12&lt;&gt;"Perdida",N12&lt;&gt;"",N12&gt;14),COUNTIFS($F$8:$F12,"&lt;&gt;Cerrada",$F$8:$F12,"&lt;&gt;Perdida",$N$8:$N12,"&gt;14"),"")</f>
        <v/>
      </c>
      <c r="Q12" s="8"/>
      <c r="R12" s="9"/>
      <c r="S12" s="10"/>
    </row>
    <row r="13" spans="2:19" ht="21.75" customHeight="1" x14ac:dyDescent="0.25">
      <c r="B13" s="24">
        <v>6</v>
      </c>
      <c r="C13" s="24" t="s">
        <v>117</v>
      </c>
      <c r="D13" s="24" t="s">
        <v>118</v>
      </c>
      <c r="E13" s="24" t="s">
        <v>119</v>
      </c>
      <c r="F13" s="38" t="s">
        <v>44</v>
      </c>
      <c r="G13" s="27">
        <v>46063</v>
      </c>
      <c r="H13" s="24"/>
      <c r="I13" s="27">
        <v>46182</v>
      </c>
      <c r="J13" s="26">
        <v>700000</v>
      </c>
      <c r="K13" s="24" t="s">
        <v>51</v>
      </c>
      <c r="L13" s="24" t="s">
        <v>82</v>
      </c>
      <c r="M13" s="24" t="str">
        <f>IF(B13="","",IF(COUNTIFS(Cobranza!$C$9:$C$1008,B13,Cobranza!$N$9:$N$1008,"Vencida")&gt;0,"Vencida",IF(COUNTIFS(Cobranza!$C$9:$C$1008,B13,Cobranza!$N$9:$N$1008,"Parcial")&gt;0,"Parcial",IF(COUNTIFS(Cobranza!$C$9:$C$1008,B13,Cobranza!$N$9:$N$1008,"Pendiente")&gt;0,"Pendiente",IF(COUNTIFS(Cobranza!$C$9:$C$1008,B13,Cobranza!$N$9:$N$1008,"Pagada")&gt;0,"Pagada","")))))</f>
        <v/>
      </c>
      <c r="N13" s="33">
        <f t="shared" ca="1" si="0"/>
        <v>10</v>
      </c>
      <c r="O13" s="23" t="s">
        <v>120</v>
      </c>
      <c r="P13" s="7" t="str">
        <f ca="1">IF(AND(B13&lt;&gt;"",F13&lt;&gt;"Cerrada",F13&lt;&gt;"Perdida",N13&lt;&gt;"",N13&gt;14),COUNTIFS($F$8:$F13,"&lt;&gt;Cerrada",$F$8:$F13,"&lt;&gt;Perdida",$N$8:$N13,"&gt;14"),"")</f>
        <v/>
      </c>
      <c r="Q13" s="8"/>
      <c r="R13" s="9"/>
      <c r="S13" s="10"/>
    </row>
    <row r="14" spans="2:19" ht="21.75" customHeight="1" x14ac:dyDescent="0.25">
      <c r="B14" s="24">
        <v>7</v>
      </c>
      <c r="C14" s="24" t="s">
        <v>121</v>
      </c>
      <c r="D14" s="24" t="s">
        <v>122</v>
      </c>
      <c r="E14" s="24" t="s">
        <v>123</v>
      </c>
      <c r="F14" s="38" t="s">
        <v>28</v>
      </c>
      <c r="G14" s="27">
        <v>46143</v>
      </c>
      <c r="H14" s="24" t="s">
        <v>68</v>
      </c>
      <c r="I14" s="27">
        <v>46170</v>
      </c>
      <c r="J14" s="26">
        <v>1800000</v>
      </c>
      <c r="K14" s="24" t="s">
        <v>50</v>
      </c>
      <c r="L14" s="24" t="s">
        <v>78</v>
      </c>
      <c r="M14" s="24" t="str">
        <f ca="1">IF(B14="","",IF(COUNTIFS(Cobranza!$C$9:$C$1008,B14,Cobranza!$N$9:$N$1008,"Vencida")&gt;0,"Vencida",IF(COUNTIFS(Cobranza!$C$9:$C$1008,B14,Cobranza!$N$9:$N$1008,"Parcial")&gt;0,"Parcial",IF(COUNTIFS(Cobranza!$C$9:$C$1008,B14,Cobranza!$N$9:$N$1008,"Pendiente")&gt;0,"Pendiente",IF(COUNTIFS(Cobranza!$C$9:$C$1008,B14,Cobranza!$N$9:$N$1008,"Pagada")&gt;0,"Pagada","")))))</f>
        <v>Parcial</v>
      </c>
      <c r="N14" s="33">
        <f t="shared" ca="1" si="0"/>
        <v>22</v>
      </c>
      <c r="O14" s="23" t="s">
        <v>124</v>
      </c>
      <c r="P14" s="7">
        <f ca="1">IF(AND(B14&lt;&gt;"",F14&lt;&gt;"Cerrada",F14&lt;&gt;"Perdida",N14&lt;&gt;"",N14&gt;14),COUNTIFS($F$8:$F14,"&lt;&gt;Cerrada",$F$8:$F14,"&lt;&gt;Perdida",$N$8:$N14,"&gt;14"),"")</f>
        <v>2</v>
      </c>
      <c r="Q14" s="8"/>
      <c r="R14" s="9"/>
      <c r="S14" s="10"/>
    </row>
    <row r="15" spans="2:19" ht="21.75" customHeight="1" x14ac:dyDescent="0.25">
      <c r="B15" s="24">
        <v>8</v>
      </c>
      <c r="C15" s="24" t="s">
        <v>125</v>
      </c>
      <c r="D15" s="24" t="s">
        <v>126</v>
      </c>
      <c r="E15" s="24" t="s">
        <v>127</v>
      </c>
      <c r="F15" s="38" t="s">
        <v>42</v>
      </c>
      <c r="G15" s="27">
        <v>46101</v>
      </c>
      <c r="H15" s="24" t="s">
        <v>69</v>
      </c>
      <c r="I15" s="27">
        <v>46184</v>
      </c>
      <c r="J15" s="26">
        <v>1100000</v>
      </c>
      <c r="K15" s="24" t="s">
        <v>52</v>
      </c>
      <c r="L15" s="24" t="s">
        <v>76</v>
      </c>
      <c r="M15" s="24" t="str">
        <f ca="1">IF(B15="","",IF(COUNTIFS(Cobranza!$C$9:$C$1008,B15,Cobranza!$N$9:$N$1008,"Vencida")&gt;0,"Vencida",IF(COUNTIFS(Cobranza!$C$9:$C$1008,B15,Cobranza!$N$9:$N$1008,"Parcial")&gt;0,"Parcial",IF(COUNTIFS(Cobranza!$C$9:$C$1008,B15,Cobranza!$N$9:$N$1008,"Pendiente")&gt;0,"Pendiente",IF(COUNTIFS(Cobranza!$C$9:$C$1008,B15,Cobranza!$N$9:$N$1008,"Pagada")&gt;0,"Pagada","")))))</f>
        <v>Vencida</v>
      </c>
      <c r="N15" s="33">
        <f t="shared" ca="1" si="0"/>
        <v>8</v>
      </c>
      <c r="O15" s="23" t="s">
        <v>128</v>
      </c>
      <c r="P15" s="7" t="str">
        <f ca="1">IF(AND(B15&lt;&gt;"",F15&lt;&gt;"Cerrada",F15&lt;&gt;"Perdida",N15&lt;&gt;"",N15&gt;14),COUNTIFS($F$8:$F15,"&lt;&gt;Cerrada",$F$8:$F15,"&lt;&gt;Perdida",$N$8:$N15,"&gt;14"),"")</f>
        <v/>
      </c>
      <c r="Q15" s="8"/>
      <c r="R15" s="9"/>
      <c r="S15" s="10"/>
    </row>
    <row r="16" spans="2:19" ht="21.75" customHeight="1" x14ac:dyDescent="0.25">
      <c r="B16" s="24">
        <v>9</v>
      </c>
      <c r="C16" s="24" t="s">
        <v>129</v>
      </c>
      <c r="D16" s="24" t="s">
        <v>130</v>
      </c>
      <c r="E16" s="24" t="s">
        <v>131</v>
      </c>
      <c r="F16" s="38" t="s">
        <v>46</v>
      </c>
      <c r="G16" s="27">
        <v>46117</v>
      </c>
      <c r="H16" s="24" t="s">
        <v>70</v>
      </c>
      <c r="I16" s="27">
        <v>46180</v>
      </c>
      <c r="J16" s="26">
        <v>600000</v>
      </c>
      <c r="K16" s="24" t="s">
        <v>53</v>
      </c>
      <c r="L16" s="24" t="s">
        <v>84</v>
      </c>
      <c r="M16" s="24" t="str">
        <f>IF(B16="","",IF(COUNTIFS(Cobranza!$C$9:$C$1008,B16,Cobranza!$N$9:$N$1008,"Vencida")&gt;0,"Vencida",IF(COUNTIFS(Cobranza!$C$9:$C$1008,B16,Cobranza!$N$9:$N$1008,"Parcial")&gt;0,"Parcial",IF(COUNTIFS(Cobranza!$C$9:$C$1008,B16,Cobranza!$N$9:$N$1008,"Pendiente")&gt;0,"Pendiente",IF(COUNTIFS(Cobranza!$C$9:$C$1008,B16,Cobranza!$N$9:$N$1008,"Pagada")&gt;0,"Pagada","")))))</f>
        <v/>
      </c>
      <c r="N16" s="33">
        <f t="shared" ca="1" si="0"/>
        <v>12</v>
      </c>
      <c r="O16" s="23" t="s">
        <v>132</v>
      </c>
      <c r="P16" s="7" t="str">
        <f ca="1">IF(AND(B16&lt;&gt;"",F16&lt;&gt;"Cerrada",F16&lt;&gt;"Perdida",N16&lt;&gt;"",N16&gt;14),COUNTIFS($F$8:$F16,"&lt;&gt;Cerrada",$F$8:$F16,"&lt;&gt;Perdida",$N$8:$N16,"&gt;14"),"")</f>
        <v/>
      </c>
      <c r="Q16" s="8"/>
      <c r="R16" s="9"/>
      <c r="S16" s="10"/>
    </row>
    <row r="17" spans="2:19" ht="21.75" customHeight="1" x14ac:dyDescent="0.25">
      <c r="B17" s="24">
        <v>10</v>
      </c>
      <c r="C17" s="24" t="s">
        <v>133</v>
      </c>
      <c r="D17" s="24" t="s">
        <v>134</v>
      </c>
      <c r="E17" s="24" t="s">
        <v>135</v>
      </c>
      <c r="F17" s="38" t="s">
        <v>39</v>
      </c>
      <c r="G17" s="27">
        <v>46174</v>
      </c>
      <c r="H17" s="24" t="s">
        <v>65</v>
      </c>
      <c r="I17" s="27">
        <v>46187</v>
      </c>
      <c r="J17" s="26">
        <v>1300000</v>
      </c>
      <c r="K17" s="24" t="s">
        <v>51</v>
      </c>
      <c r="L17" s="24" t="s">
        <v>74</v>
      </c>
      <c r="M17" s="24" t="str">
        <f ca="1">IF(B17="","",IF(COUNTIFS(Cobranza!$C$9:$C$1008,B17,Cobranza!$N$9:$N$1008,"Vencida")&gt;0,"Vencida",IF(COUNTIFS(Cobranza!$C$9:$C$1008,B17,Cobranza!$N$9:$N$1008,"Parcial")&gt;0,"Parcial",IF(COUNTIFS(Cobranza!$C$9:$C$1008,B17,Cobranza!$N$9:$N$1008,"Pendiente")&gt;0,"Pendiente",IF(COUNTIFS(Cobranza!$C$9:$C$1008,B17,Cobranza!$N$9:$N$1008,"Pagada")&gt;0,"Pagada","")))))</f>
        <v>Pendiente</v>
      </c>
      <c r="N17" s="33">
        <f t="shared" ca="1" si="0"/>
        <v>5</v>
      </c>
      <c r="O17" s="23" t="s">
        <v>136</v>
      </c>
      <c r="P17" s="7" t="str">
        <f ca="1">IF(AND(B17&lt;&gt;"",F17&lt;&gt;"Cerrada",F17&lt;&gt;"Perdida",N17&lt;&gt;"",N17&gt;14),COUNTIFS($F$8:$F17,"&lt;&gt;Cerrada",$F$8:$F17,"&lt;&gt;Perdida",$N$8:$N17,"&gt;14"),"")</f>
        <v/>
      </c>
      <c r="Q17" s="8"/>
      <c r="R17" s="9"/>
      <c r="S17" s="10"/>
    </row>
    <row r="18" spans="2:19" ht="21.75" customHeight="1" x14ac:dyDescent="0.25">
      <c r="B18" s="24"/>
      <c r="C18" s="24"/>
      <c r="D18" s="24"/>
      <c r="E18" s="24"/>
      <c r="F18" s="38"/>
      <c r="G18" s="27"/>
      <c r="H18" s="24"/>
      <c r="I18" s="27"/>
      <c r="J18" s="26"/>
      <c r="K18" s="24"/>
      <c r="L18" s="24"/>
      <c r="M18" s="24" t="str">
        <f>IF(B18="","",IF(COUNTIFS(Cobranza!$C$9:$C$1008,B18,Cobranza!$N$9:$N$1008,"Vencida")&gt;0,"Vencida",IF(COUNTIFS(Cobranza!$C$9:$C$1008,B18,Cobranza!$N$9:$N$1008,"Parcial")&gt;0,"Parcial",IF(COUNTIFS(Cobranza!$C$9:$C$1008,B18,Cobranza!$N$9:$N$1008,"Pendiente")&gt;0,"Pendiente",IF(COUNTIFS(Cobranza!$C$9:$C$1008,B18,Cobranza!$N$9:$N$1008,"Pagada")&gt;0,"Pagada","")))))</f>
        <v/>
      </c>
      <c r="N18" s="33" t="str">
        <f t="shared" ca="1" si="0"/>
        <v/>
      </c>
      <c r="O18" s="23"/>
      <c r="P18" s="7" t="str">
        <f ca="1">IF(AND(B18&lt;&gt;"",F18&lt;&gt;"Cerrada",F18&lt;&gt;"Perdida",N18&lt;&gt;"",N18&gt;14),COUNTIFS($F$8:$F18,"&lt;&gt;Cerrada",$F$8:$F18,"&lt;&gt;Perdida",$N$8:$N18,"&gt;14"),"")</f>
        <v/>
      </c>
      <c r="Q18" s="8"/>
      <c r="R18" s="9"/>
      <c r="S18" s="10"/>
    </row>
    <row r="19" spans="2:19" ht="21.75" customHeight="1" x14ac:dyDescent="0.25">
      <c r="B19" s="24"/>
      <c r="C19" s="24"/>
      <c r="D19" s="24"/>
      <c r="E19" s="24"/>
      <c r="F19" s="38"/>
      <c r="G19" s="27"/>
      <c r="H19" s="24"/>
      <c r="I19" s="27"/>
      <c r="J19" s="26"/>
      <c r="K19" s="24"/>
      <c r="L19" s="24"/>
      <c r="M19" s="24" t="str">
        <f>IF(B19="","",IF(COUNTIFS(Cobranza!$C$9:$C$1008,B19,Cobranza!$N$9:$N$1008,"Vencida")&gt;0,"Vencida",IF(COUNTIFS(Cobranza!$C$9:$C$1008,B19,Cobranza!$N$9:$N$1008,"Parcial")&gt;0,"Parcial",IF(COUNTIFS(Cobranza!$C$9:$C$1008,B19,Cobranza!$N$9:$N$1008,"Pendiente")&gt;0,"Pendiente",IF(COUNTIFS(Cobranza!$C$9:$C$1008,B19,Cobranza!$N$9:$N$1008,"Pagada")&gt;0,"Pagada","")))))</f>
        <v/>
      </c>
      <c r="N19" s="33" t="str">
        <f t="shared" ca="1" si="0"/>
        <v/>
      </c>
      <c r="O19" s="23"/>
      <c r="P19" s="7" t="str">
        <f ca="1">IF(AND(B19&lt;&gt;"",F19&lt;&gt;"Cerrada",F19&lt;&gt;"Perdida",N19&lt;&gt;"",N19&gt;14),COUNTIFS($F$8:$F19,"&lt;&gt;Cerrada",$F$8:$F19,"&lt;&gt;Perdida",$N$8:$N19,"&gt;14"),"")</f>
        <v/>
      </c>
      <c r="Q19" s="8"/>
      <c r="R19" s="9"/>
      <c r="S19" s="10"/>
    </row>
    <row r="20" spans="2:19" ht="21.75" customHeight="1" x14ac:dyDescent="0.25">
      <c r="B20" s="24"/>
      <c r="C20" s="24"/>
      <c r="D20" s="24"/>
      <c r="E20" s="24"/>
      <c r="F20" s="38"/>
      <c r="G20" s="27"/>
      <c r="H20" s="24"/>
      <c r="I20" s="27"/>
      <c r="J20" s="26"/>
      <c r="K20" s="24"/>
      <c r="L20" s="24"/>
      <c r="M20" s="24" t="str">
        <f>IF(B20="","",IF(COUNTIFS(Cobranza!$C$9:$C$1008,B20,Cobranza!$N$9:$N$1008,"Vencida")&gt;0,"Vencida",IF(COUNTIFS(Cobranza!$C$9:$C$1008,B20,Cobranza!$N$9:$N$1008,"Parcial")&gt;0,"Parcial",IF(COUNTIFS(Cobranza!$C$9:$C$1008,B20,Cobranza!$N$9:$N$1008,"Pendiente")&gt;0,"Pendiente",IF(COUNTIFS(Cobranza!$C$9:$C$1008,B20,Cobranza!$N$9:$N$1008,"Pagada")&gt;0,"Pagada","")))))</f>
        <v/>
      </c>
      <c r="N20" s="33" t="str">
        <f t="shared" ca="1" si="0"/>
        <v/>
      </c>
      <c r="O20" s="23"/>
      <c r="P20" s="7" t="str">
        <f ca="1">IF(AND(B20&lt;&gt;"",F20&lt;&gt;"Cerrada",F20&lt;&gt;"Perdida",N20&lt;&gt;"",N20&gt;14),COUNTIFS($F$8:$F20,"&lt;&gt;Cerrada",$F$8:$F20,"&lt;&gt;Perdida",$N$8:$N20,"&gt;14"),"")</f>
        <v/>
      </c>
      <c r="Q20" s="8"/>
      <c r="R20" s="9"/>
      <c r="S20" s="10"/>
    </row>
    <row r="21" spans="2:19" ht="21.75" customHeight="1" x14ac:dyDescent="0.25">
      <c r="B21" s="24"/>
      <c r="C21" s="24"/>
      <c r="D21" s="24"/>
      <c r="E21" s="24"/>
      <c r="F21" s="38"/>
      <c r="G21" s="27"/>
      <c r="H21" s="24"/>
      <c r="I21" s="27"/>
      <c r="J21" s="26"/>
      <c r="K21" s="24"/>
      <c r="L21" s="24"/>
      <c r="M21" s="24" t="str">
        <f>IF(B21="","",IF(COUNTIFS(Cobranza!$C$9:$C$1008,B21,Cobranza!$N$9:$N$1008,"Vencida")&gt;0,"Vencida",IF(COUNTIFS(Cobranza!$C$9:$C$1008,B21,Cobranza!$N$9:$N$1008,"Parcial")&gt;0,"Parcial",IF(COUNTIFS(Cobranza!$C$9:$C$1008,B21,Cobranza!$N$9:$N$1008,"Pendiente")&gt;0,"Pendiente",IF(COUNTIFS(Cobranza!$C$9:$C$1008,B21,Cobranza!$N$9:$N$1008,"Pagada")&gt;0,"Pagada","")))))</f>
        <v/>
      </c>
      <c r="N21" s="33" t="str">
        <f t="shared" ca="1" si="0"/>
        <v/>
      </c>
      <c r="O21" s="23"/>
      <c r="P21" s="7" t="str">
        <f ca="1">IF(AND(B21&lt;&gt;"",F21&lt;&gt;"Cerrada",F21&lt;&gt;"Perdida",N21&lt;&gt;"",N21&gt;14),COUNTIFS($F$8:$F21,"&lt;&gt;Cerrada",$F$8:$F21,"&lt;&gt;Perdida",$N$8:$N21,"&gt;14"),"")</f>
        <v/>
      </c>
      <c r="Q21" s="8"/>
      <c r="R21" s="9"/>
      <c r="S21" s="10"/>
    </row>
    <row r="22" spans="2:19" ht="21.75" customHeight="1" x14ac:dyDescent="0.25">
      <c r="B22" s="24"/>
      <c r="C22" s="24"/>
      <c r="D22" s="24"/>
      <c r="E22" s="24"/>
      <c r="F22" s="38"/>
      <c r="G22" s="27"/>
      <c r="H22" s="24"/>
      <c r="I22" s="27"/>
      <c r="J22" s="26"/>
      <c r="K22" s="24"/>
      <c r="L22" s="24"/>
      <c r="M22" s="24" t="str">
        <f>IF(B22="","",IF(COUNTIFS(Cobranza!$C$9:$C$1008,B22,Cobranza!$N$9:$N$1008,"Vencida")&gt;0,"Vencida",IF(COUNTIFS(Cobranza!$C$9:$C$1008,B22,Cobranza!$N$9:$N$1008,"Parcial")&gt;0,"Parcial",IF(COUNTIFS(Cobranza!$C$9:$C$1008,B22,Cobranza!$N$9:$N$1008,"Pendiente")&gt;0,"Pendiente",IF(COUNTIFS(Cobranza!$C$9:$C$1008,B22,Cobranza!$N$9:$N$1008,"Pagada")&gt;0,"Pagada","")))))</f>
        <v/>
      </c>
      <c r="N22" s="33" t="str">
        <f t="shared" ca="1" si="0"/>
        <v/>
      </c>
      <c r="O22" s="23"/>
      <c r="P22" s="7" t="str">
        <f ca="1">IF(AND(B22&lt;&gt;"",F22&lt;&gt;"Cerrada",F22&lt;&gt;"Perdida",N22&lt;&gt;"",N22&gt;14),COUNTIFS($F$8:$F22,"&lt;&gt;Cerrada",$F$8:$F22,"&lt;&gt;Perdida",$N$8:$N22,"&gt;14"),"")</f>
        <v/>
      </c>
      <c r="Q22" s="8"/>
      <c r="R22" s="9"/>
      <c r="S22" s="10"/>
    </row>
    <row r="23" spans="2:19" ht="21.75" customHeight="1" x14ac:dyDescent="0.25">
      <c r="B23" s="24"/>
      <c r="C23" s="24"/>
      <c r="D23" s="24"/>
      <c r="E23" s="24"/>
      <c r="F23" s="38"/>
      <c r="G23" s="27"/>
      <c r="H23" s="24"/>
      <c r="I23" s="27"/>
      <c r="J23" s="26"/>
      <c r="K23" s="24"/>
      <c r="L23" s="24"/>
      <c r="M23" s="24" t="str">
        <f>IF(B23="","",IF(COUNTIFS(Cobranza!$C$9:$C$1008,B23,Cobranza!$N$9:$N$1008,"Vencida")&gt;0,"Vencida",IF(COUNTIFS(Cobranza!$C$9:$C$1008,B23,Cobranza!$N$9:$N$1008,"Parcial")&gt;0,"Parcial",IF(COUNTIFS(Cobranza!$C$9:$C$1008,B23,Cobranza!$N$9:$N$1008,"Pendiente")&gt;0,"Pendiente",IF(COUNTIFS(Cobranza!$C$9:$C$1008,B23,Cobranza!$N$9:$N$1008,"Pagada")&gt;0,"Pagada","")))))</f>
        <v/>
      </c>
      <c r="N23" s="33" t="str">
        <f t="shared" ca="1" si="0"/>
        <v/>
      </c>
      <c r="O23" s="23"/>
      <c r="P23" s="7" t="str">
        <f ca="1">IF(AND(B23&lt;&gt;"",F23&lt;&gt;"Cerrada",F23&lt;&gt;"Perdida",N23&lt;&gt;"",N23&gt;14),COUNTIFS($F$8:$F23,"&lt;&gt;Cerrada",$F$8:$F23,"&lt;&gt;Perdida",$N$8:$N23,"&gt;14"),"")</f>
        <v/>
      </c>
      <c r="Q23" s="8"/>
      <c r="R23" s="9"/>
      <c r="S23" s="10"/>
    </row>
    <row r="24" spans="2:19" ht="21.75" customHeight="1" x14ac:dyDescent="0.25">
      <c r="B24" s="24"/>
      <c r="C24" s="24"/>
      <c r="D24" s="24"/>
      <c r="E24" s="24"/>
      <c r="F24" s="38"/>
      <c r="G24" s="27"/>
      <c r="H24" s="24"/>
      <c r="I24" s="27"/>
      <c r="J24" s="26"/>
      <c r="K24" s="24"/>
      <c r="L24" s="24"/>
      <c r="M24" s="24" t="str">
        <f>IF(B24="","",IF(COUNTIFS(Cobranza!$C$9:$C$1008,B24,Cobranza!$N$9:$N$1008,"Vencida")&gt;0,"Vencida",IF(COUNTIFS(Cobranza!$C$9:$C$1008,B24,Cobranza!$N$9:$N$1008,"Parcial")&gt;0,"Parcial",IF(COUNTIFS(Cobranza!$C$9:$C$1008,B24,Cobranza!$N$9:$N$1008,"Pendiente")&gt;0,"Pendiente",IF(COUNTIFS(Cobranza!$C$9:$C$1008,B24,Cobranza!$N$9:$N$1008,"Pagada")&gt;0,"Pagada","")))))</f>
        <v/>
      </c>
      <c r="N24" s="33" t="str">
        <f t="shared" ca="1" si="0"/>
        <v/>
      </c>
      <c r="O24" s="23"/>
      <c r="P24" s="7" t="str">
        <f ca="1">IF(AND(B24&lt;&gt;"",F24&lt;&gt;"Cerrada",F24&lt;&gt;"Perdida",N24&lt;&gt;"",N24&gt;14),COUNTIFS($F$8:$F24,"&lt;&gt;Cerrada",$F$8:$F24,"&lt;&gt;Perdida",$N$8:$N24,"&gt;14"),"")</f>
        <v/>
      </c>
      <c r="Q24" s="8"/>
      <c r="R24" s="9"/>
      <c r="S24" s="10"/>
    </row>
    <row r="25" spans="2:19" ht="21.75" customHeight="1" x14ac:dyDescent="0.25">
      <c r="B25" s="24"/>
      <c r="C25" s="24"/>
      <c r="D25" s="24"/>
      <c r="E25" s="24"/>
      <c r="F25" s="38"/>
      <c r="G25" s="27"/>
      <c r="H25" s="24"/>
      <c r="I25" s="27"/>
      <c r="J25" s="26"/>
      <c r="K25" s="24"/>
      <c r="L25" s="24"/>
      <c r="M25" s="24" t="str">
        <f>IF(B25="","",IF(COUNTIFS(Cobranza!$C$9:$C$1008,B25,Cobranza!$N$9:$N$1008,"Vencida")&gt;0,"Vencida",IF(COUNTIFS(Cobranza!$C$9:$C$1008,B25,Cobranza!$N$9:$N$1008,"Parcial")&gt;0,"Parcial",IF(COUNTIFS(Cobranza!$C$9:$C$1008,B25,Cobranza!$N$9:$N$1008,"Pendiente")&gt;0,"Pendiente",IF(COUNTIFS(Cobranza!$C$9:$C$1008,B25,Cobranza!$N$9:$N$1008,"Pagada")&gt;0,"Pagada","")))))</f>
        <v/>
      </c>
      <c r="N25" s="33" t="str">
        <f t="shared" ca="1" si="0"/>
        <v/>
      </c>
      <c r="O25" s="23"/>
      <c r="P25" s="7" t="str">
        <f ca="1">IF(AND(B25&lt;&gt;"",F25&lt;&gt;"Cerrada",F25&lt;&gt;"Perdida",N25&lt;&gt;"",N25&gt;14),COUNTIFS($F$8:$F25,"&lt;&gt;Cerrada",$F$8:$F25,"&lt;&gt;Perdida",$N$8:$N25,"&gt;14"),"")</f>
        <v/>
      </c>
      <c r="Q25" s="8"/>
      <c r="R25" s="9"/>
      <c r="S25" s="10"/>
    </row>
    <row r="26" spans="2:19" ht="21.75" customHeight="1" x14ac:dyDescent="0.25">
      <c r="B26" s="24"/>
      <c r="C26" s="24"/>
      <c r="D26" s="24"/>
      <c r="E26" s="24"/>
      <c r="F26" s="38"/>
      <c r="G26" s="27"/>
      <c r="H26" s="24"/>
      <c r="I26" s="27"/>
      <c r="J26" s="26"/>
      <c r="K26" s="24"/>
      <c r="L26" s="24"/>
      <c r="M26" s="24" t="str">
        <f>IF(B26="","",IF(COUNTIFS(Cobranza!$C$9:$C$1008,B26,Cobranza!$N$9:$N$1008,"Vencida")&gt;0,"Vencida",IF(COUNTIFS(Cobranza!$C$9:$C$1008,B26,Cobranza!$N$9:$N$1008,"Parcial")&gt;0,"Parcial",IF(COUNTIFS(Cobranza!$C$9:$C$1008,B26,Cobranza!$N$9:$N$1008,"Pendiente")&gt;0,"Pendiente",IF(COUNTIFS(Cobranza!$C$9:$C$1008,B26,Cobranza!$N$9:$N$1008,"Pagada")&gt;0,"Pagada","")))))</f>
        <v/>
      </c>
      <c r="N26" s="33" t="str">
        <f t="shared" ca="1" si="0"/>
        <v/>
      </c>
      <c r="O26" s="23"/>
      <c r="P26" s="7" t="str">
        <f ca="1">IF(AND(B26&lt;&gt;"",F26&lt;&gt;"Cerrada",F26&lt;&gt;"Perdida",N26&lt;&gt;"",N26&gt;14),COUNTIFS($F$8:$F26,"&lt;&gt;Cerrada",$F$8:$F26,"&lt;&gt;Perdida",$N$8:$N26,"&gt;14"),"")</f>
        <v/>
      </c>
      <c r="Q26" s="8"/>
      <c r="R26" s="9"/>
      <c r="S26" s="10"/>
    </row>
    <row r="27" spans="2:19" ht="21.75" customHeight="1" x14ac:dyDescent="0.25">
      <c r="B27" s="24"/>
      <c r="C27" s="24"/>
      <c r="D27" s="24"/>
      <c r="E27" s="24"/>
      <c r="F27" s="38"/>
      <c r="G27" s="27"/>
      <c r="H27" s="24"/>
      <c r="I27" s="27"/>
      <c r="J27" s="26"/>
      <c r="K27" s="24"/>
      <c r="L27" s="24"/>
      <c r="M27" s="24" t="str">
        <f>IF(B27="","",IF(COUNTIFS(Cobranza!$C$9:$C$1008,B27,Cobranza!$N$9:$N$1008,"Vencida")&gt;0,"Vencida",IF(COUNTIFS(Cobranza!$C$9:$C$1008,B27,Cobranza!$N$9:$N$1008,"Parcial")&gt;0,"Parcial",IF(COUNTIFS(Cobranza!$C$9:$C$1008,B27,Cobranza!$N$9:$N$1008,"Pendiente")&gt;0,"Pendiente",IF(COUNTIFS(Cobranza!$C$9:$C$1008,B27,Cobranza!$N$9:$N$1008,"Pagada")&gt;0,"Pagada","")))))</f>
        <v/>
      </c>
      <c r="N27" s="33" t="str">
        <f t="shared" ca="1" si="0"/>
        <v/>
      </c>
      <c r="O27" s="23"/>
      <c r="P27" s="7" t="str">
        <f ca="1">IF(AND(B27&lt;&gt;"",F27&lt;&gt;"Cerrada",F27&lt;&gt;"Perdida",N27&lt;&gt;"",N27&gt;14),COUNTIFS($F$8:$F27,"&lt;&gt;Cerrada",$F$8:$F27,"&lt;&gt;Perdida",$N$8:$N27,"&gt;14"),"")</f>
        <v/>
      </c>
      <c r="Q27" s="8"/>
      <c r="R27" s="9"/>
      <c r="S27" s="10"/>
    </row>
    <row r="28" spans="2:19" ht="21.75" customHeight="1" x14ac:dyDescent="0.25">
      <c r="B28" s="24"/>
      <c r="C28" s="24"/>
      <c r="D28" s="24"/>
      <c r="E28" s="24"/>
      <c r="F28" s="38"/>
      <c r="G28" s="27"/>
      <c r="H28" s="24"/>
      <c r="I28" s="27"/>
      <c r="J28" s="26"/>
      <c r="K28" s="24"/>
      <c r="L28" s="24"/>
      <c r="M28" s="24" t="str">
        <f>IF(B28="","",IF(COUNTIFS(Cobranza!$C$9:$C$1008,B28,Cobranza!$N$9:$N$1008,"Vencida")&gt;0,"Vencida",IF(COUNTIFS(Cobranza!$C$9:$C$1008,B28,Cobranza!$N$9:$N$1008,"Parcial")&gt;0,"Parcial",IF(COUNTIFS(Cobranza!$C$9:$C$1008,B28,Cobranza!$N$9:$N$1008,"Pendiente")&gt;0,"Pendiente",IF(COUNTIFS(Cobranza!$C$9:$C$1008,B28,Cobranza!$N$9:$N$1008,"Pagada")&gt;0,"Pagada","")))))</f>
        <v/>
      </c>
      <c r="N28" s="33" t="str">
        <f t="shared" ca="1" si="0"/>
        <v/>
      </c>
      <c r="O28" s="23"/>
      <c r="P28" s="7" t="str">
        <f ca="1">IF(AND(B28&lt;&gt;"",F28&lt;&gt;"Cerrada",F28&lt;&gt;"Perdida",N28&lt;&gt;"",N28&gt;14),COUNTIFS($F$8:$F28,"&lt;&gt;Cerrada",$F$8:$F28,"&lt;&gt;Perdida",$N$8:$N28,"&gt;14"),"")</f>
        <v/>
      </c>
      <c r="Q28" s="8"/>
      <c r="R28" s="9"/>
      <c r="S28" s="10"/>
    </row>
    <row r="29" spans="2:19" ht="21.75" customHeight="1" x14ac:dyDescent="0.25">
      <c r="B29" s="24"/>
      <c r="C29" s="24"/>
      <c r="D29" s="24"/>
      <c r="E29" s="24"/>
      <c r="F29" s="38"/>
      <c r="G29" s="27"/>
      <c r="H29" s="24"/>
      <c r="I29" s="27"/>
      <c r="J29" s="26"/>
      <c r="K29" s="24"/>
      <c r="L29" s="24"/>
      <c r="M29" s="24" t="str">
        <f>IF(B29="","",IF(COUNTIFS(Cobranza!$C$9:$C$1008,B29,Cobranza!$N$9:$N$1008,"Vencida")&gt;0,"Vencida",IF(COUNTIFS(Cobranza!$C$9:$C$1008,B29,Cobranza!$N$9:$N$1008,"Parcial")&gt;0,"Parcial",IF(COUNTIFS(Cobranza!$C$9:$C$1008,B29,Cobranza!$N$9:$N$1008,"Pendiente")&gt;0,"Pendiente",IF(COUNTIFS(Cobranza!$C$9:$C$1008,B29,Cobranza!$N$9:$N$1008,"Pagada")&gt;0,"Pagada","")))))</f>
        <v/>
      </c>
      <c r="N29" s="33" t="str">
        <f t="shared" ca="1" si="0"/>
        <v/>
      </c>
      <c r="O29" s="23"/>
      <c r="P29" s="7" t="str">
        <f ca="1">IF(AND(B29&lt;&gt;"",F29&lt;&gt;"Cerrada",F29&lt;&gt;"Perdida",N29&lt;&gt;"",N29&gt;14),COUNTIFS($F$8:$F29,"&lt;&gt;Cerrada",$F$8:$F29,"&lt;&gt;Perdida",$N$8:$N29,"&gt;14"),"")</f>
        <v/>
      </c>
      <c r="Q29" s="8"/>
      <c r="R29" s="9"/>
      <c r="S29" s="10"/>
    </row>
    <row r="30" spans="2:19" ht="21.75" customHeight="1" x14ac:dyDescent="0.25">
      <c r="B30" s="24"/>
      <c r="C30" s="24"/>
      <c r="D30" s="24"/>
      <c r="E30" s="24"/>
      <c r="F30" s="38"/>
      <c r="G30" s="27"/>
      <c r="H30" s="24"/>
      <c r="I30" s="27"/>
      <c r="J30" s="26"/>
      <c r="K30" s="24"/>
      <c r="L30" s="24"/>
      <c r="M30" s="24" t="str">
        <f>IF(B30="","",IF(COUNTIFS(Cobranza!$C$9:$C$1008,B30,Cobranza!$N$9:$N$1008,"Vencida")&gt;0,"Vencida",IF(COUNTIFS(Cobranza!$C$9:$C$1008,B30,Cobranza!$N$9:$N$1008,"Parcial")&gt;0,"Parcial",IF(COUNTIFS(Cobranza!$C$9:$C$1008,B30,Cobranza!$N$9:$N$1008,"Pendiente")&gt;0,"Pendiente",IF(COUNTIFS(Cobranza!$C$9:$C$1008,B30,Cobranza!$N$9:$N$1008,"Pagada")&gt;0,"Pagada","")))))</f>
        <v/>
      </c>
      <c r="N30" s="33" t="str">
        <f t="shared" ca="1" si="0"/>
        <v/>
      </c>
      <c r="O30" s="23"/>
      <c r="P30" s="7" t="str">
        <f ca="1">IF(AND(B30&lt;&gt;"",F30&lt;&gt;"Cerrada",F30&lt;&gt;"Perdida",N30&lt;&gt;"",N30&gt;14),COUNTIFS($F$8:$F30,"&lt;&gt;Cerrada",$F$8:$F30,"&lt;&gt;Perdida",$N$8:$N30,"&gt;14"),"")</f>
        <v/>
      </c>
      <c r="Q30" s="8"/>
      <c r="R30" s="9"/>
      <c r="S30" s="10"/>
    </row>
    <row r="31" spans="2:19" ht="21.75" customHeight="1" x14ac:dyDescent="0.25">
      <c r="B31" s="24"/>
      <c r="C31" s="24"/>
      <c r="D31" s="24"/>
      <c r="E31" s="24"/>
      <c r="F31" s="38"/>
      <c r="G31" s="27"/>
      <c r="H31" s="24"/>
      <c r="I31" s="27"/>
      <c r="J31" s="26"/>
      <c r="K31" s="24"/>
      <c r="L31" s="24"/>
      <c r="M31" s="24" t="str">
        <f>IF(B31="","",IF(COUNTIFS(Cobranza!$C$9:$C$1008,B31,Cobranza!$N$9:$N$1008,"Vencida")&gt;0,"Vencida",IF(COUNTIFS(Cobranza!$C$9:$C$1008,B31,Cobranza!$N$9:$N$1008,"Parcial")&gt;0,"Parcial",IF(COUNTIFS(Cobranza!$C$9:$C$1008,B31,Cobranza!$N$9:$N$1008,"Pendiente")&gt;0,"Pendiente",IF(COUNTIFS(Cobranza!$C$9:$C$1008,B31,Cobranza!$N$9:$N$1008,"Pagada")&gt;0,"Pagada","")))))</f>
        <v/>
      </c>
      <c r="N31" s="33" t="str">
        <f t="shared" ca="1" si="0"/>
        <v/>
      </c>
      <c r="O31" s="23"/>
      <c r="P31" s="7" t="str">
        <f ca="1">IF(AND(B31&lt;&gt;"",F31&lt;&gt;"Cerrada",F31&lt;&gt;"Perdida",N31&lt;&gt;"",N31&gt;14),COUNTIFS($F$8:$F31,"&lt;&gt;Cerrada",$F$8:$F31,"&lt;&gt;Perdida",$N$8:$N31,"&gt;14"),"")</f>
        <v/>
      </c>
      <c r="Q31" s="8"/>
      <c r="R31" s="9"/>
      <c r="S31" s="10"/>
    </row>
    <row r="32" spans="2:19" ht="21.75" customHeight="1" x14ac:dyDescent="0.25">
      <c r="B32" s="24"/>
      <c r="C32" s="24"/>
      <c r="D32" s="24"/>
      <c r="E32" s="24"/>
      <c r="F32" s="38"/>
      <c r="G32" s="27"/>
      <c r="H32" s="24"/>
      <c r="I32" s="27"/>
      <c r="J32" s="26"/>
      <c r="K32" s="24"/>
      <c r="L32" s="24"/>
      <c r="M32" s="24" t="str">
        <f>IF(B32="","",IF(COUNTIFS(Cobranza!$C$9:$C$1008,B32,Cobranza!$N$9:$N$1008,"Vencida")&gt;0,"Vencida",IF(COUNTIFS(Cobranza!$C$9:$C$1008,B32,Cobranza!$N$9:$N$1008,"Parcial")&gt;0,"Parcial",IF(COUNTIFS(Cobranza!$C$9:$C$1008,B32,Cobranza!$N$9:$N$1008,"Pendiente")&gt;0,"Pendiente",IF(COUNTIFS(Cobranza!$C$9:$C$1008,B32,Cobranza!$N$9:$N$1008,"Pagada")&gt;0,"Pagada","")))))</f>
        <v/>
      </c>
      <c r="N32" s="33" t="str">
        <f t="shared" ca="1" si="0"/>
        <v/>
      </c>
      <c r="O32" s="23"/>
      <c r="P32" s="7" t="str">
        <f ca="1">IF(AND(B32&lt;&gt;"",F32&lt;&gt;"Cerrada",F32&lt;&gt;"Perdida",N32&lt;&gt;"",N32&gt;14),COUNTIFS($F$8:$F32,"&lt;&gt;Cerrada",$F$8:$F32,"&lt;&gt;Perdida",$N$8:$N32,"&gt;14"),"")</f>
        <v/>
      </c>
      <c r="Q32" s="8"/>
      <c r="R32" s="9"/>
      <c r="S32" s="10"/>
    </row>
    <row r="33" spans="2:19" ht="21.75" customHeight="1" x14ac:dyDescent="0.25">
      <c r="B33" s="24"/>
      <c r="C33" s="24"/>
      <c r="D33" s="24"/>
      <c r="E33" s="24"/>
      <c r="F33" s="38"/>
      <c r="G33" s="27"/>
      <c r="H33" s="24"/>
      <c r="I33" s="27"/>
      <c r="J33" s="26"/>
      <c r="K33" s="24"/>
      <c r="L33" s="24"/>
      <c r="M33" s="24" t="str">
        <f>IF(B33="","",IF(COUNTIFS(Cobranza!$C$9:$C$1008,B33,Cobranza!$N$9:$N$1008,"Vencida")&gt;0,"Vencida",IF(COUNTIFS(Cobranza!$C$9:$C$1008,B33,Cobranza!$N$9:$N$1008,"Parcial")&gt;0,"Parcial",IF(COUNTIFS(Cobranza!$C$9:$C$1008,B33,Cobranza!$N$9:$N$1008,"Pendiente")&gt;0,"Pendiente",IF(COUNTIFS(Cobranza!$C$9:$C$1008,B33,Cobranza!$N$9:$N$1008,"Pagada")&gt;0,"Pagada","")))))</f>
        <v/>
      </c>
      <c r="N33" s="33" t="str">
        <f t="shared" ca="1" si="0"/>
        <v/>
      </c>
      <c r="O33" s="23"/>
      <c r="P33" s="7" t="str">
        <f ca="1">IF(AND(B33&lt;&gt;"",F33&lt;&gt;"Cerrada",F33&lt;&gt;"Perdida",N33&lt;&gt;"",N33&gt;14),COUNTIFS($F$8:$F33,"&lt;&gt;Cerrada",$F$8:$F33,"&lt;&gt;Perdida",$N$8:$N33,"&gt;14"),"")</f>
        <v/>
      </c>
      <c r="Q33" s="8"/>
      <c r="R33" s="9"/>
      <c r="S33" s="10"/>
    </row>
    <row r="34" spans="2:19" ht="21.75" customHeight="1" x14ac:dyDescent="0.25">
      <c r="B34" s="24"/>
      <c r="C34" s="24"/>
      <c r="D34" s="24"/>
      <c r="E34" s="24"/>
      <c r="F34" s="38"/>
      <c r="G34" s="27"/>
      <c r="H34" s="24"/>
      <c r="I34" s="27"/>
      <c r="J34" s="26"/>
      <c r="K34" s="24"/>
      <c r="L34" s="24"/>
      <c r="M34" s="24" t="str">
        <f>IF(B34="","",IF(COUNTIFS(Cobranza!$C$9:$C$1008,B34,Cobranza!$N$9:$N$1008,"Vencida")&gt;0,"Vencida",IF(COUNTIFS(Cobranza!$C$9:$C$1008,B34,Cobranza!$N$9:$N$1008,"Parcial")&gt;0,"Parcial",IF(COUNTIFS(Cobranza!$C$9:$C$1008,B34,Cobranza!$N$9:$N$1008,"Pendiente")&gt;0,"Pendiente",IF(COUNTIFS(Cobranza!$C$9:$C$1008,B34,Cobranza!$N$9:$N$1008,"Pagada")&gt;0,"Pagada","")))))</f>
        <v/>
      </c>
      <c r="N34" s="33" t="str">
        <f t="shared" ca="1" si="0"/>
        <v/>
      </c>
      <c r="O34" s="23"/>
      <c r="P34" s="7" t="str">
        <f ca="1">IF(AND(B34&lt;&gt;"",F34&lt;&gt;"Cerrada",F34&lt;&gt;"Perdida",N34&lt;&gt;"",N34&gt;14),COUNTIFS($F$8:$F34,"&lt;&gt;Cerrada",$F$8:$F34,"&lt;&gt;Perdida",$N$8:$N34,"&gt;14"),"")</f>
        <v/>
      </c>
      <c r="Q34" s="8"/>
      <c r="R34" s="9"/>
      <c r="S34" s="10"/>
    </row>
    <row r="35" spans="2:19" ht="21.75" customHeight="1" x14ac:dyDescent="0.25">
      <c r="B35" s="24"/>
      <c r="C35" s="24"/>
      <c r="D35" s="24"/>
      <c r="E35" s="24"/>
      <c r="F35" s="38"/>
      <c r="G35" s="27"/>
      <c r="H35" s="24"/>
      <c r="I35" s="27"/>
      <c r="J35" s="26"/>
      <c r="K35" s="24"/>
      <c r="L35" s="24"/>
      <c r="M35" s="24" t="str">
        <f>IF(B35="","",IF(COUNTIFS(Cobranza!$C$9:$C$1008,B35,Cobranza!$N$9:$N$1008,"Vencida")&gt;0,"Vencida",IF(COUNTIFS(Cobranza!$C$9:$C$1008,B35,Cobranza!$N$9:$N$1008,"Parcial")&gt;0,"Parcial",IF(COUNTIFS(Cobranza!$C$9:$C$1008,B35,Cobranza!$N$9:$N$1008,"Pendiente")&gt;0,"Pendiente",IF(COUNTIFS(Cobranza!$C$9:$C$1008,B35,Cobranza!$N$9:$N$1008,"Pagada")&gt;0,"Pagada","")))))</f>
        <v/>
      </c>
      <c r="N35" s="33" t="str">
        <f t="shared" ca="1" si="0"/>
        <v/>
      </c>
      <c r="O35" s="23"/>
      <c r="P35" s="7" t="str">
        <f ca="1">IF(AND(B35&lt;&gt;"",F35&lt;&gt;"Cerrada",F35&lt;&gt;"Perdida",N35&lt;&gt;"",N35&gt;14),COUNTIFS($F$8:$F35,"&lt;&gt;Cerrada",$F$8:$F35,"&lt;&gt;Perdida",$N$8:$N35,"&gt;14"),"")</f>
        <v/>
      </c>
      <c r="Q35" s="8"/>
      <c r="R35" s="9"/>
      <c r="S35" s="10"/>
    </row>
    <row r="36" spans="2:19" ht="21.75" customHeight="1" x14ac:dyDescent="0.25">
      <c r="B36" s="24"/>
      <c r="C36" s="24"/>
      <c r="D36" s="24"/>
      <c r="E36" s="24"/>
      <c r="F36" s="38"/>
      <c r="G36" s="27"/>
      <c r="H36" s="24"/>
      <c r="I36" s="27"/>
      <c r="J36" s="26"/>
      <c r="K36" s="24"/>
      <c r="L36" s="24"/>
      <c r="M36" s="24" t="str">
        <f>IF(B36="","",IF(COUNTIFS(Cobranza!$C$9:$C$1008,B36,Cobranza!$N$9:$N$1008,"Vencida")&gt;0,"Vencida",IF(COUNTIFS(Cobranza!$C$9:$C$1008,B36,Cobranza!$N$9:$N$1008,"Parcial")&gt;0,"Parcial",IF(COUNTIFS(Cobranza!$C$9:$C$1008,B36,Cobranza!$N$9:$N$1008,"Pendiente")&gt;0,"Pendiente",IF(COUNTIFS(Cobranza!$C$9:$C$1008,B36,Cobranza!$N$9:$N$1008,"Pagada")&gt;0,"Pagada","")))))</f>
        <v/>
      </c>
      <c r="N36" s="33" t="str">
        <f t="shared" ca="1" si="0"/>
        <v/>
      </c>
      <c r="O36" s="23"/>
      <c r="P36" s="7" t="str">
        <f ca="1">IF(AND(B36&lt;&gt;"",F36&lt;&gt;"Cerrada",F36&lt;&gt;"Perdida",N36&lt;&gt;"",N36&gt;14),COUNTIFS($F$8:$F36,"&lt;&gt;Cerrada",$F$8:$F36,"&lt;&gt;Perdida",$N$8:$N36,"&gt;14"),"")</f>
        <v/>
      </c>
      <c r="Q36" s="8"/>
      <c r="R36" s="9"/>
      <c r="S36" s="10"/>
    </row>
    <row r="37" spans="2:19" ht="21.75" customHeight="1" x14ac:dyDescent="0.25">
      <c r="B37" s="24"/>
      <c r="C37" s="24"/>
      <c r="D37" s="24"/>
      <c r="E37" s="24"/>
      <c r="F37" s="38"/>
      <c r="G37" s="27"/>
      <c r="H37" s="24"/>
      <c r="I37" s="27"/>
      <c r="J37" s="26"/>
      <c r="K37" s="24"/>
      <c r="L37" s="24"/>
      <c r="M37" s="24" t="str">
        <f>IF(B37="","",IF(COUNTIFS(Cobranza!$C$9:$C$1008,B37,Cobranza!$N$9:$N$1008,"Vencida")&gt;0,"Vencida",IF(COUNTIFS(Cobranza!$C$9:$C$1008,B37,Cobranza!$N$9:$N$1008,"Parcial")&gt;0,"Parcial",IF(COUNTIFS(Cobranza!$C$9:$C$1008,B37,Cobranza!$N$9:$N$1008,"Pendiente")&gt;0,"Pendiente",IF(COUNTIFS(Cobranza!$C$9:$C$1008,B37,Cobranza!$N$9:$N$1008,"Pagada")&gt;0,"Pagada","")))))</f>
        <v/>
      </c>
      <c r="N37" s="33" t="str">
        <f t="shared" ca="1" si="0"/>
        <v/>
      </c>
      <c r="O37" s="23"/>
      <c r="P37" s="7" t="str">
        <f ca="1">IF(AND(B37&lt;&gt;"",F37&lt;&gt;"Cerrada",F37&lt;&gt;"Perdida",N37&lt;&gt;"",N37&gt;14),COUNTIFS($F$8:$F37,"&lt;&gt;Cerrada",$F$8:$F37,"&lt;&gt;Perdida",$N$8:$N37,"&gt;14"),"")</f>
        <v/>
      </c>
      <c r="Q37" s="8"/>
      <c r="R37" s="9"/>
      <c r="S37" s="10"/>
    </row>
    <row r="38" spans="2:19" ht="21.75" customHeight="1" x14ac:dyDescent="0.25">
      <c r="B38" s="24"/>
      <c r="C38" s="24"/>
      <c r="D38" s="24"/>
      <c r="E38" s="24"/>
      <c r="F38" s="38"/>
      <c r="G38" s="27"/>
      <c r="H38" s="24"/>
      <c r="I38" s="27"/>
      <c r="J38" s="26"/>
      <c r="K38" s="24"/>
      <c r="L38" s="24"/>
      <c r="M38" s="24" t="str">
        <f>IF(B38="","",IF(COUNTIFS(Cobranza!$C$9:$C$1008,B38,Cobranza!$N$9:$N$1008,"Vencida")&gt;0,"Vencida",IF(COUNTIFS(Cobranza!$C$9:$C$1008,B38,Cobranza!$N$9:$N$1008,"Parcial")&gt;0,"Parcial",IF(COUNTIFS(Cobranza!$C$9:$C$1008,B38,Cobranza!$N$9:$N$1008,"Pendiente")&gt;0,"Pendiente",IF(COUNTIFS(Cobranza!$C$9:$C$1008,B38,Cobranza!$N$9:$N$1008,"Pagada")&gt;0,"Pagada","")))))</f>
        <v/>
      </c>
      <c r="N38" s="33" t="str">
        <f t="shared" ca="1" si="0"/>
        <v/>
      </c>
      <c r="O38" s="23"/>
      <c r="P38" s="7" t="str">
        <f ca="1">IF(AND(B38&lt;&gt;"",F38&lt;&gt;"Cerrada",F38&lt;&gt;"Perdida",N38&lt;&gt;"",N38&gt;14),COUNTIFS($F$8:$F38,"&lt;&gt;Cerrada",$F$8:$F38,"&lt;&gt;Perdida",$N$8:$N38,"&gt;14"),"")</f>
        <v/>
      </c>
      <c r="Q38" s="8"/>
      <c r="R38" s="9"/>
      <c r="S38" s="10"/>
    </row>
    <row r="39" spans="2:19" ht="21.75" customHeight="1" x14ac:dyDescent="0.25">
      <c r="B39" s="24"/>
      <c r="C39" s="24"/>
      <c r="D39" s="24"/>
      <c r="E39" s="24"/>
      <c r="F39" s="38"/>
      <c r="G39" s="27"/>
      <c r="H39" s="24"/>
      <c r="I39" s="27"/>
      <c r="J39" s="26"/>
      <c r="K39" s="24"/>
      <c r="L39" s="24"/>
      <c r="M39" s="24" t="str">
        <f>IF(B39="","",IF(COUNTIFS(Cobranza!$C$9:$C$1008,B39,Cobranza!$N$9:$N$1008,"Vencida")&gt;0,"Vencida",IF(COUNTIFS(Cobranza!$C$9:$C$1008,B39,Cobranza!$N$9:$N$1008,"Parcial")&gt;0,"Parcial",IF(COUNTIFS(Cobranza!$C$9:$C$1008,B39,Cobranza!$N$9:$N$1008,"Pendiente")&gt;0,"Pendiente",IF(COUNTIFS(Cobranza!$C$9:$C$1008,B39,Cobranza!$N$9:$N$1008,"Pagada")&gt;0,"Pagada","")))))</f>
        <v/>
      </c>
      <c r="N39" s="33" t="str">
        <f t="shared" ca="1" si="0"/>
        <v/>
      </c>
      <c r="O39" s="23"/>
      <c r="P39" s="7" t="str">
        <f ca="1">IF(AND(B39&lt;&gt;"",F39&lt;&gt;"Cerrada",F39&lt;&gt;"Perdida",N39&lt;&gt;"",N39&gt;14),COUNTIFS($F$8:$F39,"&lt;&gt;Cerrada",$F$8:$F39,"&lt;&gt;Perdida",$N$8:$N39,"&gt;14"),"")</f>
        <v/>
      </c>
      <c r="Q39" s="8"/>
      <c r="R39" s="9"/>
      <c r="S39" s="10"/>
    </row>
    <row r="40" spans="2:19" ht="21.75" customHeight="1" x14ac:dyDescent="0.25">
      <c r="B40" s="24"/>
      <c r="C40" s="24"/>
      <c r="D40" s="24"/>
      <c r="E40" s="24"/>
      <c r="F40" s="38"/>
      <c r="G40" s="27"/>
      <c r="H40" s="24"/>
      <c r="I40" s="27"/>
      <c r="J40" s="26"/>
      <c r="K40" s="24"/>
      <c r="L40" s="24"/>
      <c r="M40" s="24" t="str">
        <f>IF(B40="","",IF(COUNTIFS(Cobranza!$C$9:$C$1008,B40,Cobranza!$N$9:$N$1008,"Vencida")&gt;0,"Vencida",IF(COUNTIFS(Cobranza!$C$9:$C$1008,B40,Cobranza!$N$9:$N$1008,"Parcial")&gt;0,"Parcial",IF(COUNTIFS(Cobranza!$C$9:$C$1008,B40,Cobranza!$N$9:$N$1008,"Pendiente")&gt;0,"Pendiente",IF(COUNTIFS(Cobranza!$C$9:$C$1008,B40,Cobranza!$N$9:$N$1008,"Pagada")&gt;0,"Pagada","")))))</f>
        <v/>
      </c>
      <c r="N40" s="33" t="str">
        <f t="shared" ca="1" si="0"/>
        <v/>
      </c>
      <c r="O40" s="23"/>
      <c r="P40" s="7" t="str">
        <f ca="1">IF(AND(B40&lt;&gt;"",F40&lt;&gt;"Cerrada",F40&lt;&gt;"Perdida",N40&lt;&gt;"",N40&gt;14),COUNTIFS($F$8:$F40,"&lt;&gt;Cerrada",$F$8:$F40,"&lt;&gt;Perdida",$N$8:$N40,"&gt;14"),"")</f>
        <v/>
      </c>
      <c r="Q40" s="8"/>
      <c r="R40" s="9"/>
      <c r="S40" s="10"/>
    </row>
    <row r="41" spans="2:19" ht="21.75" customHeight="1" x14ac:dyDescent="0.25">
      <c r="B41" s="24"/>
      <c r="C41" s="24"/>
      <c r="D41" s="24"/>
      <c r="E41" s="24"/>
      <c r="F41" s="38"/>
      <c r="G41" s="27"/>
      <c r="H41" s="24"/>
      <c r="I41" s="27"/>
      <c r="J41" s="26"/>
      <c r="K41" s="24"/>
      <c r="L41" s="24"/>
      <c r="M41" s="24" t="str">
        <f>IF(B41="","",IF(COUNTIFS(Cobranza!$C$9:$C$1008,B41,Cobranza!$N$9:$N$1008,"Vencida")&gt;0,"Vencida",IF(COUNTIFS(Cobranza!$C$9:$C$1008,B41,Cobranza!$N$9:$N$1008,"Parcial")&gt;0,"Parcial",IF(COUNTIFS(Cobranza!$C$9:$C$1008,B41,Cobranza!$N$9:$N$1008,"Pendiente")&gt;0,"Pendiente",IF(COUNTIFS(Cobranza!$C$9:$C$1008,B41,Cobranza!$N$9:$N$1008,"Pagada")&gt;0,"Pagada","")))))</f>
        <v/>
      </c>
      <c r="N41" s="33" t="str">
        <f t="shared" ca="1" si="0"/>
        <v/>
      </c>
      <c r="O41" s="23"/>
      <c r="P41" s="7" t="str">
        <f ca="1">IF(AND(B41&lt;&gt;"",F41&lt;&gt;"Cerrada",F41&lt;&gt;"Perdida",N41&lt;&gt;"",N41&gt;14),COUNTIFS($F$8:$F41,"&lt;&gt;Cerrada",$F$8:$F41,"&lt;&gt;Perdida",$N$8:$N41,"&gt;14"),"")</f>
        <v/>
      </c>
      <c r="Q41" s="8"/>
      <c r="R41" s="9"/>
      <c r="S41" s="10"/>
    </row>
    <row r="42" spans="2:19" ht="21.75" customHeight="1" x14ac:dyDescent="0.25">
      <c r="B42" s="24"/>
      <c r="C42" s="24"/>
      <c r="D42" s="24"/>
      <c r="E42" s="24"/>
      <c r="F42" s="38"/>
      <c r="G42" s="27"/>
      <c r="H42" s="24"/>
      <c r="I42" s="27"/>
      <c r="J42" s="26"/>
      <c r="K42" s="24"/>
      <c r="L42" s="24"/>
      <c r="M42" s="24" t="str">
        <f>IF(B42="","",IF(COUNTIFS(Cobranza!$C$9:$C$1008,B42,Cobranza!$N$9:$N$1008,"Vencida")&gt;0,"Vencida",IF(COUNTIFS(Cobranza!$C$9:$C$1008,B42,Cobranza!$N$9:$N$1008,"Parcial")&gt;0,"Parcial",IF(COUNTIFS(Cobranza!$C$9:$C$1008,B42,Cobranza!$N$9:$N$1008,"Pendiente")&gt;0,"Pendiente",IF(COUNTIFS(Cobranza!$C$9:$C$1008,B42,Cobranza!$N$9:$N$1008,"Pagada")&gt;0,"Pagada","")))))</f>
        <v/>
      </c>
      <c r="N42" s="33" t="str">
        <f t="shared" ca="1" si="0"/>
        <v/>
      </c>
      <c r="O42" s="23"/>
      <c r="P42" s="7" t="str">
        <f ca="1">IF(AND(B42&lt;&gt;"",F42&lt;&gt;"Cerrada",F42&lt;&gt;"Perdida",N42&lt;&gt;"",N42&gt;14),COUNTIFS($F$8:$F42,"&lt;&gt;Cerrada",$F$8:$F42,"&lt;&gt;Perdida",$N$8:$N42,"&gt;14"),"")</f>
        <v/>
      </c>
      <c r="Q42" s="8"/>
      <c r="R42" s="9"/>
      <c r="S42" s="10"/>
    </row>
    <row r="43" spans="2:19" ht="21.75" customHeight="1" x14ac:dyDescent="0.25">
      <c r="B43" s="24"/>
      <c r="C43" s="24"/>
      <c r="D43" s="24"/>
      <c r="E43" s="24"/>
      <c r="F43" s="38"/>
      <c r="G43" s="27"/>
      <c r="H43" s="24"/>
      <c r="I43" s="27"/>
      <c r="J43" s="26"/>
      <c r="K43" s="24"/>
      <c r="L43" s="24"/>
      <c r="M43" s="24" t="str">
        <f>IF(B43="","",IF(COUNTIFS(Cobranza!$C$9:$C$1008,B43,Cobranza!$N$9:$N$1008,"Vencida")&gt;0,"Vencida",IF(COUNTIFS(Cobranza!$C$9:$C$1008,B43,Cobranza!$N$9:$N$1008,"Parcial")&gt;0,"Parcial",IF(COUNTIFS(Cobranza!$C$9:$C$1008,B43,Cobranza!$N$9:$N$1008,"Pendiente")&gt;0,"Pendiente",IF(COUNTIFS(Cobranza!$C$9:$C$1008,B43,Cobranza!$N$9:$N$1008,"Pagada")&gt;0,"Pagada","")))))</f>
        <v/>
      </c>
      <c r="N43" s="33" t="str">
        <f t="shared" ca="1" si="0"/>
        <v/>
      </c>
      <c r="O43" s="23"/>
      <c r="P43" s="7" t="str">
        <f ca="1">IF(AND(B43&lt;&gt;"",F43&lt;&gt;"Cerrada",F43&lt;&gt;"Perdida",N43&lt;&gt;"",N43&gt;14),COUNTIFS($F$8:$F43,"&lt;&gt;Cerrada",$F$8:$F43,"&lt;&gt;Perdida",$N$8:$N43,"&gt;14"),"")</f>
        <v/>
      </c>
      <c r="Q43" s="8"/>
      <c r="R43" s="9"/>
      <c r="S43" s="10"/>
    </row>
    <row r="44" spans="2:19" ht="21.75" customHeight="1" x14ac:dyDescent="0.25">
      <c r="B44" s="24"/>
      <c r="C44" s="24"/>
      <c r="D44" s="24"/>
      <c r="E44" s="24"/>
      <c r="F44" s="38"/>
      <c r="G44" s="27"/>
      <c r="H44" s="24"/>
      <c r="I44" s="27"/>
      <c r="J44" s="26"/>
      <c r="K44" s="24"/>
      <c r="L44" s="24"/>
      <c r="M44" s="24" t="str">
        <f>IF(B44="","",IF(COUNTIFS(Cobranza!$C$9:$C$1008,B44,Cobranza!$N$9:$N$1008,"Vencida")&gt;0,"Vencida",IF(COUNTIFS(Cobranza!$C$9:$C$1008,B44,Cobranza!$N$9:$N$1008,"Parcial")&gt;0,"Parcial",IF(COUNTIFS(Cobranza!$C$9:$C$1008,B44,Cobranza!$N$9:$N$1008,"Pendiente")&gt;0,"Pendiente",IF(COUNTIFS(Cobranza!$C$9:$C$1008,B44,Cobranza!$N$9:$N$1008,"Pagada")&gt;0,"Pagada","")))))</f>
        <v/>
      </c>
      <c r="N44" s="33" t="str">
        <f t="shared" ca="1" si="0"/>
        <v/>
      </c>
      <c r="O44" s="23"/>
      <c r="P44" s="7" t="str">
        <f ca="1">IF(AND(B44&lt;&gt;"",F44&lt;&gt;"Cerrada",F44&lt;&gt;"Perdida",N44&lt;&gt;"",N44&gt;14),COUNTIFS($F$8:$F44,"&lt;&gt;Cerrada",$F$8:$F44,"&lt;&gt;Perdida",$N$8:$N44,"&gt;14"),"")</f>
        <v/>
      </c>
      <c r="Q44" s="8"/>
      <c r="R44" s="9"/>
      <c r="S44" s="10"/>
    </row>
    <row r="45" spans="2:19" ht="21.75" customHeight="1" x14ac:dyDescent="0.25">
      <c r="B45" s="24"/>
      <c r="C45" s="24"/>
      <c r="D45" s="24"/>
      <c r="E45" s="24"/>
      <c r="F45" s="38"/>
      <c r="G45" s="27"/>
      <c r="H45" s="24"/>
      <c r="I45" s="27"/>
      <c r="J45" s="26"/>
      <c r="K45" s="24"/>
      <c r="L45" s="24"/>
      <c r="M45" s="24" t="str">
        <f>IF(B45="","",IF(COUNTIFS(Cobranza!$C$9:$C$1008,B45,Cobranza!$N$9:$N$1008,"Vencida")&gt;0,"Vencida",IF(COUNTIFS(Cobranza!$C$9:$C$1008,B45,Cobranza!$N$9:$N$1008,"Parcial")&gt;0,"Parcial",IF(COUNTIFS(Cobranza!$C$9:$C$1008,B45,Cobranza!$N$9:$N$1008,"Pendiente")&gt;0,"Pendiente",IF(COUNTIFS(Cobranza!$C$9:$C$1008,B45,Cobranza!$N$9:$N$1008,"Pagada")&gt;0,"Pagada","")))))</f>
        <v/>
      </c>
      <c r="N45" s="33" t="str">
        <f t="shared" ca="1" si="0"/>
        <v/>
      </c>
      <c r="O45" s="23"/>
      <c r="P45" s="7" t="str">
        <f ca="1">IF(AND(B45&lt;&gt;"",F45&lt;&gt;"Cerrada",F45&lt;&gt;"Perdida",N45&lt;&gt;"",N45&gt;14),COUNTIFS($F$8:$F45,"&lt;&gt;Cerrada",$F$8:$F45,"&lt;&gt;Perdida",$N$8:$N45,"&gt;14"),"")</f>
        <v/>
      </c>
      <c r="Q45" s="8"/>
      <c r="R45" s="9"/>
      <c r="S45" s="10"/>
    </row>
    <row r="46" spans="2:19" ht="21.75" customHeight="1" x14ac:dyDescent="0.25">
      <c r="B46" s="24"/>
      <c r="C46" s="24"/>
      <c r="D46" s="24"/>
      <c r="E46" s="24"/>
      <c r="F46" s="38"/>
      <c r="G46" s="27"/>
      <c r="H46" s="24"/>
      <c r="I46" s="27"/>
      <c r="J46" s="26"/>
      <c r="K46" s="24"/>
      <c r="L46" s="24"/>
      <c r="M46" s="24" t="str">
        <f>IF(B46="","",IF(COUNTIFS(Cobranza!$C$9:$C$1008,B46,Cobranza!$N$9:$N$1008,"Vencida")&gt;0,"Vencida",IF(COUNTIFS(Cobranza!$C$9:$C$1008,B46,Cobranza!$N$9:$N$1008,"Parcial")&gt;0,"Parcial",IF(COUNTIFS(Cobranza!$C$9:$C$1008,B46,Cobranza!$N$9:$N$1008,"Pendiente")&gt;0,"Pendiente",IF(COUNTIFS(Cobranza!$C$9:$C$1008,B46,Cobranza!$N$9:$N$1008,"Pagada")&gt;0,"Pagada","")))))</f>
        <v/>
      </c>
      <c r="N46" s="33" t="str">
        <f t="shared" ca="1" si="0"/>
        <v/>
      </c>
      <c r="O46" s="23"/>
      <c r="P46" s="7" t="str">
        <f ca="1">IF(AND(B46&lt;&gt;"",F46&lt;&gt;"Cerrada",F46&lt;&gt;"Perdida",N46&lt;&gt;"",N46&gt;14),COUNTIFS($F$8:$F46,"&lt;&gt;Cerrada",$F$8:$F46,"&lt;&gt;Perdida",$N$8:$N46,"&gt;14"),"")</f>
        <v/>
      </c>
      <c r="Q46" s="8"/>
      <c r="R46" s="9"/>
      <c r="S46" s="10"/>
    </row>
    <row r="47" spans="2:19" ht="21.75" customHeight="1" x14ac:dyDescent="0.25">
      <c r="B47" s="24"/>
      <c r="C47" s="24"/>
      <c r="D47" s="24"/>
      <c r="E47" s="24"/>
      <c r="F47" s="38"/>
      <c r="G47" s="27"/>
      <c r="H47" s="24"/>
      <c r="I47" s="27"/>
      <c r="J47" s="26"/>
      <c r="K47" s="24"/>
      <c r="L47" s="24"/>
      <c r="M47" s="24" t="str">
        <f>IF(B47="","",IF(COUNTIFS(Cobranza!$C$9:$C$1008,B47,Cobranza!$N$9:$N$1008,"Vencida")&gt;0,"Vencida",IF(COUNTIFS(Cobranza!$C$9:$C$1008,B47,Cobranza!$N$9:$N$1008,"Parcial")&gt;0,"Parcial",IF(COUNTIFS(Cobranza!$C$9:$C$1008,B47,Cobranza!$N$9:$N$1008,"Pendiente")&gt;0,"Pendiente",IF(COUNTIFS(Cobranza!$C$9:$C$1008,B47,Cobranza!$N$9:$N$1008,"Pagada")&gt;0,"Pagada","")))))</f>
        <v/>
      </c>
      <c r="N47" s="33" t="str">
        <f t="shared" ca="1" si="0"/>
        <v/>
      </c>
      <c r="O47" s="23"/>
      <c r="P47" s="7" t="str">
        <f ca="1">IF(AND(B47&lt;&gt;"",F47&lt;&gt;"Cerrada",F47&lt;&gt;"Perdida",N47&lt;&gt;"",N47&gt;14),COUNTIFS($F$8:$F47,"&lt;&gt;Cerrada",$F$8:$F47,"&lt;&gt;Perdida",$N$8:$N47,"&gt;14"),"")</f>
        <v/>
      </c>
      <c r="Q47" s="8"/>
      <c r="R47" s="9"/>
      <c r="S47" s="10"/>
    </row>
    <row r="48" spans="2:19" ht="21.75" customHeight="1" x14ac:dyDescent="0.25">
      <c r="B48" s="24"/>
      <c r="C48" s="24"/>
      <c r="D48" s="24"/>
      <c r="E48" s="24"/>
      <c r="F48" s="38"/>
      <c r="G48" s="27"/>
      <c r="H48" s="24"/>
      <c r="I48" s="27"/>
      <c r="J48" s="26"/>
      <c r="K48" s="24"/>
      <c r="L48" s="24"/>
      <c r="M48" s="24" t="str">
        <f>IF(B48="","",IF(COUNTIFS(Cobranza!$C$9:$C$1008,B48,Cobranza!$N$9:$N$1008,"Vencida")&gt;0,"Vencida",IF(COUNTIFS(Cobranza!$C$9:$C$1008,B48,Cobranza!$N$9:$N$1008,"Parcial")&gt;0,"Parcial",IF(COUNTIFS(Cobranza!$C$9:$C$1008,B48,Cobranza!$N$9:$N$1008,"Pendiente")&gt;0,"Pendiente",IF(COUNTIFS(Cobranza!$C$9:$C$1008,B48,Cobranza!$N$9:$N$1008,"Pagada")&gt;0,"Pagada","")))))</f>
        <v/>
      </c>
      <c r="N48" s="33" t="str">
        <f t="shared" ca="1" si="0"/>
        <v/>
      </c>
      <c r="O48" s="23"/>
      <c r="P48" s="7" t="str">
        <f ca="1">IF(AND(B48&lt;&gt;"",F48&lt;&gt;"Cerrada",F48&lt;&gt;"Perdida",N48&lt;&gt;"",N48&gt;14),COUNTIFS($F$8:$F48,"&lt;&gt;Cerrada",$F$8:$F48,"&lt;&gt;Perdida",$N$8:$N48,"&gt;14"),"")</f>
        <v/>
      </c>
      <c r="Q48" s="8"/>
      <c r="R48" s="9"/>
      <c r="S48" s="10"/>
    </row>
    <row r="49" spans="2:19" ht="21.75" customHeight="1" x14ac:dyDescent="0.25">
      <c r="B49" s="24"/>
      <c r="C49" s="24"/>
      <c r="D49" s="24"/>
      <c r="E49" s="24"/>
      <c r="F49" s="38"/>
      <c r="G49" s="27"/>
      <c r="H49" s="24"/>
      <c r="I49" s="27"/>
      <c r="J49" s="26"/>
      <c r="K49" s="24"/>
      <c r="L49" s="24"/>
      <c r="M49" s="24" t="str">
        <f>IF(B49="","",IF(COUNTIFS(Cobranza!$C$9:$C$1008,B49,Cobranza!$N$9:$N$1008,"Vencida")&gt;0,"Vencida",IF(COUNTIFS(Cobranza!$C$9:$C$1008,B49,Cobranza!$N$9:$N$1008,"Parcial")&gt;0,"Parcial",IF(COUNTIFS(Cobranza!$C$9:$C$1008,B49,Cobranza!$N$9:$N$1008,"Pendiente")&gt;0,"Pendiente",IF(COUNTIFS(Cobranza!$C$9:$C$1008,B49,Cobranza!$N$9:$N$1008,"Pagada")&gt;0,"Pagada","")))))</f>
        <v/>
      </c>
      <c r="N49" s="33" t="str">
        <f t="shared" ca="1" si="0"/>
        <v/>
      </c>
      <c r="O49" s="23"/>
      <c r="P49" s="7" t="str">
        <f ca="1">IF(AND(B49&lt;&gt;"",F49&lt;&gt;"Cerrada",F49&lt;&gt;"Perdida",N49&lt;&gt;"",N49&gt;14),COUNTIFS($F$8:$F49,"&lt;&gt;Cerrada",$F$8:$F49,"&lt;&gt;Perdida",$N$8:$N49,"&gt;14"),"")</f>
        <v/>
      </c>
      <c r="Q49" s="8"/>
      <c r="R49" s="9"/>
      <c r="S49" s="10"/>
    </row>
    <row r="50" spans="2:19" ht="21.75" customHeight="1" x14ac:dyDescent="0.25">
      <c r="B50" s="24"/>
      <c r="C50" s="24"/>
      <c r="D50" s="24"/>
      <c r="E50" s="24"/>
      <c r="F50" s="38"/>
      <c r="G50" s="27"/>
      <c r="H50" s="24"/>
      <c r="I50" s="27"/>
      <c r="J50" s="26"/>
      <c r="K50" s="24"/>
      <c r="L50" s="24"/>
      <c r="M50" s="24" t="str">
        <f>IF(B50="","",IF(COUNTIFS(Cobranza!$C$9:$C$1008,B50,Cobranza!$N$9:$N$1008,"Vencida")&gt;0,"Vencida",IF(COUNTIFS(Cobranza!$C$9:$C$1008,B50,Cobranza!$N$9:$N$1008,"Parcial")&gt;0,"Parcial",IF(COUNTIFS(Cobranza!$C$9:$C$1008,B50,Cobranza!$N$9:$N$1008,"Pendiente")&gt;0,"Pendiente",IF(COUNTIFS(Cobranza!$C$9:$C$1008,B50,Cobranza!$N$9:$N$1008,"Pagada")&gt;0,"Pagada","")))))</f>
        <v/>
      </c>
      <c r="N50" s="33" t="str">
        <f t="shared" ca="1" si="0"/>
        <v/>
      </c>
      <c r="O50" s="23"/>
      <c r="P50" s="7" t="str">
        <f ca="1">IF(AND(B50&lt;&gt;"",F50&lt;&gt;"Cerrada",F50&lt;&gt;"Perdida",N50&lt;&gt;"",N50&gt;14),COUNTIFS($F$8:$F50,"&lt;&gt;Cerrada",$F$8:$F50,"&lt;&gt;Perdida",$N$8:$N50,"&gt;14"),"")</f>
        <v/>
      </c>
      <c r="Q50" s="8"/>
      <c r="R50" s="9"/>
      <c r="S50" s="10"/>
    </row>
    <row r="51" spans="2:19" ht="21.75" customHeight="1" x14ac:dyDescent="0.25">
      <c r="B51" s="24"/>
      <c r="C51" s="24"/>
      <c r="D51" s="24"/>
      <c r="E51" s="24"/>
      <c r="F51" s="38"/>
      <c r="G51" s="27"/>
      <c r="H51" s="24"/>
      <c r="I51" s="27"/>
      <c r="J51" s="26"/>
      <c r="K51" s="24"/>
      <c r="L51" s="24"/>
      <c r="M51" s="24" t="str">
        <f>IF(B51="","",IF(COUNTIFS(Cobranza!$C$9:$C$1008,B51,Cobranza!$N$9:$N$1008,"Vencida")&gt;0,"Vencida",IF(COUNTIFS(Cobranza!$C$9:$C$1008,B51,Cobranza!$N$9:$N$1008,"Parcial")&gt;0,"Parcial",IF(COUNTIFS(Cobranza!$C$9:$C$1008,B51,Cobranza!$N$9:$N$1008,"Pendiente")&gt;0,"Pendiente",IF(COUNTIFS(Cobranza!$C$9:$C$1008,B51,Cobranza!$N$9:$N$1008,"Pagada")&gt;0,"Pagada","")))))</f>
        <v/>
      </c>
      <c r="N51" s="33" t="str">
        <f t="shared" ca="1" si="0"/>
        <v/>
      </c>
      <c r="O51" s="23"/>
      <c r="P51" s="7" t="str">
        <f ca="1">IF(AND(B51&lt;&gt;"",F51&lt;&gt;"Cerrada",F51&lt;&gt;"Perdida",N51&lt;&gt;"",N51&gt;14),COUNTIFS($F$8:$F51,"&lt;&gt;Cerrada",$F$8:$F51,"&lt;&gt;Perdida",$N$8:$N51,"&gt;14"),"")</f>
        <v/>
      </c>
      <c r="Q51" s="8"/>
      <c r="R51" s="9"/>
      <c r="S51" s="10"/>
    </row>
    <row r="52" spans="2:19" ht="21.75" customHeight="1" x14ac:dyDescent="0.25">
      <c r="B52" s="24"/>
      <c r="C52" s="24"/>
      <c r="D52" s="24"/>
      <c r="E52" s="24"/>
      <c r="F52" s="38"/>
      <c r="G52" s="27"/>
      <c r="H52" s="24"/>
      <c r="I52" s="27"/>
      <c r="J52" s="26"/>
      <c r="K52" s="24"/>
      <c r="L52" s="24"/>
      <c r="M52" s="24" t="str">
        <f>IF(B52="","",IF(COUNTIFS(Cobranza!$C$9:$C$1008,B52,Cobranza!$N$9:$N$1008,"Vencida")&gt;0,"Vencida",IF(COUNTIFS(Cobranza!$C$9:$C$1008,B52,Cobranza!$N$9:$N$1008,"Parcial")&gt;0,"Parcial",IF(COUNTIFS(Cobranza!$C$9:$C$1008,B52,Cobranza!$N$9:$N$1008,"Pendiente")&gt;0,"Pendiente",IF(COUNTIFS(Cobranza!$C$9:$C$1008,B52,Cobranza!$N$9:$N$1008,"Pagada")&gt;0,"Pagada","")))))</f>
        <v/>
      </c>
      <c r="N52" s="33" t="str">
        <f t="shared" ca="1" si="0"/>
        <v/>
      </c>
      <c r="O52" s="23"/>
      <c r="P52" s="7" t="str">
        <f ca="1">IF(AND(B52&lt;&gt;"",F52&lt;&gt;"Cerrada",F52&lt;&gt;"Perdida",N52&lt;&gt;"",N52&gt;14),COUNTIFS($F$8:$F52,"&lt;&gt;Cerrada",$F$8:$F52,"&lt;&gt;Perdida",$N$8:$N52,"&gt;14"),"")</f>
        <v/>
      </c>
      <c r="Q52" s="8"/>
      <c r="R52" s="9"/>
      <c r="S52" s="10"/>
    </row>
    <row r="53" spans="2:19" ht="21.75" customHeight="1" x14ac:dyDescent="0.25">
      <c r="B53" s="24"/>
      <c r="C53" s="24"/>
      <c r="D53" s="24"/>
      <c r="E53" s="24"/>
      <c r="F53" s="38"/>
      <c r="G53" s="27"/>
      <c r="H53" s="24"/>
      <c r="I53" s="27"/>
      <c r="J53" s="26"/>
      <c r="K53" s="24"/>
      <c r="L53" s="24"/>
      <c r="M53" s="24" t="str">
        <f>IF(B53="","",IF(COUNTIFS(Cobranza!$C$9:$C$1008,B53,Cobranza!$N$9:$N$1008,"Vencida")&gt;0,"Vencida",IF(COUNTIFS(Cobranza!$C$9:$C$1008,B53,Cobranza!$N$9:$N$1008,"Parcial")&gt;0,"Parcial",IF(COUNTIFS(Cobranza!$C$9:$C$1008,B53,Cobranza!$N$9:$N$1008,"Pendiente")&gt;0,"Pendiente",IF(COUNTIFS(Cobranza!$C$9:$C$1008,B53,Cobranza!$N$9:$N$1008,"Pagada")&gt;0,"Pagada","")))))</f>
        <v/>
      </c>
      <c r="N53" s="33" t="str">
        <f t="shared" ca="1" si="0"/>
        <v/>
      </c>
      <c r="O53" s="23"/>
      <c r="P53" s="7" t="str">
        <f ca="1">IF(AND(B53&lt;&gt;"",F53&lt;&gt;"Cerrada",F53&lt;&gt;"Perdida",N53&lt;&gt;"",N53&gt;14),COUNTIFS($F$8:$F53,"&lt;&gt;Cerrada",$F$8:$F53,"&lt;&gt;Perdida",$N$8:$N53,"&gt;14"),"")</f>
        <v/>
      </c>
      <c r="Q53" s="8"/>
      <c r="R53" s="9"/>
      <c r="S53" s="10"/>
    </row>
    <row r="54" spans="2:19" ht="21.75" customHeight="1" x14ac:dyDescent="0.25">
      <c r="B54" s="24"/>
      <c r="C54" s="24"/>
      <c r="D54" s="24"/>
      <c r="E54" s="24"/>
      <c r="F54" s="38"/>
      <c r="G54" s="27"/>
      <c r="H54" s="24"/>
      <c r="I54" s="27"/>
      <c r="J54" s="26"/>
      <c r="K54" s="24"/>
      <c r="L54" s="24"/>
      <c r="M54" s="24" t="str">
        <f>IF(B54="","",IF(COUNTIFS(Cobranza!$C$9:$C$1008,B54,Cobranza!$N$9:$N$1008,"Vencida")&gt;0,"Vencida",IF(COUNTIFS(Cobranza!$C$9:$C$1008,B54,Cobranza!$N$9:$N$1008,"Parcial")&gt;0,"Parcial",IF(COUNTIFS(Cobranza!$C$9:$C$1008,B54,Cobranza!$N$9:$N$1008,"Pendiente")&gt;0,"Pendiente",IF(COUNTIFS(Cobranza!$C$9:$C$1008,B54,Cobranza!$N$9:$N$1008,"Pagada")&gt;0,"Pagada","")))))</f>
        <v/>
      </c>
      <c r="N54" s="33" t="str">
        <f t="shared" ca="1" si="0"/>
        <v/>
      </c>
      <c r="O54" s="23"/>
      <c r="P54" s="7" t="str">
        <f ca="1">IF(AND(B54&lt;&gt;"",F54&lt;&gt;"Cerrada",F54&lt;&gt;"Perdida",N54&lt;&gt;"",N54&gt;14),COUNTIFS($F$8:$F54,"&lt;&gt;Cerrada",$F$8:$F54,"&lt;&gt;Perdida",$N$8:$N54,"&gt;14"),"")</f>
        <v/>
      </c>
      <c r="Q54" s="8"/>
      <c r="R54" s="9"/>
      <c r="S54" s="10"/>
    </row>
    <row r="55" spans="2:19" ht="21.75" customHeight="1" x14ac:dyDescent="0.25">
      <c r="B55" s="24"/>
      <c r="C55" s="24"/>
      <c r="D55" s="24"/>
      <c r="E55" s="24"/>
      <c r="F55" s="38"/>
      <c r="G55" s="27"/>
      <c r="H55" s="24"/>
      <c r="I55" s="27"/>
      <c r="J55" s="26"/>
      <c r="K55" s="24"/>
      <c r="L55" s="24"/>
      <c r="M55" s="24" t="str">
        <f>IF(B55="","",IF(COUNTIFS(Cobranza!$C$9:$C$1008,B55,Cobranza!$N$9:$N$1008,"Vencida")&gt;0,"Vencida",IF(COUNTIFS(Cobranza!$C$9:$C$1008,B55,Cobranza!$N$9:$N$1008,"Parcial")&gt;0,"Parcial",IF(COUNTIFS(Cobranza!$C$9:$C$1008,B55,Cobranza!$N$9:$N$1008,"Pendiente")&gt;0,"Pendiente",IF(COUNTIFS(Cobranza!$C$9:$C$1008,B55,Cobranza!$N$9:$N$1008,"Pagada")&gt;0,"Pagada","")))))</f>
        <v/>
      </c>
      <c r="N55" s="33" t="str">
        <f t="shared" ca="1" si="0"/>
        <v/>
      </c>
      <c r="O55" s="23"/>
      <c r="P55" s="7" t="str">
        <f ca="1">IF(AND(B55&lt;&gt;"",F55&lt;&gt;"Cerrada",F55&lt;&gt;"Perdida",N55&lt;&gt;"",N55&gt;14),COUNTIFS($F$8:$F55,"&lt;&gt;Cerrada",$F$8:$F55,"&lt;&gt;Perdida",$N$8:$N55,"&gt;14"),"")</f>
        <v/>
      </c>
      <c r="Q55" s="8"/>
      <c r="R55" s="9"/>
      <c r="S55" s="10"/>
    </row>
    <row r="56" spans="2:19" ht="21.75" customHeight="1" x14ac:dyDescent="0.25">
      <c r="B56" s="24"/>
      <c r="C56" s="24"/>
      <c r="D56" s="24"/>
      <c r="E56" s="24"/>
      <c r="F56" s="38"/>
      <c r="G56" s="27"/>
      <c r="H56" s="24"/>
      <c r="I56" s="27"/>
      <c r="J56" s="26"/>
      <c r="K56" s="24"/>
      <c r="L56" s="24"/>
      <c r="M56" s="24" t="str">
        <f>IF(B56="","",IF(COUNTIFS(Cobranza!$C$9:$C$1008,B56,Cobranza!$N$9:$N$1008,"Vencida")&gt;0,"Vencida",IF(COUNTIFS(Cobranza!$C$9:$C$1008,B56,Cobranza!$N$9:$N$1008,"Parcial")&gt;0,"Parcial",IF(COUNTIFS(Cobranza!$C$9:$C$1008,B56,Cobranza!$N$9:$N$1008,"Pendiente")&gt;0,"Pendiente",IF(COUNTIFS(Cobranza!$C$9:$C$1008,B56,Cobranza!$N$9:$N$1008,"Pagada")&gt;0,"Pagada","")))))</f>
        <v/>
      </c>
      <c r="N56" s="33" t="str">
        <f t="shared" ca="1" si="0"/>
        <v/>
      </c>
      <c r="O56" s="23"/>
      <c r="P56" s="7" t="str">
        <f ca="1">IF(AND(B56&lt;&gt;"",F56&lt;&gt;"Cerrada",F56&lt;&gt;"Perdida",N56&lt;&gt;"",N56&gt;14),COUNTIFS($F$8:$F56,"&lt;&gt;Cerrada",$F$8:$F56,"&lt;&gt;Perdida",$N$8:$N56,"&gt;14"),"")</f>
        <v/>
      </c>
      <c r="Q56" s="8"/>
      <c r="R56" s="9"/>
      <c r="S56" s="10"/>
    </row>
    <row r="57" spans="2:19" ht="21.75" customHeight="1" x14ac:dyDescent="0.25">
      <c r="B57" s="24"/>
      <c r="C57" s="24"/>
      <c r="D57" s="24"/>
      <c r="E57" s="24"/>
      <c r="F57" s="38"/>
      <c r="G57" s="27"/>
      <c r="H57" s="24"/>
      <c r="I57" s="27"/>
      <c r="J57" s="26"/>
      <c r="K57" s="24"/>
      <c r="L57" s="24"/>
      <c r="M57" s="24" t="str">
        <f>IF(B57="","",IF(COUNTIFS(Cobranza!$C$9:$C$1008,B57,Cobranza!$N$9:$N$1008,"Vencida")&gt;0,"Vencida",IF(COUNTIFS(Cobranza!$C$9:$C$1008,B57,Cobranza!$N$9:$N$1008,"Parcial")&gt;0,"Parcial",IF(COUNTIFS(Cobranza!$C$9:$C$1008,B57,Cobranza!$N$9:$N$1008,"Pendiente")&gt;0,"Pendiente",IF(COUNTIFS(Cobranza!$C$9:$C$1008,B57,Cobranza!$N$9:$N$1008,"Pagada")&gt;0,"Pagada","")))))</f>
        <v/>
      </c>
      <c r="N57" s="33" t="str">
        <f t="shared" ca="1" si="0"/>
        <v/>
      </c>
      <c r="O57" s="23"/>
      <c r="P57" s="7" t="str">
        <f ca="1">IF(AND(B57&lt;&gt;"",F57&lt;&gt;"Cerrada",F57&lt;&gt;"Perdida",N57&lt;&gt;"",N57&gt;14),COUNTIFS($F$8:$F57,"&lt;&gt;Cerrada",$F$8:$F57,"&lt;&gt;Perdida",$N$8:$N57,"&gt;14"),"")</f>
        <v/>
      </c>
      <c r="Q57" s="8"/>
      <c r="R57" s="9"/>
      <c r="S57" s="10"/>
    </row>
    <row r="58" spans="2:19" ht="21.75" customHeight="1" x14ac:dyDescent="0.25">
      <c r="B58" s="24"/>
      <c r="C58" s="24"/>
      <c r="D58" s="24"/>
      <c r="E58" s="24"/>
      <c r="F58" s="38"/>
      <c r="G58" s="27"/>
      <c r="H58" s="24"/>
      <c r="I58" s="27"/>
      <c r="J58" s="26"/>
      <c r="K58" s="24"/>
      <c r="L58" s="24"/>
      <c r="M58" s="24" t="str">
        <f>IF(B58="","",IF(COUNTIFS(Cobranza!$C$9:$C$1008,B58,Cobranza!$N$9:$N$1008,"Vencida")&gt;0,"Vencida",IF(COUNTIFS(Cobranza!$C$9:$C$1008,B58,Cobranza!$N$9:$N$1008,"Parcial")&gt;0,"Parcial",IF(COUNTIFS(Cobranza!$C$9:$C$1008,B58,Cobranza!$N$9:$N$1008,"Pendiente")&gt;0,"Pendiente",IF(COUNTIFS(Cobranza!$C$9:$C$1008,B58,Cobranza!$N$9:$N$1008,"Pagada")&gt;0,"Pagada","")))))</f>
        <v/>
      </c>
      <c r="N58" s="33" t="str">
        <f t="shared" ca="1" si="0"/>
        <v/>
      </c>
      <c r="O58" s="23"/>
      <c r="P58" s="7" t="str">
        <f ca="1">IF(AND(B58&lt;&gt;"",F58&lt;&gt;"Cerrada",F58&lt;&gt;"Perdida",N58&lt;&gt;"",N58&gt;14),COUNTIFS($F$8:$F58,"&lt;&gt;Cerrada",$F$8:$F58,"&lt;&gt;Perdida",$N$8:$N58,"&gt;14"),"")</f>
        <v/>
      </c>
      <c r="Q58" s="8"/>
      <c r="R58" s="9"/>
      <c r="S58" s="10"/>
    </row>
    <row r="59" spans="2:19" ht="21.75" customHeight="1" x14ac:dyDescent="0.25">
      <c r="B59" s="24"/>
      <c r="C59" s="24"/>
      <c r="D59" s="24"/>
      <c r="E59" s="24"/>
      <c r="F59" s="38"/>
      <c r="G59" s="27"/>
      <c r="H59" s="24"/>
      <c r="I59" s="27"/>
      <c r="J59" s="26"/>
      <c r="K59" s="24"/>
      <c r="L59" s="24"/>
      <c r="M59" s="24" t="str">
        <f>IF(B59="","",IF(COUNTIFS(Cobranza!$C$9:$C$1008,B59,Cobranza!$N$9:$N$1008,"Vencida")&gt;0,"Vencida",IF(COUNTIFS(Cobranza!$C$9:$C$1008,B59,Cobranza!$N$9:$N$1008,"Parcial")&gt;0,"Parcial",IF(COUNTIFS(Cobranza!$C$9:$C$1008,B59,Cobranza!$N$9:$N$1008,"Pendiente")&gt;0,"Pendiente",IF(COUNTIFS(Cobranza!$C$9:$C$1008,B59,Cobranza!$N$9:$N$1008,"Pagada")&gt;0,"Pagada","")))))</f>
        <v/>
      </c>
      <c r="N59" s="33" t="str">
        <f t="shared" ca="1" si="0"/>
        <v/>
      </c>
      <c r="O59" s="23"/>
      <c r="P59" s="7" t="str">
        <f ca="1">IF(AND(B59&lt;&gt;"",F59&lt;&gt;"Cerrada",F59&lt;&gt;"Perdida",N59&lt;&gt;"",N59&gt;14),COUNTIFS($F$8:$F59,"&lt;&gt;Cerrada",$F$8:$F59,"&lt;&gt;Perdida",$N$8:$N59,"&gt;14"),"")</f>
        <v/>
      </c>
      <c r="Q59" s="8"/>
      <c r="R59" s="9"/>
      <c r="S59" s="10"/>
    </row>
    <row r="60" spans="2:19" ht="21.75" customHeight="1" x14ac:dyDescent="0.25">
      <c r="B60" s="24"/>
      <c r="C60" s="24"/>
      <c r="D60" s="24"/>
      <c r="E60" s="24"/>
      <c r="F60" s="38"/>
      <c r="G60" s="27"/>
      <c r="H60" s="24"/>
      <c r="I60" s="27"/>
      <c r="J60" s="26"/>
      <c r="K60" s="24"/>
      <c r="L60" s="24"/>
      <c r="M60" s="24" t="str">
        <f>IF(B60="","",IF(COUNTIFS(Cobranza!$C$9:$C$1008,B60,Cobranza!$N$9:$N$1008,"Vencida")&gt;0,"Vencida",IF(COUNTIFS(Cobranza!$C$9:$C$1008,B60,Cobranza!$N$9:$N$1008,"Parcial")&gt;0,"Parcial",IF(COUNTIFS(Cobranza!$C$9:$C$1008,B60,Cobranza!$N$9:$N$1008,"Pendiente")&gt;0,"Pendiente",IF(COUNTIFS(Cobranza!$C$9:$C$1008,B60,Cobranza!$N$9:$N$1008,"Pagada")&gt;0,"Pagada","")))))</f>
        <v/>
      </c>
      <c r="N60" s="33" t="str">
        <f t="shared" ca="1" si="0"/>
        <v/>
      </c>
      <c r="O60" s="23"/>
      <c r="P60" s="7" t="str">
        <f ca="1">IF(AND(B60&lt;&gt;"",F60&lt;&gt;"Cerrada",F60&lt;&gt;"Perdida",N60&lt;&gt;"",N60&gt;14),COUNTIFS($F$8:$F60,"&lt;&gt;Cerrada",$F$8:$F60,"&lt;&gt;Perdida",$N$8:$N60,"&gt;14"),"")</f>
        <v/>
      </c>
      <c r="Q60" s="8"/>
      <c r="R60" s="9"/>
      <c r="S60" s="10"/>
    </row>
    <row r="61" spans="2:19" ht="21.75" customHeight="1" x14ac:dyDescent="0.25">
      <c r="B61" s="24"/>
      <c r="C61" s="24"/>
      <c r="D61" s="24"/>
      <c r="E61" s="24"/>
      <c r="F61" s="38"/>
      <c r="G61" s="27"/>
      <c r="H61" s="24"/>
      <c r="I61" s="27"/>
      <c r="J61" s="26"/>
      <c r="K61" s="24"/>
      <c r="L61" s="24"/>
      <c r="M61" s="24" t="str">
        <f>IF(B61="","",IF(COUNTIFS(Cobranza!$C$9:$C$1008,B61,Cobranza!$N$9:$N$1008,"Vencida")&gt;0,"Vencida",IF(COUNTIFS(Cobranza!$C$9:$C$1008,B61,Cobranza!$N$9:$N$1008,"Parcial")&gt;0,"Parcial",IF(COUNTIFS(Cobranza!$C$9:$C$1008,B61,Cobranza!$N$9:$N$1008,"Pendiente")&gt;0,"Pendiente",IF(COUNTIFS(Cobranza!$C$9:$C$1008,B61,Cobranza!$N$9:$N$1008,"Pagada")&gt;0,"Pagada","")))))</f>
        <v/>
      </c>
      <c r="N61" s="33" t="str">
        <f t="shared" ca="1" si="0"/>
        <v/>
      </c>
      <c r="O61" s="23"/>
      <c r="P61" s="7" t="str">
        <f ca="1">IF(AND(B61&lt;&gt;"",F61&lt;&gt;"Cerrada",F61&lt;&gt;"Perdida",N61&lt;&gt;"",N61&gt;14),COUNTIFS($F$8:$F61,"&lt;&gt;Cerrada",$F$8:$F61,"&lt;&gt;Perdida",$N$8:$N61,"&gt;14"),"")</f>
        <v/>
      </c>
      <c r="Q61" s="8"/>
      <c r="R61" s="9"/>
      <c r="S61" s="10"/>
    </row>
    <row r="62" spans="2:19" ht="21.75" customHeight="1" x14ac:dyDescent="0.25">
      <c r="B62" s="24"/>
      <c r="C62" s="24"/>
      <c r="D62" s="24"/>
      <c r="E62" s="24"/>
      <c r="F62" s="38"/>
      <c r="G62" s="27"/>
      <c r="H62" s="24"/>
      <c r="I62" s="27"/>
      <c r="J62" s="26"/>
      <c r="K62" s="24"/>
      <c r="L62" s="24"/>
      <c r="M62" s="24" t="str">
        <f>IF(B62="","",IF(COUNTIFS(Cobranza!$C$9:$C$1008,B62,Cobranza!$N$9:$N$1008,"Vencida")&gt;0,"Vencida",IF(COUNTIFS(Cobranza!$C$9:$C$1008,B62,Cobranza!$N$9:$N$1008,"Parcial")&gt;0,"Parcial",IF(COUNTIFS(Cobranza!$C$9:$C$1008,B62,Cobranza!$N$9:$N$1008,"Pendiente")&gt;0,"Pendiente",IF(COUNTIFS(Cobranza!$C$9:$C$1008,B62,Cobranza!$N$9:$N$1008,"Pagada")&gt;0,"Pagada","")))))</f>
        <v/>
      </c>
      <c r="N62" s="33" t="str">
        <f t="shared" ca="1" si="0"/>
        <v/>
      </c>
      <c r="O62" s="23"/>
      <c r="P62" s="7" t="str">
        <f ca="1">IF(AND(B62&lt;&gt;"",F62&lt;&gt;"Cerrada",F62&lt;&gt;"Perdida",N62&lt;&gt;"",N62&gt;14),COUNTIFS($F$8:$F62,"&lt;&gt;Cerrada",$F$8:$F62,"&lt;&gt;Perdida",$N$8:$N62,"&gt;14"),"")</f>
        <v/>
      </c>
      <c r="Q62" s="8"/>
      <c r="R62" s="9"/>
      <c r="S62" s="10"/>
    </row>
    <row r="63" spans="2:19" ht="21.75" customHeight="1" x14ac:dyDescent="0.25">
      <c r="B63" s="24"/>
      <c r="C63" s="24"/>
      <c r="D63" s="24"/>
      <c r="E63" s="24"/>
      <c r="F63" s="38"/>
      <c r="G63" s="27"/>
      <c r="H63" s="24"/>
      <c r="I63" s="27"/>
      <c r="J63" s="26"/>
      <c r="K63" s="24"/>
      <c r="L63" s="24"/>
      <c r="M63" s="24" t="str">
        <f>IF(B63="","",IF(COUNTIFS(Cobranza!$C$9:$C$1008,B63,Cobranza!$N$9:$N$1008,"Vencida")&gt;0,"Vencida",IF(COUNTIFS(Cobranza!$C$9:$C$1008,B63,Cobranza!$N$9:$N$1008,"Parcial")&gt;0,"Parcial",IF(COUNTIFS(Cobranza!$C$9:$C$1008,B63,Cobranza!$N$9:$N$1008,"Pendiente")&gt;0,"Pendiente",IF(COUNTIFS(Cobranza!$C$9:$C$1008,B63,Cobranza!$N$9:$N$1008,"Pagada")&gt;0,"Pagada","")))))</f>
        <v/>
      </c>
      <c r="N63" s="33" t="str">
        <f t="shared" ca="1" si="0"/>
        <v/>
      </c>
      <c r="O63" s="23"/>
      <c r="P63" s="7" t="str">
        <f ca="1">IF(AND(B63&lt;&gt;"",F63&lt;&gt;"Cerrada",F63&lt;&gt;"Perdida",N63&lt;&gt;"",N63&gt;14),COUNTIFS($F$8:$F63,"&lt;&gt;Cerrada",$F$8:$F63,"&lt;&gt;Perdida",$N$8:$N63,"&gt;14"),"")</f>
        <v/>
      </c>
      <c r="Q63" s="8"/>
      <c r="R63" s="9"/>
      <c r="S63" s="10"/>
    </row>
    <row r="64" spans="2:19" ht="21.75" customHeight="1" x14ac:dyDescent="0.25">
      <c r="B64" s="24"/>
      <c r="C64" s="24"/>
      <c r="D64" s="24"/>
      <c r="E64" s="24"/>
      <c r="F64" s="38"/>
      <c r="G64" s="27"/>
      <c r="H64" s="24"/>
      <c r="I64" s="27"/>
      <c r="J64" s="26"/>
      <c r="K64" s="24"/>
      <c r="L64" s="24"/>
      <c r="M64" s="24" t="str">
        <f>IF(B64="","",IF(COUNTIFS(Cobranza!$C$9:$C$1008,B64,Cobranza!$N$9:$N$1008,"Vencida")&gt;0,"Vencida",IF(COUNTIFS(Cobranza!$C$9:$C$1008,B64,Cobranza!$N$9:$N$1008,"Parcial")&gt;0,"Parcial",IF(COUNTIFS(Cobranza!$C$9:$C$1008,B64,Cobranza!$N$9:$N$1008,"Pendiente")&gt;0,"Pendiente",IF(COUNTIFS(Cobranza!$C$9:$C$1008,B64,Cobranza!$N$9:$N$1008,"Pagada")&gt;0,"Pagada","")))))</f>
        <v/>
      </c>
      <c r="N64" s="33" t="str">
        <f t="shared" ca="1" si="0"/>
        <v/>
      </c>
      <c r="O64" s="23"/>
      <c r="P64" s="7" t="str">
        <f ca="1">IF(AND(B64&lt;&gt;"",F64&lt;&gt;"Cerrada",F64&lt;&gt;"Perdida",N64&lt;&gt;"",N64&gt;14),COUNTIFS($F$8:$F64,"&lt;&gt;Cerrada",$F$8:$F64,"&lt;&gt;Perdida",$N$8:$N64,"&gt;14"),"")</f>
        <v/>
      </c>
      <c r="Q64" s="8"/>
      <c r="R64" s="9"/>
      <c r="S64" s="10"/>
    </row>
    <row r="65" spans="2:19" ht="21.75" customHeight="1" x14ac:dyDescent="0.25">
      <c r="B65" s="24"/>
      <c r="C65" s="24"/>
      <c r="D65" s="24"/>
      <c r="E65" s="24"/>
      <c r="F65" s="38"/>
      <c r="G65" s="27"/>
      <c r="H65" s="24"/>
      <c r="I65" s="27"/>
      <c r="J65" s="26"/>
      <c r="K65" s="24"/>
      <c r="L65" s="24"/>
      <c r="M65" s="24" t="str">
        <f>IF(B65="","",IF(COUNTIFS(Cobranza!$C$9:$C$1008,B65,Cobranza!$N$9:$N$1008,"Vencida")&gt;0,"Vencida",IF(COUNTIFS(Cobranza!$C$9:$C$1008,B65,Cobranza!$N$9:$N$1008,"Parcial")&gt;0,"Parcial",IF(COUNTIFS(Cobranza!$C$9:$C$1008,B65,Cobranza!$N$9:$N$1008,"Pendiente")&gt;0,"Pendiente",IF(COUNTIFS(Cobranza!$C$9:$C$1008,B65,Cobranza!$N$9:$N$1008,"Pagada")&gt;0,"Pagada","")))))</f>
        <v/>
      </c>
      <c r="N65" s="33" t="str">
        <f t="shared" ca="1" si="0"/>
        <v/>
      </c>
      <c r="O65" s="23"/>
      <c r="P65" s="7" t="str">
        <f ca="1">IF(AND(B65&lt;&gt;"",F65&lt;&gt;"Cerrada",F65&lt;&gt;"Perdida",N65&lt;&gt;"",N65&gt;14),COUNTIFS($F$8:$F65,"&lt;&gt;Cerrada",$F$8:$F65,"&lt;&gt;Perdida",$N$8:$N65,"&gt;14"),"")</f>
        <v/>
      </c>
      <c r="Q65" s="8"/>
      <c r="R65" s="9"/>
      <c r="S65" s="10"/>
    </row>
    <row r="66" spans="2:19" ht="21.75" customHeight="1" x14ac:dyDescent="0.25">
      <c r="B66" s="24"/>
      <c r="C66" s="24"/>
      <c r="D66" s="24"/>
      <c r="E66" s="24"/>
      <c r="F66" s="38"/>
      <c r="G66" s="27"/>
      <c r="H66" s="24"/>
      <c r="I66" s="27"/>
      <c r="J66" s="26"/>
      <c r="K66" s="24"/>
      <c r="L66" s="24"/>
      <c r="M66" s="24" t="str">
        <f>IF(B66="","",IF(COUNTIFS(Cobranza!$C$9:$C$1008,B66,Cobranza!$N$9:$N$1008,"Vencida")&gt;0,"Vencida",IF(COUNTIFS(Cobranza!$C$9:$C$1008,B66,Cobranza!$N$9:$N$1008,"Parcial")&gt;0,"Parcial",IF(COUNTIFS(Cobranza!$C$9:$C$1008,B66,Cobranza!$N$9:$N$1008,"Pendiente")&gt;0,"Pendiente",IF(COUNTIFS(Cobranza!$C$9:$C$1008,B66,Cobranza!$N$9:$N$1008,"Pagada")&gt;0,"Pagada","")))))</f>
        <v/>
      </c>
      <c r="N66" s="33" t="str">
        <f t="shared" ca="1" si="0"/>
        <v/>
      </c>
      <c r="O66" s="23"/>
      <c r="P66" s="7" t="str">
        <f ca="1">IF(AND(B66&lt;&gt;"",F66&lt;&gt;"Cerrada",F66&lt;&gt;"Perdida",N66&lt;&gt;"",N66&gt;14),COUNTIFS($F$8:$F66,"&lt;&gt;Cerrada",$F$8:$F66,"&lt;&gt;Perdida",$N$8:$N66,"&gt;14"),"")</f>
        <v/>
      </c>
      <c r="Q66" s="8"/>
      <c r="R66" s="9"/>
      <c r="S66" s="10"/>
    </row>
    <row r="67" spans="2:19" ht="21.75" customHeight="1" x14ac:dyDescent="0.25">
      <c r="B67" s="24"/>
      <c r="C67" s="24"/>
      <c r="D67" s="24"/>
      <c r="E67" s="24"/>
      <c r="F67" s="38"/>
      <c r="G67" s="27"/>
      <c r="H67" s="24"/>
      <c r="I67" s="27"/>
      <c r="J67" s="26"/>
      <c r="K67" s="24"/>
      <c r="L67" s="24"/>
      <c r="M67" s="24" t="str">
        <f>IF(B67="","",IF(COUNTIFS(Cobranza!$C$9:$C$1008,B67,Cobranza!$N$9:$N$1008,"Vencida")&gt;0,"Vencida",IF(COUNTIFS(Cobranza!$C$9:$C$1008,B67,Cobranza!$N$9:$N$1008,"Parcial")&gt;0,"Parcial",IF(COUNTIFS(Cobranza!$C$9:$C$1008,B67,Cobranza!$N$9:$N$1008,"Pendiente")&gt;0,"Pendiente",IF(COUNTIFS(Cobranza!$C$9:$C$1008,B67,Cobranza!$N$9:$N$1008,"Pagada")&gt;0,"Pagada","")))))</f>
        <v/>
      </c>
      <c r="N67" s="33" t="str">
        <f t="shared" ca="1" si="0"/>
        <v/>
      </c>
      <c r="O67" s="23"/>
      <c r="P67" s="7" t="str">
        <f ca="1">IF(AND(B67&lt;&gt;"",F67&lt;&gt;"Cerrada",F67&lt;&gt;"Perdida",N67&lt;&gt;"",N67&gt;14),COUNTIFS($F$8:$F67,"&lt;&gt;Cerrada",$F$8:$F67,"&lt;&gt;Perdida",$N$8:$N67,"&gt;14"),"")</f>
        <v/>
      </c>
      <c r="Q67" s="8"/>
      <c r="R67" s="9"/>
      <c r="S67" s="10"/>
    </row>
    <row r="68" spans="2:19" ht="21.75" customHeight="1" x14ac:dyDescent="0.25">
      <c r="B68" s="24"/>
      <c r="C68" s="24"/>
      <c r="D68" s="24"/>
      <c r="E68" s="24"/>
      <c r="F68" s="38"/>
      <c r="G68" s="27"/>
      <c r="H68" s="24"/>
      <c r="I68" s="27"/>
      <c r="J68" s="26"/>
      <c r="K68" s="24"/>
      <c r="L68" s="24"/>
      <c r="M68" s="24" t="str">
        <f>IF(B68="","",IF(COUNTIFS(Cobranza!$C$9:$C$1008,B68,Cobranza!$N$9:$N$1008,"Vencida")&gt;0,"Vencida",IF(COUNTIFS(Cobranza!$C$9:$C$1008,B68,Cobranza!$N$9:$N$1008,"Parcial")&gt;0,"Parcial",IF(COUNTIFS(Cobranza!$C$9:$C$1008,B68,Cobranza!$N$9:$N$1008,"Pendiente")&gt;0,"Pendiente",IF(COUNTIFS(Cobranza!$C$9:$C$1008,B68,Cobranza!$N$9:$N$1008,"Pagada")&gt;0,"Pagada","")))))</f>
        <v/>
      </c>
      <c r="N68" s="33" t="str">
        <f t="shared" ca="1" si="0"/>
        <v/>
      </c>
      <c r="O68" s="23"/>
      <c r="P68" s="7" t="str">
        <f ca="1">IF(AND(B68&lt;&gt;"",F68&lt;&gt;"Cerrada",F68&lt;&gt;"Perdida",N68&lt;&gt;"",N68&gt;14),COUNTIFS($F$8:$F68,"&lt;&gt;Cerrada",$F$8:$F68,"&lt;&gt;Perdida",$N$8:$N68,"&gt;14"),"")</f>
        <v/>
      </c>
      <c r="Q68" s="8"/>
      <c r="R68" s="9"/>
      <c r="S68" s="10"/>
    </row>
    <row r="69" spans="2:19" ht="21.75" customHeight="1" x14ac:dyDescent="0.25">
      <c r="B69" s="24"/>
      <c r="C69" s="24"/>
      <c r="D69" s="24"/>
      <c r="E69" s="24"/>
      <c r="F69" s="38"/>
      <c r="G69" s="27"/>
      <c r="H69" s="24"/>
      <c r="I69" s="27"/>
      <c r="J69" s="26"/>
      <c r="K69" s="24"/>
      <c r="L69" s="24"/>
      <c r="M69" s="24" t="str">
        <f>IF(B69="","",IF(COUNTIFS(Cobranza!$C$9:$C$1008,B69,Cobranza!$N$9:$N$1008,"Vencida")&gt;0,"Vencida",IF(COUNTIFS(Cobranza!$C$9:$C$1008,B69,Cobranza!$N$9:$N$1008,"Parcial")&gt;0,"Parcial",IF(COUNTIFS(Cobranza!$C$9:$C$1008,B69,Cobranza!$N$9:$N$1008,"Pendiente")&gt;0,"Pendiente",IF(COUNTIFS(Cobranza!$C$9:$C$1008,B69,Cobranza!$N$9:$N$1008,"Pagada")&gt;0,"Pagada","")))))</f>
        <v/>
      </c>
      <c r="N69" s="33" t="str">
        <f t="shared" ca="1" si="0"/>
        <v/>
      </c>
      <c r="O69" s="23"/>
      <c r="P69" s="7" t="str">
        <f ca="1">IF(AND(B69&lt;&gt;"",F69&lt;&gt;"Cerrada",F69&lt;&gt;"Perdida",N69&lt;&gt;"",N69&gt;14),COUNTIFS($F$8:$F69,"&lt;&gt;Cerrada",$F$8:$F69,"&lt;&gt;Perdida",$N$8:$N69,"&gt;14"),"")</f>
        <v/>
      </c>
      <c r="Q69" s="8"/>
      <c r="R69" s="9"/>
      <c r="S69" s="10"/>
    </row>
    <row r="70" spans="2:19" ht="21.75" customHeight="1" x14ac:dyDescent="0.25">
      <c r="B70" s="24"/>
      <c r="C70" s="24"/>
      <c r="D70" s="24"/>
      <c r="E70" s="24"/>
      <c r="F70" s="38"/>
      <c r="G70" s="27"/>
      <c r="H70" s="24"/>
      <c r="I70" s="27"/>
      <c r="J70" s="26"/>
      <c r="K70" s="24"/>
      <c r="L70" s="24"/>
      <c r="M70" s="24" t="str">
        <f>IF(B70="","",IF(COUNTIFS(Cobranza!$C$9:$C$1008,B70,Cobranza!$N$9:$N$1008,"Vencida")&gt;0,"Vencida",IF(COUNTIFS(Cobranza!$C$9:$C$1008,B70,Cobranza!$N$9:$N$1008,"Parcial")&gt;0,"Parcial",IF(COUNTIFS(Cobranza!$C$9:$C$1008,B70,Cobranza!$N$9:$N$1008,"Pendiente")&gt;0,"Pendiente",IF(COUNTIFS(Cobranza!$C$9:$C$1008,B70,Cobranza!$N$9:$N$1008,"Pagada")&gt;0,"Pagada","")))))</f>
        <v/>
      </c>
      <c r="N70" s="33" t="str">
        <f t="shared" ca="1" si="0"/>
        <v/>
      </c>
      <c r="O70" s="23"/>
      <c r="P70" s="7" t="str">
        <f ca="1">IF(AND(B70&lt;&gt;"",F70&lt;&gt;"Cerrada",F70&lt;&gt;"Perdida",N70&lt;&gt;"",N70&gt;14),COUNTIFS($F$8:$F70,"&lt;&gt;Cerrada",$F$8:$F70,"&lt;&gt;Perdida",$N$8:$N70,"&gt;14"),"")</f>
        <v/>
      </c>
      <c r="Q70" s="8"/>
      <c r="R70" s="9"/>
      <c r="S70" s="10"/>
    </row>
    <row r="71" spans="2:19" ht="21.75" customHeight="1" x14ac:dyDescent="0.25">
      <c r="B71" s="24"/>
      <c r="C71" s="24"/>
      <c r="D71" s="24"/>
      <c r="E71" s="24"/>
      <c r="F71" s="38"/>
      <c r="G71" s="27"/>
      <c r="H71" s="24"/>
      <c r="I71" s="27"/>
      <c r="J71" s="26"/>
      <c r="K71" s="24"/>
      <c r="L71" s="24"/>
      <c r="M71" s="24" t="str">
        <f>IF(B71="","",IF(COUNTIFS(Cobranza!$C$9:$C$1008,B71,Cobranza!$N$9:$N$1008,"Vencida")&gt;0,"Vencida",IF(COUNTIFS(Cobranza!$C$9:$C$1008,B71,Cobranza!$N$9:$N$1008,"Parcial")&gt;0,"Parcial",IF(COUNTIFS(Cobranza!$C$9:$C$1008,B71,Cobranza!$N$9:$N$1008,"Pendiente")&gt;0,"Pendiente",IF(COUNTIFS(Cobranza!$C$9:$C$1008,B71,Cobranza!$N$9:$N$1008,"Pagada")&gt;0,"Pagada","")))))</f>
        <v/>
      </c>
      <c r="N71" s="33" t="str">
        <f t="shared" ca="1" si="0"/>
        <v/>
      </c>
      <c r="O71" s="23"/>
      <c r="P71" s="7" t="str">
        <f ca="1">IF(AND(B71&lt;&gt;"",F71&lt;&gt;"Cerrada",F71&lt;&gt;"Perdida",N71&lt;&gt;"",N71&gt;14),COUNTIFS($F$8:$F71,"&lt;&gt;Cerrada",$F$8:$F71,"&lt;&gt;Perdida",$N$8:$N71,"&gt;14"),"")</f>
        <v/>
      </c>
      <c r="Q71" s="8"/>
      <c r="R71" s="9"/>
      <c r="S71" s="10"/>
    </row>
    <row r="72" spans="2:19" ht="21.75" customHeight="1" x14ac:dyDescent="0.25">
      <c r="B72" s="24"/>
      <c r="C72" s="24"/>
      <c r="D72" s="24"/>
      <c r="E72" s="24"/>
      <c r="F72" s="38"/>
      <c r="G72" s="27"/>
      <c r="H72" s="24"/>
      <c r="I72" s="27"/>
      <c r="J72" s="26"/>
      <c r="K72" s="24"/>
      <c r="L72" s="24"/>
      <c r="M72" s="24" t="str">
        <f>IF(B72="","",IF(COUNTIFS(Cobranza!$C$9:$C$1008,B72,Cobranza!$N$9:$N$1008,"Vencida")&gt;0,"Vencida",IF(COUNTIFS(Cobranza!$C$9:$C$1008,B72,Cobranza!$N$9:$N$1008,"Parcial")&gt;0,"Parcial",IF(COUNTIFS(Cobranza!$C$9:$C$1008,B72,Cobranza!$N$9:$N$1008,"Pendiente")&gt;0,"Pendiente",IF(COUNTIFS(Cobranza!$C$9:$C$1008,B72,Cobranza!$N$9:$N$1008,"Pagada")&gt;0,"Pagada","")))))</f>
        <v/>
      </c>
      <c r="N72" s="33" t="str">
        <f t="shared" ref="N72:N135" ca="1" si="1">IF(I72="","",MAX(0,TODAY()-I72))</f>
        <v/>
      </c>
      <c r="O72" s="23"/>
      <c r="P72" s="7" t="str">
        <f ca="1">IF(AND(B72&lt;&gt;"",F72&lt;&gt;"Cerrada",F72&lt;&gt;"Perdida",N72&lt;&gt;"",N72&gt;14),COUNTIFS($F$8:$F72,"&lt;&gt;Cerrada",$F$8:$F72,"&lt;&gt;Perdida",$N$8:$N72,"&gt;14"),"")</f>
        <v/>
      </c>
      <c r="Q72" s="8"/>
      <c r="R72" s="9"/>
      <c r="S72" s="10"/>
    </row>
    <row r="73" spans="2:19" ht="21.75" customHeight="1" x14ac:dyDescent="0.25">
      <c r="B73" s="24"/>
      <c r="C73" s="24"/>
      <c r="D73" s="24"/>
      <c r="E73" s="24"/>
      <c r="F73" s="38"/>
      <c r="G73" s="27"/>
      <c r="H73" s="24"/>
      <c r="I73" s="27"/>
      <c r="J73" s="26"/>
      <c r="K73" s="24"/>
      <c r="L73" s="24"/>
      <c r="M73" s="24" t="str">
        <f>IF(B73="","",IF(COUNTIFS(Cobranza!$C$9:$C$1008,B73,Cobranza!$N$9:$N$1008,"Vencida")&gt;0,"Vencida",IF(COUNTIFS(Cobranza!$C$9:$C$1008,B73,Cobranza!$N$9:$N$1008,"Parcial")&gt;0,"Parcial",IF(COUNTIFS(Cobranza!$C$9:$C$1008,B73,Cobranza!$N$9:$N$1008,"Pendiente")&gt;0,"Pendiente",IF(COUNTIFS(Cobranza!$C$9:$C$1008,B73,Cobranza!$N$9:$N$1008,"Pagada")&gt;0,"Pagada","")))))</f>
        <v/>
      </c>
      <c r="N73" s="33" t="str">
        <f t="shared" ca="1" si="1"/>
        <v/>
      </c>
      <c r="O73" s="23"/>
      <c r="P73" s="7" t="str">
        <f ca="1">IF(AND(B73&lt;&gt;"",F73&lt;&gt;"Cerrada",F73&lt;&gt;"Perdida",N73&lt;&gt;"",N73&gt;14),COUNTIFS($F$8:$F73,"&lt;&gt;Cerrada",$F$8:$F73,"&lt;&gt;Perdida",$N$8:$N73,"&gt;14"),"")</f>
        <v/>
      </c>
      <c r="Q73" s="8"/>
      <c r="R73" s="9"/>
      <c r="S73" s="10"/>
    </row>
    <row r="74" spans="2:19" ht="21.75" customHeight="1" x14ac:dyDescent="0.25">
      <c r="B74" s="24"/>
      <c r="C74" s="24"/>
      <c r="D74" s="24"/>
      <c r="E74" s="24"/>
      <c r="F74" s="38"/>
      <c r="G74" s="27"/>
      <c r="H74" s="24"/>
      <c r="I74" s="27"/>
      <c r="J74" s="26"/>
      <c r="K74" s="24"/>
      <c r="L74" s="24"/>
      <c r="M74" s="24" t="str">
        <f>IF(B74="","",IF(COUNTIFS(Cobranza!$C$9:$C$1008,B74,Cobranza!$N$9:$N$1008,"Vencida")&gt;0,"Vencida",IF(COUNTIFS(Cobranza!$C$9:$C$1008,B74,Cobranza!$N$9:$N$1008,"Parcial")&gt;0,"Parcial",IF(COUNTIFS(Cobranza!$C$9:$C$1008,B74,Cobranza!$N$9:$N$1008,"Pendiente")&gt;0,"Pendiente",IF(COUNTIFS(Cobranza!$C$9:$C$1008,B74,Cobranza!$N$9:$N$1008,"Pagada")&gt;0,"Pagada","")))))</f>
        <v/>
      </c>
      <c r="N74" s="33" t="str">
        <f t="shared" ca="1" si="1"/>
        <v/>
      </c>
      <c r="O74" s="23"/>
      <c r="P74" s="7" t="str">
        <f ca="1">IF(AND(B74&lt;&gt;"",F74&lt;&gt;"Cerrada",F74&lt;&gt;"Perdida",N74&lt;&gt;"",N74&gt;14),COUNTIFS($F$8:$F74,"&lt;&gt;Cerrada",$F$8:$F74,"&lt;&gt;Perdida",$N$8:$N74,"&gt;14"),"")</f>
        <v/>
      </c>
      <c r="Q74" s="8"/>
      <c r="R74" s="9"/>
      <c r="S74" s="10"/>
    </row>
    <row r="75" spans="2:19" ht="21.75" customHeight="1" x14ac:dyDescent="0.25">
      <c r="B75" s="24"/>
      <c r="C75" s="24"/>
      <c r="D75" s="24"/>
      <c r="E75" s="24"/>
      <c r="F75" s="38"/>
      <c r="G75" s="27"/>
      <c r="H75" s="24"/>
      <c r="I75" s="27"/>
      <c r="J75" s="26"/>
      <c r="K75" s="24"/>
      <c r="L75" s="24"/>
      <c r="M75" s="24" t="str">
        <f>IF(B75="","",IF(COUNTIFS(Cobranza!$C$9:$C$1008,B75,Cobranza!$N$9:$N$1008,"Vencida")&gt;0,"Vencida",IF(COUNTIFS(Cobranza!$C$9:$C$1008,B75,Cobranza!$N$9:$N$1008,"Parcial")&gt;0,"Parcial",IF(COUNTIFS(Cobranza!$C$9:$C$1008,B75,Cobranza!$N$9:$N$1008,"Pendiente")&gt;0,"Pendiente",IF(COUNTIFS(Cobranza!$C$9:$C$1008,B75,Cobranza!$N$9:$N$1008,"Pagada")&gt;0,"Pagada","")))))</f>
        <v/>
      </c>
      <c r="N75" s="33" t="str">
        <f t="shared" ca="1" si="1"/>
        <v/>
      </c>
      <c r="O75" s="23"/>
      <c r="P75" s="7" t="str">
        <f ca="1">IF(AND(B75&lt;&gt;"",F75&lt;&gt;"Cerrada",F75&lt;&gt;"Perdida",N75&lt;&gt;"",N75&gt;14),COUNTIFS($F$8:$F75,"&lt;&gt;Cerrada",$F$8:$F75,"&lt;&gt;Perdida",$N$8:$N75,"&gt;14"),"")</f>
        <v/>
      </c>
      <c r="Q75" s="8"/>
      <c r="R75" s="9"/>
      <c r="S75" s="10"/>
    </row>
    <row r="76" spans="2:19" ht="21.75" customHeight="1" x14ac:dyDescent="0.25">
      <c r="B76" s="24"/>
      <c r="C76" s="24"/>
      <c r="D76" s="24"/>
      <c r="E76" s="24"/>
      <c r="F76" s="38"/>
      <c r="G76" s="27"/>
      <c r="H76" s="24"/>
      <c r="I76" s="27"/>
      <c r="J76" s="26"/>
      <c r="K76" s="24"/>
      <c r="L76" s="24"/>
      <c r="M76" s="24" t="str">
        <f>IF(B76="","",IF(COUNTIFS(Cobranza!$C$9:$C$1008,B76,Cobranza!$N$9:$N$1008,"Vencida")&gt;0,"Vencida",IF(COUNTIFS(Cobranza!$C$9:$C$1008,B76,Cobranza!$N$9:$N$1008,"Parcial")&gt;0,"Parcial",IF(COUNTIFS(Cobranza!$C$9:$C$1008,B76,Cobranza!$N$9:$N$1008,"Pendiente")&gt;0,"Pendiente",IF(COUNTIFS(Cobranza!$C$9:$C$1008,B76,Cobranza!$N$9:$N$1008,"Pagada")&gt;0,"Pagada","")))))</f>
        <v/>
      </c>
      <c r="N76" s="33" t="str">
        <f t="shared" ca="1" si="1"/>
        <v/>
      </c>
      <c r="O76" s="23"/>
      <c r="P76" s="7" t="str">
        <f ca="1">IF(AND(B76&lt;&gt;"",F76&lt;&gt;"Cerrada",F76&lt;&gt;"Perdida",N76&lt;&gt;"",N76&gt;14),COUNTIFS($F$8:$F76,"&lt;&gt;Cerrada",$F$8:$F76,"&lt;&gt;Perdida",$N$8:$N76,"&gt;14"),"")</f>
        <v/>
      </c>
      <c r="Q76" s="8"/>
      <c r="R76" s="9"/>
      <c r="S76" s="10"/>
    </row>
    <row r="77" spans="2:19" ht="21.75" customHeight="1" x14ac:dyDescent="0.25">
      <c r="B77" s="24"/>
      <c r="C77" s="24"/>
      <c r="D77" s="24"/>
      <c r="E77" s="24"/>
      <c r="F77" s="38"/>
      <c r="G77" s="27"/>
      <c r="H77" s="24"/>
      <c r="I77" s="27"/>
      <c r="J77" s="26"/>
      <c r="K77" s="24"/>
      <c r="L77" s="24"/>
      <c r="M77" s="24" t="str">
        <f>IF(B77="","",IF(COUNTIFS(Cobranza!$C$9:$C$1008,B77,Cobranza!$N$9:$N$1008,"Vencida")&gt;0,"Vencida",IF(COUNTIFS(Cobranza!$C$9:$C$1008,B77,Cobranza!$N$9:$N$1008,"Parcial")&gt;0,"Parcial",IF(COUNTIFS(Cobranza!$C$9:$C$1008,B77,Cobranza!$N$9:$N$1008,"Pendiente")&gt;0,"Pendiente",IF(COUNTIFS(Cobranza!$C$9:$C$1008,B77,Cobranza!$N$9:$N$1008,"Pagada")&gt;0,"Pagada","")))))</f>
        <v/>
      </c>
      <c r="N77" s="33" t="str">
        <f t="shared" ca="1" si="1"/>
        <v/>
      </c>
      <c r="O77" s="23"/>
      <c r="P77" s="7" t="str">
        <f ca="1">IF(AND(B77&lt;&gt;"",F77&lt;&gt;"Cerrada",F77&lt;&gt;"Perdida",N77&lt;&gt;"",N77&gt;14),COUNTIFS($F$8:$F77,"&lt;&gt;Cerrada",$F$8:$F77,"&lt;&gt;Perdida",$N$8:$N77,"&gt;14"),"")</f>
        <v/>
      </c>
      <c r="Q77" s="8"/>
      <c r="R77" s="9"/>
      <c r="S77" s="10"/>
    </row>
    <row r="78" spans="2:19" ht="21.75" customHeight="1" x14ac:dyDescent="0.25">
      <c r="B78" s="24"/>
      <c r="C78" s="24"/>
      <c r="D78" s="24"/>
      <c r="E78" s="24"/>
      <c r="F78" s="38"/>
      <c r="G78" s="27"/>
      <c r="H78" s="24"/>
      <c r="I78" s="27"/>
      <c r="J78" s="26"/>
      <c r="K78" s="24"/>
      <c r="L78" s="24"/>
      <c r="M78" s="24" t="str">
        <f>IF(B78="","",IF(COUNTIFS(Cobranza!$C$9:$C$1008,B78,Cobranza!$N$9:$N$1008,"Vencida")&gt;0,"Vencida",IF(COUNTIFS(Cobranza!$C$9:$C$1008,B78,Cobranza!$N$9:$N$1008,"Parcial")&gt;0,"Parcial",IF(COUNTIFS(Cobranza!$C$9:$C$1008,B78,Cobranza!$N$9:$N$1008,"Pendiente")&gt;0,"Pendiente",IF(COUNTIFS(Cobranza!$C$9:$C$1008,B78,Cobranza!$N$9:$N$1008,"Pagada")&gt;0,"Pagada","")))))</f>
        <v/>
      </c>
      <c r="N78" s="33" t="str">
        <f t="shared" ca="1" si="1"/>
        <v/>
      </c>
      <c r="O78" s="23"/>
      <c r="P78" s="7" t="str">
        <f ca="1">IF(AND(B78&lt;&gt;"",F78&lt;&gt;"Cerrada",F78&lt;&gt;"Perdida",N78&lt;&gt;"",N78&gt;14),COUNTIFS($F$8:$F78,"&lt;&gt;Cerrada",$F$8:$F78,"&lt;&gt;Perdida",$N$8:$N78,"&gt;14"),"")</f>
        <v/>
      </c>
      <c r="Q78" s="8"/>
      <c r="R78" s="9"/>
      <c r="S78" s="10"/>
    </row>
    <row r="79" spans="2:19" ht="21.75" customHeight="1" x14ac:dyDescent="0.25">
      <c r="B79" s="24"/>
      <c r="C79" s="24"/>
      <c r="D79" s="24"/>
      <c r="E79" s="24"/>
      <c r="F79" s="38"/>
      <c r="G79" s="27"/>
      <c r="H79" s="24"/>
      <c r="I79" s="27"/>
      <c r="J79" s="26"/>
      <c r="K79" s="24"/>
      <c r="L79" s="24"/>
      <c r="M79" s="24" t="str">
        <f>IF(B79="","",IF(COUNTIFS(Cobranza!$C$9:$C$1008,B79,Cobranza!$N$9:$N$1008,"Vencida")&gt;0,"Vencida",IF(COUNTIFS(Cobranza!$C$9:$C$1008,B79,Cobranza!$N$9:$N$1008,"Parcial")&gt;0,"Parcial",IF(COUNTIFS(Cobranza!$C$9:$C$1008,B79,Cobranza!$N$9:$N$1008,"Pendiente")&gt;0,"Pendiente",IF(COUNTIFS(Cobranza!$C$9:$C$1008,B79,Cobranza!$N$9:$N$1008,"Pagada")&gt;0,"Pagada","")))))</f>
        <v/>
      </c>
      <c r="N79" s="33" t="str">
        <f t="shared" ca="1" si="1"/>
        <v/>
      </c>
      <c r="O79" s="23"/>
      <c r="P79" s="7" t="str">
        <f ca="1">IF(AND(B79&lt;&gt;"",F79&lt;&gt;"Cerrada",F79&lt;&gt;"Perdida",N79&lt;&gt;"",N79&gt;14),COUNTIFS($F$8:$F79,"&lt;&gt;Cerrada",$F$8:$F79,"&lt;&gt;Perdida",$N$8:$N79,"&gt;14"),"")</f>
        <v/>
      </c>
      <c r="Q79" s="8"/>
      <c r="R79" s="9"/>
      <c r="S79" s="10"/>
    </row>
    <row r="80" spans="2:19" ht="21.75" customHeight="1" x14ac:dyDescent="0.25">
      <c r="B80" s="24"/>
      <c r="C80" s="24"/>
      <c r="D80" s="24"/>
      <c r="E80" s="24"/>
      <c r="F80" s="38"/>
      <c r="G80" s="27"/>
      <c r="H80" s="24"/>
      <c r="I80" s="27"/>
      <c r="J80" s="26"/>
      <c r="K80" s="24"/>
      <c r="L80" s="24"/>
      <c r="M80" s="24" t="str">
        <f>IF(B80="","",IF(COUNTIFS(Cobranza!$C$9:$C$1008,B80,Cobranza!$N$9:$N$1008,"Vencida")&gt;0,"Vencida",IF(COUNTIFS(Cobranza!$C$9:$C$1008,B80,Cobranza!$N$9:$N$1008,"Parcial")&gt;0,"Parcial",IF(COUNTIFS(Cobranza!$C$9:$C$1008,B80,Cobranza!$N$9:$N$1008,"Pendiente")&gt;0,"Pendiente",IF(COUNTIFS(Cobranza!$C$9:$C$1008,B80,Cobranza!$N$9:$N$1008,"Pagada")&gt;0,"Pagada","")))))</f>
        <v/>
      </c>
      <c r="N80" s="33" t="str">
        <f t="shared" ca="1" si="1"/>
        <v/>
      </c>
      <c r="O80" s="23"/>
      <c r="P80" s="7" t="str">
        <f ca="1">IF(AND(B80&lt;&gt;"",F80&lt;&gt;"Cerrada",F80&lt;&gt;"Perdida",N80&lt;&gt;"",N80&gt;14),COUNTIFS($F$8:$F80,"&lt;&gt;Cerrada",$F$8:$F80,"&lt;&gt;Perdida",$N$8:$N80,"&gt;14"),"")</f>
        <v/>
      </c>
      <c r="Q80" s="8"/>
      <c r="R80" s="9"/>
      <c r="S80" s="10"/>
    </row>
    <row r="81" spans="2:19" ht="21.75" customHeight="1" x14ac:dyDescent="0.25">
      <c r="B81" s="24"/>
      <c r="C81" s="24"/>
      <c r="D81" s="24"/>
      <c r="E81" s="24"/>
      <c r="F81" s="38"/>
      <c r="G81" s="27"/>
      <c r="H81" s="24"/>
      <c r="I81" s="27"/>
      <c r="J81" s="26"/>
      <c r="K81" s="24"/>
      <c r="L81" s="24"/>
      <c r="M81" s="24" t="str">
        <f>IF(B81="","",IF(COUNTIFS(Cobranza!$C$9:$C$1008,B81,Cobranza!$N$9:$N$1008,"Vencida")&gt;0,"Vencida",IF(COUNTIFS(Cobranza!$C$9:$C$1008,B81,Cobranza!$N$9:$N$1008,"Parcial")&gt;0,"Parcial",IF(COUNTIFS(Cobranza!$C$9:$C$1008,B81,Cobranza!$N$9:$N$1008,"Pendiente")&gt;0,"Pendiente",IF(COUNTIFS(Cobranza!$C$9:$C$1008,B81,Cobranza!$N$9:$N$1008,"Pagada")&gt;0,"Pagada","")))))</f>
        <v/>
      </c>
      <c r="N81" s="33" t="str">
        <f t="shared" ca="1" si="1"/>
        <v/>
      </c>
      <c r="O81" s="23"/>
      <c r="P81" s="7" t="str">
        <f ca="1">IF(AND(B81&lt;&gt;"",F81&lt;&gt;"Cerrada",F81&lt;&gt;"Perdida",N81&lt;&gt;"",N81&gt;14),COUNTIFS($F$8:$F81,"&lt;&gt;Cerrada",$F$8:$F81,"&lt;&gt;Perdida",$N$8:$N81,"&gt;14"),"")</f>
        <v/>
      </c>
      <c r="Q81" s="8"/>
      <c r="R81" s="9"/>
      <c r="S81" s="10"/>
    </row>
    <row r="82" spans="2:19" ht="21.75" customHeight="1" x14ac:dyDescent="0.25">
      <c r="B82" s="24"/>
      <c r="C82" s="24"/>
      <c r="D82" s="24"/>
      <c r="E82" s="24"/>
      <c r="F82" s="38"/>
      <c r="G82" s="27"/>
      <c r="H82" s="24"/>
      <c r="I82" s="27"/>
      <c r="J82" s="26"/>
      <c r="K82" s="24"/>
      <c r="L82" s="24"/>
      <c r="M82" s="24" t="str">
        <f>IF(B82="","",IF(COUNTIFS(Cobranza!$C$9:$C$1008,B82,Cobranza!$N$9:$N$1008,"Vencida")&gt;0,"Vencida",IF(COUNTIFS(Cobranza!$C$9:$C$1008,B82,Cobranza!$N$9:$N$1008,"Parcial")&gt;0,"Parcial",IF(COUNTIFS(Cobranza!$C$9:$C$1008,B82,Cobranza!$N$9:$N$1008,"Pendiente")&gt;0,"Pendiente",IF(COUNTIFS(Cobranza!$C$9:$C$1008,B82,Cobranza!$N$9:$N$1008,"Pagada")&gt;0,"Pagada","")))))</f>
        <v/>
      </c>
      <c r="N82" s="33" t="str">
        <f t="shared" ca="1" si="1"/>
        <v/>
      </c>
      <c r="O82" s="23"/>
      <c r="P82" s="7" t="str">
        <f ca="1">IF(AND(B82&lt;&gt;"",F82&lt;&gt;"Cerrada",F82&lt;&gt;"Perdida",N82&lt;&gt;"",N82&gt;14),COUNTIFS($F$8:$F82,"&lt;&gt;Cerrada",$F$8:$F82,"&lt;&gt;Perdida",$N$8:$N82,"&gt;14"),"")</f>
        <v/>
      </c>
      <c r="Q82" s="8"/>
      <c r="R82" s="9"/>
      <c r="S82" s="10"/>
    </row>
    <row r="83" spans="2:19" ht="21.75" customHeight="1" x14ac:dyDescent="0.25">
      <c r="B83" s="24"/>
      <c r="C83" s="24"/>
      <c r="D83" s="24"/>
      <c r="E83" s="24"/>
      <c r="F83" s="38"/>
      <c r="G83" s="27"/>
      <c r="H83" s="24"/>
      <c r="I83" s="27"/>
      <c r="J83" s="26"/>
      <c r="K83" s="24"/>
      <c r="L83" s="24"/>
      <c r="M83" s="24" t="str">
        <f>IF(B83="","",IF(COUNTIFS(Cobranza!$C$9:$C$1008,B83,Cobranza!$N$9:$N$1008,"Vencida")&gt;0,"Vencida",IF(COUNTIFS(Cobranza!$C$9:$C$1008,B83,Cobranza!$N$9:$N$1008,"Parcial")&gt;0,"Parcial",IF(COUNTIFS(Cobranza!$C$9:$C$1008,B83,Cobranza!$N$9:$N$1008,"Pendiente")&gt;0,"Pendiente",IF(COUNTIFS(Cobranza!$C$9:$C$1008,B83,Cobranza!$N$9:$N$1008,"Pagada")&gt;0,"Pagada","")))))</f>
        <v/>
      </c>
      <c r="N83" s="33" t="str">
        <f t="shared" ca="1" si="1"/>
        <v/>
      </c>
      <c r="O83" s="23"/>
      <c r="P83" s="7" t="str">
        <f ca="1">IF(AND(B83&lt;&gt;"",F83&lt;&gt;"Cerrada",F83&lt;&gt;"Perdida",N83&lt;&gt;"",N83&gt;14),COUNTIFS($F$8:$F83,"&lt;&gt;Cerrada",$F$8:$F83,"&lt;&gt;Perdida",$N$8:$N83,"&gt;14"),"")</f>
        <v/>
      </c>
      <c r="Q83" s="8"/>
      <c r="R83" s="9"/>
      <c r="S83" s="10"/>
    </row>
    <row r="84" spans="2:19" ht="21.75" customHeight="1" x14ac:dyDescent="0.25">
      <c r="B84" s="24"/>
      <c r="C84" s="24"/>
      <c r="D84" s="24"/>
      <c r="E84" s="24"/>
      <c r="F84" s="38"/>
      <c r="G84" s="27"/>
      <c r="H84" s="24"/>
      <c r="I84" s="27"/>
      <c r="J84" s="26"/>
      <c r="K84" s="24"/>
      <c r="L84" s="24"/>
      <c r="M84" s="24" t="str">
        <f>IF(B84="","",IF(COUNTIFS(Cobranza!$C$9:$C$1008,B84,Cobranza!$N$9:$N$1008,"Vencida")&gt;0,"Vencida",IF(COUNTIFS(Cobranza!$C$9:$C$1008,B84,Cobranza!$N$9:$N$1008,"Parcial")&gt;0,"Parcial",IF(COUNTIFS(Cobranza!$C$9:$C$1008,B84,Cobranza!$N$9:$N$1008,"Pendiente")&gt;0,"Pendiente",IF(COUNTIFS(Cobranza!$C$9:$C$1008,B84,Cobranza!$N$9:$N$1008,"Pagada")&gt;0,"Pagada","")))))</f>
        <v/>
      </c>
      <c r="N84" s="33" t="str">
        <f t="shared" ca="1" si="1"/>
        <v/>
      </c>
      <c r="O84" s="23"/>
      <c r="P84" s="7" t="str">
        <f ca="1">IF(AND(B84&lt;&gt;"",F84&lt;&gt;"Cerrada",F84&lt;&gt;"Perdida",N84&lt;&gt;"",N84&gt;14),COUNTIFS($F$8:$F84,"&lt;&gt;Cerrada",$F$8:$F84,"&lt;&gt;Perdida",$N$8:$N84,"&gt;14"),"")</f>
        <v/>
      </c>
      <c r="Q84" s="8"/>
      <c r="R84" s="9"/>
      <c r="S84" s="10"/>
    </row>
    <row r="85" spans="2:19" ht="21.75" customHeight="1" x14ac:dyDescent="0.25">
      <c r="B85" s="24"/>
      <c r="C85" s="24"/>
      <c r="D85" s="24"/>
      <c r="E85" s="24"/>
      <c r="F85" s="38"/>
      <c r="G85" s="27"/>
      <c r="H85" s="24"/>
      <c r="I85" s="27"/>
      <c r="J85" s="26"/>
      <c r="K85" s="24"/>
      <c r="L85" s="24"/>
      <c r="M85" s="24" t="str">
        <f>IF(B85="","",IF(COUNTIFS(Cobranza!$C$9:$C$1008,B85,Cobranza!$N$9:$N$1008,"Vencida")&gt;0,"Vencida",IF(COUNTIFS(Cobranza!$C$9:$C$1008,B85,Cobranza!$N$9:$N$1008,"Parcial")&gt;0,"Parcial",IF(COUNTIFS(Cobranza!$C$9:$C$1008,B85,Cobranza!$N$9:$N$1008,"Pendiente")&gt;0,"Pendiente",IF(COUNTIFS(Cobranza!$C$9:$C$1008,B85,Cobranza!$N$9:$N$1008,"Pagada")&gt;0,"Pagada","")))))</f>
        <v/>
      </c>
      <c r="N85" s="33" t="str">
        <f t="shared" ca="1" si="1"/>
        <v/>
      </c>
      <c r="O85" s="23"/>
      <c r="P85" s="7" t="str">
        <f ca="1">IF(AND(B85&lt;&gt;"",F85&lt;&gt;"Cerrada",F85&lt;&gt;"Perdida",N85&lt;&gt;"",N85&gt;14),COUNTIFS($F$8:$F85,"&lt;&gt;Cerrada",$F$8:$F85,"&lt;&gt;Perdida",$N$8:$N85,"&gt;14"),"")</f>
        <v/>
      </c>
      <c r="Q85" s="8"/>
      <c r="R85" s="9"/>
      <c r="S85" s="10"/>
    </row>
    <row r="86" spans="2:19" ht="21.75" customHeight="1" x14ac:dyDescent="0.25">
      <c r="B86" s="24"/>
      <c r="C86" s="24"/>
      <c r="D86" s="24"/>
      <c r="E86" s="24"/>
      <c r="F86" s="38"/>
      <c r="G86" s="27"/>
      <c r="H86" s="24"/>
      <c r="I86" s="27"/>
      <c r="J86" s="26"/>
      <c r="K86" s="24"/>
      <c r="L86" s="24"/>
      <c r="M86" s="24" t="str">
        <f>IF(B86="","",IF(COUNTIFS(Cobranza!$C$9:$C$1008,B86,Cobranza!$N$9:$N$1008,"Vencida")&gt;0,"Vencida",IF(COUNTIFS(Cobranza!$C$9:$C$1008,B86,Cobranza!$N$9:$N$1008,"Parcial")&gt;0,"Parcial",IF(COUNTIFS(Cobranza!$C$9:$C$1008,B86,Cobranza!$N$9:$N$1008,"Pendiente")&gt;0,"Pendiente",IF(COUNTIFS(Cobranza!$C$9:$C$1008,B86,Cobranza!$N$9:$N$1008,"Pagada")&gt;0,"Pagada","")))))</f>
        <v/>
      </c>
      <c r="N86" s="33" t="str">
        <f t="shared" ca="1" si="1"/>
        <v/>
      </c>
      <c r="O86" s="23"/>
      <c r="P86" s="7" t="str">
        <f ca="1">IF(AND(B86&lt;&gt;"",F86&lt;&gt;"Cerrada",F86&lt;&gt;"Perdida",N86&lt;&gt;"",N86&gt;14),COUNTIFS($F$8:$F86,"&lt;&gt;Cerrada",$F$8:$F86,"&lt;&gt;Perdida",$N$8:$N86,"&gt;14"),"")</f>
        <v/>
      </c>
      <c r="Q86" s="8"/>
      <c r="R86" s="9"/>
      <c r="S86" s="10"/>
    </row>
    <row r="87" spans="2:19" ht="21.75" customHeight="1" x14ac:dyDescent="0.25">
      <c r="B87" s="24"/>
      <c r="C87" s="24"/>
      <c r="D87" s="24"/>
      <c r="E87" s="24"/>
      <c r="F87" s="38"/>
      <c r="G87" s="27"/>
      <c r="H87" s="24"/>
      <c r="I87" s="27"/>
      <c r="J87" s="26"/>
      <c r="K87" s="24"/>
      <c r="L87" s="24"/>
      <c r="M87" s="24" t="str">
        <f>IF(B87="","",IF(COUNTIFS(Cobranza!$C$9:$C$1008,B87,Cobranza!$N$9:$N$1008,"Vencida")&gt;0,"Vencida",IF(COUNTIFS(Cobranza!$C$9:$C$1008,B87,Cobranza!$N$9:$N$1008,"Parcial")&gt;0,"Parcial",IF(COUNTIFS(Cobranza!$C$9:$C$1008,B87,Cobranza!$N$9:$N$1008,"Pendiente")&gt;0,"Pendiente",IF(COUNTIFS(Cobranza!$C$9:$C$1008,B87,Cobranza!$N$9:$N$1008,"Pagada")&gt;0,"Pagada","")))))</f>
        <v/>
      </c>
      <c r="N87" s="33" t="str">
        <f t="shared" ca="1" si="1"/>
        <v/>
      </c>
      <c r="O87" s="23"/>
      <c r="P87" s="7" t="str">
        <f ca="1">IF(AND(B87&lt;&gt;"",F87&lt;&gt;"Cerrada",F87&lt;&gt;"Perdida",N87&lt;&gt;"",N87&gt;14),COUNTIFS($F$8:$F87,"&lt;&gt;Cerrada",$F$8:$F87,"&lt;&gt;Perdida",$N$8:$N87,"&gt;14"),"")</f>
        <v/>
      </c>
      <c r="Q87" s="8"/>
      <c r="R87" s="9"/>
      <c r="S87" s="10"/>
    </row>
    <row r="88" spans="2:19" ht="21.75" customHeight="1" x14ac:dyDescent="0.25">
      <c r="B88" s="24"/>
      <c r="C88" s="24"/>
      <c r="D88" s="24"/>
      <c r="E88" s="24"/>
      <c r="F88" s="38"/>
      <c r="G88" s="27"/>
      <c r="H88" s="24"/>
      <c r="I88" s="27"/>
      <c r="J88" s="26"/>
      <c r="K88" s="24"/>
      <c r="L88" s="24"/>
      <c r="M88" s="24" t="str">
        <f>IF(B88="","",IF(COUNTIFS(Cobranza!$C$9:$C$1008,B88,Cobranza!$N$9:$N$1008,"Vencida")&gt;0,"Vencida",IF(COUNTIFS(Cobranza!$C$9:$C$1008,B88,Cobranza!$N$9:$N$1008,"Parcial")&gt;0,"Parcial",IF(COUNTIFS(Cobranza!$C$9:$C$1008,B88,Cobranza!$N$9:$N$1008,"Pendiente")&gt;0,"Pendiente",IF(COUNTIFS(Cobranza!$C$9:$C$1008,B88,Cobranza!$N$9:$N$1008,"Pagada")&gt;0,"Pagada","")))))</f>
        <v/>
      </c>
      <c r="N88" s="33" t="str">
        <f t="shared" ca="1" si="1"/>
        <v/>
      </c>
      <c r="O88" s="23"/>
      <c r="P88" s="7" t="str">
        <f ca="1">IF(AND(B88&lt;&gt;"",F88&lt;&gt;"Cerrada",F88&lt;&gt;"Perdida",N88&lt;&gt;"",N88&gt;14),COUNTIFS($F$8:$F88,"&lt;&gt;Cerrada",$F$8:$F88,"&lt;&gt;Perdida",$N$8:$N88,"&gt;14"),"")</f>
        <v/>
      </c>
      <c r="Q88" s="8"/>
      <c r="R88" s="9"/>
      <c r="S88" s="10"/>
    </row>
    <row r="89" spans="2:19" ht="21.75" customHeight="1" x14ac:dyDescent="0.25">
      <c r="B89" s="24"/>
      <c r="C89" s="24"/>
      <c r="D89" s="24"/>
      <c r="E89" s="24"/>
      <c r="F89" s="38"/>
      <c r="G89" s="27"/>
      <c r="H89" s="24"/>
      <c r="I89" s="27"/>
      <c r="J89" s="26"/>
      <c r="K89" s="24"/>
      <c r="L89" s="24"/>
      <c r="M89" s="24" t="str">
        <f>IF(B89="","",IF(COUNTIFS(Cobranza!$C$9:$C$1008,B89,Cobranza!$N$9:$N$1008,"Vencida")&gt;0,"Vencida",IF(COUNTIFS(Cobranza!$C$9:$C$1008,B89,Cobranza!$N$9:$N$1008,"Parcial")&gt;0,"Parcial",IF(COUNTIFS(Cobranza!$C$9:$C$1008,B89,Cobranza!$N$9:$N$1008,"Pendiente")&gt;0,"Pendiente",IF(COUNTIFS(Cobranza!$C$9:$C$1008,B89,Cobranza!$N$9:$N$1008,"Pagada")&gt;0,"Pagada","")))))</f>
        <v/>
      </c>
      <c r="N89" s="33" t="str">
        <f t="shared" ca="1" si="1"/>
        <v/>
      </c>
      <c r="O89" s="23"/>
      <c r="P89" s="7" t="str">
        <f ca="1">IF(AND(B89&lt;&gt;"",F89&lt;&gt;"Cerrada",F89&lt;&gt;"Perdida",N89&lt;&gt;"",N89&gt;14),COUNTIFS($F$8:$F89,"&lt;&gt;Cerrada",$F$8:$F89,"&lt;&gt;Perdida",$N$8:$N89,"&gt;14"),"")</f>
        <v/>
      </c>
      <c r="Q89" s="8"/>
      <c r="R89" s="9"/>
      <c r="S89" s="10"/>
    </row>
    <row r="90" spans="2:19" ht="21.75" customHeight="1" x14ac:dyDescent="0.25">
      <c r="B90" s="24"/>
      <c r="C90" s="24"/>
      <c r="D90" s="24"/>
      <c r="E90" s="24"/>
      <c r="F90" s="38"/>
      <c r="G90" s="27"/>
      <c r="H90" s="24"/>
      <c r="I90" s="27"/>
      <c r="J90" s="26"/>
      <c r="K90" s="24"/>
      <c r="L90" s="24"/>
      <c r="M90" s="24" t="str">
        <f>IF(B90="","",IF(COUNTIFS(Cobranza!$C$9:$C$1008,B90,Cobranza!$N$9:$N$1008,"Vencida")&gt;0,"Vencida",IF(COUNTIFS(Cobranza!$C$9:$C$1008,B90,Cobranza!$N$9:$N$1008,"Parcial")&gt;0,"Parcial",IF(COUNTIFS(Cobranza!$C$9:$C$1008,B90,Cobranza!$N$9:$N$1008,"Pendiente")&gt;0,"Pendiente",IF(COUNTIFS(Cobranza!$C$9:$C$1008,B90,Cobranza!$N$9:$N$1008,"Pagada")&gt;0,"Pagada","")))))</f>
        <v/>
      </c>
      <c r="N90" s="33" t="str">
        <f t="shared" ca="1" si="1"/>
        <v/>
      </c>
      <c r="O90" s="23"/>
      <c r="P90" s="7" t="str">
        <f ca="1">IF(AND(B90&lt;&gt;"",F90&lt;&gt;"Cerrada",F90&lt;&gt;"Perdida",N90&lt;&gt;"",N90&gt;14),COUNTIFS($F$8:$F90,"&lt;&gt;Cerrada",$F$8:$F90,"&lt;&gt;Perdida",$N$8:$N90,"&gt;14"),"")</f>
        <v/>
      </c>
      <c r="Q90" s="8"/>
      <c r="R90" s="9"/>
      <c r="S90" s="10"/>
    </row>
    <row r="91" spans="2:19" ht="21.75" customHeight="1" x14ac:dyDescent="0.25">
      <c r="B91" s="24"/>
      <c r="C91" s="24"/>
      <c r="D91" s="24"/>
      <c r="E91" s="24"/>
      <c r="F91" s="38"/>
      <c r="G91" s="27"/>
      <c r="H91" s="24"/>
      <c r="I91" s="27"/>
      <c r="J91" s="26"/>
      <c r="K91" s="24"/>
      <c r="L91" s="24"/>
      <c r="M91" s="24" t="str">
        <f>IF(B91="","",IF(COUNTIFS(Cobranza!$C$9:$C$1008,B91,Cobranza!$N$9:$N$1008,"Vencida")&gt;0,"Vencida",IF(COUNTIFS(Cobranza!$C$9:$C$1008,B91,Cobranza!$N$9:$N$1008,"Parcial")&gt;0,"Parcial",IF(COUNTIFS(Cobranza!$C$9:$C$1008,B91,Cobranza!$N$9:$N$1008,"Pendiente")&gt;0,"Pendiente",IF(COUNTIFS(Cobranza!$C$9:$C$1008,B91,Cobranza!$N$9:$N$1008,"Pagada")&gt;0,"Pagada","")))))</f>
        <v/>
      </c>
      <c r="N91" s="33" t="str">
        <f t="shared" ca="1" si="1"/>
        <v/>
      </c>
      <c r="O91" s="23"/>
      <c r="P91" s="7" t="str">
        <f ca="1">IF(AND(B91&lt;&gt;"",F91&lt;&gt;"Cerrada",F91&lt;&gt;"Perdida",N91&lt;&gt;"",N91&gt;14),COUNTIFS($F$8:$F91,"&lt;&gt;Cerrada",$F$8:$F91,"&lt;&gt;Perdida",$N$8:$N91,"&gt;14"),"")</f>
        <v/>
      </c>
      <c r="Q91" s="8"/>
      <c r="R91" s="9"/>
      <c r="S91" s="10"/>
    </row>
    <row r="92" spans="2:19" ht="21.75" customHeight="1" x14ac:dyDescent="0.25">
      <c r="B92" s="24"/>
      <c r="C92" s="24"/>
      <c r="D92" s="24"/>
      <c r="E92" s="24"/>
      <c r="F92" s="38"/>
      <c r="G92" s="27"/>
      <c r="H92" s="24"/>
      <c r="I92" s="27"/>
      <c r="J92" s="26"/>
      <c r="K92" s="24"/>
      <c r="L92" s="24"/>
      <c r="M92" s="24" t="str">
        <f>IF(B92="","",IF(COUNTIFS(Cobranza!$C$9:$C$1008,B92,Cobranza!$N$9:$N$1008,"Vencida")&gt;0,"Vencida",IF(COUNTIFS(Cobranza!$C$9:$C$1008,B92,Cobranza!$N$9:$N$1008,"Parcial")&gt;0,"Parcial",IF(COUNTIFS(Cobranza!$C$9:$C$1008,B92,Cobranza!$N$9:$N$1008,"Pendiente")&gt;0,"Pendiente",IF(COUNTIFS(Cobranza!$C$9:$C$1008,B92,Cobranza!$N$9:$N$1008,"Pagada")&gt;0,"Pagada","")))))</f>
        <v/>
      </c>
      <c r="N92" s="33" t="str">
        <f t="shared" ca="1" si="1"/>
        <v/>
      </c>
      <c r="O92" s="23"/>
      <c r="P92" s="7" t="str">
        <f ca="1">IF(AND(B92&lt;&gt;"",F92&lt;&gt;"Cerrada",F92&lt;&gt;"Perdida",N92&lt;&gt;"",N92&gt;14),COUNTIFS($F$8:$F92,"&lt;&gt;Cerrada",$F$8:$F92,"&lt;&gt;Perdida",$N$8:$N92,"&gt;14"),"")</f>
        <v/>
      </c>
      <c r="Q92" s="8"/>
      <c r="R92" s="9"/>
      <c r="S92" s="10"/>
    </row>
    <row r="93" spans="2:19" ht="21.75" customHeight="1" x14ac:dyDescent="0.25">
      <c r="B93" s="24"/>
      <c r="C93" s="24"/>
      <c r="D93" s="24"/>
      <c r="E93" s="24"/>
      <c r="F93" s="38"/>
      <c r="G93" s="27"/>
      <c r="H93" s="24"/>
      <c r="I93" s="27"/>
      <c r="J93" s="26"/>
      <c r="K93" s="24"/>
      <c r="L93" s="24"/>
      <c r="M93" s="24" t="str">
        <f>IF(B93="","",IF(COUNTIFS(Cobranza!$C$9:$C$1008,B93,Cobranza!$N$9:$N$1008,"Vencida")&gt;0,"Vencida",IF(COUNTIFS(Cobranza!$C$9:$C$1008,B93,Cobranza!$N$9:$N$1008,"Parcial")&gt;0,"Parcial",IF(COUNTIFS(Cobranza!$C$9:$C$1008,B93,Cobranza!$N$9:$N$1008,"Pendiente")&gt;0,"Pendiente",IF(COUNTIFS(Cobranza!$C$9:$C$1008,B93,Cobranza!$N$9:$N$1008,"Pagada")&gt;0,"Pagada","")))))</f>
        <v/>
      </c>
      <c r="N93" s="33" t="str">
        <f t="shared" ca="1" si="1"/>
        <v/>
      </c>
      <c r="O93" s="23"/>
      <c r="P93" s="7" t="str">
        <f ca="1">IF(AND(B93&lt;&gt;"",F93&lt;&gt;"Cerrada",F93&lt;&gt;"Perdida",N93&lt;&gt;"",N93&gt;14),COUNTIFS($F$8:$F93,"&lt;&gt;Cerrada",$F$8:$F93,"&lt;&gt;Perdida",$N$8:$N93,"&gt;14"),"")</f>
        <v/>
      </c>
      <c r="Q93" s="8"/>
      <c r="R93" s="9"/>
      <c r="S93" s="10"/>
    </row>
    <row r="94" spans="2:19" ht="21.75" customHeight="1" x14ac:dyDescent="0.25">
      <c r="B94" s="24"/>
      <c r="C94" s="24"/>
      <c r="D94" s="24"/>
      <c r="E94" s="24"/>
      <c r="F94" s="38"/>
      <c r="G94" s="27"/>
      <c r="H94" s="24"/>
      <c r="I94" s="27"/>
      <c r="J94" s="26"/>
      <c r="K94" s="24"/>
      <c r="L94" s="24"/>
      <c r="M94" s="24" t="str">
        <f>IF(B94="","",IF(COUNTIFS(Cobranza!$C$9:$C$1008,B94,Cobranza!$N$9:$N$1008,"Vencida")&gt;0,"Vencida",IF(COUNTIFS(Cobranza!$C$9:$C$1008,B94,Cobranza!$N$9:$N$1008,"Parcial")&gt;0,"Parcial",IF(COUNTIFS(Cobranza!$C$9:$C$1008,B94,Cobranza!$N$9:$N$1008,"Pendiente")&gt;0,"Pendiente",IF(COUNTIFS(Cobranza!$C$9:$C$1008,B94,Cobranza!$N$9:$N$1008,"Pagada")&gt;0,"Pagada","")))))</f>
        <v/>
      </c>
      <c r="N94" s="33" t="str">
        <f t="shared" ca="1" si="1"/>
        <v/>
      </c>
      <c r="O94" s="23"/>
      <c r="P94" s="7" t="str">
        <f ca="1">IF(AND(B94&lt;&gt;"",F94&lt;&gt;"Cerrada",F94&lt;&gt;"Perdida",N94&lt;&gt;"",N94&gt;14),COUNTIFS($F$8:$F94,"&lt;&gt;Cerrada",$F$8:$F94,"&lt;&gt;Perdida",$N$8:$N94,"&gt;14"),"")</f>
        <v/>
      </c>
      <c r="Q94" s="8"/>
      <c r="R94" s="9"/>
      <c r="S94" s="10"/>
    </row>
    <row r="95" spans="2:19" ht="21.75" customHeight="1" x14ac:dyDescent="0.25">
      <c r="B95" s="24"/>
      <c r="C95" s="24"/>
      <c r="D95" s="24"/>
      <c r="E95" s="24"/>
      <c r="F95" s="38"/>
      <c r="G95" s="27"/>
      <c r="H95" s="24"/>
      <c r="I95" s="27"/>
      <c r="J95" s="26"/>
      <c r="K95" s="24"/>
      <c r="L95" s="24"/>
      <c r="M95" s="24" t="str">
        <f>IF(B95="","",IF(COUNTIFS(Cobranza!$C$9:$C$1008,B95,Cobranza!$N$9:$N$1008,"Vencida")&gt;0,"Vencida",IF(COUNTIFS(Cobranza!$C$9:$C$1008,B95,Cobranza!$N$9:$N$1008,"Parcial")&gt;0,"Parcial",IF(COUNTIFS(Cobranza!$C$9:$C$1008,B95,Cobranza!$N$9:$N$1008,"Pendiente")&gt;0,"Pendiente",IF(COUNTIFS(Cobranza!$C$9:$C$1008,B95,Cobranza!$N$9:$N$1008,"Pagada")&gt;0,"Pagada","")))))</f>
        <v/>
      </c>
      <c r="N95" s="33" t="str">
        <f t="shared" ca="1" si="1"/>
        <v/>
      </c>
      <c r="O95" s="23"/>
      <c r="P95" s="7" t="str">
        <f ca="1">IF(AND(B95&lt;&gt;"",F95&lt;&gt;"Cerrada",F95&lt;&gt;"Perdida",N95&lt;&gt;"",N95&gt;14),COUNTIFS($F$8:$F95,"&lt;&gt;Cerrada",$F$8:$F95,"&lt;&gt;Perdida",$N$8:$N95,"&gt;14"),"")</f>
        <v/>
      </c>
      <c r="Q95" s="8"/>
      <c r="R95" s="9"/>
      <c r="S95" s="10"/>
    </row>
    <row r="96" spans="2:19" ht="21.75" customHeight="1" x14ac:dyDescent="0.25">
      <c r="B96" s="24"/>
      <c r="C96" s="24"/>
      <c r="D96" s="24"/>
      <c r="E96" s="24"/>
      <c r="F96" s="38"/>
      <c r="G96" s="27"/>
      <c r="H96" s="24"/>
      <c r="I96" s="27"/>
      <c r="J96" s="26"/>
      <c r="K96" s="24"/>
      <c r="L96" s="24"/>
      <c r="M96" s="24" t="str">
        <f>IF(B96="","",IF(COUNTIFS(Cobranza!$C$9:$C$1008,B96,Cobranza!$N$9:$N$1008,"Vencida")&gt;0,"Vencida",IF(COUNTIFS(Cobranza!$C$9:$C$1008,B96,Cobranza!$N$9:$N$1008,"Parcial")&gt;0,"Parcial",IF(COUNTIFS(Cobranza!$C$9:$C$1008,B96,Cobranza!$N$9:$N$1008,"Pendiente")&gt;0,"Pendiente",IF(COUNTIFS(Cobranza!$C$9:$C$1008,B96,Cobranza!$N$9:$N$1008,"Pagada")&gt;0,"Pagada","")))))</f>
        <v/>
      </c>
      <c r="N96" s="33" t="str">
        <f t="shared" ca="1" si="1"/>
        <v/>
      </c>
      <c r="O96" s="23"/>
      <c r="P96" s="7" t="str">
        <f ca="1">IF(AND(B96&lt;&gt;"",F96&lt;&gt;"Cerrada",F96&lt;&gt;"Perdida",N96&lt;&gt;"",N96&gt;14),COUNTIFS($F$8:$F96,"&lt;&gt;Cerrada",$F$8:$F96,"&lt;&gt;Perdida",$N$8:$N96,"&gt;14"),"")</f>
        <v/>
      </c>
      <c r="Q96" s="8"/>
      <c r="R96" s="9"/>
      <c r="S96" s="10"/>
    </row>
    <row r="97" spans="2:19" ht="21.75" customHeight="1" x14ac:dyDescent="0.25">
      <c r="B97" s="24"/>
      <c r="C97" s="24"/>
      <c r="D97" s="24"/>
      <c r="E97" s="24"/>
      <c r="F97" s="38"/>
      <c r="G97" s="27"/>
      <c r="H97" s="24"/>
      <c r="I97" s="27"/>
      <c r="J97" s="26"/>
      <c r="K97" s="24"/>
      <c r="L97" s="24"/>
      <c r="M97" s="24" t="str">
        <f>IF(B97="","",IF(COUNTIFS(Cobranza!$C$9:$C$1008,B97,Cobranza!$N$9:$N$1008,"Vencida")&gt;0,"Vencida",IF(COUNTIFS(Cobranza!$C$9:$C$1008,B97,Cobranza!$N$9:$N$1008,"Parcial")&gt;0,"Parcial",IF(COUNTIFS(Cobranza!$C$9:$C$1008,B97,Cobranza!$N$9:$N$1008,"Pendiente")&gt;0,"Pendiente",IF(COUNTIFS(Cobranza!$C$9:$C$1008,B97,Cobranza!$N$9:$N$1008,"Pagada")&gt;0,"Pagada","")))))</f>
        <v/>
      </c>
      <c r="N97" s="33" t="str">
        <f t="shared" ca="1" si="1"/>
        <v/>
      </c>
      <c r="O97" s="23"/>
      <c r="P97" s="7" t="str">
        <f ca="1">IF(AND(B97&lt;&gt;"",F97&lt;&gt;"Cerrada",F97&lt;&gt;"Perdida",N97&lt;&gt;"",N97&gt;14),COUNTIFS($F$8:$F97,"&lt;&gt;Cerrada",$F$8:$F97,"&lt;&gt;Perdida",$N$8:$N97,"&gt;14"),"")</f>
        <v/>
      </c>
      <c r="Q97" s="8"/>
      <c r="R97" s="9"/>
      <c r="S97" s="10"/>
    </row>
    <row r="98" spans="2:19" ht="21.75" customHeight="1" x14ac:dyDescent="0.25">
      <c r="B98" s="24"/>
      <c r="C98" s="24"/>
      <c r="D98" s="24"/>
      <c r="E98" s="24"/>
      <c r="F98" s="38"/>
      <c r="G98" s="27"/>
      <c r="H98" s="24"/>
      <c r="I98" s="27"/>
      <c r="J98" s="26"/>
      <c r="K98" s="24"/>
      <c r="L98" s="24"/>
      <c r="M98" s="24" t="str">
        <f>IF(B98="","",IF(COUNTIFS(Cobranza!$C$9:$C$1008,B98,Cobranza!$N$9:$N$1008,"Vencida")&gt;0,"Vencida",IF(COUNTIFS(Cobranza!$C$9:$C$1008,B98,Cobranza!$N$9:$N$1008,"Parcial")&gt;0,"Parcial",IF(COUNTIFS(Cobranza!$C$9:$C$1008,B98,Cobranza!$N$9:$N$1008,"Pendiente")&gt;0,"Pendiente",IF(COUNTIFS(Cobranza!$C$9:$C$1008,B98,Cobranza!$N$9:$N$1008,"Pagada")&gt;0,"Pagada","")))))</f>
        <v/>
      </c>
      <c r="N98" s="33" t="str">
        <f t="shared" ca="1" si="1"/>
        <v/>
      </c>
      <c r="O98" s="23"/>
      <c r="P98" s="7" t="str">
        <f ca="1">IF(AND(B98&lt;&gt;"",F98&lt;&gt;"Cerrada",F98&lt;&gt;"Perdida",N98&lt;&gt;"",N98&gt;14),COUNTIFS($F$8:$F98,"&lt;&gt;Cerrada",$F$8:$F98,"&lt;&gt;Perdida",$N$8:$N98,"&gt;14"),"")</f>
        <v/>
      </c>
      <c r="Q98" s="8"/>
      <c r="R98" s="9"/>
      <c r="S98" s="10"/>
    </row>
    <row r="99" spans="2:19" ht="21.75" customHeight="1" x14ac:dyDescent="0.25">
      <c r="B99" s="24"/>
      <c r="C99" s="24"/>
      <c r="D99" s="24"/>
      <c r="E99" s="24"/>
      <c r="F99" s="38"/>
      <c r="G99" s="27"/>
      <c r="H99" s="24"/>
      <c r="I99" s="27"/>
      <c r="J99" s="26"/>
      <c r="K99" s="24"/>
      <c r="L99" s="24"/>
      <c r="M99" s="24" t="str">
        <f>IF(B99="","",IF(COUNTIFS(Cobranza!$C$9:$C$1008,B99,Cobranza!$N$9:$N$1008,"Vencida")&gt;0,"Vencida",IF(COUNTIFS(Cobranza!$C$9:$C$1008,B99,Cobranza!$N$9:$N$1008,"Parcial")&gt;0,"Parcial",IF(COUNTIFS(Cobranza!$C$9:$C$1008,B99,Cobranza!$N$9:$N$1008,"Pendiente")&gt;0,"Pendiente",IF(COUNTIFS(Cobranza!$C$9:$C$1008,B99,Cobranza!$N$9:$N$1008,"Pagada")&gt;0,"Pagada","")))))</f>
        <v/>
      </c>
      <c r="N99" s="33" t="str">
        <f t="shared" ca="1" si="1"/>
        <v/>
      </c>
      <c r="O99" s="23"/>
      <c r="P99" s="7" t="str">
        <f ca="1">IF(AND(B99&lt;&gt;"",F99&lt;&gt;"Cerrada",F99&lt;&gt;"Perdida",N99&lt;&gt;"",N99&gt;14),COUNTIFS($F$8:$F99,"&lt;&gt;Cerrada",$F$8:$F99,"&lt;&gt;Perdida",$N$8:$N99,"&gt;14"),"")</f>
        <v/>
      </c>
      <c r="Q99" s="8"/>
      <c r="R99" s="9"/>
      <c r="S99" s="10"/>
    </row>
    <row r="100" spans="2:19" ht="21.75" customHeight="1" x14ac:dyDescent="0.25">
      <c r="B100" s="24"/>
      <c r="C100" s="24"/>
      <c r="D100" s="24"/>
      <c r="E100" s="24"/>
      <c r="F100" s="38"/>
      <c r="G100" s="27"/>
      <c r="H100" s="24"/>
      <c r="I100" s="27"/>
      <c r="J100" s="26"/>
      <c r="K100" s="24"/>
      <c r="L100" s="24"/>
      <c r="M100" s="24" t="str">
        <f>IF(B100="","",IF(COUNTIFS(Cobranza!$C$9:$C$1008,B100,Cobranza!$N$9:$N$1008,"Vencida")&gt;0,"Vencida",IF(COUNTIFS(Cobranza!$C$9:$C$1008,B100,Cobranza!$N$9:$N$1008,"Parcial")&gt;0,"Parcial",IF(COUNTIFS(Cobranza!$C$9:$C$1008,B100,Cobranza!$N$9:$N$1008,"Pendiente")&gt;0,"Pendiente",IF(COUNTIFS(Cobranza!$C$9:$C$1008,B100,Cobranza!$N$9:$N$1008,"Pagada")&gt;0,"Pagada","")))))</f>
        <v/>
      </c>
      <c r="N100" s="33" t="str">
        <f t="shared" ca="1" si="1"/>
        <v/>
      </c>
      <c r="O100" s="23"/>
      <c r="P100" s="7" t="str">
        <f ca="1">IF(AND(B100&lt;&gt;"",F100&lt;&gt;"Cerrada",F100&lt;&gt;"Perdida",N100&lt;&gt;"",N100&gt;14),COUNTIFS($F$8:$F100,"&lt;&gt;Cerrada",$F$8:$F100,"&lt;&gt;Perdida",$N$8:$N100,"&gt;14"),"")</f>
        <v/>
      </c>
      <c r="Q100" s="8"/>
      <c r="R100" s="9"/>
      <c r="S100" s="10"/>
    </row>
    <row r="101" spans="2:19" ht="21.75" customHeight="1" x14ac:dyDescent="0.25">
      <c r="B101" s="24"/>
      <c r="C101" s="24"/>
      <c r="D101" s="24"/>
      <c r="E101" s="24"/>
      <c r="F101" s="38"/>
      <c r="G101" s="27"/>
      <c r="H101" s="24"/>
      <c r="I101" s="27"/>
      <c r="J101" s="26"/>
      <c r="K101" s="24"/>
      <c r="L101" s="24"/>
      <c r="M101" s="24" t="str">
        <f>IF(B101="","",IF(COUNTIFS(Cobranza!$C$9:$C$1008,B101,Cobranza!$N$9:$N$1008,"Vencida")&gt;0,"Vencida",IF(COUNTIFS(Cobranza!$C$9:$C$1008,B101,Cobranza!$N$9:$N$1008,"Parcial")&gt;0,"Parcial",IF(COUNTIFS(Cobranza!$C$9:$C$1008,B101,Cobranza!$N$9:$N$1008,"Pendiente")&gt;0,"Pendiente",IF(COUNTIFS(Cobranza!$C$9:$C$1008,B101,Cobranza!$N$9:$N$1008,"Pagada")&gt;0,"Pagada","")))))</f>
        <v/>
      </c>
      <c r="N101" s="33" t="str">
        <f t="shared" ca="1" si="1"/>
        <v/>
      </c>
      <c r="O101" s="23"/>
      <c r="P101" s="7" t="str">
        <f ca="1">IF(AND(B101&lt;&gt;"",F101&lt;&gt;"Cerrada",F101&lt;&gt;"Perdida",N101&lt;&gt;"",N101&gt;14),COUNTIFS($F$8:$F101,"&lt;&gt;Cerrada",$F$8:$F101,"&lt;&gt;Perdida",$N$8:$N101,"&gt;14"),"")</f>
        <v/>
      </c>
      <c r="Q101" s="8"/>
      <c r="R101" s="9"/>
      <c r="S101" s="10"/>
    </row>
    <row r="102" spans="2:19" ht="21.75" customHeight="1" x14ac:dyDescent="0.25">
      <c r="B102" s="24"/>
      <c r="C102" s="24"/>
      <c r="D102" s="24"/>
      <c r="E102" s="24"/>
      <c r="F102" s="38"/>
      <c r="G102" s="27"/>
      <c r="H102" s="24"/>
      <c r="I102" s="27"/>
      <c r="J102" s="26"/>
      <c r="K102" s="24"/>
      <c r="L102" s="24"/>
      <c r="M102" s="24" t="str">
        <f>IF(B102="","",IF(COUNTIFS(Cobranza!$C$9:$C$1008,B102,Cobranza!$N$9:$N$1008,"Vencida")&gt;0,"Vencida",IF(COUNTIFS(Cobranza!$C$9:$C$1008,B102,Cobranza!$N$9:$N$1008,"Parcial")&gt;0,"Parcial",IF(COUNTIFS(Cobranza!$C$9:$C$1008,B102,Cobranza!$N$9:$N$1008,"Pendiente")&gt;0,"Pendiente",IF(COUNTIFS(Cobranza!$C$9:$C$1008,B102,Cobranza!$N$9:$N$1008,"Pagada")&gt;0,"Pagada","")))))</f>
        <v/>
      </c>
      <c r="N102" s="33" t="str">
        <f t="shared" ca="1" si="1"/>
        <v/>
      </c>
      <c r="O102" s="23"/>
      <c r="P102" s="7" t="str">
        <f ca="1">IF(AND(B102&lt;&gt;"",F102&lt;&gt;"Cerrada",F102&lt;&gt;"Perdida",N102&lt;&gt;"",N102&gt;14),COUNTIFS($F$8:$F102,"&lt;&gt;Cerrada",$F$8:$F102,"&lt;&gt;Perdida",$N$8:$N102,"&gt;14"),"")</f>
        <v/>
      </c>
      <c r="Q102" s="8"/>
      <c r="R102" s="9"/>
      <c r="S102" s="10"/>
    </row>
    <row r="103" spans="2:19" ht="21.75" customHeight="1" x14ac:dyDescent="0.25">
      <c r="B103" s="24"/>
      <c r="C103" s="24"/>
      <c r="D103" s="24"/>
      <c r="E103" s="24"/>
      <c r="F103" s="38"/>
      <c r="G103" s="27"/>
      <c r="H103" s="24"/>
      <c r="I103" s="27"/>
      <c r="J103" s="26"/>
      <c r="K103" s="24"/>
      <c r="L103" s="24"/>
      <c r="M103" s="24" t="str">
        <f>IF(B103="","",IF(COUNTIFS(Cobranza!$C$9:$C$1008,B103,Cobranza!$N$9:$N$1008,"Vencida")&gt;0,"Vencida",IF(COUNTIFS(Cobranza!$C$9:$C$1008,B103,Cobranza!$N$9:$N$1008,"Parcial")&gt;0,"Parcial",IF(COUNTIFS(Cobranza!$C$9:$C$1008,B103,Cobranza!$N$9:$N$1008,"Pendiente")&gt;0,"Pendiente",IF(COUNTIFS(Cobranza!$C$9:$C$1008,B103,Cobranza!$N$9:$N$1008,"Pagada")&gt;0,"Pagada","")))))</f>
        <v/>
      </c>
      <c r="N103" s="33" t="str">
        <f t="shared" ca="1" si="1"/>
        <v/>
      </c>
      <c r="O103" s="23"/>
      <c r="P103" s="7" t="str">
        <f ca="1">IF(AND(B103&lt;&gt;"",F103&lt;&gt;"Cerrada",F103&lt;&gt;"Perdida",N103&lt;&gt;"",N103&gt;14),COUNTIFS($F$8:$F103,"&lt;&gt;Cerrada",$F$8:$F103,"&lt;&gt;Perdida",$N$8:$N103,"&gt;14"),"")</f>
        <v/>
      </c>
      <c r="Q103" s="8"/>
      <c r="R103" s="9"/>
      <c r="S103" s="10"/>
    </row>
    <row r="104" spans="2:19" ht="21.75" customHeight="1" x14ac:dyDescent="0.25">
      <c r="B104" s="24"/>
      <c r="C104" s="24"/>
      <c r="D104" s="24"/>
      <c r="E104" s="24"/>
      <c r="F104" s="38"/>
      <c r="G104" s="27"/>
      <c r="H104" s="24"/>
      <c r="I104" s="27"/>
      <c r="J104" s="26"/>
      <c r="K104" s="24"/>
      <c r="L104" s="24"/>
      <c r="M104" s="24" t="str">
        <f>IF(B104="","",IF(COUNTIFS(Cobranza!$C$9:$C$1008,B104,Cobranza!$N$9:$N$1008,"Vencida")&gt;0,"Vencida",IF(COUNTIFS(Cobranza!$C$9:$C$1008,B104,Cobranza!$N$9:$N$1008,"Parcial")&gt;0,"Parcial",IF(COUNTIFS(Cobranza!$C$9:$C$1008,B104,Cobranza!$N$9:$N$1008,"Pendiente")&gt;0,"Pendiente",IF(COUNTIFS(Cobranza!$C$9:$C$1008,B104,Cobranza!$N$9:$N$1008,"Pagada")&gt;0,"Pagada","")))))</f>
        <v/>
      </c>
      <c r="N104" s="33" t="str">
        <f t="shared" ca="1" si="1"/>
        <v/>
      </c>
      <c r="O104" s="23"/>
      <c r="P104" s="7" t="str">
        <f ca="1">IF(AND(B104&lt;&gt;"",F104&lt;&gt;"Cerrada",F104&lt;&gt;"Perdida",N104&lt;&gt;"",N104&gt;14),COUNTIFS($F$8:$F104,"&lt;&gt;Cerrada",$F$8:$F104,"&lt;&gt;Perdida",$N$8:$N104,"&gt;14"),"")</f>
        <v/>
      </c>
      <c r="Q104" s="8"/>
      <c r="R104" s="9"/>
      <c r="S104" s="10"/>
    </row>
    <row r="105" spans="2:19" ht="21.75" customHeight="1" x14ac:dyDescent="0.25">
      <c r="B105" s="24"/>
      <c r="C105" s="24"/>
      <c r="D105" s="24"/>
      <c r="E105" s="24"/>
      <c r="F105" s="38"/>
      <c r="G105" s="27"/>
      <c r="H105" s="24"/>
      <c r="I105" s="27"/>
      <c r="J105" s="26"/>
      <c r="K105" s="24"/>
      <c r="L105" s="24"/>
      <c r="M105" s="24" t="str">
        <f>IF(B105="","",IF(COUNTIFS(Cobranza!$C$9:$C$1008,B105,Cobranza!$N$9:$N$1008,"Vencida")&gt;0,"Vencida",IF(COUNTIFS(Cobranza!$C$9:$C$1008,B105,Cobranza!$N$9:$N$1008,"Parcial")&gt;0,"Parcial",IF(COUNTIFS(Cobranza!$C$9:$C$1008,B105,Cobranza!$N$9:$N$1008,"Pendiente")&gt;0,"Pendiente",IF(COUNTIFS(Cobranza!$C$9:$C$1008,B105,Cobranza!$N$9:$N$1008,"Pagada")&gt;0,"Pagada","")))))</f>
        <v/>
      </c>
      <c r="N105" s="33" t="str">
        <f t="shared" ca="1" si="1"/>
        <v/>
      </c>
      <c r="O105" s="23"/>
      <c r="P105" s="7" t="str">
        <f ca="1">IF(AND(B105&lt;&gt;"",F105&lt;&gt;"Cerrada",F105&lt;&gt;"Perdida",N105&lt;&gt;"",N105&gt;14),COUNTIFS($F$8:$F105,"&lt;&gt;Cerrada",$F$8:$F105,"&lt;&gt;Perdida",$N$8:$N105,"&gt;14"),"")</f>
        <v/>
      </c>
      <c r="Q105" s="8"/>
      <c r="R105" s="9"/>
      <c r="S105" s="10"/>
    </row>
    <row r="106" spans="2:19" ht="21.75" customHeight="1" x14ac:dyDescent="0.25">
      <c r="B106" s="24"/>
      <c r="C106" s="24"/>
      <c r="D106" s="24"/>
      <c r="E106" s="24"/>
      <c r="F106" s="38"/>
      <c r="G106" s="27"/>
      <c r="H106" s="24"/>
      <c r="I106" s="27"/>
      <c r="J106" s="26"/>
      <c r="K106" s="24"/>
      <c r="L106" s="24"/>
      <c r="M106" s="24" t="str">
        <f>IF(B106="","",IF(COUNTIFS(Cobranza!$C$9:$C$1008,B106,Cobranza!$N$9:$N$1008,"Vencida")&gt;0,"Vencida",IF(COUNTIFS(Cobranza!$C$9:$C$1008,B106,Cobranza!$N$9:$N$1008,"Parcial")&gt;0,"Parcial",IF(COUNTIFS(Cobranza!$C$9:$C$1008,B106,Cobranza!$N$9:$N$1008,"Pendiente")&gt;0,"Pendiente",IF(COUNTIFS(Cobranza!$C$9:$C$1008,B106,Cobranza!$N$9:$N$1008,"Pagada")&gt;0,"Pagada","")))))</f>
        <v/>
      </c>
      <c r="N106" s="33" t="str">
        <f t="shared" ca="1" si="1"/>
        <v/>
      </c>
      <c r="O106" s="23"/>
      <c r="P106" s="7" t="str">
        <f ca="1">IF(AND(B106&lt;&gt;"",F106&lt;&gt;"Cerrada",F106&lt;&gt;"Perdida",N106&lt;&gt;"",N106&gt;14),COUNTIFS($F$8:$F106,"&lt;&gt;Cerrada",$F$8:$F106,"&lt;&gt;Perdida",$N$8:$N106,"&gt;14"),"")</f>
        <v/>
      </c>
      <c r="Q106" s="8"/>
      <c r="R106" s="9"/>
      <c r="S106" s="10"/>
    </row>
    <row r="107" spans="2:19" ht="21.75" customHeight="1" x14ac:dyDescent="0.25">
      <c r="B107" s="24"/>
      <c r="C107" s="24"/>
      <c r="D107" s="24"/>
      <c r="E107" s="24"/>
      <c r="F107" s="38"/>
      <c r="G107" s="27"/>
      <c r="H107" s="24"/>
      <c r="I107" s="27"/>
      <c r="J107" s="26"/>
      <c r="K107" s="24"/>
      <c r="L107" s="24"/>
      <c r="M107" s="24" t="str">
        <f>IF(B107="","",IF(COUNTIFS(Cobranza!$C$9:$C$1008,B107,Cobranza!$N$9:$N$1008,"Vencida")&gt;0,"Vencida",IF(COUNTIFS(Cobranza!$C$9:$C$1008,B107,Cobranza!$N$9:$N$1008,"Parcial")&gt;0,"Parcial",IF(COUNTIFS(Cobranza!$C$9:$C$1008,B107,Cobranza!$N$9:$N$1008,"Pendiente")&gt;0,"Pendiente",IF(COUNTIFS(Cobranza!$C$9:$C$1008,B107,Cobranza!$N$9:$N$1008,"Pagada")&gt;0,"Pagada","")))))</f>
        <v/>
      </c>
      <c r="N107" s="33" t="str">
        <f t="shared" ca="1" si="1"/>
        <v/>
      </c>
      <c r="O107" s="23"/>
      <c r="P107" s="7" t="str">
        <f ca="1">IF(AND(B107&lt;&gt;"",F107&lt;&gt;"Cerrada",F107&lt;&gt;"Perdida",N107&lt;&gt;"",N107&gt;14),COUNTIFS($F$8:$F107,"&lt;&gt;Cerrada",$F$8:$F107,"&lt;&gt;Perdida",$N$8:$N107,"&gt;14"),"")</f>
        <v/>
      </c>
      <c r="Q107" s="8"/>
      <c r="R107" s="9"/>
      <c r="S107" s="10"/>
    </row>
    <row r="108" spans="2:19" ht="21.75" customHeight="1" x14ac:dyDescent="0.25">
      <c r="B108" s="24"/>
      <c r="C108" s="24"/>
      <c r="D108" s="24"/>
      <c r="E108" s="24"/>
      <c r="F108" s="38"/>
      <c r="G108" s="27"/>
      <c r="H108" s="24"/>
      <c r="I108" s="27"/>
      <c r="J108" s="26"/>
      <c r="K108" s="24"/>
      <c r="L108" s="24"/>
      <c r="M108" s="24" t="str">
        <f>IF(B108="","",IF(COUNTIFS(Cobranza!$C$9:$C$1008,B108,Cobranza!$N$9:$N$1008,"Vencida")&gt;0,"Vencida",IF(COUNTIFS(Cobranza!$C$9:$C$1008,B108,Cobranza!$N$9:$N$1008,"Parcial")&gt;0,"Parcial",IF(COUNTIFS(Cobranza!$C$9:$C$1008,B108,Cobranza!$N$9:$N$1008,"Pendiente")&gt;0,"Pendiente",IF(COUNTIFS(Cobranza!$C$9:$C$1008,B108,Cobranza!$N$9:$N$1008,"Pagada")&gt;0,"Pagada","")))))</f>
        <v/>
      </c>
      <c r="N108" s="33" t="str">
        <f t="shared" ca="1" si="1"/>
        <v/>
      </c>
      <c r="O108" s="23"/>
      <c r="P108" s="7" t="str">
        <f ca="1">IF(AND(B108&lt;&gt;"",F108&lt;&gt;"Cerrada",F108&lt;&gt;"Perdida",N108&lt;&gt;"",N108&gt;14),COUNTIFS($F$8:$F108,"&lt;&gt;Cerrada",$F$8:$F108,"&lt;&gt;Perdida",$N$8:$N108,"&gt;14"),"")</f>
        <v/>
      </c>
      <c r="Q108" s="8"/>
      <c r="R108" s="9"/>
      <c r="S108" s="10"/>
    </row>
    <row r="109" spans="2:19" ht="21.75" customHeight="1" x14ac:dyDescent="0.25">
      <c r="B109" s="24"/>
      <c r="C109" s="24"/>
      <c r="D109" s="24"/>
      <c r="E109" s="24"/>
      <c r="F109" s="38"/>
      <c r="G109" s="27"/>
      <c r="H109" s="24"/>
      <c r="I109" s="27"/>
      <c r="J109" s="26"/>
      <c r="K109" s="24"/>
      <c r="L109" s="24"/>
      <c r="M109" s="24" t="str">
        <f>IF(B109="","",IF(COUNTIFS(Cobranza!$C$9:$C$1008,B109,Cobranza!$N$9:$N$1008,"Vencida")&gt;0,"Vencida",IF(COUNTIFS(Cobranza!$C$9:$C$1008,B109,Cobranza!$N$9:$N$1008,"Parcial")&gt;0,"Parcial",IF(COUNTIFS(Cobranza!$C$9:$C$1008,B109,Cobranza!$N$9:$N$1008,"Pendiente")&gt;0,"Pendiente",IF(COUNTIFS(Cobranza!$C$9:$C$1008,B109,Cobranza!$N$9:$N$1008,"Pagada")&gt;0,"Pagada","")))))</f>
        <v/>
      </c>
      <c r="N109" s="33" t="str">
        <f t="shared" ca="1" si="1"/>
        <v/>
      </c>
      <c r="O109" s="23"/>
      <c r="P109" s="7" t="str">
        <f ca="1">IF(AND(B109&lt;&gt;"",F109&lt;&gt;"Cerrada",F109&lt;&gt;"Perdida",N109&lt;&gt;"",N109&gt;14),COUNTIFS($F$8:$F109,"&lt;&gt;Cerrada",$F$8:$F109,"&lt;&gt;Perdida",$N$8:$N109,"&gt;14"),"")</f>
        <v/>
      </c>
      <c r="Q109" s="8"/>
      <c r="R109" s="9"/>
      <c r="S109" s="10"/>
    </row>
    <row r="110" spans="2:19" ht="21.75" customHeight="1" x14ac:dyDescent="0.25">
      <c r="B110" s="24"/>
      <c r="C110" s="24"/>
      <c r="D110" s="24"/>
      <c r="E110" s="24"/>
      <c r="F110" s="38"/>
      <c r="G110" s="27"/>
      <c r="H110" s="24"/>
      <c r="I110" s="27"/>
      <c r="J110" s="26"/>
      <c r="K110" s="24"/>
      <c r="L110" s="24"/>
      <c r="M110" s="24" t="str">
        <f>IF(B110="","",IF(COUNTIFS(Cobranza!$C$9:$C$1008,B110,Cobranza!$N$9:$N$1008,"Vencida")&gt;0,"Vencida",IF(COUNTIFS(Cobranza!$C$9:$C$1008,B110,Cobranza!$N$9:$N$1008,"Parcial")&gt;0,"Parcial",IF(COUNTIFS(Cobranza!$C$9:$C$1008,B110,Cobranza!$N$9:$N$1008,"Pendiente")&gt;0,"Pendiente",IF(COUNTIFS(Cobranza!$C$9:$C$1008,B110,Cobranza!$N$9:$N$1008,"Pagada")&gt;0,"Pagada","")))))</f>
        <v/>
      </c>
      <c r="N110" s="33" t="str">
        <f t="shared" ca="1" si="1"/>
        <v/>
      </c>
      <c r="O110" s="23"/>
      <c r="P110" s="7" t="str">
        <f ca="1">IF(AND(B110&lt;&gt;"",F110&lt;&gt;"Cerrada",F110&lt;&gt;"Perdida",N110&lt;&gt;"",N110&gt;14),COUNTIFS($F$8:$F110,"&lt;&gt;Cerrada",$F$8:$F110,"&lt;&gt;Perdida",$N$8:$N110,"&gt;14"),"")</f>
        <v/>
      </c>
      <c r="Q110" s="8"/>
      <c r="R110" s="9"/>
      <c r="S110" s="10"/>
    </row>
    <row r="111" spans="2:19" ht="21.75" customHeight="1" x14ac:dyDescent="0.25">
      <c r="B111" s="24"/>
      <c r="C111" s="24"/>
      <c r="D111" s="24"/>
      <c r="E111" s="24"/>
      <c r="F111" s="38"/>
      <c r="G111" s="27"/>
      <c r="H111" s="24"/>
      <c r="I111" s="27"/>
      <c r="J111" s="26"/>
      <c r="K111" s="24"/>
      <c r="L111" s="24"/>
      <c r="M111" s="24" t="str">
        <f>IF(B111="","",IF(COUNTIFS(Cobranza!$C$9:$C$1008,B111,Cobranza!$N$9:$N$1008,"Vencida")&gt;0,"Vencida",IF(COUNTIFS(Cobranza!$C$9:$C$1008,B111,Cobranza!$N$9:$N$1008,"Parcial")&gt;0,"Parcial",IF(COUNTIFS(Cobranza!$C$9:$C$1008,B111,Cobranza!$N$9:$N$1008,"Pendiente")&gt;0,"Pendiente",IF(COUNTIFS(Cobranza!$C$9:$C$1008,B111,Cobranza!$N$9:$N$1008,"Pagada")&gt;0,"Pagada","")))))</f>
        <v/>
      </c>
      <c r="N111" s="33" t="str">
        <f t="shared" ca="1" si="1"/>
        <v/>
      </c>
      <c r="O111" s="23"/>
      <c r="P111" s="7" t="str">
        <f ca="1">IF(AND(B111&lt;&gt;"",F111&lt;&gt;"Cerrada",F111&lt;&gt;"Perdida",N111&lt;&gt;"",N111&gt;14),COUNTIFS($F$8:$F111,"&lt;&gt;Cerrada",$F$8:$F111,"&lt;&gt;Perdida",$N$8:$N111,"&gt;14"),"")</f>
        <v/>
      </c>
      <c r="Q111" s="8"/>
      <c r="R111" s="9"/>
      <c r="S111" s="10"/>
    </row>
    <row r="112" spans="2:19" ht="21.75" customHeight="1" x14ac:dyDescent="0.25">
      <c r="B112" s="24"/>
      <c r="C112" s="24"/>
      <c r="D112" s="24"/>
      <c r="E112" s="24"/>
      <c r="F112" s="38"/>
      <c r="G112" s="27"/>
      <c r="H112" s="24"/>
      <c r="I112" s="27"/>
      <c r="J112" s="26"/>
      <c r="K112" s="24"/>
      <c r="L112" s="24"/>
      <c r="M112" s="24" t="str">
        <f>IF(B112="","",IF(COUNTIFS(Cobranza!$C$9:$C$1008,B112,Cobranza!$N$9:$N$1008,"Vencida")&gt;0,"Vencida",IF(COUNTIFS(Cobranza!$C$9:$C$1008,B112,Cobranza!$N$9:$N$1008,"Parcial")&gt;0,"Parcial",IF(COUNTIFS(Cobranza!$C$9:$C$1008,B112,Cobranza!$N$9:$N$1008,"Pendiente")&gt;0,"Pendiente",IF(COUNTIFS(Cobranza!$C$9:$C$1008,B112,Cobranza!$N$9:$N$1008,"Pagada")&gt;0,"Pagada","")))))</f>
        <v/>
      </c>
      <c r="N112" s="33" t="str">
        <f t="shared" ca="1" si="1"/>
        <v/>
      </c>
      <c r="O112" s="23"/>
      <c r="P112" s="7" t="str">
        <f ca="1">IF(AND(B112&lt;&gt;"",F112&lt;&gt;"Cerrada",F112&lt;&gt;"Perdida",N112&lt;&gt;"",N112&gt;14),COUNTIFS($F$8:$F112,"&lt;&gt;Cerrada",$F$8:$F112,"&lt;&gt;Perdida",$N$8:$N112,"&gt;14"),"")</f>
        <v/>
      </c>
      <c r="Q112" s="8"/>
      <c r="R112" s="9"/>
      <c r="S112" s="10"/>
    </row>
    <row r="113" spans="2:19" ht="21.75" customHeight="1" x14ac:dyDescent="0.25">
      <c r="B113" s="24"/>
      <c r="C113" s="24"/>
      <c r="D113" s="24"/>
      <c r="E113" s="24"/>
      <c r="F113" s="38"/>
      <c r="G113" s="27"/>
      <c r="H113" s="24"/>
      <c r="I113" s="27"/>
      <c r="J113" s="26"/>
      <c r="K113" s="24"/>
      <c r="L113" s="24"/>
      <c r="M113" s="24" t="str">
        <f>IF(B113="","",IF(COUNTIFS(Cobranza!$C$9:$C$1008,B113,Cobranza!$N$9:$N$1008,"Vencida")&gt;0,"Vencida",IF(COUNTIFS(Cobranza!$C$9:$C$1008,B113,Cobranza!$N$9:$N$1008,"Parcial")&gt;0,"Parcial",IF(COUNTIFS(Cobranza!$C$9:$C$1008,B113,Cobranza!$N$9:$N$1008,"Pendiente")&gt;0,"Pendiente",IF(COUNTIFS(Cobranza!$C$9:$C$1008,B113,Cobranza!$N$9:$N$1008,"Pagada")&gt;0,"Pagada","")))))</f>
        <v/>
      </c>
      <c r="N113" s="33" t="str">
        <f t="shared" ca="1" si="1"/>
        <v/>
      </c>
      <c r="O113" s="23"/>
      <c r="P113" s="7" t="str">
        <f ca="1">IF(AND(B113&lt;&gt;"",F113&lt;&gt;"Cerrada",F113&lt;&gt;"Perdida",N113&lt;&gt;"",N113&gt;14),COUNTIFS($F$8:$F113,"&lt;&gt;Cerrada",$F$8:$F113,"&lt;&gt;Perdida",$N$8:$N113,"&gt;14"),"")</f>
        <v/>
      </c>
      <c r="Q113" s="8"/>
      <c r="R113" s="9"/>
      <c r="S113" s="10"/>
    </row>
    <row r="114" spans="2:19" ht="21.75" customHeight="1" x14ac:dyDescent="0.25">
      <c r="B114" s="24"/>
      <c r="C114" s="24"/>
      <c r="D114" s="24"/>
      <c r="E114" s="24"/>
      <c r="F114" s="38"/>
      <c r="G114" s="27"/>
      <c r="H114" s="24"/>
      <c r="I114" s="27"/>
      <c r="J114" s="26"/>
      <c r="K114" s="24"/>
      <c r="L114" s="24"/>
      <c r="M114" s="24" t="str">
        <f>IF(B114="","",IF(COUNTIFS(Cobranza!$C$9:$C$1008,B114,Cobranza!$N$9:$N$1008,"Vencida")&gt;0,"Vencida",IF(COUNTIFS(Cobranza!$C$9:$C$1008,B114,Cobranza!$N$9:$N$1008,"Parcial")&gt;0,"Parcial",IF(COUNTIFS(Cobranza!$C$9:$C$1008,B114,Cobranza!$N$9:$N$1008,"Pendiente")&gt;0,"Pendiente",IF(COUNTIFS(Cobranza!$C$9:$C$1008,B114,Cobranza!$N$9:$N$1008,"Pagada")&gt;0,"Pagada","")))))</f>
        <v/>
      </c>
      <c r="N114" s="33" t="str">
        <f t="shared" ca="1" si="1"/>
        <v/>
      </c>
      <c r="O114" s="23"/>
      <c r="P114" s="7" t="str">
        <f ca="1">IF(AND(B114&lt;&gt;"",F114&lt;&gt;"Cerrada",F114&lt;&gt;"Perdida",N114&lt;&gt;"",N114&gt;14),COUNTIFS($F$8:$F114,"&lt;&gt;Cerrada",$F$8:$F114,"&lt;&gt;Perdida",$N$8:$N114,"&gt;14"),"")</f>
        <v/>
      </c>
      <c r="Q114" s="8"/>
      <c r="R114" s="9"/>
      <c r="S114" s="10"/>
    </row>
    <row r="115" spans="2:19" ht="21.75" customHeight="1" x14ac:dyDescent="0.25">
      <c r="B115" s="24"/>
      <c r="C115" s="24"/>
      <c r="D115" s="24"/>
      <c r="E115" s="24"/>
      <c r="F115" s="38"/>
      <c r="G115" s="27"/>
      <c r="H115" s="24"/>
      <c r="I115" s="27"/>
      <c r="J115" s="26"/>
      <c r="K115" s="24"/>
      <c r="L115" s="24"/>
      <c r="M115" s="24" t="str">
        <f>IF(B115="","",IF(COUNTIFS(Cobranza!$C$9:$C$1008,B115,Cobranza!$N$9:$N$1008,"Vencida")&gt;0,"Vencida",IF(COUNTIFS(Cobranza!$C$9:$C$1008,B115,Cobranza!$N$9:$N$1008,"Parcial")&gt;0,"Parcial",IF(COUNTIFS(Cobranza!$C$9:$C$1008,B115,Cobranza!$N$9:$N$1008,"Pendiente")&gt;0,"Pendiente",IF(COUNTIFS(Cobranza!$C$9:$C$1008,B115,Cobranza!$N$9:$N$1008,"Pagada")&gt;0,"Pagada","")))))</f>
        <v/>
      </c>
      <c r="N115" s="33" t="str">
        <f t="shared" ca="1" si="1"/>
        <v/>
      </c>
      <c r="O115" s="23"/>
      <c r="P115" s="7" t="str">
        <f ca="1">IF(AND(B115&lt;&gt;"",F115&lt;&gt;"Cerrada",F115&lt;&gt;"Perdida",N115&lt;&gt;"",N115&gt;14),COUNTIFS($F$8:$F115,"&lt;&gt;Cerrada",$F$8:$F115,"&lt;&gt;Perdida",$N$8:$N115,"&gt;14"),"")</f>
        <v/>
      </c>
      <c r="Q115" s="8"/>
      <c r="R115" s="9"/>
      <c r="S115" s="10"/>
    </row>
    <row r="116" spans="2:19" ht="21.75" customHeight="1" x14ac:dyDescent="0.25">
      <c r="B116" s="24"/>
      <c r="C116" s="24"/>
      <c r="D116" s="24"/>
      <c r="E116" s="24"/>
      <c r="F116" s="38"/>
      <c r="G116" s="27"/>
      <c r="H116" s="24"/>
      <c r="I116" s="27"/>
      <c r="J116" s="26"/>
      <c r="K116" s="24"/>
      <c r="L116" s="24"/>
      <c r="M116" s="24" t="str">
        <f>IF(B116="","",IF(COUNTIFS(Cobranza!$C$9:$C$1008,B116,Cobranza!$N$9:$N$1008,"Vencida")&gt;0,"Vencida",IF(COUNTIFS(Cobranza!$C$9:$C$1008,B116,Cobranza!$N$9:$N$1008,"Parcial")&gt;0,"Parcial",IF(COUNTIFS(Cobranza!$C$9:$C$1008,B116,Cobranza!$N$9:$N$1008,"Pendiente")&gt;0,"Pendiente",IF(COUNTIFS(Cobranza!$C$9:$C$1008,B116,Cobranza!$N$9:$N$1008,"Pagada")&gt;0,"Pagada","")))))</f>
        <v/>
      </c>
      <c r="N116" s="33" t="str">
        <f t="shared" ca="1" si="1"/>
        <v/>
      </c>
      <c r="O116" s="23"/>
      <c r="P116" s="7" t="str">
        <f ca="1">IF(AND(B116&lt;&gt;"",F116&lt;&gt;"Cerrada",F116&lt;&gt;"Perdida",N116&lt;&gt;"",N116&gt;14),COUNTIFS($F$8:$F116,"&lt;&gt;Cerrada",$F$8:$F116,"&lt;&gt;Perdida",$N$8:$N116,"&gt;14"),"")</f>
        <v/>
      </c>
      <c r="Q116" s="8"/>
      <c r="R116" s="9"/>
      <c r="S116" s="10"/>
    </row>
    <row r="117" spans="2:19" ht="21.75" customHeight="1" x14ac:dyDescent="0.25">
      <c r="B117" s="24"/>
      <c r="C117" s="24"/>
      <c r="D117" s="24"/>
      <c r="E117" s="24"/>
      <c r="F117" s="38"/>
      <c r="G117" s="27"/>
      <c r="H117" s="24"/>
      <c r="I117" s="27"/>
      <c r="J117" s="26"/>
      <c r="K117" s="24"/>
      <c r="L117" s="24"/>
      <c r="M117" s="24" t="str">
        <f>IF(B117="","",IF(COUNTIFS(Cobranza!$C$9:$C$1008,B117,Cobranza!$N$9:$N$1008,"Vencida")&gt;0,"Vencida",IF(COUNTIFS(Cobranza!$C$9:$C$1008,B117,Cobranza!$N$9:$N$1008,"Parcial")&gt;0,"Parcial",IF(COUNTIFS(Cobranza!$C$9:$C$1008,B117,Cobranza!$N$9:$N$1008,"Pendiente")&gt;0,"Pendiente",IF(COUNTIFS(Cobranza!$C$9:$C$1008,B117,Cobranza!$N$9:$N$1008,"Pagada")&gt;0,"Pagada","")))))</f>
        <v/>
      </c>
      <c r="N117" s="33" t="str">
        <f t="shared" ca="1" si="1"/>
        <v/>
      </c>
      <c r="O117" s="23"/>
      <c r="P117" s="7" t="str">
        <f ca="1">IF(AND(B117&lt;&gt;"",F117&lt;&gt;"Cerrada",F117&lt;&gt;"Perdida",N117&lt;&gt;"",N117&gt;14),COUNTIFS($F$8:$F117,"&lt;&gt;Cerrada",$F$8:$F117,"&lt;&gt;Perdida",$N$8:$N117,"&gt;14"),"")</f>
        <v/>
      </c>
      <c r="Q117" s="8"/>
      <c r="R117" s="9"/>
      <c r="S117" s="10"/>
    </row>
    <row r="118" spans="2:19" ht="21.75" customHeight="1" x14ac:dyDescent="0.25">
      <c r="B118" s="24"/>
      <c r="C118" s="24"/>
      <c r="D118" s="24"/>
      <c r="E118" s="24"/>
      <c r="F118" s="38"/>
      <c r="G118" s="27"/>
      <c r="H118" s="24"/>
      <c r="I118" s="27"/>
      <c r="J118" s="26"/>
      <c r="K118" s="24"/>
      <c r="L118" s="24"/>
      <c r="M118" s="24" t="str">
        <f>IF(B118="","",IF(COUNTIFS(Cobranza!$C$9:$C$1008,B118,Cobranza!$N$9:$N$1008,"Vencida")&gt;0,"Vencida",IF(COUNTIFS(Cobranza!$C$9:$C$1008,B118,Cobranza!$N$9:$N$1008,"Parcial")&gt;0,"Parcial",IF(COUNTIFS(Cobranza!$C$9:$C$1008,B118,Cobranza!$N$9:$N$1008,"Pendiente")&gt;0,"Pendiente",IF(COUNTIFS(Cobranza!$C$9:$C$1008,B118,Cobranza!$N$9:$N$1008,"Pagada")&gt;0,"Pagada","")))))</f>
        <v/>
      </c>
      <c r="N118" s="33" t="str">
        <f t="shared" ca="1" si="1"/>
        <v/>
      </c>
      <c r="O118" s="23"/>
      <c r="P118" s="7" t="str">
        <f ca="1">IF(AND(B118&lt;&gt;"",F118&lt;&gt;"Cerrada",F118&lt;&gt;"Perdida",N118&lt;&gt;"",N118&gt;14),COUNTIFS($F$8:$F118,"&lt;&gt;Cerrada",$F$8:$F118,"&lt;&gt;Perdida",$N$8:$N118,"&gt;14"),"")</f>
        <v/>
      </c>
      <c r="Q118" s="8"/>
      <c r="R118" s="9"/>
      <c r="S118" s="10"/>
    </row>
    <row r="119" spans="2:19" ht="21.75" customHeight="1" x14ac:dyDescent="0.25">
      <c r="B119" s="24"/>
      <c r="C119" s="24"/>
      <c r="D119" s="24"/>
      <c r="E119" s="24"/>
      <c r="F119" s="38"/>
      <c r="G119" s="27"/>
      <c r="H119" s="24"/>
      <c r="I119" s="27"/>
      <c r="J119" s="26"/>
      <c r="K119" s="24"/>
      <c r="L119" s="24"/>
      <c r="M119" s="24" t="str">
        <f>IF(B119="","",IF(COUNTIFS(Cobranza!$C$9:$C$1008,B119,Cobranza!$N$9:$N$1008,"Vencida")&gt;0,"Vencida",IF(COUNTIFS(Cobranza!$C$9:$C$1008,B119,Cobranza!$N$9:$N$1008,"Parcial")&gt;0,"Parcial",IF(COUNTIFS(Cobranza!$C$9:$C$1008,B119,Cobranza!$N$9:$N$1008,"Pendiente")&gt;0,"Pendiente",IF(COUNTIFS(Cobranza!$C$9:$C$1008,B119,Cobranza!$N$9:$N$1008,"Pagada")&gt;0,"Pagada","")))))</f>
        <v/>
      </c>
      <c r="N119" s="33" t="str">
        <f t="shared" ca="1" si="1"/>
        <v/>
      </c>
      <c r="O119" s="23"/>
      <c r="P119" s="7" t="str">
        <f ca="1">IF(AND(B119&lt;&gt;"",F119&lt;&gt;"Cerrada",F119&lt;&gt;"Perdida",N119&lt;&gt;"",N119&gt;14),COUNTIFS($F$8:$F119,"&lt;&gt;Cerrada",$F$8:$F119,"&lt;&gt;Perdida",$N$8:$N119,"&gt;14"),"")</f>
        <v/>
      </c>
      <c r="Q119" s="8"/>
      <c r="R119" s="9"/>
      <c r="S119" s="10"/>
    </row>
    <row r="120" spans="2:19" ht="21.75" customHeight="1" x14ac:dyDescent="0.25">
      <c r="B120" s="24"/>
      <c r="C120" s="24"/>
      <c r="D120" s="24"/>
      <c r="E120" s="24"/>
      <c r="F120" s="38"/>
      <c r="G120" s="27"/>
      <c r="H120" s="24"/>
      <c r="I120" s="27"/>
      <c r="J120" s="26"/>
      <c r="K120" s="24"/>
      <c r="L120" s="24"/>
      <c r="M120" s="24" t="str">
        <f>IF(B120="","",IF(COUNTIFS(Cobranza!$C$9:$C$1008,B120,Cobranza!$N$9:$N$1008,"Vencida")&gt;0,"Vencida",IF(COUNTIFS(Cobranza!$C$9:$C$1008,B120,Cobranza!$N$9:$N$1008,"Parcial")&gt;0,"Parcial",IF(COUNTIFS(Cobranza!$C$9:$C$1008,B120,Cobranza!$N$9:$N$1008,"Pendiente")&gt;0,"Pendiente",IF(COUNTIFS(Cobranza!$C$9:$C$1008,B120,Cobranza!$N$9:$N$1008,"Pagada")&gt;0,"Pagada","")))))</f>
        <v/>
      </c>
      <c r="N120" s="33" t="str">
        <f t="shared" ca="1" si="1"/>
        <v/>
      </c>
      <c r="O120" s="23"/>
      <c r="P120" s="7" t="str">
        <f ca="1">IF(AND(B120&lt;&gt;"",F120&lt;&gt;"Cerrada",F120&lt;&gt;"Perdida",N120&lt;&gt;"",N120&gt;14),COUNTIFS($F$8:$F120,"&lt;&gt;Cerrada",$F$8:$F120,"&lt;&gt;Perdida",$N$8:$N120,"&gt;14"),"")</f>
        <v/>
      </c>
      <c r="Q120" s="8"/>
      <c r="R120" s="9"/>
      <c r="S120" s="10"/>
    </row>
    <row r="121" spans="2:19" ht="21.75" customHeight="1" x14ac:dyDescent="0.25">
      <c r="B121" s="24"/>
      <c r="C121" s="24"/>
      <c r="D121" s="24"/>
      <c r="E121" s="24"/>
      <c r="F121" s="38"/>
      <c r="G121" s="27"/>
      <c r="H121" s="24"/>
      <c r="I121" s="27"/>
      <c r="J121" s="26"/>
      <c r="K121" s="24"/>
      <c r="L121" s="24"/>
      <c r="M121" s="24" t="str">
        <f>IF(B121="","",IF(COUNTIFS(Cobranza!$C$9:$C$1008,B121,Cobranza!$N$9:$N$1008,"Vencida")&gt;0,"Vencida",IF(COUNTIFS(Cobranza!$C$9:$C$1008,B121,Cobranza!$N$9:$N$1008,"Parcial")&gt;0,"Parcial",IF(COUNTIFS(Cobranza!$C$9:$C$1008,B121,Cobranza!$N$9:$N$1008,"Pendiente")&gt;0,"Pendiente",IF(COUNTIFS(Cobranza!$C$9:$C$1008,B121,Cobranza!$N$9:$N$1008,"Pagada")&gt;0,"Pagada","")))))</f>
        <v/>
      </c>
      <c r="N121" s="33" t="str">
        <f t="shared" ca="1" si="1"/>
        <v/>
      </c>
      <c r="O121" s="23"/>
      <c r="P121" s="7" t="str">
        <f ca="1">IF(AND(B121&lt;&gt;"",F121&lt;&gt;"Cerrada",F121&lt;&gt;"Perdida",N121&lt;&gt;"",N121&gt;14),COUNTIFS($F$8:$F121,"&lt;&gt;Cerrada",$F$8:$F121,"&lt;&gt;Perdida",$N$8:$N121,"&gt;14"),"")</f>
        <v/>
      </c>
      <c r="Q121" s="8"/>
      <c r="R121" s="9"/>
      <c r="S121" s="10"/>
    </row>
    <row r="122" spans="2:19" ht="21.75" customHeight="1" x14ac:dyDescent="0.25">
      <c r="B122" s="24"/>
      <c r="C122" s="24"/>
      <c r="D122" s="24"/>
      <c r="E122" s="24"/>
      <c r="F122" s="38"/>
      <c r="G122" s="27"/>
      <c r="H122" s="24"/>
      <c r="I122" s="27"/>
      <c r="J122" s="26"/>
      <c r="K122" s="24"/>
      <c r="L122" s="24"/>
      <c r="M122" s="24" t="str">
        <f>IF(B122="","",IF(COUNTIFS(Cobranza!$C$9:$C$1008,B122,Cobranza!$N$9:$N$1008,"Vencida")&gt;0,"Vencida",IF(COUNTIFS(Cobranza!$C$9:$C$1008,B122,Cobranza!$N$9:$N$1008,"Parcial")&gt;0,"Parcial",IF(COUNTIFS(Cobranza!$C$9:$C$1008,B122,Cobranza!$N$9:$N$1008,"Pendiente")&gt;0,"Pendiente",IF(COUNTIFS(Cobranza!$C$9:$C$1008,B122,Cobranza!$N$9:$N$1008,"Pagada")&gt;0,"Pagada","")))))</f>
        <v/>
      </c>
      <c r="N122" s="33" t="str">
        <f t="shared" ca="1" si="1"/>
        <v/>
      </c>
      <c r="O122" s="23"/>
      <c r="P122" s="7" t="str">
        <f ca="1">IF(AND(B122&lt;&gt;"",F122&lt;&gt;"Cerrada",F122&lt;&gt;"Perdida",N122&lt;&gt;"",N122&gt;14),COUNTIFS($F$8:$F122,"&lt;&gt;Cerrada",$F$8:$F122,"&lt;&gt;Perdida",$N$8:$N122,"&gt;14"),"")</f>
        <v/>
      </c>
      <c r="Q122" s="8"/>
      <c r="R122" s="9"/>
      <c r="S122" s="10"/>
    </row>
    <row r="123" spans="2:19" ht="21.75" customHeight="1" x14ac:dyDescent="0.25">
      <c r="B123" s="24"/>
      <c r="C123" s="24"/>
      <c r="D123" s="24"/>
      <c r="E123" s="24"/>
      <c r="F123" s="38"/>
      <c r="G123" s="27"/>
      <c r="H123" s="24"/>
      <c r="I123" s="27"/>
      <c r="J123" s="26"/>
      <c r="K123" s="24"/>
      <c r="L123" s="24"/>
      <c r="M123" s="24" t="str">
        <f>IF(B123="","",IF(COUNTIFS(Cobranza!$C$9:$C$1008,B123,Cobranza!$N$9:$N$1008,"Vencida")&gt;0,"Vencida",IF(COUNTIFS(Cobranza!$C$9:$C$1008,B123,Cobranza!$N$9:$N$1008,"Parcial")&gt;0,"Parcial",IF(COUNTIFS(Cobranza!$C$9:$C$1008,B123,Cobranza!$N$9:$N$1008,"Pendiente")&gt;0,"Pendiente",IF(COUNTIFS(Cobranza!$C$9:$C$1008,B123,Cobranza!$N$9:$N$1008,"Pagada")&gt;0,"Pagada","")))))</f>
        <v/>
      </c>
      <c r="N123" s="33" t="str">
        <f t="shared" ca="1" si="1"/>
        <v/>
      </c>
      <c r="O123" s="23"/>
      <c r="P123" s="7" t="str">
        <f ca="1">IF(AND(B123&lt;&gt;"",F123&lt;&gt;"Cerrada",F123&lt;&gt;"Perdida",N123&lt;&gt;"",N123&gt;14),COUNTIFS($F$8:$F123,"&lt;&gt;Cerrada",$F$8:$F123,"&lt;&gt;Perdida",$N$8:$N123,"&gt;14"),"")</f>
        <v/>
      </c>
      <c r="Q123" s="8"/>
      <c r="R123" s="9"/>
      <c r="S123" s="10"/>
    </row>
    <row r="124" spans="2:19" ht="21.75" customHeight="1" x14ac:dyDescent="0.25">
      <c r="B124" s="24"/>
      <c r="C124" s="24"/>
      <c r="D124" s="24"/>
      <c r="E124" s="24"/>
      <c r="F124" s="38"/>
      <c r="G124" s="27"/>
      <c r="H124" s="24"/>
      <c r="I124" s="27"/>
      <c r="J124" s="26"/>
      <c r="K124" s="24"/>
      <c r="L124" s="24"/>
      <c r="M124" s="24" t="str">
        <f>IF(B124="","",IF(COUNTIFS(Cobranza!$C$9:$C$1008,B124,Cobranza!$N$9:$N$1008,"Vencida")&gt;0,"Vencida",IF(COUNTIFS(Cobranza!$C$9:$C$1008,B124,Cobranza!$N$9:$N$1008,"Parcial")&gt;0,"Parcial",IF(COUNTIFS(Cobranza!$C$9:$C$1008,B124,Cobranza!$N$9:$N$1008,"Pendiente")&gt;0,"Pendiente",IF(COUNTIFS(Cobranza!$C$9:$C$1008,B124,Cobranza!$N$9:$N$1008,"Pagada")&gt;0,"Pagada","")))))</f>
        <v/>
      </c>
      <c r="N124" s="33" t="str">
        <f t="shared" ca="1" si="1"/>
        <v/>
      </c>
      <c r="O124" s="23"/>
      <c r="P124" s="7" t="str">
        <f ca="1">IF(AND(B124&lt;&gt;"",F124&lt;&gt;"Cerrada",F124&lt;&gt;"Perdida",N124&lt;&gt;"",N124&gt;14),COUNTIFS($F$8:$F124,"&lt;&gt;Cerrada",$F$8:$F124,"&lt;&gt;Perdida",$N$8:$N124,"&gt;14"),"")</f>
        <v/>
      </c>
      <c r="Q124" s="8"/>
      <c r="R124" s="9"/>
      <c r="S124" s="10"/>
    </row>
    <row r="125" spans="2:19" ht="21.75" customHeight="1" x14ac:dyDescent="0.25">
      <c r="B125" s="24"/>
      <c r="C125" s="24"/>
      <c r="D125" s="24"/>
      <c r="E125" s="24"/>
      <c r="F125" s="38"/>
      <c r="G125" s="27"/>
      <c r="H125" s="24"/>
      <c r="I125" s="27"/>
      <c r="J125" s="26"/>
      <c r="K125" s="24"/>
      <c r="L125" s="24"/>
      <c r="M125" s="24" t="str">
        <f>IF(B125="","",IF(COUNTIFS(Cobranza!$C$9:$C$1008,B125,Cobranza!$N$9:$N$1008,"Vencida")&gt;0,"Vencida",IF(COUNTIFS(Cobranza!$C$9:$C$1008,B125,Cobranza!$N$9:$N$1008,"Parcial")&gt;0,"Parcial",IF(COUNTIFS(Cobranza!$C$9:$C$1008,B125,Cobranza!$N$9:$N$1008,"Pendiente")&gt;0,"Pendiente",IF(COUNTIFS(Cobranza!$C$9:$C$1008,B125,Cobranza!$N$9:$N$1008,"Pagada")&gt;0,"Pagada","")))))</f>
        <v/>
      </c>
      <c r="N125" s="33" t="str">
        <f t="shared" ca="1" si="1"/>
        <v/>
      </c>
      <c r="O125" s="23"/>
      <c r="P125" s="7" t="str">
        <f ca="1">IF(AND(B125&lt;&gt;"",F125&lt;&gt;"Cerrada",F125&lt;&gt;"Perdida",N125&lt;&gt;"",N125&gt;14),COUNTIFS($F$8:$F125,"&lt;&gt;Cerrada",$F$8:$F125,"&lt;&gt;Perdida",$N$8:$N125,"&gt;14"),"")</f>
        <v/>
      </c>
      <c r="Q125" s="8"/>
      <c r="R125" s="9"/>
      <c r="S125" s="10"/>
    </row>
    <row r="126" spans="2:19" ht="21.75" customHeight="1" x14ac:dyDescent="0.25">
      <c r="B126" s="24"/>
      <c r="C126" s="24"/>
      <c r="D126" s="24"/>
      <c r="E126" s="24"/>
      <c r="F126" s="38"/>
      <c r="G126" s="27"/>
      <c r="H126" s="24"/>
      <c r="I126" s="27"/>
      <c r="J126" s="26"/>
      <c r="K126" s="24"/>
      <c r="L126" s="24"/>
      <c r="M126" s="24" t="str">
        <f>IF(B126="","",IF(COUNTIFS(Cobranza!$C$9:$C$1008,B126,Cobranza!$N$9:$N$1008,"Vencida")&gt;0,"Vencida",IF(COUNTIFS(Cobranza!$C$9:$C$1008,B126,Cobranza!$N$9:$N$1008,"Parcial")&gt;0,"Parcial",IF(COUNTIFS(Cobranza!$C$9:$C$1008,B126,Cobranza!$N$9:$N$1008,"Pendiente")&gt;0,"Pendiente",IF(COUNTIFS(Cobranza!$C$9:$C$1008,B126,Cobranza!$N$9:$N$1008,"Pagada")&gt;0,"Pagada","")))))</f>
        <v/>
      </c>
      <c r="N126" s="33" t="str">
        <f t="shared" ca="1" si="1"/>
        <v/>
      </c>
      <c r="O126" s="23"/>
      <c r="P126" s="7" t="str">
        <f ca="1">IF(AND(B126&lt;&gt;"",F126&lt;&gt;"Cerrada",F126&lt;&gt;"Perdida",N126&lt;&gt;"",N126&gt;14),COUNTIFS($F$8:$F126,"&lt;&gt;Cerrada",$F$8:$F126,"&lt;&gt;Perdida",$N$8:$N126,"&gt;14"),"")</f>
        <v/>
      </c>
      <c r="Q126" s="8"/>
      <c r="R126" s="9"/>
      <c r="S126" s="10"/>
    </row>
    <row r="127" spans="2:19" ht="21.75" customHeight="1" x14ac:dyDescent="0.25">
      <c r="B127" s="24"/>
      <c r="C127" s="24"/>
      <c r="D127" s="24"/>
      <c r="E127" s="24"/>
      <c r="F127" s="38"/>
      <c r="G127" s="27"/>
      <c r="H127" s="24"/>
      <c r="I127" s="27"/>
      <c r="J127" s="26"/>
      <c r="K127" s="24"/>
      <c r="L127" s="24"/>
      <c r="M127" s="24" t="str">
        <f>IF(B127="","",IF(COUNTIFS(Cobranza!$C$9:$C$1008,B127,Cobranza!$N$9:$N$1008,"Vencida")&gt;0,"Vencida",IF(COUNTIFS(Cobranza!$C$9:$C$1008,B127,Cobranza!$N$9:$N$1008,"Parcial")&gt;0,"Parcial",IF(COUNTIFS(Cobranza!$C$9:$C$1008,B127,Cobranza!$N$9:$N$1008,"Pendiente")&gt;0,"Pendiente",IF(COUNTIFS(Cobranza!$C$9:$C$1008,B127,Cobranza!$N$9:$N$1008,"Pagada")&gt;0,"Pagada","")))))</f>
        <v/>
      </c>
      <c r="N127" s="33" t="str">
        <f t="shared" ca="1" si="1"/>
        <v/>
      </c>
      <c r="O127" s="23"/>
      <c r="P127" s="7" t="str">
        <f ca="1">IF(AND(B127&lt;&gt;"",F127&lt;&gt;"Cerrada",F127&lt;&gt;"Perdida",N127&lt;&gt;"",N127&gt;14),COUNTIFS($F$8:$F127,"&lt;&gt;Cerrada",$F$8:$F127,"&lt;&gt;Perdida",$N$8:$N127,"&gt;14"),"")</f>
        <v/>
      </c>
      <c r="Q127" s="8"/>
      <c r="R127" s="9"/>
      <c r="S127" s="10"/>
    </row>
    <row r="128" spans="2:19" ht="21.75" customHeight="1" x14ac:dyDescent="0.25">
      <c r="B128" s="24"/>
      <c r="C128" s="24"/>
      <c r="D128" s="24"/>
      <c r="E128" s="24"/>
      <c r="F128" s="38"/>
      <c r="G128" s="27"/>
      <c r="H128" s="24"/>
      <c r="I128" s="27"/>
      <c r="J128" s="26"/>
      <c r="K128" s="24"/>
      <c r="L128" s="24"/>
      <c r="M128" s="24" t="str">
        <f>IF(B128="","",IF(COUNTIFS(Cobranza!$C$9:$C$1008,B128,Cobranza!$N$9:$N$1008,"Vencida")&gt;0,"Vencida",IF(COUNTIFS(Cobranza!$C$9:$C$1008,B128,Cobranza!$N$9:$N$1008,"Parcial")&gt;0,"Parcial",IF(COUNTIFS(Cobranza!$C$9:$C$1008,B128,Cobranza!$N$9:$N$1008,"Pendiente")&gt;0,"Pendiente",IF(COUNTIFS(Cobranza!$C$9:$C$1008,B128,Cobranza!$N$9:$N$1008,"Pagada")&gt;0,"Pagada","")))))</f>
        <v/>
      </c>
      <c r="N128" s="33" t="str">
        <f t="shared" ca="1" si="1"/>
        <v/>
      </c>
      <c r="O128" s="23"/>
      <c r="P128" s="7" t="str">
        <f ca="1">IF(AND(B128&lt;&gt;"",F128&lt;&gt;"Cerrada",F128&lt;&gt;"Perdida",N128&lt;&gt;"",N128&gt;14),COUNTIFS($F$8:$F128,"&lt;&gt;Cerrada",$F$8:$F128,"&lt;&gt;Perdida",$N$8:$N128,"&gt;14"),"")</f>
        <v/>
      </c>
      <c r="Q128" s="8"/>
      <c r="R128" s="9"/>
      <c r="S128" s="10"/>
    </row>
    <row r="129" spans="2:19" ht="21.75" customHeight="1" x14ac:dyDescent="0.25">
      <c r="B129" s="24"/>
      <c r="C129" s="24"/>
      <c r="D129" s="24"/>
      <c r="E129" s="24"/>
      <c r="F129" s="38"/>
      <c r="G129" s="27"/>
      <c r="H129" s="24"/>
      <c r="I129" s="27"/>
      <c r="J129" s="26"/>
      <c r="K129" s="24"/>
      <c r="L129" s="24"/>
      <c r="M129" s="24" t="str">
        <f>IF(B129="","",IF(COUNTIFS(Cobranza!$C$9:$C$1008,B129,Cobranza!$N$9:$N$1008,"Vencida")&gt;0,"Vencida",IF(COUNTIFS(Cobranza!$C$9:$C$1008,B129,Cobranza!$N$9:$N$1008,"Parcial")&gt;0,"Parcial",IF(COUNTIFS(Cobranza!$C$9:$C$1008,B129,Cobranza!$N$9:$N$1008,"Pendiente")&gt;0,"Pendiente",IF(COUNTIFS(Cobranza!$C$9:$C$1008,B129,Cobranza!$N$9:$N$1008,"Pagada")&gt;0,"Pagada","")))))</f>
        <v/>
      </c>
      <c r="N129" s="33" t="str">
        <f t="shared" ca="1" si="1"/>
        <v/>
      </c>
      <c r="O129" s="23"/>
      <c r="P129" s="7" t="str">
        <f ca="1">IF(AND(B129&lt;&gt;"",F129&lt;&gt;"Cerrada",F129&lt;&gt;"Perdida",N129&lt;&gt;"",N129&gt;14),COUNTIFS($F$8:$F129,"&lt;&gt;Cerrada",$F$8:$F129,"&lt;&gt;Perdida",$N$8:$N129,"&gt;14"),"")</f>
        <v/>
      </c>
      <c r="Q129" s="8"/>
      <c r="R129" s="9"/>
      <c r="S129" s="10"/>
    </row>
    <row r="130" spans="2:19" ht="21.75" customHeight="1" x14ac:dyDescent="0.25">
      <c r="B130" s="24"/>
      <c r="C130" s="24"/>
      <c r="D130" s="24"/>
      <c r="E130" s="24"/>
      <c r="F130" s="38"/>
      <c r="G130" s="27"/>
      <c r="H130" s="24"/>
      <c r="I130" s="27"/>
      <c r="J130" s="26"/>
      <c r="K130" s="24"/>
      <c r="L130" s="24"/>
      <c r="M130" s="24" t="str">
        <f>IF(B130="","",IF(COUNTIFS(Cobranza!$C$9:$C$1008,B130,Cobranza!$N$9:$N$1008,"Vencida")&gt;0,"Vencida",IF(COUNTIFS(Cobranza!$C$9:$C$1008,B130,Cobranza!$N$9:$N$1008,"Parcial")&gt;0,"Parcial",IF(COUNTIFS(Cobranza!$C$9:$C$1008,B130,Cobranza!$N$9:$N$1008,"Pendiente")&gt;0,"Pendiente",IF(COUNTIFS(Cobranza!$C$9:$C$1008,B130,Cobranza!$N$9:$N$1008,"Pagada")&gt;0,"Pagada","")))))</f>
        <v/>
      </c>
      <c r="N130" s="33" t="str">
        <f t="shared" ca="1" si="1"/>
        <v/>
      </c>
      <c r="O130" s="23"/>
      <c r="P130" s="7" t="str">
        <f ca="1">IF(AND(B130&lt;&gt;"",F130&lt;&gt;"Cerrada",F130&lt;&gt;"Perdida",N130&lt;&gt;"",N130&gt;14),COUNTIFS($F$8:$F130,"&lt;&gt;Cerrada",$F$8:$F130,"&lt;&gt;Perdida",$N$8:$N130,"&gt;14"),"")</f>
        <v/>
      </c>
      <c r="Q130" s="8"/>
      <c r="R130" s="9"/>
      <c r="S130" s="10"/>
    </row>
    <row r="131" spans="2:19" ht="21.75" customHeight="1" x14ac:dyDescent="0.25">
      <c r="B131" s="24"/>
      <c r="C131" s="24"/>
      <c r="D131" s="24"/>
      <c r="E131" s="24"/>
      <c r="F131" s="38"/>
      <c r="G131" s="27"/>
      <c r="H131" s="24"/>
      <c r="I131" s="27"/>
      <c r="J131" s="26"/>
      <c r="K131" s="24"/>
      <c r="L131" s="24"/>
      <c r="M131" s="24" t="str">
        <f>IF(B131="","",IF(COUNTIFS(Cobranza!$C$9:$C$1008,B131,Cobranza!$N$9:$N$1008,"Vencida")&gt;0,"Vencida",IF(COUNTIFS(Cobranza!$C$9:$C$1008,B131,Cobranza!$N$9:$N$1008,"Parcial")&gt;0,"Parcial",IF(COUNTIFS(Cobranza!$C$9:$C$1008,B131,Cobranza!$N$9:$N$1008,"Pendiente")&gt;0,"Pendiente",IF(COUNTIFS(Cobranza!$C$9:$C$1008,B131,Cobranza!$N$9:$N$1008,"Pagada")&gt;0,"Pagada","")))))</f>
        <v/>
      </c>
      <c r="N131" s="33" t="str">
        <f t="shared" ca="1" si="1"/>
        <v/>
      </c>
      <c r="O131" s="23"/>
      <c r="P131" s="7" t="str">
        <f ca="1">IF(AND(B131&lt;&gt;"",F131&lt;&gt;"Cerrada",F131&lt;&gt;"Perdida",N131&lt;&gt;"",N131&gt;14),COUNTIFS($F$8:$F131,"&lt;&gt;Cerrada",$F$8:$F131,"&lt;&gt;Perdida",$N$8:$N131,"&gt;14"),"")</f>
        <v/>
      </c>
      <c r="Q131" s="8"/>
      <c r="R131" s="9"/>
      <c r="S131" s="10"/>
    </row>
    <row r="132" spans="2:19" ht="21.75" customHeight="1" x14ac:dyDescent="0.25">
      <c r="B132" s="24"/>
      <c r="C132" s="24"/>
      <c r="D132" s="24"/>
      <c r="E132" s="24"/>
      <c r="F132" s="38"/>
      <c r="G132" s="27"/>
      <c r="H132" s="24"/>
      <c r="I132" s="27"/>
      <c r="J132" s="26"/>
      <c r="K132" s="24"/>
      <c r="L132" s="24"/>
      <c r="M132" s="24" t="str">
        <f>IF(B132="","",IF(COUNTIFS(Cobranza!$C$9:$C$1008,B132,Cobranza!$N$9:$N$1008,"Vencida")&gt;0,"Vencida",IF(COUNTIFS(Cobranza!$C$9:$C$1008,B132,Cobranza!$N$9:$N$1008,"Parcial")&gt;0,"Parcial",IF(COUNTIFS(Cobranza!$C$9:$C$1008,B132,Cobranza!$N$9:$N$1008,"Pendiente")&gt;0,"Pendiente",IF(COUNTIFS(Cobranza!$C$9:$C$1008,B132,Cobranza!$N$9:$N$1008,"Pagada")&gt;0,"Pagada","")))))</f>
        <v/>
      </c>
      <c r="N132" s="33" t="str">
        <f t="shared" ca="1" si="1"/>
        <v/>
      </c>
      <c r="O132" s="23"/>
      <c r="P132" s="7" t="str">
        <f ca="1">IF(AND(B132&lt;&gt;"",F132&lt;&gt;"Cerrada",F132&lt;&gt;"Perdida",N132&lt;&gt;"",N132&gt;14),COUNTIFS($F$8:$F132,"&lt;&gt;Cerrada",$F$8:$F132,"&lt;&gt;Perdida",$N$8:$N132,"&gt;14"),"")</f>
        <v/>
      </c>
      <c r="Q132" s="8"/>
      <c r="R132" s="9"/>
      <c r="S132" s="10"/>
    </row>
    <row r="133" spans="2:19" ht="21.75" customHeight="1" x14ac:dyDescent="0.25">
      <c r="B133" s="24"/>
      <c r="C133" s="24"/>
      <c r="D133" s="24"/>
      <c r="E133" s="24"/>
      <c r="F133" s="38"/>
      <c r="G133" s="27"/>
      <c r="H133" s="24"/>
      <c r="I133" s="27"/>
      <c r="J133" s="26"/>
      <c r="K133" s="24"/>
      <c r="L133" s="24"/>
      <c r="M133" s="24" t="str">
        <f>IF(B133="","",IF(COUNTIFS(Cobranza!$C$9:$C$1008,B133,Cobranza!$N$9:$N$1008,"Vencida")&gt;0,"Vencida",IF(COUNTIFS(Cobranza!$C$9:$C$1008,B133,Cobranza!$N$9:$N$1008,"Parcial")&gt;0,"Parcial",IF(COUNTIFS(Cobranza!$C$9:$C$1008,B133,Cobranza!$N$9:$N$1008,"Pendiente")&gt;0,"Pendiente",IF(COUNTIFS(Cobranza!$C$9:$C$1008,B133,Cobranza!$N$9:$N$1008,"Pagada")&gt;0,"Pagada","")))))</f>
        <v/>
      </c>
      <c r="N133" s="33" t="str">
        <f t="shared" ca="1" si="1"/>
        <v/>
      </c>
      <c r="O133" s="23"/>
      <c r="P133" s="7" t="str">
        <f ca="1">IF(AND(B133&lt;&gt;"",F133&lt;&gt;"Cerrada",F133&lt;&gt;"Perdida",N133&lt;&gt;"",N133&gt;14),COUNTIFS($F$8:$F133,"&lt;&gt;Cerrada",$F$8:$F133,"&lt;&gt;Perdida",$N$8:$N133,"&gt;14"),"")</f>
        <v/>
      </c>
      <c r="Q133" s="8"/>
      <c r="R133" s="9"/>
      <c r="S133" s="10"/>
    </row>
    <row r="134" spans="2:19" ht="21.75" customHeight="1" x14ac:dyDescent="0.25">
      <c r="B134" s="24"/>
      <c r="C134" s="24"/>
      <c r="D134" s="24"/>
      <c r="E134" s="24"/>
      <c r="F134" s="38"/>
      <c r="G134" s="27"/>
      <c r="H134" s="24"/>
      <c r="I134" s="27"/>
      <c r="J134" s="26"/>
      <c r="K134" s="24"/>
      <c r="L134" s="24"/>
      <c r="M134" s="24" t="str">
        <f>IF(B134="","",IF(COUNTIFS(Cobranza!$C$9:$C$1008,B134,Cobranza!$N$9:$N$1008,"Vencida")&gt;0,"Vencida",IF(COUNTIFS(Cobranza!$C$9:$C$1008,B134,Cobranza!$N$9:$N$1008,"Parcial")&gt;0,"Parcial",IF(COUNTIFS(Cobranza!$C$9:$C$1008,B134,Cobranza!$N$9:$N$1008,"Pendiente")&gt;0,"Pendiente",IF(COUNTIFS(Cobranza!$C$9:$C$1008,B134,Cobranza!$N$9:$N$1008,"Pagada")&gt;0,"Pagada","")))))</f>
        <v/>
      </c>
      <c r="N134" s="33" t="str">
        <f t="shared" ca="1" si="1"/>
        <v/>
      </c>
      <c r="O134" s="23"/>
      <c r="P134" s="7" t="str">
        <f ca="1">IF(AND(B134&lt;&gt;"",F134&lt;&gt;"Cerrada",F134&lt;&gt;"Perdida",N134&lt;&gt;"",N134&gt;14),COUNTIFS($F$8:$F134,"&lt;&gt;Cerrada",$F$8:$F134,"&lt;&gt;Perdida",$N$8:$N134,"&gt;14"),"")</f>
        <v/>
      </c>
      <c r="Q134" s="8"/>
      <c r="R134" s="9"/>
      <c r="S134" s="10"/>
    </row>
    <row r="135" spans="2:19" ht="21.75" customHeight="1" x14ac:dyDescent="0.25">
      <c r="B135" s="24"/>
      <c r="C135" s="24"/>
      <c r="D135" s="24"/>
      <c r="E135" s="24"/>
      <c r="F135" s="38"/>
      <c r="G135" s="27"/>
      <c r="H135" s="24"/>
      <c r="I135" s="27"/>
      <c r="J135" s="26"/>
      <c r="K135" s="24"/>
      <c r="L135" s="24"/>
      <c r="M135" s="24" t="str">
        <f>IF(B135="","",IF(COUNTIFS(Cobranza!$C$9:$C$1008,B135,Cobranza!$N$9:$N$1008,"Vencida")&gt;0,"Vencida",IF(COUNTIFS(Cobranza!$C$9:$C$1008,B135,Cobranza!$N$9:$N$1008,"Parcial")&gt;0,"Parcial",IF(COUNTIFS(Cobranza!$C$9:$C$1008,B135,Cobranza!$N$9:$N$1008,"Pendiente")&gt;0,"Pendiente",IF(COUNTIFS(Cobranza!$C$9:$C$1008,B135,Cobranza!$N$9:$N$1008,"Pagada")&gt;0,"Pagada","")))))</f>
        <v/>
      </c>
      <c r="N135" s="33" t="str">
        <f t="shared" ca="1" si="1"/>
        <v/>
      </c>
      <c r="O135" s="23"/>
      <c r="P135" s="7" t="str">
        <f ca="1">IF(AND(B135&lt;&gt;"",F135&lt;&gt;"Cerrada",F135&lt;&gt;"Perdida",N135&lt;&gt;"",N135&gt;14),COUNTIFS($F$8:$F135,"&lt;&gt;Cerrada",$F$8:$F135,"&lt;&gt;Perdida",$N$8:$N135,"&gt;14"),"")</f>
        <v/>
      </c>
      <c r="Q135" s="8"/>
      <c r="R135" s="9"/>
      <c r="S135" s="10"/>
    </row>
    <row r="136" spans="2:19" ht="21.75" customHeight="1" x14ac:dyDescent="0.25">
      <c r="B136" s="24"/>
      <c r="C136" s="24"/>
      <c r="D136" s="24"/>
      <c r="E136" s="24"/>
      <c r="F136" s="38"/>
      <c r="G136" s="27"/>
      <c r="H136" s="24"/>
      <c r="I136" s="27"/>
      <c r="J136" s="26"/>
      <c r="K136" s="24"/>
      <c r="L136" s="24"/>
      <c r="M136" s="24" t="str">
        <f>IF(B136="","",IF(COUNTIFS(Cobranza!$C$9:$C$1008,B136,Cobranza!$N$9:$N$1008,"Vencida")&gt;0,"Vencida",IF(COUNTIFS(Cobranza!$C$9:$C$1008,B136,Cobranza!$N$9:$N$1008,"Parcial")&gt;0,"Parcial",IF(COUNTIFS(Cobranza!$C$9:$C$1008,B136,Cobranza!$N$9:$N$1008,"Pendiente")&gt;0,"Pendiente",IF(COUNTIFS(Cobranza!$C$9:$C$1008,B136,Cobranza!$N$9:$N$1008,"Pagada")&gt;0,"Pagada","")))))</f>
        <v/>
      </c>
      <c r="N136" s="33" t="str">
        <f t="shared" ref="N136:N199" ca="1" si="2">IF(I136="","",MAX(0,TODAY()-I136))</f>
        <v/>
      </c>
      <c r="O136" s="23"/>
      <c r="P136" s="7" t="str">
        <f ca="1">IF(AND(B136&lt;&gt;"",F136&lt;&gt;"Cerrada",F136&lt;&gt;"Perdida",N136&lt;&gt;"",N136&gt;14),COUNTIFS($F$8:$F136,"&lt;&gt;Cerrada",$F$8:$F136,"&lt;&gt;Perdida",$N$8:$N136,"&gt;14"),"")</f>
        <v/>
      </c>
      <c r="Q136" s="8"/>
      <c r="R136" s="9"/>
      <c r="S136" s="10"/>
    </row>
    <row r="137" spans="2:19" ht="21.75" customHeight="1" x14ac:dyDescent="0.25">
      <c r="B137" s="24"/>
      <c r="C137" s="24"/>
      <c r="D137" s="24"/>
      <c r="E137" s="24"/>
      <c r="F137" s="38"/>
      <c r="G137" s="27"/>
      <c r="H137" s="24"/>
      <c r="I137" s="27"/>
      <c r="J137" s="26"/>
      <c r="K137" s="24"/>
      <c r="L137" s="24"/>
      <c r="M137" s="24" t="str">
        <f>IF(B137="","",IF(COUNTIFS(Cobranza!$C$9:$C$1008,B137,Cobranza!$N$9:$N$1008,"Vencida")&gt;0,"Vencida",IF(COUNTIFS(Cobranza!$C$9:$C$1008,B137,Cobranza!$N$9:$N$1008,"Parcial")&gt;0,"Parcial",IF(COUNTIFS(Cobranza!$C$9:$C$1008,B137,Cobranza!$N$9:$N$1008,"Pendiente")&gt;0,"Pendiente",IF(COUNTIFS(Cobranza!$C$9:$C$1008,B137,Cobranza!$N$9:$N$1008,"Pagada")&gt;0,"Pagada","")))))</f>
        <v/>
      </c>
      <c r="N137" s="33" t="str">
        <f t="shared" ca="1" si="2"/>
        <v/>
      </c>
      <c r="O137" s="23"/>
      <c r="P137" s="7" t="str">
        <f ca="1">IF(AND(B137&lt;&gt;"",F137&lt;&gt;"Cerrada",F137&lt;&gt;"Perdida",N137&lt;&gt;"",N137&gt;14),COUNTIFS($F$8:$F137,"&lt;&gt;Cerrada",$F$8:$F137,"&lt;&gt;Perdida",$N$8:$N137,"&gt;14"),"")</f>
        <v/>
      </c>
      <c r="Q137" s="8"/>
      <c r="R137" s="9"/>
      <c r="S137" s="10"/>
    </row>
    <row r="138" spans="2:19" ht="21.75" customHeight="1" x14ac:dyDescent="0.25">
      <c r="B138" s="24"/>
      <c r="C138" s="24"/>
      <c r="D138" s="24"/>
      <c r="E138" s="24"/>
      <c r="F138" s="38"/>
      <c r="G138" s="27"/>
      <c r="H138" s="24"/>
      <c r="I138" s="27"/>
      <c r="J138" s="26"/>
      <c r="K138" s="24"/>
      <c r="L138" s="24"/>
      <c r="M138" s="24" t="str">
        <f>IF(B138="","",IF(COUNTIFS(Cobranza!$C$9:$C$1008,B138,Cobranza!$N$9:$N$1008,"Vencida")&gt;0,"Vencida",IF(COUNTIFS(Cobranza!$C$9:$C$1008,B138,Cobranza!$N$9:$N$1008,"Parcial")&gt;0,"Parcial",IF(COUNTIFS(Cobranza!$C$9:$C$1008,B138,Cobranza!$N$9:$N$1008,"Pendiente")&gt;0,"Pendiente",IF(COUNTIFS(Cobranza!$C$9:$C$1008,B138,Cobranza!$N$9:$N$1008,"Pagada")&gt;0,"Pagada","")))))</f>
        <v/>
      </c>
      <c r="N138" s="33" t="str">
        <f t="shared" ca="1" si="2"/>
        <v/>
      </c>
      <c r="O138" s="23"/>
      <c r="P138" s="7" t="str">
        <f ca="1">IF(AND(B138&lt;&gt;"",F138&lt;&gt;"Cerrada",F138&lt;&gt;"Perdida",N138&lt;&gt;"",N138&gt;14),COUNTIFS($F$8:$F138,"&lt;&gt;Cerrada",$F$8:$F138,"&lt;&gt;Perdida",$N$8:$N138,"&gt;14"),"")</f>
        <v/>
      </c>
      <c r="Q138" s="8"/>
      <c r="R138" s="9"/>
      <c r="S138" s="10"/>
    </row>
    <row r="139" spans="2:19" ht="21.75" customHeight="1" x14ac:dyDescent="0.25">
      <c r="B139" s="24"/>
      <c r="C139" s="24"/>
      <c r="D139" s="24"/>
      <c r="E139" s="24"/>
      <c r="F139" s="38"/>
      <c r="G139" s="27"/>
      <c r="H139" s="24"/>
      <c r="I139" s="27"/>
      <c r="J139" s="26"/>
      <c r="K139" s="24"/>
      <c r="L139" s="24"/>
      <c r="M139" s="24" t="str">
        <f>IF(B139="","",IF(COUNTIFS(Cobranza!$C$9:$C$1008,B139,Cobranza!$N$9:$N$1008,"Vencida")&gt;0,"Vencida",IF(COUNTIFS(Cobranza!$C$9:$C$1008,B139,Cobranza!$N$9:$N$1008,"Parcial")&gt;0,"Parcial",IF(COUNTIFS(Cobranza!$C$9:$C$1008,B139,Cobranza!$N$9:$N$1008,"Pendiente")&gt;0,"Pendiente",IF(COUNTIFS(Cobranza!$C$9:$C$1008,B139,Cobranza!$N$9:$N$1008,"Pagada")&gt;0,"Pagada","")))))</f>
        <v/>
      </c>
      <c r="N139" s="33" t="str">
        <f t="shared" ca="1" si="2"/>
        <v/>
      </c>
      <c r="O139" s="23"/>
      <c r="P139" s="7" t="str">
        <f ca="1">IF(AND(B139&lt;&gt;"",F139&lt;&gt;"Cerrada",F139&lt;&gt;"Perdida",N139&lt;&gt;"",N139&gt;14),COUNTIFS($F$8:$F139,"&lt;&gt;Cerrada",$F$8:$F139,"&lt;&gt;Perdida",$N$8:$N139,"&gt;14"),"")</f>
        <v/>
      </c>
      <c r="Q139" s="8"/>
      <c r="R139" s="9"/>
      <c r="S139" s="10"/>
    </row>
    <row r="140" spans="2:19" ht="21.75" customHeight="1" x14ac:dyDescent="0.25">
      <c r="B140" s="24"/>
      <c r="C140" s="24"/>
      <c r="D140" s="24"/>
      <c r="E140" s="24"/>
      <c r="F140" s="38"/>
      <c r="G140" s="27"/>
      <c r="H140" s="24"/>
      <c r="I140" s="27"/>
      <c r="J140" s="26"/>
      <c r="K140" s="24"/>
      <c r="L140" s="24"/>
      <c r="M140" s="24" t="str">
        <f>IF(B140="","",IF(COUNTIFS(Cobranza!$C$9:$C$1008,B140,Cobranza!$N$9:$N$1008,"Vencida")&gt;0,"Vencida",IF(COUNTIFS(Cobranza!$C$9:$C$1008,B140,Cobranza!$N$9:$N$1008,"Parcial")&gt;0,"Parcial",IF(COUNTIFS(Cobranza!$C$9:$C$1008,B140,Cobranza!$N$9:$N$1008,"Pendiente")&gt;0,"Pendiente",IF(COUNTIFS(Cobranza!$C$9:$C$1008,B140,Cobranza!$N$9:$N$1008,"Pagada")&gt;0,"Pagada","")))))</f>
        <v/>
      </c>
      <c r="N140" s="33" t="str">
        <f t="shared" ca="1" si="2"/>
        <v/>
      </c>
      <c r="O140" s="23"/>
      <c r="P140" s="7" t="str">
        <f ca="1">IF(AND(B140&lt;&gt;"",F140&lt;&gt;"Cerrada",F140&lt;&gt;"Perdida",N140&lt;&gt;"",N140&gt;14),COUNTIFS($F$8:$F140,"&lt;&gt;Cerrada",$F$8:$F140,"&lt;&gt;Perdida",$N$8:$N140,"&gt;14"),"")</f>
        <v/>
      </c>
      <c r="Q140" s="8"/>
      <c r="R140" s="9"/>
      <c r="S140" s="10"/>
    </row>
    <row r="141" spans="2:19" ht="21.75" customHeight="1" x14ac:dyDescent="0.25">
      <c r="B141" s="24"/>
      <c r="C141" s="24"/>
      <c r="D141" s="24"/>
      <c r="E141" s="24"/>
      <c r="F141" s="38"/>
      <c r="G141" s="27"/>
      <c r="H141" s="24"/>
      <c r="I141" s="27"/>
      <c r="J141" s="26"/>
      <c r="K141" s="24"/>
      <c r="L141" s="24"/>
      <c r="M141" s="24" t="str">
        <f>IF(B141="","",IF(COUNTIFS(Cobranza!$C$9:$C$1008,B141,Cobranza!$N$9:$N$1008,"Vencida")&gt;0,"Vencida",IF(COUNTIFS(Cobranza!$C$9:$C$1008,B141,Cobranza!$N$9:$N$1008,"Parcial")&gt;0,"Parcial",IF(COUNTIFS(Cobranza!$C$9:$C$1008,B141,Cobranza!$N$9:$N$1008,"Pendiente")&gt;0,"Pendiente",IF(COUNTIFS(Cobranza!$C$9:$C$1008,B141,Cobranza!$N$9:$N$1008,"Pagada")&gt;0,"Pagada","")))))</f>
        <v/>
      </c>
      <c r="N141" s="33" t="str">
        <f t="shared" ca="1" si="2"/>
        <v/>
      </c>
      <c r="O141" s="23"/>
      <c r="P141" s="7" t="str">
        <f ca="1">IF(AND(B141&lt;&gt;"",F141&lt;&gt;"Cerrada",F141&lt;&gt;"Perdida",N141&lt;&gt;"",N141&gt;14),COUNTIFS($F$8:$F141,"&lt;&gt;Cerrada",$F$8:$F141,"&lt;&gt;Perdida",$N$8:$N141,"&gt;14"),"")</f>
        <v/>
      </c>
      <c r="Q141" s="8"/>
      <c r="R141" s="9"/>
      <c r="S141" s="10"/>
    </row>
    <row r="142" spans="2:19" ht="21.75" customHeight="1" x14ac:dyDescent="0.25">
      <c r="B142" s="24"/>
      <c r="C142" s="24"/>
      <c r="D142" s="24"/>
      <c r="E142" s="24"/>
      <c r="F142" s="38"/>
      <c r="G142" s="27"/>
      <c r="H142" s="24"/>
      <c r="I142" s="27"/>
      <c r="J142" s="26"/>
      <c r="K142" s="24"/>
      <c r="L142" s="24"/>
      <c r="M142" s="24" t="str">
        <f>IF(B142="","",IF(COUNTIFS(Cobranza!$C$9:$C$1008,B142,Cobranza!$N$9:$N$1008,"Vencida")&gt;0,"Vencida",IF(COUNTIFS(Cobranza!$C$9:$C$1008,B142,Cobranza!$N$9:$N$1008,"Parcial")&gt;0,"Parcial",IF(COUNTIFS(Cobranza!$C$9:$C$1008,B142,Cobranza!$N$9:$N$1008,"Pendiente")&gt;0,"Pendiente",IF(COUNTIFS(Cobranza!$C$9:$C$1008,B142,Cobranza!$N$9:$N$1008,"Pagada")&gt;0,"Pagada","")))))</f>
        <v/>
      </c>
      <c r="N142" s="33" t="str">
        <f t="shared" ca="1" si="2"/>
        <v/>
      </c>
      <c r="O142" s="23"/>
      <c r="P142" s="7" t="str">
        <f ca="1">IF(AND(B142&lt;&gt;"",F142&lt;&gt;"Cerrada",F142&lt;&gt;"Perdida",N142&lt;&gt;"",N142&gt;14),COUNTIFS($F$8:$F142,"&lt;&gt;Cerrada",$F$8:$F142,"&lt;&gt;Perdida",$N$8:$N142,"&gt;14"),"")</f>
        <v/>
      </c>
      <c r="Q142" s="8"/>
      <c r="R142" s="9"/>
      <c r="S142" s="10"/>
    </row>
    <row r="143" spans="2:19" ht="21.75" customHeight="1" x14ac:dyDescent="0.25">
      <c r="B143" s="24"/>
      <c r="C143" s="24"/>
      <c r="D143" s="24"/>
      <c r="E143" s="24"/>
      <c r="F143" s="38"/>
      <c r="G143" s="27"/>
      <c r="H143" s="24"/>
      <c r="I143" s="27"/>
      <c r="J143" s="26"/>
      <c r="K143" s="24"/>
      <c r="L143" s="24"/>
      <c r="M143" s="24" t="str">
        <f>IF(B143="","",IF(COUNTIFS(Cobranza!$C$9:$C$1008,B143,Cobranza!$N$9:$N$1008,"Vencida")&gt;0,"Vencida",IF(COUNTIFS(Cobranza!$C$9:$C$1008,B143,Cobranza!$N$9:$N$1008,"Parcial")&gt;0,"Parcial",IF(COUNTIFS(Cobranza!$C$9:$C$1008,B143,Cobranza!$N$9:$N$1008,"Pendiente")&gt;0,"Pendiente",IF(COUNTIFS(Cobranza!$C$9:$C$1008,B143,Cobranza!$N$9:$N$1008,"Pagada")&gt;0,"Pagada","")))))</f>
        <v/>
      </c>
      <c r="N143" s="33" t="str">
        <f t="shared" ca="1" si="2"/>
        <v/>
      </c>
      <c r="O143" s="23"/>
      <c r="P143" s="7" t="str">
        <f ca="1">IF(AND(B143&lt;&gt;"",F143&lt;&gt;"Cerrada",F143&lt;&gt;"Perdida",N143&lt;&gt;"",N143&gt;14),COUNTIFS($F$8:$F143,"&lt;&gt;Cerrada",$F$8:$F143,"&lt;&gt;Perdida",$N$8:$N143,"&gt;14"),"")</f>
        <v/>
      </c>
      <c r="Q143" s="8"/>
      <c r="R143" s="9"/>
      <c r="S143" s="10"/>
    </row>
    <row r="144" spans="2:19" ht="21.75" customHeight="1" x14ac:dyDescent="0.25">
      <c r="B144" s="24"/>
      <c r="C144" s="24"/>
      <c r="D144" s="24"/>
      <c r="E144" s="24"/>
      <c r="F144" s="38"/>
      <c r="G144" s="27"/>
      <c r="H144" s="24"/>
      <c r="I144" s="27"/>
      <c r="J144" s="26"/>
      <c r="K144" s="24"/>
      <c r="L144" s="24"/>
      <c r="M144" s="24" t="str">
        <f>IF(B144="","",IF(COUNTIFS(Cobranza!$C$9:$C$1008,B144,Cobranza!$N$9:$N$1008,"Vencida")&gt;0,"Vencida",IF(COUNTIFS(Cobranza!$C$9:$C$1008,B144,Cobranza!$N$9:$N$1008,"Parcial")&gt;0,"Parcial",IF(COUNTIFS(Cobranza!$C$9:$C$1008,B144,Cobranza!$N$9:$N$1008,"Pendiente")&gt;0,"Pendiente",IF(COUNTIFS(Cobranza!$C$9:$C$1008,B144,Cobranza!$N$9:$N$1008,"Pagada")&gt;0,"Pagada","")))))</f>
        <v/>
      </c>
      <c r="N144" s="33" t="str">
        <f t="shared" ca="1" si="2"/>
        <v/>
      </c>
      <c r="O144" s="23"/>
      <c r="P144" s="7" t="str">
        <f ca="1">IF(AND(B144&lt;&gt;"",F144&lt;&gt;"Cerrada",F144&lt;&gt;"Perdida",N144&lt;&gt;"",N144&gt;14),COUNTIFS($F$8:$F144,"&lt;&gt;Cerrada",$F$8:$F144,"&lt;&gt;Perdida",$N$8:$N144,"&gt;14"),"")</f>
        <v/>
      </c>
      <c r="Q144" s="8"/>
      <c r="R144" s="9"/>
      <c r="S144" s="10"/>
    </row>
    <row r="145" spans="2:19" ht="21.75" customHeight="1" x14ac:dyDescent="0.25">
      <c r="B145" s="24"/>
      <c r="C145" s="24"/>
      <c r="D145" s="24"/>
      <c r="E145" s="24"/>
      <c r="F145" s="38"/>
      <c r="G145" s="27"/>
      <c r="H145" s="24"/>
      <c r="I145" s="27"/>
      <c r="J145" s="26"/>
      <c r="K145" s="24"/>
      <c r="L145" s="24"/>
      <c r="M145" s="24" t="str">
        <f>IF(B145="","",IF(COUNTIFS(Cobranza!$C$9:$C$1008,B145,Cobranza!$N$9:$N$1008,"Vencida")&gt;0,"Vencida",IF(COUNTIFS(Cobranza!$C$9:$C$1008,B145,Cobranza!$N$9:$N$1008,"Parcial")&gt;0,"Parcial",IF(COUNTIFS(Cobranza!$C$9:$C$1008,B145,Cobranza!$N$9:$N$1008,"Pendiente")&gt;0,"Pendiente",IF(COUNTIFS(Cobranza!$C$9:$C$1008,B145,Cobranza!$N$9:$N$1008,"Pagada")&gt;0,"Pagada","")))))</f>
        <v/>
      </c>
      <c r="N145" s="33" t="str">
        <f t="shared" ca="1" si="2"/>
        <v/>
      </c>
      <c r="O145" s="23"/>
      <c r="P145" s="7" t="str">
        <f ca="1">IF(AND(B145&lt;&gt;"",F145&lt;&gt;"Cerrada",F145&lt;&gt;"Perdida",N145&lt;&gt;"",N145&gt;14),COUNTIFS($F$8:$F145,"&lt;&gt;Cerrada",$F$8:$F145,"&lt;&gt;Perdida",$N$8:$N145,"&gt;14"),"")</f>
        <v/>
      </c>
      <c r="Q145" s="8"/>
      <c r="R145" s="9"/>
      <c r="S145" s="10"/>
    </row>
    <row r="146" spans="2:19" ht="21.75" customHeight="1" x14ac:dyDescent="0.25">
      <c r="B146" s="24"/>
      <c r="C146" s="24"/>
      <c r="D146" s="24"/>
      <c r="E146" s="24"/>
      <c r="F146" s="38"/>
      <c r="G146" s="27"/>
      <c r="H146" s="24"/>
      <c r="I146" s="27"/>
      <c r="J146" s="26"/>
      <c r="K146" s="24"/>
      <c r="L146" s="24"/>
      <c r="M146" s="24" t="str">
        <f>IF(B146="","",IF(COUNTIFS(Cobranza!$C$9:$C$1008,B146,Cobranza!$N$9:$N$1008,"Vencida")&gt;0,"Vencida",IF(COUNTIFS(Cobranza!$C$9:$C$1008,B146,Cobranza!$N$9:$N$1008,"Parcial")&gt;0,"Parcial",IF(COUNTIFS(Cobranza!$C$9:$C$1008,B146,Cobranza!$N$9:$N$1008,"Pendiente")&gt;0,"Pendiente",IF(COUNTIFS(Cobranza!$C$9:$C$1008,B146,Cobranza!$N$9:$N$1008,"Pagada")&gt;0,"Pagada","")))))</f>
        <v/>
      </c>
      <c r="N146" s="33" t="str">
        <f t="shared" ca="1" si="2"/>
        <v/>
      </c>
      <c r="O146" s="23"/>
      <c r="P146" s="7" t="str">
        <f ca="1">IF(AND(B146&lt;&gt;"",F146&lt;&gt;"Cerrada",F146&lt;&gt;"Perdida",N146&lt;&gt;"",N146&gt;14),COUNTIFS($F$8:$F146,"&lt;&gt;Cerrada",$F$8:$F146,"&lt;&gt;Perdida",$N$8:$N146,"&gt;14"),"")</f>
        <v/>
      </c>
      <c r="Q146" s="8"/>
      <c r="R146" s="9"/>
      <c r="S146" s="10"/>
    </row>
    <row r="147" spans="2:19" ht="21.75" customHeight="1" x14ac:dyDescent="0.25">
      <c r="B147" s="24"/>
      <c r="C147" s="24"/>
      <c r="D147" s="24"/>
      <c r="E147" s="24"/>
      <c r="F147" s="38"/>
      <c r="G147" s="27"/>
      <c r="H147" s="24"/>
      <c r="I147" s="27"/>
      <c r="J147" s="26"/>
      <c r="K147" s="24"/>
      <c r="L147" s="24"/>
      <c r="M147" s="24" t="str">
        <f>IF(B147="","",IF(COUNTIFS(Cobranza!$C$9:$C$1008,B147,Cobranza!$N$9:$N$1008,"Vencida")&gt;0,"Vencida",IF(COUNTIFS(Cobranza!$C$9:$C$1008,B147,Cobranza!$N$9:$N$1008,"Parcial")&gt;0,"Parcial",IF(COUNTIFS(Cobranza!$C$9:$C$1008,B147,Cobranza!$N$9:$N$1008,"Pendiente")&gt;0,"Pendiente",IF(COUNTIFS(Cobranza!$C$9:$C$1008,B147,Cobranza!$N$9:$N$1008,"Pagada")&gt;0,"Pagada","")))))</f>
        <v/>
      </c>
      <c r="N147" s="33" t="str">
        <f t="shared" ca="1" si="2"/>
        <v/>
      </c>
      <c r="O147" s="23"/>
      <c r="P147" s="7" t="str">
        <f ca="1">IF(AND(B147&lt;&gt;"",F147&lt;&gt;"Cerrada",F147&lt;&gt;"Perdida",N147&lt;&gt;"",N147&gt;14),COUNTIFS($F$8:$F147,"&lt;&gt;Cerrada",$F$8:$F147,"&lt;&gt;Perdida",$N$8:$N147,"&gt;14"),"")</f>
        <v/>
      </c>
      <c r="Q147" s="8"/>
      <c r="R147" s="9"/>
      <c r="S147" s="10"/>
    </row>
    <row r="148" spans="2:19" ht="21.75" customHeight="1" x14ac:dyDescent="0.25">
      <c r="B148" s="24"/>
      <c r="C148" s="24"/>
      <c r="D148" s="24"/>
      <c r="E148" s="24"/>
      <c r="F148" s="38"/>
      <c r="G148" s="27"/>
      <c r="H148" s="24"/>
      <c r="I148" s="27"/>
      <c r="J148" s="26"/>
      <c r="K148" s="24"/>
      <c r="L148" s="24"/>
      <c r="M148" s="24" t="str">
        <f>IF(B148="","",IF(COUNTIFS(Cobranza!$C$9:$C$1008,B148,Cobranza!$N$9:$N$1008,"Vencida")&gt;0,"Vencida",IF(COUNTIFS(Cobranza!$C$9:$C$1008,B148,Cobranza!$N$9:$N$1008,"Parcial")&gt;0,"Parcial",IF(COUNTIFS(Cobranza!$C$9:$C$1008,B148,Cobranza!$N$9:$N$1008,"Pendiente")&gt;0,"Pendiente",IF(COUNTIFS(Cobranza!$C$9:$C$1008,B148,Cobranza!$N$9:$N$1008,"Pagada")&gt;0,"Pagada","")))))</f>
        <v/>
      </c>
      <c r="N148" s="33" t="str">
        <f t="shared" ca="1" si="2"/>
        <v/>
      </c>
      <c r="O148" s="23"/>
      <c r="P148" s="7" t="str">
        <f ca="1">IF(AND(B148&lt;&gt;"",F148&lt;&gt;"Cerrada",F148&lt;&gt;"Perdida",N148&lt;&gt;"",N148&gt;14),COUNTIFS($F$8:$F148,"&lt;&gt;Cerrada",$F$8:$F148,"&lt;&gt;Perdida",$N$8:$N148,"&gt;14"),"")</f>
        <v/>
      </c>
      <c r="Q148" s="8"/>
      <c r="R148" s="9"/>
      <c r="S148" s="10"/>
    </row>
    <row r="149" spans="2:19" ht="21.75" customHeight="1" x14ac:dyDescent="0.25">
      <c r="B149" s="24"/>
      <c r="C149" s="24"/>
      <c r="D149" s="24"/>
      <c r="E149" s="24"/>
      <c r="F149" s="38"/>
      <c r="G149" s="27"/>
      <c r="H149" s="24"/>
      <c r="I149" s="27"/>
      <c r="J149" s="26"/>
      <c r="K149" s="24"/>
      <c r="L149" s="24"/>
      <c r="M149" s="24" t="str">
        <f>IF(B149="","",IF(COUNTIFS(Cobranza!$C$9:$C$1008,B149,Cobranza!$N$9:$N$1008,"Vencida")&gt;0,"Vencida",IF(COUNTIFS(Cobranza!$C$9:$C$1008,B149,Cobranza!$N$9:$N$1008,"Parcial")&gt;0,"Parcial",IF(COUNTIFS(Cobranza!$C$9:$C$1008,B149,Cobranza!$N$9:$N$1008,"Pendiente")&gt;0,"Pendiente",IF(COUNTIFS(Cobranza!$C$9:$C$1008,B149,Cobranza!$N$9:$N$1008,"Pagada")&gt;0,"Pagada","")))))</f>
        <v/>
      </c>
      <c r="N149" s="33" t="str">
        <f t="shared" ca="1" si="2"/>
        <v/>
      </c>
      <c r="O149" s="23"/>
      <c r="P149" s="7" t="str">
        <f ca="1">IF(AND(B149&lt;&gt;"",F149&lt;&gt;"Cerrada",F149&lt;&gt;"Perdida",N149&lt;&gt;"",N149&gt;14),COUNTIFS($F$8:$F149,"&lt;&gt;Cerrada",$F$8:$F149,"&lt;&gt;Perdida",$N$8:$N149,"&gt;14"),"")</f>
        <v/>
      </c>
      <c r="Q149" s="8"/>
      <c r="R149" s="9"/>
      <c r="S149" s="10"/>
    </row>
    <row r="150" spans="2:19" ht="21.75" customHeight="1" x14ac:dyDescent="0.25">
      <c r="B150" s="24"/>
      <c r="C150" s="24"/>
      <c r="D150" s="24"/>
      <c r="E150" s="24"/>
      <c r="F150" s="38"/>
      <c r="G150" s="27"/>
      <c r="H150" s="24"/>
      <c r="I150" s="27"/>
      <c r="J150" s="26"/>
      <c r="K150" s="24"/>
      <c r="L150" s="24"/>
      <c r="M150" s="24" t="str">
        <f>IF(B150="","",IF(COUNTIFS(Cobranza!$C$9:$C$1008,B150,Cobranza!$N$9:$N$1008,"Vencida")&gt;0,"Vencida",IF(COUNTIFS(Cobranza!$C$9:$C$1008,B150,Cobranza!$N$9:$N$1008,"Parcial")&gt;0,"Parcial",IF(COUNTIFS(Cobranza!$C$9:$C$1008,B150,Cobranza!$N$9:$N$1008,"Pendiente")&gt;0,"Pendiente",IF(COUNTIFS(Cobranza!$C$9:$C$1008,B150,Cobranza!$N$9:$N$1008,"Pagada")&gt;0,"Pagada","")))))</f>
        <v/>
      </c>
      <c r="N150" s="33" t="str">
        <f t="shared" ca="1" si="2"/>
        <v/>
      </c>
      <c r="O150" s="23"/>
      <c r="P150" s="7" t="str">
        <f ca="1">IF(AND(B150&lt;&gt;"",F150&lt;&gt;"Cerrada",F150&lt;&gt;"Perdida",N150&lt;&gt;"",N150&gt;14),COUNTIFS($F$8:$F150,"&lt;&gt;Cerrada",$F$8:$F150,"&lt;&gt;Perdida",$N$8:$N150,"&gt;14"),"")</f>
        <v/>
      </c>
      <c r="Q150" s="8"/>
      <c r="R150" s="9"/>
      <c r="S150" s="10"/>
    </row>
    <row r="151" spans="2:19" ht="21.75" customHeight="1" x14ac:dyDescent="0.25">
      <c r="B151" s="24"/>
      <c r="C151" s="24"/>
      <c r="D151" s="24"/>
      <c r="E151" s="24"/>
      <c r="F151" s="38"/>
      <c r="G151" s="27"/>
      <c r="H151" s="24"/>
      <c r="I151" s="27"/>
      <c r="J151" s="26"/>
      <c r="K151" s="24"/>
      <c r="L151" s="24"/>
      <c r="M151" s="24" t="str">
        <f>IF(B151="","",IF(COUNTIFS(Cobranza!$C$9:$C$1008,B151,Cobranza!$N$9:$N$1008,"Vencida")&gt;0,"Vencida",IF(COUNTIFS(Cobranza!$C$9:$C$1008,B151,Cobranza!$N$9:$N$1008,"Parcial")&gt;0,"Parcial",IF(COUNTIFS(Cobranza!$C$9:$C$1008,B151,Cobranza!$N$9:$N$1008,"Pendiente")&gt;0,"Pendiente",IF(COUNTIFS(Cobranza!$C$9:$C$1008,B151,Cobranza!$N$9:$N$1008,"Pagada")&gt;0,"Pagada","")))))</f>
        <v/>
      </c>
      <c r="N151" s="33" t="str">
        <f t="shared" ca="1" si="2"/>
        <v/>
      </c>
      <c r="O151" s="23"/>
      <c r="P151" s="7" t="str">
        <f ca="1">IF(AND(B151&lt;&gt;"",F151&lt;&gt;"Cerrada",F151&lt;&gt;"Perdida",N151&lt;&gt;"",N151&gt;14),COUNTIFS($F$8:$F151,"&lt;&gt;Cerrada",$F$8:$F151,"&lt;&gt;Perdida",$N$8:$N151,"&gt;14"),"")</f>
        <v/>
      </c>
      <c r="Q151" s="8"/>
      <c r="R151" s="9"/>
      <c r="S151" s="10"/>
    </row>
    <row r="152" spans="2:19" ht="21.75" customHeight="1" x14ac:dyDescent="0.25">
      <c r="B152" s="24"/>
      <c r="C152" s="24"/>
      <c r="D152" s="24"/>
      <c r="E152" s="24"/>
      <c r="F152" s="38"/>
      <c r="G152" s="27"/>
      <c r="H152" s="24"/>
      <c r="I152" s="27"/>
      <c r="J152" s="26"/>
      <c r="K152" s="24"/>
      <c r="L152" s="24"/>
      <c r="M152" s="24" t="str">
        <f>IF(B152="","",IF(COUNTIFS(Cobranza!$C$9:$C$1008,B152,Cobranza!$N$9:$N$1008,"Vencida")&gt;0,"Vencida",IF(COUNTIFS(Cobranza!$C$9:$C$1008,B152,Cobranza!$N$9:$N$1008,"Parcial")&gt;0,"Parcial",IF(COUNTIFS(Cobranza!$C$9:$C$1008,B152,Cobranza!$N$9:$N$1008,"Pendiente")&gt;0,"Pendiente",IF(COUNTIFS(Cobranza!$C$9:$C$1008,B152,Cobranza!$N$9:$N$1008,"Pagada")&gt;0,"Pagada","")))))</f>
        <v/>
      </c>
      <c r="N152" s="33" t="str">
        <f t="shared" ca="1" si="2"/>
        <v/>
      </c>
      <c r="O152" s="23"/>
      <c r="P152" s="7" t="str">
        <f ca="1">IF(AND(B152&lt;&gt;"",F152&lt;&gt;"Cerrada",F152&lt;&gt;"Perdida",N152&lt;&gt;"",N152&gt;14),COUNTIFS($F$8:$F152,"&lt;&gt;Cerrada",$F$8:$F152,"&lt;&gt;Perdida",$N$8:$N152,"&gt;14"),"")</f>
        <v/>
      </c>
      <c r="Q152" s="8"/>
      <c r="R152" s="9"/>
      <c r="S152" s="10"/>
    </row>
    <row r="153" spans="2:19" ht="21.75" customHeight="1" x14ac:dyDescent="0.25">
      <c r="B153" s="24"/>
      <c r="C153" s="24"/>
      <c r="D153" s="24"/>
      <c r="E153" s="24"/>
      <c r="F153" s="38"/>
      <c r="G153" s="27"/>
      <c r="H153" s="24"/>
      <c r="I153" s="27"/>
      <c r="J153" s="26"/>
      <c r="K153" s="24"/>
      <c r="L153" s="24"/>
      <c r="M153" s="24" t="str">
        <f>IF(B153="","",IF(COUNTIFS(Cobranza!$C$9:$C$1008,B153,Cobranza!$N$9:$N$1008,"Vencida")&gt;0,"Vencida",IF(COUNTIFS(Cobranza!$C$9:$C$1008,B153,Cobranza!$N$9:$N$1008,"Parcial")&gt;0,"Parcial",IF(COUNTIFS(Cobranza!$C$9:$C$1008,B153,Cobranza!$N$9:$N$1008,"Pendiente")&gt;0,"Pendiente",IF(COUNTIFS(Cobranza!$C$9:$C$1008,B153,Cobranza!$N$9:$N$1008,"Pagada")&gt;0,"Pagada","")))))</f>
        <v/>
      </c>
      <c r="N153" s="33" t="str">
        <f t="shared" ca="1" si="2"/>
        <v/>
      </c>
      <c r="O153" s="23"/>
      <c r="P153" s="7" t="str">
        <f ca="1">IF(AND(B153&lt;&gt;"",F153&lt;&gt;"Cerrada",F153&lt;&gt;"Perdida",N153&lt;&gt;"",N153&gt;14),COUNTIFS($F$8:$F153,"&lt;&gt;Cerrada",$F$8:$F153,"&lt;&gt;Perdida",$N$8:$N153,"&gt;14"),"")</f>
        <v/>
      </c>
      <c r="Q153" s="8"/>
      <c r="R153" s="9"/>
      <c r="S153" s="10"/>
    </row>
    <row r="154" spans="2:19" ht="21.75" customHeight="1" x14ac:dyDescent="0.25">
      <c r="B154" s="24"/>
      <c r="C154" s="24"/>
      <c r="D154" s="24"/>
      <c r="E154" s="24"/>
      <c r="F154" s="38"/>
      <c r="G154" s="27"/>
      <c r="H154" s="24"/>
      <c r="I154" s="27"/>
      <c r="J154" s="26"/>
      <c r="K154" s="24"/>
      <c r="L154" s="24"/>
      <c r="M154" s="24" t="str">
        <f>IF(B154="","",IF(COUNTIFS(Cobranza!$C$9:$C$1008,B154,Cobranza!$N$9:$N$1008,"Vencida")&gt;0,"Vencida",IF(COUNTIFS(Cobranza!$C$9:$C$1008,B154,Cobranza!$N$9:$N$1008,"Parcial")&gt;0,"Parcial",IF(COUNTIFS(Cobranza!$C$9:$C$1008,B154,Cobranza!$N$9:$N$1008,"Pendiente")&gt;0,"Pendiente",IF(COUNTIFS(Cobranza!$C$9:$C$1008,B154,Cobranza!$N$9:$N$1008,"Pagada")&gt;0,"Pagada","")))))</f>
        <v/>
      </c>
      <c r="N154" s="33" t="str">
        <f t="shared" ca="1" si="2"/>
        <v/>
      </c>
      <c r="O154" s="23"/>
      <c r="P154" s="7" t="str">
        <f ca="1">IF(AND(B154&lt;&gt;"",F154&lt;&gt;"Cerrada",F154&lt;&gt;"Perdida",N154&lt;&gt;"",N154&gt;14),COUNTIFS($F$8:$F154,"&lt;&gt;Cerrada",$F$8:$F154,"&lt;&gt;Perdida",$N$8:$N154,"&gt;14"),"")</f>
        <v/>
      </c>
      <c r="Q154" s="8"/>
      <c r="R154" s="9"/>
      <c r="S154" s="10"/>
    </row>
    <row r="155" spans="2:19" ht="21.75" customHeight="1" x14ac:dyDescent="0.25">
      <c r="B155" s="24"/>
      <c r="C155" s="24"/>
      <c r="D155" s="24"/>
      <c r="E155" s="24"/>
      <c r="F155" s="38"/>
      <c r="G155" s="27"/>
      <c r="H155" s="24"/>
      <c r="I155" s="27"/>
      <c r="J155" s="26"/>
      <c r="K155" s="24"/>
      <c r="L155" s="24"/>
      <c r="M155" s="24" t="str">
        <f>IF(B155="","",IF(COUNTIFS(Cobranza!$C$9:$C$1008,B155,Cobranza!$N$9:$N$1008,"Vencida")&gt;0,"Vencida",IF(COUNTIFS(Cobranza!$C$9:$C$1008,B155,Cobranza!$N$9:$N$1008,"Parcial")&gt;0,"Parcial",IF(COUNTIFS(Cobranza!$C$9:$C$1008,B155,Cobranza!$N$9:$N$1008,"Pendiente")&gt;0,"Pendiente",IF(COUNTIFS(Cobranza!$C$9:$C$1008,B155,Cobranza!$N$9:$N$1008,"Pagada")&gt;0,"Pagada","")))))</f>
        <v/>
      </c>
      <c r="N155" s="33" t="str">
        <f t="shared" ca="1" si="2"/>
        <v/>
      </c>
      <c r="O155" s="23"/>
      <c r="P155" s="7" t="str">
        <f ca="1">IF(AND(B155&lt;&gt;"",F155&lt;&gt;"Cerrada",F155&lt;&gt;"Perdida",N155&lt;&gt;"",N155&gt;14),COUNTIFS($F$8:$F155,"&lt;&gt;Cerrada",$F$8:$F155,"&lt;&gt;Perdida",$N$8:$N155,"&gt;14"),"")</f>
        <v/>
      </c>
      <c r="Q155" s="8"/>
      <c r="R155" s="9"/>
      <c r="S155" s="10"/>
    </row>
    <row r="156" spans="2:19" ht="21.75" customHeight="1" x14ac:dyDescent="0.25">
      <c r="B156" s="24"/>
      <c r="C156" s="24"/>
      <c r="D156" s="24"/>
      <c r="E156" s="24"/>
      <c r="F156" s="38"/>
      <c r="G156" s="27"/>
      <c r="H156" s="24"/>
      <c r="I156" s="27"/>
      <c r="J156" s="26"/>
      <c r="K156" s="24"/>
      <c r="L156" s="24"/>
      <c r="M156" s="24" t="str">
        <f>IF(B156="","",IF(COUNTIFS(Cobranza!$C$9:$C$1008,B156,Cobranza!$N$9:$N$1008,"Vencida")&gt;0,"Vencida",IF(COUNTIFS(Cobranza!$C$9:$C$1008,B156,Cobranza!$N$9:$N$1008,"Parcial")&gt;0,"Parcial",IF(COUNTIFS(Cobranza!$C$9:$C$1008,B156,Cobranza!$N$9:$N$1008,"Pendiente")&gt;0,"Pendiente",IF(COUNTIFS(Cobranza!$C$9:$C$1008,B156,Cobranza!$N$9:$N$1008,"Pagada")&gt;0,"Pagada","")))))</f>
        <v/>
      </c>
      <c r="N156" s="33" t="str">
        <f t="shared" ca="1" si="2"/>
        <v/>
      </c>
      <c r="O156" s="23"/>
      <c r="P156" s="7" t="str">
        <f ca="1">IF(AND(B156&lt;&gt;"",F156&lt;&gt;"Cerrada",F156&lt;&gt;"Perdida",N156&lt;&gt;"",N156&gt;14),COUNTIFS($F$8:$F156,"&lt;&gt;Cerrada",$F$8:$F156,"&lt;&gt;Perdida",$N$8:$N156,"&gt;14"),"")</f>
        <v/>
      </c>
      <c r="Q156" s="8"/>
      <c r="R156" s="9"/>
      <c r="S156" s="10"/>
    </row>
    <row r="157" spans="2:19" ht="21.75" customHeight="1" x14ac:dyDescent="0.25">
      <c r="B157" s="24"/>
      <c r="C157" s="24"/>
      <c r="D157" s="24"/>
      <c r="E157" s="24"/>
      <c r="F157" s="38"/>
      <c r="G157" s="27"/>
      <c r="H157" s="24"/>
      <c r="I157" s="27"/>
      <c r="J157" s="26"/>
      <c r="K157" s="24"/>
      <c r="L157" s="24"/>
      <c r="M157" s="24" t="str">
        <f>IF(B157="","",IF(COUNTIFS(Cobranza!$C$9:$C$1008,B157,Cobranza!$N$9:$N$1008,"Vencida")&gt;0,"Vencida",IF(COUNTIFS(Cobranza!$C$9:$C$1008,B157,Cobranza!$N$9:$N$1008,"Parcial")&gt;0,"Parcial",IF(COUNTIFS(Cobranza!$C$9:$C$1008,B157,Cobranza!$N$9:$N$1008,"Pendiente")&gt;0,"Pendiente",IF(COUNTIFS(Cobranza!$C$9:$C$1008,B157,Cobranza!$N$9:$N$1008,"Pagada")&gt;0,"Pagada","")))))</f>
        <v/>
      </c>
      <c r="N157" s="33" t="str">
        <f t="shared" ca="1" si="2"/>
        <v/>
      </c>
      <c r="O157" s="23"/>
      <c r="P157" s="7" t="str">
        <f ca="1">IF(AND(B157&lt;&gt;"",F157&lt;&gt;"Cerrada",F157&lt;&gt;"Perdida",N157&lt;&gt;"",N157&gt;14),COUNTIFS($F$8:$F157,"&lt;&gt;Cerrada",$F$8:$F157,"&lt;&gt;Perdida",$N$8:$N157,"&gt;14"),"")</f>
        <v/>
      </c>
      <c r="Q157" s="8"/>
      <c r="R157" s="9"/>
      <c r="S157" s="10"/>
    </row>
    <row r="158" spans="2:19" ht="21.75" customHeight="1" x14ac:dyDescent="0.25">
      <c r="B158" s="24"/>
      <c r="C158" s="24"/>
      <c r="D158" s="24"/>
      <c r="E158" s="24"/>
      <c r="F158" s="38"/>
      <c r="G158" s="27"/>
      <c r="H158" s="24"/>
      <c r="I158" s="27"/>
      <c r="J158" s="26"/>
      <c r="K158" s="24"/>
      <c r="L158" s="24"/>
      <c r="M158" s="24" t="str">
        <f>IF(B158="","",IF(COUNTIFS(Cobranza!$C$9:$C$1008,B158,Cobranza!$N$9:$N$1008,"Vencida")&gt;0,"Vencida",IF(COUNTIFS(Cobranza!$C$9:$C$1008,B158,Cobranza!$N$9:$N$1008,"Parcial")&gt;0,"Parcial",IF(COUNTIFS(Cobranza!$C$9:$C$1008,B158,Cobranza!$N$9:$N$1008,"Pendiente")&gt;0,"Pendiente",IF(COUNTIFS(Cobranza!$C$9:$C$1008,B158,Cobranza!$N$9:$N$1008,"Pagada")&gt;0,"Pagada","")))))</f>
        <v/>
      </c>
      <c r="N158" s="33" t="str">
        <f t="shared" ca="1" si="2"/>
        <v/>
      </c>
      <c r="O158" s="23"/>
      <c r="P158" s="7" t="str">
        <f ca="1">IF(AND(B158&lt;&gt;"",F158&lt;&gt;"Cerrada",F158&lt;&gt;"Perdida",N158&lt;&gt;"",N158&gt;14),COUNTIFS($F$8:$F158,"&lt;&gt;Cerrada",$F$8:$F158,"&lt;&gt;Perdida",$N$8:$N158,"&gt;14"),"")</f>
        <v/>
      </c>
      <c r="Q158" s="8"/>
      <c r="R158" s="9"/>
      <c r="S158" s="10"/>
    </row>
    <row r="159" spans="2:19" ht="21.75" customHeight="1" x14ac:dyDescent="0.25">
      <c r="B159" s="24"/>
      <c r="C159" s="24"/>
      <c r="D159" s="24"/>
      <c r="E159" s="24"/>
      <c r="F159" s="38"/>
      <c r="G159" s="27"/>
      <c r="H159" s="24"/>
      <c r="I159" s="27"/>
      <c r="J159" s="26"/>
      <c r="K159" s="24"/>
      <c r="L159" s="24"/>
      <c r="M159" s="24" t="str">
        <f>IF(B159="","",IF(COUNTIFS(Cobranza!$C$9:$C$1008,B159,Cobranza!$N$9:$N$1008,"Vencida")&gt;0,"Vencida",IF(COUNTIFS(Cobranza!$C$9:$C$1008,B159,Cobranza!$N$9:$N$1008,"Parcial")&gt;0,"Parcial",IF(COUNTIFS(Cobranza!$C$9:$C$1008,B159,Cobranza!$N$9:$N$1008,"Pendiente")&gt;0,"Pendiente",IF(COUNTIFS(Cobranza!$C$9:$C$1008,B159,Cobranza!$N$9:$N$1008,"Pagada")&gt;0,"Pagada","")))))</f>
        <v/>
      </c>
      <c r="N159" s="33" t="str">
        <f t="shared" ca="1" si="2"/>
        <v/>
      </c>
      <c r="O159" s="23"/>
      <c r="P159" s="7" t="str">
        <f ca="1">IF(AND(B159&lt;&gt;"",F159&lt;&gt;"Cerrada",F159&lt;&gt;"Perdida",N159&lt;&gt;"",N159&gt;14),COUNTIFS($F$8:$F159,"&lt;&gt;Cerrada",$F$8:$F159,"&lt;&gt;Perdida",$N$8:$N159,"&gt;14"),"")</f>
        <v/>
      </c>
      <c r="Q159" s="8"/>
      <c r="R159" s="9"/>
      <c r="S159" s="10"/>
    </row>
    <row r="160" spans="2:19" ht="21.75" customHeight="1" x14ac:dyDescent="0.25">
      <c r="B160" s="24"/>
      <c r="C160" s="24"/>
      <c r="D160" s="24"/>
      <c r="E160" s="24"/>
      <c r="F160" s="38"/>
      <c r="G160" s="27"/>
      <c r="H160" s="24"/>
      <c r="I160" s="27"/>
      <c r="J160" s="26"/>
      <c r="K160" s="24"/>
      <c r="L160" s="24"/>
      <c r="M160" s="24" t="str">
        <f>IF(B160="","",IF(COUNTIFS(Cobranza!$C$9:$C$1008,B160,Cobranza!$N$9:$N$1008,"Vencida")&gt;0,"Vencida",IF(COUNTIFS(Cobranza!$C$9:$C$1008,B160,Cobranza!$N$9:$N$1008,"Parcial")&gt;0,"Parcial",IF(COUNTIFS(Cobranza!$C$9:$C$1008,B160,Cobranza!$N$9:$N$1008,"Pendiente")&gt;0,"Pendiente",IF(COUNTIFS(Cobranza!$C$9:$C$1008,B160,Cobranza!$N$9:$N$1008,"Pagada")&gt;0,"Pagada","")))))</f>
        <v/>
      </c>
      <c r="N160" s="33" t="str">
        <f t="shared" ca="1" si="2"/>
        <v/>
      </c>
      <c r="O160" s="23"/>
      <c r="P160" s="7" t="str">
        <f ca="1">IF(AND(B160&lt;&gt;"",F160&lt;&gt;"Cerrada",F160&lt;&gt;"Perdida",N160&lt;&gt;"",N160&gt;14),COUNTIFS($F$8:$F160,"&lt;&gt;Cerrada",$F$8:$F160,"&lt;&gt;Perdida",$N$8:$N160,"&gt;14"),"")</f>
        <v/>
      </c>
      <c r="Q160" s="8"/>
      <c r="R160" s="9"/>
      <c r="S160" s="10"/>
    </row>
    <row r="161" spans="2:19" ht="21.75" customHeight="1" x14ac:dyDescent="0.25">
      <c r="B161" s="24"/>
      <c r="C161" s="24"/>
      <c r="D161" s="24"/>
      <c r="E161" s="24"/>
      <c r="F161" s="38"/>
      <c r="G161" s="27"/>
      <c r="H161" s="24"/>
      <c r="I161" s="27"/>
      <c r="J161" s="26"/>
      <c r="K161" s="24"/>
      <c r="L161" s="24"/>
      <c r="M161" s="24" t="str">
        <f>IF(B161="","",IF(COUNTIFS(Cobranza!$C$9:$C$1008,B161,Cobranza!$N$9:$N$1008,"Vencida")&gt;0,"Vencida",IF(COUNTIFS(Cobranza!$C$9:$C$1008,B161,Cobranza!$N$9:$N$1008,"Parcial")&gt;0,"Parcial",IF(COUNTIFS(Cobranza!$C$9:$C$1008,B161,Cobranza!$N$9:$N$1008,"Pendiente")&gt;0,"Pendiente",IF(COUNTIFS(Cobranza!$C$9:$C$1008,B161,Cobranza!$N$9:$N$1008,"Pagada")&gt;0,"Pagada","")))))</f>
        <v/>
      </c>
      <c r="N161" s="33" t="str">
        <f t="shared" ca="1" si="2"/>
        <v/>
      </c>
      <c r="O161" s="23"/>
      <c r="P161" s="7" t="str">
        <f ca="1">IF(AND(B161&lt;&gt;"",F161&lt;&gt;"Cerrada",F161&lt;&gt;"Perdida",N161&lt;&gt;"",N161&gt;14),COUNTIFS($F$8:$F161,"&lt;&gt;Cerrada",$F$8:$F161,"&lt;&gt;Perdida",$N$8:$N161,"&gt;14"),"")</f>
        <v/>
      </c>
      <c r="Q161" s="8"/>
      <c r="R161" s="9"/>
      <c r="S161" s="10"/>
    </row>
    <row r="162" spans="2:19" ht="21.75" customHeight="1" x14ac:dyDescent="0.25">
      <c r="B162" s="24"/>
      <c r="C162" s="24"/>
      <c r="D162" s="24"/>
      <c r="E162" s="24"/>
      <c r="F162" s="38"/>
      <c r="G162" s="27"/>
      <c r="H162" s="24"/>
      <c r="I162" s="27"/>
      <c r="J162" s="26"/>
      <c r="K162" s="24"/>
      <c r="L162" s="24"/>
      <c r="M162" s="24" t="str">
        <f>IF(B162="","",IF(COUNTIFS(Cobranza!$C$9:$C$1008,B162,Cobranza!$N$9:$N$1008,"Vencida")&gt;0,"Vencida",IF(COUNTIFS(Cobranza!$C$9:$C$1008,B162,Cobranza!$N$9:$N$1008,"Parcial")&gt;0,"Parcial",IF(COUNTIFS(Cobranza!$C$9:$C$1008,B162,Cobranza!$N$9:$N$1008,"Pendiente")&gt;0,"Pendiente",IF(COUNTIFS(Cobranza!$C$9:$C$1008,B162,Cobranza!$N$9:$N$1008,"Pagada")&gt;0,"Pagada","")))))</f>
        <v/>
      </c>
      <c r="N162" s="33" t="str">
        <f t="shared" ca="1" si="2"/>
        <v/>
      </c>
      <c r="O162" s="23"/>
      <c r="P162" s="7" t="str">
        <f ca="1">IF(AND(B162&lt;&gt;"",F162&lt;&gt;"Cerrada",F162&lt;&gt;"Perdida",N162&lt;&gt;"",N162&gt;14),COUNTIFS($F$8:$F162,"&lt;&gt;Cerrada",$F$8:$F162,"&lt;&gt;Perdida",$N$8:$N162,"&gt;14"),"")</f>
        <v/>
      </c>
      <c r="Q162" s="8"/>
      <c r="R162" s="9"/>
      <c r="S162" s="10"/>
    </row>
    <row r="163" spans="2:19" ht="21.75" customHeight="1" x14ac:dyDescent="0.25">
      <c r="B163" s="24"/>
      <c r="C163" s="24"/>
      <c r="D163" s="24"/>
      <c r="E163" s="24"/>
      <c r="F163" s="38"/>
      <c r="G163" s="27"/>
      <c r="H163" s="24"/>
      <c r="I163" s="27"/>
      <c r="J163" s="26"/>
      <c r="K163" s="24"/>
      <c r="L163" s="24"/>
      <c r="M163" s="24" t="str">
        <f>IF(B163="","",IF(COUNTIFS(Cobranza!$C$9:$C$1008,B163,Cobranza!$N$9:$N$1008,"Vencida")&gt;0,"Vencida",IF(COUNTIFS(Cobranza!$C$9:$C$1008,B163,Cobranza!$N$9:$N$1008,"Parcial")&gt;0,"Parcial",IF(COUNTIFS(Cobranza!$C$9:$C$1008,B163,Cobranza!$N$9:$N$1008,"Pendiente")&gt;0,"Pendiente",IF(COUNTIFS(Cobranza!$C$9:$C$1008,B163,Cobranza!$N$9:$N$1008,"Pagada")&gt;0,"Pagada","")))))</f>
        <v/>
      </c>
      <c r="N163" s="33" t="str">
        <f t="shared" ca="1" si="2"/>
        <v/>
      </c>
      <c r="O163" s="23"/>
      <c r="P163" s="7" t="str">
        <f ca="1">IF(AND(B163&lt;&gt;"",F163&lt;&gt;"Cerrada",F163&lt;&gt;"Perdida",N163&lt;&gt;"",N163&gt;14),COUNTIFS($F$8:$F163,"&lt;&gt;Cerrada",$F$8:$F163,"&lt;&gt;Perdida",$N$8:$N163,"&gt;14"),"")</f>
        <v/>
      </c>
      <c r="Q163" s="8"/>
      <c r="R163" s="9"/>
      <c r="S163" s="10"/>
    </row>
    <row r="164" spans="2:19" ht="21.75" customHeight="1" x14ac:dyDescent="0.25">
      <c r="B164" s="24"/>
      <c r="C164" s="24"/>
      <c r="D164" s="24"/>
      <c r="E164" s="24"/>
      <c r="F164" s="38"/>
      <c r="G164" s="27"/>
      <c r="H164" s="24"/>
      <c r="I164" s="27"/>
      <c r="J164" s="26"/>
      <c r="K164" s="24"/>
      <c r="L164" s="24"/>
      <c r="M164" s="24" t="str">
        <f>IF(B164="","",IF(COUNTIFS(Cobranza!$C$9:$C$1008,B164,Cobranza!$N$9:$N$1008,"Vencida")&gt;0,"Vencida",IF(COUNTIFS(Cobranza!$C$9:$C$1008,B164,Cobranza!$N$9:$N$1008,"Parcial")&gt;0,"Parcial",IF(COUNTIFS(Cobranza!$C$9:$C$1008,B164,Cobranza!$N$9:$N$1008,"Pendiente")&gt;0,"Pendiente",IF(COUNTIFS(Cobranza!$C$9:$C$1008,B164,Cobranza!$N$9:$N$1008,"Pagada")&gt;0,"Pagada","")))))</f>
        <v/>
      </c>
      <c r="N164" s="33" t="str">
        <f t="shared" ca="1" si="2"/>
        <v/>
      </c>
      <c r="O164" s="23"/>
      <c r="P164" s="7" t="str">
        <f ca="1">IF(AND(B164&lt;&gt;"",F164&lt;&gt;"Cerrada",F164&lt;&gt;"Perdida",N164&lt;&gt;"",N164&gt;14),COUNTIFS($F$8:$F164,"&lt;&gt;Cerrada",$F$8:$F164,"&lt;&gt;Perdida",$N$8:$N164,"&gt;14"),"")</f>
        <v/>
      </c>
      <c r="Q164" s="8"/>
      <c r="R164" s="9"/>
      <c r="S164" s="10"/>
    </row>
    <row r="165" spans="2:19" ht="21.75" customHeight="1" x14ac:dyDescent="0.25">
      <c r="B165" s="24"/>
      <c r="C165" s="24"/>
      <c r="D165" s="24"/>
      <c r="E165" s="24"/>
      <c r="F165" s="38"/>
      <c r="G165" s="27"/>
      <c r="H165" s="24"/>
      <c r="I165" s="27"/>
      <c r="J165" s="26"/>
      <c r="K165" s="24"/>
      <c r="L165" s="24"/>
      <c r="M165" s="24" t="str">
        <f>IF(B165="","",IF(COUNTIFS(Cobranza!$C$9:$C$1008,B165,Cobranza!$N$9:$N$1008,"Vencida")&gt;0,"Vencida",IF(COUNTIFS(Cobranza!$C$9:$C$1008,B165,Cobranza!$N$9:$N$1008,"Parcial")&gt;0,"Parcial",IF(COUNTIFS(Cobranza!$C$9:$C$1008,B165,Cobranza!$N$9:$N$1008,"Pendiente")&gt;0,"Pendiente",IF(COUNTIFS(Cobranza!$C$9:$C$1008,B165,Cobranza!$N$9:$N$1008,"Pagada")&gt;0,"Pagada","")))))</f>
        <v/>
      </c>
      <c r="N165" s="33" t="str">
        <f t="shared" ca="1" si="2"/>
        <v/>
      </c>
      <c r="O165" s="23"/>
      <c r="P165" s="7" t="str">
        <f ca="1">IF(AND(B165&lt;&gt;"",F165&lt;&gt;"Cerrada",F165&lt;&gt;"Perdida",N165&lt;&gt;"",N165&gt;14),COUNTIFS($F$8:$F165,"&lt;&gt;Cerrada",$F$8:$F165,"&lt;&gt;Perdida",$N$8:$N165,"&gt;14"),"")</f>
        <v/>
      </c>
      <c r="Q165" s="8"/>
      <c r="R165" s="9"/>
      <c r="S165" s="10"/>
    </row>
    <row r="166" spans="2:19" ht="21.75" customHeight="1" x14ac:dyDescent="0.25">
      <c r="B166" s="24"/>
      <c r="C166" s="24"/>
      <c r="D166" s="24"/>
      <c r="E166" s="24"/>
      <c r="F166" s="38"/>
      <c r="G166" s="27"/>
      <c r="H166" s="24"/>
      <c r="I166" s="27"/>
      <c r="J166" s="26"/>
      <c r="K166" s="24"/>
      <c r="L166" s="24"/>
      <c r="M166" s="24" t="str">
        <f>IF(B166="","",IF(COUNTIFS(Cobranza!$C$9:$C$1008,B166,Cobranza!$N$9:$N$1008,"Vencida")&gt;0,"Vencida",IF(COUNTIFS(Cobranza!$C$9:$C$1008,B166,Cobranza!$N$9:$N$1008,"Parcial")&gt;0,"Parcial",IF(COUNTIFS(Cobranza!$C$9:$C$1008,B166,Cobranza!$N$9:$N$1008,"Pendiente")&gt;0,"Pendiente",IF(COUNTIFS(Cobranza!$C$9:$C$1008,B166,Cobranza!$N$9:$N$1008,"Pagada")&gt;0,"Pagada","")))))</f>
        <v/>
      </c>
      <c r="N166" s="33" t="str">
        <f t="shared" ca="1" si="2"/>
        <v/>
      </c>
      <c r="O166" s="23"/>
      <c r="P166" s="7" t="str">
        <f ca="1">IF(AND(B166&lt;&gt;"",F166&lt;&gt;"Cerrada",F166&lt;&gt;"Perdida",N166&lt;&gt;"",N166&gt;14),COUNTIFS($F$8:$F166,"&lt;&gt;Cerrada",$F$8:$F166,"&lt;&gt;Perdida",$N$8:$N166,"&gt;14"),"")</f>
        <v/>
      </c>
      <c r="Q166" s="8"/>
      <c r="R166" s="9"/>
      <c r="S166" s="10"/>
    </row>
    <row r="167" spans="2:19" ht="21.75" customHeight="1" x14ac:dyDescent="0.25">
      <c r="B167" s="24"/>
      <c r="C167" s="24"/>
      <c r="D167" s="24"/>
      <c r="E167" s="24"/>
      <c r="F167" s="38"/>
      <c r="G167" s="27"/>
      <c r="H167" s="24"/>
      <c r="I167" s="27"/>
      <c r="J167" s="26"/>
      <c r="K167" s="24"/>
      <c r="L167" s="24"/>
      <c r="M167" s="24" t="str">
        <f>IF(B167="","",IF(COUNTIFS(Cobranza!$C$9:$C$1008,B167,Cobranza!$N$9:$N$1008,"Vencida")&gt;0,"Vencida",IF(COUNTIFS(Cobranza!$C$9:$C$1008,B167,Cobranza!$N$9:$N$1008,"Parcial")&gt;0,"Parcial",IF(COUNTIFS(Cobranza!$C$9:$C$1008,B167,Cobranza!$N$9:$N$1008,"Pendiente")&gt;0,"Pendiente",IF(COUNTIFS(Cobranza!$C$9:$C$1008,B167,Cobranza!$N$9:$N$1008,"Pagada")&gt;0,"Pagada","")))))</f>
        <v/>
      </c>
      <c r="N167" s="33" t="str">
        <f t="shared" ca="1" si="2"/>
        <v/>
      </c>
      <c r="O167" s="23"/>
      <c r="P167" s="7" t="str">
        <f ca="1">IF(AND(B167&lt;&gt;"",F167&lt;&gt;"Cerrada",F167&lt;&gt;"Perdida",N167&lt;&gt;"",N167&gt;14),COUNTIFS($F$8:$F167,"&lt;&gt;Cerrada",$F$8:$F167,"&lt;&gt;Perdida",$N$8:$N167,"&gt;14"),"")</f>
        <v/>
      </c>
      <c r="Q167" s="8"/>
      <c r="R167" s="9"/>
      <c r="S167" s="10"/>
    </row>
    <row r="168" spans="2:19" ht="21.75" customHeight="1" x14ac:dyDescent="0.25">
      <c r="B168" s="24"/>
      <c r="C168" s="24"/>
      <c r="D168" s="24"/>
      <c r="E168" s="24"/>
      <c r="F168" s="38"/>
      <c r="G168" s="27"/>
      <c r="H168" s="24"/>
      <c r="I168" s="27"/>
      <c r="J168" s="26"/>
      <c r="K168" s="24"/>
      <c r="L168" s="24"/>
      <c r="M168" s="24" t="str">
        <f>IF(B168="","",IF(COUNTIFS(Cobranza!$C$9:$C$1008,B168,Cobranza!$N$9:$N$1008,"Vencida")&gt;0,"Vencida",IF(COUNTIFS(Cobranza!$C$9:$C$1008,B168,Cobranza!$N$9:$N$1008,"Parcial")&gt;0,"Parcial",IF(COUNTIFS(Cobranza!$C$9:$C$1008,B168,Cobranza!$N$9:$N$1008,"Pendiente")&gt;0,"Pendiente",IF(COUNTIFS(Cobranza!$C$9:$C$1008,B168,Cobranza!$N$9:$N$1008,"Pagada")&gt;0,"Pagada","")))))</f>
        <v/>
      </c>
      <c r="N168" s="33" t="str">
        <f t="shared" ca="1" si="2"/>
        <v/>
      </c>
      <c r="O168" s="23"/>
      <c r="P168" s="7" t="str">
        <f ca="1">IF(AND(B168&lt;&gt;"",F168&lt;&gt;"Cerrada",F168&lt;&gt;"Perdida",N168&lt;&gt;"",N168&gt;14),COUNTIFS($F$8:$F168,"&lt;&gt;Cerrada",$F$8:$F168,"&lt;&gt;Perdida",$N$8:$N168,"&gt;14"),"")</f>
        <v/>
      </c>
      <c r="Q168" s="8"/>
      <c r="R168" s="9"/>
      <c r="S168" s="10"/>
    </row>
    <row r="169" spans="2:19" ht="21.75" customHeight="1" x14ac:dyDescent="0.25">
      <c r="B169" s="24"/>
      <c r="C169" s="24"/>
      <c r="D169" s="24"/>
      <c r="E169" s="24"/>
      <c r="F169" s="38"/>
      <c r="G169" s="27"/>
      <c r="H169" s="24"/>
      <c r="I169" s="27"/>
      <c r="J169" s="26"/>
      <c r="K169" s="24"/>
      <c r="L169" s="24"/>
      <c r="M169" s="24" t="str">
        <f>IF(B169="","",IF(COUNTIFS(Cobranza!$C$9:$C$1008,B169,Cobranza!$N$9:$N$1008,"Vencida")&gt;0,"Vencida",IF(COUNTIFS(Cobranza!$C$9:$C$1008,B169,Cobranza!$N$9:$N$1008,"Parcial")&gt;0,"Parcial",IF(COUNTIFS(Cobranza!$C$9:$C$1008,B169,Cobranza!$N$9:$N$1008,"Pendiente")&gt;0,"Pendiente",IF(COUNTIFS(Cobranza!$C$9:$C$1008,B169,Cobranza!$N$9:$N$1008,"Pagada")&gt;0,"Pagada","")))))</f>
        <v/>
      </c>
      <c r="N169" s="33" t="str">
        <f t="shared" ca="1" si="2"/>
        <v/>
      </c>
      <c r="O169" s="23"/>
      <c r="P169" s="7" t="str">
        <f ca="1">IF(AND(B169&lt;&gt;"",F169&lt;&gt;"Cerrada",F169&lt;&gt;"Perdida",N169&lt;&gt;"",N169&gt;14),COUNTIFS($F$8:$F169,"&lt;&gt;Cerrada",$F$8:$F169,"&lt;&gt;Perdida",$N$8:$N169,"&gt;14"),"")</f>
        <v/>
      </c>
      <c r="Q169" s="8"/>
      <c r="R169" s="9"/>
      <c r="S169" s="10"/>
    </row>
    <row r="170" spans="2:19" ht="21.75" customHeight="1" x14ac:dyDescent="0.25">
      <c r="B170" s="24"/>
      <c r="C170" s="24"/>
      <c r="D170" s="24"/>
      <c r="E170" s="24"/>
      <c r="F170" s="38"/>
      <c r="G170" s="27"/>
      <c r="H170" s="24"/>
      <c r="I170" s="27"/>
      <c r="J170" s="26"/>
      <c r="K170" s="24"/>
      <c r="L170" s="24"/>
      <c r="M170" s="24" t="str">
        <f>IF(B170="","",IF(COUNTIFS(Cobranza!$C$9:$C$1008,B170,Cobranza!$N$9:$N$1008,"Vencida")&gt;0,"Vencida",IF(COUNTIFS(Cobranza!$C$9:$C$1008,B170,Cobranza!$N$9:$N$1008,"Parcial")&gt;0,"Parcial",IF(COUNTIFS(Cobranza!$C$9:$C$1008,B170,Cobranza!$N$9:$N$1008,"Pendiente")&gt;0,"Pendiente",IF(COUNTIFS(Cobranza!$C$9:$C$1008,B170,Cobranza!$N$9:$N$1008,"Pagada")&gt;0,"Pagada","")))))</f>
        <v/>
      </c>
      <c r="N170" s="33" t="str">
        <f t="shared" ca="1" si="2"/>
        <v/>
      </c>
      <c r="O170" s="23"/>
      <c r="P170" s="7" t="str">
        <f ca="1">IF(AND(B170&lt;&gt;"",F170&lt;&gt;"Cerrada",F170&lt;&gt;"Perdida",N170&lt;&gt;"",N170&gt;14),COUNTIFS($F$8:$F170,"&lt;&gt;Cerrada",$F$8:$F170,"&lt;&gt;Perdida",$N$8:$N170,"&gt;14"),"")</f>
        <v/>
      </c>
      <c r="Q170" s="8"/>
      <c r="R170" s="9"/>
      <c r="S170" s="10"/>
    </row>
    <row r="171" spans="2:19" ht="21.75" customHeight="1" x14ac:dyDescent="0.25">
      <c r="B171" s="24"/>
      <c r="C171" s="24"/>
      <c r="D171" s="24"/>
      <c r="E171" s="24"/>
      <c r="F171" s="38"/>
      <c r="G171" s="27"/>
      <c r="H171" s="24"/>
      <c r="I171" s="27"/>
      <c r="J171" s="26"/>
      <c r="K171" s="24"/>
      <c r="L171" s="24"/>
      <c r="M171" s="24" t="str">
        <f>IF(B171="","",IF(COUNTIFS(Cobranza!$C$9:$C$1008,B171,Cobranza!$N$9:$N$1008,"Vencida")&gt;0,"Vencida",IF(COUNTIFS(Cobranza!$C$9:$C$1008,B171,Cobranza!$N$9:$N$1008,"Parcial")&gt;0,"Parcial",IF(COUNTIFS(Cobranza!$C$9:$C$1008,B171,Cobranza!$N$9:$N$1008,"Pendiente")&gt;0,"Pendiente",IF(COUNTIFS(Cobranza!$C$9:$C$1008,B171,Cobranza!$N$9:$N$1008,"Pagada")&gt;0,"Pagada","")))))</f>
        <v/>
      </c>
      <c r="N171" s="33" t="str">
        <f t="shared" ca="1" si="2"/>
        <v/>
      </c>
      <c r="O171" s="23"/>
      <c r="P171" s="7" t="str">
        <f ca="1">IF(AND(B171&lt;&gt;"",F171&lt;&gt;"Cerrada",F171&lt;&gt;"Perdida",N171&lt;&gt;"",N171&gt;14),COUNTIFS($F$8:$F171,"&lt;&gt;Cerrada",$F$8:$F171,"&lt;&gt;Perdida",$N$8:$N171,"&gt;14"),"")</f>
        <v/>
      </c>
      <c r="Q171" s="8"/>
      <c r="R171" s="9"/>
      <c r="S171" s="10"/>
    </row>
    <row r="172" spans="2:19" ht="21.75" customHeight="1" x14ac:dyDescent="0.25">
      <c r="B172" s="24"/>
      <c r="C172" s="24"/>
      <c r="D172" s="24"/>
      <c r="E172" s="24"/>
      <c r="F172" s="38"/>
      <c r="G172" s="27"/>
      <c r="H172" s="24"/>
      <c r="I172" s="27"/>
      <c r="J172" s="26"/>
      <c r="K172" s="24"/>
      <c r="L172" s="24"/>
      <c r="M172" s="24" t="str">
        <f>IF(B172="","",IF(COUNTIFS(Cobranza!$C$9:$C$1008,B172,Cobranza!$N$9:$N$1008,"Vencida")&gt;0,"Vencida",IF(COUNTIFS(Cobranza!$C$9:$C$1008,B172,Cobranza!$N$9:$N$1008,"Parcial")&gt;0,"Parcial",IF(COUNTIFS(Cobranza!$C$9:$C$1008,B172,Cobranza!$N$9:$N$1008,"Pendiente")&gt;0,"Pendiente",IF(COUNTIFS(Cobranza!$C$9:$C$1008,B172,Cobranza!$N$9:$N$1008,"Pagada")&gt;0,"Pagada","")))))</f>
        <v/>
      </c>
      <c r="N172" s="33" t="str">
        <f t="shared" ca="1" si="2"/>
        <v/>
      </c>
      <c r="O172" s="23"/>
      <c r="P172" s="7" t="str">
        <f ca="1">IF(AND(B172&lt;&gt;"",F172&lt;&gt;"Cerrada",F172&lt;&gt;"Perdida",N172&lt;&gt;"",N172&gt;14),COUNTIFS($F$8:$F172,"&lt;&gt;Cerrada",$F$8:$F172,"&lt;&gt;Perdida",$N$8:$N172,"&gt;14"),"")</f>
        <v/>
      </c>
      <c r="Q172" s="8"/>
      <c r="R172" s="9"/>
      <c r="S172" s="10"/>
    </row>
    <row r="173" spans="2:19" ht="21.75" customHeight="1" x14ac:dyDescent="0.25">
      <c r="B173" s="24"/>
      <c r="C173" s="24"/>
      <c r="D173" s="24"/>
      <c r="E173" s="24"/>
      <c r="F173" s="38"/>
      <c r="G173" s="27"/>
      <c r="H173" s="24"/>
      <c r="I173" s="27"/>
      <c r="J173" s="26"/>
      <c r="K173" s="24"/>
      <c r="L173" s="24"/>
      <c r="M173" s="24" t="str">
        <f>IF(B173="","",IF(COUNTIFS(Cobranza!$C$9:$C$1008,B173,Cobranza!$N$9:$N$1008,"Vencida")&gt;0,"Vencida",IF(COUNTIFS(Cobranza!$C$9:$C$1008,B173,Cobranza!$N$9:$N$1008,"Parcial")&gt;0,"Parcial",IF(COUNTIFS(Cobranza!$C$9:$C$1008,B173,Cobranza!$N$9:$N$1008,"Pendiente")&gt;0,"Pendiente",IF(COUNTIFS(Cobranza!$C$9:$C$1008,B173,Cobranza!$N$9:$N$1008,"Pagada")&gt;0,"Pagada","")))))</f>
        <v/>
      </c>
      <c r="N173" s="33" t="str">
        <f t="shared" ca="1" si="2"/>
        <v/>
      </c>
      <c r="O173" s="23"/>
      <c r="P173" s="7" t="str">
        <f ca="1">IF(AND(B173&lt;&gt;"",F173&lt;&gt;"Cerrada",F173&lt;&gt;"Perdida",N173&lt;&gt;"",N173&gt;14),COUNTIFS($F$8:$F173,"&lt;&gt;Cerrada",$F$8:$F173,"&lt;&gt;Perdida",$N$8:$N173,"&gt;14"),"")</f>
        <v/>
      </c>
      <c r="Q173" s="8"/>
      <c r="R173" s="9"/>
      <c r="S173" s="10"/>
    </row>
    <row r="174" spans="2:19" ht="21.75" customHeight="1" x14ac:dyDescent="0.25">
      <c r="B174" s="24"/>
      <c r="C174" s="24"/>
      <c r="D174" s="24"/>
      <c r="E174" s="24"/>
      <c r="F174" s="38"/>
      <c r="G174" s="27"/>
      <c r="H174" s="24"/>
      <c r="I174" s="27"/>
      <c r="J174" s="26"/>
      <c r="K174" s="24"/>
      <c r="L174" s="24"/>
      <c r="M174" s="24" t="str">
        <f>IF(B174="","",IF(COUNTIFS(Cobranza!$C$9:$C$1008,B174,Cobranza!$N$9:$N$1008,"Vencida")&gt;0,"Vencida",IF(COUNTIFS(Cobranza!$C$9:$C$1008,B174,Cobranza!$N$9:$N$1008,"Parcial")&gt;0,"Parcial",IF(COUNTIFS(Cobranza!$C$9:$C$1008,B174,Cobranza!$N$9:$N$1008,"Pendiente")&gt;0,"Pendiente",IF(COUNTIFS(Cobranza!$C$9:$C$1008,B174,Cobranza!$N$9:$N$1008,"Pagada")&gt;0,"Pagada","")))))</f>
        <v/>
      </c>
      <c r="N174" s="33" t="str">
        <f t="shared" ca="1" si="2"/>
        <v/>
      </c>
      <c r="O174" s="23"/>
      <c r="P174" s="7" t="str">
        <f ca="1">IF(AND(B174&lt;&gt;"",F174&lt;&gt;"Cerrada",F174&lt;&gt;"Perdida",N174&lt;&gt;"",N174&gt;14),COUNTIFS($F$8:$F174,"&lt;&gt;Cerrada",$F$8:$F174,"&lt;&gt;Perdida",$N$8:$N174,"&gt;14"),"")</f>
        <v/>
      </c>
      <c r="Q174" s="8"/>
      <c r="R174" s="9"/>
      <c r="S174" s="10"/>
    </row>
    <row r="175" spans="2:19" ht="21.75" customHeight="1" x14ac:dyDescent="0.25">
      <c r="B175" s="24"/>
      <c r="C175" s="24"/>
      <c r="D175" s="24"/>
      <c r="E175" s="24"/>
      <c r="F175" s="38"/>
      <c r="G175" s="27"/>
      <c r="H175" s="24"/>
      <c r="I175" s="27"/>
      <c r="J175" s="26"/>
      <c r="K175" s="24"/>
      <c r="L175" s="24"/>
      <c r="M175" s="24" t="str">
        <f>IF(B175="","",IF(COUNTIFS(Cobranza!$C$9:$C$1008,B175,Cobranza!$N$9:$N$1008,"Vencida")&gt;0,"Vencida",IF(COUNTIFS(Cobranza!$C$9:$C$1008,B175,Cobranza!$N$9:$N$1008,"Parcial")&gt;0,"Parcial",IF(COUNTIFS(Cobranza!$C$9:$C$1008,B175,Cobranza!$N$9:$N$1008,"Pendiente")&gt;0,"Pendiente",IF(COUNTIFS(Cobranza!$C$9:$C$1008,B175,Cobranza!$N$9:$N$1008,"Pagada")&gt;0,"Pagada","")))))</f>
        <v/>
      </c>
      <c r="N175" s="33" t="str">
        <f t="shared" ca="1" si="2"/>
        <v/>
      </c>
      <c r="O175" s="23"/>
      <c r="P175" s="7" t="str">
        <f ca="1">IF(AND(B175&lt;&gt;"",F175&lt;&gt;"Cerrada",F175&lt;&gt;"Perdida",N175&lt;&gt;"",N175&gt;14),COUNTIFS($F$8:$F175,"&lt;&gt;Cerrada",$F$8:$F175,"&lt;&gt;Perdida",$N$8:$N175,"&gt;14"),"")</f>
        <v/>
      </c>
      <c r="Q175" s="8"/>
      <c r="R175" s="9"/>
      <c r="S175" s="10"/>
    </row>
    <row r="176" spans="2:19" ht="21.75" customHeight="1" x14ac:dyDescent="0.25">
      <c r="B176" s="24"/>
      <c r="C176" s="24"/>
      <c r="D176" s="24"/>
      <c r="E176" s="24"/>
      <c r="F176" s="38"/>
      <c r="G176" s="27"/>
      <c r="H176" s="24"/>
      <c r="I176" s="27"/>
      <c r="J176" s="26"/>
      <c r="K176" s="24"/>
      <c r="L176" s="24"/>
      <c r="M176" s="24" t="str">
        <f>IF(B176="","",IF(COUNTIFS(Cobranza!$C$9:$C$1008,B176,Cobranza!$N$9:$N$1008,"Vencida")&gt;0,"Vencida",IF(COUNTIFS(Cobranza!$C$9:$C$1008,B176,Cobranza!$N$9:$N$1008,"Parcial")&gt;0,"Parcial",IF(COUNTIFS(Cobranza!$C$9:$C$1008,B176,Cobranza!$N$9:$N$1008,"Pendiente")&gt;0,"Pendiente",IF(COUNTIFS(Cobranza!$C$9:$C$1008,B176,Cobranza!$N$9:$N$1008,"Pagada")&gt;0,"Pagada","")))))</f>
        <v/>
      </c>
      <c r="N176" s="33" t="str">
        <f t="shared" ca="1" si="2"/>
        <v/>
      </c>
      <c r="O176" s="23"/>
      <c r="P176" s="7" t="str">
        <f ca="1">IF(AND(B176&lt;&gt;"",F176&lt;&gt;"Cerrada",F176&lt;&gt;"Perdida",N176&lt;&gt;"",N176&gt;14),COUNTIFS($F$8:$F176,"&lt;&gt;Cerrada",$F$8:$F176,"&lt;&gt;Perdida",$N$8:$N176,"&gt;14"),"")</f>
        <v/>
      </c>
      <c r="Q176" s="8"/>
      <c r="R176" s="9"/>
      <c r="S176" s="10"/>
    </row>
    <row r="177" spans="2:19" ht="21.75" customHeight="1" x14ac:dyDescent="0.25">
      <c r="B177" s="24"/>
      <c r="C177" s="24"/>
      <c r="D177" s="24"/>
      <c r="E177" s="24"/>
      <c r="F177" s="38"/>
      <c r="G177" s="27"/>
      <c r="H177" s="24"/>
      <c r="I177" s="27"/>
      <c r="J177" s="26"/>
      <c r="K177" s="24"/>
      <c r="L177" s="24"/>
      <c r="M177" s="24" t="str">
        <f>IF(B177="","",IF(COUNTIFS(Cobranza!$C$9:$C$1008,B177,Cobranza!$N$9:$N$1008,"Vencida")&gt;0,"Vencida",IF(COUNTIFS(Cobranza!$C$9:$C$1008,B177,Cobranza!$N$9:$N$1008,"Parcial")&gt;0,"Parcial",IF(COUNTIFS(Cobranza!$C$9:$C$1008,B177,Cobranza!$N$9:$N$1008,"Pendiente")&gt;0,"Pendiente",IF(COUNTIFS(Cobranza!$C$9:$C$1008,B177,Cobranza!$N$9:$N$1008,"Pagada")&gt;0,"Pagada","")))))</f>
        <v/>
      </c>
      <c r="N177" s="33" t="str">
        <f t="shared" ca="1" si="2"/>
        <v/>
      </c>
      <c r="O177" s="23"/>
      <c r="P177" s="7" t="str">
        <f ca="1">IF(AND(B177&lt;&gt;"",F177&lt;&gt;"Cerrada",F177&lt;&gt;"Perdida",N177&lt;&gt;"",N177&gt;14),COUNTIFS($F$8:$F177,"&lt;&gt;Cerrada",$F$8:$F177,"&lt;&gt;Perdida",$N$8:$N177,"&gt;14"),"")</f>
        <v/>
      </c>
      <c r="Q177" s="8"/>
      <c r="R177" s="9"/>
      <c r="S177" s="10"/>
    </row>
    <row r="178" spans="2:19" ht="21.75" customHeight="1" x14ac:dyDescent="0.25">
      <c r="B178" s="24"/>
      <c r="C178" s="24"/>
      <c r="D178" s="24"/>
      <c r="E178" s="24"/>
      <c r="F178" s="38"/>
      <c r="G178" s="27"/>
      <c r="H178" s="24"/>
      <c r="I178" s="27"/>
      <c r="J178" s="26"/>
      <c r="K178" s="24"/>
      <c r="L178" s="24"/>
      <c r="M178" s="24" t="str">
        <f>IF(B178="","",IF(COUNTIFS(Cobranza!$C$9:$C$1008,B178,Cobranza!$N$9:$N$1008,"Vencida")&gt;0,"Vencida",IF(COUNTIFS(Cobranza!$C$9:$C$1008,B178,Cobranza!$N$9:$N$1008,"Parcial")&gt;0,"Parcial",IF(COUNTIFS(Cobranza!$C$9:$C$1008,B178,Cobranza!$N$9:$N$1008,"Pendiente")&gt;0,"Pendiente",IF(COUNTIFS(Cobranza!$C$9:$C$1008,B178,Cobranza!$N$9:$N$1008,"Pagada")&gt;0,"Pagada","")))))</f>
        <v/>
      </c>
      <c r="N178" s="33" t="str">
        <f t="shared" ca="1" si="2"/>
        <v/>
      </c>
      <c r="O178" s="23"/>
      <c r="P178" s="7" t="str">
        <f ca="1">IF(AND(B178&lt;&gt;"",F178&lt;&gt;"Cerrada",F178&lt;&gt;"Perdida",N178&lt;&gt;"",N178&gt;14),COUNTIFS($F$8:$F178,"&lt;&gt;Cerrada",$F$8:$F178,"&lt;&gt;Perdida",$N$8:$N178,"&gt;14"),"")</f>
        <v/>
      </c>
      <c r="Q178" s="8"/>
      <c r="R178" s="9"/>
      <c r="S178" s="10"/>
    </row>
    <row r="179" spans="2:19" ht="21.75" customHeight="1" x14ac:dyDescent="0.25">
      <c r="B179" s="24"/>
      <c r="C179" s="24"/>
      <c r="D179" s="24"/>
      <c r="E179" s="24"/>
      <c r="F179" s="38"/>
      <c r="G179" s="27"/>
      <c r="H179" s="24"/>
      <c r="I179" s="27"/>
      <c r="J179" s="26"/>
      <c r="K179" s="24"/>
      <c r="L179" s="24"/>
      <c r="M179" s="24" t="str">
        <f>IF(B179="","",IF(COUNTIFS(Cobranza!$C$9:$C$1008,B179,Cobranza!$N$9:$N$1008,"Vencida")&gt;0,"Vencida",IF(COUNTIFS(Cobranza!$C$9:$C$1008,B179,Cobranza!$N$9:$N$1008,"Parcial")&gt;0,"Parcial",IF(COUNTIFS(Cobranza!$C$9:$C$1008,B179,Cobranza!$N$9:$N$1008,"Pendiente")&gt;0,"Pendiente",IF(COUNTIFS(Cobranza!$C$9:$C$1008,B179,Cobranza!$N$9:$N$1008,"Pagada")&gt;0,"Pagada","")))))</f>
        <v/>
      </c>
      <c r="N179" s="33" t="str">
        <f t="shared" ca="1" si="2"/>
        <v/>
      </c>
      <c r="O179" s="23"/>
      <c r="P179" s="7" t="str">
        <f ca="1">IF(AND(B179&lt;&gt;"",F179&lt;&gt;"Cerrada",F179&lt;&gt;"Perdida",N179&lt;&gt;"",N179&gt;14),COUNTIFS($F$8:$F179,"&lt;&gt;Cerrada",$F$8:$F179,"&lt;&gt;Perdida",$N$8:$N179,"&gt;14"),"")</f>
        <v/>
      </c>
      <c r="Q179" s="8"/>
      <c r="R179" s="9"/>
      <c r="S179" s="10"/>
    </row>
    <row r="180" spans="2:19" ht="21.75" customHeight="1" x14ac:dyDescent="0.25">
      <c r="B180" s="24"/>
      <c r="C180" s="24"/>
      <c r="D180" s="24"/>
      <c r="E180" s="24"/>
      <c r="F180" s="38"/>
      <c r="G180" s="27"/>
      <c r="H180" s="24"/>
      <c r="I180" s="27"/>
      <c r="J180" s="26"/>
      <c r="K180" s="24"/>
      <c r="L180" s="24"/>
      <c r="M180" s="24" t="str">
        <f>IF(B180="","",IF(COUNTIFS(Cobranza!$C$9:$C$1008,B180,Cobranza!$N$9:$N$1008,"Vencida")&gt;0,"Vencida",IF(COUNTIFS(Cobranza!$C$9:$C$1008,B180,Cobranza!$N$9:$N$1008,"Parcial")&gt;0,"Parcial",IF(COUNTIFS(Cobranza!$C$9:$C$1008,B180,Cobranza!$N$9:$N$1008,"Pendiente")&gt;0,"Pendiente",IF(COUNTIFS(Cobranza!$C$9:$C$1008,B180,Cobranza!$N$9:$N$1008,"Pagada")&gt;0,"Pagada","")))))</f>
        <v/>
      </c>
      <c r="N180" s="33" t="str">
        <f t="shared" ca="1" si="2"/>
        <v/>
      </c>
      <c r="O180" s="23"/>
      <c r="P180" s="7" t="str">
        <f ca="1">IF(AND(B180&lt;&gt;"",F180&lt;&gt;"Cerrada",F180&lt;&gt;"Perdida",N180&lt;&gt;"",N180&gt;14),COUNTIFS($F$8:$F180,"&lt;&gt;Cerrada",$F$8:$F180,"&lt;&gt;Perdida",$N$8:$N180,"&gt;14"),"")</f>
        <v/>
      </c>
      <c r="Q180" s="8"/>
      <c r="R180" s="9"/>
      <c r="S180" s="10"/>
    </row>
    <row r="181" spans="2:19" ht="21.75" customHeight="1" x14ac:dyDescent="0.25">
      <c r="B181" s="24"/>
      <c r="C181" s="24"/>
      <c r="D181" s="24"/>
      <c r="E181" s="24"/>
      <c r="F181" s="38"/>
      <c r="G181" s="27"/>
      <c r="H181" s="24"/>
      <c r="I181" s="27"/>
      <c r="J181" s="26"/>
      <c r="K181" s="24"/>
      <c r="L181" s="24"/>
      <c r="M181" s="24" t="str">
        <f>IF(B181="","",IF(COUNTIFS(Cobranza!$C$9:$C$1008,B181,Cobranza!$N$9:$N$1008,"Vencida")&gt;0,"Vencida",IF(COUNTIFS(Cobranza!$C$9:$C$1008,B181,Cobranza!$N$9:$N$1008,"Parcial")&gt;0,"Parcial",IF(COUNTIFS(Cobranza!$C$9:$C$1008,B181,Cobranza!$N$9:$N$1008,"Pendiente")&gt;0,"Pendiente",IF(COUNTIFS(Cobranza!$C$9:$C$1008,B181,Cobranza!$N$9:$N$1008,"Pagada")&gt;0,"Pagada","")))))</f>
        <v/>
      </c>
      <c r="N181" s="33" t="str">
        <f t="shared" ca="1" si="2"/>
        <v/>
      </c>
      <c r="O181" s="23"/>
      <c r="P181" s="7" t="str">
        <f ca="1">IF(AND(B181&lt;&gt;"",F181&lt;&gt;"Cerrada",F181&lt;&gt;"Perdida",N181&lt;&gt;"",N181&gt;14),COUNTIFS($F$8:$F181,"&lt;&gt;Cerrada",$F$8:$F181,"&lt;&gt;Perdida",$N$8:$N181,"&gt;14"),"")</f>
        <v/>
      </c>
      <c r="Q181" s="8"/>
      <c r="R181" s="9"/>
      <c r="S181" s="10"/>
    </row>
    <row r="182" spans="2:19" ht="21.75" customHeight="1" x14ac:dyDescent="0.25">
      <c r="B182" s="24"/>
      <c r="C182" s="24"/>
      <c r="D182" s="24"/>
      <c r="E182" s="24"/>
      <c r="F182" s="38"/>
      <c r="G182" s="27"/>
      <c r="H182" s="24"/>
      <c r="I182" s="27"/>
      <c r="J182" s="26"/>
      <c r="K182" s="24"/>
      <c r="L182" s="24"/>
      <c r="M182" s="24" t="str">
        <f>IF(B182="","",IF(COUNTIFS(Cobranza!$C$9:$C$1008,B182,Cobranza!$N$9:$N$1008,"Vencida")&gt;0,"Vencida",IF(COUNTIFS(Cobranza!$C$9:$C$1008,B182,Cobranza!$N$9:$N$1008,"Parcial")&gt;0,"Parcial",IF(COUNTIFS(Cobranza!$C$9:$C$1008,B182,Cobranza!$N$9:$N$1008,"Pendiente")&gt;0,"Pendiente",IF(COUNTIFS(Cobranza!$C$9:$C$1008,B182,Cobranza!$N$9:$N$1008,"Pagada")&gt;0,"Pagada","")))))</f>
        <v/>
      </c>
      <c r="N182" s="33" t="str">
        <f t="shared" ca="1" si="2"/>
        <v/>
      </c>
      <c r="O182" s="23"/>
      <c r="P182" s="7" t="str">
        <f ca="1">IF(AND(B182&lt;&gt;"",F182&lt;&gt;"Cerrada",F182&lt;&gt;"Perdida",N182&lt;&gt;"",N182&gt;14),COUNTIFS($F$8:$F182,"&lt;&gt;Cerrada",$F$8:$F182,"&lt;&gt;Perdida",$N$8:$N182,"&gt;14"),"")</f>
        <v/>
      </c>
      <c r="Q182" s="8"/>
      <c r="R182" s="9"/>
      <c r="S182" s="10"/>
    </row>
    <row r="183" spans="2:19" ht="21.75" customHeight="1" x14ac:dyDescent="0.25">
      <c r="B183" s="24"/>
      <c r="C183" s="24"/>
      <c r="D183" s="24"/>
      <c r="E183" s="24"/>
      <c r="F183" s="38"/>
      <c r="G183" s="27"/>
      <c r="H183" s="24"/>
      <c r="I183" s="27"/>
      <c r="J183" s="26"/>
      <c r="K183" s="24"/>
      <c r="L183" s="24"/>
      <c r="M183" s="24" t="str">
        <f>IF(B183="","",IF(COUNTIFS(Cobranza!$C$9:$C$1008,B183,Cobranza!$N$9:$N$1008,"Vencida")&gt;0,"Vencida",IF(COUNTIFS(Cobranza!$C$9:$C$1008,B183,Cobranza!$N$9:$N$1008,"Parcial")&gt;0,"Parcial",IF(COUNTIFS(Cobranza!$C$9:$C$1008,B183,Cobranza!$N$9:$N$1008,"Pendiente")&gt;0,"Pendiente",IF(COUNTIFS(Cobranza!$C$9:$C$1008,B183,Cobranza!$N$9:$N$1008,"Pagada")&gt;0,"Pagada","")))))</f>
        <v/>
      </c>
      <c r="N183" s="33" t="str">
        <f t="shared" ca="1" si="2"/>
        <v/>
      </c>
      <c r="O183" s="23"/>
      <c r="P183" s="7" t="str">
        <f ca="1">IF(AND(B183&lt;&gt;"",F183&lt;&gt;"Cerrada",F183&lt;&gt;"Perdida",N183&lt;&gt;"",N183&gt;14),COUNTIFS($F$8:$F183,"&lt;&gt;Cerrada",$F$8:$F183,"&lt;&gt;Perdida",$N$8:$N183,"&gt;14"),"")</f>
        <v/>
      </c>
      <c r="Q183" s="8"/>
      <c r="R183" s="9"/>
      <c r="S183" s="10"/>
    </row>
    <row r="184" spans="2:19" ht="21.75" customHeight="1" x14ac:dyDescent="0.25">
      <c r="B184" s="24"/>
      <c r="C184" s="24"/>
      <c r="D184" s="24"/>
      <c r="E184" s="24"/>
      <c r="F184" s="38"/>
      <c r="G184" s="27"/>
      <c r="H184" s="24"/>
      <c r="I184" s="27"/>
      <c r="J184" s="26"/>
      <c r="K184" s="24"/>
      <c r="L184" s="24"/>
      <c r="M184" s="24" t="str">
        <f>IF(B184="","",IF(COUNTIFS(Cobranza!$C$9:$C$1008,B184,Cobranza!$N$9:$N$1008,"Vencida")&gt;0,"Vencida",IF(COUNTIFS(Cobranza!$C$9:$C$1008,B184,Cobranza!$N$9:$N$1008,"Parcial")&gt;0,"Parcial",IF(COUNTIFS(Cobranza!$C$9:$C$1008,B184,Cobranza!$N$9:$N$1008,"Pendiente")&gt;0,"Pendiente",IF(COUNTIFS(Cobranza!$C$9:$C$1008,B184,Cobranza!$N$9:$N$1008,"Pagada")&gt;0,"Pagada","")))))</f>
        <v/>
      </c>
      <c r="N184" s="33" t="str">
        <f t="shared" ca="1" si="2"/>
        <v/>
      </c>
      <c r="O184" s="23"/>
      <c r="P184" s="7" t="str">
        <f ca="1">IF(AND(B184&lt;&gt;"",F184&lt;&gt;"Cerrada",F184&lt;&gt;"Perdida",N184&lt;&gt;"",N184&gt;14),COUNTIFS($F$8:$F184,"&lt;&gt;Cerrada",$F$8:$F184,"&lt;&gt;Perdida",$N$8:$N184,"&gt;14"),"")</f>
        <v/>
      </c>
      <c r="Q184" s="8"/>
      <c r="R184" s="9"/>
      <c r="S184" s="10"/>
    </row>
    <row r="185" spans="2:19" ht="21.75" customHeight="1" x14ac:dyDescent="0.25">
      <c r="B185" s="24"/>
      <c r="C185" s="24"/>
      <c r="D185" s="24"/>
      <c r="E185" s="24"/>
      <c r="F185" s="38"/>
      <c r="G185" s="27"/>
      <c r="H185" s="24"/>
      <c r="I185" s="27"/>
      <c r="J185" s="26"/>
      <c r="K185" s="24"/>
      <c r="L185" s="24"/>
      <c r="M185" s="24" t="str">
        <f>IF(B185="","",IF(COUNTIFS(Cobranza!$C$9:$C$1008,B185,Cobranza!$N$9:$N$1008,"Vencida")&gt;0,"Vencida",IF(COUNTIFS(Cobranza!$C$9:$C$1008,B185,Cobranza!$N$9:$N$1008,"Parcial")&gt;0,"Parcial",IF(COUNTIFS(Cobranza!$C$9:$C$1008,B185,Cobranza!$N$9:$N$1008,"Pendiente")&gt;0,"Pendiente",IF(COUNTIFS(Cobranza!$C$9:$C$1008,B185,Cobranza!$N$9:$N$1008,"Pagada")&gt;0,"Pagada","")))))</f>
        <v/>
      </c>
      <c r="N185" s="33" t="str">
        <f t="shared" ca="1" si="2"/>
        <v/>
      </c>
      <c r="O185" s="23"/>
      <c r="P185" s="7" t="str">
        <f ca="1">IF(AND(B185&lt;&gt;"",F185&lt;&gt;"Cerrada",F185&lt;&gt;"Perdida",N185&lt;&gt;"",N185&gt;14),COUNTIFS($F$8:$F185,"&lt;&gt;Cerrada",$F$8:$F185,"&lt;&gt;Perdida",$N$8:$N185,"&gt;14"),"")</f>
        <v/>
      </c>
      <c r="Q185" s="8"/>
      <c r="R185" s="9"/>
      <c r="S185" s="10"/>
    </row>
    <row r="186" spans="2:19" ht="21.75" customHeight="1" x14ac:dyDescent="0.25">
      <c r="B186" s="24"/>
      <c r="C186" s="24"/>
      <c r="D186" s="24"/>
      <c r="E186" s="24"/>
      <c r="F186" s="38"/>
      <c r="G186" s="27"/>
      <c r="H186" s="24"/>
      <c r="I186" s="27"/>
      <c r="J186" s="26"/>
      <c r="K186" s="24"/>
      <c r="L186" s="24"/>
      <c r="M186" s="24" t="str">
        <f>IF(B186="","",IF(COUNTIFS(Cobranza!$C$9:$C$1008,B186,Cobranza!$N$9:$N$1008,"Vencida")&gt;0,"Vencida",IF(COUNTIFS(Cobranza!$C$9:$C$1008,B186,Cobranza!$N$9:$N$1008,"Parcial")&gt;0,"Parcial",IF(COUNTIFS(Cobranza!$C$9:$C$1008,B186,Cobranza!$N$9:$N$1008,"Pendiente")&gt;0,"Pendiente",IF(COUNTIFS(Cobranza!$C$9:$C$1008,B186,Cobranza!$N$9:$N$1008,"Pagada")&gt;0,"Pagada","")))))</f>
        <v/>
      </c>
      <c r="N186" s="33" t="str">
        <f t="shared" ca="1" si="2"/>
        <v/>
      </c>
      <c r="O186" s="23"/>
      <c r="P186" s="7" t="str">
        <f ca="1">IF(AND(B186&lt;&gt;"",F186&lt;&gt;"Cerrada",F186&lt;&gt;"Perdida",N186&lt;&gt;"",N186&gt;14),COUNTIFS($F$8:$F186,"&lt;&gt;Cerrada",$F$8:$F186,"&lt;&gt;Perdida",$N$8:$N186,"&gt;14"),"")</f>
        <v/>
      </c>
      <c r="Q186" s="8"/>
      <c r="R186" s="9"/>
      <c r="S186" s="10"/>
    </row>
    <row r="187" spans="2:19" ht="21.75" customHeight="1" x14ac:dyDescent="0.25">
      <c r="B187" s="24"/>
      <c r="C187" s="24"/>
      <c r="D187" s="24"/>
      <c r="E187" s="24"/>
      <c r="F187" s="38"/>
      <c r="G187" s="27"/>
      <c r="H187" s="24"/>
      <c r="I187" s="27"/>
      <c r="J187" s="26"/>
      <c r="K187" s="24"/>
      <c r="L187" s="24"/>
      <c r="M187" s="24" t="str">
        <f>IF(B187="","",IF(COUNTIFS(Cobranza!$C$9:$C$1008,B187,Cobranza!$N$9:$N$1008,"Vencida")&gt;0,"Vencida",IF(COUNTIFS(Cobranza!$C$9:$C$1008,B187,Cobranza!$N$9:$N$1008,"Parcial")&gt;0,"Parcial",IF(COUNTIFS(Cobranza!$C$9:$C$1008,B187,Cobranza!$N$9:$N$1008,"Pendiente")&gt;0,"Pendiente",IF(COUNTIFS(Cobranza!$C$9:$C$1008,B187,Cobranza!$N$9:$N$1008,"Pagada")&gt;0,"Pagada","")))))</f>
        <v/>
      </c>
      <c r="N187" s="33" t="str">
        <f t="shared" ca="1" si="2"/>
        <v/>
      </c>
      <c r="O187" s="23"/>
      <c r="P187" s="7" t="str">
        <f ca="1">IF(AND(B187&lt;&gt;"",F187&lt;&gt;"Cerrada",F187&lt;&gt;"Perdida",N187&lt;&gt;"",N187&gt;14),COUNTIFS($F$8:$F187,"&lt;&gt;Cerrada",$F$8:$F187,"&lt;&gt;Perdida",$N$8:$N187,"&gt;14"),"")</f>
        <v/>
      </c>
      <c r="Q187" s="8"/>
      <c r="R187" s="9"/>
      <c r="S187" s="10"/>
    </row>
    <row r="188" spans="2:19" ht="21.75" customHeight="1" x14ac:dyDescent="0.25">
      <c r="B188" s="24"/>
      <c r="C188" s="24"/>
      <c r="D188" s="24"/>
      <c r="E188" s="24"/>
      <c r="F188" s="38"/>
      <c r="G188" s="27"/>
      <c r="H188" s="24"/>
      <c r="I188" s="27"/>
      <c r="J188" s="26"/>
      <c r="K188" s="24"/>
      <c r="L188" s="24"/>
      <c r="M188" s="24" t="str">
        <f>IF(B188="","",IF(COUNTIFS(Cobranza!$C$9:$C$1008,B188,Cobranza!$N$9:$N$1008,"Vencida")&gt;0,"Vencida",IF(COUNTIFS(Cobranza!$C$9:$C$1008,B188,Cobranza!$N$9:$N$1008,"Parcial")&gt;0,"Parcial",IF(COUNTIFS(Cobranza!$C$9:$C$1008,B188,Cobranza!$N$9:$N$1008,"Pendiente")&gt;0,"Pendiente",IF(COUNTIFS(Cobranza!$C$9:$C$1008,B188,Cobranza!$N$9:$N$1008,"Pagada")&gt;0,"Pagada","")))))</f>
        <v/>
      </c>
      <c r="N188" s="33" t="str">
        <f t="shared" ca="1" si="2"/>
        <v/>
      </c>
      <c r="O188" s="23"/>
      <c r="P188" s="7" t="str">
        <f ca="1">IF(AND(B188&lt;&gt;"",F188&lt;&gt;"Cerrada",F188&lt;&gt;"Perdida",N188&lt;&gt;"",N188&gt;14),COUNTIFS($F$8:$F188,"&lt;&gt;Cerrada",$F$8:$F188,"&lt;&gt;Perdida",$N$8:$N188,"&gt;14"),"")</f>
        <v/>
      </c>
      <c r="Q188" s="8"/>
      <c r="R188" s="9"/>
      <c r="S188" s="10"/>
    </row>
    <row r="189" spans="2:19" ht="21.75" customHeight="1" x14ac:dyDescent="0.25">
      <c r="B189" s="24"/>
      <c r="C189" s="24"/>
      <c r="D189" s="24"/>
      <c r="E189" s="24"/>
      <c r="F189" s="38"/>
      <c r="G189" s="27"/>
      <c r="H189" s="24"/>
      <c r="I189" s="27"/>
      <c r="J189" s="26"/>
      <c r="K189" s="24"/>
      <c r="L189" s="24"/>
      <c r="M189" s="24" t="str">
        <f>IF(B189="","",IF(COUNTIFS(Cobranza!$C$9:$C$1008,B189,Cobranza!$N$9:$N$1008,"Vencida")&gt;0,"Vencida",IF(COUNTIFS(Cobranza!$C$9:$C$1008,B189,Cobranza!$N$9:$N$1008,"Parcial")&gt;0,"Parcial",IF(COUNTIFS(Cobranza!$C$9:$C$1008,B189,Cobranza!$N$9:$N$1008,"Pendiente")&gt;0,"Pendiente",IF(COUNTIFS(Cobranza!$C$9:$C$1008,B189,Cobranza!$N$9:$N$1008,"Pagada")&gt;0,"Pagada","")))))</f>
        <v/>
      </c>
      <c r="N189" s="33" t="str">
        <f t="shared" ca="1" si="2"/>
        <v/>
      </c>
      <c r="O189" s="23"/>
      <c r="P189" s="7" t="str">
        <f ca="1">IF(AND(B189&lt;&gt;"",F189&lt;&gt;"Cerrada",F189&lt;&gt;"Perdida",N189&lt;&gt;"",N189&gt;14),COUNTIFS($F$8:$F189,"&lt;&gt;Cerrada",$F$8:$F189,"&lt;&gt;Perdida",$N$8:$N189,"&gt;14"),"")</f>
        <v/>
      </c>
      <c r="Q189" s="8"/>
      <c r="R189" s="9"/>
      <c r="S189" s="10"/>
    </row>
    <row r="190" spans="2:19" ht="21.75" customHeight="1" x14ac:dyDescent="0.25">
      <c r="B190" s="24"/>
      <c r="C190" s="24"/>
      <c r="D190" s="24"/>
      <c r="E190" s="24"/>
      <c r="F190" s="38"/>
      <c r="G190" s="27"/>
      <c r="H190" s="24"/>
      <c r="I190" s="27"/>
      <c r="J190" s="26"/>
      <c r="K190" s="24"/>
      <c r="L190" s="24"/>
      <c r="M190" s="24" t="str">
        <f>IF(B190="","",IF(COUNTIFS(Cobranza!$C$9:$C$1008,B190,Cobranza!$N$9:$N$1008,"Vencida")&gt;0,"Vencida",IF(COUNTIFS(Cobranza!$C$9:$C$1008,B190,Cobranza!$N$9:$N$1008,"Parcial")&gt;0,"Parcial",IF(COUNTIFS(Cobranza!$C$9:$C$1008,B190,Cobranza!$N$9:$N$1008,"Pendiente")&gt;0,"Pendiente",IF(COUNTIFS(Cobranza!$C$9:$C$1008,B190,Cobranza!$N$9:$N$1008,"Pagada")&gt;0,"Pagada","")))))</f>
        <v/>
      </c>
      <c r="N190" s="33" t="str">
        <f t="shared" ca="1" si="2"/>
        <v/>
      </c>
      <c r="O190" s="23"/>
      <c r="P190" s="7" t="str">
        <f ca="1">IF(AND(B190&lt;&gt;"",F190&lt;&gt;"Cerrada",F190&lt;&gt;"Perdida",N190&lt;&gt;"",N190&gt;14),COUNTIFS($F$8:$F190,"&lt;&gt;Cerrada",$F$8:$F190,"&lt;&gt;Perdida",$N$8:$N190,"&gt;14"),"")</f>
        <v/>
      </c>
      <c r="Q190" s="8"/>
      <c r="R190" s="9"/>
      <c r="S190" s="10"/>
    </row>
    <row r="191" spans="2:19" ht="21.75" customHeight="1" x14ac:dyDescent="0.25">
      <c r="B191" s="24"/>
      <c r="C191" s="24"/>
      <c r="D191" s="24"/>
      <c r="E191" s="24"/>
      <c r="F191" s="38"/>
      <c r="G191" s="27"/>
      <c r="H191" s="24"/>
      <c r="I191" s="27"/>
      <c r="J191" s="26"/>
      <c r="K191" s="24"/>
      <c r="L191" s="24"/>
      <c r="M191" s="24" t="str">
        <f>IF(B191="","",IF(COUNTIFS(Cobranza!$C$9:$C$1008,B191,Cobranza!$N$9:$N$1008,"Vencida")&gt;0,"Vencida",IF(COUNTIFS(Cobranza!$C$9:$C$1008,B191,Cobranza!$N$9:$N$1008,"Parcial")&gt;0,"Parcial",IF(COUNTIFS(Cobranza!$C$9:$C$1008,B191,Cobranza!$N$9:$N$1008,"Pendiente")&gt;0,"Pendiente",IF(COUNTIFS(Cobranza!$C$9:$C$1008,B191,Cobranza!$N$9:$N$1008,"Pagada")&gt;0,"Pagada","")))))</f>
        <v/>
      </c>
      <c r="N191" s="33" t="str">
        <f t="shared" ca="1" si="2"/>
        <v/>
      </c>
      <c r="O191" s="23"/>
      <c r="P191" s="7" t="str">
        <f ca="1">IF(AND(B191&lt;&gt;"",F191&lt;&gt;"Cerrada",F191&lt;&gt;"Perdida",N191&lt;&gt;"",N191&gt;14),COUNTIFS($F$8:$F191,"&lt;&gt;Cerrada",$F$8:$F191,"&lt;&gt;Perdida",$N$8:$N191,"&gt;14"),"")</f>
        <v/>
      </c>
      <c r="Q191" s="8"/>
      <c r="R191" s="9"/>
      <c r="S191" s="10"/>
    </row>
    <row r="192" spans="2:19" ht="21.75" customHeight="1" x14ac:dyDescent="0.25">
      <c r="B192" s="24"/>
      <c r="C192" s="24"/>
      <c r="D192" s="24"/>
      <c r="E192" s="24"/>
      <c r="F192" s="38"/>
      <c r="G192" s="27"/>
      <c r="H192" s="24"/>
      <c r="I192" s="27"/>
      <c r="J192" s="26"/>
      <c r="K192" s="24"/>
      <c r="L192" s="24"/>
      <c r="M192" s="24" t="str">
        <f>IF(B192="","",IF(COUNTIFS(Cobranza!$C$9:$C$1008,B192,Cobranza!$N$9:$N$1008,"Vencida")&gt;0,"Vencida",IF(COUNTIFS(Cobranza!$C$9:$C$1008,B192,Cobranza!$N$9:$N$1008,"Parcial")&gt;0,"Parcial",IF(COUNTIFS(Cobranza!$C$9:$C$1008,B192,Cobranza!$N$9:$N$1008,"Pendiente")&gt;0,"Pendiente",IF(COUNTIFS(Cobranza!$C$9:$C$1008,B192,Cobranza!$N$9:$N$1008,"Pagada")&gt;0,"Pagada","")))))</f>
        <v/>
      </c>
      <c r="N192" s="33" t="str">
        <f t="shared" ca="1" si="2"/>
        <v/>
      </c>
      <c r="O192" s="23"/>
      <c r="P192" s="7" t="str">
        <f ca="1">IF(AND(B192&lt;&gt;"",F192&lt;&gt;"Cerrada",F192&lt;&gt;"Perdida",N192&lt;&gt;"",N192&gt;14),COUNTIFS($F$8:$F192,"&lt;&gt;Cerrada",$F$8:$F192,"&lt;&gt;Perdida",$N$8:$N192,"&gt;14"),"")</f>
        <v/>
      </c>
      <c r="Q192" s="8"/>
      <c r="R192" s="9"/>
      <c r="S192" s="10"/>
    </row>
    <row r="193" spans="2:19" ht="21.75" customHeight="1" x14ac:dyDescent="0.25">
      <c r="B193" s="24"/>
      <c r="C193" s="24"/>
      <c r="D193" s="24"/>
      <c r="E193" s="24"/>
      <c r="F193" s="38"/>
      <c r="G193" s="27"/>
      <c r="H193" s="24"/>
      <c r="I193" s="27"/>
      <c r="J193" s="26"/>
      <c r="K193" s="24"/>
      <c r="L193" s="24"/>
      <c r="M193" s="24" t="str">
        <f>IF(B193="","",IF(COUNTIFS(Cobranza!$C$9:$C$1008,B193,Cobranza!$N$9:$N$1008,"Vencida")&gt;0,"Vencida",IF(COUNTIFS(Cobranza!$C$9:$C$1008,B193,Cobranza!$N$9:$N$1008,"Parcial")&gt;0,"Parcial",IF(COUNTIFS(Cobranza!$C$9:$C$1008,B193,Cobranza!$N$9:$N$1008,"Pendiente")&gt;0,"Pendiente",IF(COUNTIFS(Cobranza!$C$9:$C$1008,B193,Cobranza!$N$9:$N$1008,"Pagada")&gt;0,"Pagada","")))))</f>
        <v/>
      </c>
      <c r="N193" s="33" t="str">
        <f t="shared" ca="1" si="2"/>
        <v/>
      </c>
      <c r="O193" s="23"/>
      <c r="P193" s="7" t="str">
        <f ca="1">IF(AND(B193&lt;&gt;"",F193&lt;&gt;"Cerrada",F193&lt;&gt;"Perdida",N193&lt;&gt;"",N193&gt;14),COUNTIFS($F$8:$F193,"&lt;&gt;Cerrada",$F$8:$F193,"&lt;&gt;Perdida",$N$8:$N193,"&gt;14"),"")</f>
        <v/>
      </c>
      <c r="Q193" s="8"/>
      <c r="R193" s="9"/>
      <c r="S193" s="10"/>
    </row>
    <row r="194" spans="2:19" ht="21.75" customHeight="1" x14ac:dyDescent="0.25">
      <c r="B194" s="24"/>
      <c r="C194" s="24"/>
      <c r="D194" s="24"/>
      <c r="E194" s="24"/>
      <c r="F194" s="38"/>
      <c r="G194" s="27"/>
      <c r="H194" s="24"/>
      <c r="I194" s="27"/>
      <c r="J194" s="26"/>
      <c r="K194" s="24"/>
      <c r="L194" s="24"/>
      <c r="M194" s="24" t="str">
        <f>IF(B194="","",IF(COUNTIFS(Cobranza!$C$9:$C$1008,B194,Cobranza!$N$9:$N$1008,"Vencida")&gt;0,"Vencida",IF(COUNTIFS(Cobranza!$C$9:$C$1008,B194,Cobranza!$N$9:$N$1008,"Parcial")&gt;0,"Parcial",IF(COUNTIFS(Cobranza!$C$9:$C$1008,B194,Cobranza!$N$9:$N$1008,"Pendiente")&gt;0,"Pendiente",IF(COUNTIFS(Cobranza!$C$9:$C$1008,B194,Cobranza!$N$9:$N$1008,"Pagada")&gt;0,"Pagada","")))))</f>
        <v/>
      </c>
      <c r="N194" s="33" t="str">
        <f t="shared" ca="1" si="2"/>
        <v/>
      </c>
      <c r="O194" s="23"/>
      <c r="P194" s="7" t="str">
        <f ca="1">IF(AND(B194&lt;&gt;"",F194&lt;&gt;"Cerrada",F194&lt;&gt;"Perdida",N194&lt;&gt;"",N194&gt;14),COUNTIFS($F$8:$F194,"&lt;&gt;Cerrada",$F$8:$F194,"&lt;&gt;Perdida",$N$8:$N194,"&gt;14"),"")</f>
        <v/>
      </c>
      <c r="Q194" s="8"/>
      <c r="R194" s="9"/>
      <c r="S194" s="10"/>
    </row>
    <row r="195" spans="2:19" ht="21.75" customHeight="1" x14ac:dyDescent="0.25">
      <c r="B195" s="24"/>
      <c r="C195" s="24"/>
      <c r="D195" s="24"/>
      <c r="E195" s="24"/>
      <c r="F195" s="38"/>
      <c r="G195" s="27"/>
      <c r="H195" s="24"/>
      <c r="I195" s="27"/>
      <c r="J195" s="26"/>
      <c r="K195" s="24"/>
      <c r="L195" s="24"/>
      <c r="M195" s="24" t="str">
        <f>IF(B195="","",IF(COUNTIFS(Cobranza!$C$9:$C$1008,B195,Cobranza!$N$9:$N$1008,"Vencida")&gt;0,"Vencida",IF(COUNTIFS(Cobranza!$C$9:$C$1008,B195,Cobranza!$N$9:$N$1008,"Parcial")&gt;0,"Parcial",IF(COUNTIFS(Cobranza!$C$9:$C$1008,B195,Cobranza!$N$9:$N$1008,"Pendiente")&gt;0,"Pendiente",IF(COUNTIFS(Cobranza!$C$9:$C$1008,B195,Cobranza!$N$9:$N$1008,"Pagada")&gt;0,"Pagada","")))))</f>
        <v/>
      </c>
      <c r="N195" s="33" t="str">
        <f t="shared" ca="1" si="2"/>
        <v/>
      </c>
      <c r="O195" s="23"/>
      <c r="P195" s="7" t="str">
        <f ca="1">IF(AND(B195&lt;&gt;"",F195&lt;&gt;"Cerrada",F195&lt;&gt;"Perdida",N195&lt;&gt;"",N195&gt;14),COUNTIFS($F$8:$F195,"&lt;&gt;Cerrada",$F$8:$F195,"&lt;&gt;Perdida",$N$8:$N195,"&gt;14"),"")</f>
        <v/>
      </c>
      <c r="Q195" s="8"/>
      <c r="R195" s="9"/>
      <c r="S195" s="10"/>
    </row>
    <row r="196" spans="2:19" ht="21.75" customHeight="1" x14ac:dyDescent="0.25">
      <c r="B196" s="24"/>
      <c r="C196" s="24"/>
      <c r="D196" s="24"/>
      <c r="E196" s="24"/>
      <c r="F196" s="38"/>
      <c r="G196" s="27"/>
      <c r="H196" s="24"/>
      <c r="I196" s="27"/>
      <c r="J196" s="26"/>
      <c r="K196" s="24"/>
      <c r="L196" s="24"/>
      <c r="M196" s="24" t="str">
        <f>IF(B196="","",IF(COUNTIFS(Cobranza!$C$9:$C$1008,B196,Cobranza!$N$9:$N$1008,"Vencida")&gt;0,"Vencida",IF(COUNTIFS(Cobranza!$C$9:$C$1008,B196,Cobranza!$N$9:$N$1008,"Parcial")&gt;0,"Parcial",IF(COUNTIFS(Cobranza!$C$9:$C$1008,B196,Cobranza!$N$9:$N$1008,"Pendiente")&gt;0,"Pendiente",IF(COUNTIFS(Cobranza!$C$9:$C$1008,B196,Cobranza!$N$9:$N$1008,"Pagada")&gt;0,"Pagada","")))))</f>
        <v/>
      </c>
      <c r="N196" s="33" t="str">
        <f t="shared" ca="1" si="2"/>
        <v/>
      </c>
      <c r="O196" s="23"/>
      <c r="P196" s="7" t="str">
        <f ca="1">IF(AND(B196&lt;&gt;"",F196&lt;&gt;"Cerrada",F196&lt;&gt;"Perdida",N196&lt;&gt;"",N196&gt;14),COUNTIFS($F$8:$F196,"&lt;&gt;Cerrada",$F$8:$F196,"&lt;&gt;Perdida",$N$8:$N196,"&gt;14"),"")</f>
        <v/>
      </c>
      <c r="Q196" s="8"/>
      <c r="R196" s="9"/>
      <c r="S196" s="10"/>
    </row>
    <row r="197" spans="2:19" ht="21.75" customHeight="1" x14ac:dyDescent="0.25">
      <c r="B197" s="24"/>
      <c r="C197" s="24"/>
      <c r="D197" s="24"/>
      <c r="E197" s="24"/>
      <c r="F197" s="38"/>
      <c r="G197" s="27"/>
      <c r="H197" s="24"/>
      <c r="I197" s="27"/>
      <c r="J197" s="26"/>
      <c r="K197" s="24"/>
      <c r="L197" s="24"/>
      <c r="M197" s="24" t="str">
        <f>IF(B197="","",IF(COUNTIFS(Cobranza!$C$9:$C$1008,B197,Cobranza!$N$9:$N$1008,"Vencida")&gt;0,"Vencida",IF(COUNTIFS(Cobranza!$C$9:$C$1008,B197,Cobranza!$N$9:$N$1008,"Parcial")&gt;0,"Parcial",IF(COUNTIFS(Cobranza!$C$9:$C$1008,B197,Cobranza!$N$9:$N$1008,"Pendiente")&gt;0,"Pendiente",IF(COUNTIFS(Cobranza!$C$9:$C$1008,B197,Cobranza!$N$9:$N$1008,"Pagada")&gt;0,"Pagada","")))))</f>
        <v/>
      </c>
      <c r="N197" s="33" t="str">
        <f t="shared" ca="1" si="2"/>
        <v/>
      </c>
      <c r="O197" s="23"/>
      <c r="P197" s="7" t="str">
        <f ca="1">IF(AND(B197&lt;&gt;"",F197&lt;&gt;"Cerrada",F197&lt;&gt;"Perdida",N197&lt;&gt;"",N197&gt;14),COUNTIFS($F$8:$F197,"&lt;&gt;Cerrada",$F$8:$F197,"&lt;&gt;Perdida",$N$8:$N197,"&gt;14"),"")</f>
        <v/>
      </c>
      <c r="Q197" s="8"/>
      <c r="R197" s="9"/>
      <c r="S197" s="10"/>
    </row>
    <row r="198" spans="2:19" ht="21.75" customHeight="1" x14ac:dyDescent="0.25">
      <c r="B198" s="24"/>
      <c r="C198" s="24"/>
      <c r="D198" s="24"/>
      <c r="E198" s="24"/>
      <c r="F198" s="38"/>
      <c r="G198" s="27"/>
      <c r="H198" s="24"/>
      <c r="I198" s="27"/>
      <c r="J198" s="26"/>
      <c r="K198" s="24"/>
      <c r="L198" s="24"/>
      <c r="M198" s="24" t="str">
        <f>IF(B198="","",IF(COUNTIFS(Cobranza!$C$9:$C$1008,B198,Cobranza!$N$9:$N$1008,"Vencida")&gt;0,"Vencida",IF(COUNTIFS(Cobranza!$C$9:$C$1008,B198,Cobranza!$N$9:$N$1008,"Parcial")&gt;0,"Parcial",IF(COUNTIFS(Cobranza!$C$9:$C$1008,B198,Cobranza!$N$9:$N$1008,"Pendiente")&gt;0,"Pendiente",IF(COUNTIFS(Cobranza!$C$9:$C$1008,B198,Cobranza!$N$9:$N$1008,"Pagada")&gt;0,"Pagada","")))))</f>
        <v/>
      </c>
      <c r="N198" s="33" t="str">
        <f t="shared" ca="1" si="2"/>
        <v/>
      </c>
      <c r="O198" s="23"/>
      <c r="P198" s="7" t="str">
        <f ca="1">IF(AND(B198&lt;&gt;"",F198&lt;&gt;"Cerrada",F198&lt;&gt;"Perdida",N198&lt;&gt;"",N198&gt;14),COUNTIFS($F$8:$F198,"&lt;&gt;Cerrada",$F$8:$F198,"&lt;&gt;Perdida",$N$8:$N198,"&gt;14"),"")</f>
        <v/>
      </c>
      <c r="Q198" s="8"/>
      <c r="R198" s="9"/>
      <c r="S198" s="10"/>
    </row>
    <row r="199" spans="2:19" ht="21.75" customHeight="1" x14ac:dyDescent="0.25">
      <c r="B199" s="24"/>
      <c r="C199" s="24"/>
      <c r="D199" s="24"/>
      <c r="E199" s="24"/>
      <c r="F199" s="38"/>
      <c r="G199" s="27"/>
      <c r="H199" s="24"/>
      <c r="I199" s="27"/>
      <c r="J199" s="26"/>
      <c r="K199" s="24"/>
      <c r="L199" s="24"/>
      <c r="M199" s="24" t="str">
        <f>IF(B199="","",IF(COUNTIFS(Cobranza!$C$9:$C$1008,B199,Cobranza!$N$9:$N$1008,"Vencida")&gt;0,"Vencida",IF(COUNTIFS(Cobranza!$C$9:$C$1008,B199,Cobranza!$N$9:$N$1008,"Parcial")&gt;0,"Parcial",IF(COUNTIFS(Cobranza!$C$9:$C$1008,B199,Cobranza!$N$9:$N$1008,"Pendiente")&gt;0,"Pendiente",IF(COUNTIFS(Cobranza!$C$9:$C$1008,B199,Cobranza!$N$9:$N$1008,"Pagada")&gt;0,"Pagada","")))))</f>
        <v/>
      </c>
      <c r="N199" s="33" t="str">
        <f t="shared" ca="1" si="2"/>
        <v/>
      </c>
      <c r="O199" s="23"/>
      <c r="P199" s="7" t="str">
        <f ca="1">IF(AND(B199&lt;&gt;"",F199&lt;&gt;"Cerrada",F199&lt;&gt;"Perdida",N199&lt;&gt;"",N199&gt;14),COUNTIFS($F$8:$F199,"&lt;&gt;Cerrada",$F$8:$F199,"&lt;&gt;Perdida",$N$8:$N199,"&gt;14"),"")</f>
        <v/>
      </c>
      <c r="Q199" s="8"/>
      <c r="R199" s="9"/>
      <c r="S199" s="10"/>
    </row>
    <row r="200" spans="2:19" ht="21.75" customHeight="1" x14ac:dyDescent="0.25">
      <c r="B200" s="24"/>
      <c r="C200" s="24"/>
      <c r="D200" s="24"/>
      <c r="E200" s="24"/>
      <c r="F200" s="38"/>
      <c r="G200" s="27"/>
      <c r="H200" s="24"/>
      <c r="I200" s="27"/>
      <c r="J200" s="26"/>
      <c r="K200" s="24"/>
      <c r="L200" s="24"/>
      <c r="M200" s="24" t="str">
        <f>IF(B200="","",IF(COUNTIFS(Cobranza!$C$9:$C$1008,B200,Cobranza!$N$9:$N$1008,"Vencida")&gt;0,"Vencida",IF(COUNTIFS(Cobranza!$C$9:$C$1008,B200,Cobranza!$N$9:$N$1008,"Parcial")&gt;0,"Parcial",IF(COUNTIFS(Cobranza!$C$9:$C$1008,B200,Cobranza!$N$9:$N$1008,"Pendiente")&gt;0,"Pendiente",IF(COUNTIFS(Cobranza!$C$9:$C$1008,B200,Cobranza!$N$9:$N$1008,"Pagada")&gt;0,"Pagada","")))))</f>
        <v/>
      </c>
      <c r="N200" s="33" t="str">
        <f t="shared" ref="N200:N263" ca="1" si="3">IF(I200="","",MAX(0,TODAY()-I200))</f>
        <v/>
      </c>
      <c r="O200" s="23"/>
      <c r="P200" s="7" t="str">
        <f ca="1">IF(AND(B200&lt;&gt;"",F200&lt;&gt;"Cerrada",F200&lt;&gt;"Perdida",N200&lt;&gt;"",N200&gt;14),COUNTIFS($F$8:$F200,"&lt;&gt;Cerrada",$F$8:$F200,"&lt;&gt;Perdida",$N$8:$N200,"&gt;14"),"")</f>
        <v/>
      </c>
      <c r="Q200" s="8"/>
      <c r="R200" s="9"/>
      <c r="S200" s="10"/>
    </row>
    <row r="201" spans="2:19" ht="21.75" customHeight="1" x14ac:dyDescent="0.25">
      <c r="B201" s="24"/>
      <c r="C201" s="24"/>
      <c r="D201" s="24"/>
      <c r="E201" s="24"/>
      <c r="F201" s="38"/>
      <c r="G201" s="27"/>
      <c r="H201" s="24"/>
      <c r="I201" s="27"/>
      <c r="J201" s="26"/>
      <c r="K201" s="24"/>
      <c r="L201" s="24"/>
      <c r="M201" s="24" t="str">
        <f>IF(B201="","",IF(COUNTIFS(Cobranza!$C$9:$C$1008,B201,Cobranza!$N$9:$N$1008,"Vencida")&gt;0,"Vencida",IF(COUNTIFS(Cobranza!$C$9:$C$1008,B201,Cobranza!$N$9:$N$1008,"Parcial")&gt;0,"Parcial",IF(COUNTIFS(Cobranza!$C$9:$C$1008,B201,Cobranza!$N$9:$N$1008,"Pendiente")&gt;0,"Pendiente",IF(COUNTIFS(Cobranza!$C$9:$C$1008,B201,Cobranza!$N$9:$N$1008,"Pagada")&gt;0,"Pagada","")))))</f>
        <v/>
      </c>
      <c r="N201" s="33" t="str">
        <f t="shared" ca="1" si="3"/>
        <v/>
      </c>
      <c r="O201" s="23"/>
      <c r="P201" s="7" t="str">
        <f ca="1">IF(AND(B201&lt;&gt;"",F201&lt;&gt;"Cerrada",F201&lt;&gt;"Perdida",N201&lt;&gt;"",N201&gt;14),COUNTIFS($F$8:$F201,"&lt;&gt;Cerrada",$F$8:$F201,"&lt;&gt;Perdida",$N$8:$N201,"&gt;14"),"")</f>
        <v/>
      </c>
      <c r="Q201" s="8"/>
      <c r="R201" s="9"/>
      <c r="S201" s="10"/>
    </row>
    <row r="202" spans="2:19" ht="21.75" customHeight="1" x14ac:dyDescent="0.25">
      <c r="B202" s="24"/>
      <c r="C202" s="24"/>
      <c r="D202" s="24"/>
      <c r="E202" s="24"/>
      <c r="F202" s="38"/>
      <c r="G202" s="27"/>
      <c r="H202" s="24"/>
      <c r="I202" s="27"/>
      <c r="J202" s="26"/>
      <c r="K202" s="24"/>
      <c r="L202" s="24"/>
      <c r="M202" s="24" t="str">
        <f>IF(B202="","",IF(COUNTIFS(Cobranza!$C$9:$C$1008,B202,Cobranza!$N$9:$N$1008,"Vencida")&gt;0,"Vencida",IF(COUNTIFS(Cobranza!$C$9:$C$1008,B202,Cobranza!$N$9:$N$1008,"Parcial")&gt;0,"Parcial",IF(COUNTIFS(Cobranza!$C$9:$C$1008,B202,Cobranza!$N$9:$N$1008,"Pendiente")&gt;0,"Pendiente",IF(COUNTIFS(Cobranza!$C$9:$C$1008,B202,Cobranza!$N$9:$N$1008,"Pagada")&gt;0,"Pagada","")))))</f>
        <v/>
      </c>
      <c r="N202" s="33" t="str">
        <f t="shared" ca="1" si="3"/>
        <v/>
      </c>
      <c r="O202" s="23"/>
      <c r="P202" s="7" t="str">
        <f ca="1">IF(AND(B202&lt;&gt;"",F202&lt;&gt;"Cerrada",F202&lt;&gt;"Perdida",N202&lt;&gt;"",N202&gt;14),COUNTIFS($F$8:$F202,"&lt;&gt;Cerrada",$F$8:$F202,"&lt;&gt;Perdida",$N$8:$N202,"&gt;14"),"")</f>
        <v/>
      </c>
      <c r="Q202" s="8"/>
      <c r="R202" s="9"/>
      <c r="S202" s="10"/>
    </row>
    <row r="203" spans="2:19" ht="21.75" customHeight="1" x14ac:dyDescent="0.25">
      <c r="B203" s="24"/>
      <c r="C203" s="24"/>
      <c r="D203" s="24"/>
      <c r="E203" s="24"/>
      <c r="F203" s="38"/>
      <c r="G203" s="27"/>
      <c r="H203" s="24"/>
      <c r="I203" s="27"/>
      <c r="J203" s="26"/>
      <c r="K203" s="24"/>
      <c r="L203" s="24"/>
      <c r="M203" s="24" t="str">
        <f>IF(B203="","",IF(COUNTIFS(Cobranza!$C$9:$C$1008,B203,Cobranza!$N$9:$N$1008,"Vencida")&gt;0,"Vencida",IF(COUNTIFS(Cobranza!$C$9:$C$1008,B203,Cobranza!$N$9:$N$1008,"Parcial")&gt;0,"Parcial",IF(COUNTIFS(Cobranza!$C$9:$C$1008,B203,Cobranza!$N$9:$N$1008,"Pendiente")&gt;0,"Pendiente",IF(COUNTIFS(Cobranza!$C$9:$C$1008,B203,Cobranza!$N$9:$N$1008,"Pagada")&gt;0,"Pagada","")))))</f>
        <v/>
      </c>
      <c r="N203" s="33" t="str">
        <f t="shared" ca="1" si="3"/>
        <v/>
      </c>
      <c r="O203" s="23"/>
      <c r="P203" s="7" t="str">
        <f ca="1">IF(AND(B203&lt;&gt;"",F203&lt;&gt;"Cerrada",F203&lt;&gt;"Perdida",N203&lt;&gt;"",N203&gt;14),COUNTIFS($F$8:$F203,"&lt;&gt;Cerrada",$F$8:$F203,"&lt;&gt;Perdida",$N$8:$N203,"&gt;14"),"")</f>
        <v/>
      </c>
      <c r="Q203" s="8"/>
      <c r="R203" s="9"/>
      <c r="S203" s="10"/>
    </row>
    <row r="204" spans="2:19" ht="21.75" customHeight="1" x14ac:dyDescent="0.25">
      <c r="B204" s="24"/>
      <c r="C204" s="24"/>
      <c r="D204" s="24"/>
      <c r="E204" s="24"/>
      <c r="F204" s="38"/>
      <c r="G204" s="27"/>
      <c r="H204" s="24"/>
      <c r="I204" s="27"/>
      <c r="J204" s="26"/>
      <c r="K204" s="24"/>
      <c r="L204" s="24"/>
      <c r="M204" s="24" t="str">
        <f>IF(B204="","",IF(COUNTIFS(Cobranza!$C$9:$C$1008,B204,Cobranza!$N$9:$N$1008,"Vencida")&gt;0,"Vencida",IF(COUNTIFS(Cobranza!$C$9:$C$1008,B204,Cobranza!$N$9:$N$1008,"Parcial")&gt;0,"Parcial",IF(COUNTIFS(Cobranza!$C$9:$C$1008,B204,Cobranza!$N$9:$N$1008,"Pendiente")&gt;0,"Pendiente",IF(COUNTIFS(Cobranza!$C$9:$C$1008,B204,Cobranza!$N$9:$N$1008,"Pagada")&gt;0,"Pagada","")))))</f>
        <v/>
      </c>
      <c r="N204" s="33" t="str">
        <f t="shared" ca="1" si="3"/>
        <v/>
      </c>
      <c r="O204" s="23"/>
      <c r="P204" s="7" t="str">
        <f ca="1">IF(AND(B204&lt;&gt;"",F204&lt;&gt;"Cerrada",F204&lt;&gt;"Perdida",N204&lt;&gt;"",N204&gt;14),COUNTIFS($F$8:$F204,"&lt;&gt;Cerrada",$F$8:$F204,"&lt;&gt;Perdida",$N$8:$N204,"&gt;14"),"")</f>
        <v/>
      </c>
      <c r="Q204" s="8"/>
      <c r="R204" s="9"/>
      <c r="S204" s="10"/>
    </row>
    <row r="205" spans="2:19" ht="21.75" customHeight="1" x14ac:dyDescent="0.25">
      <c r="B205" s="24"/>
      <c r="C205" s="24"/>
      <c r="D205" s="24"/>
      <c r="E205" s="24"/>
      <c r="F205" s="38"/>
      <c r="G205" s="27"/>
      <c r="H205" s="24"/>
      <c r="I205" s="27"/>
      <c r="J205" s="26"/>
      <c r="K205" s="24"/>
      <c r="L205" s="24"/>
      <c r="M205" s="24" t="str">
        <f>IF(B205="","",IF(COUNTIFS(Cobranza!$C$9:$C$1008,B205,Cobranza!$N$9:$N$1008,"Vencida")&gt;0,"Vencida",IF(COUNTIFS(Cobranza!$C$9:$C$1008,B205,Cobranza!$N$9:$N$1008,"Parcial")&gt;0,"Parcial",IF(COUNTIFS(Cobranza!$C$9:$C$1008,B205,Cobranza!$N$9:$N$1008,"Pendiente")&gt;0,"Pendiente",IF(COUNTIFS(Cobranza!$C$9:$C$1008,B205,Cobranza!$N$9:$N$1008,"Pagada")&gt;0,"Pagada","")))))</f>
        <v/>
      </c>
      <c r="N205" s="33" t="str">
        <f t="shared" ca="1" si="3"/>
        <v/>
      </c>
      <c r="O205" s="23"/>
      <c r="P205" s="7" t="str">
        <f ca="1">IF(AND(B205&lt;&gt;"",F205&lt;&gt;"Cerrada",F205&lt;&gt;"Perdida",N205&lt;&gt;"",N205&gt;14),COUNTIFS($F$8:$F205,"&lt;&gt;Cerrada",$F$8:$F205,"&lt;&gt;Perdida",$N$8:$N205,"&gt;14"),"")</f>
        <v/>
      </c>
      <c r="Q205" s="8"/>
      <c r="R205" s="9"/>
      <c r="S205" s="10"/>
    </row>
    <row r="206" spans="2:19" ht="21.75" customHeight="1" x14ac:dyDescent="0.25">
      <c r="B206" s="24"/>
      <c r="C206" s="24"/>
      <c r="D206" s="24"/>
      <c r="E206" s="24"/>
      <c r="F206" s="38"/>
      <c r="G206" s="27"/>
      <c r="H206" s="24"/>
      <c r="I206" s="27"/>
      <c r="J206" s="26"/>
      <c r="K206" s="24"/>
      <c r="L206" s="24"/>
      <c r="M206" s="24" t="str">
        <f>IF(B206="","",IF(COUNTIFS(Cobranza!$C$9:$C$1008,B206,Cobranza!$N$9:$N$1008,"Vencida")&gt;0,"Vencida",IF(COUNTIFS(Cobranza!$C$9:$C$1008,B206,Cobranza!$N$9:$N$1008,"Parcial")&gt;0,"Parcial",IF(COUNTIFS(Cobranza!$C$9:$C$1008,B206,Cobranza!$N$9:$N$1008,"Pendiente")&gt;0,"Pendiente",IF(COUNTIFS(Cobranza!$C$9:$C$1008,B206,Cobranza!$N$9:$N$1008,"Pagada")&gt;0,"Pagada","")))))</f>
        <v/>
      </c>
      <c r="N206" s="33" t="str">
        <f t="shared" ca="1" si="3"/>
        <v/>
      </c>
      <c r="O206" s="23"/>
      <c r="P206" s="7" t="str">
        <f ca="1">IF(AND(B206&lt;&gt;"",F206&lt;&gt;"Cerrada",F206&lt;&gt;"Perdida",N206&lt;&gt;"",N206&gt;14),COUNTIFS($F$8:$F206,"&lt;&gt;Cerrada",$F$8:$F206,"&lt;&gt;Perdida",$N$8:$N206,"&gt;14"),"")</f>
        <v/>
      </c>
      <c r="Q206" s="8"/>
      <c r="R206" s="9"/>
      <c r="S206" s="10"/>
    </row>
    <row r="207" spans="2:19" ht="21.75" customHeight="1" x14ac:dyDescent="0.25">
      <c r="B207" s="24"/>
      <c r="C207" s="24"/>
      <c r="D207" s="24"/>
      <c r="E207" s="24"/>
      <c r="F207" s="38"/>
      <c r="G207" s="27"/>
      <c r="H207" s="24"/>
      <c r="I207" s="27"/>
      <c r="J207" s="26"/>
      <c r="K207" s="24"/>
      <c r="L207" s="24"/>
      <c r="M207" s="24" t="str">
        <f>IF(B207="","",IF(COUNTIFS(Cobranza!$C$9:$C$1008,B207,Cobranza!$N$9:$N$1008,"Vencida")&gt;0,"Vencida",IF(COUNTIFS(Cobranza!$C$9:$C$1008,B207,Cobranza!$N$9:$N$1008,"Parcial")&gt;0,"Parcial",IF(COUNTIFS(Cobranza!$C$9:$C$1008,B207,Cobranza!$N$9:$N$1008,"Pendiente")&gt;0,"Pendiente",IF(COUNTIFS(Cobranza!$C$9:$C$1008,B207,Cobranza!$N$9:$N$1008,"Pagada")&gt;0,"Pagada","")))))</f>
        <v/>
      </c>
      <c r="N207" s="33" t="str">
        <f t="shared" ca="1" si="3"/>
        <v/>
      </c>
      <c r="O207" s="23"/>
      <c r="P207" s="7" t="str">
        <f ca="1">IF(AND(B207&lt;&gt;"",F207&lt;&gt;"Cerrada",F207&lt;&gt;"Perdida",N207&lt;&gt;"",N207&gt;14),COUNTIFS($F$8:$F207,"&lt;&gt;Cerrada",$F$8:$F207,"&lt;&gt;Perdida",$N$8:$N207,"&gt;14"),"")</f>
        <v/>
      </c>
      <c r="Q207" s="8"/>
      <c r="R207" s="9"/>
      <c r="S207" s="10"/>
    </row>
    <row r="208" spans="2:19" ht="21.75" customHeight="1" x14ac:dyDescent="0.25">
      <c r="B208" s="24"/>
      <c r="C208" s="24"/>
      <c r="D208" s="24"/>
      <c r="E208" s="24"/>
      <c r="F208" s="38"/>
      <c r="G208" s="27"/>
      <c r="H208" s="24"/>
      <c r="I208" s="27"/>
      <c r="J208" s="26"/>
      <c r="K208" s="24"/>
      <c r="L208" s="24"/>
      <c r="M208" s="24" t="str">
        <f>IF(B208="","",IF(COUNTIFS(Cobranza!$C$9:$C$1008,B208,Cobranza!$N$9:$N$1008,"Vencida")&gt;0,"Vencida",IF(COUNTIFS(Cobranza!$C$9:$C$1008,B208,Cobranza!$N$9:$N$1008,"Parcial")&gt;0,"Parcial",IF(COUNTIFS(Cobranza!$C$9:$C$1008,B208,Cobranza!$N$9:$N$1008,"Pendiente")&gt;0,"Pendiente",IF(COUNTIFS(Cobranza!$C$9:$C$1008,B208,Cobranza!$N$9:$N$1008,"Pagada")&gt;0,"Pagada","")))))</f>
        <v/>
      </c>
      <c r="N208" s="33" t="str">
        <f t="shared" ca="1" si="3"/>
        <v/>
      </c>
      <c r="O208" s="23"/>
      <c r="P208" s="7" t="str">
        <f ca="1">IF(AND(B208&lt;&gt;"",F208&lt;&gt;"Cerrada",F208&lt;&gt;"Perdida",N208&lt;&gt;"",N208&gt;14),COUNTIFS($F$8:$F208,"&lt;&gt;Cerrada",$F$8:$F208,"&lt;&gt;Perdida",$N$8:$N208,"&gt;14"),"")</f>
        <v/>
      </c>
      <c r="Q208" s="8"/>
      <c r="R208" s="9"/>
      <c r="S208" s="10"/>
    </row>
    <row r="209" spans="2:19" ht="21.75" customHeight="1" x14ac:dyDescent="0.25">
      <c r="B209" s="24"/>
      <c r="C209" s="24"/>
      <c r="D209" s="24"/>
      <c r="E209" s="24"/>
      <c r="F209" s="38"/>
      <c r="G209" s="27"/>
      <c r="H209" s="24"/>
      <c r="I209" s="27"/>
      <c r="J209" s="26"/>
      <c r="K209" s="24"/>
      <c r="L209" s="24"/>
      <c r="M209" s="24" t="str">
        <f>IF(B209="","",IF(COUNTIFS(Cobranza!$C$9:$C$1008,B209,Cobranza!$N$9:$N$1008,"Vencida")&gt;0,"Vencida",IF(COUNTIFS(Cobranza!$C$9:$C$1008,B209,Cobranza!$N$9:$N$1008,"Parcial")&gt;0,"Parcial",IF(COUNTIFS(Cobranza!$C$9:$C$1008,B209,Cobranza!$N$9:$N$1008,"Pendiente")&gt;0,"Pendiente",IF(COUNTIFS(Cobranza!$C$9:$C$1008,B209,Cobranza!$N$9:$N$1008,"Pagada")&gt;0,"Pagada","")))))</f>
        <v/>
      </c>
      <c r="N209" s="33" t="str">
        <f t="shared" ca="1" si="3"/>
        <v/>
      </c>
      <c r="O209" s="23"/>
      <c r="P209" s="7" t="str">
        <f ca="1">IF(AND(B209&lt;&gt;"",F209&lt;&gt;"Cerrada",F209&lt;&gt;"Perdida",N209&lt;&gt;"",N209&gt;14),COUNTIFS($F$8:$F209,"&lt;&gt;Cerrada",$F$8:$F209,"&lt;&gt;Perdida",$N$8:$N209,"&gt;14"),"")</f>
        <v/>
      </c>
      <c r="Q209" s="8"/>
      <c r="R209" s="9"/>
      <c r="S209" s="10"/>
    </row>
    <row r="210" spans="2:19" ht="21.75" customHeight="1" x14ac:dyDescent="0.25">
      <c r="B210" s="24"/>
      <c r="C210" s="24"/>
      <c r="D210" s="24"/>
      <c r="E210" s="24"/>
      <c r="F210" s="38"/>
      <c r="G210" s="27"/>
      <c r="H210" s="24"/>
      <c r="I210" s="27"/>
      <c r="J210" s="26"/>
      <c r="K210" s="24"/>
      <c r="L210" s="24"/>
      <c r="M210" s="24" t="str">
        <f>IF(B210="","",IF(COUNTIFS(Cobranza!$C$9:$C$1008,B210,Cobranza!$N$9:$N$1008,"Vencida")&gt;0,"Vencida",IF(COUNTIFS(Cobranza!$C$9:$C$1008,B210,Cobranza!$N$9:$N$1008,"Parcial")&gt;0,"Parcial",IF(COUNTIFS(Cobranza!$C$9:$C$1008,B210,Cobranza!$N$9:$N$1008,"Pendiente")&gt;0,"Pendiente",IF(COUNTIFS(Cobranza!$C$9:$C$1008,B210,Cobranza!$N$9:$N$1008,"Pagada")&gt;0,"Pagada","")))))</f>
        <v/>
      </c>
      <c r="N210" s="33" t="str">
        <f t="shared" ca="1" si="3"/>
        <v/>
      </c>
      <c r="O210" s="23"/>
      <c r="P210" s="7" t="str">
        <f ca="1">IF(AND(B210&lt;&gt;"",F210&lt;&gt;"Cerrada",F210&lt;&gt;"Perdida",N210&lt;&gt;"",N210&gt;14),COUNTIFS($F$8:$F210,"&lt;&gt;Cerrada",$F$8:$F210,"&lt;&gt;Perdida",$N$8:$N210,"&gt;14"),"")</f>
        <v/>
      </c>
      <c r="Q210" s="8"/>
      <c r="R210" s="9"/>
      <c r="S210" s="10"/>
    </row>
    <row r="211" spans="2:19" ht="21.75" customHeight="1" x14ac:dyDescent="0.25">
      <c r="B211" s="24"/>
      <c r="C211" s="24"/>
      <c r="D211" s="24"/>
      <c r="E211" s="24"/>
      <c r="F211" s="38"/>
      <c r="G211" s="27"/>
      <c r="H211" s="24"/>
      <c r="I211" s="27"/>
      <c r="J211" s="26"/>
      <c r="K211" s="24"/>
      <c r="L211" s="24"/>
      <c r="M211" s="24" t="str">
        <f>IF(B211="","",IF(COUNTIFS(Cobranza!$C$9:$C$1008,B211,Cobranza!$N$9:$N$1008,"Vencida")&gt;0,"Vencida",IF(COUNTIFS(Cobranza!$C$9:$C$1008,B211,Cobranza!$N$9:$N$1008,"Parcial")&gt;0,"Parcial",IF(COUNTIFS(Cobranza!$C$9:$C$1008,B211,Cobranza!$N$9:$N$1008,"Pendiente")&gt;0,"Pendiente",IF(COUNTIFS(Cobranza!$C$9:$C$1008,B211,Cobranza!$N$9:$N$1008,"Pagada")&gt;0,"Pagada","")))))</f>
        <v/>
      </c>
      <c r="N211" s="33" t="str">
        <f t="shared" ca="1" si="3"/>
        <v/>
      </c>
      <c r="O211" s="23"/>
      <c r="P211" s="7" t="str">
        <f ca="1">IF(AND(B211&lt;&gt;"",F211&lt;&gt;"Cerrada",F211&lt;&gt;"Perdida",N211&lt;&gt;"",N211&gt;14),COUNTIFS($F$8:$F211,"&lt;&gt;Cerrada",$F$8:$F211,"&lt;&gt;Perdida",$N$8:$N211,"&gt;14"),"")</f>
        <v/>
      </c>
      <c r="Q211" s="8"/>
      <c r="R211" s="9"/>
      <c r="S211" s="10"/>
    </row>
    <row r="212" spans="2:19" ht="21.75" customHeight="1" x14ac:dyDescent="0.25">
      <c r="B212" s="24"/>
      <c r="C212" s="24"/>
      <c r="D212" s="24"/>
      <c r="E212" s="24"/>
      <c r="F212" s="38"/>
      <c r="G212" s="27"/>
      <c r="H212" s="24"/>
      <c r="I212" s="27"/>
      <c r="J212" s="26"/>
      <c r="K212" s="24"/>
      <c r="L212" s="24"/>
      <c r="M212" s="24" t="str">
        <f>IF(B212="","",IF(COUNTIFS(Cobranza!$C$9:$C$1008,B212,Cobranza!$N$9:$N$1008,"Vencida")&gt;0,"Vencida",IF(COUNTIFS(Cobranza!$C$9:$C$1008,B212,Cobranza!$N$9:$N$1008,"Parcial")&gt;0,"Parcial",IF(COUNTIFS(Cobranza!$C$9:$C$1008,B212,Cobranza!$N$9:$N$1008,"Pendiente")&gt;0,"Pendiente",IF(COUNTIFS(Cobranza!$C$9:$C$1008,B212,Cobranza!$N$9:$N$1008,"Pagada")&gt;0,"Pagada","")))))</f>
        <v/>
      </c>
      <c r="N212" s="33" t="str">
        <f t="shared" ca="1" si="3"/>
        <v/>
      </c>
      <c r="O212" s="23"/>
      <c r="P212" s="7" t="str">
        <f ca="1">IF(AND(B212&lt;&gt;"",F212&lt;&gt;"Cerrada",F212&lt;&gt;"Perdida",N212&lt;&gt;"",N212&gt;14),COUNTIFS($F$8:$F212,"&lt;&gt;Cerrada",$F$8:$F212,"&lt;&gt;Perdida",$N$8:$N212,"&gt;14"),"")</f>
        <v/>
      </c>
      <c r="Q212" s="8"/>
      <c r="R212" s="9"/>
      <c r="S212" s="10"/>
    </row>
    <row r="213" spans="2:19" ht="21.75" customHeight="1" x14ac:dyDescent="0.25">
      <c r="B213" s="24"/>
      <c r="C213" s="24"/>
      <c r="D213" s="24"/>
      <c r="E213" s="24"/>
      <c r="F213" s="38"/>
      <c r="G213" s="27"/>
      <c r="H213" s="24"/>
      <c r="I213" s="27"/>
      <c r="J213" s="26"/>
      <c r="K213" s="24"/>
      <c r="L213" s="24"/>
      <c r="M213" s="24" t="str">
        <f>IF(B213="","",IF(COUNTIFS(Cobranza!$C$9:$C$1008,B213,Cobranza!$N$9:$N$1008,"Vencida")&gt;0,"Vencida",IF(COUNTIFS(Cobranza!$C$9:$C$1008,B213,Cobranza!$N$9:$N$1008,"Parcial")&gt;0,"Parcial",IF(COUNTIFS(Cobranza!$C$9:$C$1008,B213,Cobranza!$N$9:$N$1008,"Pendiente")&gt;0,"Pendiente",IF(COUNTIFS(Cobranza!$C$9:$C$1008,B213,Cobranza!$N$9:$N$1008,"Pagada")&gt;0,"Pagada","")))))</f>
        <v/>
      </c>
      <c r="N213" s="33" t="str">
        <f t="shared" ca="1" si="3"/>
        <v/>
      </c>
      <c r="O213" s="23"/>
      <c r="P213" s="7" t="str">
        <f ca="1">IF(AND(B213&lt;&gt;"",F213&lt;&gt;"Cerrada",F213&lt;&gt;"Perdida",N213&lt;&gt;"",N213&gt;14),COUNTIFS($F$8:$F213,"&lt;&gt;Cerrada",$F$8:$F213,"&lt;&gt;Perdida",$N$8:$N213,"&gt;14"),"")</f>
        <v/>
      </c>
      <c r="Q213" s="8"/>
      <c r="R213" s="9"/>
      <c r="S213" s="10"/>
    </row>
    <row r="214" spans="2:19" ht="21.75" customHeight="1" x14ac:dyDescent="0.25">
      <c r="B214" s="24"/>
      <c r="C214" s="24"/>
      <c r="D214" s="24"/>
      <c r="E214" s="24"/>
      <c r="F214" s="38"/>
      <c r="G214" s="27"/>
      <c r="H214" s="24"/>
      <c r="I214" s="27"/>
      <c r="J214" s="26"/>
      <c r="K214" s="24"/>
      <c r="L214" s="24"/>
      <c r="M214" s="24" t="str">
        <f>IF(B214="","",IF(COUNTIFS(Cobranza!$C$9:$C$1008,B214,Cobranza!$N$9:$N$1008,"Vencida")&gt;0,"Vencida",IF(COUNTIFS(Cobranza!$C$9:$C$1008,B214,Cobranza!$N$9:$N$1008,"Parcial")&gt;0,"Parcial",IF(COUNTIFS(Cobranza!$C$9:$C$1008,B214,Cobranza!$N$9:$N$1008,"Pendiente")&gt;0,"Pendiente",IF(COUNTIFS(Cobranza!$C$9:$C$1008,B214,Cobranza!$N$9:$N$1008,"Pagada")&gt;0,"Pagada","")))))</f>
        <v/>
      </c>
      <c r="N214" s="33" t="str">
        <f t="shared" ca="1" si="3"/>
        <v/>
      </c>
      <c r="O214" s="23"/>
      <c r="P214" s="7" t="str">
        <f ca="1">IF(AND(B214&lt;&gt;"",F214&lt;&gt;"Cerrada",F214&lt;&gt;"Perdida",N214&lt;&gt;"",N214&gt;14),COUNTIFS($F$8:$F214,"&lt;&gt;Cerrada",$F$8:$F214,"&lt;&gt;Perdida",$N$8:$N214,"&gt;14"),"")</f>
        <v/>
      </c>
      <c r="Q214" s="8"/>
      <c r="R214" s="9"/>
      <c r="S214" s="10"/>
    </row>
    <row r="215" spans="2:19" ht="21.75" customHeight="1" x14ac:dyDescent="0.25">
      <c r="B215" s="24"/>
      <c r="C215" s="24"/>
      <c r="D215" s="24"/>
      <c r="E215" s="24"/>
      <c r="F215" s="38"/>
      <c r="G215" s="27"/>
      <c r="H215" s="24"/>
      <c r="I215" s="27"/>
      <c r="J215" s="26"/>
      <c r="K215" s="24"/>
      <c r="L215" s="24"/>
      <c r="M215" s="24" t="str">
        <f>IF(B215="","",IF(COUNTIFS(Cobranza!$C$9:$C$1008,B215,Cobranza!$N$9:$N$1008,"Vencida")&gt;0,"Vencida",IF(COUNTIFS(Cobranza!$C$9:$C$1008,B215,Cobranza!$N$9:$N$1008,"Parcial")&gt;0,"Parcial",IF(COUNTIFS(Cobranza!$C$9:$C$1008,B215,Cobranza!$N$9:$N$1008,"Pendiente")&gt;0,"Pendiente",IF(COUNTIFS(Cobranza!$C$9:$C$1008,B215,Cobranza!$N$9:$N$1008,"Pagada")&gt;0,"Pagada","")))))</f>
        <v/>
      </c>
      <c r="N215" s="33" t="str">
        <f t="shared" ca="1" si="3"/>
        <v/>
      </c>
      <c r="O215" s="23"/>
      <c r="P215" s="7" t="str">
        <f ca="1">IF(AND(B215&lt;&gt;"",F215&lt;&gt;"Cerrada",F215&lt;&gt;"Perdida",N215&lt;&gt;"",N215&gt;14),COUNTIFS($F$8:$F215,"&lt;&gt;Cerrada",$F$8:$F215,"&lt;&gt;Perdida",$N$8:$N215,"&gt;14"),"")</f>
        <v/>
      </c>
      <c r="Q215" s="8"/>
      <c r="R215" s="9"/>
      <c r="S215" s="10"/>
    </row>
    <row r="216" spans="2:19" ht="21.75" customHeight="1" x14ac:dyDescent="0.25">
      <c r="B216" s="24"/>
      <c r="C216" s="24"/>
      <c r="D216" s="24"/>
      <c r="E216" s="24"/>
      <c r="F216" s="38"/>
      <c r="G216" s="27"/>
      <c r="H216" s="24"/>
      <c r="I216" s="27"/>
      <c r="J216" s="26"/>
      <c r="K216" s="24"/>
      <c r="L216" s="24"/>
      <c r="M216" s="24" t="str">
        <f>IF(B216="","",IF(COUNTIFS(Cobranza!$C$9:$C$1008,B216,Cobranza!$N$9:$N$1008,"Vencida")&gt;0,"Vencida",IF(COUNTIFS(Cobranza!$C$9:$C$1008,B216,Cobranza!$N$9:$N$1008,"Parcial")&gt;0,"Parcial",IF(COUNTIFS(Cobranza!$C$9:$C$1008,B216,Cobranza!$N$9:$N$1008,"Pendiente")&gt;0,"Pendiente",IF(COUNTIFS(Cobranza!$C$9:$C$1008,B216,Cobranza!$N$9:$N$1008,"Pagada")&gt;0,"Pagada","")))))</f>
        <v/>
      </c>
      <c r="N216" s="33" t="str">
        <f t="shared" ca="1" si="3"/>
        <v/>
      </c>
      <c r="O216" s="23"/>
      <c r="P216" s="7" t="str">
        <f ca="1">IF(AND(B216&lt;&gt;"",F216&lt;&gt;"Cerrada",F216&lt;&gt;"Perdida",N216&lt;&gt;"",N216&gt;14),COUNTIFS($F$8:$F216,"&lt;&gt;Cerrada",$F$8:$F216,"&lt;&gt;Perdida",$N$8:$N216,"&gt;14"),"")</f>
        <v/>
      </c>
      <c r="Q216" s="8"/>
      <c r="R216" s="9"/>
      <c r="S216" s="10"/>
    </row>
    <row r="217" spans="2:19" ht="21.75" customHeight="1" x14ac:dyDescent="0.25">
      <c r="B217" s="24"/>
      <c r="C217" s="24"/>
      <c r="D217" s="24"/>
      <c r="E217" s="24"/>
      <c r="F217" s="38"/>
      <c r="G217" s="27"/>
      <c r="H217" s="24"/>
      <c r="I217" s="27"/>
      <c r="J217" s="26"/>
      <c r="K217" s="24"/>
      <c r="L217" s="24"/>
      <c r="M217" s="24" t="str">
        <f>IF(B217="","",IF(COUNTIFS(Cobranza!$C$9:$C$1008,B217,Cobranza!$N$9:$N$1008,"Vencida")&gt;0,"Vencida",IF(COUNTIFS(Cobranza!$C$9:$C$1008,B217,Cobranza!$N$9:$N$1008,"Parcial")&gt;0,"Parcial",IF(COUNTIFS(Cobranza!$C$9:$C$1008,B217,Cobranza!$N$9:$N$1008,"Pendiente")&gt;0,"Pendiente",IF(COUNTIFS(Cobranza!$C$9:$C$1008,B217,Cobranza!$N$9:$N$1008,"Pagada")&gt;0,"Pagada","")))))</f>
        <v/>
      </c>
      <c r="N217" s="33" t="str">
        <f t="shared" ca="1" si="3"/>
        <v/>
      </c>
      <c r="O217" s="23"/>
      <c r="P217" s="7" t="str">
        <f ca="1">IF(AND(B217&lt;&gt;"",F217&lt;&gt;"Cerrada",F217&lt;&gt;"Perdida",N217&lt;&gt;"",N217&gt;14),COUNTIFS($F$8:$F217,"&lt;&gt;Cerrada",$F$8:$F217,"&lt;&gt;Perdida",$N$8:$N217,"&gt;14"),"")</f>
        <v/>
      </c>
      <c r="Q217" s="8"/>
      <c r="R217" s="9"/>
      <c r="S217" s="10"/>
    </row>
    <row r="218" spans="2:19" ht="21.75" customHeight="1" x14ac:dyDescent="0.25">
      <c r="B218" s="24"/>
      <c r="C218" s="24"/>
      <c r="D218" s="24"/>
      <c r="E218" s="24"/>
      <c r="F218" s="38"/>
      <c r="G218" s="27"/>
      <c r="H218" s="24"/>
      <c r="I218" s="27"/>
      <c r="J218" s="26"/>
      <c r="K218" s="24"/>
      <c r="L218" s="24"/>
      <c r="M218" s="24" t="str">
        <f>IF(B218="","",IF(COUNTIFS(Cobranza!$C$9:$C$1008,B218,Cobranza!$N$9:$N$1008,"Vencida")&gt;0,"Vencida",IF(COUNTIFS(Cobranza!$C$9:$C$1008,B218,Cobranza!$N$9:$N$1008,"Parcial")&gt;0,"Parcial",IF(COUNTIFS(Cobranza!$C$9:$C$1008,B218,Cobranza!$N$9:$N$1008,"Pendiente")&gt;0,"Pendiente",IF(COUNTIFS(Cobranza!$C$9:$C$1008,B218,Cobranza!$N$9:$N$1008,"Pagada")&gt;0,"Pagada","")))))</f>
        <v/>
      </c>
      <c r="N218" s="33" t="str">
        <f t="shared" ca="1" si="3"/>
        <v/>
      </c>
      <c r="O218" s="23"/>
      <c r="P218" s="7" t="str">
        <f ca="1">IF(AND(B218&lt;&gt;"",F218&lt;&gt;"Cerrada",F218&lt;&gt;"Perdida",N218&lt;&gt;"",N218&gt;14),COUNTIFS($F$8:$F218,"&lt;&gt;Cerrada",$F$8:$F218,"&lt;&gt;Perdida",$N$8:$N218,"&gt;14"),"")</f>
        <v/>
      </c>
      <c r="Q218" s="8"/>
      <c r="R218" s="9"/>
      <c r="S218" s="10"/>
    </row>
    <row r="219" spans="2:19" ht="21.75" customHeight="1" x14ac:dyDescent="0.25">
      <c r="B219" s="24"/>
      <c r="C219" s="24"/>
      <c r="D219" s="24"/>
      <c r="E219" s="24"/>
      <c r="F219" s="38"/>
      <c r="G219" s="27"/>
      <c r="H219" s="24"/>
      <c r="I219" s="27"/>
      <c r="J219" s="26"/>
      <c r="K219" s="24"/>
      <c r="L219" s="24"/>
      <c r="M219" s="24" t="str">
        <f>IF(B219="","",IF(COUNTIFS(Cobranza!$C$9:$C$1008,B219,Cobranza!$N$9:$N$1008,"Vencida")&gt;0,"Vencida",IF(COUNTIFS(Cobranza!$C$9:$C$1008,B219,Cobranza!$N$9:$N$1008,"Parcial")&gt;0,"Parcial",IF(COUNTIFS(Cobranza!$C$9:$C$1008,B219,Cobranza!$N$9:$N$1008,"Pendiente")&gt;0,"Pendiente",IF(COUNTIFS(Cobranza!$C$9:$C$1008,B219,Cobranza!$N$9:$N$1008,"Pagada")&gt;0,"Pagada","")))))</f>
        <v/>
      </c>
      <c r="N219" s="33" t="str">
        <f t="shared" ca="1" si="3"/>
        <v/>
      </c>
      <c r="O219" s="23"/>
      <c r="P219" s="7" t="str">
        <f ca="1">IF(AND(B219&lt;&gt;"",F219&lt;&gt;"Cerrada",F219&lt;&gt;"Perdida",N219&lt;&gt;"",N219&gt;14),COUNTIFS($F$8:$F219,"&lt;&gt;Cerrada",$F$8:$F219,"&lt;&gt;Perdida",$N$8:$N219,"&gt;14"),"")</f>
        <v/>
      </c>
      <c r="Q219" s="8"/>
      <c r="R219" s="9"/>
      <c r="S219" s="10"/>
    </row>
    <row r="220" spans="2:19" ht="21.75" customHeight="1" x14ac:dyDescent="0.25">
      <c r="B220" s="24"/>
      <c r="C220" s="24"/>
      <c r="D220" s="24"/>
      <c r="E220" s="24"/>
      <c r="F220" s="38"/>
      <c r="G220" s="27"/>
      <c r="H220" s="24"/>
      <c r="I220" s="27"/>
      <c r="J220" s="26"/>
      <c r="K220" s="24"/>
      <c r="L220" s="24"/>
      <c r="M220" s="24" t="str">
        <f>IF(B220="","",IF(COUNTIFS(Cobranza!$C$9:$C$1008,B220,Cobranza!$N$9:$N$1008,"Vencida")&gt;0,"Vencida",IF(COUNTIFS(Cobranza!$C$9:$C$1008,B220,Cobranza!$N$9:$N$1008,"Parcial")&gt;0,"Parcial",IF(COUNTIFS(Cobranza!$C$9:$C$1008,B220,Cobranza!$N$9:$N$1008,"Pendiente")&gt;0,"Pendiente",IF(COUNTIFS(Cobranza!$C$9:$C$1008,B220,Cobranza!$N$9:$N$1008,"Pagada")&gt;0,"Pagada","")))))</f>
        <v/>
      </c>
      <c r="N220" s="33" t="str">
        <f t="shared" ca="1" si="3"/>
        <v/>
      </c>
      <c r="O220" s="23"/>
      <c r="P220" s="7" t="str">
        <f ca="1">IF(AND(B220&lt;&gt;"",F220&lt;&gt;"Cerrada",F220&lt;&gt;"Perdida",N220&lt;&gt;"",N220&gt;14),COUNTIFS($F$8:$F220,"&lt;&gt;Cerrada",$F$8:$F220,"&lt;&gt;Perdida",$N$8:$N220,"&gt;14"),"")</f>
        <v/>
      </c>
      <c r="Q220" s="8"/>
      <c r="R220" s="9"/>
      <c r="S220" s="10"/>
    </row>
    <row r="221" spans="2:19" ht="21.75" customHeight="1" x14ac:dyDescent="0.25">
      <c r="B221" s="24"/>
      <c r="C221" s="24"/>
      <c r="D221" s="24"/>
      <c r="E221" s="24"/>
      <c r="F221" s="38"/>
      <c r="G221" s="27"/>
      <c r="H221" s="24"/>
      <c r="I221" s="27"/>
      <c r="J221" s="26"/>
      <c r="K221" s="24"/>
      <c r="L221" s="24"/>
      <c r="M221" s="24" t="str">
        <f>IF(B221="","",IF(COUNTIFS(Cobranza!$C$9:$C$1008,B221,Cobranza!$N$9:$N$1008,"Vencida")&gt;0,"Vencida",IF(COUNTIFS(Cobranza!$C$9:$C$1008,B221,Cobranza!$N$9:$N$1008,"Parcial")&gt;0,"Parcial",IF(COUNTIFS(Cobranza!$C$9:$C$1008,B221,Cobranza!$N$9:$N$1008,"Pendiente")&gt;0,"Pendiente",IF(COUNTIFS(Cobranza!$C$9:$C$1008,B221,Cobranza!$N$9:$N$1008,"Pagada")&gt;0,"Pagada","")))))</f>
        <v/>
      </c>
      <c r="N221" s="33" t="str">
        <f t="shared" ca="1" si="3"/>
        <v/>
      </c>
      <c r="O221" s="23"/>
      <c r="P221" s="7" t="str">
        <f ca="1">IF(AND(B221&lt;&gt;"",F221&lt;&gt;"Cerrada",F221&lt;&gt;"Perdida",N221&lt;&gt;"",N221&gt;14),COUNTIFS($F$8:$F221,"&lt;&gt;Cerrada",$F$8:$F221,"&lt;&gt;Perdida",$N$8:$N221,"&gt;14"),"")</f>
        <v/>
      </c>
      <c r="Q221" s="8"/>
      <c r="R221" s="9"/>
      <c r="S221" s="10"/>
    </row>
    <row r="222" spans="2:19" ht="21.75" customHeight="1" x14ac:dyDescent="0.25">
      <c r="B222" s="24"/>
      <c r="C222" s="24"/>
      <c r="D222" s="24"/>
      <c r="E222" s="24"/>
      <c r="F222" s="38"/>
      <c r="G222" s="27"/>
      <c r="H222" s="24"/>
      <c r="I222" s="27"/>
      <c r="J222" s="26"/>
      <c r="K222" s="24"/>
      <c r="L222" s="24"/>
      <c r="M222" s="24" t="str">
        <f>IF(B222="","",IF(COUNTIFS(Cobranza!$C$9:$C$1008,B222,Cobranza!$N$9:$N$1008,"Vencida")&gt;0,"Vencida",IF(COUNTIFS(Cobranza!$C$9:$C$1008,B222,Cobranza!$N$9:$N$1008,"Parcial")&gt;0,"Parcial",IF(COUNTIFS(Cobranza!$C$9:$C$1008,B222,Cobranza!$N$9:$N$1008,"Pendiente")&gt;0,"Pendiente",IF(COUNTIFS(Cobranza!$C$9:$C$1008,B222,Cobranza!$N$9:$N$1008,"Pagada")&gt;0,"Pagada","")))))</f>
        <v/>
      </c>
      <c r="N222" s="33" t="str">
        <f t="shared" ca="1" si="3"/>
        <v/>
      </c>
      <c r="O222" s="23"/>
      <c r="P222" s="7" t="str">
        <f ca="1">IF(AND(B222&lt;&gt;"",F222&lt;&gt;"Cerrada",F222&lt;&gt;"Perdida",N222&lt;&gt;"",N222&gt;14),COUNTIFS($F$8:$F222,"&lt;&gt;Cerrada",$F$8:$F222,"&lt;&gt;Perdida",$N$8:$N222,"&gt;14"),"")</f>
        <v/>
      </c>
      <c r="Q222" s="8"/>
      <c r="R222" s="9"/>
      <c r="S222" s="10"/>
    </row>
    <row r="223" spans="2:19" ht="21.75" customHeight="1" x14ac:dyDescent="0.25">
      <c r="B223" s="24"/>
      <c r="C223" s="24"/>
      <c r="D223" s="24"/>
      <c r="E223" s="24"/>
      <c r="F223" s="38"/>
      <c r="G223" s="27"/>
      <c r="H223" s="24"/>
      <c r="I223" s="27"/>
      <c r="J223" s="26"/>
      <c r="K223" s="24"/>
      <c r="L223" s="24"/>
      <c r="M223" s="24" t="str">
        <f>IF(B223="","",IF(COUNTIFS(Cobranza!$C$9:$C$1008,B223,Cobranza!$N$9:$N$1008,"Vencida")&gt;0,"Vencida",IF(COUNTIFS(Cobranza!$C$9:$C$1008,B223,Cobranza!$N$9:$N$1008,"Parcial")&gt;0,"Parcial",IF(COUNTIFS(Cobranza!$C$9:$C$1008,B223,Cobranza!$N$9:$N$1008,"Pendiente")&gt;0,"Pendiente",IF(COUNTIFS(Cobranza!$C$9:$C$1008,B223,Cobranza!$N$9:$N$1008,"Pagada")&gt;0,"Pagada","")))))</f>
        <v/>
      </c>
      <c r="N223" s="33" t="str">
        <f t="shared" ca="1" si="3"/>
        <v/>
      </c>
      <c r="O223" s="23"/>
      <c r="P223" s="7" t="str">
        <f ca="1">IF(AND(B223&lt;&gt;"",F223&lt;&gt;"Cerrada",F223&lt;&gt;"Perdida",N223&lt;&gt;"",N223&gt;14),COUNTIFS($F$8:$F223,"&lt;&gt;Cerrada",$F$8:$F223,"&lt;&gt;Perdida",$N$8:$N223,"&gt;14"),"")</f>
        <v/>
      </c>
      <c r="Q223" s="8"/>
      <c r="R223" s="9"/>
      <c r="S223" s="10"/>
    </row>
    <row r="224" spans="2:19" ht="21.75" customHeight="1" x14ac:dyDescent="0.25">
      <c r="B224" s="24"/>
      <c r="C224" s="24"/>
      <c r="D224" s="24"/>
      <c r="E224" s="24"/>
      <c r="F224" s="38"/>
      <c r="G224" s="27"/>
      <c r="H224" s="24"/>
      <c r="I224" s="27"/>
      <c r="J224" s="26"/>
      <c r="K224" s="24"/>
      <c r="L224" s="24"/>
      <c r="M224" s="24" t="str">
        <f>IF(B224="","",IF(COUNTIFS(Cobranza!$C$9:$C$1008,B224,Cobranza!$N$9:$N$1008,"Vencida")&gt;0,"Vencida",IF(COUNTIFS(Cobranza!$C$9:$C$1008,B224,Cobranza!$N$9:$N$1008,"Parcial")&gt;0,"Parcial",IF(COUNTIFS(Cobranza!$C$9:$C$1008,B224,Cobranza!$N$9:$N$1008,"Pendiente")&gt;0,"Pendiente",IF(COUNTIFS(Cobranza!$C$9:$C$1008,B224,Cobranza!$N$9:$N$1008,"Pagada")&gt;0,"Pagada","")))))</f>
        <v/>
      </c>
      <c r="N224" s="33" t="str">
        <f t="shared" ca="1" si="3"/>
        <v/>
      </c>
      <c r="O224" s="23"/>
      <c r="P224" s="7" t="str">
        <f ca="1">IF(AND(B224&lt;&gt;"",F224&lt;&gt;"Cerrada",F224&lt;&gt;"Perdida",N224&lt;&gt;"",N224&gt;14),COUNTIFS($F$8:$F224,"&lt;&gt;Cerrada",$F$8:$F224,"&lt;&gt;Perdida",$N$8:$N224,"&gt;14"),"")</f>
        <v/>
      </c>
      <c r="Q224" s="8"/>
      <c r="R224" s="9"/>
      <c r="S224" s="10"/>
    </row>
    <row r="225" spans="2:19" ht="21.75" customHeight="1" x14ac:dyDescent="0.25">
      <c r="B225" s="24"/>
      <c r="C225" s="24"/>
      <c r="D225" s="24"/>
      <c r="E225" s="24"/>
      <c r="F225" s="38"/>
      <c r="G225" s="27"/>
      <c r="H225" s="24"/>
      <c r="I225" s="27"/>
      <c r="J225" s="26"/>
      <c r="K225" s="24"/>
      <c r="L225" s="24"/>
      <c r="M225" s="24" t="str">
        <f>IF(B225="","",IF(COUNTIFS(Cobranza!$C$9:$C$1008,B225,Cobranza!$N$9:$N$1008,"Vencida")&gt;0,"Vencida",IF(COUNTIFS(Cobranza!$C$9:$C$1008,B225,Cobranza!$N$9:$N$1008,"Parcial")&gt;0,"Parcial",IF(COUNTIFS(Cobranza!$C$9:$C$1008,B225,Cobranza!$N$9:$N$1008,"Pendiente")&gt;0,"Pendiente",IF(COUNTIFS(Cobranza!$C$9:$C$1008,B225,Cobranza!$N$9:$N$1008,"Pagada")&gt;0,"Pagada","")))))</f>
        <v/>
      </c>
      <c r="N225" s="33" t="str">
        <f t="shared" ca="1" si="3"/>
        <v/>
      </c>
      <c r="O225" s="23"/>
      <c r="P225" s="7" t="str">
        <f ca="1">IF(AND(B225&lt;&gt;"",F225&lt;&gt;"Cerrada",F225&lt;&gt;"Perdida",N225&lt;&gt;"",N225&gt;14),COUNTIFS($F$8:$F225,"&lt;&gt;Cerrada",$F$8:$F225,"&lt;&gt;Perdida",$N$8:$N225,"&gt;14"),"")</f>
        <v/>
      </c>
      <c r="Q225" s="8"/>
      <c r="R225" s="9"/>
      <c r="S225" s="10"/>
    </row>
    <row r="226" spans="2:19" ht="21.75" customHeight="1" x14ac:dyDescent="0.25">
      <c r="B226" s="24"/>
      <c r="C226" s="24"/>
      <c r="D226" s="24"/>
      <c r="E226" s="24"/>
      <c r="F226" s="38"/>
      <c r="G226" s="27"/>
      <c r="H226" s="24"/>
      <c r="I226" s="27"/>
      <c r="J226" s="26"/>
      <c r="K226" s="24"/>
      <c r="L226" s="24"/>
      <c r="M226" s="24" t="str">
        <f>IF(B226="","",IF(COUNTIFS(Cobranza!$C$9:$C$1008,B226,Cobranza!$N$9:$N$1008,"Vencida")&gt;0,"Vencida",IF(COUNTIFS(Cobranza!$C$9:$C$1008,B226,Cobranza!$N$9:$N$1008,"Parcial")&gt;0,"Parcial",IF(COUNTIFS(Cobranza!$C$9:$C$1008,B226,Cobranza!$N$9:$N$1008,"Pendiente")&gt;0,"Pendiente",IF(COUNTIFS(Cobranza!$C$9:$C$1008,B226,Cobranza!$N$9:$N$1008,"Pagada")&gt;0,"Pagada","")))))</f>
        <v/>
      </c>
      <c r="N226" s="33" t="str">
        <f t="shared" ca="1" si="3"/>
        <v/>
      </c>
      <c r="O226" s="23"/>
      <c r="P226" s="7" t="str">
        <f ca="1">IF(AND(B226&lt;&gt;"",F226&lt;&gt;"Cerrada",F226&lt;&gt;"Perdida",N226&lt;&gt;"",N226&gt;14),COUNTIFS($F$8:$F226,"&lt;&gt;Cerrada",$F$8:$F226,"&lt;&gt;Perdida",$N$8:$N226,"&gt;14"),"")</f>
        <v/>
      </c>
      <c r="Q226" s="8"/>
      <c r="R226" s="9"/>
      <c r="S226" s="10"/>
    </row>
    <row r="227" spans="2:19" ht="21.75" customHeight="1" x14ac:dyDescent="0.25">
      <c r="B227" s="24"/>
      <c r="C227" s="24"/>
      <c r="D227" s="24"/>
      <c r="E227" s="24"/>
      <c r="F227" s="38"/>
      <c r="G227" s="27"/>
      <c r="H227" s="24"/>
      <c r="I227" s="27"/>
      <c r="J227" s="26"/>
      <c r="K227" s="24"/>
      <c r="L227" s="24"/>
      <c r="M227" s="24" t="str">
        <f>IF(B227="","",IF(COUNTIFS(Cobranza!$C$9:$C$1008,B227,Cobranza!$N$9:$N$1008,"Vencida")&gt;0,"Vencida",IF(COUNTIFS(Cobranza!$C$9:$C$1008,B227,Cobranza!$N$9:$N$1008,"Parcial")&gt;0,"Parcial",IF(COUNTIFS(Cobranza!$C$9:$C$1008,B227,Cobranza!$N$9:$N$1008,"Pendiente")&gt;0,"Pendiente",IF(COUNTIFS(Cobranza!$C$9:$C$1008,B227,Cobranza!$N$9:$N$1008,"Pagada")&gt;0,"Pagada","")))))</f>
        <v/>
      </c>
      <c r="N227" s="33" t="str">
        <f t="shared" ca="1" si="3"/>
        <v/>
      </c>
      <c r="O227" s="23"/>
      <c r="P227" s="7" t="str">
        <f ca="1">IF(AND(B227&lt;&gt;"",F227&lt;&gt;"Cerrada",F227&lt;&gt;"Perdida",N227&lt;&gt;"",N227&gt;14),COUNTIFS($F$8:$F227,"&lt;&gt;Cerrada",$F$8:$F227,"&lt;&gt;Perdida",$N$8:$N227,"&gt;14"),"")</f>
        <v/>
      </c>
      <c r="Q227" s="8"/>
      <c r="R227" s="9"/>
      <c r="S227" s="10"/>
    </row>
    <row r="228" spans="2:19" ht="21.75" customHeight="1" x14ac:dyDescent="0.25">
      <c r="B228" s="24"/>
      <c r="C228" s="24"/>
      <c r="D228" s="24"/>
      <c r="E228" s="24"/>
      <c r="F228" s="38"/>
      <c r="G228" s="27"/>
      <c r="H228" s="24"/>
      <c r="I228" s="27"/>
      <c r="J228" s="26"/>
      <c r="K228" s="24"/>
      <c r="L228" s="24"/>
      <c r="M228" s="24" t="str">
        <f>IF(B228="","",IF(COUNTIFS(Cobranza!$C$9:$C$1008,B228,Cobranza!$N$9:$N$1008,"Vencida")&gt;0,"Vencida",IF(COUNTIFS(Cobranza!$C$9:$C$1008,B228,Cobranza!$N$9:$N$1008,"Parcial")&gt;0,"Parcial",IF(COUNTIFS(Cobranza!$C$9:$C$1008,B228,Cobranza!$N$9:$N$1008,"Pendiente")&gt;0,"Pendiente",IF(COUNTIFS(Cobranza!$C$9:$C$1008,B228,Cobranza!$N$9:$N$1008,"Pagada")&gt;0,"Pagada","")))))</f>
        <v/>
      </c>
      <c r="N228" s="33" t="str">
        <f t="shared" ca="1" si="3"/>
        <v/>
      </c>
      <c r="O228" s="23"/>
      <c r="P228" s="7" t="str">
        <f ca="1">IF(AND(B228&lt;&gt;"",F228&lt;&gt;"Cerrada",F228&lt;&gt;"Perdida",N228&lt;&gt;"",N228&gt;14),COUNTIFS($F$8:$F228,"&lt;&gt;Cerrada",$F$8:$F228,"&lt;&gt;Perdida",$N$8:$N228,"&gt;14"),"")</f>
        <v/>
      </c>
      <c r="Q228" s="8"/>
      <c r="R228" s="9"/>
      <c r="S228" s="10"/>
    </row>
    <row r="229" spans="2:19" ht="21.75" customHeight="1" x14ac:dyDescent="0.25">
      <c r="B229" s="24"/>
      <c r="C229" s="24"/>
      <c r="D229" s="24"/>
      <c r="E229" s="24"/>
      <c r="F229" s="38"/>
      <c r="G229" s="27"/>
      <c r="H229" s="24"/>
      <c r="I229" s="27"/>
      <c r="J229" s="26"/>
      <c r="K229" s="24"/>
      <c r="L229" s="24"/>
      <c r="M229" s="24" t="str">
        <f>IF(B229="","",IF(COUNTIFS(Cobranza!$C$9:$C$1008,B229,Cobranza!$N$9:$N$1008,"Vencida")&gt;0,"Vencida",IF(COUNTIFS(Cobranza!$C$9:$C$1008,B229,Cobranza!$N$9:$N$1008,"Parcial")&gt;0,"Parcial",IF(COUNTIFS(Cobranza!$C$9:$C$1008,B229,Cobranza!$N$9:$N$1008,"Pendiente")&gt;0,"Pendiente",IF(COUNTIFS(Cobranza!$C$9:$C$1008,B229,Cobranza!$N$9:$N$1008,"Pagada")&gt;0,"Pagada","")))))</f>
        <v/>
      </c>
      <c r="N229" s="33" t="str">
        <f t="shared" ca="1" si="3"/>
        <v/>
      </c>
      <c r="O229" s="23"/>
      <c r="P229" s="7" t="str">
        <f ca="1">IF(AND(B229&lt;&gt;"",F229&lt;&gt;"Cerrada",F229&lt;&gt;"Perdida",N229&lt;&gt;"",N229&gt;14),COUNTIFS($F$8:$F229,"&lt;&gt;Cerrada",$F$8:$F229,"&lt;&gt;Perdida",$N$8:$N229,"&gt;14"),"")</f>
        <v/>
      </c>
      <c r="Q229" s="8"/>
      <c r="R229" s="9"/>
      <c r="S229" s="10"/>
    </row>
    <row r="230" spans="2:19" ht="21.75" customHeight="1" x14ac:dyDescent="0.25">
      <c r="B230" s="24"/>
      <c r="C230" s="24"/>
      <c r="D230" s="24"/>
      <c r="E230" s="24"/>
      <c r="F230" s="38"/>
      <c r="G230" s="27"/>
      <c r="H230" s="24"/>
      <c r="I230" s="27"/>
      <c r="J230" s="26"/>
      <c r="K230" s="24"/>
      <c r="L230" s="24"/>
      <c r="M230" s="24" t="str">
        <f>IF(B230="","",IF(COUNTIFS(Cobranza!$C$9:$C$1008,B230,Cobranza!$N$9:$N$1008,"Vencida")&gt;0,"Vencida",IF(COUNTIFS(Cobranza!$C$9:$C$1008,B230,Cobranza!$N$9:$N$1008,"Parcial")&gt;0,"Parcial",IF(COUNTIFS(Cobranza!$C$9:$C$1008,B230,Cobranza!$N$9:$N$1008,"Pendiente")&gt;0,"Pendiente",IF(COUNTIFS(Cobranza!$C$9:$C$1008,B230,Cobranza!$N$9:$N$1008,"Pagada")&gt;0,"Pagada","")))))</f>
        <v/>
      </c>
      <c r="N230" s="33" t="str">
        <f t="shared" ca="1" si="3"/>
        <v/>
      </c>
      <c r="O230" s="23"/>
      <c r="P230" s="7" t="str">
        <f ca="1">IF(AND(B230&lt;&gt;"",F230&lt;&gt;"Cerrada",F230&lt;&gt;"Perdida",N230&lt;&gt;"",N230&gt;14),COUNTIFS($F$8:$F230,"&lt;&gt;Cerrada",$F$8:$F230,"&lt;&gt;Perdida",$N$8:$N230,"&gt;14"),"")</f>
        <v/>
      </c>
      <c r="Q230" s="8"/>
      <c r="R230" s="9"/>
      <c r="S230" s="10"/>
    </row>
    <row r="231" spans="2:19" ht="21.75" customHeight="1" x14ac:dyDescent="0.25">
      <c r="B231" s="24"/>
      <c r="C231" s="24"/>
      <c r="D231" s="24"/>
      <c r="E231" s="24"/>
      <c r="F231" s="38"/>
      <c r="G231" s="27"/>
      <c r="H231" s="24"/>
      <c r="I231" s="27"/>
      <c r="J231" s="26"/>
      <c r="K231" s="24"/>
      <c r="L231" s="24"/>
      <c r="M231" s="24" t="str">
        <f>IF(B231="","",IF(COUNTIFS(Cobranza!$C$9:$C$1008,B231,Cobranza!$N$9:$N$1008,"Vencida")&gt;0,"Vencida",IF(COUNTIFS(Cobranza!$C$9:$C$1008,B231,Cobranza!$N$9:$N$1008,"Parcial")&gt;0,"Parcial",IF(COUNTIFS(Cobranza!$C$9:$C$1008,B231,Cobranza!$N$9:$N$1008,"Pendiente")&gt;0,"Pendiente",IF(COUNTIFS(Cobranza!$C$9:$C$1008,B231,Cobranza!$N$9:$N$1008,"Pagada")&gt;0,"Pagada","")))))</f>
        <v/>
      </c>
      <c r="N231" s="33" t="str">
        <f t="shared" ca="1" si="3"/>
        <v/>
      </c>
      <c r="O231" s="23"/>
      <c r="P231" s="7" t="str">
        <f ca="1">IF(AND(B231&lt;&gt;"",F231&lt;&gt;"Cerrada",F231&lt;&gt;"Perdida",N231&lt;&gt;"",N231&gt;14),COUNTIFS($F$8:$F231,"&lt;&gt;Cerrada",$F$8:$F231,"&lt;&gt;Perdida",$N$8:$N231,"&gt;14"),"")</f>
        <v/>
      </c>
      <c r="Q231" s="8"/>
      <c r="R231" s="9"/>
      <c r="S231" s="10"/>
    </row>
    <row r="232" spans="2:19" ht="21.75" customHeight="1" x14ac:dyDescent="0.25">
      <c r="B232" s="24"/>
      <c r="C232" s="24"/>
      <c r="D232" s="24"/>
      <c r="E232" s="24"/>
      <c r="F232" s="38"/>
      <c r="G232" s="27"/>
      <c r="H232" s="24"/>
      <c r="I232" s="27"/>
      <c r="J232" s="26"/>
      <c r="K232" s="24"/>
      <c r="L232" s="24"/>
      <c r="M232" s="24" t="str">
        <f>IF(B232="","",IF(COUNTIFS(Cobranza!$C$9:$C$1008,B232,Cobranza!$N$9:$N$1008,"Vencida")&gt;0,"Vencida",IF(COUNTIFS(Cobranza!$C$9:$C$1008,B232,Cobranza!$N$9:$N$1008,"Parcial")&gt;0,"Parcial",IF(COUNTIFS(Cobranza!$C$9:$C$1008,B232,Cobranza!$N$9:$N$1008,"Pendiente")&gt;0,"Pendiente",IF(COUNTIFS(Cobranza!$C$9:$C$1008,B232,Cobranza!$N$9:$N$1008,"Pagada")&gt;0,"Pagada","")))))</f>
        <v/>
      </c>
      <c r="N232" s="33" t="str">
        <f t="shared" ca="1" si="3"/>
        <v/>
      </c>
      <c r="O232" s="23"/>
      <c r="P232" s="7" t="str">
        <f ca="1">IF(AND(B232&lt;&gt;"",F232&lt;&gt;"Cerrada",F232&lt;&gt;"Perdida",N232&lt;&gt;"",N232&gt;14),COUNTIFS($F$8:$F232,"&lt;&gt;Cerrada",$F$8:$F232,"&lt;&gt;Perdida",$N$8:$N232,"&gt;14"),"")</f>
        <v/>
      </c>
      <c r="Q232" s="8"/>
      <c r="R232" s="9"/>
      <c r="S232" s="10"/>
    </row>
    <row r="233" spans="2:19" ht="21.75" customHeight="1" x14ac:dyDescent="0.25">
      <c r="B233" s="24"/>
      <c r="C233" s="24"/>
      <c r="D233" s="24"/>
      <c r="E233" s="24"/>
      <c r="F233" s="38"/>
      <c r="G233" s="27"/>
      <c r="H233" s="24"/>
      <c r="I233" s="27"/>
      <c r="J233" s="26"/>
      <c r="K233" s="24"/>
      <c r="L233" s="24"/>
      <c r="M233" s="24" t="str">
        <f>IF(B233="","",IF(COUNTIFS(Cobranza!$C$9:$C$1008,B233,Cobranza!$N$9:$N$1008,"Vencida")&gt;0,"Vencida",IF(COUNTIFS(Cobranza!$C$9:$C$1008,B233,Cobranza!$N$9:$N$1008,"Parcial")&gt;0,"Parcial",IF(COUNTIFS(Cobranza!$C$9:$C$1008,B233,Cobranza!$N$9:$N$1008,"Pendiente")&gt;0,"Pendiente",IF(COUNTIFS(Cobranza!$C$9:$C$1008,B233,Cobranza!$N$9:$N$1008,"Pagada")&gt;0,"Pagada","")))))</f>
        <v/>
      </c>
      <c r="N233" s="33" t="str">
        <f t="shared" ca="1" si="3"/>
        <v/>
      </c>
      <c r="O233" s="23"/>
      <c r="P233" s="7" t="str">
        <f ca="1">IF(AND(B233&lt;&gt;"",F233&lt;&gt;"Cerrada",F233&lt;&gt;"Perdida",N233&lt;&gt;"",N233&gt;14),COUNTIFS($F$8:$F233,"&lt;&gt;Cerrada",$F$8:$F233,"&lt;&gt;Perdida",$N$8:$N233,"&gt;14"),"")</f>
        <v/>
      </c>
      <c r="Q233" s="8"/>
      <c r="R233" s="9"/>
      <c r="S233" s="10"/>
    </row>
    <row r="234" spans="2:19" ht="21.75" customHeight="1" x14ac:dyDescent="0.25">
      <c r="B234" s="24"/>
      <c r="C234" s="24"/>
      <c r="D234" s="24"/>
      <c r="E234" s="24"/>
      <c r="F234" s="38"/>
      <c r="G234" s="27"/>
      <c r="H234" s="24"/>
      <c r="I234" s="27"/>
      <c r="J234" s="26"/>
      <c r="K234" s="24"/>
      <c r="L234" s="24"/>
      <c r="M234" s="24" t="str">
        <f>IF(B234="","",IF(COUNTIFS(Cobranza!$C$9:$C$1008,B234,Cobranza!$N$9:$N$1008,"Vencida")&gt;0,"Vencida",IF(COUNTIFS(Cobranza!$C$9:$C$1008,B234,Cobranza!$N$9:$N$1008,"Parcial")&gt;0,"Parcial",IF(COUNTIFS(Cobranza!$C$9:$C$1008,B234,Cobranza!$N$9:$N$1008,"Pendiente")&gt;0,"Pendiente",IF(COUNTIFS(Cobranza!$C$9:$C$1008,B234,Cobranza!$N$9:$N$1008,"Pagada")&gt;0,"Pagada","")))))</f>
        <v/>
      </c>
      <c r="N234" s="33" t="str">
        <f t="shared" ca="1" si="3"/>
        <v/>
      </c>
      <c r="O234" s="23"/>
      <c r="P234" s="7" t="str">
        <f ca="1">IF(AND(B234&lt;&gt;"",F234&lt;&gt;"Cerrada",F234&lt;&gt;"Perdida",N234&lt;&gt;"",N234&gt;14),COUNTIFS($F$8:$F234,"&lt;&gt;Cerrada",$F$8:$F234,"&lt;&gt;Perdida",$N$8:$N234,"&gt;14"),"")</f>
        <v/>
      </c>
      <c r="Q234" s="8"/>
      <c r="R234" s="9"/>
      <c r="S234" s="10"/>
    </row>
    <row r="235" spans="2:19" ht="21.75" customHeight="1" x14ac:dyDescent="0.25">
      <c r="B235" s="24"/>
      <c r="C235" s="24"/>
      <c r="D235" s="24"/>
      <c r="E235" s="24"/>
      <c r="F235" s="38"/>
      <c r="G235" s="27"/>
      <c r="H235" s="24"/>
      <c r="I235" s="27"/>
      <c r="J235" s="26"/>
      <c r="K235" s="24"/>
      <c r="L235" s="24"/>
      <c r="M235" s="24" t="str">
        <f>IF(B235="","",IF(COUNTIFS(Cobranza!$C$9:$C$1008,B235,Cobranza!$N$9:$N$1008,"Vencida")&gt;0,"Vencida",IF(COUNTIFS(Cobranza!$C$9:$C$1008,B235,Cobranza!$N$9:$N$1008,"Parcial")&gt;0,"Parcial",IF(COUNTIFS(Cobranza!$C$9:$C$1008,B235,Cobranza!$N$9:$N$1008,"Pendiente")&gt;0,"Pendiente",IF(COUNTIFS(Cobranza!$C$9:$C$1008,B235,Cobranza!$N$9:$N$1008,"Pagada")&gt;0,"Pagada","")))))</f>
        <v/>
      </c>
      <c r="N235" s="33" t="str">
        <f t="shared" ca="1" si="3"/>
        <v/>
      </c>
      <c r="O235" s="23"/>
      <c r="P235" s="7" t="str">
        <f ca="1">IF(AND(B235&lt;&gt;"",F235&lt;&gt;"Cerrada",F235&lt;&gt;"Perdida",N235&lt;&gt;"",N235&gt;14),COUNTIFS($F$8:$F235,"&lt;&gt;Cerrada",$F$8:$F235,"&lt;&gt;Perdida",$N$8:$N235,"&gt;14"),"")</f>
        <v/>
      </c>
      <c r="Q235" s="8"/>
      <c r="R235" s="9"/>
      <c r="S235" s="10"/>
    </row>
    <row r="236" spans="2:19" ht="21.75" customHeight="1" x14ac:dyDescent="0.25">
      <c r="B236" s="24"/>
      <c r="C236" s="24"/>
      <c r="D236" s="24"/>
      <c r="E236" s="24"/>
      <c r="F236" s="38"/>
      <c r="G236" s="27"/>
      <c r="H236" s="24"/>
      <c r="I236" s="27"/>
      <c r="J236" s="26"/>
      <c r="K236" s="24"/>
      <c r="L236" s="24"/>
      <c r="M236" s="24" t="str">
        <f>IF(B236="","",IF(COUNTIFS(Cobranza!$C$9:$C$1008,B236,Cobranza!$N$9:$N$1008,"Vencida")&gt;0,"Vencida",IF(COUNTIFS(Cobranza!$C$9:$C$1008,B236,Cobranza!$N$9:$N$1008,"Parcial")&gt;0,"Parcial",IF(COUNTIFS(Cobranza!$C$9:$C$1008,B236,Cobranza!$N$9:$N$1008,"Pendiente")&gt;0,"Pendiente",IF(COUNTIFS(Cobranza!$C$9:$C$1008,B236,Cobranza!$N$9:$N$1008,"Pagada")&gt;0,"Pagada","")))))</f>
        <v/>
      </c>
      <c r="N236" s="33" t="str">
        <f t="shared" ca="1" si="3"/>
        <v/>
      </c>
      <c r="O236" s="23"/>
      <c r="P236" s="7" t="str">
        <f ca="1">IF(AND(B236&lt;&gt;"",F236&lt;&gt;"Cerrada",F236&lt;&gt;"Perdida",N236&lt;&gt;"",N236&gt;14),COUNTIFS($F$8:$F236,"&lt;&gt;Cerrada",$F$8:$F236,"&lt;&gt;Perdida",$N$8:$N236,"&gt;14"),"")</f>
        <v/>
      </c>
      <c r="Q236" s="8"/>
      <c r="R236" s="9"/>
      <c r="S236" s="10"/>
    </row>
    <row r="237" spans="2:19" ht="21.75" customHeight="1" x14ac:dyDescent="0.25">
      <c r="B237" s="24"/>
      <c r="C237" s="24"/>
      <c r="D237" s="24"/>
      <c r="E237" s="24"/>
      <c r="F237" s="38"/>
      <c r="G237" s="27"/>
      <c r="H237" s="24"/>
      <c r="I237" s="27"/>
      <c r="J237" s="26"/>
      <c r="K237" s="24"/>
      <c r="L237" s="24"/>
      <c r="M237" s="24" t="str">
        <f>IF(B237="","",IF(COUNTIFS(Cobranza!$C$9:$C$1008,B237,Cobranza!$N$9:$N$1008,"Vencida")&gt;0,"Vencida",IF(COUNTIFS(Cobranza!$C$9:$C$1008,B237,Cobranza!$N$9:$N$1008,"Parcial")&gt;0,"Parcial",IF(COUNTIFS(Cobranza!$C$9:$C$1008,B237,Cobranza!$N$9:$N$1008,"Pendiente")&gt;0,"Pendiente",IF(COUNTIFS(Cobranza!$C$9:$C$1008,B237,Cobranza!$N$9:$N$1008,"Pagada")&gt;0,"Pagada","")))))</f>
        <v/>
      </c>
      <c r="N237" s="33" t="str">
        <f t="shared" ca="1" si="3"/>
        <v/>
      </c>
      <c r="O237" s="23"/>
      <c r="P237" s="7" t="str">
        <f ca="1">IF(AND(B237&lt;&gt;"",F237&lt;&gt;"Cerrada",F237&lt;&gt;"Perdida",N237&lt;&gt;"",N237&gt;14),COUNTIFS($F$8:$F237,"&lt;&gt;Cerrada",$F$8:$F237,"&lt;&gt;Perdida",$N$8:$N237,"&gt;14"),"")</f>
        <v/>
      </c>
      <c r="Q237" s="8"/>
      <c r="R237" s="9"/>
      <c r="S237" s="10"/>
    </row>
    <row r="238" spans="2:19" ht="21.75" customHeight="1" x14ac:dyDescent="0.25">
      <c r="B238" s="24"/>
      <c r="C238" s="24"/>
      <c r="D238" s="24"/>
      <c r="E238" s="24"/>
      <c r="F238" s="38"/>
      <c r="G238" s="27"/>
      <c r="H238" s="24"/>
      <c r="I238" s="27"/>
      <c r="J238" s="26"/>
      <c r="K238" s="24"/>
      <c r="L238" s="24"/>
      <c r="M238" s="24" t="str">
        <f>IF(B238="","",IF(COUNTIFS(Cobranza!$C$9:$C$1008,B238,Cobranza!$N$9:$N$1008,"Vencida")&gt;0,"Vencida",IF(COUNTIFS(Cobranza!$C$9:$C$1008,B238,Cobranza!$N$9:$N$1008,"Parcial")&gt;0,"Parcial",IF(COUNTIFS(Cobranza!$C$9:$C$1008,B238,Cobranza!$N$9:$N$1008,"Pendiente")&gt;0,"Pendiente",IF(COUNTIFS(Cobranza!$C$9:$C$1008,B238,Cobranza!$N$9:$N$1008,"Pagada")&gt;0,"Pagada","")))))</f>
        <v/>
      </c>
      <c r="N238" s="33" t="str">
        <f t="shared" ca="1" si="3"/>
        <v/>
      </c>
      <c r="O238" s="23"/>
      <c r="P238" s="7" t="str">
        <f ca="1">IF(AND(B238&lt;&gt;"",F238&lt;&gt;"Cerrada",F238&lt;&gt;"Perdida",N238&lt;&gt;"",N238&gt;14),COUNTIFS($F$8:$F238,"&lt;&gt;Cerrada",$F$8:$F238,"&lt;&gt;Perdida",$N$8:$N238,"&gt;14"),"")</f>
        <v/>
      </c>
      <c r="Q238" s="8"/>
      <c r="R238" s="9"/>
      <c r="S238" s="10"/>
    </row>
    <row r="239" spans="2:19" ht="21.75" customHeight="1" x14ac:dyDescent="0.25">
      <c r="B239" s="24"/>
      <c r="C239" s="24"/>
      <c r="D239" s="24"/>
      <c r="E239" s="24"/>
      <c r="F239" s="38"/>
      <c r="G239" s="27"/>
      <c r="H239" s="24"/>
      <c r="I239" s="27"/>
      <c r="J239" s="26"/>
      <c r="K239" s="24"/>
      <c r="L239" s="24"/>
      <c r="M239" s="24" t="str">
        <f>IF(B239="","",IF(COUNTIFS(Cobranza!$C$9:$C$1008,B239,Cobranza!$N$9:$N$1008,"Vencida")&gt;0,"Vencida",IF(COUNTIFS(Cobranza!$C$9:$C$1008,B239,Cobranza!$N$9:$N$1008,"Parcial")&gt;0,"Parcial",IF(COUNTIFS(Cobranza!$C$9:$C$1008,B239,Cobranza!$N$9:$N$1008,"Pendiente")&gt;0,"Pendiente",IF(COUNTIFS(Cobranza!$C$9:$C$1008,B239,Cobranza!$N$9:$N$1008,"Pagada")&gt;0,"Pagada","")))))</f>
        <v/>
      </c>
      <c r="N239" s="33" t="str">
        <f t="shared" ca="1" si="3"/>
        <v/>
      </c>
      <c r="O239" s="23"/>
      <c r="P239" s="7" t="str">
        <f ca="1">IF(AND(B239&lt;&gt;"",F239&lt;&gt;"Cerrada",F239&lt;&gt;"Perdida",N239&lt;&gt;"",N239&gt;14),COUNTIFS($F$8:$F239,"&lt;&gt;Cerrada",$F$8:$F239,"&lt;&gt;Perdida",$N$8:$N239,"&gt;14"),"")</f>
        <v/>
      </c>
      <c r="Q239" s="8"/>
      <c r="R239" s="9"/>
      <c r="S239" s="10"/>
    </row>
    <row r="240" spans="2:19" ht="21.75" customHeight="1" x14ac:dyDescent="0.25">
      <c r="B240" s="24"/>
      <c r="C240" s="24"/>
      <c r="D240" s="24"/>
      <c r="E240" s="24"/>
      <c r="F240" s="38"/>
      <c r="G240" s="27"/>
      <c r="H240" s="24"/>
      <c r="I240" s="27"/>
      <c r="J240" s="26"/>
      <c r="K240" s="24"/>
      <c r="L240" s="24"/>
      <c r="M240" s="24" t="str">
        <f>IF(B240="","",IF(COUNTIFS(Cobranza!$C$9:$C$1008,B240,Cobranza!$N$9:$N$1008,"Vencida")&gt;0,"Vencida",IF(COUNTIFS(Cobranza!$C$9:$C$1008,B240,Cobranza!$N$9:$N$1008,"Parcial")&gt;0,"Parcial",IF(COUNTIFS(Cobranza!$C$9:$C$1008,B240,Cobranza!$N$9:$N$1008,"Pendiente")&gt;0,"Pendiente",IF(COUNTIFS(Cobranza!$C$9:$C$1008,B240,Cobranza!$N$9:$N$1008,"Pagada")&gt;0,"Pagada","")))))</f>
        <v/>
      </c>
      <c r="N240" s="33" t="str">
        <f t="shared" ca="1" si="3"/>
        <v/>
      </c>
      <c r="O240" s="23"/>
      <c r="P240" s="7" t="str">
        <f ca="1">IF(AND(B240&lt;&gt;"",F240&lt;&gt;"Cerrada",F240&lt;&gt;"Perdida",N240&lt;&gt;"",N240&gt;14),COUNTIFS($F$8:$F240,"&lt;&gt;Cerrada",$F$8:$F240,"&lt;&gt;Perdida",$N$8:$N240,"&gt;14"),"")</f>
        <v/>
      </c>
      <c r="Q240" s="8"/>
      <c r="R240" s="9"/>
      <c r="S240" s="10"/>
    </row>
    <row r="241" spans="2:19" ht="21.75" customHeight="1" x14ac:dyDescent="0.25">
      <c r="B241" s="24"/>
      <c r="C241" s="24"/>
      <c r="D241" s="24"/>
      <c r="E241" s="24"/>
      <c r="F241" s="38"/>
      <c r="G241" s="27"/>
      <c r="H241" s="24"/>
      <c r="I241" s="27"/>
      <c r="J241" s="26"/>
      <c r="K241" s="24"/>
      <c r="L241" s="24"/>
      <c r="M241" s="24" t="str">
        <f>IF(B241="","",IF(COUNTIFS(Cobranza!$C$9:$C$1008,B241,Cobranza!$N$9:$N$1008,"Vencida")&gt;0,"Vencida",IF(COUNTIFS(Cobranza!$C$9:$C$1008,B241,Cobranza!$N$9:$N$1008,"Parcial")&gt;0,"Parcial",IF(COUNTIFS(Cobranza!$C$9:$C$1008,B241,Cobranza!$N$9:$N$1008,"Pendiente")&gt;0,"Pendiente",IF(COUNTIFS(Cobranza!$C$9:$C$1008,B241,Cobranza!$N$9:$N$1008,"Pagada")&gt;0,"Pagada","")))))</f>
        <v/>
      </c>
      <c r="N241" s="33" t="str">
        <f t="shared" ca="1" si="3"/>
        <v/>
      </c>
      <c r="O241" s="23"/>
      <c r="P241" s="7" t="str">
        <f ca="1">IF(AND(B241&lt;&gt;"",F241&lt;&gt;"Cerrada",F241&lt;&gt;"Perdida",N241&lt;&gt;"",N241&gt;14),COUNTIFS($F$8:$F241,"&lt;&gt;Cerrada",$F$8:$F241,"&lt;&gt;Perdida",$N$8:$N241,"&gt;14"),"")</f>
        <v/>
      </c>
      <c r="Q241" s="8"/>
      <c r="R241" s="9"/>
      <c r="S241" s="10"/>
    </row>
    <row r="242" spans="2:19" ht="21.75" customHeight="1" x14ac:dyDescent="0.25">
      <c r="B242" s="24"/>
      <c r="C242" s="24"/>
      <c r="D242" s="24"/>
      <c r="E242" s="24"/>
      <c r="F242" s="38"/>
      <c r="G242" s="27"/>
      <c r="H242" s="24"/>
      <c r="I242" s="27"/>
      <c r="J242" s="26"/>
      <c r="K242" s="24"/>
      <c r="L242" s="24"/>
      <c r="M242" s="24" t="str">
        <f>IF(B242="","",IF(COUNTIFS(Cobranza!$C$9:$C$1008,B242,Cobranza!$N$9:$N$1008,"Vencida")&gt;0,"Vencida",IF(COUNTIFS(Cobranza!$C$9:$C$1008,B242,Cobranza!$N$9:$N$1008,"Parcial")&gt;0,"Parcial",IF(COUNTIFS(Cobranza!$C$9:$C$1008,B242,Cobranza!$N$9:$N$1008,"Pendiente")&gt;0,"Pendiente",IF(COUNTIFS(Cobranza!$C$9:$C$1008,B242,Cobranza!$N$9:$N$1008,"Pagada")&gt;0,"Pagada","")))))</f>
        <v/>
      </c>
      <c r="N242" s="33" t="str">
        <f t="shared" ca="1" si="3"/>
        <v/>
      </c>
      <c r="O242" s="23"/>
      <c r="P242" s="7" t="str">
        <f ca="1">IF(AND(B242&lt;&gt;"",F242&lt;&gt;"Cerrada",F242&lt;&gt;"Perdida",N242&lt;&gt;"",N242&gt;14),COUNTIFS($F$8:$F242,"&lt;&gt;Cerrada",$F$8:$F242,"&lt;&gt;Perdida",$N$8:$N242,"&gt;14"),"")</f>
        <v/>
      </c>
      <c r="Q242" s="8"/>
      <c r="R242" s="9"/>
      <c r="S242" s="10"/>
    </row>
    <row r="243" spans="2:19" ht="21.75" customHeight="1" x14ac:dyDescent="0.25">
      <c r="B243" s="24"/>
      <c r="C243" s="24"/>
      <c r="D243" s="24"/>
      <c r="E243" s="24"/>
      <c r="F243" s="38"/>
      <c r="G243" s="27"/>
      <c r="H243" s="24"/>
      <c r="I243" s="27"/>
      <c r="J243" s="26"/>
      <c r="K243" s="24"/>
      <c r="L243" s="24"/>
      <c r="M243" s="24" t="str">
        <f>IF(B243="","",IF(COUNTIFS(Cobranza!$C$9:$C$1008,B243,Cobranza!$N$9:$N$1008,"Vencida")&gt;0,"Vencida",IF(COUNTIFS(Cobranza!$C$9:$C$1008,B243,Cobranza!$N$9:$N$1008,"Parcial")&gt;0,"Parcial",IF(COUNTIFS(Cobranza!$C$9:$C$1008,B243,Cobranza!$N$9:$N$1008,"Pendiente")&gt;0,"Pendiente",IF(COUNTIFS(Cobranza!$C$9:$C$1008,B243,Cobranza!$N$9:$N$1008,"Pagada")&gt;0,"Pagada","")))))</f>
        <v/>
      </c>
      <c r="N243" s="33" t="str">
        <f t="shared" ca="1" si="3"/>
        <v/>
      </c>
      <c r="O243" s="23"/>
      <c r="P243" s="7" t="str">
        <f ca="1">IF(AND(B243&lt;&gt;"",F243&lt;&gt;"Cerrada",F243&lt;&gt;"Perdida",N243&lt;&gt;"",N243&gt;14),COUNTIFS($F$8:$F243,"&lt;&gt;Cerrada",$F$8:$F243,"&lt;&gt;Perdida",$N$8:$N243,"&gt;14"),"")</f>
        <v/>
      </c>
      <c r="Q243" s="8"/>
      <c r="R243" s="9"/>
      <c r="S243" s="10"/>
    </row>
    <row r="244" spans="2:19" ht="21.75" customHeight="1" x14ac:dyDescent="0.25">
      <c r="B244" s="24"/>
      <c r="C244" s="24"/>
      <c r="D244" s="24"/>
      <c r="E244" s="24"/>
      <c r="F244" s="38"/>
      <c r="G244" s="27"/>
      <c r="H244" s="24"/>
      <c r="I244" s="27"/>
      <c r="J244" s="26"/>
      <c r="K244" s="24"/>
      <c r="L244" s="24"/>
      <c r="M244" s="24" t="str">
        <f>IF(B244="","",IF(COUNTIFS(Cobranza!$C$9:$C$1008,B244,Cobranza!$N$9:$N$1008,"Vencida")&gt;0,"Vencida",IF(COUNTIFS(Cobranza!$C$9:$C$1008,B244,Cobranza!$N$9:$N$1008,"Parcial")&gt;0,"Parcial",IF(COUNTIFS(Cobranza!$C$9:$C$1008,B244,Cobranza!$N$9:$N$1008,"Pendiente")&gt;0,"Pendiente",IF(COUNTIFS(Cobranza!$C$9:$C$1008,B244,Cobranza!$N$9:$N$1008,"Pagada")&gt;0,"Pagada","")))))</f>
        <v/>
      </c>
      <c r="N244" s="33" t="str">
        <f t="shared" ca="1" si="3"/>
        <v/>
      </c>
      <c r="O244" s="23"/>
      <c r="P244" s="7" t="str">
        <f ca="1">IF(AND(B244&lt;&gt;"",F244&lt;&gt;"Cerrada",F244&lt;&gt;"Perdida",N244&lt;&gt;"",N244&gt;14),COUNTIFS($F$8:$F244,"&lt;&gt;Cerrada",$F$8:$F244,"&lt;&gt;Perdida",$N$8:$N244,"&gt;14"),"")</f>
        <v/>
      </c>
      <c r="Q244" s="8"/>
      <c r="R244" s="9"/>
      <c r="S244" s="10"/>
    </row>
    <row r="245" spans="2:19" ht="21.75" customHeight="1" x14ac:dyDescent="0.25">
      <c r="B245" s="24"/>
      <c r="C245" s="24"/>
      <c r="D245" s="24"/>
      <c r="E245" s="24"/>
      <c r="F245" s="38"/>
      <c r="G245" s="27"/>
      <c r="H245" s="24"/>
      <c r="I245" s="27"/>
      <c r="J245" s="26"/>
      <c r="K245" s="24"/>
      <c r="L245" s="24"/>
      <c r="M245" s="24" t="str">
        <f>IF(B245="","",IF(COUNTIFS(Cobranza!$C$9:$C$1008,B245,Cobranza!$N$9:$N$1008,"Vencida")&gt;0,"Vencida",IF(COUNTIFS(Cobranza!$C$9:$C$1008,B245,Cobranza!$N$9:$N$1008,"Parcial")&gt;0,"Parcial",IF(COUNTIFS(Cobranza!$C$9:$C$1008,B245,Cobranza!$N$9:$N$1008,"Pendiente")&gt;0,"Pendiente",IF(COUNTIFS(Cobranza!$C$9:$C$1008,B245,Cobranza!$N$9:$N$1008,"Pagada")&gt;0,"Pagada","")))))</f>
        <v/>
      </c>
      <c r="N245" s="33" t="str">
        <f t="shared" ca="1" si="3"/>
        <v/>
      </c>
      <c r="O245" s="23"/>
      <c r="P245" s="7" t="str">
        <f ca="1">IF(AND(B245&lt;&gt;"",F245&lt;&gt;"Cerrada",F245&lt;&gt;"Perdida",N245&lt;&gt;"",N245&gt;14),COUNTIFS($F$8:$F245,"&lt;&gt;Cerrada",$F$8:$F245,"&lt;&gt;Perdida",$N$8:$N245,"&gt;14"),"")</f>
        <v/>
      </c>
      <c r="Q245" s="8"/>
      <c r="R245" s="9"/>
      <c r="S245" s="10"/>
    </row>
    <row r="246" spans="2:19" ht="21.75" customHeight="1" x14ac:dyDescent="0.25">
      <c r="B246" s="24"/>
      <c r="C246" s="24"/>
      <c r="D246" s="24"/>
      <c r="E246" s="24"/>
      <c r="F246" s="38"/>
      <c r="G246" s="27"/>
      <c r="H246" s="24"/>
      <c r="I246" s="27"/>
      <c r="J246" s="26"/>
      <c r="K246" s="24"/>
      <c r="L246" s="24"/>
      <c r="M246" s="24" t="str">
        <f>IF(B246="","",IF(COUNTIFS(Cobranza!$C$9:$C$1008,B246,Cobranza!$N$9:$N$1008,"Vencida")&gt;0,"Vencida",IF(COUNTIFS(Cobranza!$C$9:$C$1008,B246,Cobranza!$N$9:$N$1008,"Parcial")&gt;0,"Parcial",IF(COUNTIFS(Cobranza!$C$9:$C$1008,B246,Cobranza!$N$9:$N$1008,"Pendiente")&gt;0,"Pendiente",IF(COUNTIFS(Cobranza!$C$9:$C$1008,B246,Cobranza!$N$9:$N$1008,"Pagada")&gt;0,"Pagada","")))))</f>
        <v/>
      </c>
      <c r="N246" s="33" t="str">
        <f t="shared" ca="1" si="3"/>
        <v/>
      </c>
      <c r="O246" s="23"/>
      <c r="P246" s="7" t="str">
        <f ca="1">IF(AND(B246&lt;&gt;"",F246&lt;&gt;"Cerrada",F246&lt;&gt;"Perdida",N246&lt;&gt;"",N246&gt;14),COUNTIFS($F$8:$F246,"&lt;&gt;Cerrada",$F$8:$F246,"&lt;&gt;Perdida",$N$8:$N246,"&gt;14"),"")</f>
        <v/>
      </c>
      <c r="Q246" s="8"/>
      <c r="R246" s="9"/>
      <c r="S246" s="10"/>
    </row>
    <row r="247" spans="2:19" ht="21.75" customHeight="1" x14ac:dyDescent="0.25">
      <c r="B247" s="24"/>
      <c r="C247" s="24"/>
      <c r="D247" s="24"/>
      <c r="E247" s="24"/>
      <c r="F247" s="38"/>
      <c r="G247" s="27"/>
      <c r="H247" s="24"/>
      <c r="I247" s="27"/>
      <c r="J247" s="26"/>
      <c r="K247" s="24"/>
      <c r="L247" s="24"/>
      <c r="M247" s="24" t="str">
        <f>IF(B247="","",IF(COUNTIFS(Cobranza!$C$9:$C$1008,B247,Cobranza!$N$9:$N$1008,"Vencida")&gt;0,"Vencida",IF(COUNTIFS(Cobranza!$C$9:$C$1008,B247,Cobranza!$N$9:$N$1008,"Parcial")&gt;0,"Parcial",IF(COUNTIFS(Cobranza!$C$9:$C$1008,B247,Cobranza!$N$9:$N$1008,"Pendiente")&gt;0,"Pendiente",IF(COUNTIFS(Cobranza!$C$9:$C$1008,B247,Cobranza!$N$9:$N$1008,"Pagada")&gt;0,"Pagada","")))))</f>
        <v/>
      </c>
      <c r="N247" s="33" t="str">
        <f t="shared" ca="1" si="3"/>
        <v/>
      </c>
      <c r="O247" s="23"/>
      <c r="P247" s="7" t="str">
        <f ca="1">IF(AND(B247&lt;&gt;"",F247&lt;&gt;"Cerrada",F247&lt;&gt;"Perdida",N247&lt;&gt;"",N247&gt;14),COUNTIFS($F$8:$F247,"&lt;&gt;Cerrada",$F$8:$F247,"&lt;&gt;Perdida",$N$8:$N247,"&gt;14"),"")</f>
        <v/>
      </c>
      <c r="Q247" s="8"/>
      <c r="R247" s="9"/>
      <c r="S247" s="10"/>
    </row>
    <row r="248" spans="2:19" ht="21.75" customHeight="1" x14ac:dyDescent="0.25">
      <c r="B248" s="24"/>
      <c r="C248" s="24"/>
      <c r="D248" s="24"/>
      <c r="E248" s="24"/>
      <c r="F248" s="38"/>
      <c r="G248" s="27"/>
      <c r="H248" s="24"/>
      <c r="I248" s="27"/>
      <c r="J248" s="26"/>
      <c r="K248" s="24"/>
      <c r="L248" s="24"/>
      <c r="M248" s="24" t="str">
        <f>IF(B248="","",IF(COUNTIFS(Cobranza!$C$9:$C$1008,B248,Cobranza!$N$9:$N$1008,"Vencida")&gt;0,"Vencida",IF(COUNTIFS(Cobranza!$C$9:$C$1008,B248,Cobranza!$N$9:$N$1008,"Parcial")&gt;0,"Parcial",IF(COUNTIFS(Cobranza!$C$9:$C$1008,B248,Cobranza!$N$9:$N$1008,"Pendiente")&gt;0,"Pendiente",IF(COUNTIFS(Cobranza!$C$9:$C$1008,B248,Cobranza!$N$9:$N$1008,"Pagada")&gt;0,"Pagada","")))))</f>
        <v/>
      </c>
      <c r="N248" s="33" t="str">
        <f t="shared" ca="1" si="3"/>
        <v/>
      </c>
      <c r="O248" s="23"/>
      <c r="P248" s="7" t="str">
        <f ca="1">IF(AND(B248&lt;&gt;"",F248&lt;&gt;"Cerrada",F248&lt;&gt;"Perdida",N248&lt;&gt;"",N248&gt;14),COUNTIFS($F$8:$F248,"&lt;&gt;Cerrada",$F$8:$F248,"&lt;&gt;Perdida",$N$8:$N248,"&gt;14"),"")</f>
        <v/>
      </c>
      <c r="Q248" s="8"/>
      <c r="R248" s="9"/>
      <c r="S248" s="10"/>
    </row>
    <row r="249" spans="2:19" ht="21.75" customHeight="1" x14ac:dyDescent="0.25">
      <c r="B249" s="24"/>
      <c r="C249" s="24"/>
      <c r="D249" s="24"/>
      <c r="E249" s="24"/>
      <c r="F249" s="38"/>
      <c r="G249" s="27"/>
      <c r="H249" s="24"/>
      <c r="I249" s="27"/>
      <c r="J249" s="26"/>
      <c r="K249" s="24"/>
      <c r="L249" s="24"/>
      <c r="M249" s="24" t="str">
        <f>IF(B249="","",IF(COUNTIFS(Cobranza!$C$9:$C$1008,B249,Cobranza!$N$9:$N$1008,"Vencida")&gt;0,"Vencida",IF(COUNTIFS(Cobranza!$C$9:$C$1008,B249,Cobranza!$N$9:$N$1008,"Parcial")&gt;0,"Parcial",IF(COUNTIFS(Cobranza!$C$9:$C$1008,B249,Cobranza!$N$9:$N$1008,"Pendiente")&gt;0,"Pendiente",IF(COUNTIFS(Cobranza!$C$9:$C$1008,B249,Cobranza!$N$9:$N$1008,"Pagada")&gt;0,"Pagada","")))))</f>
        <v/>
      </c>
      <c r="N249" s="33" t="str">
        <f t="shared" ca="1" si="3"/>
        <v/>
      </c>
      <c r="O249" s="23"/>
      <c r="P249" s="7" t="str">
        <f ca="1">IF(AND(B249&lt;&gt;"",F249&lt;&gt;"Cerrada",F249&lt;&gt;"Perdida",N249&lt;&gt;"",N249&gt;14),COUNTIFS($F$8:$F249,"&lt;&gt;Cerrada",$F$8:$F249,"&lt;&gt;Perdida",$N$8:$N249,"&gt;14"),"")</f>
        <v/>
      </c>
      <c r="Q249" s="8"/>
      <c r="R249" s="9"/>
      <c r="S249" s="10"/>
    </row>
    <row r="250" spans="2:19" ht="21.75" customHeight="1" x14ac:dyDescent="0.25">
      <c r="B250" s="24"/>
      <c r="C250" s="24"/>
      <c r="D250" s="24"/>
      <c r="E250" s="24"/>
      <c r="F250" s="38"/>
      <c r="G250" s="27"/>
      <c r="H250" s="24"/>
      <c r="I250" s="27"/>
      <c r="J250" s="26"/>
      <c r="K250" s="24"/>
      <c r="L250" s="24"/>
      <c r="M250" s="24" t="str">
        <f>IF(B250="","",IF(COUNTIFS(Cobranza!$C$9:$C$1008,B250,Cobranza!$N$9:$N$1008,"Vencida")&gt;0,"Vencida",IF(COUNTIFS(Cobranza!$C$9:$C$1008,B250,Cobranza!$N$9:$N$1008,"Parcial")&gt;0,"Parcial",IF(COUNTIFS(Cobranza!$C$9:$C$1008,B250,Cobranza!$N$9:$N$1008,"Pendiente")&gt;0,"Pendiente",IF(COUNTIFS(Cobranza!$C$9:$C$1008,B250,Cobranza!$N$9:$N$1008,"Pagada")&gt;0,"Pagada","")))))</f>
        <v/>
      </c>
      <c r="N250" s="33" t="str">
        <f t="shared" ca="1" si="3"/>
        <v/>
      </c>
      <c r="O250" s="23"/>
      <c r="P250" s="7" t="str">
        <f ca="1">IF(AND(B250&lt;&gt;"",F250&lt;&gt;"Cerrada",F250&lt;&gt;"Perdida",N250&lt;&gt;"",N250&gt;14),COUNTIFS($F$8:$F250,"&lt;&gt;Cerrada",$F$8:$F250,"&lt;&gt;Perdida",$N$8:$N250,"&gt;14"),"")</f>
        <v/>
      </c>
      <c r="Q250" s="8"/>
      <c r="R250" s="9"/>
      <c r="S250" s="10"/>
    </row>
    <row r="251" spans="2:19" ht="21.75" customHeight="1" x14ac:dyDescent="0.25">
      <c r="B251" s="24"/>
      <c r="C251" s="24"/>
      <c r="D251" s="24"/>
      <c r="E251" s="24"/>
      <c r="F251" s="38"/>
      <c r="G251" s="27"/>
      <c r="H251" s="24"/>
      <c r="I251" s="27"/>
      <c r="J251" s="26"/>
      <c r="K251" s="24"/>
      <c r="L251" s="24"/>
      <c r="M251" s="24" t="str">
        <f>IF(B251="","",IF(COUNTIFS(Cobranza!$C$9:$C$1008,B251,Cobranza!$N$9:$N$1008,"Vencida")&gt;0,"Vencida",IF(COUNTIFS(Cobranza!$C$9:$C$1008,B251,Cobranza!$N$9:$N$1008,"Parcial")&gt;0,"Parcial",IF(COUNTIFS(Cobranza!$C$9:$C$1008,B251,Cobranza!$N$9:$N$1008,"Pendiente")&gt;0,"Pendiente",IF(COUNTIFS(Cobranza!$C$9:$C$1008,B251,Cobranza!$N$9:$N$1008,"Pagada")&gt;0,"Pagada","")))))</f>
        <v/>
      </c>
      <c r="N251" s="33" t="str">
        <f t="shared" ca="1" si="3"/>
        <v/>
      </c>
      <c r="O251" s="23"/>
      <c r="P251" s="7" t="str">
        <f ca="1">IF(AND(B251&lt;&gt;"",F251&lt;&gt;"Cerrada",F251&lt;&gt;"Perdida",N251&lt;&gt;"",N251&gt;14),COUNTIFS($F$8:$F251,"&lt;&gt;Cerrada",$F$8:$F251,"&lt;&gt;Perdida",$N$8:$N251,"&gt;14"),"")</f>
        <v/>
      </c>
      <c r="Q251" s="8"/>
      <c r="R251" s="9"/>
      <c r="S251" s="10"/>
    </row>
    <row r="252" spans="2:19" ht="21.75" customHeight="1" x14ac:dyDescent="0.25">
      <c r="B252" s="24"/>
      <c r="C252" s="24"/>
      <c r="D252" s="24"/>
      <c r="E252" s="24"/>
      <c r="F252" s="38"/>
      <c r="G252" s="27"/>
      <c r="H252" s="24"/>
      <c r="I252" s="27"/>
      <c r="J252" s="26"/>
      <c r="K252" s="24"/>
      <c r="L252" s="24"/>
      <c r="M252" s="24" t="str">
        <f>IF(B252="","",IF(COUNTIFS(Cobranza!$C$9:$C$1008,B252,Cobranza!$N$9:$N$1008,"Vencida")&gt;0,"Vencida",IF(COUNTIFS(Cobranza!$C$9:$C$1008,B252,Cobranza!$N$9:$N$1008,"Parcial")&gt;0,"Parcial",IF(COUNTIFS(Cobranza!$C$9:$C$1008,B252,Cobranza!$N$9:$N$1008,"Pendiente")&gt;0,"Pendiente",IF(COUNTIFS(Cobranza!$C$9:$C$1008,B252,Cobranza!$N$9:$N$1008,"Pagada")&gt;0,"Pagada","")))))</f>
        <v/>
      </c>
      <c r="N252" s="33" t="str">
        <f t="shared" ca="1" si="3"/>
        <v/>
      </c>
      <c r="O252" s="23"/>
      <c r="P252" s="7" t="str">
        <f ca="1">IF(AND(B252&lt;&gt;"",F252&lt;&gt;"Cerrada",F252&lt;&gt;"Perdida",N252&lt;&gt;"",N252&gt;14),COUNTIFS($F$8:$F252,"&lt;&gt;Cerrada",$F$8:$F252,"&lt;&gt;Perdida",$N$8:$N252,"&gt;14"),"")</f>
        <v/>
      </c>
      <c r="Q252" s="8"/>
      <c r="R252" s="9"/>
      <c r="S252" s="10"/>
    </row>
    <row r="253" spans="2:19" ht="21.75" customHeight="1" x14ac:dyDescent="0.25">
      <c r="B253" s="24"/>
      <c r="C253" s="24"/>
      <c r="D253" s="24"/>
      <c r="E253" s="24"/>
      <c r="F253" s="38"/>
      <c r="G253" s="27"/>
      <c r="H253" s="24"/>
      <c r="I253" s="27"/>
      <c r="J253" s="26"/>
      <c r="K253" s="24"/>
      <c r="L253" s="24"/>
      <c r="M253" s="24" t="str">
        <f>IF(B253="","",IF(COUNTIFS(Cobranza!$C$9:$C$1008,B253,Cobranza!$N$9:$N$1008,"Vencida")&gt;0,"Vencida",IF(COUNTIFS(Cobranza!$C$9:$C$1008,B253,Cobranza!$N$9:$N$1008,"Parcial")&gt;0,"Parcial",IF(COUNTIFS(Cobranza!$C$9:$C$1008,B253,Cobranza!$N$9:$N$1008,"Pendiente")&gt;0,"Pendiente",IF(COUNTIFS(Cobranza!$C$9:$C$1008,B253,Cobranza!$N$9:$N$1008,"Pagada")&gt;0,"Pagada","")))))</f>
        <v/>
      </c>
      <c r="N253" s="33" t="str">
        <f t="shared" ca="1" si="3"/>
        <v/>
      </c>
      <c r="O253" s="23"/>
      <c r="P253" s="7" t="str">
        <f ca="1">IF(AND(B253&lt;&gt;"",F253&lt;&gt;"Cerrada",F253&lt;&gt;"Perdida",N253&lt;&gt;"",N253&gt;14),COUNTIFS($F$8:$F253,"&lt;&gt;Cerrada",$F$8:$F253,"&lt;&gt;Perdida",$N$8:$N253,"&gt;14"),"")</f>
        <v/>
      </c>
      <c r="Q253" s="8"/>
      <c r="R253" s="9"/>
      <c r="S253" s="10"/>
    </row>
    <row r="254" spans="2:19" ht="21.75" customHeight="1" x14ac:dyDescent="0.25">
      <c r="B254" s="24"/>
      <c r="C254" s="24"/>
      <c r="D254" s="24"/>
      <c r="E254" s="24"/>
      <c r="F254" s="38"/>
      <c r="G254" s="27"/>
      <c r="H254" s="24"/>
      <c r="I254" s="27"/>
      <c r="J254" s="26"/>
      <c r="K254" s="24"/>
      <c r="L254" s="24"/>
      <c r="M254" s="24" t="str">
        <f>IF(B254="","",IF(COUNTIFS(Cobranza!$C$9:$C$1008,B254,Cobranza!$N$9:$N$1008,"Vencida")&gt;0,"Vencida",IF(COUNTIFS(Cobranza!$C$9:$C$1008,B254,Cobranza!$N$9:$N$1008,"Parcial")&gt;0,"Parcial",IF(COUNTIFS(Cobranza!$C$9:$C$1008,B254,Cobranza!$N$9:$N$1008,"Pendiente")&gt;0,"Pendiente",IF(COUNTIFS(Cobranza!$C$9:$C$1008,B254,Cobranza!$N$9:$N$1008,"Pagada")&gt;0,"Pagada","")))))</f>
        <v/>
      </c>
      <c r="N254" s="33" t="str">
        <f t="shared" ca="1" si="3"/>
        <v/>
      </c>
      <c r="O254" s="23"/>
      <c r="P254" s="7" t="str">
        <f ca="1">IF(AND(B254&lt;&gt;"",F254&lt;&gt;"Cerrada",F254&lt;&gt;"Perdida",N254&lt;&gt;"",N254&gt;14),COUNTIFS($F$8:$F254,"&lt;&gt;Cerrada",$F$8:$F254,"&lt;&gt;Perdida",$N$8:$N254,"&gt;14"),"")</f>
        <v/>
      </c>
      <c r="Q254" s="8"/>
      <c r="R254" s="9"/>
      <c r="S254" s="10"/>
    </row>
    <row r="255" spans="2:19" ht="21.75" customHeight="1" x14ac:dyDescent="0.25">
      <c r="B255" s="24"/>
      <c r="C255" s="24"/>
      <c r="D255" s="24"/>
      <c r="E255" s="24"/>
      <c r="F255" s="38"/>
      <c r="G255" s="27"/>
      <c r="H255" s="24"/>
      <c r="I255" s="27"/>
      <c r="J255" s="26"/>
      <c r="K255" s="24"/>
      <c r="L255" s="24"/>
      <c r="M255" s="24" t="str">
        <f>IF(B255="","",IF(COUNTIFS(Cobranza!$C$9:$C$1008,B255,Cobranza!$N$9:$N$1008,"Vencida")&gt;0,"Vencida",IF(COUNTIFS(Cobranza!$C$9:$C$1008,B255,Cobranza!$N$9:$N$1008,"Parcial")&gt;0,"Parcial",IF(COUNTIFS(Cobranza!$C$9:$C$1008,B255,Cobranza!$N$9:$N$1008,"Pendiente")&gt;0,"Pendiente",IF(COUNTIFS(Cobranza!$C$9:$C$1008,B255,Cobranza!$N$9:$N$1008,"Pagada")&gt;0,"Pagada","")))))</f>
        <v/>
      </c>
      <c r="N255" s="33" t="str">
        <f t="shared" ca="1" si="3"/>
        <v/>
      </c>
      <c r="O255" s="23"/>
      <c r="P255" s="7" t="str">
        <f ca="1">IF(AND(B255&lt;&gt;"",F255&lt;&gt;"Cerrada",F255&lt;&gt;"Perdida",N255&lt;&gt;"",N255&gt;14),COUNTIFS($F$8:$F255,"&lt;&gt;Cerrada",$F$8:$F255,"&lt;&gt;Perdida",$N$8:$N255,"&gt;14"),"")</f>
        <v/>
      </c>
      <c r="Q255" s="8"/>
      <c r="R255" s="9"/>
      <c r="S255" s="10"/>
    </row>
    <row r="256" spans="2:19" ht="21.75" customHeight="1" x14ac:dyDescent="0.25">
      <c r="B256" s="24"/>
      <c r="C256" s="24"/>
      <c r="D256" s="24"/>
      <c r="E256" s="24"/>
      <c r="F256" s="38"/>
      <c r="G256" s="27"/>
      <c r="H256" s="24"/>
      <c r="I256" s="27"/>
      <c r="J256" s="26"/>
      <c r="K256" s="24"/>
      <c r="L256" s="24"/>
      <c r="M256" s="24" t="str">
        <f>IF(B256="","",IF(COUNTIFS(Cobranza!$C$9:$C$1008,B256,Cobranza!$N$9:$N$1008,"Vencida")&gt;0,"Vencida",IF(COUNTIFS(Cobranza!$C$9:$C$1008,B256,Cobranza!$N$9:$N$1008,"Parcial")&gt;0,"Parcial",IF(COUNTIFS(Cobranza!$C$9:$C$1008,B256,Cobranza!$N$9:$N$1008,"Pendiente")&gt;0,"Pendiente",IF(COUNTIFS(Cobranza!$C$9:$C$1008,B256,Cobranza!$N$9:$N$1008,"Pagada")&gt;0,"Pagada","")))))</f>
        <v/>
      </c>
      <c r="N256" s="33" t="str">
        <f t="shared" ca="1" si="3"/>
        <v/>
      </c>
      <c r="O256" s="23"/>
      <c r="P256" s="7" t="str">
        <f ca="1">IF(AND(B256&lt;&gt;"",F256&lt;&gt;"Cerrada",F256&lt;&gt;"Perdida",N256&lt;&gt;"",N256&gt;14),COUNTIFS($F$8:$F256,"&lt;&gt;Cerrada",$F$8:$F256,"&lt;&gt;Perdida",$N$8:$N256,"&gt;14"),"")</f>
        <v/>
      </c>
      <c r="Q256" s="8"/>
      <c r="R256" s="9"/>
      <c r="S256" s="10"/>
    </row>
    <row r="257" spans="2:19" ht="21.75" customHeight="1" x14ac:dyDescent="0.25">
      <c r="B257" s="24"/>
      <c r="C257" s="24"/>
      <c r="D257" s="24"/>
      <c r="E257" s="24"/>
      <c r="F257" s="38"/>
      <c r="G257" s="27"/>
      <c r="H257" s="24"/>
      <c r="I257" s="27"/>
      <c r="J257" s="26"/>
      <c r="K257" s="24"/>
      <c r="L257" s="24"/>
      <c r="M257" s="24" t="str">
        <f>IF(B257="","",IF(COUNTIFS(Cobranza!$C$9:$C$1008,B257,Cobranza!$N$9:$N$1008,"Vencida")&gt;0,"Vencida",IF(COUNTIFS(Cobranza!$C$9:$C$1008,B257,Cobranza!$N$9:$N$1008,"Parcial")&gt;0,"Parcial",IF(COUNTIFS(Cobranza!$C$9:$C$1008,B257,Cobranza!$N$9:$N$1008,"Pendiente")&gt;0,"Pendiente",IF(COUNTIFS(Cobranza!$C$9:$C$1008,B257,Cobranza!$N$9:$N$1008,"Pagada")&gt;0,"Pagada","")))))</f>
        <v/>
      </c>
      <c r="N257" s="33" t="str">
        <f t="shared" ca="1" si="3"/>
        <v/>
      </c>
      <c r="O257" s="23"/>
      <c r="P257" s="7" t="str">
        <f ca="1">IF(AND(B257&lt;&gt;"",F257&lt;&gt;"Cerrada",F257&lt;&gt;"Perdida",N257&lt;&gt;"",N257&gt;14),COUNTIFS($F$8:$F257,"&lt;&gt;Cerrada",$F$8:$F257,"&lt;&gt;Perdida",$N$8:$N257,"&gt;14"),"")</f>
        <v/>
      </c>
      <c r="Q257" s="8"/>
      <c r="R257" s="9"/>
      <c r="S257" s="10"/>
    </row>
    <row r="258" spans="2:19" ht="21.75" customHeight="1" x14ac:dyDescent="0.25">
      <c r="B258" s="24"/>
      <c r="C258" s="24"/>
      <c r="D258" s="24"/>
      <c r="E258" s="24"/>
      <c r="F258" s="38"/>
      <c r="G258" s="27"/>
      <c r="H258" s="24"/>
      <c r="I258" s="27"/>
      <c r="J258" s="26"/>
      <c r="K258" s="24"/>
      <c r="L258" s="24"/>
      <c r="M258" s="24" t="str">
        <f>IF(B258="","",IF(COUNTIFS(Cobranza!$C$9:$C$1008,B258,Cobranza!$N$9:$N$1008,"Vencida")&gt;0,"Vencida",IF(COUNTIFS(Cobranza!$C$9:$C$1008,B258,Cobranza!$N$9:$N$1008,"Parcial")&gt;0,"Parcial",IF(COUNTIFS(Cobranza!$C$9:$C$1008,B258,Cobranza!$N$9:$N$1008,"Pendiente")&gt;0,"Pendiente",IF(COUNTIFS(Cobranza!$C$9:$C$1008,B258,Cobranza!$N$9:$N$1008,"Pagada")&gt;0,"Pagada","")))))</f>
        <v/>
      </c>
      <c r="N258" s="33" t="str">
        <f t="shared" ca="1" si="3"/>
        <v/>
      </c>
      <c r="O258" s="23"/>
      <c r="P258" s="7" t="str">
        <f ca="1">IF(AND(B258&lt;&gt;"",F258&lt;&gt;"Cerrada",F258&lt;&gt;"Perdida",N258&lt;&gt;"",N258&gt;14),COUNTIFS($F$8:$F258,"&lt;&gt;Cerrada",$F$8:$F258,"&lt;&gt;Perdida",$N$8:$N258,"&gt;14"),"")</f>
        <v/>
      </c>
      <c r="Q258" s="8"/>
      <c r="R258" s="9"/>
      <c r="S258" s="10"/>
    </row>
    <row r="259" spans="2:19" ht="21.75" customHeight="1" x14ac:dyDescent="0.25">
      <c r="B259" s="24"/>
      <c r="C259" s="24"/>
      <c r="D259" s="24"/>
      <c r="E259" s="24"/>
      <c r="F259" s="38"/>
      <c r="G259" s="27"/>
      <c r="H259" s="24"/>
      <c r="I259" s="27"/>
      <c r="J259" s="26"/>
      <c r="K259" s="24"/>
      <c r="L259" s="24"/>
      <c r="M259" s="24" t="str">
        <f>IF(B259="","",IF(COUNTIFS(Cobranza!$C$9:$C$1008,B259,Cobranza!$N$9:$N$1008,"Vencida")&gt;0,"Vencida",IF(COUNTIFS(Cobranza!$C$9:$C$1008,B259,Cobranza!$N$9:$N$1008,"Parcial")&gt;0,"Parcial",IF(COUNTIFS(Cobranza!$C$9:$C$1008,B259,Cobranza!$N$9:$N$1008,"Pendiente")&gt;0,"Pendiente",IF(COUNTIFS(Cobranza!$C$9:$C$1008,B259,Cobranza!$N$9:$N$1008,"Pagada")&gt;0,"Pagada","")))))</f>
        <v/>
      </c>
      <c r="N259" s="33" t="str">
        <f t="shared" ca="1" si="3"/>
        <v/>
      </c>
      <c r="O259" s="23"/>
      <c r="P259" s="7" t="str">
        <f ca="1">IF(AND(B259&lt;&gt;"",F259&lt;&gt;"Cerrada",F259&lt;&gt;"Perdida",N259&lt;&gt;"",N259&gt;14),COUNTIFS($F$8:$F259,"&lt;&gt;Cerrada",$F$8:$F259,"&lt;&gt;Perdida",$N$8:$N259,"&gt;14"),"")</f>
        <v/>
      </c>
      <c r="Q259" s="8"/>
      <c r="R259" s="9"/>
      <c r="S259" s="10"/>
    </row>
    <row r="260" spans="2:19" ht="21.75" customHeight="1" x14ac:dyDescent="0.25">
      <c r="B260" s="24"/>
      <c r="C260" s="24"/>
      <c r="D260" s="24"/>
      <c r="E260" s="24"/>
      <c r="F260" s="38"/>
      <c r="G260" s="27"/>
      <c r="H260" s="24"/>
      <c r="I260" s="27"/>
      <c r="J260" s="26"/>
      <c r="K260" s="24"/>
      <c r="L260" s="24"/>
      <c r="M260" s="24" t="str">
        <f>IF(B260="","",IF(COUNTIFS(Cobranza!$C$9:$C$1008,B260,Cobranza!$N$9:$N$1008,"Vencida")&gt;0,"Vencida",IF(COUNTIFS(Cobranza!$C$9:$C$1008,B260,Cobranza!$N$9:$N$1008,"Parcial")&gt;0,"Parcial",IF(COUNTIFS(Cobranza!$C$9:$C$1008,B260,Cobranza!$N$9:$N$1008,"Pendiente")&gt;0,"Pendiente",IF(COUNTIFS(Cobranza!$C$9:$C$1008,B260,Cobranza!$N$9:$N$1008,"Pagada")&gt;0,"Pagada","")))))</f>
        <v/>
      </c>
      <c r="N260" s="33" t="str">
        <f t="shared" ca="1" si="3"/>
        <v/>
      </c>
      <c r="O260" s="23"/>
      <c r="P260" s="7" t="str">
        <f ca="1">IF(AND(B260&lt;&gt;"",F260&lt;&gt;"Cerrada",F260&lt;&gt;"Perdida",N260&lt;&gt;"",N260&gt;14),COUNTIFS($F$8:$F260,"&lt;&gt;Cerrada",$F$8:$F260,"&lt;&gt;Perdida",$N$8:$N260,"&gt;14"),"")</f>
        <v/>
      </c>
      <c r="Q260" s="8"/>
      <c r="R260" s="9"/>
      <c r="S260" s="10"/>
    </row>
    <row r="261" spans="2:19" ht="21.75" customHeight="1" x14ac:dyDescent="0.25">
      <c r="B261" s="24"/>
      <c r="C261" s="24"/>
      <c r="D261" s="24"/>
      <c r="E261" s="24"/>
      <c r="F261" s="38"/>
      <c r="G261" s="27"/>
      <c r="H261" s="24"/>
      <c r="I261" s="27"/>
      <c r="J261" s="26"/>
      <c r="K261" s="24"/>
      <c r="L261" s="24"/>
      <c r="M261" s="24" t="str">
        <f>IF(B261="","",IF(COUNTIFS(Cobranza!$C$9:$C$1008,B261,Cobranza!$N$9:$N$1008,"Vencida")&gt;0,"Vencida",IF(COUNTIFS(Cobranza!$C$9:$C$1008,B261,Cobranza!$N$9:$N$1008,"Parcial")&gt;0,"Parcial",IF(COUNTIFS(Cobranza!$C$9:$C$1008,B261,Cobranza!$N$9:$N$1008,"Pendiente")&gt;0,"Pendiente",IF(COUNTIFS(Cobranza!$C$9:$C$1008,B261,Cobranza!$N$9:$N$1008,"Pagada")&gt;0,"Pagada","")))))</f>
        <v/>
      </c>
      <c r="N261" s="33" t="str">
        <f t="shared" ca="1" si="3"/>
        <v/>
      </c>
      <c r="O261" s="23"/>
      <c r="P261" s="7" t="str">
        <f ca="1">IF(AND(B261&lt;&gt;"",F261&lt;&gt;"Cerrada",F261&lt;&gt;"Perdida",N261&lt;&gt;"",N261&gt;14),COUNTIFS($F$8:$F261,"&lt;&gt;Cerrada",$F$8:$F261,"&lt;&gt;Perdida",$N$8:$N261,"&gt;14"),"")</f>
        <v/>
      </c>
      <c r="Q261" s="8"/>
      <c r="R261" s="9"/>
      <c r="S261" s="10"/>
    </row>
    <row r="262" spans="2:19" ht="21.75" customHeight="1" x14ac:dyDescent="0.25">
      <c r="B262" s="24"/>
      <c r="C262" s="24"/>
      <c r="D262" s="24"/>
      <c r="E262" s="24"/>
      <c r="F262" s="38"/>
      <c r="G262" s="27"/>
      <c r="H262" s="24"/>
      <c r="I262" s="27"/>
      <c r="J262" s="26"/>
      <c r="K262" s="24"/>
      <c r="L262" s="24"/>
      <c r="M262" s="24" t="str">
        <f>IF(B262="","",IF(COUNTIFS(Cobranza!$C$9:$C$1008,B262,Cobranza!$N$9:$N$1008,"Vencida")&gt;0,"Vencida",IF(COUNTIFS(Cobranza!$C$9:$C$1008,B262,Cobranza!$N$9:$N$1008,"Parcial")&gt;0,"Parcial",IF(COUNTIFS(Cobranza!$C$9:$C$1008,B262,Cobranza!$N$9:$N$1008,"Pendiente")&gt;0,"Pendiente",IF(COUNTIFS(Cobranza!$C$9:$C$1008,B262,Cobranza!$N$9:$N$1008,"Pagada")&gt;0,"Pagada","")))))</f>
        <v/>
      </c>
      <c r="N262" s="33" t="str">
        <f t="shared" ca="1" si="3"/>
        <v/>
      </c>
      <c r="O262" s="23"/>
      <c r="P262" s="7" t="str">
        <f ca="1">IF(AND(B262&lt;&gt;"",F262&lt;&gt;"Cerrada",F262&lt;&gt;"Perdida",N262&lt;&gt;"",N262&gt;14),COUNTIFS($F$8:$F262,"&lt;&gt;Cerrada",$F$8:$F262,"&lt;&gt;Perdida",$N$8:$N262,"&gt;14"),"")</f>
        <v/>
      </c>
      <c r="Q262" s="8"/>
      <c r="R262" s="9"/>
      <c r="S262" s="10"/>
    </row>
    <row r="263" spans="2:19" ht="21.75" customHeight="1" x14ac:dyDescent="0.25">
      <c r="B263" s="24"/>
      <c r="C263" s="24"/>
      <c r="D263" s="24"/>
      <c r="E263" s="24"/>
      <c r="F263" s="38"/>
      <c r="G263" s="27"/>
      <c r="H263" s="24"/>
      <c r="I263" s="27"/>
      <c r="J263" s="26"/>
      <c r="K263" s="24"/>
      <c r="L263" s="24"/>
      <c r="M263" s="24" t="str">
        <f>IF(B263="","",IF(COUNTIFS(Cobranza!$C$9:$C$1008,B263,Cobranza!$N$9:$N$1008,"Vencida")&gt;0,"Vencida",IF(COUNTIFS(Cobranza!$C$9:$C$1008,B263,Cobranza!$N$9:$N$1008,"Parcial")&gt;0,"Parcial",IF(COUNTIFS(Cobranza!$C$9:$C$1008,B263,Cobranza!$N$9:$N$1008,"Pendiente")&gt;0,"Pendiente",IF(COUNTIFS(Cobranza!$C$9:$C$1008,B263,Cobranza!$N$9:$N$1008,"Pagada")&gt;0,"Pagada","")))))</f>
        <v/>
      </c>
      <c r="N263" s="33" t="str">
        <f t="shared" ca="1" si="3"/>
        <v/>
      </c>
      <c r="O263" s="23"/>
      <c r="P263" s="7" t="str">
        <f ca="1">IF(AND(B263&lt;&gt;"",F263&lt;&gt;"Cerrada",F263&lt;&gt;"Perdida",N263&lt;&gt;"",N263&gt;14),COUNTIFS($F$8:$F263,"&lt;&gt;Cerrada",$F$8:$F263,"&lt;&gt;Perdida",$N$8:$N263,"&gt;14"),"")</f>
        <v/>
      </c>
      <c r="Q263" s="8"/>
      <c r="R263" s="9"/>
      <c r="S263" s="10"/>
    </row>
    <row r="264" spans="2:19" ht="21.75" customHeight="1" x14ac:dyDescent="0.25">
      <c r="B264" s="24"/>
      <c r="C264" s="24"/>
      <c r="D264" s="24"/>
      <c r="E264" s="24"/>
      <c r="F264" s="38"/>
      <c r="G264" s="27"/>
      <c r="H264" s="24"/>
      <c r="I264" s="27"/>
      <c r="J264" s="26"/>
      <c r="K264" s="24"/>
      <c r="L264" s="24"/>
      <c r="M264" s="24" t="str">
        <f>IF(B264="","",IF(COUNTIFS(Cobranza!$C$9:$C$1008,B264,Cobranza!$N$9:$N$1008,"Vencida")&gt;0,"Vencida",IF(COUNTIFS(Cobranza!$C$9:$C$1008,B264,Cobranza!$N$9:$N$1008,"Parcial")&gt;0,"Parcial",IF(COUNTIFS(Cobranza!$C$9:$C$1008,B264,Cobranza!$N$9:$N$1008,"Pendiente")&gt;0,"Pendiente",IF(COUNTIFS(Cobranza!$C$9:$C$1008,B264,Cobranza!$N$9:$N$1008,"Pagada")&gt;0,"Pagada","")))))</f>
        <v/>
      </c>
      <c r="N264" s="33" t="str">
        <f t="shared" ref="N264:N327" ca="1" si="4">IF(I264="","",MAX(0,TODAY()-I264))</f>
        <v/>
      </c>
      <c r="O264" s="23"/>
      <c r="P264" s="7" t="str">
        <f ca="1">IF(AND(B264&lt;&gt;"",F264&lt;&gt;"Cerrada",F264&lt;&gt;"Perdida",N264&lt;&gt;"",N264&gt;14),COUNTIFS($F$8:$F264,"&lt;&gt;Cerrada",$F$8:$F264,"&lt;&gt;Perdida",$N$8:$N264,"&gt;14"),"")</f>
        <v/>
      </c>
      <c r="Q264" s="8"/>
      <c r="R264" s="9"/>
      <c r="S264" s="10"/>
    </row>
    <row r="265" spans="2:19" ht="21.75" customHeight="1" x14ac:dyDescent="0.25">
      <c r="B265" s="24"/>
      <c r="C265" s="24"/>
      <c r="D265" s="24"/>
      <c r="E265" s="24"/>
      <c r="F265" s="38"/>
      <c r="G265" s="27"/>
      <c r="H265" s="24"/>
      <c r="I265" s="27"/>
      <c r="J265" s="26"/>
      <c r="K265" s="24"/>
      <c r="L265" s="24"/>
      <c r="M265" s="24" t="str">
        <f>IF(B265="","",IF(COUNTIFS(Cobranza!$C$9:$C$1008,B265,Cobranza!$N$9:$N$1008,"Vencida")&gt;0,"Vencida",IF(COUNTIFS(Cobranza!$C$9:$C$1008,B265,Cobranza!$N$9:$N$1008,"Parcial")&gt;0,"Parcial",IF(COUNTIFS(Cobranza!$C$9:$C$1008,B265,Cobranza!$N$9:$N$1008,"Pendiente")&gt;0,"Pendiente",IF(COUNTIFS(Cobranza!$C$9:$C$1008,B265,Cobranza!$N$9:$N$1008,"Pagada")&gt;0,"Pagada","")))))</f>
        <v/>
      </c>
      <c r="N265" s="33" t="str">
        <f t="shared" ca="1" si="4"/>
        <v/>
      </c>
      <c r="O265" s="23"/>
      <c r="P265" s="7" t="str">
        <f ca="1">IF(AND(B265&lt;&gt;"",F265&lt;&gt;"Cerrada",F265&lt;&gt;"Perdida",N265&lt;&gt;"",N265&gt;14),COUNTIFS($F$8:$F265,"&lt;&gt;Cerrada",$F$8:$F265,"&lt;&gt;Perdida",$N$8:$N265,"&gt;14"),"")</f>
        <v/>
      </c>
      <c r="Q265" s="8"/>
      <c r="R265" s="9"/>
      <c r="S265" s="10"/>
    </row>
    <row r="266" spans="2:19" ht="21.75" customHeight="1" x14ac:dyDescent="0.25">
      <c r="B266" s="24"/>
      <c r="C266" s="24"/>
      <c r="D266" s="24"/>
      <c r="E266" s="24"/>
      <c r="F266" s="38"/>
      <c r="G266" s="27"/>
      <c r="H266" s="24"/>
      <c r="I266" s="27"/>
      <c r="J266" s="26"/>
      <c r="K266" s="24"/>
      <c r="L266" s="24"/>
      <c r="M266" s="24" t="str">
        <f>IF(B266="","",IF(COUNTIFS(Cobranza!$C$9:$C$1008,B266,Cobranza!$N$9:$N$1008,"Vencida")&gt;0,"Vencida",IF(COUNTIFS(Cobranza!$C$9:$C$1008,B266,Cobranza!$N$9:$N$1008,"Parcial")&gt;0,"Parcial",IF(COUNTIFS(Cobranza!$C$9:$C$1008,B266,Cobranza!$N$9:$N$1008,"Pendiente")&gt;0,"Pendiente",IF(COUNTIFS(Cobranza!$C$9:$C$1008,B266,Cobranza!$N$9:$N$1008,"Pagada")&gt;0,"Pagada","")))))</f>
        <v/>
      </c>
      <c r="N266" s="33" t="str">
        <f t="shared" ca="1" si="4"/>
        <v/>
      </c>
      <c r="O266" s="23"/>
      <c r="P266" s="7" t="str">
        <f ca="1">IF(AND(B266&lt;&gt;"",F266&lt;&gt;"Cerrada",F266&lt;&gt;"Perdida",N266&lt;&gt;"",N266&gt;14),COUNTIFS($F$8:$F266,"&lt;&gt;Cerrada",$F$8:$F266,"&lt;&gt;Perdida",$N$8:$N266,"&gt;14"),"")</f>
        <v/>
      </c>
      <c r="Q266" s="8"/>
      <c r="R266" s="9"/>
      <c r="S266" s="10"/>
    </row>
    <row r="267" spans="2:19" ht="21.75" customHeight="1" x14ac:dyDescent="0.25">
      <c r="B267" s="24"/>
      <c r="C267" s="24"/>
      <c r="D267" s="24"/>
      <c r="E267" s="24"/>
      <c r="F267" s="38"/>
      <c r="G267" s="27"/>
      <c r="H267" s="24"/>
      <c r="I267" s="27"/>
      <c r="J267" s="26"/>
      <c r="K267" s="24"/>
      <c r="L267" s="24"/>
      <c r="M267" s="24" t="str">
        <f>IF(B267="","",IF(COUNTIFS(Cobranza!$C$9:$C$1008,B267,Cobranza!$N$9:$N$1008,"Vencida")&gt;0,"Vencida",IF(COUNTIFS(Cobranza!$C$9:$C$1008,B267,Cobranza!$N$9:$N$1008,"Parcial")&gt;0,"Parcial",IF(COUNTIFS(Cobranza!$C$9:$C$1008,B267,Cobranza!$N$9:$N$1008,"Pendiente")&gt;0,"Pendiente",IF(COUNTIFS(Cobranza!$C$9:$C$1008,B267,Cobranza!$N$9:$N$1008,"Pagada")&gt;0,"Pagada","")))))</f>
        <v/>
      </c>
      <c r="N267" s="33" t="str">
        <f t="shared" ca="1" si="4"/>
        <v/>
      </c>
      <c r="O267" s="23"/>
      <c r="P267" s="7" t="str">
        <f ca="1">IF(AND(B267&lt;&gt;"",F267&lt;&gt;"Cerrada",F267&lt;&gt;"Perdida",N267&lt;&gt;"",N267&gt;14),COUNTIFS($F$8:$F267,"&lt;&gt;Cerrada",$F$8:$F267,"&lt;&gt;Perdida",$N$8:$N267,"&gt;14"),"")</f>
        <v/>
      </c>
      <c r="Q267" s="8"/>
      <c r="R267" s="9"/>
      <c r="S267" s="10"/>
    </row>
    <row r="268" spans="2:19" ht="21.75" customHeight="1" x14ac:dyDescent="0.25">
      <c r="B268" s="24"/>
      <c r="C268" s="24"/>
      <c r="D268" s="24"/>
      <c r="E268" s="24"/>
      <c r="F268" s="38"/>
      <c r="G268" s="27"/>
      <c r="H268" s="24"/>
      <c r="I268" s="27"/>
      <c r="J268" s="26"/>
      <c r="K268" s="24"/>
      <c r="L268" s="24"/>
      <c r="M268" s="24" t="str">
        <f>IF(B268="","",IF(COUNTIFS(Cobranza!$C$9:$C$1008,B268,Cobranza!$N$9:$N$1008,"Vencida")&gt;0,"Vencida",IF(COUNTIFS(Cobranza!$C$9:$C$1008,B268,Cobranza!$N$9:$N$1008,"Parcial")&gt;0,"Parcial",IF(COUNTIFS(Cobranza!$C$9:$C$1008,B268,Cobranza!$N$9:$N$1008,"Pendiente")&gt;0,"Pendiente",IF(COUNTIFS(Cobranza!$C$9:$C$1008,B268,Cobranza!$N$9:$N$1008,"Pagada")&gt;0,"Pagada","")))))</f>
        <v/>
      </c>
      <c r="N268" s="33" t="str">
        <f t="shared" ca="1" si="4"/>
        <v/>
      </c>
      <c r="O268" s="23"/>
      <c r="P268" s="7" t="str">
        <f ca="1">IF(AND(B268&lt;&gt;"",F268&lt;&gt;"Cerrada",F268&lt;&gt;"Perdida",N268&lt;&gt;"",N268&gt;14),COUNTIFS($F$8:$F268,"&lt;&gt;Cerrada",$F$8:$F268,"&lt;&gt;Perdida",$N$8:$N268,"&gt;14"),"")</f>
        <v/>
      </c>
      <c r="Q268" s="8"/>
      <c r="R268" s="9"/>
      <c r="S268" s="10"/>
    </row>
    <row r="269" spans="2:19" ht="21.75" customHeight="1" x14ac:dyDescent="0.25">
      <c r="B269" s="24"/>
      <c r="C269" s="24"/>
      <c r="D269" s="24"/>
      <c r="E269" s="24"/>
      <c r="F269" s="38"/>
      <c r="G269" s="27"/>
      <c r="H269" s="24"/>
      <c r="I269" s="27"/>
      <c r="J269" s="26"/>
      <c r="K269" s="24"/>
      <c r="L269" s="24"/>
      <c r="M269" s="24" t="str">
        <f>IF(B269="","",IF(COUNTIFS(Cobranza!$C$9:$C$1008,B269,Cobranza!$N$9:$N$1008,"Vencida")&gt;0,"Vencida",IF(COUNTIFS(Cobranza!$C$9:$C$1008,B269,Cobranza!$N$9:$N$1008,"Parcial")&gt;0,"Parcial",IF(COUNTIFS(Cobranza!$C$9:$C$1008,B269,Cobranza!$N$9:$N$1008,"Pendiente")&gt;0,"Pendiente",IF(COUNTIFS(Cobranza!$C$9:$C$1008,B269,Cobranza!$N$9:$N$1008,"Pagada")&gt;0,"Pagada","")))))</f>
        <v/>
      </c>
      <c r="N269" s="33" t="str">
        <f t="shared" ca="1" si="4"/>
        <v/>
      </c>
      <c r="O269" s="23"/>
      <c r="P269" s="7" t="str">
        <f ca="1">IF(AND(B269&lt;&gt;"",F269&lt;&gt;"Cerrada",F269&lt;&gt;"Perdida",N269&lt;&gt;"",N269&gt;14),COUNTIFS($F$8:$F269,"&lt;&gt;Cerrada",$F$8:$F269,"&lt;&gt;Perdida",$N$8:$N269,"&gt;14"),"")</f>
        <v/>
      </c>
      <c r="Q269" s="8"/>
      <c r="R269" s="9"/>
      <c r="S269" s="10"/>
    </row>
    <row r="270" spans="2:19" ht="21.75" customHeight="1" x14ac:dyDescent="0.25">
      <c r="B270" s="24"/>
      <c r="C270" s="24"/>
      <c r="D270" s="24"/>
      <c r="E270" s="24"/>
      <c r="F270" s="38"/>
      <c r="G270" s="27"/>
      <c r="H270" s="24"/>
      <c r="I270" s="27"/>
      <c r="J270" s="26"/>
      <c r="K270" s="24"/>
      <c r="L270" s="24"/>
      <c r="M270" s="24" t="str">
        <f>IF(B270="","",IF(COUNTIFS(Cobranza!$C$9:$C$1008,B270,Cobranza!$N$9:$N$1008,"Vencida")&gt;0,"Vencida",IF(COUNTIFS(Cobranza!$C$9:$C$1008,B270,Cobranza!$N$9:$N$1008,"Parcial")&gt;0,"Parcial",IF(COUNTIFS(Cobranza!$C$9:$C$1008,B270,Cobranza!$N$9:$N$1008,"Pendiente")&gt;0,"Pendiente",IF(COUNTIFS(Cobranza!$C$9:$C$1008,B270,Cobranza!$N$9:$N$1008,"Pagada")&gt;0,"Pagada","")))))</f>
        <v/>
      </c>
      <c r="N270" s="33" t="str">
        <f t="shared" ca="1" si="4"/>
        <v/>
      </c>
      <c r="O270" s="23"/>
      <c r="P270" s="7" t="str">
        <f ca="1">IF(AND(B270&lt;&gt;"",F270&lt;&gt;"Cerrada",F270&lt;&gt;"Perdida",N270&lt;&gt;"",N270&gt;14),COUNTIFS($F$8:$F270,"&lt;&gt;Cerrada",$F$8:$F270,"&lt;&gt;Perdida",$N$8:$N270,"&gt;14"),"")</f>
        <v/>
      </c>
      <c r="Q270" s="8"/>
      <c r="R270" s="9"/>
      <c r="S270" s="10"/>
    </row>
    <row r="271" spans="2:19" ht="21.75" customHeight="1" x14ac:dyDescent="0.25">
      <c r="B271" s="24"/>
      <c r="C271" s="24"/>
      <c r="D271" s="24"/>
      <c r="E271" s="24"/>
      <c r="F271" s="38"/>
      <c r="G271" s="27"/>
      <c r="H271" s="24"/>
      <c r="I271" s="27"/>
      <c r="J271" s="26"/>
      <c r="K271" s="24"/>
      <c r="L271" s="24"/>
      <c r="M271" s="24" t="str">
        <f>IF(B271="","",IF(COUNTIFS(Cobranza!$C$9:$C$1008,B271,Cobranza!$N$9:$N$1008,"Vencida")&gt;0,"Vencida",IF(COUNTIFS(Cobranza!$C$9:$C$1008,B271,Cobranza!$N$9:$N$1008,"Parcial")&gt;0,"Parcial",IF(COUNTIFS(Cobranza!$C$9:$C$1008,B271,Cobranza!$N$9:$N$1008,"Pendiente")&gt;0,"Pendiente",IF(COUNTIFS(Cobranza!$C$9:$C$1008,B271,Cobranza!$N$9:$N$1008,"Pagada")&gt;0,"Pagada","")))))</f>
        <v/>
      </c>
      <c r="N271" s="33" t="str">
        <f t="shared" ca="1" si="4"/>
        <v/>
      </c>
      <c r="O271" s="23"/>
      <c r="P271" s="7" t="str">
        <f ca="1">IF(AND(B271&lt;&gt;"",F271&lt;&gt;"Cerrada",F271&lt;&gt;"Perdida",N271&lt;&gt;"",N271&gt;14),COUNTIFS($F$8:$F271,"&lt;&gt;Cerrada",$F$8:$F271,"&lt;&gt;Perdida",$N$8:$N271,"&gt;14"),"")</f>
        <v/>
      </c>
      <c r="Q271" s="8"/>
      <c r="R271" s="9"/>
      <c r="S271" s="10"/>
    </row>
    <row r="272" spans="2:19" ht="21.75" customHeight="1" x14ac:dyDescent="0.25">
      <c r="B272" s="24"/>
      <c r="C272" s="24"/>
      <c r="D272" s="24"/>
      <c r="E272" s="24"/>
      <c r="F272" s="38"/>
      <c r="G272" s="27"/>
      <c r="H272" s="24"/>
      <c r="I272" s="27"/>
      <c r="J272" s="26"/>
      <c r="K272" s="24"/>
      <c r="L272" s="24"/>
      <c r="M272" s="24" t="str">
        <f>IF(B272="","",IF(COUNTIFS(Cobranza!$C$9:$C$1008,B272,Cobranza!$N$9:$N$1008,"Vencida")&gt;0,"Vencida",IF(COUNTIFS(Cobranza!$C$9:$C$1008,B272,Cobranza!$N$9:$N$1008,"Parcial")&gt;0,"Parcial",IF(COUNTIFS(Cobranza!$C$9:$C$1008,B272,Cobranza!$N$9:$N$1008,"Pendiente")&gt;0,"Pendiente",IF(COUNTIFS(Cobranza!$C$9:$C$1008,B272,Cobranza!$N$9:$N$1008,"Pagada")&gt;0,"Pagada","")))))</f>
        <v/>
      </c>
      <c r="N272" s="33" t="str">
        <f t="shared" ca="1" si="4"/>
        <v/>
      </c>
      <c r="O272" s="23"/>
      <c r="P272" s="7" t="str">
        <f ca="1">IF(AND(B272&lt;&gt;"",F272&lt;&gt;"Cerrada",F272&lt;&gt;"Perdida",N272&lt;&gt;"",N272&gt;14),COUNTIFS($F$8:$F272,"&lt;&gt;Cerrada",$F$8:$F272,"&lt;&gt;Perdida",$N$8:$N272,"&gt;14"),"")</f>
        <v/>
      </c>
      <c r="Q272" s="8"/>
      <c r="R272" s="9"/>
      <c r="S272" s="10"/>
    </row>
    <row r="273" spans="2:19" ht="21.75" customHeight="1" x14ac:dyDescent="0.25">
      <c r="B273" s="24"/>
      <c r="C273" s="24"/>
      <c r="D273" s="24"/>
      <c r="E273" s="24"/>
      <c r="F273" s="38"/>
      <c r="G273" s="27"/>
      <c r="H273" s="24"/>
      <c r="I273" s="27"/>
      <c r="J273" s="26"/>
      <c r="K273" s="24"/>
      <c r="L273" s="24"/>
      <c r="M273" s="24" t="str">
        <f>IF(B273="","",IF(COUNTIFS(Cobranza!$C$9:$C$1008,B273,Cobranza!$N$9:$N$1008,"Vencida")&gt;0,"Vencida",IF(COUNTIFS(Cobranza!$C$9:$C$1008,B273,Cobranza!$N$9:$N$1008,"Parcial")&gt;0,"Parcial",IF(COUNTIFS(Cobranza!$C$9:$C$1008,B273,Cobranza!$N$9:$N$1008,"Pendiente")&gt;0,"Pendiente",IF(COUNTIFS(Cobranza!$C$9:$C$1008,B273,Cobranza!$N$9:$N$1008,"Pagada")&gt;0,"Pagada","")))))</f>
        <v/>
      </c>
      <c r="N273" s="33" t="str">
        <f t="shared" ca="1" si="4"/>
        <v/>
      </c>
      <c r="O273" s="23"/>
      <c r="P273" s="7" t="str">
        <f ca="1">IF(AND(B273&lt;&gt;"",F273&lt;&gt;"Cerrada",F273&lt;&gt;"Perdida",N273&lt;&gt;"",N273&gt;14),COUNTIFS($F$8:$F273,"&lt;&gt;Cerrada",$F$8:$F273,"&lt;&gt;Perdida",$N$8:$N273,"&gt;14"),"")</f>
        <v/>
      </c>
      <c r="Q273" s="8"/>
      <c r="R273" s="9"/>
      <c r="S273" s="10"/>
    </row>
    <row r="274" spans="2:19" ht="21.75" customHeight="1" x14ac:dyDescent="0.25">
      <c r="B274" s="24"/>
      <c r="C274" s="24"/>
      <c r="D274" s="24"/>
      <c r="E274" s="24"/>
      <c r="F274" s="38"/>
      <c r="G274" s="27"/>
      <c r="H274" s="24"/>
      <c r="I274" s="27"/>
      <c r="J274" s="26"/>
      <c r="K274" s="24"/>
      <c r="L274" s="24"/>
      <c r="M274" s="24" t="str">
        <f>IF(B274="","",IF(COUNTIFS(Cobranza!$C$9:$C$1008,B274,Cobranza!$N$9:$N$1008,"Vencida")&gt;0,"Vencida",IF(COUNTIFS(Cobranza!$C$9:$C$1008,B274,Cobranza!$N$9:$N$1008,"Parcial")&gt;0,"Parcial",IF(COUNTIFS(Cobranza!$C$9:$C$1008,B274,Cobranza!$N$9:$N$1008,"Pendiente")&gt;0,"Pendiente",IF(COUNTIFS(Cobranza!$C$9:$C$1008,B274,Cobranza!$N$9:$N$1008,"Pagada")&gt;0,"Pagada","")))))</f>
        <v/>
      </c>
      <c r="N274" s="33" t="str">
        <f t="shared" ca="1" si="4"/>
        <v/>
      </c>
      <c r="O274" s="23"/>
      <c r="P274" s="7" t="str">
        <f ca="1">IF(AND(B274&lt;&gt;"",F274&lt;&gt;"Cerrada",F274&lt;&gt;"Perdida",N274&lt;&gt;"",N274&gt;14),COUNTIFS($F$8:$F274,"&lt;&gt;Cerrada",$F$8:$F274,"&lt;&gt;Perdida",$N$8:$N274,"&gt;14"),"")</f>
        <v/>
      </c>
      <c r="Q274" s="8"/>
      <c r="R274" s="9"/>
      <c r="S274" s="10"/>
    </row>
    <row r="275" spans="2:19" ht="21.75" customHeight="1" x14ac:dyDescent="0.25">
      <c r="B275" s="24"/>
      <c r="C275" s="24"/>
      <c r="D275" s="24"/>
      <c r="E275" s="24"/>
      <c r="F275" s="38"/>
      <c r="G275" s="27"/>
      <c r="H275" s="24"/>
      <c r="I275" s="27"/>
      <c r="J275" s="26"/>
      <c r="K275" s="24"/>
      <c r="L275" s="24"/>
      <c r="M275" s="24" t="str">
        <f>IF(B275="","",IF(COUNTIFS(Cobranza!$C$9:$C$1008,B275,Cobranza!$N$9:$N$1008,"Vencida")&gt;0,"Vencida",IF(COUNTIFS(Cobranza!$C$9:$C$1008,B275,Cobranza!$N$9:$N$1008,"Parcial")&gt;0,"Parcial",IF(COUNTIFS(Cobranza!$C$9:$C$1008,B275,Cobranza!$N$9:$N$1008,"Pendiente")&gt;0,"Pendiente",IF(COUNTIFS(Cobranza!$C$9:$C$1008,B275,Cobranza!$N$9:$N$1008,"Pagada")&gt;0,"Pagada","")))))</f>
        <v/>
      </c>
      <c r="N275" s="33" t="str">
        <f t="shared" ca="1" si="4"/>
        <v/>
      </c>
      <c r="O275" s="23"/>
      <c r="P275" s="7" t="str">
        <f ca="1">IF(AND(B275&lt;&gt;"",F275&lt;&gt;"Cerrada",F275&lt;&gt;"Perdida",N275&lt;&gt;"",N275&gt;14),COUNTIFS($F$8:$F275,"&lt;&gt;Cerrada",$F$8:$F275,"&lt;&gt;Perdida",$N$8:$N275,"&gt;14"),"")</f>
        <v/>
      </c>
      <c r="Q275" s="8"/>
      <c r="R275" s="9"/>
      <c r="S275" s="10"/>
    </row>
    <row r="276" spans="2:19" ht="21.75" customHeight="1" x14ac:dyDescent="0.25">
      <c r="B276" s="24"/>
      <c r="C276" s="24"/>
      <c r="D276" s="24"/>
      <c r="E276" s="24"/>
      <c r="F276" s="38"/>
      <c r="G276" s="27"/>
      <c r="H276" s="24"/>
      <c r="I276" s="27"/>
      <c r="J276" s="26"/>
      <c r="K276" s="24"/>
      <c r="L276" s="24"/>
      <c r="M276" s="24" t="str">
        <f>IF(B276="","",IF(COUNTIFS(Cobranza!$C$9:$C$1008,B276,Cobranza!$N$9:$N$1008,"Vencida")&gt;0,"Vencida",IF(COUNTIFS(Cobranza!$C$9:$C$1008,B276,Cobranza!$N$9:$N$1008,"Parcial")&gt;0,"Parcial",IF(COUNTIFS(Cobranza!$C$9:$C$1008,B276,Cobranza!$N$9:$N$1008,"Pendiente")&gt;0,"Pendiente",IF(COUNTIFS(Cobranza!$C$9:$C$1008,B276,Cobranza!$N$9:$N$1008,"Pagada")&gt;0,"Pagada","")))))</f>
        <v/>
      </c>
      <c r="N276" s="33" t="str">
        <f t="shared" ca="1" si="4"/>
        <v/>
      </c>
      <c r="O276" s="23"/>
      <c r="P276" s="7" t="str">
        <f ca="1">IF(AND(B276&lt;&gt;"",F276&lt;&gt;"Cerrada",F276&lt;&gt;"Perdida",N276&lt;&gt;"",N276&gt;14),COUNTIFS($F$8:$F276,"&lt;&gt;Cerrada",$F$8:$F276,"&lt;&gt;Perdida",$N$8:$N276,"&gt;14"),"")</f>
        <v/>
      </c>
      <c r="Q276" s="8"/>
      <c r="R276" s="9"/>
      <c r="S276" s="10"/>
    </row>
    <row r="277" spans="2:19" ht="21.75" customHeight="1" x14ac:dyDescent="0.25">
      <c r="B277" s="24"/>
      <c r="C277" s="24"/>
      <c r="D277" s="24"/>
      <c r="E277" s="24"/>
      <c r="F277" s="38"/>
      <c r="G277" s="27"/>
      <c r="H277" s="24"/>
      <c r="I277" s="27"/>
      <c r="J277" s="26"/>
      <c r="K277" s="24"/>
      <c r="L277" s="24"/>
      <c r="M277" s="24" t="str">
        <f>IF(B277="","",IF(COUNTIFS(Cobranza!$C$9:$C$1008,B277,Cobranza!$N$9:$N$1008,"Vencida")&gt;0,"Vencida",IF(COUNTIFS(Cobranza!$C$9:$C$1008,B277,Cobranza!$N$9:$N$1008,"Parcial")&gt;0,"Parcial",IF(COUNTIFS(Cobranza!$C$9:$C$1008,B277,Cobranza!$N$9:$N$1008,"Pendiente")&gt;0,"Pendiente",IF(COUNTIFS(Cobranza!$C$9:$C$1008,B277,Cobranza!$N$9:$N$1008,"Pagada")&gt;0,"Pagada","")))))</f>
        <v/>
      </c>
      <c r="N277" s="33" t="str">
        <f t="shared" ca="1" si="4"/>
        <v/>
      </c>
      <c r="O277" s="23"/>
      <c r="P277" s="7" t="str">
        <f ca="1">IF(AND(B277&lt;&gt;"",F277&lt;&gt;"Cerrada",F277&lt;&gt;"Perdida",N277&lt;&gt;"",N277&gt;14),COUNTIFS($F$8:$F277,"&lt;&gt;Cerrada",$F$8:$F277,"&lt;&gt;Perdida",$N$8:$N277,"&gt;14"),"")</f>
        <v/>
      </c>
      <c r="Q277" s="8"/>
      <c r="R277" s="9"/>
      <c r="S277" s="10"/>
    </row>
    <row r="278" spans="2:19" ht="21.75" customHeight="1" x14ac:dyDescent="0.25">
      <c r="B278" s="24"/>
      <c r="C278" s="24"/>
      <c r="D278" s="24"/>
      <c r="E278" s="24"/>
      <c r="F278" s="38"/>
      <c r="G278" s="27"/>
      <c r="H278" s="24"/>
      <c r="I278" s="27"/>
      <c r="J278" s="26"/>
      <c r="K278" s="24"/>
      <c r="L278" s="24"/>
      <c r="M278" s="24" t="str">
        <f>IF(B278="","",IF(COUNTIFS(Cobranza!$C$9:$C$1008,B278,Cobranza!$N$9:$N$1008,"Vencida")&gt;0,"Vencida",IF(COUNTIFS(Cobranza!$C$9:$C$1008,B278,Cobranza!$N$9:$N$1008,"Parcial")&gt;0,"Parcial",IF(COUNTIFS(Cobranza!$C$9:$C$1008,B278,Cobranza!$N$9:$N$1008,"Pendiente")&gt;0,"Pendiente",IF(COUNTIFS(Cobranza!$C$9:$C$1008,B278,Cobranza!$N$9:$N$1008,"Pagada")&gt;0,"Pagada","")))))</f>
        <v/>
      </c>
      <c r="N278" s="33" t="str">
        <f t="shared" ca="1" si="4"/>
        <v/>
      </c>
      <c r="O278" s="23"/>
      <c r="P278" s="7" t="str">
        <f ca="1">IF(AND(B278&lt;&gt;"",F278&lt;&gt;"Cerrada",F278&lt;&gt;"Perdida",N278&lt;&gt;"",N278&gt;14),COUNTIFS($F$8:$F278,"&lt;&gt;Cerrada",$F$8:$F278,"&lt;&gt;Perdida",$N$8:$N278,"&gt;14"),"")</f>
        <v/>
      </c>
      <c r="Q278" s="8"/>
      <c r="R278" s="9"/>
      <c r="S278" s="10"/>
    </row>
    <row r="279" spans="2:19" ht="21.75" customHeight="1" x14ac:dyDescent="0.25">
      <c r="B279" s="24"/>
      <c r="C279" s="24"/>
      <c r="D279" s="24"/>
      <c r="E279" s="24"/>
      <c r="F279" s="38"/>
      <c r="G279" s="27"/>
      <c r="H279" s="24"/>
      <c r="I279" s="27"/>
      <c r="J279" s="26"/>
      <c r="K279" s="24"/>
      <c r="L279" s="24"/>
      <c r="M279" s="24" t="str">
        <f>IF(B279="","",IF(COUNTIFS(Cobranza!$C$9:$C$1008,B279,Cobranza!$N$9:$N$1008,"Vencida")&gt;0,"Vencida",IF(COUNTIFS(Cobranza!$C$9:$C$1008,B279,Cobranza!$N$9:$N$1008,"Parcial")&gt;0,"Parcial",IF(COUNTIFS(Cobranza!$C$9:$C$1008,B279,Cobranza!$N$9:$N$1008,"Pendiente")&gt;0,"Pendiente",IF(COUNTIFS(Cobranza!$C$9:$C$1008,B279,Cobranza!$N$9:$N$1008,"Pagada")&gt;0,"Pagada","")))))</f>
        <v/>
      </c>
      <c r="N279" s="33" t="str">
        <f t="shared" ca="1" si="4"/>
        <v/>
      </c>
      <c r="O279" s="23"/>
      <c r="P279" s="7" t="str">
        <f ca="1">IF(AND(B279&lt;&gt;"",F279&lt;&gt;"Cerrada",F279&lt;&gt;"Perdida",N279&lt;&gt;"",N279&gt;14),COUNTIFS($F$8:$F279,"&lt;&gt;Cerrada",$F$8:$F279,"&lt;&gt;Perdida",$N$8:$N279,"&gt;14"),"")</f>
        <v/>
      </c>
      <c r="Q279" s="8"/>
      <c r="R279" s="9"/>
      <c r="S279" s="10"/>
    </row>
    <row r="280" spans="2:19" ht="21.75" customHeight="1" x14ac:dyDescent="0.25">
      <c r="B280" s="24"/>
      <c r="C280" s="24"/>
      <c r="D280" s="24"/>
      <c r="E280" s="24"/>
      <c r="F280" s="38"/>
      <c r="G280" s="27"/>
      <c r="H280" s="24"/>
      <c r="I280" s="27"/>
      <c r="J280" s="26"/>
      <c r="K280" s="24"/>
      <c r="L280" s="24"/>
      <c r="M280" s="24" t="str">
        <f>IF(B280="","",IF(COUNTIFS(Cobranza!$C$9:$C$1008,B280,Cobranza!$N$9:$N$1008,"Vencida")&gt;0,"Vencida",IF(COUNTIFS(Cobranza!$C$9:$C$1008,B280,Cobranza!$N$9:$N$1008,"Parcial")&gt;0,"Parcial",IF(COUNTIFS(Cobranza!$C$9:$C$1008,B280,Cobranza!$N$9:$N$1008,"Pendiente")&gt;0,"Pendiente",IF(COUNTIFS(Cobranza!$C$9:$C$1008,B280,Cobranza!$N$9:$N$1008,"Pagada")&gt;0,"Pagada","")))))</f>
        <v/>
      </c>
      <c r="N280" s="33" t="str">
        <f t="shared" ca="1" si="4"/>
        <v/>
      </c>
      <c r="O280" s="23"/>
      <c r="P280" s="7" t="str">
        <f ca="1">IF(AND(B280&lt;&gt;"",F280&lt;&gt;"Cerrada",F280&lt;&gt;"Perdida",N280&lt;&gt;"",N280&gt;14),COUNTIFS($F$8:$F280,"&lt;&gt;Cerrada",$F$8:$F280,"&lt;&gt;Perdida",$N$8:$N280,"&gt;14"),"")</f>
        <v/>
      </c>
      <c r="Q280" s="8"/>
      <c r="R280" s="9"/>
      <c r="S280" s="10"/>
    </row>
    <row r="281" spans="2:19" ht="21.75" customHeight="1" x14ac:dyDescent="0.25">
      <c r="B281" s="24"/>
      <c r="C281" s="24"/>
      <c r="D281" s="24"/>
      <c r="E281" s="24"/>
      <c r="F281" s="38"/>
      <c r="G281" s="27"/>
      <c r="H281" s="24"/>
      <c r="I281" s="27"/>
      <c r="J281" s="26"/>
      <c r="K281" s="24"/>
      <c r="L281" s="24"/>
      <c r="M281" s="24" t="str">
        <f>IF(B281="","",IF(COUNTIFS(Cobranza!$C$9:$C$1008,B281,Cobranza!$N$9:$N$1008,"Vencida")&gt;0,"Vencida",IF(COUNTIFS(Cobranza!$C$9:$C$1008,B281,Cobranza!$N$9:$N$1008,"Parcial")&gt;0,"Parcial",IF(COUNTIFS(Cobranza!$C$9:$C$1008,B281,Cobranza!$N$9:$N$1008,"Pendiente")&gt;0,"Pendiente",IF(COUNTIFS(Cobranza!$C$9:$C$1008,B281,Cobranza!$N$9:$N$1008,"Pagada")&gt;0,"Pagada","")))))</f>
        <v/>
      </c>
      <c r="N281" s="33" t="str">
        <f t="shared" ca="1" si="4"/>
        <v/>
      </c>
      <c r="O281" s="23"/>
      <c r="P281" s="7" t="str">
        <f ca="1">IF(AND(B281&lt;&gt;"",F281&lt;&gt;"Cerrada",F281&lt;&gt;"Perdida",N281&lt;&gt;"",N281&gt;14),COUNTIFS($F$8:$F281,"&lt;&gt;Cerrada",$F$8:$F281,"&lt;&gt;Perdida",$N$8:$N281,"&gt;14"),"")</f>
        <v/>
      </c>
      <c r="Q281" s="8"/>
      <c r="R281" s="9"/>
      <c r="S281" s="10"/>
    </row>
    <row r="282" spans="2:19" ht="21.75" customHeight="1" x14ac:dyDescent="0.25">
      <c r="B282" s="24"/>
      <c r="C282" s="24"/>
      <c r="D282" s="24"/>
      <c r="E282" s="24"/>
      <c r="F282" s="38"/>
      <c r="G282" s="27"/>
      <c r="H282" s="24"/>
      <c r="I282" s="27"/>
      <c r="J282" s="26"/>
      <c r="K282" s="24"/>
      <c r="L282" s="24"/>
      <c r="M282" s="24" t="str">
        <f>IF(B282="","",IF(COUNTIFS(Cobranza!$C$9:$C$1008,B282,Cobranza!$N$9:$N$1008,"Vencida")&gt;0,"Vencida",IF(COUNTIFS(Cobranza!$C$9:$C$1008,B282,Cobranza!$N$9:$N$1008,"Parcial")&gt;0,"Parcial",IF(COUNTIFS(Cobranza!$C$9:$C$1008,B282,Cobranza!$N$9:$N$1008,"Pendiente")&gt;0,"Pendiente",IF(COUNTIFS(Cobranza!$C$9:$C$1008,B282,Cobranza!$N$9:$N$1008,"Pagada")&gt;0,"Pagada","")))))</f>
        <v/>
      </c>
      <c r="N282" s="33" t="str">
        <f t="shared" ca="1" si="4"/>
        <v/>
      </c>
      <c r="O282" s="23"/>
      <c r="P282" s="7" t="str">
        <f ca="1">IF(AND(B282&lt;&gt;"",F282&lt;&gt;"Cerrada",F282&lt;&gt;"Perdida",N282&lt;&gt;"",N282&gt;14),COUNTIFS($F$8:$F282,"&lt;&gt;Cerrada",$F$8:$F282,"&lt;&gt;Perdida",$N$8:$N282,"&gt;14"),"")</f>
        <v/>
      </c>
      <c r="Q282" s="8"/>
      <c r="R282" s="9"/>
      <c r="S282" s="10"/>
    </row>
    <row r="283" spans="2:19" ht="21.75" customHeight="1" x14ac:dyDescent="0.25">
      <c r="B283" s="24"/>
      <c r="C283" s="24"/>
      <c r="D283" s="24"/>
      <c r="E283" s="24"/>
      <c r="F283" s="38"/>
      <c r="G283" s="27"/>
      <c r="H283" s="24"/>
      <c r="I283" s="27"/>
      <c r="J283" s="26"/>
      <c r="K283" s="24"/>
      <c r="L283" s="24"/>
      <c r="M283" s="24" t="str">
        <f>IF(B283="","",IF(COUNTIFS(Cobranza!$C$9:$C$1008,B283,Cobranza!$N$9:$N$1008,"Vencida")&gt;0,"Vencida",IF(COUNTIFS(Cobranza!$C$9:$C$1008,B283,Cobranza!$N$9:$N$1008,"Parcial")&gt;0,"Parcial",IF(COUNTIFS(Cobranza!$C$9:$C$1008,B283,Cobranza!$N$9:$N$1008,"Pendiente")&gt;0,"Pendiente",IF(COUNTIFS(Cobranza!$C$9:$C$1008,B283,Cobranza!$N$9:$N$1008,"Pagada")&gt;0,"Pagada","")))))</f>
        <v/>
      </c>
      <c r="N283" s="33" t="str">
        <f t="shared" ca="1" si="4"/>
        <v/>
      </c>
      <c r="O283" s="23"/>
      <c r="P283" s="7" t="str">
        <f ca="1">IF(AND(B283&lt;&gt;"",F283&lt;&gt;"Cerrada",F283&lt;&gt;"Perdida",N283&lt;&gt;"",N283&gt;14),COUNTIFS($F$8:$F283,"&lt;&gt;Cerrada",$F$8:$F283,"&lt;&gt;Perdida",$N$8:$N283,"&gt;14"),"")</f>
        <v/>
      </c>
      <c r="Q283" s="8"/>
      <c r="R283" s="9"/>
      <c r="S283" s="10"/>
    </row>
    <row r="284" spans="2:19" ht="21.75" customHeight="1" x14ac:dyDescent="0.25">
      <c r="B284" s="24"/>
      <c r="C284" s="24"/>
      <c r="D284" s="24"/>
      <c r="E284" s="24"/>
      <c r="F284" s="38"/>
      <c r="G284" s="27"/>
      <c r="H284" s="24"/>
      <c r="I284" s="27"/>
      <c r="J284" s="26"/>
      <c r="K284" s="24"/>
      <c r="L284" s="24"/>
      <c r="M284" s="24" t="str">
        <f>IF(B284="","",IF(COUNTIFS(Cobranza!$C$9:$C$1008,B284,Cobranza!$N$9:$N$1008,"Vencida")&gt;0,"Vencida",IF(COUNTIFS(Cobranza!$C$9:$C$1008,B284,Cobranza!$N$9:$N$1008,"Parcial")&gt;0,"Parcial",IF(COUNTIFS(Cobranza!$C$9:$C$1008,B284,Cobranza!$N$9:$N$1008,"Pendiente")&gt;0,"Pendiente",IF(COUNTIFS(Cobranza!$C$9:$C$1008,B284,Cobranza!$N$9:$N$1008,"Pagada")&gt;0,"Pagada","")))))</f>
        <v/>
      </c>
      <c r="N284" s="33" t="str">
        <f t="shared" ca="1" si="4"/>
        <v/>
      </c>
      <c r="O284" s="23"/>
      <c r="P284" s="7" t="str">
        <f ca="1">IF(AND(B284&lt;&gt;"",F284&lt;&gt;"Cerrada",F284&lt;&gt;"Perdida",N284&lt;&gt;"",N284&gt;14),COUNTIFS($F$8:$F284,"&lt;&gt;Cerrada",$F$8:$F284,"&lt;&gt;Perdida",$N$8:$N284,"&gt;14"),"")</f>
        <v/>
      </c>
      <c r="Q284" s="8"/>
      <c r="R284" s="9"/>
      <c r="S284" s="10"/>
    </row>
    <row r="285" spans="2:19" ht="21.75" customHeight="1" x14ac:dyDescent="0.25">
      <c r="B285" s="24"/>
      <c r="C285" s="24"/>
      <c r="D285" s="24"/>
      <c r="E285" s="24"/>
      <c r="F285" s="38"/>
      <c r="G285" s="27"/>
      <c r="H285" s="24"/>
      <c r="I285" s="27"/>
      <c r="J285" s="26"/>
      <c r="K285" s="24"/>
      <c r="L285" s="24"/>
      <c r="M285" s="24" t="str">
        <f>IF(B285="","",IF(COUNTIFS(Cobranza!$C$9:$C$1008,B285,Cobranza!$N$9:$N$1008,"Vencida")&gt;0,"Vencida",IF(COUNTIFS(Cobranza!$C$9:$C$1008,B285,Cobranza!$N$9:$N$1008,"Parcial")&gt;0,"Parcial",IF(COUNTIFS(Cobranza!$C$9:$C$1008,B285,Cobranza!$N$9:$N$1008,"Pendiente")&gt;0,"Pendiente",IF(COUNTIFS(Cobranza!$C$9:$C$1008,B285,Cobranza!$N$9:$N$1008,"Pagada")&gt;0,"Pagada","")))))</f>
        <v/>
      </c>
      <c r="N285" s="33" t="str">
        <f t="shared" ca="1" si="4"/>
        <v/>
      </c>
      <c r="O285" s="23"/>
      <c r="P285" s="7" t="str">
        <f ca="1">IF(AND(B285&lt;&gt;"",F285&lt;&gt;"Cerrada",F285&lt;&gt;"Perdida",N285&lt;&gt;"",N285&gt;14),COUNTIFS($F$8:$F285,"&lt;&gt;Cerrada",$F$8:$F285,"&lt;&gt;Perdida",$N$8:$N285,"&gt;14"),"")</f>
        <v/>
      </c>
      <c r="Q285" s="8"/>
      <c r="R285" s="9"/>
      <c r="S285" s="10"/>
    </row>
    <row r="286" spans="2:19" ht="21.75" customHeight="1" x14ac:dyDescent="0.25">
      <c r="B286" s="24"/>
      <c r="C286" s="24"/>
      <c r="D286" s="24"/>
      <c r="E286" s="24"/>
      <c r="F286" s="38"/>
      <c r="G286" s="27"/>
      <c r="H286" s="24"/>
      <c r="I286" s="27"/>
      <c r="J286" s="26"/>
      <c r="K286" s="24"/>
      <c r="L286" s="24"/>
      <c r="M286" s="24" t="str">
        <f>IF(B286="","",IF(COUNTIFS(Cobranza!$C$9:$C$1008,B286,Cobranza!$N$9:$N$1008,"Vencida")&gt;0,"Vencida",IF(COUNTIFS(Cobranza!$C$9:$C$1008,B286,Cobranza!$N$9:$N$1008,"Parcial")&gt;0,"Parcial",IF(COUNTIFS(Cobranza!$C$9:$C$1008,B286,Cobranza!$N$9:$N$1008,"Pendiente")&gt;0,"Pendiente",IF(COUNTIFS(Cobranza!$C$9:$C$1008,B286,Cobranza!$N$9:$N$1008,"Pagada")&gt;0,"Pagada","")))))</f>
        <v/>
      </c>
      <c r="N286" s="33" t="str">
        <f t="shared" ca="1" si="4"/>
        <v/>
      </c>
      <c r="O286" s="23"/>
      <c r="P286" s="7" t="str">
        <f ca="1">IF(AND(B286&lt;&gt;"",F286&lt;&gt;"Cerrada",F286&lt;&gt;"Perdida",N286&lt;&gt;"",N286&gt;14),COUNTIFS($F$8:$F286,"&lt;&gt;Cerrada",$F$8:$F286,"&lt;&gt;Perdida",$N$8:$N286,"&gt;14"),"")</f>
        <v/>
      </c>
      <c r="Q286" s="8"/>
      <c r="R286" s="9"/>
      <c r="S286" s="10"/>
    </row>
    <row r="287" spans="2:19" ht="21.75" customHeight="1" x14ac:dyDescent="0.25">
      <c r="B287" s="24"/>
      <c r="C287" s="24"/>
      <c r="D287" s="24"/>
      <c r="E287" s="24"/>
      <c r="F287" s="38"/>
      <c r="G287" s="27"/>
      <c r="H287" s="24"/>
      <c r="I287" s="27"/>
      <c r="J287" s="26"/>
      <c r="K287" s="24"/>
      <c r="L287" s="24"/>
      <c r="M287" s="24" t="str">
        <f>IF(B287="","",IF(COUNTIFS(Cobranza!$C$9:$C$1008,B287,Cobranza!$N$9:$N$1008,"Vencida")&gt;0,"Vencida",IF(COUNTIFS(Cobranza!$C$9:$C$1008,B287,Cobranza!$N$9:$N$1008,"Parcial")&gt;0,"Parcial",IF(COUNTIFS(Cobranza!$C$9:$C$1008,B287,Cobranza!$N$9:$N$1008,"Pendiente")&gt;0,"Pendiente",IF(COUNTIFS(Cobranza!$C$9:$C$1008,B287,Cobranza!$N$9:$N$1008,"Pagada")&gt;0,"Pagada","")))))</f>
        <v/>
      </c>
      <c r="N287" s="33" t="str">
        <f t="shared" ca="1" si="4"/>
        <v/>
      </c>
      <c r="O287" s="23"/>
      <c r="P287" s="7" t="str">
        <f ca="1">IF(AND(B287&lt;&gt;"",F287&lt;&gt;"Cerrada",F287&lt;&gt;"Perdida",N287&lt;&gt;"",N287&gt;14),COUNTIFS($F$8:$F287,"&lt;&gt;Cerrada",$F$8:$F287,"&lt;&gt;Perdida",$N$8:$N287,"&gt;14"),"")</f>
        <v/>
      </c>
      <c r="Q287" s="8"/>
      <c r="R287" s="9"/>
      <c r="S287" s="10"/>
    </row>
    <row r="288" spans="2:19" ht="21.75" customHeight="1" x14ac:dyDescent="0.25">
      <c r="B288" s="24"/>
      <c r="C288" s="24"/>
      <c r="D288" s="24"/>
      <c r="E288" s="24"/>
      <c r="F288" s="38"/>
      <c r="G288" s="27"/>
      <c r="H288" s="24"/>
      <c r="I288" s="27"/>
      <c r="J288" s="26"/>
      <c r="K288" s="24"/>
      <c r="L288" s="24"/>
      <c r="M288" s="24" t="str">
        <f>IF(B288="","",IF(COUNTIFS(Cobranza!$C$9:$C$1008,B288,Cobranza!$N$9:$N$1008,"Vencida")&gt;0,"Vencida",IF(COUNTIFS(Cobranza!$C$9:$C$1008,B288,Cobranza!$N$9:$N$1008,"Parcial")&gt;0,"Parcial",IF(COUNTIFS(Cobranza!$C$9:$C$1008,B288,Cobranza!$N$9:$N$1008,"Pendiente")&gt;0,"Pendiente",IF(COUNTIFS(Cobranza!$C$9:$C$1008,B288,Cobranza!$N$9:$N$1008,"Pagada")&gt;0,"Pagada","")))))</f>
        <v/>
      </c>
      <c r="N288" s="33" t="str">
        <f t="shared" ca="1" si="4"/>
        <v/>
      </c>
      <c r="O288" s="23"/>
      <c r="P288" s="7" t="str">
        <f ca="1">IF(AND(B288&lt;&gt;"",F288&lt;&gt;"Cerrada",F288&lt;&gt;"Perdida",N288&lt;&gt;"",N288&gt;14),COUNTIFS($F$8:$F288,"&lt;&gt;Cerrada",$F$8:$F288,"&lt;&gt;Perdida",$N$8:$N288,"&gt;14"),"")</f>
        <v/>
      </c>
      <c r="Q288" s="8"/>
      <c r="R288" s="9"/>
      <c r="S288" s="10"/>
    </row>
    <row r="289" spans="2:19" ht="21.75" customHeight="1" x14ac:dyDescent="0.25">
      <c r="B289" s="24"/>
      <c r="C289" s="24"/>
      <c r="D289" s="24"/>
      <c r="E289" s="24"/>
      <c r="F289" s="38"/>
      <c r="G289" s="27"/>
      <c r="H289" s="24"/>
      <c r="I289" s="27"/>
      <c r="J289" s="26"/>
      <c r="K289" s="24"/>
      <c r="L289" s="24"/>
      <c r="M289" s="24" t="str">
        <f>IF(B289="","",IF(COUNTIFS(Cobranza!$C$9:$C$1008,B289,Cobranza!$N$9:$N$1008,"Vencida")&gt;0,"Vencida",IF(COUNTIFS(Cobranza!$C$9:$C$1008,B289,Cobranza!$N$9:$N$1008,"Parcial")&gt;0,"Parcial",IF(COUNTIFS(Cobranza!$C$9:$C$1008,B289,Cobranza!$N$9:$N$1008,"Pendiente")&gt;0,"Pendiente",IF(COUNTIFS(Cobranza!$C$9:$C$1008,B289,Cobranza!$N$9:$N$1008,"Pagada")&gt;0,"Pagada","")))))</f>
        <v/>
      </c>
      <c r="N289" s="33" t="str">
        <f t="shared" ca="1" si="4"/>
        <v/>
      </c>
      <c r="O289" s="23"/>
      <c r="P289" s="7" t="str">
        <f ca="1">IF(AND(B289&lt;&gt;"",F289&lt;&gt;"Cerrada",F289&lt;&gt;"Perdida",N289&lt;&gt;"",N289&gt;14),COUNTIFS($F$8:$F289,"&lt;&gt;Cerrada",$F$8:$F289,"&lt;&gt;Perdida",$N$8:$N289,"&gt;14"),"")</f>
        <v/>
      </c>
      <c r="Q289" s="8"/>
      <c r="R289" s="9"/>
      <c r="S289" s="10"/>
    </row>
    <row r="290" spans="2:19" ht="21.75" customHeight="1" x14ac:dyDescent="0.25">
      <c r="B290" s="24"/>
      <c r="C290" s="24"/>
      <c r="D290" s="24"/>
      <c r="E290" s="24"/>
      <c r="F290" s="38"/>
      <c r="G290" s="27"/>
      <c r="H290" s="24"/>
      <c r="I290" s="27"/>
      <c r="J290" s="26"/>
      <c r="K290" s="24"/>
      <c r="L290" s="24"/>
      <c r="M290" s="24" t="str">
        <f>IF(B290="","",IF(COUNTIFS(Cobranza!$C$9:$C$1008,B290,Cobranza!$N$9:$N$1008,"Vencida")&gt;0,"Vencida",IF(COUNTIFS(Cobranza!$C$9:$C$1008,B290,Cobranza!$N$9:$N$1008,"Parcial")&gt;0,"Parcial",IF(COUNTIFS(Cobranza!$C$9:$C$1008,B290,Cobranza!$N$9:$N$1008,"Pendiente")&gt;0,"Pendiente",IF(COUNTIFS(Cobranza!$C$9:$C$1008,B290,Cobranza!$N$9:$N$1008,"Pagada")&gt;0,"Pagada","")))))</f>
        <v/>
      </c>
      <c r="N290" s="33" t="str">
        <f t="shared" ca="1" si="4"/>
        <v/>
      </c>
      <c r="O290" s="23"/>
      <c r="P290" s="7" t="str">
        <f ca="1">IF(AND(B290&lt;&gt;"",F290&lt;&gt;"Cerrada",F290&lt;&gt;"Perdida",N290&lt;&gt;"",N290&gt;14),COUNTIFS($F$8:$F290,"&lt;&gt;Cerrada",$F$8:$F290,"&lt;&gt;Perdida",$N$8:$N290,"&gt;14"),"")</f>
        <v/>
      </c>
      <c r="Q290" s="8"/>
      <c r="R290" s="9"/>
      <c r="S290" s="10"/>
    </row>
    <row r="291" spans="2:19" ht="21.75" customHeight="1" x14ac:dyDescent="0.25">
      <c r="B291" s="24"/>
      <c r="C291" s="24"/>
      <c r="D291" s="24"/>
      <c r="E291" s="24"/>
      <c r="F291" s="38"/>
      <c r="G291" s="27"/>
      <c r="H291" s="24"/>
      <c r="I291" s="27"/>
      <c r="J291" s="26"/>
      <c r="K291" s="24"/>
      <c r="L291" s="24"/>
      <c r="M291" s="24" t="str">
        <f>IF(B291="","",IF(COUNTIFS(Cobranza!$C$9:$C$1008,B291,Cobranza!$N$9:$N$1008,"Vencida")&gt;0,"Vencida",IF(COUNTIFS(Cobranza!$C$9:$C$1008,B291,Cobranza!$N$9:$N$1008,"Parcial")&gt;0,"Parcial",IF(COUNTIFS(Cobranza!$C$9:$C$1008,B291,Cobranza!$N$9:$N$1008,"Pendiente")&gt;0,"Pendiente",IF(COUNTIFS(Cobranza!$C$9:$C$1008,B291,Cobranza!$N$9:$N$1008,"Pagada")&gt;0,"Pagada","")))))</f>
        <v/>
      </c>
      <c r="N291" s="33" t="str">
        <f t="shared" ca="1" si="4"/>
        <v/>
      </c>
      <c r="O291" s="23"/>
      <c r="P291" s="7" t="str">
        <f ca="1">IF(AND(B291&lt;&gt;"",F291&lt;&gt;"Cerrada",F291&lt;&gt;"Perdida",N291&lt;&gt;"",N291&gt;14),COUNTIFS($F$8:$F291,"&lt;&gt;Cerrada",$F$8:$F291,"&lt;&gt;Perdida",$N$8:$N291,"&gt;14"),"")</f>
        <v/>
      </c>
      <c r="Q291" s="8"/>
      <c r="R291" s="9"/>
      <c r="S291" s="10"/>
    </row>
    <row r="292" spans="2:19" ht="21.75" customHeight="1" x14ac:dyDescent="0.25">
      <c r="B292" s="24"/>
      <c r="C292" s="24"/>
      <c r="D292" s="24"/>
      <c r="E292" s="24"/>
      <c r="F292" s="38"/>
      <c r="G292" s="27"/>
      <c r="H292" s="24"/>
      <c r="I292" s="27"/>
      <c r="J292" s="26"/>
      <c r="K292" s="24"/>
      <c r="L292" s="24"/>
      <c r="M292" s="24" t="str">
        <f>IF(B292="","",IF(COUNTIFS(Cobranza!$C$9:$C$1008,B292,Cobranza!$N$9:$N$1008,"Vencida")&gt;0,"Vencida",IF(COUNTIFS(Cobranza!$C$9:$C$1008,B292,Cobranza!$N$9:$N$1008,"Parcial")&gt;0,"Parcial",IF(COUNTIFS(Cobranza!$C$9:$C$1008,B292,Cobranza!$N$9:$N$1008,"Pendiente")&gt;0,"Pendiente",IF(COUNTIFS(Cobranza!$C$9:$C$1008,B292,Cobranza!$N$9:$N$1008,"Pagada")&gt;0,"Pagada","")))))</f>
        <v/>
      </c>
      <c r="N292" s="33" t="str">
        <f t="shared" ca="1" si="4"/>
        <v/>
      </c>
      <c r="O292" s="23"/>
      <c r="P292" s="7" t="str">
        <f ca="1">IF(AND(B292&lt;&gt;"",F292&lt;&gt;"Cerrada",F292&lt;&gt;"Perdida",N292&lt;&gt;"",N292&gt;14),COUNTIFS($F$8:$F292,"&lt;&gt;Cerrada",$F$8:$F292,"&lt;&gt;Perdida",$N$8:$N292,"&gt;14"),"")</f>
        <v/>
      </c>
      <c r="Q292" s="8"/>
      <c r="R292" s="9"/>
      <c r="S292" s="10"/>
    </row>
    <row r="293" spans="2:19" ht="21.75" customHeight="1" x14ac:dyDescent="0.25">
      <c r="B293" s="24"/>
      <c r="C293" s="24"/>
      <c r="D293" s="24"/>
      <c r="E293" s="24"/>
      <c r="F293" s="38"/>
      <c r="G293" s="27"/>
      <c r="H293" s="24"/>
      <c r="I293" s="27"/>
      <c r="J293" s="26"/>
      <c r="K293" s="24"/>
      <c r="L293" s="24"/>
      <c r="M293" s="24" t="str">
        <f>IF(B293="","",IF(COUNTIFS(Cobranza!$C$9:$C$1008,B293,Cobranza!$N$9:$N$1008,"Vencida")&gt;0,"Vencida",IF(COUNTIFS(Cobranza!$C$9:$C$1008,B293,Cobranza!$N$9:$N$1008,"Parcial")&gt;0,"Parcial",IF(COUNTIFS(Cobranza!$C$9:$C$1008,B293,Cobranza!$N$9:$N$1008,"Pendiente")&gt;0,"Pendiente",IF(COUNTIFS(Cobranza!$C$9:$C$1008,B293,Cobranza!$N$9:$N$1008,"Pagada")&gt;0,"Pagada","")))))</f>
        <v/>
      </c>
      <c r="N293" s="33" t="str">
        <f t="shared" ca="1" si="4"/>
        <v/>
      </c>
      <c r="O293" s="23"/>
      <c r="P293" s="7" t="str">
        <f ca="1">IF(AND(B293&lt;&gt;"",F293&lt;&gt;"Cerrada",F293&lt;&gt;"Perdida",N293&lt;&gt;"",N293&gt;14),COUNTIFS($F$8:$F293,"&lt;&gt;Cerrada",$F$8:$F293,"&lt;&gt;Perdida",$N$8:$N293,"&gt;14"),"")</f>
        <v/>
      </c>
      <c r="Q293" s="8"/>
      <c r="R293" s="9"/>
      <c r="S293" s="10"/>
    </row>
    <row r="294" spans="2:19" ht="21.75" customHeight="1" x14ac:dyDescent="0.25">
      <c r="B294" s="24"/>
      <c r="C294" s="24"/>
      <c r="D294" s="24"/>
      <c r="E294" s="24"/>
      <c r="F294" s="38"/>
      <c r="G294" s="27"/>
      <c r="H294" s="24"/>
      <c r="I294" s="27"/>
      <c r="J294" s="26"/>
      <c r="K294" s="24"/>
      <c r="L294" s="24"/>
      <c r="M294" s="24" t="str">
        <f>IF(B294="","",IF(COUNTIFS(Cobranza!$C$9:$C$1008,B294,Cobranza!$N$9:$N$1008,"Vencida")&gt;0,"Vencida",IF(COUNTIFS(Cobranza!$C$9:$C$1008,B294,Cobranza!$N$9:$N$1008,"Parcial")&gt;0,"Parcial",IF(COUNTIFS(Cobranza!$C$9:$C$1008,B294,Cobranza!$N$9:$N$1008,"Pendiente")&gt;0,"Pendiente",IF(COUNTIFS(Cobranza!$C$9:$C$1008,B294,Cobranza!$N$9:$N$1008,"Pagada")&gt;0,"Pagada","")))))</f>
        <v/>
      </c>
      <c r="N294" s="33" t="str">
        <f t="shared" ca="1" si="4"/>
        <v/>
      </c>
      <c r="O294" s="23"/>
      <c r="P294" s="7" t="str">
        <f ca="1">IF(AND(B294&lt;&gt;"",F294&lt;&gt;"Cerrada",F294&lt;&gt;"Perdida",N294&lt;&gt;"",N294&gt;14),COUNTIFS($F$8:$F294,"&lt;&gt;Cerrada",$F$8:$F294,"&lt;&gt;Perdida",$N$8:$N294,"&gt;14"),"")</f>
        <v/>
      </c>
      <c r="Q294" s="8"/>
      <c r="R294" s="9"/>
      <c r="S294" s="10"/>
    </row>
    <row r="295" spans="2:19" ht="21.75" customHeight="1" x14ac:dyDescent="0.25">
      <c r="B295" s="24"/>
      <c r="C295" s="24"/>
      <c r="D295" s="24"/>
      <c r="E295" s="24"/>
      <c r="F295" s="38"/>
      <c r="G295" s="27"/>
      <c r="H295" s="24"/>
      <c r="I295" s="27"/>
      <c r="J295" s="26"/>
      <c r="K295" s="24"/>
      <c r="L295" s="24"/>
      <c r="M295" s="24" t="str">
        <f>IF(B295="","",IF(COUNTIFS(Cobranza!$C$9:$C$1008,B295,Cobranza!$N$9:$N$1008,"Vencida")&gt;0,"Vencida",IF(COUNTIFS(Cobranza!$C$9:$C$1008,B295,Cobranza!$N$9:$N$1008,"Parcial")&gt;0,"Parcial",IF(COUNTIFS(Cobranza!$C$9:$C$1008,B295,Cobranza!$N$9:$N$1008,"Pendiente")&gt;0,"Pendiente",IF(COUNTIFS(Cobranza!$C$9:$C$1008,B295,Cobranza!$N$9:$N$1008,"Pagada")&gt;0,"Pagada","")))))</f>
        <v/>
      </c>
      <c r="N295" s="33" t="str">
        <f t="shared" ca="1" si="4"/>
        <v/>
      </c>
      <c r="O295" s="23"/>
      <c r="P295" s="7" t="str">
        <f ca="1">IF(AND(B295&lt;&gt;"",F295&lt;&gt;"Cerrada",F295&lt;&gt;"Perdida",N295&lt;&gt;"",N295&gt;14),COUNTIFS($F$8:$F295,"&lt;&gt;Cerrada",$F$8:$F295,"&lt;&gt;Perdida",$N$8:$N295,"&gt;14"),"")</f>
        <v/>
      </c>
      <c r="Q295" s="8"/>
      <c r="R295" s="9"/>
      <c r="S295" s="10"/>
    </row>
    <row r="296" spans="2:19" ht="21.75" customHeight="1" x14ac:dyDescent="0.25">
      <c r="B296" s="24"/>
      <c r="C296" s="24"/>
      <c r="D296" s="24"/>
      <c r="E296" s="24"/>
      <c r="F296" s="38"/>
      <c r="G296" s="27"/>
      <c r="H296" s="24"/>
      <c r="I296" s="27"/>
      <c r="J296" s="26"/>
      <c r="K296" s="24"/>
      <c r="L296" s="24"/>
      <c r="M296" s="24" t="str">
        <f>IF(B296="","",IF(COUNTIFS(Cobranza!$C$9:$C$1008,B296,Cobranza!$N$9:$N$1008,"Vencida")&gt;0,"Vencida",IF(COUNTIFS(Cobranza!$C$9:$C$1008,B296,Cobranza!$N$9:$N$1008,"Parcial")&gt;0,"Parcial",IF(COUNTIFS(Cobranza!$C$9:$C$1008,B296,Cobranza!$N$9:$N$1008,"Pendiente")&gt;0,"Pendiente",IF(COUNTIFS(Cobranza!$C$9:$C$1008,B296,Cobranza!$N$9:$N$1008,"Pagada")&gt;0,"Pagada","")))))</f>
        <v/>
      </c>
      <c r="N296" s="33" t="str">
        <f t="shared" ca="1" si="4"/>
        <v/>
      </c>
      <c r="O296" s="23"/>
      <c r="P296" s="7" t="str">
        <f ca="1">IF(AND(B296&lt;&gt;"",F296&lt;&gt;"Cerrada",F296&lt;&gt;"Perdida",N296&lt;&gt;"",N296&gt;14),COUNTIFS($F$8:$F296,"&lt;&gt;Cerrada",$F$8:$F296,"&lt;&gt;Perdida",$N$8:$N296,"&gt;14"),"")</f>
        <v/>
      </c>
      <c r="Q296" s="8"/>
      <c r="R296" s="9"/>
      <c r="S296" s="10"/>
    </row>
    <row r="297" spans="2:19" ht="21.75" customHeight="1" x14ac:dyDescent="0.25">
      <c r="B297" s="24"/>
      <c r="C297" s="24"/>
      <c r="D297" s="24"/>
      <c r="E297" s="24"/>
      <c r="F297" s="38"/>
      <c r="G297" s="27"/>
      <c r="H297" s="24"/>
      <c r="I297" s="27"/>
      <c r="J297" s="26"/>
      <c r="K297" s="24"/>
      <c r="L297" s="24"/>
      <c r="M297" s="24" t="str">
        <f>IF(B297="","",IF(COUNTIFS(Cobranza!$C$9:$C$1008,B297,Cobranza!$N$9:$N$1008,"Vencida")&gt;0,"Vencida",IF(COUNTIFS(Cobranza!$C$9:$C$1008,B297,Cobranza!$N$9:$N$1008,"Parcial")&gt;0,"Parcial",IF(COUNTIFS(Cobranza!$C$9:$C$1008,B297,Cobranza!$N$9:$N$1008,"Pendiente")&gt;0,"Pendiente",IF(COUNTIFS(Cobranza!$C$9:$C$1008,B297,Cobranza!$N$9:$N$1008,"Pagada")&gt;0,"Pagada","")))))</f>
        <v/>
      </c>
      <c r="N297" s="33" t="str">
        <f t="shared" ca="1" si="4"/>
        <v/>
      </c>
      <c r="O297" s="23"/>
      <c r="P297" s="7" t="str">
        <f ca="1">IF(AND(B297&lt;&gt;"",F297&lt;&gt;"Cerrada",F297&lt;&gt;"Perdida",N297&lt;&gt;"",N297&gt;14),COUNTIFS($F$8:$F297,"&lt;&gt;Cerrada",$F$8:$F297,"&lt;&gt;Perdida",$N$8:$N297,"&gt;14"),"")</f>
        <v/>
      </c>
      <c r="Q297" s="8"/>
      <c r="R297" s="9"/>
      <c r="S297" s="10"/>
    </row>
    <row r="298" spans="2:19" ht="21.75" customHeight="1" x14ac:dyDescent="0.25">
      <c r="B298" s="24"/>
      <c r="C298" s="24"/>
      <c r="D298" s="24"/>
      <c r="E298" s="24"/>
      <c r="F298" s="38"/>
      <c r="G298" s="27"/>
      <c r="H298" s="24"/>
      <c r="I298" s="27"/>
      <c r="J298" s="26"/>
      <c r="K298" s="24"/>
      <c r="L298" s="24"/>
      <c r="M298" s="24" t="str">
        <f>IF(B298="","",IF(COUNTIFS(Cobranza!$C$9:$C$1008,B298,Cobranza!$N$9:$N$1008,"Vencida")&gt;0,"Vencida",IF(COUNTIFS(Cobranza!$C$9:$C$1008,B298,Cobranza!$N$9:$N$1008,"Parcial")&gt;0,"Parcial",IF(COUNTIFS(Cobranza!$C$9:$C$1008,B298,Cobranza!$N$9:$N$1008,"Pendiente")&gt;0,"Pendiente",IF(COUNTIFS(Cobranza!$C$9:$C$1008,B298,Cobranza!$N$9:$N$1008,"Pagada")&gt;0,"Pagada","")))))</f>
        <v/>
      </c>
      <c r="N298" s="33" t="str">
        <f t="shared" ca="1" si="4"/>
        <v/>
      </c>
      <c r="O298" s="23"/>
      <c r="P298" s="7" t="str">
        <f ca="1">IF(AND(B298&lt;&gt;"",F298&lt;&gt;"Cerrada",F298&lt;&gt;"Perdida",N298&lt;&gt;"",N298&gt;14),COUNTIFS($F$8:$F298,"&lt;&gt;Cerrada",$F$8:$F298,"&lt;&gt;Perdida",$N$8:$N298,"&gt;14"),"")</f>
        <v/>
      </c>
      <c r="Q298" s="8"/>
      <c r="R298" s="9"/>
      <c r="S298" s="10"/>
    </row>
    <row r="299" spans="2:19" ht="21.75" customHeight="1" x14ac:dyDescent="0.25">
      <c r="B299" s="24"/>
      <c r="C299" s="24"/>
      <c r="D299" s="24"/>
      <c r="E299" s="24"/>
      <c r="F299" s="38"/>
      <c r="G299" s="27"/>
      <c r="H299" s="24"/>
      <c r="I299" s="27"/>
      <c r="J299" s="26"/>
      <c r="K299" s="24"/>
      <c r="L299" s="24"/>
      <c r="M299" s="24" t="str">
        <f>IF(B299="","",IF(COUNTIFS(Cobranza!$C$9:$C$1008,B299,Cobranza!$N$9:$N$1008,"Vencida")&gt;0,"Vencida",IF(COUNTIFS(Cobranza!$C$9:$C$1008,B299,Cobranza!$N$9:$N$1008,"Parcial")&gt;0,"Parcial",IF(COUNTIFS(Cobranza!$C$9:$C$1008,B299,Cobranza!$N$9:$N$1008,"Pendiente")&gt;0,"Pendiente",IF(COUNTIFS(Cobranza!$C$9:$C$1008,B299,Cobranza!$N$9:$N$1008,"Pagada")&gt;0,"Pagada","")))))</f>
        <v/>
      </c>
      <c r="N299" s="33" t="str">
        <f t="shared" ca="1" si="4"/>
        <v/>
      </c>
      <c r="O299" s="23"/>
      <c r="P299" s="7" t="str">
        <f ca="1">IF(AND(B299&lt;&gt;"",F299&lt;&gt;"Cerrada",F299&lt;&gt;"Perdida",N299&lt;&gt;"",N299&gt;14),COUNTIFS($F$8:$F299,"&lt;&gt;Cerrada",$F$8:$F299,"&lt;&gt;Perdida",$N$8:$N299,"&gt;14"),"")</f>
        <v/>
      </c>
      <c r="Q299" s="8"/>
      <c r="R299" s="9"/>
      <c r="S299" s="10"/>
    </row>
    <row r="300" spans="2:19" ht="21.75" customHeight="1" x14ac:dyDescent="0.25">
      <c r="B300" s="24"/>
      <c r="C300" s="24"/>
      <c r="D300" s="24"/>
      <c r="E300" s="24"/>
      <c r="F300" s="38"/>
      <c r="G300" s="27"/>
      <c r="H300" s="24"/>
      <c r="I300" s="27"/>
      <c r="J300" s="26"/>
      <c r="K300" s="24"/>
      <c r="L300" s="24"/>
      <c r="M300" s="24" t="str">
        <f>IF(B300="","",IF(COUNTIFS(Cobranza!$C$9:$C$1008,B300,Cobranza!$N$9:$N$1008,"Vencida")&gt;0,"Vencida",IF(COUNTIFS(Cobranza!$C$9:$C$1008,B300,Cobranza!$N$9:$N$1008,"Parcial")&gt;0,"Parcial",IF(COUNTIFS(Cobranza!$C$9:$C$1008,B300,Cobranza!$N$9:$N$1008,"Pendiente")&gt;0,"Pendiente",IF(COUNTIFS(Cobranza!$C$9:$C$1008,B300,Cobranza!$N$9:$N$1008,"Pagada")&gt;0,"Pagada","")))))</f>
        <v/>
      </c>
      <c r="N300" s="33" t="str">
        <f t="shared" ca="1" si="4"/>
        <v/>
      </c>
      <c r="O300" s="23"/>
      <c r="P300" s="7" t="str">
        <f ca="1">IF(AND(B300&lt;&gt;"",F300&lt;&gt;"Cerrada",F300&lt;&gt;"Perdida",N300&lt;&gt;"",N300&gt;14),COUNTIFS($F$8:$F300,"&lt;&gt;Cerrada",$F$8:$F300,"&lt;&gt;Perdida",$N$8:$N300,"&gt;14"),"")</f>
        <v/>
      </c>
      <c r="Q300" s="8"/>
      <c r="R300" s="9"/>
      <c r="S300" s="10"/>
    </row>
    <row r="301" spans="2:19" ht="21.75" customHeight="1" x14ac:dyDescent="0.25">
      <c r="B301" s="24"/>
      <c r="C301" s="24"/>
      <c r="D301" s="24"/>
      <c r="E301" s="24"/>
      <c r="F301" s="38"/>
      <c r="G301" s="27"/>
      <c r="H301" s="24"/>
      <c r="I301" s="27"/>
      <c r="J301" s="26"/>
      <c r="K301" s="24"/>
      <c r="L301" s="24"/>
      <c r="M301" s="24" t="str">
        <f>IF(B301="","",IF(COUNTIFS(Cobranza!$C$9:$C$1008,B301,Cobranza!$N$9:$N$1008,"Vencida")&gt;0,"Vencida",IF(COUNTIFS(Cobranza!$C$9:$C$1008,B301,Cobranza!$N$9:$N$1008,"Parcial")&gt;0,"Parcial",IF(COUNTIFS(Cobranza!$C$9:$C$1008,B301,Cobranza!$N$9:$N$1008,"Pendiente")&gt;0,"Pendiente",IF(COUNTIFS(Cobranza!$C$9:$C$1008,B301,Cobranza!$N$9:$N$1008,"Pagada")&gt;0,"Pagada","")))))</f>
        <v/>
      </c>
      <c r="N301" s="33" t="str">
        <f t="shared" ca="1" si="4"/>
        <v/>
      </c>
      <c r="O301" s="23"/>
      <c r="P301" s="7" t="str">
        <f ca="1">IF(AND(B301&lt;&gt;"",F301&lt;&gt;"Cerrada",F301&lt;&gt;"Perdida",N301&lt;&gt;"",N301&gt;14),COUNTIFS($F$8:$F301,"&lt;&gt;Cerrada",$F$8:$F301,"&lt;&gt;Perdida",$N$8:$N301,"&gt;14"),"")</f>
        <v/>
      </c>
      <c r="Q301" s="8"/>
      <c r="R301" s="9"/>
      <c r="S301" s="10"/>
    </row>
    <row r="302" spans="2:19" ht="21.75" customHeight="1" x14ac:dyDescent="0.25">
      <c r="B302" s="24"/>
      <c r="C302" s="24"/>
      <c r="D302" s="24"/>
      <c r="E302" s="24"/>
      <c r="F302" s="38"/>
      <c r="G302" s="27"/>
      <c r="H302" s="24"/>
      <c r="I302" s="27"/>
      <c r="J302" s="26"/>
      <c r="K302" s="24"/>
      <c r="L302" s="24"/>
      <c r="M302" s="24" t="str">
        <f>IF(B302="","",IF(COUNTIFS(Cobranza!$C$9:$C$1008,B302,Cobranza!$N$9:$N$1008,"Vencida")&gt;0,"Vencida",IF(COUNTIFS(Cobranza!$C$9:$C$1008,B302,Cobranza!$N$9:$N$1008,"Parcial")&gt;0,"Parcial",IF(COUNTIFS(Cobranza!$C$9:$C$1008,B302,Cobranza!$N$9:$N$1008,"Pendiente")&gt;0,"Pendiente",IF(COUNTIFS(Cobranza!$C$9:$C$1008,B302,Cobranza!$N$9:$N$1008,"Pagada")&gt;0,"Pagada","")))))</f>
        <v/>
      </c>
      <c r="N302" s="33" t="str">
        <f t="shared" ca="1" si="4"/>
        <v/>
      </c>
      <c r="O302" s="23"/>
      <c r="P302" s="7" t="str">
        <f ca="1">IF(AND(B302&lt;&gt;"",F302&lt;&gt;"Cerrada",F302&lt;&gt;"Perdida",N302&lt;&gt;"",N302&gt;14),COUNTIFS($F$8:$F302,"&lt;&gt;Cerrada",$F$8:$F302,"&lt;&gt;Perdida",$N$8:$N302,"&gt;14"),"")</f>
        <v/>
      </c>
      <c r="Q302" s="8"/>
      <c r="R302" s="9"/>
      <c r="S302" s="10"/>
    </row>
    <row r="303" spans="2:19" ht="21.75" customHeight="1" x14ac:dyDescent="0.25">
      <c r="B303" s="24"/>
      <c r="C303" s="24"/>
      <c r="D303" s="24"/>
      <c r="E303" s="24"/>
      <c r="F303" s="38"/>
      <c r="G303" s="27"/>
      <c r="H303" s="24"/>
      <c r="I303" s="27"/>
      <c r="J303" s="26"/>
      <c r="K303" s="24"/>
      <c r="L303" s="24"/>
      <c r="M303" s="24" t="str">
        <f>IF(B303="","",IF(COUNTIFS(Cobranza!$C$9:$C$1008,B303,Cobranza!$N$9:$N$1008,"Vencida")&gt;0,"Vencida",IF(COUNTIFS(Cobranza!$C$9:$C$1008,B303,Cobranza!$N$9:$N$1008,"Parcial")&gt;0,"Parcial",IF(COUNTIFS(Cobranza!$C$9:$C$1008,B303,Cobranza!$N$9:$N$1008,"Pendiente")&gt;0,"Pendiente",IF(COUNTIFS(Cobranza!$C$9:$C$1008,B303,Cobranza!$N$9:$N$1008,"Pagada")&gt;0,"Pagada","")))))</f>
        <v/>
      </c>
      <c r="N303" s="33" t="str">
        <f t="shared" ca="1" si="4"/>
        <v/>
      </c>
      <c r="O303" s="23"/>
      <c r="P303" s="7" t="str">
        <f ca="1">IF(AND(B303&lt;&gt;"",F303&lt;&gt;"Cerrada",F303&lt;&gt;"Perdida",N303&lt;&gt;"",N303&gt;14),COUNTIFS($F$8:$F303,"&lt;&gt;Cerrada",$F$8:$F303,"&lt;&gt;Perdida",$N$8:$N303,"&gt;14"),"")</f>
        <v/>
      </c>
      <c r="Q303" s="8"/>
      <c r="R303" s="9"/>
      <c r="S303" s="10"/>
    </row>
    <row r="304" spans="2:19" ht="21.75" customHeight="1" x14ac:dyDescent="0.25">
      <c r="B304" s="24"/>
      <c r="C304" s="24"/>
      <c r="D304" s="24"/>
      <c r="E304" s="24"/>
      <c r="F304" s="38"/>
      <c r="G304" s="27"/>
      <c r="H304" s="24"/>
      <c r="I304" s="27"/>
      <c r="J304" s="26"/>
      <c r="K304" s="24"/>
      <c r="L304" s="24"/>
      <c r="M304" s="24" t="str">
        <f>IF(B304="","",IF(COUNTIFS(Cobranza!$C$9:$C$1008,B304,Cobranza!$N$9:$N$1008,"Vencida")&gt;0,"Vencida",IF(COUNTIFS(Cobranza!$C$9:$C$1008,B304,Cobranza!$N$9:$N$1008,"Parcial")&gt;0,"Parcial",IF(COUNTIFS(Cobranza!$C$9:$C$1008,B304,Cobranza!$N$9:$N$1008,"Pendiente")&gt;0,"Pendiente",IF(COUNTIFS(Cobranza!$C$9:$C$1008,B304,Cobranza!$N$9:$N$1008,"Pagada")&gt;0,"Pagada","")))))</f>
        <v/>
      </c>
      <c r="N304" s="33" t="str">
        <f t="shared" ca="1" si="4"/>
        <v/>
      </c>
      <c r="O304" s="23"/>
      <c r="P304" s="7" t="str">
        <f ca="1">IF(AND(B304&lt;&gt;"",F304&lt;&gt;"Cerrada",F304&lt;&gt;"Perdida",N304&lt;&gt;"",N304&gt;14),COUNTIFS($F$8:$F304,"&lt;&gt;Cerrada",$F$8:$F304,"&lt;&gt;Perdida",$N$8:$N304,"&gt;14"),"")</f>
        <v/>
      </c>
      <c r="Q304" s="8"/>
      <c r="R304" s="9"/>
      <c r="S304" s="10"/>
    </row>
    <row r="305" spans="2:19" ht="21.75" customHeight="1" x14ac:dyDescent="0.25">
      <c r="B305" s="24"/>
      <c r="C305" s="24"/>
      <c r="D305" s="24"/>
      <c r="E305" s="24"/>
      <c r="F305" s="38"/>
      <c r="G305" s="27"/>
      <c r="H305" s="24"/>
      <c r="I305" s="27"/>
      <c r="J305" s="26"/>
      <c r="K305" s="24"/>
      <c r="L305" s="24"/>
      <c r="M305" s="24" t="str">
        <f>IF(B305="","",IF(COUNTIFS(Cobranza!$C$9:$C$1008,B305,Cobranza!$N$9:$N$1008,"Vencida")&gt;0,"Vencida",IF(COUNTIFS(Cobranza!$C$9:$C$1008,B305,Cobranza!$N$9:$N$1008,"Parcial")&gt;0,"Parcial",IF(COUNTIFS(Cobranza!$C$9:$C$1008,B305,Cobranza!$N$9:$N$1008,"Pendiente")&gt;0,"Pendiente",IF(COUNTIFS(Cobranza!$C$9:$C$1008,B305,Cobranza!$N$9:$N$1008,"Pagada")&gt;0,"Pagada","")))))</f>
        <v/>
      </c>
      <c r="N305" s="33" t="str">
        <f t="shared" ca="1" si="4"/>
        <v/>
      </c>
      <c r="O305" s="23"/>
      <c r="P305" s="7" t="str">
        <f ca="1">IF(AND(B305&lt;&gt;"",F305&lt;&gt;"Cerrada",F305&lt;&gt;"Perdida",N305&lt;&gt;"",N305&gt;14),COUNTIFS($F$8:$F305,"&lt;&gt;Cerrada",$F$8:$F305,"&lt;&gt;Perdida",$N$8:$N305,"&gt;14"),"")</f>
        <v/>
      </c>
      <c r="Q305" s="8"/>
      <c r="R305" s="9"/>
      <c r="S305" s="10"/>
    </row>
    <row r="306" spans="2:19" ht="21.75" customHeight="1" x14ac:dyDescent="0.25">
      <c r="B306" s="24"/>
      <c r="C306" s="24"/>
      <c r="D306" s="24"/>
      <c r="E306" s="24"/>
      <c r="F306" s="38"/>
      <c r="G306" s="27"/>
      <c r="H306" s="24"/>
      <c r="I306" s="27"/>
      <c r="J306" s="26"/>
      <c r="K306" s="24"/>
      <c r="L306" s="24"/>
      <c r="M306" s="24" t="str">
        <f>IF(B306="","",IF(COUNTIFS(Cobranza!$C$9:$C$1008,B306,Cobranza!$N$9:$N$1008,"Vencida")&gt;0,"Vencida",IF(COUNTIFS(Cobranza!$C$9:$C$1008,B306,Cobranza!$N$9:$N$1008,"Parcial")&gt;0,"Parcial",IF(COUNTIFS(Cobranza!$C$9:$C$1008,B306,Cobranza!$N$9:$N$1008,"Pendiente")&gt;0,"Pendiente",IF(COUNTIFS(Cobranza!$C$9:$C$1008,B306,Cobranza!$N$9:$N$1008,"Pagada")&gt;0,"Pagada","")))))</f>
        <v/>
      </c>
      <c r="N306" s="33" t="str">
        <f t="shared" ca="1" si="4"/>
        <v/>
      </c>
      <c r="O306" s="23"/>
      <c r="P306" s="7" t="str">
        <f ca="1">IF(AND(B306&lt;&gt;"",F306&lt;&gt;"Cerrada",F306&lt;&gt;"Perdida",N306&lt;&gt;"",N306&gt;14),COUNTIFS($F$8:$F306,"&lt;&gt;Cerrada",$F$8:$F306,"&lt;&gt;Perdida",$N$8:$N306,"&gt;14"),"")</f>
        <v/>
      </c>
      <c r="Q306" s="8"/>
      <c r="R306" s="9"/>
      <c r="S306" s="10"/>
    </row>
    <row r="307" spans="2:19" ht="21.75" customHeight="1" x14ac:dyDescent="0.25">
      <c r="B307" s="24"/>
      <c r="C307" s="24"/>
      <c r="D307" s="24"/>
      <c r="E307" s="24"/>
      <c r="F307" s="38"/>
      <c r="G307" s="27"/>
      <c r="H307" s="24"/>
      <c r="I307" s="27"/>
      <c r="J307" s="26"/>
      <c r="K307" s="24"/>
      <c r="L307" s="24"/>
      <c r="M307" s="24" t="str">
        <f>IF(B307="","",IF(COUNTIFS(Cobranza!$C$9:$C$1008,B307,Cobranza!$N$9:$N$1008,"Vencida")&gt;0,"Vencida",IF(COUNTIFS(Cobranza!$C$9:$C$1008,B307,Cobranza!$N$9:$N$1008,"Parcial")&gt;0,"Parcial",IF(COUNTIFS(Cobranza!$C$9:$C$1008,B307,Cobranza!$N$9:$N$1008,"Pendiente")&gt;0,"Pendiente",IF(COUNTIFS(Cobranza!$C$9:$C$1008,B307,Cobranza!$N$9:$N$1008,"Pagada")&gt;0,"Pagada","")))))</f>
        <v/>
      </c>
      <c r="N307" s="33" t="str">
        <f t="shared" ca="1" si="4"/>
        <v/>
      </c>
      <c r="O307" s="23"/>
      <c r="P307" s="7" t="str">
        <f ca="1">IF(AND(B307&lt;&gt;"",F307&lt;&gt;"Cerrada",F307&lt;&gt;"Perdida",N307&lt;&gt;"",N307&gt;14),COUNTIFS($F$8:$F307,"&lt;&gt;Cerrada",$F$8:$F307,"&lt;&gt;Perdida",$N$8:$N307,"&gt;14"),"")</f>
        <v/>
      </c>
      <c r="Q307" s="8"/>
      <c r="R307" s="9"/>
      <c r="S307" s="10"/>
    </row>
    <row r="308" spans="2:19" ht="21.75" customHeight="1" x14ac:dyDescent="0.25">
      <c r="B308" s="24"/>
      <c r="C308" s="24"/>
      <c r="D308" s="24"/>
      <c r="E308" s="24"/>
      <c r="F308" s="38"/>
      <c r="G308" s="27"/>
      <c r="H308" s="24"/>
      <c r="I308" s="27"/>
      <c r="J308" s="26"/>
      <c r="K308" s="24"/>
      <c r="L308" s="24"/>
      <c r="M308" s="24" t="str">
        <f>IF(B308="","",IF(COUNTIFS(Cobranza!$C$9:$C$1008,B308,Cobranza!$N$9:$N$1008,"Vencida")&gt;0,"Vencida",IF(COUNTIFS(Cobranza!$C$9:$C$1008,B308,Cobranza!$N$9:$N$1008,"Parcial")&gt;0,"Parcial",IF(COUNTIFS(Cobranza!$C$9:$C$1008,B308,Cobranza!$N$9:$N$1008,"Pendiente")&gt;0,"Pendiente",IF(COUNTIFS(Cobranza!$C$9:$C$1008,B308,Cobranza!$N$9:$N$1008,"Pagada")&gt;0,"Pagada","")))))</f>
        <v/>
      </c>
      <c r="N308" s="33" t="str">
        <f t="shared" ca="1" si="4"/>
        <v/>
      </c>
      <c r="O308" s="23"/>
      <c r="P308" s="7" t="str">
        <f ca="1">IF(AND(B308&lt;&gt;"",F308&lt;&gt;"Cerrada",F308&lt;&gt;"Perdida",N308&lt;&gt;"",N308&gt;14),COUNTIFS($F$8:$F308,"&lt;&gt;Cerrada",$F$8:$F308,"&lt;&gt;Perdida",$N$8:$N308,"&gt;14"),"")</f>
        <v/>
      </c>
      <c r="Q308" s="8"/>
      <c r="R308" s="9"/>
      <c r="S308" s="10"/>
    </row>
    <row r="309" spans="2:19" ht="21.75" customHeight="1" x14ac:dyDescent="0.25">
      <c r="B309" s="24"/>
      <c r="C309" s="24"/>
      <c r="D309" s="24"/>
      <c r="E309" s="24"/>
      <c r="F309" s="38"/>
      <c r="G309" s="27"/>
      <c r="H309" s="24"/>
      <c r="I309" s="27"/>
      <c r="J309" s="26"/>
      <c r="K309" s="24"/>
      <c r="L309" s="24"/>
      <c r="M309" s="24" t="str">
        <f>IF(B309="","",IF(COUNTIFS(Cobranza!$C$9:$C$1008,B309,Cobranza!$N$9:$N$1008,"Vencida")&gt;0,"Vencida",IF(COUNTIFS(Cobranza!$C$9:$C$1008,B309,Cobranza!$N$9:$N$1008,"Parcial")&gt;0,"Parcial",IF(COUNTIFS(Cobranza!$C$9:$C$1008,B309,Cobranza!$N$9:$N$1008,"Pendiente")&gt;0,"Pendiente",IF(COUNTIFS(Cobranza!$C$9:$C$1008,B309,Cobranza!$N$9:$N$1008,"Pagada")&gt;0,"Pagada","")))))</f>
        <v/>
      </c>
      <c r="N309" s="33" t="str">
        <f t="shared" ca="1" si="4"/>
        <v/>
      </c>
      <c r="O309" s="23"/>
      <c r="P309" s="7" t="str">
        <f ca="1">IF(AND(B309&lt;&gt;"",F309&lt;&gt;"Cerrada",F309&lt;&gt;"Perdida",N309&lt;&gt;"",N309&gt;14),COUNTIFS($F$8:$F309,"&lt;&gt;Cerrada",$F$8:$F309,"&lt;&gt;Perdida",$N$8:$N309,"&gt;14"),"")</f>
        <v/>
      </c>
      <c r="Q309" s="8"/>
      <c r="R309" s="9"/>
      <c r="S309" s="10"/>
    </row>
    <row r="310" spans="2:19" ht="21.75" customHeight="1" x14ac:dyDescent="0.25">
      <c r="B310" s="24"/>
      <c r="C310" s="24"/>
      <c r="D310" s="24"/>
      <c r="E310" s="24"/>
      <c r="F310" s="38"/>
      <c r="G310" s="27"/>
      <c r="H310" s="24"/>
      <c r="I310" s="27"/>
      <c r="J310" s="26"/>
      <c r="K310" s="24"/>
      <c r="L310" s="24"/>
      <c r="M310" s="24" t="str">
        <f>IF(B310="","",IF(COUNTIFS(Cobranza!$C$9:$C$1008,B310,Cobranza!$N$9:$N$1008,"Vencida")&gt;0,"Vencida",IF(COUNTIFS(Cobranza!$C$9:$C$1008,B310,Cobranza!$N$9:$N$1008,"Parcial")&gt;0,"Parcial",IF(COUNTIFS(Cobranza!$C$9:$C$1008,B310,Cobranza!$N$9:$N$1008,"Pendiente")&gt;0,"Pendiente",IF(COUNTIFS(Cobranza!$C$9:$C$1008,B310,Cobranza!$N$9:$N$1008,"Pagada")&gt;0,"Pagada","")))))</f>
        <v/>
      </c>
      <c r="N310" s="33" t="str">
        <f t="shared" ca="1" si="4"/>
        <v/>
      </c>
      <c r="O310" s="23"/>
      <c r="P310" s="7" t="str">
        <f ca="1">IF(AND(B310&lt;&gt;"",F310&lt;&gt;"Cerrada",F310&lt;&gt;"Perdida",N310&lt;&gt;"",N310&gt;14),COUNTIFS($F$8:$F310,"&lt;&gt;Cerrada",$F$8:$F310,"&lt;&gt;Perdida",$N$8:$N310,"&gt;14"),"")</f>
        <v/>
      </c>
      <c r="Q310" s="8"/>
      <c r="R310" s="9"/>
      <c r="S310" s="10"/>
    </row>
    <row r="311" spans="2:19" ht="21.75" customHeight="1" x14ac:dyDescent="0.25">
      <c r="B311" s="24"/>
      <c r="C311" s="24"/>
      <c r="D311" s="24"/>
      <c r="E311" s="24"/>
      <c r="F311" s="38"/>
      <c r="G311" s="27"/>
      <c r="H311" s="24"/>
      <c r="I311" s="27"/>
      <c r="J311" s="26"/>
      <c r="K311" s="24"/>
      <c r="L311" s="24"/>
      <c r="M311" s="24" t="str">
        <f>IF(B311="","",IF(COUNTIFS(Cobranza!$C$9:$C$1008,B311,Cobranza!$N$9:$N$1008,"Vencida")&gt;0,"Vencida",IF(COUNTIFS(Cobranza!$C$9:$C$1008,B311,Cobranza!$N$9:$N$1008,"Parcial")&gt;0,"Parcial",IF(COUNTIFS(Cobranza!$C$9:$C$1008,B311,Cobranza!$N$9:$N$1008,"Pendiente")&gt;0,"Pendiente",IF(COUNTIFS(Cobranza!$C$9:$C$1008,B311,Cobranza!$N$9:$N$1008,"Pagada")&gt;0,"Pagada","")))))</f>
        <v/>
      </c>
      <c r="N311" s="33" t="str">
        <f t="shared" ca="1" si="4"/>
        <v/>
      </c>
      <c r="O311" s="23"/>
      <c r="P311" s="7" t="str">
        <f ca="1">IF(AND(B311&lt;&gt;"",F311&lt;&gt;"Cerrada",F311&lt;&gt;"Perdida",N311&lt;&gt;"",N311&gt;14),COUNTIFS($F$8:$F311,"&lt;&gt;Cerrada",$F$8:$F311,"&lt;&gt;Perdida",$N$8:$N311,"&gt;14"),"")</f>
        <v/>
      </c>
      <c r="Q311" s="8"/>
      <c r="R311" s="9"/>
      <c r="S311" s="10"/>
    </row>
    <row r="312" spans="2:19" ht="21.75" customHeight="1" x14ac:dyDescent="0.25">
      <c r="B312" s="24"/>
      <c r="C312" s="24"/>
      <c r="D312" s="24"/>
      <c r="E312" s="24"/>
      <c r="F312" s="38"/>
      <c r="G312" s="27"/>
      <c r="H312" s="24"/>
      <c r="I312" s="27"/>
      <c r="J312" s="26"/>
      <c r="K312" s="24"/>
      <c r="L312" s="24"/>
      <c r="M312" s="24" t="str">
        <f>IF(B312="","",IF(COUNTIFS(Cobranza!$C$9:$C$1008,B312,Cobranza!$N$9:$N$1008,"Vencida")&gt;0,"Vencida",IF(COUNTIFS(Cobranza!$C$9:$C$1008,B312,Cobranza!$N$9:$N$1008,"Parcial")&gt;0,"Parcial",IF(COUNTIFS(Cobranza!$C$9:$C$1008,B312,Cobranza!$N$9:$N$1008,"Pendiente")&gt;0,"Pendiente",IF(COUNTIFS(Cobranza!$C$9:$C$1008,B312,Cobranza!$N$9:$N$1008,"Pagada")&gt;0,"Pagada","")))))</f>
        <v/>
      </c>
      <c r="N312" s="33" t="str">
        <f t="shared" ca="1" si="4"/>
        <v/>
      </c>
      <c r="O312" s="23"/>
      <c r="P312" s="7" t="str">
        <f ca="1">IF(AND(B312&lt;&gt;"",F312&lt;&gt;"Cerrada",F312&lt;&gt;"Perdida",N312&lt;&gt;"",N312&gt;14),COUNTIFS($F$8:$F312,"&lt;&gt;Cerrada",$F$8:$F312,"&lt;&gt;Perdida",$N$8:$N312,"&gt;14"),"")</f>
        <v/>
      </c>
      <c r="Q312" s="8"/>
      <c r="R312" s="9"/>
      <c r="S312" s="10"/>
    </row>
    <row r="313" spans="2:19" ht="21.75" customHeight="1" x14ac:dyDescent="0.25">
      <c r="B313" s="24"/>
      <c r="C313" s="24"/>
      <c r="D313" s="24"/>
      <c r="E313" s="24"/>
      <c r="F313" s="38"/>
      <c r="G313" s="27"/>
      <c r="H313" s="24"/>
      <c r="I313" s="27"/>
      <c r="J313" s="26"/>
      <c r="K313" s="24"/>
      <c r="L313" s="24"/>
      <c r="M313" s="24" t="str">
        <f>IF(B313="","",IF(COUNTIFS(Cobranza!$C$9:$C$1008,B313,Cobranza!$N$9:$N$1008,"Vencida")&gt;0,"Vencida",IF(COUNTIFS(Cobranza!$C$9:$C$1008,B313,Cobranza!$N$9:$N$1008,"Parcial")&gt;0,"Parcial",IF(COUNTIFS(Cobranza!$C$9:$C$1008,B313,Cobranza!$N$9:$N$1008,"Pendiente")&gt;0,"Pendiente",IF(COUNTIFS(Cobranza!$C$9:$C$1008,B313,Cobranza!$N$9:$N$1008,"Pagada")&gt;0,"Pagada","")))))</f>
        <v/>
      </c>
      <c r="N313" s="33" t="str">
        <f t="shared" ca="1" si="4"/>
        <v/>
      </c>
      <c r="O313" s="23"/>
      <c r="P313" s="7" t="str">
        <f ca="1">IF(AND(B313&lt;&gt;"",F313&lt;&gt;"Cerrada",F313&lt;&gt;"Perdida",N313&lt;&gt;"",N313&gt;14),COUNTIFS($F$8:$F313,"&lt;&gt;Cerrada",$F$8:$F313,"&lt;&gt;Perdida",$N$8:$N313,"&gt;14"),"")</f>
        <v/>
      </c>
      <c r="Q313" s="8"/>
      <c r="R313" s="9"/>
      <c r="S313" s="10"/>
    </row>
    <row r="314" spans="2:19" ht="21.75" customHeight="1" x14ac:dyDescent="0.25">
      <c r="B314" s="24"/>
      <c r="C314" s="24"/>
      <c r="D314" s="24"/>
      <c r="E314" s="24"/>
      <c r="F314" s="38"/>
      <c r="G314" s="27"/>
      <c r="H314" s="24"/>
      <c r="I314" s="27"/>
      <c r="J314" s="26"/>
      <c r="K314" s="24"/>
      <c r="L314" s="24"/>
      <c r="M314" s="24" t="str">
        <f>IF(B314="","",IF(COUNTIFS(Cobranza!$C$9:$C$1008,B314,Cobranza!$N$9:$N$1008,"Vencida")&gt;0,"Vencida",IF(COUNTIFS(Cobranza!$C$9:$C$1008,B314,Cobranza!$N$9:$N$1008,"Parcial")&gt;0,"Parcial",IF(COUNTIFS(Cobranza!$C$9:$C$1008,B314,Cobranza!$N$9:$N$1008,"Pendiente")&gt;0,"Pendiente",IF(COUNTIFS(Cobranza!$C$9:$C$1008,B314,Cobranza!$N$9:$N$1008,"Pagada")&gt;0,"Pagada","")))))</f>
        <v/>
      </c>
      <c r="N314" s="33" t="str">
        <f t="shared" ca="1" si="4"/>
        <v/>
      </c>
      <c r="O314" s="23"/>
      <c r="P314" s="7" t="str">
        <f ca="1">IF(AND(B314&lt;&gt;"",F314&lt;&gt;"Cerrada",F314&lt;&gt;"Perdida",N314&lt;&gt;"",N314&gt;14),COUNTIFS($F$8:$F314,"&lt;&gt;Cerrada",$F$8:$F314,"&lt;&gt;Perdida",$N$8:$N314,"&gt;14"),"")</f>
        <v/>
      </c>
      <c r="Q314" s="8"/>
      <c r="R314" s="9"/>
      <c r="S314" s="10"/>
    </row>
    <row r="315" spans="2:19" ht="21.75" customHeight="1" x14ac:dyDescent="0.25">
      <c r="B315" s="24"/>
      <c r="C315" s="24"/>
      <c r="D315" s="24"/>
      <c r="E315" s="24"/>
      <c r="F315" s="38"/>
      <c r="G315" s="27"/>
      <c r="H315" s="24"/>
      <c r="I315" s="27"/>
      <c r="J315" s="26"/>
      <c r="K315" s="24"/>
      <c r="L315" s="24"/>
      <c r="M315" s="24" t="str">
        <f>IF(B315="","",IF(COUNTIFS(Cobranza!$C$9:$C$1008,B315,Cobranza!$N$9:$N$1008,"Vencida")&gt;0,"Vencida",IF(COUNTIFS(Cobranza!$C$9:$C$1008,B315,Cobranza!$N$9:$N$1008,"Parcial")&gt;0,"Parcial",IF(COUNTIFS(Cobranza!$C$9:$C$1008,B315,Cobranza!$N$9:$N$1008,"Pendiente")&gt;0,"Pendiente",IF(COUNTIFS(Cobranza!$C$9:$C$1008,B315,Cobranza!$N$9:$N$1008,"Pagada")&gt;0,"Pagada","")))))</f>
        <v/>
      </c>
      <c r="N315" s="33" t="str">
        <f t="shared" ca="1" si="4"/>
        <v/>
      </c>
      <c r="O315" s="23"/>
      <c r="P315" s="7" t="str">
        <f ca="1">IF(AND(B315&lt;&gt;"",F315&lt;&gt;"Cerrada",F315&lt;&gt;"Perdida",N315&lt;&gt;"",N315&gt;14),COUNTIFS($F$8:$F315,"&lt;&gt;Cerrada",$F$8:$F315,"&lt;&gt;Perdida",$N$8:$N315,"&gt;14"),"")</f>
        <v/>
      </c>
      <c r="Q315" s="8"/>
      <c r="R315" s="9"/>
      <c r="S315" s="10"/>
    </row>
    <row r="316" spans="2:19" ht="21.75" customHeight="1" x14ac:dyDescent="0.25">
      <c r="B316" s="24"/>
      <c r="C316" s="24"/>
      <c r="D316" s="24"/>
      <c r="E316" s="24"/>
      <c r="F316" s="38"/>
      <c r="G316" s="27"/>
      <c r="H316" s="24"/>
      <c r="I316" s="27"/>
      <c r="J316" s="26"/>
      <c r="K316" s="24"/>
      <c r="L316" s="24"/>
      <c r="M316" s="24" t="str">
        <f>IF(B316="","",IF(COUNTIFS(Cobranza!$C$9:$C$1008,B316,Cobranza!$N$9:$N$1008,"Vencida")&gt;0,"Vencida",IF(COUNTIFS(Cobranza!$C$9:$C$1008,B316,Cobranza!$N$9:$N$1008,"Parcial")&gt;0,"Parcial",IF(COUNTIFS(Cobranza!$C$9:$C$1008,B316,Cobranza!$N$9:$N$1008,"Pendiente")&gt;0,"Pendiente",IF(COUNTIFS(Cobranza!$C$9:$C$1008,B316,Cobranza!$N$9:$N$1008,"Pagada")&gt;0,"Pagada","")))))</f>
        <v/>
      </c>
      <c r="N316" s="33" t="str">
        <f t="shared" ca="1" si="4"/>
        <v/>
      </c>
      <c r="O316" s="23"/>
      <c r="P316" s="7" t="str">
        <f ca="1">IF(AND(B316&lt;&gt;"",F316&lt;&gt;"Cerrada",F316&lt;&gt;"Perdida",N316&lt;&gt;"",N316&gt;14),COUNTIFS($F$8:$F316,"&lt;&gt;Cerrada",$F$8:$F316,"&lt;&gt;Perdida",$N$8:$N316,"&gt;14"),"")</f>
        <v/>
      </c>
      <c r="Q316" s="8"/>
      <c r="R316" s="9"/>
      <c r="S316" s="10"/>
    </row>
    <row r="317" spans="2:19" ht="21.75" customHeight="1" x14ac:dyDescent="0.25">
      <c r="B317" s="24"/>
      <c r="C317" s="24"/>
      <c r="D317" s="24"/>
      <c r="E317" s="24"/>
      <c r="F317" s="38"/>
      <c r="G317" s="27"/>
      <c r="H317" s="24"/>
      <c r="I317" s="27"/>
      <c r="J317" s="26"/>
      <c r="K317" s="24"/>
      <c r="L317" s="24"/>
      <c r="M317" s="24" t="str">
        <f>IF(B317="","",IF(COUNTIFS(Cobranza!$C$9:$C$1008,B317,Cobranza!$N$9:$N$1008,"Vencida")&gt;0,"Vencida",IF(COUNTIFS(Cobranza!$C$9:$C$1008,B317,Cobranza!$N$9:$N$1008,"Parcial")&gt;0,"Parcial",IF(COUNTIFS(Cobranza!$C$9:$C$1008,B317,Cobranza!$N$9:$N$1008,"Pendiente")&gt;0,"Pendiente",IF(COUNTIFS(Cobranza!$C$9:$C$1008,B317,Cobranza!$N$9:$N$1008,"Pagada")&gt;0,"Pagada","")))))</f>
        <v/>
      </c>
      <c r="N317" s="33" t="str">
        <f t="shared" ca="1" si="4"/>
        <v/>
      </c>
      <c r="O317" s="23"/>
      <c r="P317" s="7" t="str">
        <f ca="1">IF(AND(B317&lt;&gt;"",F317&lt;&gt;"Cerrada",F317&lt;&gt;"Perdida",N317&lt;&gt;"",N317&gt;14),COUNTIFS($F$8:$F317,"&lt;&gt;Cerrada",$F$8:$F317,"&lt;&gt;Perdida",$N$8:$N317,"&gt;14"),"")</f>
        <v/>
      </c>
      <c r="Q317" s="8"/>
      <c r="R317" s="9"/>
      <c r="S317" s="10"/>
    </row>
    <row r="318" spans="2:19" ht="21.75" customHeight="1" x14ac:dyDescent="0.25">
      <c r="B318" s="24"/>
      <c r="C318" s="24"/>
      <c r="D318" s="24"/>
      <c r="E318" s="24"/>
      <c r="F318" s="38"/>
      <c r="G318" s="27"/>
      <c r="H318" s="24"/>
      <c r="I318" s="27"/>
      <c r="J318" s="26"/>
      <c r="K318" s="24"/>
      <c r="L318" s="24"/>
      <c r="M318" s="24" t="str">
        <f>IF(B318="","",IF(COUNTIFS(Cobranza!$C$9:$C$1008,B318,Cobranza!$N$9:$N$1008,"Vencida")&gt;0,"Vencida",IF(COUNTIFS(Cobranza!$C$9:$C$1008,B318,Cobranza!$N$9:$N$1008,"Parcial")&gt;0,"Parcial",IF(COUNTIFS(Cobranza!$C$9:$C$1008,B318,Cobranza!$N$9:$N$1008,"Pendiente")&gt;0,"Pendiente",IF(COUNTIFS(Cobranza!$C$9:$C$1008,B318,Cobranza!$N$9:$N$1008,"Pagada")&gt;0,"Pagada","")))))</f>
        <v/>
      </c>
      <c r="N318" s="33" t="str">
        <f t="shared" ca="1" si="4"/>
        <v/>
      </c>
      <c r="O318" s="23"/>
      <c r="P318" s="7" t="str">
        <f ca="1">IF(AND(B318&lt;&gt;"",F318&lt;&gt;"Cerrada",F318&lt;&gt;"Perdida",N318&lt;&gt;"",N318&gt;14),COUNTIFS($F$8:$F318,"&lt;&gt;Cerrada",$F$8:$F318,"&lt;&gt;Perdida",$N$8:$N318,"&gt;14"),"")</f>
        <v/>
      </c>
      <c r="Q318" s="8"/>
      <c r="R318" s="9"/>
      <c r="S318" s="10"/>
    </row>
    <row r="319" spans="2:19" ht="21.75" customHeight="1" x14ac:dyDescent="0.25">
      <c r="B319" s="24"/>
      <c r="C319" s="24"/>
      <c r="D319" s="24"/>
      <c r="E319" s="24"/>
      <c r="F319" s="38"/>
      <c r="G319" s="27"/>
      <c r="H319" s="24"/>
      <c r="I319" s="27"/>
      <c r="J319" s="26"/>
      <c r="K319" s="24"/>
      <c r="L319" s="24"/>
      <c r="M319" s="24" t="str">
        <f>IF(B319="","",IF(COUNTIFS(Cobranza!$C$9:$C$1008,B319,Cobranza!$N$9:$N$1008,"Vencida")&gt;0,"Vencida",IF(COUNTIFS(Cobranza!$C$9:$C$1008,B319,Cobranza!$N$9:$N$1008,"Parcial")&gt;0,"Parcial",IF(COUNTIFS(Cobranza!$C$9:$C$1008,B319,Cobranza!$N$9:$N$1008,"Pendiente")&gt;0,"Pendiente",IF(COUNTIFS(Cobranza!$C$9:$C$1008,B319,Cobranza!$N$9:$N$1008,"Pagada")&gt;0,"Pagada","")))))</f>
        <v/>
      </c>
      <c r="N319" s="33" t="str">
        <f t="shared" ca="1" si="4"/>
        <v/>
      </c>
      <c r="O319" s="23"/>
      <c r="P319" s="7" t="str">
        <f ca="1">IF(AND(B319&lt;&gt;"",F319&lt;&gt;"Cerrada",F319&lt;&gt;"Perdida",N319&lt;&gt;"",N319&gt;14),COUNTIFS($F$8:$F319,"&lt;&gt;Cerrada",$F$8:$F319,"&lt;&gt;Perdida",$N$8:$N319,"&gt;14"),"")</f>
        <v/>
      </c>
      <c r="Q319" s="8"/>
      <c r="R319" s="9"/>
      <c r="S319" s="10"/>
    </row>
    <row r="320" spans="2:19" ht="21.75" customHeight="1" x14ac:dyDescent="0.25">
      <c r="B320" s="24"/>
      <c r="C320" s="24"/>
      <c r="D320" s="24"/>
      <c r="E320" s="24"/>
      <c r="F320" s="38"/>
      <c r="G320" s="27"/>
      <c r="H320" s="24"/>
      <c r="I320" s="27"/>
      <c r="J320" s="26"/>
      <c r="K320" s="24"/>
      <c r="L320" s="24"/>
      <c r="M320" s="24" t="str">
        <f>IF(B320="","",IF(COUNTIFS(Cobranza!$C$9:$C$1008,B320,Cobranza!$N$9:$N$1008,"Vencida")&gt;0,"Vencida",IF(COUNTIFS(Cobranza!$C$9:$C$1008,B320,Cobranza!$N$9:$N$1008,"Parcial")&gt;0,"Parcial",IF(COUNTIFS(Cobranza!$C$9:$C$1008,B320,Cobranza!$N$9:$N$1008,"Pendiente")&gt;0,"Pendiente",IF(COUNTIFS(Cobranza!$C$9:$C$1008,B320,Cobranza!$N$9:$N$1008,"Pagada")&gt;0,"Pagada","")))))</f>
        <v/>
      </c>
      <c r="N320" s="33" t="str">
        <f t="shared" ca="1" si="4"/>
        <v/>
      </c>
      <c r="O320" s="23"/>
      <c r="P320" s="7" t="str">
        <f ca="1">IF(AND(B320&lt;&gt;"",F320&lt;&gt;"Cerrada",F320&lt;&gt;"Perdida",N320&lt;&gt;"",N320&gt;14),COUNTIFS($F$8:$F320,"&lt;&gt;Cerrada",$F$8:$F320,"&lt;&gt;Perdida",$N$8:$N320,"&gt;14"),"")</f>
        <v/>
      </c>
      <c r="Q320" s="8"/>
      <c r="R320" s="9"/>
      <c r="S320" s="10"/>
    </row>
    <row r="321" spans="2:19" ht="21.75" customHeight="1" x14ac:dyDescent="0.25">
      <c r="B321" s="24"/>
      <c r="C321" s="24"/>
      <c r="D321" s="24"/>
      <c r="E321" s="24"/>
      <c r="F321" s="38"/>
      <c r="G321" s="27"/>
      <c r="H321" s="24"/>
      <c r="I321" s="27"/>
      <c r="J321" s="26"/>
      <c r="K321" s="24"/>
      <c r="L321" s="24"/>
      <c r="M321" s="24" t="str">
        <f>IF(B321="","",IF(COUNTIFS(Cobranza!$C$9:$C$1008,B321,Cobranza!$N$9:$N$1008,"Vencida")&gt;0,"Vencida",IF(COUNTIFS(Cobranza!$C$9:$C$1008,B321,Cobranza!$N$9:$N$1008,"Parcial")&gt;0,"Parcial",IF(COUNTIFS(Cobranza!$C$9:$C$1008,B321,Cobranza!$N$9:$N$1008,"Pendiente")&gt;0,"Pendiente",IF(COUNTIFS(Cobranza!$C$9:$C$1008,B321,Cobranza!$N$9:$N$1008,"Pagada")&gt;0,"Pagada","")))))</f>
        <v/>
      </c>
      <c r="N321" s="33" t="str">
        <f t="shared" ca="1" si="4"/>
        <v/>
      </c>
      <c r="O321" s="23"/>
      <c r="P321" s="7" t="str">
        <f ca="1">IF(AND(B321&lt;&gt;"",F321&lt;&gt;"Cerrada",F321&lt;&gt;"Perdida",N321&lt;&gt;"",N321&gt;14),COUNTIFS($F$8:$F321,"&lt;&gt;Cerrada",$F$8:$F321,"&lt;&gt;Perdida",$N$8:$N321,"&gt;14"),"")</f>
        <v/>
      </c>
      <c r="Q321" s="8"/>
      <c r="R321" s="9"/>
      <c r="S321" s="10"/>
    </row>
    <row r="322" spans="2:19" ht="21.75" customHeight="1" x14ac:dyDescent="0.25">
      <c r="B322" s="24"/>
      <c r="C322" s="24"/>
      <c r="D322" s="24"/>
      <c r="E322" s="24"/>
      <c r="F322" s="38"/>
      <c r="G322" s="27"/>
      <c r="H322" s="24"/>
      <c r="I322" s="27"/>
      <c r="J322" s="26"/>
      <c r="K322" s="24"/>
      <c r="L322" s="24"/>
      <c r="M322" s="24" t="str">
        <f>IF(B322="","",IF(COUNTIFS(Cobranza!$C$9:$C$1008,B322,Cobranza!$N$9:$N$1008,"Vencida")&gt;0,"Vencida",IF(COUNTIFS(Cobranza!$C$9:$C$1008,B322,Cobranza!$N$9:$N$1008,"Parcial")&gt;0,"Parcial",IF(COUNTIFS(Cobranza!$C$9:$C$1008,B322,Cobranza!$N$9:$N$1008,"Pendiente")&gt;0,"Pendiente",IF(COUNTIFS(Cobranza!$C$9:$C$1008,B322,Cobranza!$N$9:$N$1008,"Pagada")&gt;0,"Pagada","")))))</f>
        <v/>
      </c>
      <c r="N322" s="33" t="str">
        <f t="shared" ca="1" si="4"/>
        <v/>
      </c>
      <c r="O322" s="23"/>
      <c r="P322" s="7" t="str">
        <f ca="1">IF(AND(B322&lt;&gt;"",F322&lt;&gt;"Cerrada",F322&lt;&gt;"Perdida",N322&lt;&gt;"",N322&gt;14),COUNTIFS($F$8:$F322,"&lt;&gt;Cerrada",$F$8:$F322,"&lt;&gt;Perdida",$N$8:$N322,"&gt;14"),"")</f>
        <v/>
      </c>
      <c r="Q322" s="8"/>
      <c r="R322" s="9"/>
      <c r="S322" s="10"/>
    </row>
    <row r="323" spans="2:19" ht="21.75" customHeight="1" x14ac:dyDescent="0.25">
      <c r="B323" s="24"/>
      <c r="C323" s="24"/>
      <c r="D323" s="24"/>
      <c r="E323" s="24"/>
      <c r="F323" s="38"/>
      <c r="G323" s="27"/>
      <c r="H323" s="24"/>
      <c r="I323" s="27"/>
      <c r="J323" s="26"/>
      <c r="K323" s="24"/>
      <c r="L323" s="24"/>
      <c r="M323" s="24" t="str">
        <f>IF(B323="","",IF(COUNTIFS(Cobranza!$C$9:$C$1008,B323,Cobranza!$N$9:$N$1008,"Vencida")&gt;0,"Vencida",IF(COUNTIFS(Cobranza!$C$9:$C$1008,B323,Cobranza!$N$9:$N$1008,"Parcial")&gt;0,"Parcial",IF(COUNTIFS(Cobranza!$C$9:$C$1008,B323,Cobranza!$N$9:$N$1008,"Pendiente")&gt;0,"Pendiente",IF(COUNTIFS(Cobranza!$C$9:$C$1008,B323,Cobranza!$N$9:$N$1008,"Pagada")&gt;0,"Pagada","")))))</f>
        <v/>
      </c>
      <c r="N323" s="33" t="str">
        <f t="shared" ca="1" si="4"/>
        <v/>
      </c>
      <c r="O323" s="23"/>
      <c r="P323" s="7" t="str">
        <f ca="1">IF(AND(B323&lt;&gt;"",F323&lt;&gt;"Cerrada",F323&lt;&gt;"Perdida",N323&lt;&gt;"",N323&gt;14),COUNTIFS($F$8:$F323,"&lt;&gt;Cerrada",$F$8:$F323,"&lt;&gt;Perdida",$N$8:$N323,"&gt;14"),"")</f>
        <v/>
      </c>
      <c r="Q323" s="8"/>
      <c r="R323" s="9"/>
      <c r="S323" s="10"/>
    </row>
    <row r="324" spans="2:19" ht="21.75" customHeight="1" x14ac:dyDescent="0.25">
      <c r="B324" s="24"/>
      <c r="C324" s="24"/>
      <c r="D324" s="24"/>
      <c r="E324" s="24"/>
      <c r="F324" s="38"/>
      <c r="G324" s="27"/>
      <c r="H324" s="24"/>
      <c r="I324" s="27"/>
      <c r="J324" s="26"/>
      <c r="K324" s="24"/>
      <c r="L324" s="24"/>
      <c r="M324" s="24" t="str">
        <f>IF(B324="","",IF(COUNTIFS(Cobranza!$C$9:$C$1008,B324,Cobranza!$N$9:$N$1008,"Vencida")&gt;0,"Vencida",IF(COUNTIFS(Cobranza!$C$9:$C$1008,B324,Cobranza!$N$9:$N$1008,"Parcial")&gt;0,"Parcial",IF(COUNTIFS(Cobranza!$C$9:$C$1008,B324,Cobranza!$N$9:$N$1008,"Pendiente")&gt;0,"Pendiente",IF(COUNTIFS(Cobranza!$C$9:$C$1008,B324,Cobranza!$N$9:$N$1008,"Pagada")&gt;0,"Pagada","")))))</f>
        <v/>
      </c>
      <c r="N324" s="33" t="str">
        <f t="shared" ca="1" si="4"/>
        <v/>
      </c>
      <c r="O324" s="23"/>
      <c r="P324" s="7" t="str">
        <f ca="1">IF(AND(B324&lt;&gt;"",F324&lt;&gt;"Cerrada",F324&lt;&gt;"Perdida",N324&lt;&gt;"",N324&gt;14),COUNTIFS($F$8:$F324,"&lt;&gt;Cerrada",$F$8:$F324,"&lt;&gt;Perdida",$N$8:$N324,"&gt;14"),"")</f>
        <v/>
      </c>
      <c r="Q324" s="8"/>
      <c r="R324" s="9"/>
      <c r="S324" s="10"/>
    </row>
    <row r="325" spans="2:19" ht="21.75" customHeight="1" x14ac:dyDescent="0.25">
      <c r="B325" s="24"/>
      <c r="C325" s="24"/>
      <c r="D325" s="24"/>
      <c r="E325" s="24"/>
      <c r="F325" s="38"/>
      <c r="G325" s="27"/>
      <c r="H325" s="24"/>
      <c r="I325" s="27"/>
      <c r="J325" s="26"/>
      <c r="K325" s="24"/>
      <c r="L325" s="24"/>
      <c r="M325" s="24" t="str">
        <f>IF(B325="","",IF(COUNTIFS(Cobranza!$C$9:$C$1008,B325,Cobranza!$N$9:$N$1008,"Vencida")&gt;0,"Vencida",IF(COUNTIFS(Cobranza!$C$9:$C$1008,B325,Cobranza!$N$9:$N$1008,"Parcial")&gt;0,"Parcial",IF(COUNTIFS(Cobranza!$C$9:$C$1008,B325,Cobranza!$N$9:$N$1008,"Pendiente")&gt;0,"Pendiente",IF(COUNTIFS(Cobranza!$C$9:$C$1008,B325,Cobranza!$N$9:$N$1008,"Pagada")&gt;0,"Pagada","")))))</f>
        <v/>
      </c>
      <c r="N325" s="33" t="str">
        <f t="shared" ca="1" si="4"/>
        <v/>
      </c>
      <c r="O325" s="23"/>
      <c r="P325" s="7" t="str">
        <f ca="1">IF(AND(B325&lt;&gt;"",F325&lt;&gt;"Cerrada",F325&lt;&gt;"Perdida",N325&lt;&gt;"",N325&gt;14),COUNTIFS($F$8:$F325,"&lt;&gt;Cerrada",$F$8:$F325,"&lt;&gt;Perdida",$N$8:$N325,"&gt;14"),"")</f>
        <v/>
      </c>
      <c r="Q325" s="8"/>
      <c r="R325" s="9"/>
      <c r="S325" s="10"/>
    </row>
    <row r="326" spans="2:19" ht="21.75" customHeight="1" x14ac:dyDescent="0.25">
      <c r="B326" s="24"/>
      <c r="C326" s="24"/>
      <c r="D326" s="24"/>
      <c r="E326" s="24"/>
      <c r="F326" s="38"/>
      <c r="G326" s="27"/>
      <c r="H326" s="24"/>
      <c r="I326" s="27"/>
      <c r="J326" s="26"/>
      <c r="K326" s="24"/>
      <c r="L326" s="24"/>
      <c r="M326" s="24" t="str">
        <f>IF(B326="","",IF(COUNTIFS(Cobranza!$C$9:$C$1008,B326,Cobranza!$N$9:$N$1008,"Vencida")&gt;0,"Vencida",IF(COUNTIFS(Cobranza!$C$9:$C$1008,B326,Cobranza!$N$9:$N$1008,"Parcial")&gt;0,"Parcial",IF(COUNTIFS(Cobranza!$C$9:$C$1008,B326,Cobranza!$N$9:$N$1008,"Pendiente")&gt;0,"Pendiente",IF(COUNTIFS(Cobranza!$C$9:$C$1008,B326,Cobranza!$N$9:$N$1008,"Pagada")&gt;0,"Pagada","")))))</f>
        <v/>
      </c>
      <c r="N326" s="33" t="str">
        <f t="shared" ca="1" si="4"/>
        <v/>
      </c>
      <c r="O326" s="23"/>
      <c r="P326" s="7" t="str">
        <f ca="1">IF(AND(B326&lt;&gt;"",F326&lt;&gt;"Cerrada",F326&lt;&gt;"Perdida",N326&lt;&gt;"",N326&gt;14),COUNTIFS($F$8:$F326,"&lt;&gt;Cerrada",$F$8:$F326,"&lt;&gt;Perdida",$N$8:$N326,"&gt;14"),"")</f>
        <v/>
      </c>
      <c r="Q326" s="8"/>
      <c r="R326" s="9"/>
      <c r="S326" s="10"/>
    </row>
    <row r="327" spans="2:19" ht="21.75" customHeight="1" x14ac:dyDescent="0.25">
      <c r="B327" s="24"/>
      <c r="C327" s="24"/>
      <c r="D327" s="24"/>
      <c r="E327" s="24"/>
      <c r="F327" s="38"/>
      <c r="G327" s="27"/>
      <c r="H327" s="24"/>
      <c r="I327" s="27"/>
      <c r="J327" s="26"/>
      <c r="K327" s="24"/>
      <c r="L327" s="24"/>
      <c r="M327" s="24" t="str">
        <f>IF(B327="","",IF(COUNTIFS(Cobranza!$C$9:$C$1008,B327,Cobranza!$N$9:$N$1008,"Vencida")&gt;0,"Vencida",IF(COUNTIFS(Cobranza!$C$9:$C$1008,B327,Cobranza!$N$9:$N$1008,"Parcial")&gt;0,"Parcial",IF(COUNTIFS(Cobranza!$C$9:$C$1008,B327,Cobranza!$N$9:$N$1008,"Pendiente")&gt;0,"Pendiente",IF(COUNTIFS(Cobranza!$C$9:$C$1008,B327,Cobranza!$N$9:$N$1008,"Pagada")&gt;0,"Pagada","")))))</f>
        <v/>
      </c>
      <c r="N327" s="33" t="str">
        <f t="shared" ca="1" si="4"/>
        <v/>
      </c>
      <c r="O327" s="23"/>
      <c r="P327" s="7" t="str">
        <f ca="1">IF(AND(B327&lt;&gt;"",F327&lt;&gt;"Cerrada",F327&lt;&gt;"Perdida",N327&lt;&gt;"",N327&gt;14),COUNTIFS($F$8:$F327,"&lt;&gt;Cerrada",$F$8:$F327,"&lt;&gt;Perdida",$N$8:$N327,"&gt;14"),"")</f>
        <v/>
      </c>
      <c r="Q327" s="8"/>
      <c r="R327" s="9"/>
      <c r="S327" s="10"/>
    </row>
    <row r="328" spans="2:19" ht="21.75" customHeight="1" x14ac:dyDescent="0.25">
      <c r="B328" s="24"/>
      <c r="C328" s="24"/>
      <c r="D328" s="24"/>
      <c r="E328" s="24"/>
      <c r="F328" s="38"/>
      <c r="G328" s="27"/>
      <c r="H328" s="24"/>
      <c r="I328" s="27"/>
      <c r="J328" s="26"/>
      <c r="K328" s="24"/>
      <c r="L328" s="24"/>
      <c r="M328" s="24" t="str">
        <f>IF(B328="","",IF(COUNTIFS(Cobranza!$C$9:$C$1008,B328,Cobranza!$N$9:$N$1008,"Vencida")&gt;0,"Vencida",IF(COUNTIFS(Cobranza!$C$9:$C$1008,B328,Cobranza!$N$9:$N$1008,"Parcial")&gt;0,"Parcial",IF(COUNTIFS(Cobranza!$C$9:$C$1008,B328,Cobranza!$N$9:$N$1008,"Pendiente")&gt;0,"Pendiente",IF(COUNTIFS(Cobranza!$C$9:$C$1008,B328,Cobranza!$N$9:$N$1008,"Pagada")&gt;0,"Pagada","")))))</f>
        <v/>
      </c>
      <c r="N328" s="33" t="str">
        <f t="shared" ref="N328:N391" ca="1" si="5">IF(I328="","",MAX(0,TODAY()-I328))</f>
        <v/>
      </c>
      <c r="O328" s="23"/>
      <c r="P328" s="7" t="str">
        <f ca="1">IF(AND(B328&lt;&gt;"",F328&lt;&gt;"Cerrada",F328&lt;&gt;"Perdida",N328&lt;&gt;"",N328&gt;14),COUNTIFS($F$8:$F328,"&lt;&gt;Cerrada",$F$8:$F328,"&lt;&gt;Perdida",$N$8:$N328,"&gt;14"),"")</f>
        <v/>
      </c>
      <c r="Q328" s="8"/>
      <c r="R328" s="9"/>
      <c r="S328" s="10"/>
    </row>
    <row r="329" spans="2:19" ht="21.75" customHeight="1" x14ac:dyDescent="0.25">
      <c r="B329" s="24"/>
      <c r="C329" s="24"/>
      <c r="D329" s="24"/>
      <c r="E329" s="24"/>
      <c r="F329" s="38"/>
      <c r="G329" s="27"/>
      <c r="H329" s="24"/>
      <c r="I329" s="27"/>
      <c r="J329" s="26"/>
      <c r="K329" s="24"/>
      <c r="L329" s="24"/>
      <c r="M329" s="24" t="str">
        <f>IF(B329="","",IF(COUNTIFS(Cobranza!$C$9:$C$1008,B329,Cobranza!$N$9:$N$1008,"Vencida")&gt;0,"Vencida",IF(COUNTIFS(Cobranza!$C$9:$C$1008,B329,Cobranza!$N$9:$N$1008,"Parcial")&gt;0,"Parcial",IF(COUNTIFS(Cobranza!$C$9:$C$1008,B329,Cobranza!$N$9:$N$1008,"Pendiente")&gt;0,"Pendiente",IF(COUNTIFS(Cobranza!$C$9:$C$1008,B329,Cobranza!$N$9:$N$1008,"Pagada")&gt;0,"Pagada","")))))</f>
        <v/>
      </c>
      <c r="N329" s="33" t="str">
        <f t="shared" ca="1" si="5"/>
        <v/>
      </c>
      <c r="O329" s="23"/>
      <c r="P329" s="7" t="str">
        <f ca="1">IF(AND(B329&lt;&gt;"",F329&lt;&gt;"Cerrada",F329&lt;&gt;"Perdida",N329&lt;&gt;"",N329&gt;14),COUNTIFS($F$8:$F329,"&lt;&gt;Cerrada",$F$8:$F329,"&lt;&gt;Perdida",$N$8:$N329,"&gt;14"),"")</f>
        <v/>
      </c>
      <c r="Q329" s="8"/>
      <c r="R329" s="9"/>
      <c r="S329" s="10"/>
    </row>
    <row r="330" spans="2:19" ht="21.75" customHeight="1" x14ac:dyDescent="0.25">
      <c r="B330" s="24"/>
      <c r="C330" s="24"/>
      <c r="D330" s="24"/>
      <c r="E330" s="24"/>
      <c r="F330" s="38"/>
      <c r="G330" s="27"/>
      <c r="H330" s="24"/>
      <c r="I330" s="27"/>
      <c r="J330" s="26"/>
      <c r="K330" s="24"/>
      <c r="L330" s="24"/>
      <c r="M330" s="24" t="str">
        <f>IF(B330="","",IF(COUNTIFS(Cobranza!$C$9:$C$1008,B330,Cobranza!$N$9:$N$1008,"Vencida")&gt;0,"Vencida",IF(COUNTIFS(Cobranza!$C$9:$C$1008,B330,Cobranza!$N$9:$N$1008,"Parcial")&gt;0,"Parcial",IF(COUNTIFS(Cobranza!$C$9:$C$1008,B330,Cobranza!$N$9:$N$1008,"Pendiente")&gt;0,"Pendiente",IF(COUNTIFS(Cobranza!$C$9:$C$1008,B330,Cobranza!$N$9:$N$1008,"Pagada")&gt;0,"Pagada","")))))</f>
        <v/>
      </c>
      <c r="N330" s="33" t="str">
        <f t="shared" ca="1" si="5"/>
        <v/>
      </c>
      <c r="O330" s="23"/>
      <c r="P330" s="7" t="str">
        <f ca="1">IF(AND(B330&lt;&gt;"",F330&lt;&gt;"Cerrada",F330&lt;&gt;"Perdida",N330&lt;&gt;"",N330&gt;14),COUNTIFS($F$8:$F330,"&lt;&gt;Cerrada",$F$8:$F330,"&lt;&gt;Perdida",$N$8:$N330,"&gt;14"),"")</f>
        <v/>
      </c>
      <c r="Q330" s="8"/>
      <c r="R330" s="9"/>
      <c r="S330" s="10"/>
    </row>
    <row r="331" spans="2:19" ht="21.75" customHeight="1" x14ac:dyDescent="0.25">
      <c r="B331" s="24"/>
      <c r="C331" s="24"/>
      <c r="D331" s="24"/>
      <c r="E331" s="24"/>
      <c r="F331" s="38"/>
      <c r="G331" s="27"/>
      <c r="H331" s="24"/>
      <c r="I331" s="27"/>
      <c r="J331" s="26"/>
      <c r="K331" s="24"/>
      <c r="L331" s="24"/>
      <c r="M331" s="24" t="str">
        <f>IF(B331="","",IF(COUNTIFS(Cobranza!$C$9:$C$1008,B331,Cobranza!$N$9:$N$1008,"Vencida")&gt;0,"Vencida",IF(COUNTIFS(Cobranza!$C$9:$C$1008,B331,Cobranza!$N$9:$N$1008,"Parcial")&gt;0,"Parcial",IF(COUNTIFS(Cobranza!$C$9:$C$1008,B331,Cobranza!$N$9:$N$1008,"Pendiente")&gt;0,"Pendiente",IF(COUNTIFS(Cobranza!$C$9:$C$1008,B331,Cobranza!$N$9:$N$1008,"Pagada")&gt;0,"Pagada","")))))</f>
        <v/>
      </c>
      <c r="N331" s="33" t="str">
        <f t="shared" ca="1" si="5"/>
        <v/>
      </c>
      <c r="O331" s="23"/>
      <c r="P331" s="7" t="str">
        <f ca="1">IF(AND(B331&lt;&gt;"",F331&lt;&gt;"Cerrada",F331&lt;&gt;"Perdida",N331&lt;&gt;"",N331&gt;14),COUNTIFS($F$8:$F331,"&lt;&gt;Cerrada",$F$8:$F331,"&lt;&gt;Perdida",$N$8:$N331,"&gt;14"),"")</f>
        <v/>
      </c>
      <c r="Q331" s="8"/>
      <c r="R331" s="9"/>
      <c r="S331" s="10"/>
    </row>
    <row r="332" spans="2:19" ht="21.75" customHeight="1" x14ac:dyDescent="0.25">
      <c r="B332" s="24"/>
      <c r="C332" s="24"/>
      <c r="D332" s="24"/>
      <c r="E332" s="24"/>
      <c r="F332" s="38"/>
      <c r="G332" s="27"/>
      <c r="H332" s="24"/>
      <c r="I332" s="27"/>
      <c r="J332" s="26"/>
      <c r="K332" s="24"/>
      <c r="L332" s="24"/>
      <c r="M332" s="24" t="str">
        <f>IF(B332="","",IF(COUNTIFS(Cobranza!$C$9:$C$1008,B332,Cobranza!$N$9:$N$1008,"Vencida")&gt;0,"Vencida",IF(COUNTIFS(Cobranza!$C$9:$C$1008,B332,Cobranza!$N$9:$N$1008,"Parcial")&gt;0,"Parcial",IF(COUNTIFS(Cobranza!$C$9:$C$1008,B332,Cobranza!$N$9:$N$1008,"Pendiente")&gt;0,"Pendiente",IF(COUNTIFS(Cobranza!$C$9:$C$1008,B332,Cobranza!$N$9:$N$1008,"Pagada")&gt;0,"Pagada","")))))</f>
        <v/>
      </c>
      <c r="N332" s="33" t="str">
        <f t="shared" ca="1" si="5"/>
        <v/>
      </c>
      <c r="O332" s="23"/>
      <c r="P332" s="7" t="str">
        <f ca="1">IF(AND(B332&lt;&gt;"",F332&lt;&gt;"Cerrada",F332&lt;&gt;"Perdida",N332&lt;&gt;"",N332&gt;14),COUNTIFS($F$8:$F332,"&lt;&gt;Cerrada",$F$8:$F332,"&lt;&gt;Perdida",$N$8:$N332,"&gt;14"),"")</f>
        <v/>
      </c>
      <c r="Q332" s="8"/>
      <c r="R332" s="9"/>
      <c r="S332" s="10"/>
    </row>
    <row r="333" spans="2:19" ht="21.75" customHeight="1" x14ac:dyDescent="0.25">
      <c r="B333" s="24"/>
      <c r="C333" s="24"/>
      <c r="D333" s="24"/>
      <c r="E333" s="24"/>
      <c r="F333" s="38"/>
      <c r="G333" s="27"/>
      <c r="H333" s="24"/>
      <c r="I333" s="27"/>
      <c r="J333" s="26"/>
      <c r="K333" s="24"/>
      <c r="L333" s="24"/>
      <c r="M333" s="24" t="str">
        <f>IF(B333="","",IF(COUNTIFS(Cobranza!$C$9:$C$1008,B333,Cobranza!$N$9:$N$1008,"Vencida")&gt;0,"Vencida",IF(COUNTIFS(Cobranza!$C$9:$C$1008,B333,Cobranza!$N$9:$N$1008,"Parcial")&gt;0,"Parcial",IF(COUNTIFS(Cobranza!$C$9:$C$1008,B333,Cobranza!$N$9:$N$1008,"Pendiente")&gt;0,"Pendiente",IF(COUNTIFS(Cobranza!$C$9:$C$1008,B333,Cobranza!$N$9:$N$1008,"Pagada")&gt;0,"Pagada","")))))</f>
        <v/>
      </c>
      <c r="N333" s="33" t="str">
        <f t="shared" ca="1" si="5"/>
        <v/>
      </c>
      <c r="O333" s="23"/>
      <c r="P333" s="7" t="str">
        <f ca="1">IF(AND(B333&lt;&gt;"",F333&lt;&gt;"Cerrada",F333&lt;&gt;"Perdida",N333&lt;&gt;"",N333&gt;14),COUNTIFS($F$8:$F333,"&lt;&gt;Cerrada",$F$8:$F333,"&lt;&gt;Perdida",$N$8:$N333,"&gt;14"),"")</f>
        <v/>
      </c>
      <c r="Q333" s="8"/>
      <c r="R333" s="9"/>
      <c r="S333" s="10"/>
    </row>
    <row r="334" spans="2:19" ht="21.75" customHeight="1" x14ac:dyDescent="0.25">
      <c r="B334" s="24"/>
      <c r="C334" s="24"/>
      <c r="D334" s="24"/>
      <c r="E334" s="24"/>
      <c r="F334" s="38"/>
      <c r="G334" s="27"/>
      <c r="H334" s="24"/>
      <c r="I334" s="27"/>
      <c r="J334" s="26"/>
      <c r="K334" s="24"/>
      <c r="L334" s="24"/>
      <c r="M334" s="24" t="str">
        <f>IF(B334="","",IF(COUNTIFS(Cobranza!$C$9:$C$1008,B334,Cobranza!$N$9:$N$1008,"Vencida")&gt;0,"Vencida",IF(COUNTIFS(Cobranza!$C$9:$C$1008,B334,Cobranza!$N$9:$N$1008,"Parcial")&gt;0,"Parcial",IF(COUNTIFS(Cobranza!$C$9:$C$1008,B334,Cobranza!$N$9:$N$1008,"Pendiente")&gt;0,"Pendiente",IF(COUNTIFS(Cobranza!$C$9:$C$1008,B334,Cobranza!$N$9:$N$1008,"Pagada")&gt;0,"Pagada","")))))</f>
        <v/>
      </c>
      <c r="N334" s="33" t="str">
        <f t="shared" ca="1" si="5"/>
        <v/>
      </c>
      <c r="O334" s="23"/>
      <c r="P334" s="7" t="str">
        <f ca="1">IF(AND(B334&lt;&gt;"",F334&lt;&gt;"Cerrada",F334&lt;&gt;"Perdida",N334&lt;&gt;"",N334&gt;14),COUNTIFS($F$8:$F334,"&lt;&gt;Cerrada",$F$8:$F334,"&lt;&gt;Perdida",$N$8:$N334,"&gt;14"),"")</f>
        <v/>
      </c>
      <c r="Q334" s="8"/>
      <c r="R334" s="9"/>
      <c r="S334" s="10"/>
    </row>
    <row r="335" spans="2:19" ht="21.75" customHeight="1" x14ac:dyDescent="0.25">
      <c r="B335" s="24"/>
      <c r="C335" s="24"/>
      <c r="D335" s="24"/>
      <c r="E335" s="24"/>
      <c r="F335" s="38"/>
      <c r="G335" s="27"/>
      <c r="H335" s="24"/>
      <c r="I335" s="27"/>
      <c r="J335" s="26"/>
      <c r="K335" s="24"/>
      <c r="L335" s="24"/>
      <c r="M335" s="24" t="str">
        <f>IF(B335="","",IF(COUNTIFS(Cobranza!$C$9:$C$1008,B335,Cobranza!$N$9:$N$1008,"Vencida")&gt;0,"Vencida",IF(COUNTIFS(Cobranza!$C$9:$C$1008,B335,Cobranza!$N$9:$N$1008,"Parcial")&gt;0,"Parcial",IF(COUNTIFS(Cobranza!$C$9:$C$1008,B335,Cobranza!$N$9:$N$1008,"Pendiente")&gt;0,"Pendiente",IF(COUNTIFS(Cobranza!$C$9:$C$1008,B335,Cobranza!$N$9:$N$1008,"Pagada")&gt;0,"Pagada","")))))</f>
        <v/>
      </c>
      <c r="N335" s="33" t="str">
        <f t="shared" ca="1" si="5"/>
        <v/>
      </c>
      <c r="O335" s="23"/>
      <c r="P335" s="7" t="str">
        <f ca="1">IF(AND(B335&lt;&gt;"",F335&lt;&gt;"Cerrada",F335&lt;&gt;"Perdida",N335&lt;&gt;"",N335&gt;14),COUNTIFS($F$8:$F335,"&lt;&gt;Cerrada",$F$8:$F335,"&lt;&gt;Perdida",$N$8:$N335,"&gt;14"),"")</f>
        <v/>
      </c>
      <c r="Q335" s="8"/>
      <c r="R335" s="9"/>
      <c r="S335" s="10"/>
    </row>
    <row r="336" spans="2:19" ht="21.75" customHeight="1" x14ac:dyDescent="0.25">
      <c r="B336" s="24"/>
      <c r="C336" s="24"/>
      <c r="D336" s="24"/>
      <c r="E336" s="24"/>
      <c r="F336" s="38"/>
      <c r="G336" s="27"/>
      <c r="H336" s="24"/>
      <c r="I336" s="27"/>
      <c r="J336" s="26"/>
      <c r="K336" s="24"/>
      <c r="L336" s="24"/>
      <c r="M336" s="24" t="str">
        <f>IF(B336="","",IF(COUNTIFS(Cobranza!$C$9:$C$1008,B336,Cobranza!$N$9:$N$1008,"Vencida")&gt;0,"Vencida",IF(COUNTIFS(Cobranza!$C$9:$C$1008,B336,Cobranza!$N$9:$N$1008,"Parcial")&gt;0,"Parcial",IF(COUNTIFS(Cobranza!$C$9:$C$1008,B336,Cobranza!$N$9:$N$1008,"Pendiente")&gt;0,"Pendiente",IF(COUNTIFS(Cobranza!$C$9:$C$1008,B336,Cobranza!$N$9:$N$1008,"Pagada")&gt;0,"Pagada","")))))</f>
        <v/>
      </c>
      <c r="N336" s="33" t="str">
        <f t="shared" ca="1" si="5"/>
        <v/>
      </c>
      <c r="O336" s="23"/>
      <c r="P336" s="7" t="str">
        <f ca="1">IF(AND(B336&lt;&gt;"",F336&lt;&gt;"Cerrada",F336&lt;&gt;"Perdida",N336&lt;&gt;"",N336&gt;14),COUNTIFS($F$8:$F336,"&lt;&gt;Cerrada",$F$8:$F336,"&lt;&gt;Perdida",$N$8:$N336,"&gt;14"),"")</f>
        <v/>
      </c>
      <c r="Q336" s="8"/>
      <c r="R336" s="9"/>
      <c r="S336" s="10"/>
    </row>
    <row r="337" spans="2:19" ht="21.75" customHeight="1" x14ac:dyDescent="0.25">
      <c r="B337" s="24"/>
      <c r="C337" s="24"/>
      <c r="D337" s="24"/>
      <c r="E337" s="24"/>
      <c r="F337" s="38"/>
      <c r="G337" s="27"/>
      <c r="H337" s="24"/>
      <c r="I337" s="27"/>
      <c r="J337" s="26"/>
      <c r="K337" s="24"/>
      <c r="L337" s="24"/>
      <c r="M337" s="24" t="str">
        <f>IF(B337="","",IF(COUNTIFS(Cobranza!$C$9:$C$1008,B337,Cobranza!$N$9:$N$1008,"Vencida")&gt;0,"Vencida",IF(COUNTIFS(Cobranza!$C$9:$C$1008,B337,Cobranza!$N$9:$N$1008,"Parcial")&gt;0,"Parcial",IF(COUNTIFS(Cobranza!$C$9:$C$1008,B337,Cobranza!$N$9:$N$1008,"Pendiente")&gt;0,"Pendiente",IF(COUNTIFS(Cobranza!$C$9:$C$1008,B337,Cobranza!$N$9:$N$1008,"Pagada")&gt;0,"Pagada","")))))</f>
        <v/>
      </c>
      <c r="N337" s="33" t="str">
        <f t="shared" ca="1" si="5"/>
        <v/>
      </c>
      <c r="O337" s="23"/>
      <c r="P337" s="7" t="str">
        <f ca="1">IF(AND(B337&lt;&gt;"",F337&lt;&gt;"Cerrada",F337&lt;&gt;"Perdida",N337&lt;&gt;"",N337&gt;14),COUNTIFS($F$8:$F337,"&lt;&gt;Cerrada",$F$8:$F337,"&lt;&gt;Perdida",$N$8:$N337,"&gt;14"),"")</f>
        <v/>
      </c>
      <c r="Q337" s="8"/>
      <c r="R337" s="9"/>
      <c r="S337" s="10"/>
    </row>
    <row r="338" spans="2:19" ht="21.75" customHeight="1" x14ac:dyDescent="0.25">
      <c r="B338" s="24"/>
      <c r="C338" s="24"/>
      <c r="D338" s="24"/>
      <c r="E338" s="24"/>
      <c r="F338" s="38"/>
      <c r="G338" s="27"/>
      <c r="H338" s="24"/>
      <c r="I338" s="27"/>
      <c r="J338" s="26"/>
      <c r="K338" s="24"/>
      <c r="L338" s="24"/>
      <c r="M338" s="24" t="str">
        <f>IF(B338="","",IF(COUNTIFS(Cobranza!$C$9:$C$1008,B338,Cobranza!$N$9:$N$1008,"Vencida")&gt;0,"Vencida",IF(COUNTIFS(Cobranza!$C$9:$C$1008,B338,Cobranza!$N$9:$N$1008,"Parcial")&gt;0,"Parcial",IF(COUNTIFS(Cobranza!$C$9:$C$1008,B338,Cobranza!$N$9:$N$1008,"Pendiente")&gt;0,"Pendiente",IF(COUNTIFS(Cobranza!$C$9:$C$1008,B338,Cobranza!$N$9:$N$1008,"Pagada")&gt;0,"Pagada","")))))</f>
        <v/>
      </c>
      <c r="N338" s="33" t="str">
        <f t="shared" ca="1" si="5"/>
        <v/>
      </c>
      <c r="O338" s="23"/>
      <c r="P338" s="7" t="str">
        <f ca="1">IF(AND(B338&lt;&gt;"",F338&lt;&gt;"Cerrada",F338&lt;&gt;"Perdida",N338&lt;&gt;"",N338&gt;14),COUNTIFS($F$8:$F338,"&lt;&gt;Cerrada",$F$8:$F338,"&lt;&gt;Perdida",$N$8:$N338,"&gt;14"),"")</f>
        <v/>
      </c>
      <c r="Q338" s="8"/>
      <c r="R338" s="9"/>
      <c r="S338" s="10"/>
    </row>
    <row r="339" spans="2:19" ht="21.75" customHeight="1" x14ac:dyDescent="0.25">
      <c r="B339" s="24"/>
      <c r="C339" s="24"/>
      <c r="D339" s="24"/>
      <c r="E339" s="24"/>
      <c r="F339" s="38"/>
      <c r="G339" s="27"/>
      <c r="H339" s="24"/>
      <c r="I339" s="27"/>
      <c r="J339" s="26"/>
      <c r="K339" s="24"/>
      <c r="L339" s="24"/>
      <c r="M339" s="24" t="str">
        <f>IF(B339="","",IF(COUNTIFS(Cobranza!$C$9:$C$1008,B339,Cobranza!$N$9:$N$1008,"Vencida")&gt;0,"Vencida",IF(COUNTIFS(Cobranza!$C$9:$C$1008,B339,Cobranza!$N$9:$N$1008,"Parcial")&gt;0,"Parcial",IF(COUNTIFS(Cobranza!$C$9:$C$1008,B339,Cobranza!$N$9:$N$1008,"Pendiente")&gt;0,"Pendiente",IF(COUNTIFS(Cobranza!$C$9:$C$1008,B339,Cobranza!$N$9:$N$1008,"Pagada")&gt;0,"Pagada","")))))</f>
        <v/>
      </c>
      <c r="N339" s="33" t="str">
        <f t="shared" ca="1" si="5"/>
        <v/>
      </c>
      <c r="O339" s="23"/>
      <c r="P339" s="7" t="str">
        <f ca="1">IF(AND(B339&lt;&gt;"",F339&lt;&gt;"Cerrada",F339&lt;&gt;"Perdida",N339&lt;&gt;"",N339&gt;14),COUNTIFS($F$8:$F339,"&lt;&gt;Cerrada",$F$8:$F339,"&lt;&gt;Perdida",$N$8:$N339,"&gt;14"),"")</f>
        <v/>
      </c>
      <c r="Q339" s="8"/>
      <c r="R339" s="9"/>
      <c r="S339" s="10"/>
    </row>
    <row r="340" spans="2:19" ht="21.75" customHeight="1" x14ac:dyDescent="0.25">
      <c r="B340" s="24"/>
      <c r="C340" s="24"/>
      <c r="D340" s="24"/>
      <c r="E340" s="24"/>
      <c r="F340" s="38"/>
      <c r="G340" s="27"/>
      <c r="H340" s="24"/>
      <c r="I340" s="27"/>
      <c r="J340" s="26"/>
      <c r="K340" s="24"/>
      <c r="L340" s="24"/>
      <c r="M340" s="24" t="str">
        <f>IF(B340="","",IF(COUNTIFS(Cobranza!$C$9:$C$1008,B340,Cobranza!$N$9:$N$1008,"Vencida")&gt;0,"Vencida",IF(COUNTIFS(Cobranza!$C$9:$C$1008,B340,Cobranza!$N$9:$N$1008,"Parcial")&gt;0,"Parcial",IF(COUNTIFS(Cobranza!$C$9:$C$1008,B340,Cobranza!$N$9:$N$1008,"Pendiente")&gt;0,"Pendiente",IF(COUNTIFS(Cobranza!$C$9:$C$1008,B340,Cobranza!$N$9:$N$1008,"Pagada")&gt;0,"Pagada","")))))</f>
        <v/>
      </c>
      <c r="N340" s="33" t="str">
        <f t="shared" ca="1" si="5"/>
        <v/>
      </c>
      <c r="O340" s="23"/>
      <c r="P340" s="7" t="str">
        <f ca="1">IF(AND(B340&lt;&gt;"",F340&lt;&gt;"Cerrada",F340&lt;&gt;"Perdida",N340&lt;&gt;"",N340&gt;14),COUNTIFS($F$8:$F340,"&lt;&gt;Cerrada",$F$8:$F340,"&lt;&gt;Perdida",$N$8:$N340,"&gt;14"),"")</f>
        <v/>
      </c>
      <c r="Q340" s="8"/>
      <c r="R340" s="9"/>
      <c r="S340" s="10"/>
    </row>
    <row r="341" spans="2:19" ht="21.75" customHeight="1" x14ac:dyDescent="0.25">
      <c r="B341" s="24"/>
      <c r="C341" s="24"/>
      <c r="D341" s="24"/>
      <c r="E341" s="24"/>
      <c r="F341" s="38"/>
      <c r="G341" s="27"/>
      <c r="H341" s="24"/>
      <c r="I341" s="27"/>
      <c r="J341" s="26"/>
      <c r="K341" s="24"/>
      <c r="L341" s="24"/>
      <c r="M341" s="24" t="str">
        <f>IF(B341="","",IF(COUNTIFS(Cobranza!$C$9:$C$1008,B341,Cobranza!$N$9:$N$1008,"Vencida")&gt;0,"Vencida",IF(COUNTIFS(Cobranza!$C$9:$C$1008,B341,Cobranza!$N$9:$N$1008,"Parcial")&gt;0,"Parcial",IF(COUNTIFS(Cobranza!$C$9:$C$1008,B341,Cobranza!$N$9:$N$1008,"Pendiente")&gt;0,"Pendiente",IF(COUNTIFS(Cobranza!$C$9:$C$1008,B341,Cobranza!$N$9:$N$1008,"Pagada")&gt;0,"Pagada","")))))</f>
        <v/>
      </c>
      <c r="N341" s="33" t="str">
        <f t="shared" ca="1" si="5"/>
        <v/>
      </c>
      <c r="O341" s="23"/>
      <c r="P341" s="7" t="str">
        <f ca="1">IF(AND(B341&lt;&gt;"",F341&lt;&gt;"Cerrada",F341&lt;&gt;"Perdida",N341&lt;&gt;"",N341&gt;14),COUNTIFS($F$8:$F341,"&lt;&gt;Cerrada",$F$8:$F341,"&lt;&gt;Perdida",$N$8:$N341,"&gt;14"),"")</f>
        <v/>
      </c>
      <c r="Q341" s="8"/>
      <c r="R341" s="9"/>
      <c r="S341" s="10"/>
    </row>
    <row r="342" spans="2:19" ht="21.75" customHeight="1" x14ac:dyDescent="0.25">
      <c r="B342" s="24"/>
      <c r="C342" s="24"/>
      <c r="D342" s="24"/>
      <c r="E342" s="24"/>
      <c r="F342" s="38"/>
      <c r="G342" s="27"/>
      <c r="H342" s="24"/>
      <c r="I342" s="27"/>
      <c r="J342" s="26"/>
      <c r="K342" s="24"/>
      <c r="L342" s="24"/>
      <c r="M342" s="24" t="str">
        <f>IF(B342="","",IF(COUNTIFS(Cobranza!$C$9:$C$1008,B342,Cobranza!$N$9:$N$1008,"Vencida")&gt;0,"Vencida",IF(COUNTIFS(Cobranza!$C$9:$C$1008,B342,Cobranza!$N$9:$N$1008,"Parcial")&gt;0,"Parcial",IF(COUNTIFS(Cobranza!$C$9:$C$1008,B342,Cobranza!$N$9:$N$1008,"Pendiente")&gt;0,"Pendiente",IF(COUNTIFS(Cobranza!$C$9:$C$1008,B342,Cobranza!$N$9:$N$1008,"Pagada")&gt;0,"Pagada","")))))</f>
        <v/>
      </c>
      <c r="N342" s="33" t="str">
        <f t="shared" ca="1" si="5"/>
        <v/>
      </c>
      <c r="O342" s="23"/>
      <c r="P342" s="7" t="str">
        <f ca="1">IF(AND(B342&lt;&gt;"",F342&lt;&gt;"Cerrada",F342&lt;&gt;"Perdida",N342&lt;&gt;"",N342&gt;14),COUNTIFS($F$8:$F342,"&lt;&gt;Cerrada",$F$8:$F342,"&lt;&gt;Perdida",$N$8:$N342,"&gt;14"),"")</f>
        <v/>
      </c>
      <c r="Q342" s="8"/>
      <c r="R342" s="9"/>
      <c r="S342" s="10"/>
    </row>
    <row r="343" spans="2:19" ht="21.75" customHeight="1" x14ac:dyDescent="0.25">
      <c r="B343" s="24"/>
      <c r="C343" s="24"/>
      <c r="D343" s="24"/>
      <c r="E343" s="24"/>
      <c r="F343" s="38"/>
      <c r="G343" s="27"/>
      <c r="H343" s="24"/>
      <c r="I343" s="27"/>
      <c r="J343" s="26"/>
      <c r="K343" s="24"/>
      <c r="L343" s="24"/>
      <c r="M343" s="24" t="str">
        <f>IF(B343="","",IF(COUNTIFS(Cobranza!$C$9:$C$1008,B343,Cobranza!$N$9:$N$1008,"Vencida")&gt;0,"Vencida",IF(COUNTIFS(Cobranza!$C$9:$C$1008,B343,Cobranza!$N$9:$N$1008,"Parcial")&gt;0,"Parcial",IF(COUNTIFS(Cobranza!$C$9:$C$1008,B343,Cobranza!$N$9:$N$1008,"Pendiente")&gt;0,"Pendiente",IF(COUNTIFS(Cobranza!$C$9:$C$1008,B343,Cobranza!$N$9:$N$1008,"Pagada")&gt;0,"Pagada","")))))</f>
        <v/>
      </c>
      <c r="N343" s="33" t="str">
        <f t="shared" ca="1" si="5"/>
        <v/>
      </c>
      <c r="O343" s="23"/>
      <c r="P343" s="7" t="str">
        <f ca="1">IF(AND(B343&lt;&gt;"",F343&lt;&gt;"Cerrada",F343&lt;&gt;"Perdida",N343&lt;&gt;"",N343&gt;14),COUNTIFS($F$8:$F343,"&lt;&gt;Cerrada",$F$8:$F343,"&lt;&gt;Perdida",$N$8:$N343,"&gt;14"),"")</f>
        <v/>
      </c>
      <c r="Q343" s="8"/>
      <c r="R343" s="9"/>
      <c r="S343" s="10"/>
    </row>
    <row r="344" spans="2:19" ht="21.75" customHeight="1" x14ac:dyDescent="0.25">
      <c r="B344" s="24"/>
      <c r="C344" s="24"/>
      <c r="D344" s="24"/>
      <c r="E344" s="24"/>
      <c r="F344" s="38"/>
      <c r="G344" s="27"/>
      <c r="H344" s="24"/>
      <c r="I344" s="27"/>
      <c r="J344" s="26"/>
      <c r="K344" s="24"/>
      <c r="L344" s="24"/>
      <c r="M344" s="24" t="str">
        <f>IF(B344="","",IF(COUNTIFS(Cobranza!$C$9:$C$1008,B344,Cobranza!$N$9:$N$1008,"Vencida")&gt;0,"Vencida",IF(COUNTIFS(Cobranza!$C$9:$C$1008,B344,Cobranza!$N$9:$N$1008,"Parcial")&gt;0,"Parcial",IF(COUNTIFS(Cobranza!$C$9:$C$1008,B344,Cobranza!$N$9:$N$1008,"Pendiente")&gt;0,"Pendiente",IF(COUNTIFS(Cobranza!$C$9:$C$1008,B344,Cobranza!$N$9:$N$1008,"Pagada")&gt;0,"Pagada","")))))</f>
        <v/>
      </c>
      <c r="N344" s="33" t="str">
        <f t="shared" ca="1" si="5"/>
        <v/>
      </c>
      <c r="O344" s="23"/>
      <c r="P344" s="7" t="str">
        <f ca="1">IF(AND(B344&lt;&gt;"",F344&lt;&gt;"Cerrada",F344&lt;&gt;"Perdida",N344&lt;&gt;"",N344&gt;14),COUNTIFS($F$8:$F344,"&lt;&gt;Cerrada",$F$8:$F344,"&lt;&gt;Perdida",$N$8:$N344,"&gt;14"),"")</f>
        <v/>
      </c>
      <c r="Q344" s="8"/>
      <c r="R344" s="9"/>
      <c r="S344" s="10"/>
    </row>
    <row r="345" spans="2:19" ht="21.75" customHeight="1" x14ac:dyDescent="0.25">
      <c r="B345" s="24"/>
      <c r="C345" s="24"/>
      <c r="D345" s="24"/>
      <c r="E345" s="24"/>
      <c r="F345" s="38"/>
      <c r="G345" s="27"/>
      <c r="H345" s="24"/>
      <c r="I345" s="27"/>
      <c r="J345" s="26"/>
      <c r="K345" s="24"/>
      <c r="L345" s="24"/>
      <c r="M345" s="24" t="str">
        <f>IF(B345="","",IF(COUNTIFS(Cobranza!$C$9:$C$1008,B345,Cobranza!$N$9:$N$1008,"Vencida")&gt;0,"Vencida",IF(COUNTIFS(Cobranza!$C$9:$C$1008,B345,Cobranza!$N$9:$N$1008,"Parcial")&gt;0,"Parcial",IF(COUNTIFS(Cobranza!$C$9:$C$1008,B345,Cobranza!$N$9:$N$1008,"Pendiente")&gt;0,"Pendiente",IF(COUNTIFS(Cobranza!$C$9:$C$1008,B345,Cobranza!$N$9:$N$1008,"Pagada")&gt;0,"Pagada","")))))</f>
        <v/>
      </c>
      <c r="N345" s="33" t="str">
        <f t="shared" ca="1" si="5"/>
        <v/>
      </c>
      <c r="O345" s="23"/>
      <c r="P345" s="7" t="str">
        <f ca="1">IF(AND(B345&lt;&gt;"",F345&lt;&gt;"Cerrada",F345&lt;&gt;"Perdida",N345&lt;&gt;"",N345&gt;14),COUNTIFS($F$8:$F345,"&lt;&gt;Cerrada",$F$8:$F345,"&lt;&gt;Perdida",$N$8:$N345,"&gt;14"),"")</f>
        <v/>
      </c>
      <c r="Q345" s="8"/>
      <c r="R345" s="9"/>
      <c r="S345" s="10"/>
    </row>
    <row r="346" spans="2:19" ht="21.75" customHeight="1" x14ac:dyDescent="0.25">
      <c r="B346" s="24"/>
      <c r="C346" s="24"/>
      <c r="D346" s="24"/>
      <c r="E346" s="24"/>
      <c r="F346" s="38"/>
      <c r="G346" s="27"/>
      <c r="H346" s="24"/>
      <c r="I346" s="27"/>
      <c r="J346" s="26"/>
      <c r="K346" s="24"/>
      <c r="L346" s="24"/>
      <c r="M346" s="24" t="str">
        <f>IF(B346="","",IF(COUNTIFS(Cobranza!$C$9:$C$1008,B346,Cobranza!$N$9:$N$1008,"Vencida")&gt;0,"Vencida",IF(COUNTIFS(Cobranza!$C$9:$C$1008,B346,Cobranza!$N$9:$N$1008,"Parcial")&gt;0,"Parcial",IF(COUNTIFS(Cobranza!$C$9:$C$1008,B346,Cobranza!$N$9:$N$1008,"Pendiente")&gt;0,"Pendiente",IF(COUNTIFS(Cobranza!$C$9:$C$1008,B346,Cobranza!$N$9:$N$1008,"Pagada")&gt;0,"Pagada","")))))</f>
        <v/>
      </c>
      <c r="N346" s="33" t="str">
        <f t="shared" ca="1" si="5"/>
        <v/>
      </c>
      <c r="O346" s="23"/>
      <c r="P346" s="7" t="str">
        <f ca="1">IF(AND(B346&lt;&gt;"",F346&lt;&gt;"Cerrada",F346&lt;&gt;"Perdida",N346&lt;&gt;"",N346&gt;14),COUNTIFS($F$8:$F346,"&lt;&gt;Cerrada",$F$8:$F346,"&lt;&gt;Perdida",$N$8:$N346,"&gt;14"),"")</f>
        <v/>
      </c>
      <c r="Q346" s="8"/>
      <c r="R346" s="9"/>
      <c r="S346" s="10"/>
    </row>
    <row r="347" spans="2:19" ht="21.75" customHeight="1" x14ac:dyDescent="0.25">
      <c r="B347" s="24"/>
      <c r="C347" s="24"/>
      <c r="D347" s="24"/>
      <c r="E347" s="24"/>
      <c r="F347" s="38"/>
      <c r="G347" s="27"/>
      <c r="H347" s="24"/>
      <c r="I347" s="27"/>
      <c r="J347" s="26"/>
      <c r="K347" s="24"/>
      <c r="L347" s="24"/>
      <c r="M347" s="24" t="str">
        <f>IF(B347="","",IF(COUNTIFS(Cobranza!$C$9:$C$1008,B347,Cobranza!$N$9:$N$1008,"Vencida")&gt;0,"Vencida",IF(COUNTIFS(Cobranza!$C$9:$C$1008,B347,Cobranza!$N$9:$N$1008,"Parcial")&gt;0,"Parcial",IF(COUNTIFS(Cobranza!$C$9:$C$1008,B347,Cobranza!$N$9:$N$1008,"Pendiente")&gt;0,"Pendiente",IF(COUNTIFS(Cobranza!$C$9:$C$1008,B347,Cobranza!$N$9:$N$1008,"Pagada")&gt;0,"Pagada","")))))</f>
        <v/>
      </c>
      <c r="N347" s="33" t="str">
        <f t="shared" ca="1" si="5"/>
        <v/>
      </c>
      <c r="O347" s="23"/>
      <c r="P347" s="7" t="str">
        <f ca="1">IF(AND(B347&lt;&gt;"",F347&lt;&gt;"Cerrada",F347&lt;&gt;"Perdida",N347&lt;&gt;"",N347&gt;14),COUNTIFS($F$8:$F347,"&lt;&gt;Cerrada",$F$8:$F347,"&lt;&gt;Perdida",$N$8:$N347,"&gt;14"),"")</f>
        <v/>
      </c>
      <c r="Q347" s="8"/>
      <c r="R347" s="9"/>
      <c r="S347" s="10"/>
    </row>
    <row r="348" spans="2:19" ht="21.75" customHeight="1" x14ac:dyDescent="0.25">
      <c r="B348" s="24"/>
      <c r="C348" s="24"/>
      <c r="D348" s="24"/>
      <c r="E348" s="24"/>
      <c r="F348" s="38"/>
      <c r="G348" s="27"/>
      <c r="H348" s="24"/>
      <c r="I348" s="27"/>
      <c r="J348" s="26"/>
      <c r="K348" s="24"/>
      <c r="L348" s="24"/>
      <c r="M348" s="24" t="str">
        <f>IF(B348="","",IF(COUNTIFS(Cobranza!$C$9:$C$1008,B348,Cobranza!$N$9:$N$1008,"Vencida")&gt;0,"Vencida",IF(COUNTIFS(Cobranza!$C$9:$C$1008,B348,Cobranza!$N$9:$N$1008,"Parcial")&gt;0,"Parcial",IF(COUNTIFS(Cobranza!$C$9:$C$1008,B348,Cobranza!$N$9:$N$1008,"Pendiente")&gt;0,"Pendiente",IF(COUNTIFS(Cobranza!$C$9:$C$1008,B348,Cobranza!$N$9:$N$1008,"Pagada")&gt;0,"Pagada","")))))</f>
        <v/>
      </c>
      <c r="N348" s="33" t="str">
        <f t="shared" ca="1" si="5"/>
        <v/>
      </c>
      <c r="O348" s="23"/>
      <c r="P348" s="7" t="str">
        <f ca="1">IF(AND(B348&lt;&gt;"",F348&lt;&gt;"Cerrada",F348&lt;&gt;"Perdida",N348&lt;&gt;"",N348&gt;14),COUNTIFS($F$8:$F348,"&lt;&gt;Cerrada",$F$8:$F348,"&lt;&gt;Perdida",$N$8:$N348,"&gt;14"),"")</f>
        <v/>
      </c>
      <c r="Q348" s="8"/>
      <c r="R348" s="9"/>
      <c r="S348" s="10"/>
    </row>
    <row r="349" spans="2:19" ht="21.75" customHeight="1" x14ac:dyDescent="0.25">
      <c r="B349" s="24"/>
      <c r="C349" s="24"/>
      <c r="D349" s="24"/>
      <c r="E349" s="24"/>
      <c r="F349" s="38"/>
      <c r="G349" s="27"/>
      <c r="H349" s="24"/>
      <c r="I349" s="27"/>
      <c r="J349" s="26"/>
      <c r="K349" s="24"/>
      <c r="L349" s="24"/>
      <c r="M349" s="24" t="str">
        <f>IF(B349="","",IF(COUNTIFS(Cobranza!$C$9:$C$1008,B349,Cobranza!$N$9:$N$1008,"Vencida")&gt;0,"Vencida",IF(COUNTIFS(Cobranza!$C$9:$C$1008,B349,Cobranza!$N$9:$N$1008,"Parcial")&gt;0,"Parcial",IF(COUNTIFS(Cobranza!$C$9:$C$1008,B349,Cobranza!$N$9:$N$1008,"Pendiente")&gt;0,"Pendiente",IF(COUNTIFS(Cobranza!$C$9:$C$1008,B349,Cobranza!$N$9:$N$1008,"Pagada")&gt;0,"Pagada","")))))</f>
        <v/>
      </c>
      <c r="N349" s="33" t="str">
        <f t="shared" ca="1" si="5"/>
        <v/>
      </c>
      <c r="O349" s="23"/>
      <c r="P349" s="7" t="str">
        <f ca="1">IF(AND(B349&lt;&gt;"",F349&lt;&gt;"Cerrada",F349&lt;&gt;"Perdida",N349&lt;&gt;"",N349&gt;14),COUNTIFS($F$8:$F349,"&lt;&gt;Cerrada",$F$8:$F349,"&lt;&gt;Perdida",$N$8:$N349,"&gt;14"),"")</f>
        <v/>
      </c>
      <c r="Q349" s="8"/>
      <c r="R349" s="9"/>
      <c r="S349" s="10"/>
    </row>
    <row r="350" spans="2:19" ht="21.75" customHeight="1" x14ac:dyDescent="0.25">
      <c r="B350" s="24"/>
      <c r="C350" s="24"/>
      <c r="D350" s="24"/>
      <c r="E350" s="24"/>
      <c r="F350" s="38"/>
      <c r="G350" s="27"/>
      <c r="H350" s="24"/>
      <c r="I350" s="27"/>
      <c r="J350" s="26"/>
      <c r="K350" s="24"/>
      <c r="L350" s="24"/>
      <c r="M350" s="24" t="str">
        <f>IF(B350="","",IF(COUNTIFS(Cobranza!$C$9:$C$1008,B350,Cobranza!$N$9:$N$1008,"Vencida")&gt;0,"Vencida",IF(COUNTIFS(Cobranza!$C$9:$C$1008,B350,Cobranza!$N$9:$N$1008,"Parcial")&gt;0,"Parcial",IF(COUNTIFS(Cobranza!$C$9:$C$1008,B350,Cobranza!$N$9:$N$1008,"Pendiente")&gt;0,"Pendiente",IF(COUNTIFS(Cobranza!$C$9:$C$1008,B350,Cobranza!$N$9:$N$1008,"Pagada")&gt;0,"Pagada","")))))</f>
        <v/>
      </c>
      <c r="N350" s="33" t="str">
        <f t="shared" ca="1" si="5"/>
        <v/>
      </c>
      <c r="O350" s="23"/>
      <c r="P350" s="7" t="str">
        <f ca="1">IF(AND(B350&lt;&gt;"",F350&lt;&gt;"Cerrada",F350&lt;&gt;"Perdida",N350&lt;&gt;"",N350&gt;14),COUNTIFS($F$8:$F350,"&lt;&gt;Cerrada",$F$8:$F350,"&lt;&gt;Perdida",$N$8:$N350,"&gt;14"),"")</f>
        <v/>
      </c>
      <c r="Q350" s="8"/>
      <c r="R350" s="9"/>
      <c r="S350" s="10"/>
    </row>
    <row r="351" spans="2:19" ht="21.75" customHeight="1" x14ac:dyDescent="0.25">
      <c r="B351" s="24"/>
      <c r="C351" s="24"/>
      <c r="D351" s="24"/>
      <c r="E351" s="24"/>
      <c r="F351" s="38"/>
      <c r="G351" s="27"/>
      <c r="H351" s="24"/>
      <c r="I351" s="27"/>
      <c r="J351" s="26"/>
      <c r="K351" s="24"/>
      <c r="L351" s="24"/>
      <c r="M351" s="24" t="str">
        <f>IF(B351="","",IF(COUNTIFS(Cobranza!$C$9:$C$1008,B351,Cobranza!$N$9:$N$1008,"Vencida")&gt;0,"Vencida",IF(COUNTIFS(Cobranza!$C$9:$C$1008,B351,Cobranza!$N$9:$N$1008,"Parcial")&gt;0,"Parcial",IF(COUNTIFS(Cobranza!$C$9:$C$1008,B351,Cobranza!$N$9:$N$1008,"Pendiente")&gt;0,"Pendiente",IF(COUNTIFS(Cobranza!$C$9:$C$1008,B351,Cobranza!$N$9:$N$1008,"Pagada")&gt;0,"Pagada","")))))</f>
        <v/>
      </c>
      <c r="N351" s="33" t="str">
        <f t="shared" ca="1" si="5"/>
        <v/>
      </c>
      <c r="O351" s="23"/>
      <c r="P351" s="7" t="str">
        <f ca="1">IF(AND(B351&lt;&gt;"",F351&lt;&gt;"Cerrada",F351&lt;&gt;"Perdida",N351&lt;&gt;"",N351&gt;14),COUNTIFS($F$8:$F351,"&lt;&gt;Cerrada",$F$8:$F351,"&lt;&gt;Perdida",$N$8:$N351,"&gt;14"),"")</f>
        <v/>
      </c>
      <c r="Q351" s="8"/>
      <c r="R351" s="9"/>
      <c r="S351" s="10"/>
    </row>
    <row r="352" spans="2:19" ht="21.75" customHeight="1" x14ac:dyDescent="0.25">
      <c r="B352" s="24"/>
      <c r="C352" s="24"/>
      <c r="D352" s="24"/>
      <c r="E352" s="24"/>
      <c r="F352" s="38"/>
      <c r="G352" s="27"/>
      <c r="H352" s="24"/>
      <c r="I352" s="27"/>
      <c r="J352" s="26"/>
      <c r="K352" s="24"/>
      <c r="L352" s="24"/>
      <c r="M352" s="24" t="str">
        <f>IF(B352="","",IF(COUNTIFS(Cobranza!$C$9:$C$1008,B352,Cobranza!$N$9:$N$1008,"Vencida")&gt;0,"Vencida",IF(COUNTIFS(Cobranza!$C$9:$C$1008,B352,Cobranza!$N$9:$N$1008,"Parcial")&gt;0,"Parcial",IF(COUNTIFS(Cobranza!$C$9:$C$1008,B352,Cobranza!$N$9:$N$1008,"Pendiente")&gt;0,"Pendiente",IF(COUNTIFS(Cobranza!$C$9:$C$1008,B352,Cobranza!$N$9:$N$1008,"Pagada")&gt;0,"Pagada","")))))</f>
        <v/>
      </c>
      <c r="N352" s="33" t="str">
        <f t="shared" ca="1" si="5"/>
        <v/>
      </c>
      <c r="O352" s="23"/>
      <c r="P352" s="7" t="str">
        <f ca="1">IF(AND(B352&lt;&gt;"",F352&lt;&gt;"Cerrada",F352&lt;&gt;"Perdida",N352&lt;&gt;"",N352&gt;14),COUNTIFS($F$8:$F352,"&lt;&gt;Cerrada",$F$8:$F352,"&lt;&gt;Perdida",$N$8:$N352,"&gt;14"),"")</f>
        <v/>
      </c>
      <c r="Q352" s="8"/>
      <c r="R352" s="9"/>
      <c r="S352" s="10"/>
    </row>
    <row r="353" spans="2:19" ht="21.75" customHeight="1" x14ac:dyDescent="0.25">
      <c r="B353" s="24"/>
      <c r="C353" s="24"/>
      <c r="D353" s="24"/>
      <c r="E353" s="24"/>
      <c r="F353" s="38"/>
      <c r="G353" s="27"/>
      <c r="H353" s="24"/>
      <c r="I353" s="27"/>
      <c r="J353" s="26"/>
      <c r="K353" s="24"/>
      <c r="L353" s="24"/>
      <c r="M353" s="24" t="str">
        <f>IF(B353="","",IF(COUNTIFS(Cobranza!$C$9:$C$1008,B353,Cobranza!$N$9:$N$1008,"Vencida")&gt;0,"Vencida",IF(COUNTIFS(Cobranza!$C$9:$C$1008,B353,Cobranza!$N$9:$N$1008,"Parcial")&gt;0,"Parcial",IF(COUNTIFS(Cobranza!$C$9:$C$1008,B353,Cobranza!$N$9:$N$1008,"Pendiente")&gt;0,"Pendiente",IF(COUNTIFS(Cobranza!$C$9:$C$1008,B353,Cobranza!$N$9:$N$1008,"Pagada")&gt;0,"Pagada","")))))</f>
        <v/>
      </c>
      <c r="N353" s="33" t="str">
        <f t="shared" ca="1" si="5"/>
        <v/>
      </c>
      <c r="O353" s="23"/>
      <c r="P353" s="7" t="str">
        <f ca="1">IF(AND(B353&lt;&gt;"",F353&lt;&gt;"Cerrada",F353&lt;&gt;"Perdida",N353&lt;&gt;"",N353&gt;14),COUNTIFS($F$8:$F353,"&lt;&gt;Cerrada",$F$8:$F353,"&lt;&gt;Perdida",$N$8:$N353,"&gt;14"),"")</f>
        <v/>
      </c>
      <c r="Q353" s="8"/>
      <c r="R353" s="9"/>
      <c r="S353" s="10"/>
    </row>
    <row r="354" spans="2:19" ht="21.75" customHeight="1" x14ac:dyDescent="0.25">
      <c r="B354" s="24"/>
      <c r="C354" s="24"/>
      <c r="D354" s="24"/>
      <c r="E354" s="24"/>
      <c r="F354" s="38"/>
      <c r="G354" s="27"/>
      <c r="H354" s="24"/>
      <c r="I354" s="27"/>
      <c r="J354" s="26"/>
      <c r="K354" s="24"/>
      <c r="L354" s="24"/>
      <c r="M354" s="24" t="str">
        <f>IF(B354="","",IF(COUNTIFS(Cobranza!$C$9:$C$1008,B354,Cobranza!$N$9:$N$1008,"Vencida")&gt;0,"Vencida",IF(COUNTIFS(Cobranza!$C$9:$C$1008,B354,Cobranza!$N$9:$N$1008,"Parcial")&gt;0,"Parcial",IF(COUNTIFS(Cobranza!$C$9:$C$1008,B354,Cobranza!$N$9:$N$1008,"Pendiente")&gt;0,"Pendiente",IF(COUNTIFS(Cobranza!$C$9:$C$1008,B354,Cobranza!$N$9:$N$1008,"Pagada")&gt;0,"Pagada","")))))</f>
        <v/>
      </c>
      <c r="N354" s="33" t="str">
        <f t="shared" ca="1" si="5"/>
        <v/>
      </c>
      <c r="O354" s="23"/>
      <c r="P354" s="7" t="str">
        <f ca="1">IF(AND(B354&lt;&gt;"",F354&lt;&gt;"Cerrada",F354&lt;&gt;"Perdida",N354&lt;&gt;"",N354&gt;14),COUNTIFS($F$8:$F354,"&lt;&gt;Cerrada",$F$8:$F354,"&lt;&gt;Perdida",$N$8:$N354,"&gt;14"),"")</f>
        <v/>
      </c>
      <c r="Q354" s="8"/>
      <c r="R354" s="9"/>
      <c r="S354" s="10"/>
    </row>
    <row r="355" spans="2:19" ht="21.75" customHeight="1" x14ac:dyDescent="0.25">
      <c r="B355" s="24"/>
      <c r="C355" s="24"/>
      <c r="D355" s="24"/>
      <c r="E355" s="24"/>
      <c r="F355" s="38"/>
      <c r="G355" s="27"/>
      <c r="H355" s="24"/>
      <c r="I355" s="27"/>
      <c r="J355" s="26"/>
      <c r="K355" s="24"/>
      <c r="L355" s="24"/>
      <c r="M355" s="24" t="str">
        <f>IF(B355="","",IF(COUNTIFS(Cobranza!$C$9:$C$1008,B355,Cobranza!$N$9:$N$1008,"Vencida")&gt;0,"Vencida",IF(COUNTIFS(Cobranza!$C$9:$C$1008,B355,Cobranza!$N$9:$N$1008,"Parcial")&gt;0,"Parcial",IF(COUNTIFS(Cobranza!$C$9:$C$1008,B355,Cobranza!$N$9:$N$1008,"Pendiente")&gt;0,"Pendiente",IF(COUNTIFS(Cobranza!$C$9:$C$1008,B355,Cobranza!$N$9:$N$1008,"Pagada")&gt;0,"Pagada","")))))</f>
        <v/>
      </c>
      <c r="N355" s="33" t="str">
        <f t="shared" ca="1" si="5"/>
        <v/>
      </c>
      <c r="O355" s="23"/>
      <c r="P355" s="7" t="str">
        <f ca="1">IF(AND(B355&lt;&gt;"",F355&lt;&gt;"Cerrada",F355&lt;&gt;"Perdida",N355&lt;&gt;"",N355&gt;14),COUNTIFS($F$8:$F355,"&lt;&gt;Cerrada",$F$8:$F355,"&lt;&gt;Perdida",$N$8:$N355,"&gt;14"),"")</f>
        <v/>
      </c>
      <c r="Q355" s="8"/>
      <c r="R355" s="9"/>
      <c r="S355" s="10"/>
    </row>
    <row r="356" spans="2:19" ht="21.75" customHeight="1" x14ac:dyDescent="0.25">
      <c r="B356" s="24"/>
      <c r="C356" s="24"/>
      <c r="D356" s="24"/>
      <c r="E356" s="24"/>
      <c r="F356" s="38"/>
      <c r="G356" s="27"/>
      <c r="H356" s="24"/>
      <c r="I356" s="27"/>
      <c r="J356" s="26"/>
      <c r="K356" s="24"/>
      <c r="L356" s="24"/>
      <c r="M356" s="24" t="str">
        <f>IF(B356="","",IF(COUNTIFS(Cobranza!$C$9:$C$1008,B356,Cobranza!$N$9:$N$1008,"Vencida")&gt;0,"Vencida",IF(COUNTIFS(Cobranza!$C$9:$C$1008,B356,Cobranza!$N$9:$N$1008,"Parcial")&gt;0,"Parcial",IF(COUNTIFS(Cobranza!$C$9:$C$1008,B356,Cobranza!$N$9:$N$1008,"Pendiente")&gt;0,"Pendiente",IF(COUNTIFS(Cobranza!$C$9:$C$1008,B356,Cobranza!$N$9:$N$1008,"Pagada")&gt;0,"Pagada","")))))</f>
        <v/>
      </c>
      <c r="N356" s="33" t="str">
        <f t="shared" ca="1" si="5"/>
        <v/>
      </c>
      <c r="O356" s="23"/>
      <c r="P356" s="7" t="str">
        <f ca="1">IF(AND(B356&lt;&gt;"",F356&lt;&gt;"Cerrada",F356&lt;&gt;"Perdida",N356&lt;&gt;"",N356&gt;14),COUNTIFS($F$8:$F356,"&lt;&gt;Cerrada",$F$8:$F356,"&lt;&gt;Perdida",$N$8:$N356,"&gt;14"),"")</f>
        <v/>
      </c>
      <c r="Q356" s="8"/>
      <c r="R356" s="9"/>
      <c r="S356" s="10"/>
    </row>
    <row r="357" spans="2:19" ht="21.75" customHeight="1" x14ac:dyDescent="0.25">
      <c r="B357" s="24"/>
      <c r="C357" s="24"/>
      <c r="D357" s="24"/>
      <c r="E357" s="24"/>
      <c r="F357" s="38"/>
      <c r="G357" s="27"/>
      <c r="H357" s="24"/>
      <c r="I357" s="27"/>
      <c r="J357" s="26"/>
      <c r="K357" s="24"/>
      <c r="L357" s="24"/>
      <c r="M357" s="24" t="str">
        <f>IF(B357="","",IF(COUNTIFS(Cobranza!$C$9:$C$1008,B357,Cobranza!$N$9:$N$1008,"Vencida")&gt;0,"Vencida",IF(COUNTIFS(Cobranza!$C$9:$C$1008,B357,Cobranza!$N$9:$N$1008,"Parcial")&gt;0,"Parcial",IF(COUNTIFS(Cobranza!$C$9:$C$1008,B357,Cobranza!$N$9:$N$1008,"Pendiente")&gt;0,"Pendiente",IF(COUNTIFS(Cobranza!$C$9:$C$1008,B357,Cobranza!$N$9:$N$1008,"Pagada")&gt;0,"Pagada","")))))</f>
        <v/>
      </c>
      <c r="N357" s="33" t="str">
        <f t="shared" ca="1" si="5"/>
        <v/>
      </c>
      <c r="O357" s="23"/>
      <c r="P357" s="7" t="str">
        <f ca="1">IF(AND(B357&lt;&gt;"",F357&lt;&gt;"Cerrada",F357&lt;&gt;"Perdida",N357&lt;&gt;"",N357&gt;14),COUNTIFS($F$8:$F357,"&lt;&gt;Cerrada",$F$8:$F357,"&lt;&gt;Perdida",$N$8:$N357,"&gt;14"),"")</f>
        <v/>
      </c>
      <c r="Q357" s="8"/>
      <c r="R357" s="9"/>
      <c r="S357" s="10"/>
    </row>
    <row r="358" spans="2:19" ht="21.75" customHeight="1" x14ac:dyDescent="0.25">
      <c r="B358" s="24"/>
      <c r="C358" s="24"/>
      <c r="D358" s="24"/>
      <c r="E358" s="24"/>
      <c r="F358" s="38"/>
      <c r="G358" s="27"/>
      <c r="H358" s="24"/>
      <c r="I358" s="27"/>
      <c r="J358" s="26"/>
      <c r="K358" s="24"/>
      <c r="L358" s="24"/>
      <c r="M358" s="24" t="str">
        <f>IF(B358="","",IF(COUNTIFS(Cobranza!$C$9:$C$1008,B358,Cobranza!$N$9:$N$1008,"Vencida")&gt;0,"Vencida",IF(COUNTIFS(Cobranza!$C$9:$C$1008,B358,Cobranza!$N$9:$N$1008,"Parcial")&gt;0,"Parcial",IF(COUNTIFS(Cobranza!$C$9:$C$1008,B358,Cobranza!$N$9:$N$1008,"Pendiente")&gt;0,"Pendiente",IF(COUNTIFS(Cobranza!$C$9:$C$1008,B358,Cobranza!$N$9:$N$1008,"Pagada")&gt;0,"Pagada","")))))</f>
        <v/>
      </c>
      <c r="N358" s="33" t="str">
        <f t="shared" ca="1" si="5"/>
        <v/>
      </c>
      <c r="O358" s="23"/>
      <c r="P358" s="7" t="str">
        <f ca="1">IF(AND(B358&lt;&gt;"",F358&lt;&gt;"Cerrada",F358&lt;&gt;"Perdida",N358&lt;&gt;"",N358&gt;14),COUNTIFS($F$8:$F358,"&lt;&gt;Cerrada",$F$8:$F358,"&lt;&gt;Perdida",$N$8:$N358,"&gt;14"),"")</f>
        <v/>
      </c>
      <c r="Q358" s="8"/>
      <c r="R358" s="9"/>
      <c r="S358" s="10"/>
    </row>
    <row r="359" spans="2:19" ht="21.75" customHeight="1" x14ac:dyDescent="0.25">
      <c r="B359" s="24"/>
      <c r="C359" s="24"/>
      <c r="D359" s="24"/>
      <c r="E359" s="24"/>
      <c r="F359" s="38"/>
      <c r="G359" s="27"/>
      <c r="H359" s="24"/>
      <c r="I359" s="27"/>
      <c r="J359" s="26"/>
      <c r="K359" s="24"/>
      <c r="L359" s="24"/>
      <c r="M359" s="24" t="str">
        <f>IF(B359="","",IF(COUNTIFS(Cobranza!$C$9:$C$1008,B359,Cobranza!$N$9:$N$1008,"Vencida")&gt;0,"Vencida",IF(COUNTIFS(Cobranza!$C$9:$C$1008,B359,Cobranza!$N$9:$N$1008,"Parcial")&gt;0,"Parcial",IF(COUNTIFS(Cobranza!$C$9:$C$1008,B359,Cobranza!$N$9:$N$1008,"Pendiente")&gt;0,"Pendiente",IF(COUNTIFS(Cobranza!$C$9:$C$1008,B359,Cobranza!$N$9:$N$1008,"Pagada")&gt;0,"Pagada","")))))</f>
        <v/>
      </c>
      <c r="N359" s="33" t="str">
        <f t="shared" ca="1" si="5"/>
        <v/>
      </c>
      <c r="O359" s="23"/>
      <c r="P359" s="7" t="str">
        <f ca="1">IF(AND(B359&lt;&gt;"",F359&lt;&gt;"Cerrada",F359&lt;&gt;"Perdida",N359&lt;&gt;"",N359&gt;14),COUNTIFS($F$8:$F359,"&lt;&gt;Cerrada",$F$8:$F359,"&lt;&gt;Perdida",$N$8:$N359,"&gt;14"),"")</f>
        <v/>
      </c>
      <c r="Q359" s="8"/>
      <c r="R359" s="9"/>
      <c r="S359" s="10"/>
    </row>
    <row r="360" spans="2:19" ht="21.75" customHeight="1" x14ac:dyDescent="0.25">
      <c r="B360" s="24"/>
      <c r="C360" s="24"/>
      <c r="D360" s="24"/>
      <c r="E360" s="24"/>
      <c r="F360" s="38"/>
      <c r="G360" s="27"/>
      <c r="H360" s="24"/>
      <c r="I360" s="27"/>
      <c r="J360" s="26"/>
      <c r="K360" s="24"/>
      <c r="L360" s="24"/>
      <c r="M360" s="24" t="str">
        <f>IF(B360="","",IF(COUNTIFS(Cobranza!$C$9:$C$1008,B360,Cobranza!$N$9:$N$1008,"Vencida")&gt;0,"Vencida",IF(COUNTIFS(Cobranza!$C$9:$C$1008,B360,Cobranza!$N$9:$N$1008,"Parcial")&gt;0,"Parcial",IF(COUNTIFS(Cobranza!$C$9:$C$1008,B360,Cobranza!$N$9:$N$1008,"Pendiente")&gt;0,"Pendiente",IF(COUNTIFS(Cobranza!$C$9:$C$1008,B360,Cobranza!$N$9:$N$1008,"Pagada")&gt;0,"Pagada","")))))</f>
        <v/>
      </c>
      <c r="N360" s="33" t="str">
        <f t="shared" ca="1" si="5"/>
        <v/>
      </c>
      <c r="O360" s="23"/>
      <c r="P360" s="7" t="str">
        <f ca="1">IF(AND(B360&lt;&gt;"",F360&lt;&gt;"Cerrada",F360&lt;&gt;"Perdida",N360&lt;&gt;"",N360&gt;14),COUNTIFS($F$8:$F360,"&lt;&gt;Cerrada",$F$8:$F360,"&lt;&gt;Perdida",$N$8:$N360,"&gt;14"),"")</f>
        <v/>
      </c>
      <c r="Q360" s="8"/>
      <c r="R360" s="9"/>
      <c r="S360" s="10"/>
    </row>
    <row r="361" spans="2:19" ht="21.75" customHeight="1" x14ac:dyDescent="0.25">
      <c r="B361" s="24"/>
      <c r="C361" s="24"/>
      <c r="D361" s="24"/>
      <c r="E361" s="24"/>
      <c r="F361" s="38"/>
      <c r="G361" s="27"/>
      <c r="H361" s="24"/>
      <c r="I361" s="27"/>
      <c r="J361" s="26"/>
      <c r="K361" s="24"/>
      <c r="L361" s="24"/>
      <c r="M361" s="24" t="str">
        <f>IF(B361="","",IF(COUNTIFS(Cobranza!$C$9:$C$1008,B361,Cobranza!$N$9:$N$1008,"Vencida")&gt;0,"Vencida",IF(COUNTIFS(Cobranza!$C$9:$C$1008,B361,Cobranza!$N$9:$N$1008,"Parcial")&gt;0,"Parcial",IF(COUNTIFS(Cobranza!$C$9:$C$1008,B361,Cobranza!$N$9:$N$1008,"Pendiente")&gt;0,"Pendiente",IF(COUNTIFS(Cobranza!$C$9:$C$1008,B361,Cobranza!$N$9:$N$1008,"Pagada")&gt;0,"Pagada","")))))</f>
        <v/>
      </c>
      <c r="N361" s="33" t="str">
        <f t="shared" ca="1" si="5"/>
        <v/>
      </c>
      <c r="O361" s="23"/>
      <c r="P361" s="7" t="str">
        <f ca="1">IF(AND(B361&lt;&gt;"",F361&lt;&gt;"Cerrada",F361&lt;&gt;"Perdida",N361&lt;&gt;"",N361&gt;14),COUNTIFS($F$8:$F361,"&lt;&gt;Cerrada",$F$8:$F361,"&lt;&gt;Perdida",$N$8:$N361,"&gt;14"),"")</f>
        <v/>
      </c>
      <c r="Q361" s="8"/>
      <c r="R361" s="9"/>
      <c r="S361" s="10"/>
    </row>
    <row r="362" spans="2:19" ht="21.75" customHeight="1" x14ac:dyDescent="0.25">
      <c r="B362" s="24"/>
      <c r="C362" s="24"/>
      <c r="D362" s="24"/>
      <c r="E362" s="24"/>
      <c r="F362" s="38"/>
      <c r="G362" s="27"/>
      <c r="H362" s="24"/>
      <c r="I362" s="27"/>
      <c r="J362" s="26"/>
      <c r="K362" s="24"/>
      <c r="L362" s="24"/>
      <c r="M362" s="24" t="str">
        <f>IF(B362="","",IF(COUNTIFS(Cobranza!$C$9:$C$1008,B362,Cobranza!$N$9:$N$1008,"Vencida")&gt;0,"Vencida",IF(COUNTIFS(Cobranza!$C$9:$C$1008,B362,Cobranza!$N$9:$N$1008,"Parcial")&gt;0,"Parcial",IF(COUNTIFS(Cobranza!$C$9:$C$1008,B362,Cobranza!$N$9:$N$1008,"Pendiente")&gt;0,"Pendiente",IF(COUNTIFS(Cobranza!$C$9:$C$1008,B362,Cobranza!$N$9:$N$1008,"Pagada")&gt;0,"Pagada","")))))</f>
        <v/>
      </c>
      <c r="N362" s="33" t="str">
        <f t="shared" ca="1" si="5"/>
        <v/>
      </c>
      <c r="O362" s="23"/>
      <c r="P362" s="7" t="str">
        <f ca="1">IF(AND(B362&lt;&gt;"",F362&lt;&gt;"Cerrada",F362&lt;&gt;"Perdida",N362&lt;&gt;"",N362&gt;14),COUNTIFS($F$8:$F362,"&lt;&gt;Cerrada",$F$8:$F362,"&lt;&gt;Perdida",$N$8:$N362,"&gt;14"),"")</f>
        <v/>
      </c>
      <c r="Q362" s="8"/>
      <c r="R362" s="9"/>
      <c r="S362" s="10"/>
    </row>
    <row r="363" spans="2:19" ht="21.75" customHeight="1" x14ac:dyDescent="0.25">
      <c r="B363" s="24"/>
      <c r="C363" s="24"/>
      <c r="D363" s="24"/>
      <c r="E363" s="24"/>
      <c r="F363" s="38"/>
      <c r="G363" s="27"/>
      <c r="H363" s="24"/>
      <c r="I363" s="27"/>
      <c r="J363" s="26"/>
      <c r="K363" s="24"/>
      <c r="L363" s="24"/>
      <c r="M363" s="24" t="str">
        <f>IF(B363="","",IF(COUNTIFS(Cobranza!$C$9:$C$1008,B363,Cobranza!$N$9:$N$1008,"Vencida")&gt;0,"Vencida",IF(COUNTIFS(Cobranza!$C$9:$C$1008,B363,Cobranza!$N$9:$N$1008,"Parcial")&gt;0,"Parcial",IF(COUNTIFS(Cobranza!$C$9:$C$1008,B363,Cobranza!$N$9:$N$1008,"Pendiente")&gt;0,"Pendiente",IF(COUNTIFS(Cobranza!$C$9:$C$1008,B363,Cobranza!$N$9:$N$1008,"Pagada")&gt;0,"Pagada","")))))</f>
        <v/>
      </c>
      <c r="N363" s="33" t="str">
        <f t="shared" ca="1" si="5"/>
        <v/>
      </c>
      <c r="O363" s="23"/>
      <c r="P363" s="7" t="str">
        <f ca="1">IF(AND(B363&lt;&gt;"",F363&lt;&gt;"Cerrada",F363&lt;&gt;"Perdida",N363&lt;&gt;"",N363&gt;14),COUNTIFS($F$8:$F363,"&lt;&gt;Cerrada",$F$8:$F363,"&lt;&gt;Perdida",$N$8:$N363,"&gt;14"),"")</f>
        <v/>
      </c>
      <c r="Q363" s="8"/>
      <c r="R363" s="9"/>
      <c r="S363" s="10"/>
    </row>
    <row r="364" spans="2:19" ht="21.75" customHeight="1" x14ac:dyDescent="0.25">
      <c r="B364" s="24"/>
      <c r="C364" s="24"/>
      <c r="D364" s="24"/>
      <c r="E364" s="24"/>
      <c r="F364" s="38"/>
      <c r="G364" s="27"/>
      <c r="H364" s="24"/>
      <c r="I364" s="27"/>
      <c r="J364" s="26"/>
      <c r="K364" s="24"/>
      <c r="L364" s="24"/>
      <c r="M364" s="24" t="str">
        <f>IF(B364="","",IF(COUNTIFS(Cobranza!$C$9:$C$1008,B364,Cobranza!$N$9:$N$1008,"Vencida")&gt;0,"Vencida",IF(COUNTIFS(Cobranza!$C$9:$C$1008,B364,Cobranza!$N$9:$N$1008,"Parcial")&gt;0,"Parcial",IF(COUNTIFS(Cobranza!$C$9:$C$1008,B364,Cobranza!$N$9:$N$1008,"Pendiente")&gt;0,"Pendiente",IF(COUNTIFS(Cobranza!$C$9:$C$1008,B364,Cobranza!$N$9:$N$1008,"Pagada")&gt;0,"Pagada","")))))</f>
        <v/>
      </c>
      <c r="N364" s="33" t="str">
        <f t="shared" ca="1" si="5"/>
        <v/>
      </c>
      <c r="O364" s="23"/>
      <c r="P364" s="7" t="str">
        <f ca="1">IF(AND(B364&lt;&gt;"",F364&lt;&gt;"Cerrada",F364&lt;&gt;"Perdida",N364&lt;&gt;"",N364&gt;14),COUNTIFS($F$8:$F364,"&lt;&gt;Cerrada",$F$8:$F364,"&lt;&gt;Perdida",$N$8:$N364,"&gt;14"),"")</f>
        <v/>
      </c>
      <c r="Q364" s="8"/>
      <c r="R364" s="9"/>
      <c r="S364" s="10"/>
    </row>
    <row r="365" spans="2:19" ht="21.75" customHeight="1" x14ac:dyDescent="0.25">
      <c r="B365" s="24"/>
      <c r="C365" s="24"/>
      <c r="D365" s="24"/>
      <c r="E365" s="24"/>
      <c r="F365" s="38"/>
      <c r="G365" s="27"/>
      <c r="H365" s="24"/>
      <c r="I365" s="27"/>
      <c r="J365" s="26"/>
      <c r="K365" s="24"/>
      <c r="L365" s="24"/>
      <c r="M365" s="24" t="str">
        <f>IF(B365="","",IF(COUNTIFS(Cobranza!$C$9:$C$1008,B365,Cobranza!$N$9:$N$1008,"Vencida")&gt;0,"Vencida",IF(COUNTIFS(Cobranza!$C$9:$C$1008,B365,Cobranza!$N$9:$N$1008,"Parcial")&gt;0,"Parcial",IF(COUNTIFS(Cobranza!$C$9:$C$1008,B365,Cobranza!$N$9:$N$1008,"Pendiente")&gt;0,"Pendiente",IF(COUNTIFS(Cobranza!$C$9:$C$1008,B365,Cobranza!$N$9:$N$1008,"Pagada")&gt;0,"Pagada","")))))</f>
        <v/>
      </c>
      <c r="N365" s="33" t="str">
        <f t="shared" ca="1" si="5"/>
        <v/>
      </c>
      <c r="O365" s="23"/>
      <c r="P365" s="7" t="str">
        <f ca="1">IF(AND(B365&lt;&gt;"",F365&lt;&gt;"Cerrada",F365&lt;&gt;"Perdida",N365&lt;&gt;"",N365&gt;14),COUNTIFS($F$8:$F365,"&lt;&gt;Cerrada",$F$8:$F365,"&lt;&gt;Perdida",$N$8:$N365,"&gt;14"),"")</f>
        <v/>
      </c>
      <c r="Q365" s="8"/>
      <c r="R365" s="9"/>
      <c r="S365" s="10"/>
    </row>
    <row r="366" spans="2:19" ht="21.75" customHeight="1" x14ac:dyDescent="0.25">
      <c r="B366" s="24"/>
      <c r="C366" s="24"/>
      <c r="D366" s="24"/>
      <c r="E366" s="24"/>
      <c r="F366" s="38"/>
      <c r="G366" s="27"/>
      <c r="H366" s="24"/>
      <c r="I366" s="27"/>
      <c r="J366" s="26"/>
      <c r="K366" s="24"/>
      <c r="L366" s="24"/>
      <c r="M366" s="24" t="str">
        <f>IF(B366="","",IF(COUNTIFS(Cobranza!$C$9:$C$1008,B366,Cobranza!$N$9:$N$1008,"Vencida")&gt;0,"Vencida",IF(COUNTIFS(Cobranza!$C$9:$C$1008,B366,Cobranza!$N$9:$N$1008,"Parcial")&gt;0,"Parcial",IF(COUNTIFS(Cobranza!$C$9:$C$1008,B366,Cobranza!$N$9:$N$1008,"Pendiente")&gt;0,"Pendiente",IF(COUNTIFS(Cobranza!$C$9:$C$1008,B366,Cobranza!$N$9:$N$1008,"Pagada")&gt;0,"Pagada","")))))</f>
        <v/>
      </c>
      <c r="N366" s="33" t="str">
        <f t="shared" ca="1" si="5"/>
        <v/>
      </c>
      <c r="O366" s="23"/>
      <c r="P366" s="7" t="str">
        <f ca="1">IF(AND(B366&lt;&gt;"",F366&lt;&gt;"Cerrada",F366&lt;&gt;"Perdida",N366&lt;&gt;"",N366&gt;14),COUNTIFS($F$8:$F366,"&lt;&gt;Cerrada",$F$8:$F366,"&lt;&gt;Perdida",$N$8:$N366,"&gt;14"),"")</f>
        <v/>
      </c>
      <c r="Q366" s="8"/>
      <c r="R366" s="9"/>
      <c r="S366" s="10"/>
    </row>
    <row r="367" spans="2:19" ht="21.75" customHeight="1" x14ac:dyDescent="0.25">
      <c r="B367" s="24"/>
      <c r="C367" s="24"/>
      <c r="D367" s="24"/>
      <c r="E367" s="24"/>
      <c r="F367" s="38"/>
      <c r="G367" s="27"/>
      <c r="H367" s="24"/>
      <c r="I367" s="27"/>
      <c r="J367" s="26"/>
      <c r="K367" s="24"/>
      <c r="L367" s="24"/>
      <c r="M367" s="24" t="str">
        <f>IF(B367="","",IF(COUNTIFS(Cobranza!$C$9:$C$1008,B367,Cobranza!$N$9:$N$1008,"Vencida")&gt;0,"Vencida",IF(COUNTIFS(Cobranza!$C$9:$C$1008,B367,Cobranza!$N$9:$N$1008,"Parcial")&gt;0,"Parcial",IF(COUNTIFS(Cobranza!$C$9:$C$1008,B367,Cobranza!$N$9:$N$1008,"Pendiente")&gt;0,"Pendiente",IF(COUNTIFS(Cobranza!$C$9:$C$1008,B367,Cobranza!$N$9:$N$1008,"Pagada")&gt;0,"Pagada","")))))</f>
        <v/>
      </c>
      <c r="N367" s="33" t="str">
        <f t="shared" ca="1" si="5"/>
        <v/>
      </c>
      <c r="O367" s="23"/>
      <c r="P367" s="7" t="str">
        <f ca="1">IF(AND(B367&lt;&gt;"",F367&lt;&gt;"Cerrada",F367&lt;&gt;"Perdida",N367&lt;&gt;"",N367&gt;14),COUNTIFS($F$8:$F367,"&lt;&gt;Cerrada",$F$8:$F367,"&lt;&gt;Perdida",$N$8:$N367,"&gt;14"),"")</f>
        <v/>
      </c>
      <c r="Q367" s="8"/>
      <c r="R367" s="9"/>
      <c r="S367" s="10"/>
    </row>
    <row r="368" spans="2:19" ht="21.75" customHeight="1" x14ac:dyDescent="0.25">
      <c r="B368" s="24"/>
      <c r="C368" s="24"/>
      <c r="D368" s="24"/>
      <c r="E368" s="24"/>
      <c r="F368" s="38"/>
      <c r="G368" s="27"/>
      <c r="H368" s="24"/>
      <c r="I368" s="27"/>
      <c r="J368" s="26"/>
      <c r="K368" s="24"/>
      <c r="L368" s="24"/>
      <c r="M368" s="24" t="str">
        <f>IF(B368="","",IF(COUNTIFS(Cobranza!$C$9:$C$1008,B368,Cobranza!$N$9:$N$1008,"Vencida")&gt;0,"Vencida",IF(COUNTIFS(Cobranza!$C$9:$C$1008,B368,Cobranza!$N$9:$N$1008,"Parcial")&gt;0,"Parcial",IF(COUNTIFS(Cobranza!$C$9:$C$1008,B368,Cobranza!$N$9:$N$1008,"Pendiente")&gt;0,"Pendiente",IF(COUNTIFS(Cobranza!$C$9:$C$1008,B368,Cobranza!$N$9:$N$1008,"Pagada")&gt;0,"Pagada","")))))</f>
        <v/>
      </c>
      <c r="N368" s="33" t="str">
        <f t="shared" ca="1" si="5"/>
        <v/>
      </c>
      <c r="O368" s="23"/>
      <c r="P368" s="7" t="str">
        <f ca="1">IF(AND(B368&lt;&gt;"",F368&lt;&gt;"Cerrada",F368&lt;&gt;"Perdida",N368&lt;&gt;"",N368&gt;14),COUNTIFS($F$8:$F368,"&lt;&gt;Cerrada",$F$8:$F368,"&lt;&gt;Perdida",$N$8:$N368,"&gt;14"),"")</f>
        <v/>
      </c>
      <c r="Q368" s="8"/>
      <c r="R368" s="9"/>
      <c r="S368" s="10"/>
    </row>
    <row r="369" spans="2:19" ht="21.75" customHeight="1" x14ac:dyDescent="0.25">
      <c r="B369" s="24"/>
      <c r="C369" s="24"/>
      <c r="D369" s="24"/>
      <c r="E369" s="24"/>
      <c r="F369" s="38"/>
      <c r="G369" s="27"/>
      <c r="H369" s="24"/>
      <c r="I369" s="27"/>
      <c r="J369" s="26"/>
      <c r="K369" s="24"/>
      <c r="L369" s="24"/>
      <c r="M369" s="24" t="str">
        <f>IF(B369="","",IF(COUNTIFS(Cobranza!$C$9:$C$1008,B369,Cobranza!$N$9:$N$1008,"Vencida")&gt;0,"Vencida",IF(COUNTIFS(Cobranza!$C$9:$C$1008,B369,Cobranza!$N$9:$N$1008,"Parcial")&gt;0,"Parcial",IF(COUNTIFS(Cobranza!$C$9:$C$1008,B369,Cobranza!$N$9:$N$1008,"Pendiente")&gt;0,"Pendiente",IF(COUNTIFS(Cobranza!$C$9:$C$1008,B369,Cobranza!$N$9:$N$1008,"Pagada")&gt;0,"Pagada","")))))</f>
        <v/>
      </c>
      <c r="N369" s="33" t="str">
        <f t="shared" ca="1" si="5"/>
        <v/>
      </c>
      <c r="O369" s="23"/>
      <c r="P369" s="7" t="str">
        <f ca="1">IF(AND(B369&lt;&gt;"",F369&lt;&gt;"Cerrada",F369&lt;&gt;"Perdida",N369&lt;&gt;"",N369&gt;14),COUNTIFS($F$8:$F369,"&lt;&gt;Cerrada",$F$8:$F369,"&lt;&gt;Perdida",$N$8:$N369,"&gt;14"),"")</f>
        <v/>
      </c>
      <c r="Q369" s="8"/>
      <c r="R369" s="9"/>
      <c r="S369" s="10"/>
    </row>
    <row r="370" spans="2:19" ht="21.75" customHeight="1" x14ac:dyDescent="0.25">
      <c r="B370" s="24"/>
      <c r="C370" s="24"/>
      <c r="D370" s="24"/>
      <c r="E370" s="24"/>
      <c r="F370" s="38"/>
      <c r="G370" s="27"/>
      <c r="H370" s="24"/>
      <c r="I370" s="27"/>
      <c r="J370" s="26"/>
      <c r="K370" s="24"/>
      <c r="L370" s="24"/>
      <c r="M370" s="24" t="str">
        <f>IF(B370="","",IF(COUNTIFS(Cobranza!$C$9:$C$1008,B370,Cobranza!$N$9:$N$1008,"Vencida")&gt;0,"Vencida",IF(COUNTIFS(Cobranza!$C$9:$C$1008,B370,Cobranza!$N$9:$N$1008,"Parcial")&gt;0,"Parcial",IF(COUNTIFS(Cobranza!$C$9:$C$1008,B370,Cobranza!$N$9:$N$1008,"Pendiente")&gt;0,"Pendiente",IF(COUNTIFS(Cobranza!$C$9:$C$1008,B370,Cobranza!$N$9:$N$1008,"Pagada")&gt;0,"Pagada","")))))</f>
        <v/>
      </c>
      <c r="N370" s="33" t="str">
        <f t="shared" ca="1" si="5"/>
        <v/>
      </c>
      <c r="O370" s="23"/>
      <c r="P370" s="7" t="str">
        <f ca="1">IF(AND(B370&lt;&gt;"",F370&lt;&gt;"Cerrada",F370&lt;&gt;"Perdida",N370&lt;&gt;"",N370&gt;14),COUNTIFS($F$8:$F370,"&lt;&gt;Cerrada",$F$8:$F370,"&lt;&gt;Perdida",$N$8:$N370,"&gt;14"),"")</f>
        <v/>
      </c>
      <c r="Q370" s="8"/>
      <c r="R370" s="9"/>
      <c r="S370" s="10"/>
    </row>
    <row r="371" spans="2:19" ht="21.75" customHeight="1" x14ac:dyDescent="0.25">
      <c r="B371" s="24"/>
      <c r="C371" s="24"/>
      <c r="D371" s="24"/>
      <c r="E371" s="24"/>
      <c r="F371" s="38"/>
      <c r="G371" s="27"/>
      <c r="H371" s="24"/>
      <c r="I371" s="27"/>
      <c r="J371" s="26"/>
      <c r="K371" s="24"/>
      <c r="L371" s="24"/>
      <c r="M371" s="24" t="str">
        <f>IF(B371="","",IF(COUNTIFS(Cobranza!$C$9:$C$1008,B371,Cobranza!$N$9:$N$1008,"Vencida")&gt;0,"Vencida",IF(COUNTIFS(Cobranza!$C$9:$C$1008,B371,Cobranza!$N$9:$N$1008,"Parcial")&gt;0,"Parcial",IF(COUNTIFS(Cobranza!$C$9:$C$1008,B371,Cobranza!$N$9:$N$1008,"Pendiente")&gt;0,"Pendiente",IF(COUNTIFS(Cobranza!$C$9:$C$1008,B371,Cobranza!$N$9:$N$1008,"Pagada")&gt;0,"Pagada","")))))</f>
        <v/>
      </c>
      <c r="N371" s="33" t="str">
        <f t="shared" ca="1" si="5"/>
        <v/>
      </c>
      <c r="O371" s="23"/>
      <c r="P371" s="7" t="str">
        <f ca="1">IF(AND(B371&lt;&gt;"",F371&lt;&gt;"Cerrada",F371&lt;&gt;"Perdida",N371&lt;&gt;"",N371&gt;14),COUNTIFS($F$8:$F371,"&lt;&gt;Cerrada",$F$8:$F371,"&lt;&gt;Perdida",$N$8:$N371,"&gt;14"),"")</f>
        <v/>
      </c>
      <c r="Q371" s="8"/>
      <c r="R371" s="9"/>
      <c r="S371" s="10"/>
    </row>
    <row r="372" spans="2:19" ht="21.75" customHeight="1" x14ac:dyDescent="0.25">
      <c r="B372" s="24"/>
      <c r="C372" s="24"/>
      <c r="D372" s="24"/>
      <c r="E372" s="24"/>
      <c r="F372" s="38"/>
      <c r="G372" s="27"/>
      <c r="H372" s="24"/>
      <c r="I372" s="27"/>
      <c r="J372" s="26"/>
      <c r="K372" s="24"/>
      <c r="L372" s="24"/>
      <c r="M372" s="24" t="str">
        <f>IF(B372="","",IF(COUNTIFS(Cobranza!$C$9:$C$1008,B372,Cobranza!$N$9:$N$1008,"Vencida")&gt;0,"Vencida",IF(COUNTIFS(Cobranza!$C$9:$C$1008,B372,Cobranza!$N$9:$N$1008,"Parcial")&gt;0,"Parcial",IF(COUNTIFS(Cobranza!$C$9:$C$1008,B372,Cobranza!$N$9:$N$1008,"Pendiente")&gt;0,"Pendiente",IF(COUNTIFS(Cobranza!$C$9:$C$1008,B372,Cobranza!$N$9:$N$1008,"Pagada")&gt;0,"Pagada","")))))</f>
        <v/>
      </c>
      <c r="N372" s="33" t="str">
        <f t="shared" ca="1" si="5"/>
        <v/>
      </c>
      <c r="O372" s="23"/>
      <c r="P372" s="7" t="str">
        <f ca="1">IF(AND(B372&lt;&gt;"",F372&lt;&gt;"Cerrada",F372&lt;&gt;"Perdida",N372&lt;&gt;"",N372&gt;14),COUNTIFS($F$8:$F372,"&lt;&gt;Cerrada",$F$8:$F372,"&lt;&gt;Perdida",$N$8:$N372,"&gt;14"),"")</f>
        <v/>
      </c>
      <c r="Q372" s="8"/>
      <c r="R372" s="9"/>
      <c r="S372" s="10"/>
    </row>
    <row r="373" spans="2:19" ht="21.75" customHeight="1" x14ac:dyDescent="0.25">
      <c r="B373" s="24"/>
      <c r="C373" s="24"/>
      <c r="D373" s="24"/>
      <c r="E373" s="24"/>
      <c r="F373" s="38"/>
      <c r="G373" s="27"/>
      <c r="H373" s="24"/>
      <c r="I373" s="27"/>
      <c r="J373" s="26"/>
      <c r="K373" s="24"/>
      <c r="L373" s="24"/>
      <c r="M373" s="24" t="str">
        <f>IF(B373="","",IF(COUNTIFS(Cobranza!$C$9:$C$1008,B373,Cobranza!$N$9:$N$1008,"Vencida")&gt;0,"Vencida",IF(COUNTIFS(Cobranza!$C$9:$C$1008,B373,Cobranza!$N$9:$N$1008,"Parcial")&gt;0,"Parcial",IF(COUNTIFS(Cobranza!$C$9:$C$1008,B373,Cobranza!$N$9:$N$1008,"Pendiente")&gt;0,"Pendiente",IF(COUNTIFS(Cobranza!$C$9:$C$1008,B373,Cobranza!$N$9:$N$1008,"Pagada")&gt;0,"Pagada","")))))</f>
        <v/>
      </c>
      <c r="N373" s="33" t="str">
        <f t="shared" ca="1" si="5"/>
        <v/>
      </c>
      <c r="O373" s="23"/>
      <c r="P373" s="7" t="str">
        <f ca="1">IF(AND(B373&lt;&gt;"",F373&lt;&gt;"Cerrada",F373&lt;&gt;"Perdida",N373&lt;&gt;"",N373&gt;14),COUNTIFS($F$8:$F373,"&lt;&gt;Cerrada",$F$8:$F373,"&lt;&gt;Perdida",$N$8:$N373,"&gt;14"),"")</f>
        <v/>
      </c>
      <c r="Q373" s="8"/>
      <c r="R373" s="9"/>
      <c r="S373" s="10"/>
    </row>
    <row r="374" spans="2:19" ht="21.75" customHeight="1" x14ac:dyDescent="0.25">
      <c r="B374" s="24"/>
      <c r="C374" s="24"/>
      <c r="D374" s="24"/>
      <c r="E374" s="24"/>
      <c r="F374" s="38"/>
      <c r="G374" s="27"/>
      <c r="H374" s="24"/>
      <c r="I374" s="27"/>
      <c r="J374" s="26"/>
      <c r="K374" s="24"/>
      <c r="L374" s="24"/>
      <c r="M374" s="24" t="str">
        <f>IF(B374="","",IF(COUNTIFS(Cobranza!$C$9:$C$1008,B374,Cobranza!$N$9:$N$1008,"Vencida")&gt;0,"Vencida",IF(COUNTIFS(Cobranza!$C$9:$C$1008,B374,Cobranza!$N$9:$N$1008,"Parcial")&gt;0,"Parcial",IF(COUNTIFS(Cobranza!$C$9:$C$1008,B374,Cobranza!$N$9:$N$1008,"Pendiente")&gt;0,"Pendiente",IF(COUNTIFS(Cobranza!$C$9:$C$1008,B374,Cobranza!$N$9:$N$1008,"Pagada")&gt;0,"Pagada","")))))</f>
        <v/>
      </c>
      <c r="N374" s="33" t="str">
        <f t="shared" ca="1" si="5"/>
        <v/>
      </c>
      <c r="O374" s="23"/>
      <c r="P374" s="7" t="str">
        <f ca="1">IF(AND(B374&lt;&gt;"",F374&lt;&gt;"Cerrada",F374&lt;&gt;"Perdida",N374&lt;&gt;"",N374&gt;14),COUNTIFS($F$8:$F374,"&lt;&gt;Cerrada",$F$8:$F374,"&lt;&gt;Perdida",$N$8:$N374,"&gt;14"),"")</f>
        <v/>
      </c>
      <c r="Q374" s="8"/>
      <c r="R374" s="9"/>
      <c r="S374" s="10"/>
    </row>
    <row r="375" spans="2:19" ht="21.75" customHeight="1" x14ac:dyDescent="0.25">
      <c r="B375" s="24"/>
      <c r="C375" s="24"/>
      <c r="D375" s="24"/>
      <c r="E375" s="24"/>
      <c r="F375" s="38"/>
      <c r="G375" s="27"/>
      <c r="H375" s="24"/>
      <c r="I375" s="27"/>
      <c r="J375" s="26"/>
      <c r="K375" s="24"/>
      <c r="L375" s="24"/>
      <c r="M375" s="24" t="str">
        <f>IF(B375="","",IF(COUNTIFS(Cobranza!$C$9:$C$1008,B375,Cobranza!$N$9:$N$1008,"Vencida")&gt;0,"Vencida",IF(COUNTIFS(Cobranza!$C$9:$C$1008,B375,Cobranza!$N$9:$N$1008,"Parcial")&gt;0,"Parcial",IF(COUNTIFS(Cobranza!$C$9:$C$1008,B375,Cobranza!$N$9:$N$1008,"Pendiente")&gt;0,"Pendiente",IF(COUNTIFS(Cobranza!$C$9:$C$1008,B375,Cobranza!$N$9:$N$1008,"Pagada")&gt;0,"Pagada","")))))</f>
        <v/>
      </c>
      <c r="N375" s="33" t="str">
        <f t="shared" ca="1" si="5"/>
        <v/>
      </c>
      <c r="O375" s="23"/>
      <c r="P375" s="7" t="str">
        <f ca="1">IF(AND(B375&lt;&gt;"",F375&lt;&gt;"Cerrada",F375&lt;&gt;"Perdida",N375&lt;&gt;"",N375&gt;14),COUNTIFS($F$8:$F375,"&lt;&gt;Cerrada",$F$8:$F375,"&lt;&gt;Perdida",$N$8:$N375,"&gt;14"),"")</f>
        <v/>
      </c>
      <c r="Q375" s="8"/>
      <c r="R375" s="9"/>
      <c r="S375" s="10"/>
    </row>
    <row r="376" spans="2:19" ht="21.75" customHeight="1" x14ac:dyDescent="0.25">
      <c r="B376" s="24"/>
      <c r="C376" s="24"/>
      <c r="D376" s="24"/>
      <c r="E376" s="24"/>
      <c r="F376" s="38"/>
      <c r="G376" s="27"/>
      <c r="H376" s="24"/>
      <c r="I376" s="27"/>
      <c r="J376" s="26"/>
      <c r="K376" s="24"/>
      <c r="L376" s="24"/>
      <c r="M376" s="24" t="str">
        <f>IF(B376="","",IF(COUNTIFS(Cobranza!$C$9:$C$1008,B376,Cobranza!$N$9:$N$1008,"Vencida")&gt;0,"Vencida",IF(COUNTIFS(Cobranza!$C$9:$C$1008,B376,Cobranza!$N$9:$N$1008,"Parcial")&gt;0,"Parcial",IF(COUNTIFS(Cobranza!$C$9:$C$1008,B376,Cobranza!$N$9:$N$1008,"Pendiente")&gt;0,"Pendiente",IF(COUNTIFS(Cobranza!$C$9:$C$1008,B376,Cobranza!$N$9:$N$1008,"Pagada")&gt;0,"Pagada","")))))</f>
        <v/>
      </c>
      <c r="N376" s="33" t="str">
        <f t="shared" ca="1" si="5"/>
        <v/>
      </c>
      <c r="O376" s="23"/>
      <c r="P376" s="7" t="str">
        <f ca="1">IF(AND(B376&lt;&gt;"",F376&lt;&gt;"Cerrada",F376&lt;&gt;"Perdida",N376&lt;&gt;"",N376&gt;14),COUNTIFS($F$8:$F376,"&lt;&gt;Cerrada",$F$8:$F376,"&lt;&gt;Perdida",$N$8:$N376,"&gt;14"),"")</f>
        <v/>
      </c>
      <c r="Q376" s="8"/>
      <c r="R376" s="9"/>
      <c r="S376" s="10"/>
    </row>
    <row r="377" spans="2:19" ht="21.75" customHeight="1" x14ac:dyDescent="0.25">
      <c r="B377" s="24"/>
      <c r="C377" s="24"/>
      <c r="D377" s="24"/>
      <c r="E377" s="24"/>
      <c r="F377" s="38"/>
      <c r="G377" s="27"/>
      <c r="H377" s="24"/>
      <c r="I377" s="27"/>
      <c r="J377" s="26"/>
      <c r="K377" s="24"/>
      <c r="L377" s="24"/>
      <c r="M377" s="24" t="str">
        <f>IF(B377="","",IF(COUNTIFS(Cobranza!$C$9:$C$1008,B377,Cobranza!$N$9:$N$1008,"Vencida")&gt;0,"Vencida",IF(COUNTIFS(Cobranza!$C$9:$C$1008,B377,Cobranza!$N$9:$N$1008,"Parcial")&gt;0,"Parcial",IF(COUNTIFS(Cobranza!$C$9:$C$1008,B377,Cobranza!$N$9:$N$1008,"Pendiente")&gt;0,"Pendiente",IF(COUNTIFS(Cobranza!$C$9:$C$1008,B377,Cobranza!$N$9:$N$1008,"Pagada")&gt;0,"Pagada","")))))</f>
        <v/>
      </c>
      <c r="N377" s="33" t="str">
        <f t="shared" ca="1" si="5"/>
        <v/>
      </c>
      <c r="O377" s="23"/>
      <c r="P377" s="7" t="str">
        <f ca="1">IF(AND(B377&lt;&gt;"",F377&lt;&gt;"Cerrada",F377&lt;&gt;"Perdida",N377&lt;&gt;"",N377&gt;14),COUNTIFS($F$8:$F377,"&lt;&gt;Cerrada",$F$8:$F377,"&lt;&gt;Perdida",$N$8:$N377,"&gt;14"),"")</f>
        <v/>
      </c>
      <c r="Q377" s="8"/>
      <c r="R377" s="9"/>
      <c r="S377" s="10"/>
    </row>
    <row r="378" spans="2:19" ht="21.75" customHeight="1" x14ac:dyDescent="0.25">
      <c r="B378" s="24"/>
      <c r="C378" s="24"/>
      <c r="D378" s="24"/>
      <c r="E378" s="24"/>
      <c r="F378" s="38"/>
      <c r="G378" s="27"/>
      <c r="H378" s="24"/>
      <c r="I378" s="27"/>
      <c r="J378" s="26"/>
      <c r="K378" s="24"/>
      <c r="L378" s="24"/>
      <c r="M378" s="24" t="str">
        <f>IF(B378="","",IF(COUNTIFS(Cobranza!$C$9:$C$1008,B378,Cobranza!$N$9:$N$1008,"Vencida")&gt;0,"Vencida",IF(COUNTIFS(Cobranza!$C$9:$C$1008,B378,Cobranza!$N$9:$N$1008,"Parcial")&gt;0,"Parcial",IF(COUNTIFS(Cobranza!$C$9:$C$1008,B378,Cobranza!$N$9:$N$1008,"Pendiente")&gt;0,"Pendiente",IF(COUNTIFS(Cobranza!$C$9:$C$1008,B378,Cobranza!$N$9:$N$1008,"Pagada")&gt;0,"Pagada","")))))</f>
        <v/>
      </c>
      <c r="N378" s="33" t="str">
        <f t="shared" ca="1" si="5"/>
        <v/>
      </c>
      <c r="O378" s="23"/>
      <c r="P378" s="7" t="str">
        <f ca="1">IF(AND(B378&lt;&gt;"",F378&lt;&gt;"Cerrada",F378&lt;&gt;"Perdida",N378&lt;&gt;"",N378&gt;14),COUNTIFS($F$8:$F378,"&lt;&gt;Cerrada",$F$8:$F378,"&lt;&gt;Perdida",$N$8:$N378,"&gt;14"),"")</f>
        <v/>
      </c>
      <c r="Q378" s="8"/>
      <c r="R378" s="9"/>
      <c r="S378" s="10"/>
    </row>
    <row r="379" spans="2:19" ht="21.75" customHeight="1" x14ac:dyDescent="0.25">
      <c r="B379" s="24"/>
      <c r="C379" s="24"/>
      <c r="D379" s="24"/>
      <c r="E379" s="24"/>
      <c r="F379" s="38"/>
      <c r="G379" s="27"/>
      <c r="H379" s="24"/>
      <c r="I379" s="27"/>
      <c r="J379" s="26"/>
      <c r="K379" s="24"/>
      <c r="L379" s="24"/>
      <c r="M379" s="24" t="str">
        <f>IF(B379="","",IF(COUNTIFS(Cobranza!$C$9:$C$1008,B379,Cobranza!$N$9:$N$1008,"Vencida")&gt;0,"Vencida",IF(COUNTIFS(Cobranza!$C$9:$C$1008,B379,Cobranza!$N$9:$N$1008,"Parcial")&gt;0,"Parcial",IF(COUNTIFS(Cobranza!$C$9:$C$1008,B379,Cobranza!$N$9:$N$1008,"Pendiente")&gt;0,"Pendiente",IF(COUNTIFS(Cobranza!$C$9:$C$1008,B379,Cobranza!$N$9:$N$1008,"Pagada")&gt;0,"Pagada","")))))</f>
        <v/>
      </c>
      <c r="N379" s="33" t="str">
        <f t="shared" ca="1" si="5"/>
        <v/>
      </c>
      <c r="O379" s="23"/>
      <c r="P379" s="7" t="str">
        <f ca="1">IF(AND(B379&lt;&gt;"",F379&lt;&gt;"Cerrada",F379&lt;&gt;"Perdida",N379&lt;&gt;"",N379&gt;14),COUNTIFS($F$8:$F379,"&lt;&gt;Cerrada",$F$8:$F379,"&lt;&gt;Perdida",$N$8:$N379,"&gt;14"),"")</f>
        <v/>
      </c>
      <c r="Q379" s="8"/>
      <c r="R379" s="9"/>
      <c r="S379" s="10"/>
    </row>
    <row r="380" spans="2:19" ht="21.75" customHeight="1" x14ac:dyDescent="0.25">
      <c r="B380" s="24"/>
      <c r="C380" s="24"/>
      <c r="D380" s="24"/>
      <c r="E380" s="24"/>
      <c r="F380" s="38"/>
      <c r="G380" s="27"/>
      <c r="H380" s="24"/>
      <c r="I380" s="27"/>
      <c r="J380" s="26"/>
      <c r="K380" s="24"/>
      <c r="L380" s="24"/>
      <c r="M380" s="24" t="str">
        <f>IF(B380="","",IF(COUNTIFS(Cobranza!$C$9:$C$1008,B380,Cobranza!$N$9:$N$1008,"Vencida")&gt;0,"Vencida",IF(COUNTIFS(Cobranza!$C$9:$C$1008,B380,Cobranza!$N$9:$N$1008,"Parcial")&gt;0,"Parcial",IF(COUNTIFS(Cobranza!$C$9:$C$1008,B380,Cobranza!$N$9:$N$1008,"Pendiente")&gt;0,"Pendiente",IF(COUNTIFS(Cobranza!$C$9:$C$1008,B380,Cobranza!$N$9:$N$1008,"Pagada")&gt;0,"Pagada","")))))</f>
        <v/>
      </c>
      <c r="N380" s="33" t="str">
        <f t="shared" ca="1" si="5"/>
        <v/>
      </c>
      <c r="O380" s="23"/>
      <c r="P380" s="7" t="str">
        <f ca="1">IF(AND(B380&lt;&gt;"",F380&lt;&gt;"Cerrada",F380&lt;&gt;"Perdida",N380&lt;&gt;"",N380&gt;14),COUNTIFS($F$8:$F380,"&lt;&gt;Cerrada",$F$8:$F380,"&lt;&gt;Perdida",$N$8:$N380,"&gt;14"),"")</f>
        <v/>
      </c>
      <c r="Q380" s="8"/>
      <c r="R380" s="9"/>
      <c r="S380" s="10"/>
    </row>
    <row r="381" spans="2:19" ht="21.75" customHeight="1" x14ac:dyDescent="0.25">
      <c r="B381" s="24"/>
      <c r="C381" s="24"/>
      <c r="D381" s="24"/>
      <c r="E381" s="24"/>
      <c r="F381" s="38"/>
      <c r="G381" s="27"/>
      <c r="H381" s="24"/>
      <c r="I381" s="27"/>
      <c r="J381" s="26"/>
      <c r="K381" s="24"/>
      <c r="L381" s="24"/>
      <c r="M381" s="24" t="str">
        <f>IF(B381="","",IF(COUNTIFS(Cobranza!$C$9:$C$1008,B381,Cobranza!$N$9:$N$1008,"Vencida")&gt;0,"Vencida",IF(COUNTIFS(Cobranza!$C$9:$C$1008,B381,Cobranza!$N$9:$N$1008,"Parcial")&gt;0,"Parcial",IF(COUNTIFS(Cobranza!$C$9:$C$1008,B381,Cobranza!$N$9:$N$1008,"Pendiente")&gt;0,"Pendiente",IF(COUNTIFS(Cobranza!$C$9:$C$1008,B381,Cobranza!$N$9:$N$1008,"Pagada")&gt;0,"Pagada","")))))</f>
        <v/>
      </c>
      <c r="N381" s="33" t="str">
        <f t="shared" ca="1" si="5"/>
        <v/>
      </c>
      <c r="O381" s="23"/>
      <c r="P381" s="7" t="str">
        <f ca="1">IF(AND(B381&lt;&gt;"",F381&lt;&gt;"Cerrada",F381&lt;&gt;"Perdida",N381&lt;&gt;"",N381&gt;14),COUNTIFS($F$8:$F381,"&lt;&gt;Cerrada",$F$8:$F381,"&lt;&gt;Perdida",$N$8:$N381,"&gt;14"),"")</f>
        <v/>
      </c>
      <c r="Q381" s="8"/>
      <c r="R381" s="9"/>
      <c r="S381" s="10"/>
    </row>
    <row r="382" spans="2:19" ht="21.75" customHeight="1" x14ac:dyDescent="0.25">
      <c r="B382" s="24"/>
      <c r="C382" s="24"/>
      <c r="D382" s="24"/>
      <c r="E382" s="24"/>
      <c r="F382" s="38"/>
      <c r="G382" s="27"/>
      <c r="H382" s="24"/>
      <c r="I382" s="27"/>
      <c r="J382" s="26"/>
      <c r="K382" s="24"/>
      <c r="L382" s="24"/>
      <c r="M382" s="24" t="str">
        <f>IF(B382="","",IF(COUNTIFS(Cobranza!$C$9:$C$1008,B382,Cobranza!$N$9:$N$1008,"Vencida")&gt;0,"Vencida",IF(COUNTIFS(Cobranza!$C$9:$C$1008,B382,Cobranza!$N$9:$N$1008,"Parcial")&gt;0,"Parcial",IF(COUNTIFS(Cobranza!$C$9:$C$1008,B382,Cobranza!$N$9:$N$1008,"Pendiente")&gt;0,"Pendiente",IF(COUNTIFS(Cobranza!$C$9:$C$1008,B382,Cobranza!$N$9:$N$1008,"Pagada")&gt;0,"Pagada","")))))</f>
        <v/>
      </c>
      <c r="N382" s="33" t="str">
        <f t="shared" ca="1" si="5"/>
        <v/>
      </c>
      <c r="O382" s="23"/>
      <c r="P382" s="7" t="str">
        <f ca="1">IF(AND(B382&lt;&gt;"",F382&lt;&gt;"Cerrada",F382&lt;&gt;"Perdida",N382&lt;&gt;"",N382&gt;14),COUNTIFS($F$8:$F382,"&lt;&gt;Cerrada",$F$8:$F382,"&lt;&gt;Perdida",$N$8:$N382,"&gt;14"),"")</f>
        <v/>
      </c>
      <c r="Q382" s="8"/>
      <c r="R382" s="9"/>
      <c r="S382" s="10"/>
    </row>
    <row r="383" spans="2:19" ht="21.75" customHeight="1" x14ac:dyDescent="0.25">
      <c r="B383" s="24"/>
      <c r="C383" s="24"/>
      <c r="D383" s="24"/>
      <c r="E383" s="24"/>
      <c r="F383" s="38"/>
      <c r="G383" s="27"/>
      <c r="H383" s="24"/>
      <c r="I383" s="27"/>
      <c r="J383" s="26"/>
      <c r="K383" s="24"/>
      <c r="L383" s="24"/>
      <c r="M383" s="24" t="str">
        <f>IF(B383="","",IF(COUNTIFS(Cobranza!$C$9:$C$1008,B383,Cobranza!$N$9:$N$1008,"Vencida")&gt;0,"Vencida",IF(COUNTIFS(Cobranza!$C$9:$C$1008,B383,Cobranza!$N$9:$N$1008,"Parcial")&gt;0,"Parcial",IF(COUNTIFS(Cobranza!$C$9:$C$1008,B383,Cobranza!$N$9:$N$1008,"Pendiente")&gt;0,"Pendiente",IF(COUNTIFS(Cobranza!$C$9:$C$1008,B383,Cobranza!$N$9:$N$1008,"Pagada")&gt;0,"Pagada","")))))</f>
        <v/>
      </c>
      <c r="N383" s="33" t="str">
        <f t="shared" ca="1" si="5"/>
        <v/>
      </c>
      <c r="O383" s="23"/>
      <c r="P383" s="7" t="str">
        <f ca="1">IF(AND(B383&lt;&gt;"",F383&lt;&gt;"Cerrada",F383&lt;&gt;"Perdida",N383&lt;&gt;"",N383&gt;14),COUNTIFS($F$8:$F383,"&lt;&gt;Cerrada",$F$8:$F383,"&lt;&gt;Perdida",$N$8:$N383,"&gt;14"),"")</f>
        <v/>
      </c>
      <c r="Q383" s="8"/>
      <c r="R383" s="9"/>
      <c r="S383" s="10"/>
    </row>
    <row r="384" spans="2:19" ht="21.75" customHeight="1" x14ac:dyDescent="0.25">
      <c r="B384" s="24"/>
      <c r="C384" s="24"/>
      <c r="D384" s="24"/>
      <c r="E384" s="24"/>
      <c r="F384" s="38"/>
      <c r="G384" s="27"/>
      <c r="H384" s="24"/>
      <c r="I384" s="27"/>
      <c r="J384" s="26"/>
      <c r="K384" s="24"/>
      <c r="L384" s="24"/>
      <c r="M384" s="24" t="str">
        <f>IF(B384="","",IF(COUNTIFS(Cobranza!$C$9:$C$1008,B384,Cobranza!$N$9:$N$1008,"Vencida")&gt;0,"Vencida",IF(COUNTIFS(Cobranza!$C$9:$C$1008,B384,Cobranza!$N$9:$N$1008,"Parcial")&gt;0,"Parcial",IF(COUNTIFS(Cobranza!$C$9:$C$1008,B384,Cobranza!$N$9:$N$1008,"Pendiente")&gt;0,"Pendiente",IF(COUNTIFS(Cobranza!$C$9:$C$1008,B384,Cobranza!$N$9:$N$1008,"Pagada")&gt;0,"Pagada","")))))</f>
        <v/>
      </c>
      <c r="N384" s="33" t="str">
        <f t="shared" ca="1" si="5"/>
        <v/>
      </c>
      <c r="O384" s="23"/>
      <c r="P384" s="7" t="str">
        <f ca="1">IF(AND(B384&lt;&gt;"",F384&lt;&gt;"Cerrada",F384&lt;&gt;"Perdida",N384&lt;&gt;"",N384&gt;14),COUNTIFS($F$8:$F384,"&lt;&gt;Cerrada",$F$8:$F384,"&lt;&gt;Perdida",$N$8:$N384,"&gt;14"),"")</f>
        <v/>
      </c>
      <c r="Q384" s="8"/>
      <c r="R384" s="9"/>
      <c r="S384" s="10"/>
    </row>
    <row r="385" spans="2:19" ht="21.75" customHeight="1" x14ac:dyDescent="0.25">
      <c r="B385" s="24"/>
      <c r="C385" s="24"/>
      <c r="D385" s="24"/>
      <c r="E385" s="24"/>
      <c r="F385" s="38"/>
      <c r="G385" s="27"/>
      <c r="H385" s="24"/>
      <c r="I385" s="27"/>
      <c r="J385" s="26"/>
      <c r="K385" s="24"/>
      <c r="L385" s="24"/>
      <c r="M385" s="24" t="str">
        <f>IF(B385="","",IF(COUNTIFS(Cobranza!$C$9:$C$1008,B385,Cobranza!$N$9:$N$1008,"Vencida")&gt;0,"Vencida",IF(COUNTIFS(Cobranza!$C$9:$C$1008,B385,Cobranza!$N$9:$N$1008,"Parcial")&gt;0,"Parcial",IF(COUNTIFS(Cobranza!$C$9:$C$1008,B385,Cobranza!$N$9:$N$1008,"Pendiente")&gt;0,"Pendiente",IF(COUNTIFS(Cobranza!$C$9:$C$1008,B385,Cobranza!$N$9:$N$1008,"Pagada")&gt;0,"Pagada","")))))</f>
        <v/>
      </c>
      <c r="N385" s="33" t="str">
        <f t="shared" ca="1" si="5"/>
        <v/>
      </c>
      <c r="O385" s="23"/>
      <c r="P385" s="7" t="str">
        <f ca="1">IF(AND(B385&lt;&gt;"",F385&lt;&gt;"Cerrada",F385&lt;&gt;"Perdida",N385&lt;&gt;"",N385&gt;14),COUNTIFS($F$8:$F385,"&lt;&gt;Cerrada",$F$8:$F385,"&lt;&gt;Perdida",$N$8:$N385,"&gt;14"),"")</f>
        <v/>
      </c>
      <c r="Q385" s="8"/>
      <c r="R385" s="9"/>
      <c r="S385" s="10"/>
    </row>
    <row r="386" spans="2:19" ht="21.75" customHeight="1" x14ac:dyDescent="0.25">
      <c r="B386" s="24"/>
      <c r="C386" s="24"/>
      <c r="D386" s="24"/>
      <c r="E386" s="24"/>
      <c r="F386" s="38"/>
      <c r="G386" s="27"/>
      <c r="H386" s="24"/>
      <c r="I386" s="27"/>
      <c r="J386" s="26"/>
      <c r="K386" s="24"/>
      <c r="L386" s="24"/>
      <c r="M386" s="24" t="str">
        <f>IF(B386="","",IF(COUNTIFS(Cobranza!$C$9:$C$1008,B386,Cobranza!$N$9:$N$1008,"Vencida")&gt;0,"Vencida",IF(COUNTIFS(Cobranza!$C$9:$C$1008,B386,Cobranza!$N$9:$N$1008,"Parcial")&gt;0,"Parcial",IF(COUNTIFS(Cobranza!$C$9:$C$1008,B386,Cobranza!$N$9:$N$1008,"Pendiente")&gt;0,"Pendiente",IF(COUNTIFS(Cobranza!$C$9:$C$1008,B386,Cobranza!$N$9:$N$1008,"Pagada")&gt;0,"Pagada","")))))</f>
        <v/>
      </c>
      <c r="N386" s="33" t="str">
        <f t="shared" ca="1" si="5"/>
        <v/>
      </c>
      <c r="O386" s="23"/>
      <c r="P386" s="7" t="str">
        <f ca="1">IF(AND(B386&lt;&gt;"",F386&lt;&gt;"Cerrada",F386&lt;&gt;"Perdida",N386&lt;&gt;"",N386&gt;14),COUNTIFS($F$8:$F386,"&lt;&gt;Cerrada",$F$8:$F386,"&lt;&gt;Perdida",$N$8:$N386,"&gt;14"),"")</f>
        <v/>
      </c>
      <c r="Q386" s="8"/>
      <c r="R386" s="9"/>
      <c r="S386" s="10"/>
    </row>
    <row r="387" spans="2:19" ht="21.75" customHeight="1" x14ac:dyDescent="0.25">
      <c r="B387" s="24"/>
      <c r="C387" s="24"/>
      <c r="D387" s="24"/>
      <c r="E387" s="24"/>
      <c r="F387" s="38"/>
      <c r="G387" s="27"/>
      <c r="H387" s="24"/>
      <c r="I387" s="27"/>
      <c r="J387" s="26"/>
      <c r="K387" s="24"/>
      <c r="L387" s="24"/>
      <c r="M387" s="24" t="str">
        <f>IF(B387="","",IF(COUNTIFS(Cobranza!$C$9:$C$1008,B387,Cobranza!$N$9:$N$1008,"Vencida")&gt;0,"Vencida",IF(COUNTIFS(Cobranza!$C$9:$C$1008,B387,Cobranza!$N$9:$N$1008,"Parcial")&gt;0,"Parcial",IF(COUNTIFS(Cobranza!$C$9:$C$1008,B387,Cobranza!$N$9:$N$1008,"Pendiente")&gt;0,"Pendiente",IF(COUNTIFS(Cobranza!$C$9:$C$1008,B387,Cobranza!$N$9:$N$1008,"Pagada")&gt;0,"Pagada","")))))</f>
        <v/>
      </c>
      <c r="N387" s="33" t="str">
        <f t="shared" ca="1" si="5"/>
        <v/>
      </c>
      <c r="O387" s="23"/>
      <c r="P387" s="7" t="str">
        <f ca="1">IF(AND(B387&lt;&gt;"",F387&lt;&gt;"Cerrada",F387&lt;&gt;"Perdida",N387&lt;&gt;"",N387&gt;14),COUNTIFS($F$8:$F387,"&lt;&gt;Cerrada",$F$8:$F387,"&lt;&gt;Perdida",$N$8:$N387,"&gt;14"),"")</f>
        <v/>
      </c>
      <c r="Q387" s="8"/>
      <c r="R387" s="9"/>
      <c r="S387" s="10"/>
    </row>
    <row r="388" spans="2:19" ht="21.75" customHeight="1" x14ac:dyDescent="0.25">
      <c r="B388" s="24"/>
      <c r="C388" s="24"/>
      <c r="D388" s="24"/>
      <c r="E388" s="24"/>
      <c r="F388" s="38"/>
      <c r="G388" s="27"/>
      <c r="H388" s="24"/>
      <c r="I388" s="27"/>
      <c r="J388" s="26"/>
      <c r="K388" s="24"/>
      <c r="L388" s="24"/>
      <c r="M388" s="24" t="str">
        <f>IF(B388="","",IF(COUNTIFS(Cobranza!$C$9:$C$1008,B388,Cobranza!$N$9:$N$1008,"Vencida")&gt;0,"Vencida",IF(COUNTIFS(Cobranza!$C$9:$C$1008,B388,Cobranza!$N$9:$N$1008,"Parcial")&gt;0,"Parcial",IF(COUNTIFS(Cobranza!$C$9:$C$1008,B388,Cobranza!$N$9:$N$1008,"Pendiente")&gt;0,"Pendiente",IF(COUNTIFS(Cobranza!$C$9:$C$1008,B388,Cobranza!$N$9:$N$1008,"Pagada")&gt;0,"Pagada","")))))</f>
        <v/>
      </c>
      <c r="N388" s="33" t="str">
        <f t="shared" ca="1" si="5"/>
        <v/>
      </c>
      <c r="O388" s="23"/>
      <c r="P388" s="7" t="str">
        <f ca="1">IF(AND(B388&lt;&gt;"",F388&lt;&gt;"Cerrada",F388&lt;&gt;"Perdida",N388&lt;&gt;"",N388&gt;14),COUNTIFS($F$8:$F388,"&lt;&gt;Cerrada",$F$8:$F388,"&lt;&gt;Perdida",$N$8:$N388,"&gt;14"),"")</f>
        <v/>
      </c>
      <c r="Q388" s="8"/>
      <c r="R388" s="9"/>
      <c r="S388" s="10"/>
    </row>
    <row r="389" spans="2:19" ht="21.75" customHeight="1" x14ac:dyDescent="0.25">
      <c r="B389" s="24"/>
      <c r="C389" s="24"/>
      <c r="D389" s="24"/>
      <c r="E389" s="24"/>
      <c r="F389" s="38"/>
      <c r="G389" s="27"/>
      <c r="H389" s="24"/>
      <c r="I389" s="27"/>
      <c r="J389" s="26"/>
      <c r="K389" s="24"/>
      <c r="L389" s="24"/>
      <c r="M389" s="24" t="str">
        <f>IF(B389="","",IF(COUNTIFS(Cobranza!$C$9:$C$1008,B389,Cobranza!$N$9:$N$1008,"Vencida")&gt;0,"Vencida",IF(COUNTIFS(Cobranza!$C$9:$C$1008,B389,Cobranza!$N$9:$N$1008,"Parcial")&gt;0,"Parcial",IF(COUNTIFS(Cobranza!$C$9:$C$1008,B389,Cobranza!$N$9:$N$1008,"Pendiente")&gt;0,"Pendiente",IF(COUNTIFS(Cobranza!$C$9:$C$1008,B389,Cobranza!$N$9:$N$1008,"Pagada")&gt;0,"Pagada","")))))</f>
        <v/>
      </c>
      <c r="N389" s="33" t="str">
        <f t="shared" ca="1" si="5"/>
        <v/>
      </c>
      <c r="O389" s="23"/>
      <c r="P389" s="7" t="str">
        <f ca="1">IF(AND(B389&lt;&gt;"",F389&lt;&gt;"Cerrada",F389&lt;&gt;"Perdida",N389&lt;&gt;"",N389&gt;14),COUNTIFS($F$8:$F389,"&lt;&gt;Cerrada",$F$8:$F389,"&lt;&gt;Perdida",$N$8:$N389,"&gt;14"),"")</f>
        <v/>
      </c>
      <c r="Q389" s="8"/>
      <c r="R389" s="9"/>
      <c r="S389" s="10"/>
    </row>
    <row r="390" spans="2:19" ht="21.75" customHeight="1" x14ac:dyDescent="0.25">
      <c r="B390" s="24"/>
      <c r="C390" s="24"/>
      <c r="D390" s="24"/>
      <c r="E390" s="24"/>
      <c r="F390" s="38"/>
      <c r="G390" s="27"/>
      <c r="H390" s="24"/>
      <c r="I390" s="27"/>
      <c r="J390" s="26"/>
      <c r="K390" s="24"/>
      <c r="L390" s="24"/>
      <c r="M390" s="24" t="str">
        <f>IF(B390="","",IF(COUNTIFS(Cobranza!$C$9:$C$1008,B390,Cobranza!$N$9:$N$1008,"Vencida")&gt;0,"Vencida",IF(COUNTIFS(Cobranza!$C$9:$C$1008,B390,Cobranza!$N$9:$N$1008,"Parcial")&gt;0,"Parcial",IF(COUNTIFS(Cobranza!$C$9:$C$1008,B390,Cobranza!$N$9:$N$1008,"Pendiente")&gt;0,"Pendiente",IF(COUNTIFS(Cobranza!$C$9:$C$1008,B390,Cobranza!$N$9:$N$1008,"Pagada")&gt;0,"Pagada","")))))</f>
        <v/>
      </c>
      <c r="N390" s="33" t="str">
        <f t="shared" ca="1" si="5"/>
        <v/>
      </c>
      <c r="O390" s="23"/>
      <c r="P390" s="7" t="str">
        <f ca="1">IF(AND(B390&lt;&gt;"",F390&lt;&gt;"Cerrada",F390&lt;&gt;"Perdida",N390&lt;&gt;"",N390&gt;14),COUNTIFS($F$8:$F390,"&lt;&gt;Cerrada",$F$8:$F390,"&lt;&gt;Perdida",$N$8:$N390,"&gt;14"),"")</f>
        <v/>
      </c>
      <c r="Q390" s="8"/>
      <c r="R390" s="9"/>
      <c r="S390" s="10"/>
    </row>
    <row r="391" spans="2:19" ht="21.75" customHeight="1" x14ac:dyDescent="0.25">
      <c r="B391" s="24"/>
      <c r="C391" s="24"/>
      <c r="D391" s="24"/>
      <c r="E391" s="24"/>
      <c r="F391" s="38"/>
      <c r="G391" s="27"/>
      <c r="H391" s="24"/>
      <c r="I391" s="27"/>
      <c r="J391" s="26"/>
      <c r="K391" s="24"/>
      <c r="L391" s="24"/>
      <c r="M391" s="24" t="str">
        <f>IF(B391="","",IF(COUNTIFS(Cobranza!$C$9:$C$1008,B391,Cobranza!$N$9:$N$1008,"Vencida")&gt;0,"Vencida",IF(COUNTIFS(Cobranza!$C$9:$C$1008,B391,Cobranza!$N$9:$N$1008,"Parcial")&gt;0,"Parcial",IF(COUNTIFS(Cobranza!$C$9:$C$1008,B391,Cobranza!$N$9:$N$1008,"Pendiente")&gt;0,"Pendiente",IF(COUNTIFS(Cobranza!$C$9:$C$1008,B391,Cobranza!$N$9:$N$1008,"Pagada")&gt;0,"Pagada","")))))</f>
        <v/>
      </c>
      <c r="N391" s="33" t="str">
        <f t="shared" ca="1" si="5"/>
        <v/>
      </c>
      <c r="O391" s="23"/>
      <c r="P391" s="7" t="str">
        <f ca="1">IF(AND(B391&lt;&gt;"",F391&lt;&gt;"Cerrada",F391&lt;&gt;"Perdida",N391&lt;&gt;"",N391&gt;14),COUNTIFS($F$8:$F391,"&lt;&gt;Cerrada",$F$8:$F391,"&lt;&gt;Perdida",$N$8:$N391,"&gt;14"),"")</f>
        <v/>
      </c>
      <c r="Q391" s="8"/>
      <c r="R391" s="9"/>
      <c r="S391" s="10"/>
    </row>
    <row r="392" spans="2:19" ht="21.75" customHeight="1" x14ac:dyDescent="0.25">
      <c r="B392" s="24"/>
      <c r="C392" s="24"/>
      <c r="D392" s="24"/>
      <c r="E392" s="24"/>
      <c r="F392" s="38"/>
      <c r="G392" s="27"/>
      <c r="H392" s="24"/>
      <c r="I392" s="27"/>
      <c r="J392" s="26"/>
      <c r="K392" s="24"/>
      <c r="L392" s="24"/>
      <c r="M392" s="24" t="str">
        <f>IF(B392="","",IF(COUNTIFS(Cobranza!$C$9:$C$1008,B392,Cobranza!$N$9:$N$1008,"Vencida")&gt;0,"Vencida",IF(COUNTIFS(Cobranza!$C$9:$C$1008,B392,Cobranza!$N$9:$N$1008,"Parcial")&gt;0,"Parcial",IF(COUNTIFS(Cobranza!$C$9:$C$1008,B392,Cobranza!$N$9:$N$1008,"Pendiente")&gt;0,"Pendiente",IF(COUNTIFS(Cobranza!$C$9:$C$1008,B392,Cobranza!$N$9:$N$1008,"Pagada")&gt;0,"Pagada","")))))</f>
        <v/>
      </c>
      <c r="N392" s="33" t="str">
        <f t="shared" ref="N392:N455" ca="1" si="6">IF(I392="","",MAX(0,TODAY()-I392))</f>
        <v/>
      </c>
      <c r="O392" s="23"/>
      <c r="P392" s="7" t="str">
        <f ca="1">IF(AND(B392&lt;&gt;"",F392&lt;&gt;"Cerrada",F392&lt;&gt;"Perdida",N392&lt;&gt;"",N392&gt;14),COUNTIFS($F$8:$F392,"&lt;&gt;Cerrada",$F$8:$F392,"&lt;&gt;Perdida",$N$8:$N392,"&gt;14"),"")</f>
        <v/>
      </c>
      <c r="Q392" s="8"/>
      <c r="R392" s="9"/>
      <c r="S392" s="10"/>
    </row>
    <row r="393" spans="2:19" ht="21.75" customHeight="1" x14ac:dyDescent="0.25">
      <c r="B393" s="24"/>
      <c r="C393" s="24"/>
      <c r="D393" s="24"/>
      <c r="E393" s="24"/>
      <c r="F393" s="38"/>
      <c r="G393" s="27"/>
      <c r="H393" s="24"/>
      <c r="I393" s="27"/>
      <c r="J393" s="26"/>
      <c r="K393" s="24"/>
      <c r="L393" s="24"/>
      <c r="M393" s="24" t="str">
        <f>IF(B393="","",IF(COUNTIFS(Cobranza!$C$9:$C$1008,B393,Cobranza!$N$9:$N$1008,"Vencida")&gt;0,"Vencida",IF(COUNTIFS(Cobranza!$C$9:$C$1008,B393,Cobranza!$N$9:$N$1008,"Parcial")&gt;0,"Parcial",IF(COUNTIFS(Cobranza!$C$9:$C$1008,B393,Cobranza!$N$9:$N$1008,"Pendiente")&gt;0,"Pendiente",IF(COUNTIFS(Cobranza!$C$9:$C$1008,B393,Cobranza!$N$9:$N$1008,"Pagada")&gt;0,"Pagada","")))))</f>
        <v/>
      </c>
      <c r="N393" s="33" t="str">
        <f t="shared" ca="1" si="6"/>
        <v/>
      </c>
      <c r="O393" s="23"/>
      <c r="P393" s="7" t="str">
        <f ca="1">IF(AND(B393&lt;&gt;"",F393&lt;&gt;"Cerrada",F393&lt;&gt;"Perdida",N393&lt;&gt;"",N393&gt;14),COUNTIFS($F$8:$F393,"&lt;&gt;Cerrada",$F$8:$F393,"&lt;&gt;Perdida",$N$8:$N393,"&gt;14"),"")</f>
        <v/>
      </c>
      <c r="Q393" s="8"/>
      <c r="R393" s="9"/>
      <c r="S393" s="10"/>
    </row>
    <row r="394" spans="2:19" ht="21.75" customHeight="1" x14ac:dyDescent="0.25">
      <c r="B394" s="24"/>
      <c r="C394" s="24"/>
      <c r="D394" s="24"/>
      <c r="E394" s="24"/>
      <c r="F394" s="38"/>
      <c r="G394" s="27"/>
      <c r="H394" s="24"/>
      <c r="I394" s="27"/>
      <c r="J394" s="26"/>
      <c r="K394" s="24"/>
      <c r="L394" s="24"/>
      <c r="M394" s="24" t="str">
        <f>IF(B394="","",IF(COUNTIFS(Cobranza!$C$9:$C$1008,B394,Cobranza!$N$9:$N$1008,"Vencida")&gt;0,"Vencida",IF(COUNTIFS(Cobranza!$C$9:$C$1008,B394,Cobranza!$N$9:$N$1008,"Parcial")&gt;0,"Parcial",IF(COUNTIFS(Cobranza!$C$9:$C$1008,B394,Cobranza!$N$9:$N$1008,"Pendiente")&gt;0,"Pendiente",IF(COUNTIFS(Cobranza!$C$9:$C$1008,B394,Cobranza!$N$9:$N$1008,"Pagada")&gt;0,"Pagada","")))))</f>
        <v/>
      </c>
      <c r="N394" s="33" t="str">
        <f t="shared" ca="1" si="6"/>
        <v/>
      </c>
      <c r="O394" s="23"/>
      <c r="P394" s="7" t="str">
        <f ca="1">IF(AND(B394&lt;&gt;"",F394&lt;&gt;"Cerrada",F394&lt;&gt;"Perdida",N394&lt;&gt;"",N394&gt;14),COUNTIFS($F$8:$F394,"&lt;&gt;Cerrada",$F$8:$F394,"&lt;&gt;Perdida",$N$8:$N394,"&gt;14"),"")</f>
        <v/>
      </c>
      <c r="Q394" s="8"/>
      <c r="R394" s="9"/>
      <c r="S394" s="10"/>
    </row>
    <row r="395" spans="2:19" ht="21.75" customHeight="1" x14ac:dyDescent="0.25">
      <c r="B395" s="24"/>
      <c r="C395" s="24"/>
      <c r="D395" s="24"/>
      <c r="E395" s="24"/>
      <c r="F395" s="38"/>
      <c r="G395" s="27"/>
      <c r="H395" s="24"/>
      <c r="I395" s="27"/>
      <c r="J395" s="26"/>
      <c r="K395" s="24"/>
      <c r="L395" s="24"/>
      <c r="M395" s="24" t="str">
        <f>IF(B395="","",IF(COUNTIFS(Cobranza!$C$9:$C$1008,B395,Cobranza!$N$9:$N$1008,"Vencida")&gt;0,"Vencida",IF(COUNTIFS(Cobranza!$C$9:$C$1008,B395,Cobranza!$N$9:$N$1008,"Parcial")&gt;0,"Parcial",IF(COUNTIFS(Cobranza!$C$9:$C$1008,B395,Cobranza!$N$9:$N$1008,"Pendiente")&gt;0,"Pendiente",IF(COUNTIFS(Cobranza!$C$9:$C$1008,B395,Cobranza!$N$9:$N$1008,"Pagada")&gt;0,"Pagada","")))))</f>
        <v/>
      </c>
      <c r="N395" s="33" t="str">
        <f t="shared" ca="1" si="6"/>
        <v/>
      </c>
      <c r="O395" s="23"/>
      <c r="P395" s="7" t="str">
        <f ca="1">IF(AND(B395&lt;&gt;"",F395&lt;&gt;"Cerrada",F395&lt;&gt;"Perdida",N395&lt;&gt;"",N395&gt;14),COUNTIFS($F$8:$F395,"&lt;&gt;Cerrada",$F$8:$F395,"&lt;&gt;Perdida",$N$8:$N395,"&gt;14"),"")</f>
        <v/>
      </c>
      <c r="Q395" s="8"/>
      <c r="R395" s="9"/>
      <c r="S395" s="10"/>
    </row>
    <row r="396" spans="2:19" ht="21.75" customHeight="1" x14ac:dyDescent="0.25">
      <c r="B396" s="24"/>
      <c r="C396" s="24"/>
      <c r="D396" s="24"/>
      <c r="E396" s="24"/>
      <c r="F396" s="38"/>
      <c r="G396" s="27"/>
      <c r="H396" s="24"/>
      <c r="I396" s="27"/>
      <c r="J396" s="26"/>
      <c r="K396" s="24"/>
      <c r="L396" s="24"/>
      <c r="M396" s="24" t="str">
        <f>IF(B396="","",IF(COUNTIFS(Cobranza!$C$9:$C$1008,B396,Cobranza!$N$9:$N$1008,"Vencida")&gt;0,"Vencida",IF(COUNTIFS(Cobranza!$C$9:$C$1008,B396,Cobranza!$N$9:$N$1008,"Parcial")&gt;0,"Parcial",IF(COUNTIFS(Cobranza!$C$9:$C$1008,B396,Cobranza!$N$9:$N$1008,"Pendiente")&gt;0,"Pendiente",IF(COUNTIFS(Cobranza!$C$9:$C$1008,B396,Cobranza!$N$9:$N$1008,"Pagada")&gt;0,"Pagada","")))))</f>
        <v/>
      </c>
      <c r="N396" s="33" t="str">
        <f t="shared" ca="1" si="6"/>
        <v/>
      </c>
      <c r="O396" s="23"/>
      <c r="P396" s="7" t="str">
        <f ca="1">IF(AND(B396&lt;&gt;"",F396&lt;&gt;"Cerrada",F396&lt;&gt;"Perdida",N396&lt;&gt;"",N396&gt;14),COUNTIFS($F$8:$F396,"&lt;&gt;Cerrada",$F$8:$F396,"&lt;&gt;Perdida",$N$8:$N396,"&gt;14"),"")</f>
        <v/>
      </c>
      <c r="Q396" s="8"/>
      <c r="R396" s="9"/>
      <c r="S396" s="10"/>
    </row>
    <row r="397" spans="2:19" ht="21.75" customHeight="1" x14ac:dyDescent="0.25">
      <c r="B397" s="24"/>
      <c r="C397" s="24"/>
      <c r="D397" s="24"/>
      <c r="E397" s="24"/>
      <c r="F397" s="38"/>
      <c r="G397" s="27"/>
      <c r="H397" s="24"/>
      <c r="I397" s="27"/>
      <c r="J397" s="26"/>
      <c r="K397" s="24"/>
      <c r="L397" s="24"/>
      <c r="M397" s="24" t="str">
        <f>IF(B397="","",IF(COUNTIFS(Cobranza!$C$9:$C$1008,B397,Cobranza!$N$9:$N$1008,"Vencida")&gt;0,"Vencida",IF(COUNTIFS(Cobranza!$C$9:$C$1008,B397,Cobranza!$N$9:$N$1008,"Parcial")&gt;0,"Parcial",IF(COUNTIFS(Cobranza!$C$9:$C$1008,B397,Cobranza!$N$9:$N$1008,"Pendiente")&gt;0,"Pendiente",IF(COUNTIFS(Cobranza!$C$9:$C$1008,B397,Cobranza!$N$9:$N$1008,"Pagada")&gt;0,"Pagada","")))))</f>
        <v/>
      </c>
      <c r="N397" s="33" t="str">
        <f t="shared" ca="1" si="6"/>
        <v/>
      </c>
      <c r="O397" s="23"/>
      <c r="P397" s="7" t="str">
        <f ca="1">IF(AND(B397&lt;&gt;"",F397&lt;&gt;"Cerrada",F397&lt;&gt;"Perdida",N397&lt;&gt;"",N397&gt;14),COUNTIFS($F$8:$F397,"&lt;&gt;Cerrada",$F$8:$F397,"&lt;&gt;Perdida",$N$8:$N397,"&gt;14"),"")</f>
        <v/>
      </c>
      <c r="Q397" s="8"/>
      <c r="R397" s="9"/>
      <c r="S397" s="10"/>
    </row>
    <row r="398" spans="2:19" ht="21.75" customHeight="1" x14ac:dyDescent="0.25">
      <c r="B398" s="24"/>
      <c r="C398" s="24"/>
      <c r="D398" s="24"/>
      <c r="E398" s="24"/>
      <c r="F398" s="38"/>
      <c r="G398" s="27"/>
      <c r="H398" s="24"/>
      <c r="I398" s="27"/>
      <c r="J398" s="26"/>
      <c r="K398" s="24"/>
      <c r="L398" s="24"/>
      <c r="M398" s="24" t="str">
        <f>IF(B398="","",IF(COUNTIFS(Cobranza!$C$9:$C$1008,B398,Cobranza!$N$9:$N$1008,"Vencida")&gt;0,"Vencida",IF(COUNTIFS(Cobranza!$C$9:$C$1008,B398,Cobranza!$N$9:$N$1008,"Parcial")&gt;0,"Parcial",IF(COUNTIFS(Cobranza!$C$9:$C$1008,B398,Cobranza!$N$9:$N$1008,"Pendiente")&gt;0,"Pendiente",IF(COUNTIFS(Cobranza!$C$9:$C$1008,B398,Cobranza!$N$9:$N$1008,"Pagada")&gt;0,"Pagada","")))))</f>
        <v/>
      </c>
      <c r="N398" s="33" t="str">
        <f t="shared" ca="1" si="6"/>
        <v/>
      </c>
      <c r="O398" s="23"/>
      <c r="P398" s="7" t="str">
        <f ca="1">IF(AND(B398&lt;&gt;"",F398&lt;&gt;"Cerrada",F398&lt;&gt;"Perdida",N398&lt;&gt;"",N398&gt;14),COUNTIFS($F$8:$F398,"&lt;&gt;Cerrada",$F$8:$F398,"&lt;&gt;Perdida",$N$8:$N398,"&gt;14"),"")</f>
        <v/>
      </c>
      <c r="Q398" s="8"/>
      <c r="R398" s="9"/>
      <c r="S398" s="10"/>
    </row>
    <row r="399" spans="2:19" ht="21.75" customHeight="1" x14ac:dyDescent="0.25">
      <c r="B399" s="24"/>
      <c r="C399" s="24"/>
      <c r="D399" s="24"/>
      <c r="E399" s="24"/>
      <c r="F399" s="38"/>
      <c r="G399" s="27"/>
      <c r="H399" s="24"/>
      <c r="I399" s="27"/>
      <c r="J399" s="26"/>
      <c r="K399" s="24"/>
      <c r="L399" s="24"/>
      <c r="M399" s="24" t="str">
        <f>IF(B399="","",IF(COUNTIFS(Cobranza!$C$9:$C$1008,B399,Cobranza!$N$9:$N$1008,"Vencida")&gt;0,"Vencida",IF(COUNTIFS(Cobranza!$C$9:$C$1008,B399,Cobranza!$N$9:$N$1008,"Parcial")&gt;0,"Parcial",IF(COUNTIFS(Cobranza!$C$9:$C$1008,B399,Cobranza!$N$9:$N$1008,"Pendiente")&gt;0,"Pendiente",IF(COUNTIFS(Cobranza!$C$9:$C$1008,B399,Cobranza!$N$9:$N$1008,"Pagada")&gt;0,"Pagada","")))))</f>
        <v/>
      </c>
      <c r="N399" s="33" t="str">
        <f t="shared" ca="1" si="6"/>
        <v/>
      </c>
      <c r="O399" s="23"/>
      <c r="P399" s="7" t="str">
        <f ca="1">IF(AND(B399&lt;&gt;"",F399&lt;&gt;"Cerrada",F399&lt;&gt;"Perdida",N399&lt;&gt;"",N399&gt;14),COUNTIFS($F$8:$F399,"&lt;&gt;Cerrada",$F$8:$F399,"&lt;&gt;Perdida",$N$8:$N399,"&gt;14"),"")</f>
        <v/>
      </c>
      <c r="Q399" s="8"/>
      <c r="R399" s="9"/>
      <c r="S399" s="10"/>
    </row>
    <row r="400" spans="2:19" ht="21.75" customHeight="1" x14ac:dyDescent="0.25">
      <c r="B400" s="24"/>
      <c r="C400" s="24"/>
      <c r="D400" s="24"/>
      <c r="E400" s="24"/>
      <c r="F400" s="38"/>
      <c r="G400" s="27"/>
      <c r="H400" s="24"/>
      <c r="I400" s="27"/>
      <c r="J400" s="26"/>
      <c r="K400" s="24"/>
      <c r="L400" s="24"/>
      <c r="M400" s="24" t="str">
        <f>IF(B400="","",IF(COUNTIFS(Cobranza!$C$9:$C$1008,B400,Cobranza!$N$9:$N$1008,"Vencida")&gt;0,"Vencida",IF(COUNTIFS(Cobranza!$C$9:$C$1008,B400,Cobranza!$N$9:$N$1008,"Parcial")&gt;0,"Parcial",IF(COUNTIFS(Cobranza!$C$9:$C$1008,B400,Cobranza!$N$9:$N$1008,"Pendiente")&gt;0,"Pendiente",IF(COUNTIFS(Cobranza!$C$9:$C$1008,B400,Cobranza!$N$9:$N$1008,"Pagada")&gt;0,"Pagada","")))))</f>
        <v/>
      </c>
      <c r="N400" s="33" t="str">
        <f t="shared" ca="1" si="6"/>
        <v/>
      </c>
      <c r="O400" s="23"/>
      <c r="P400" s="7" t="str">
        <f ca="1">IF(AND(B400&lt;&gt;"",F400&lt;&gt;"Cerrada",F400&lt;&gt;"Perdida",N400&lt;&gt;"",N400&gt;14),COUNTIFS($F$8:$F400,"&lt;&gt;Cerrada",$F$8:$F400,"&lt;&gt;Perdida",$N$8:$N400,"&gt;14"),"")</f>
        <v/>
      </c>
      <c r="Q400" s="8"/>
      <c r="R400" s="9"/>
      <c r="S400" s="10"/>
    </row>
    <row r="401" spans="2:19" ht="21.75" customHeight="1" x14ac:dyDescent="0.25">
      <c r="B401" s="24"/>
      <c r="C401" s="24"/>
      <c r="D401" s="24"/>
      <c r="E401" s="24"/>
      <c r="F401" s="38"/>
      <c r="G401" s="27"/>
      <c r="H401" s="24"/>
      <c r="I401" s="27"/>
      <c r="J401" s="26"/>
      <c r="K401" s="24"/>
      <c r="L401" s="24"/>
      <c r="M401" s="24" t="str">
        <f>IF(B401="","",IF(COUNTIFS(Cobranza!$C$9:$C$1008,B401,Cobranza!$N$9:$N$1008,"Vencida")&gt;0,"Vencida",IF(COUNTIFS(Cobranza!$C$9:$C$1008,B401,Cobranza!$N$9:$N$1008,"Parcial")&gt;0,"Parcial",IF(COUNTIFS(Cobranza!$C$9:$C$1008,B401,Cobranza!$N$9:$N$1008,"Pendiente")&gt;0,"Pendiente",IF(COUNTIFS(Cobranza!$C$9:$C$1008,B401,Cobranza!$N$9:$N$1008,"Pagada")&gt;0,"Pagada","")))))</f>
        <v/>
      </c>
      <c r="N401" s="33" t="str">
        <f t="shared" ca="1" si="6"/>
        <v/>
      </c>
      <c r="O401" s="23"/>
      <c r="P401" s="7" t="str">
        <f ca="1">IF(AND(B401&lt;&gt;"",F401&lt;&gt;"Cerrada",F401&lt;&gt;"Perdida",N401&lt;&gt;"",N401&gt;14),COUNTIFS($F$8:$F401,"&lt;&gt;Cerrada",$F$8:$F401,"&lt;&gt;Perdida",$N$8:$N401,"&gt;14"),"")</f>
        <v/>
      </c>
      <c r="Q401" s="8"/>
      <c r="R401" s="9"/>
      <c r="S401" s="10"/>
    </row>
    <row r="402" spans="2:19" ht="21.75" customHeight="1" x14ac:dyDescent="0.25">
      <c r="B402" s="24"/>
      <c r="C402" s="24"/>
      <c r="D402" s="24"/>
      <c r="E402" s="24"/>
      <c r="F402" s="38"/>
      <c r="G402" s="27"/>
      <c r="H402" s="24"/>
      <c r="I402" s="27"/>
      <c r="J402" s="26"/>
      <c r="K402" s="24"/>
      <c r="L402" s="24"/>
      <c r="M402" s="24" t="str">
        <f>IF(B402="","",IF(COUNTIFS(Cobranza!$C$9:$C$1008,B402,Cobranza!$N$9:$N$1008,"Vencida")&gt;0,"Vencida",IF(COUNTIFS(Cobranza!$C$9:$C$1008,B402,Cobranza!$N$9:$N$1008,"Parcial")&gt;0,"Parcial",IF(COUNTIFS(Cobranza!$C$9:$C$1008,B402,Cobranza!$N$9:$N$1008,"Pendiente")&gt;0,"Pendiente",IF(COUNTIFS(Cobranza!$C$9:$C$1008,B402,Cobranza!$N$9:$N$1008,"Pagada")&gt;0,"Pagada","")))))</f>
        <v/>
      </c>
      <c r="N402" s="33" t="str">
        <f t="shared" ca="1" si="6"/>
        <v/>
      </c>
      <c r="O402" s="23"/>
      <c r="P402" s="7" t="str">
        <f ca="1">IF(AND(B402&lt;&gt;"",F402&lt;&gt;"Cerrada",F402&lt;&gt;"Perdida",N402&lt;&gt;"",N402&gt;14),COUNTIFS($F$8:$F402,"&lt;&gt;Cerrada",$F$8:$F402,"&lt;&gt;Perdida",$N$8:$N402,"&gt;14"),"")</f>
        <v/>
      </c>
      <c r="Q402" s="8"/>
      <c r="R402" s="9"/>
      <c r="S402" s="10"/>
    </row>
    <row r="403" spans="2:19" ht="21.75" customHeight="1" x14ac:dyDescent="0.25">
      <c r="B403" s="24"/>
      <c r="C403" s="24"/>
      <c r="D403" s="24"/>
      <c r="E403" s="24"/>
      <c r="F403" s="38"/>
      <c r="G403" s="27"/>
      <c r="H403" s="24"/>
      <c r="I403" s="27"/>
      <c r="J403" s="26"/>
      <c r="K403" s="24"/>
      <c r="L403" s="24"/>
      <c r="M403" s="24" t="str">
        <f>IF(B403="","",IF(COUNTIFS(Cobranza!$C$9:$C$1008,B403,Cobranza!$N$9:$N$1008,"Vencida")&gt;0,"Vencida",IF(COUNTIFS(Cobranza!$C$9:$C$1008,B403,Cobranza!$N$9:$N$1008,"Parcial")&gt;0,"Parcial",IF(COUNTIFS(Cobranza!$C$9:$C$1008,B403,Cobranza!$N$9:$N$1008,"Pendiente")&gt;0,"Pendiente",IF(COUNTIFS(Cobranza!$C$9:$C$1008,B403,Cobranza!$N$9:$N$1008,"Pagada")&gt;0,"Pagada","")))))</f>
        <v/>
      </c>
      <c r="N403" s="33" t="str">
        <f t="shared" ca="1" si="6"/>
        <v/>
      </c>
      <c r="O403" s="23"/>
      <c r="P403" s="7" t="str">
        <f ca="1">IF(AND(B403&lt;&gt;"",F403&lt;&gt;"Cerrada",F403&lt;&gt;"Perdida",N403&lt;&gt;"",N403&gt;14),COUNTIFS($F$8:$F403,"&lt;&gt;Cerrada",$F$8:$F403,"&lt;&gt;Perdida",$N$8:$N403,"&gt;14"),"")</f>
        <v/>
      </c>
      <c r="Q403" s="8"/>
      <c r="R403" s="9"/>
      <c r="S403" s="10"/>
    </row>
    <row r="404" spans="2:19" ht="21.75" customHeight="1" x14ac:dyDescent="0.25">
      <c r="B404" s="24"/>
      <c r="C404" s="24"/>
      <c r="D404" s="24"/>
      <c r="E404" s="24"/>
      <c r="F404" s="38"/>
      <c r="G404" s="27"/>
      <c r="H404" s="24"/>
      <c r="I404" s="27"/>
      <c r="J404" s="26"/>
      <c r="K404" s="24"/>
      <c r="L404" s="24"/>
      <c r="M404" s="24" t="str">
        <f>IF(B404="","",IF(COUNTIFS(Cobranza!$C$9:$C$1008,B404,Cobranza!$N$9:$N$1008,"Vencida")&gt;0,"Vencida",IF(COUNTIFS(Cobranza!$C$9:$C$1008,B404,Cobranza!$N$9:$N$1008,"Parcial")&gt;0,"Parcial",IF(COUNTIFS(Cobranza!$C$9:$C$1008,B404,Cobranza!$N$9:$N$1008,"Pendiente")&gt;0,"Pendiente",IF(COUNTIFS(Cobranza!$C$9:$C$1008,B404,Cobranza!$N$9:$N$1008,"Pagada")&gt;0,"Pagada","")))))</f>
        <v/>
      </c>
      <c r="N404" s="33" t="str">
        <f t="shared" ca="1" si="6"/>
        <v/>
      </c>
      <c r="O404" s="23"/>
      <c r="P404" s="7" t="str">
        <f ca="1">IF(AND(B404&lt;&gt;"",F404&lt;&gt;"Cerrada",F404&lt;&gt;"Perdida",N404&lt;&gt;"",N404&gt;14),COUNTIFS($F$8:$F404,"&lt;&gt;Cerrada",$F$8:$F404,"&lt;&gt;Perdida",$N$8:$N404,"&gt;14"),"")</f>
        <v/>
      </c>
      <c r="Q404" s="8"/>
      <c r="R404" s="9"/>
      <c r="S404" s="10"/>
    </row>
    <row r="405" spans="2:19" ht="21.75" customHeight="1" x14ac:dyDescent="0.25">
      <c r="B405" s="24"/>
      <c r="C405" s="24"/>
      <c r="D405" s="24"/>
      <c r="E405" s="24"/>
      <c r="F405" s="38"/>
      <c r="G405" s="27"/>
      <c r="H405" s="24"/>
      <c r="I405" s="27"/>
      <c r="J405" s="26"/>
      <c r="K405" s="24"/>
      <c r="L405" s="24"/>
      <c r="M405" s="24" t="str">
        <f>IF(B405="","",IF(COUNTIFS(Cobranza!$C$9:$C$1008,B405,Cobranza!$N$9:$N$1008,"Vencida")&gt;0,"Vencida",IF(COUNTIFS(Cobranza!$C$9:$C$1008,B405,Cobranza!$N$9:$N$1008,"Parcial")&gt;0,"Parcial",IF(COUNTIFS(Cobranza!$C$9:$C$1008,B405,Cobranza!$N$9:$N$1008,"Pendiente")&gt;0,"Pendiente",IF(COUNTIFS(Cobranza!$C$9:$C$1008,B405,Cobranza!$N$9:$N$1008,"Pagada")&gt;0,"Pagada","")))))</f>
        <v/>
      </c>
      <c r="N405" s="33" t="str">
        <f t="shared" ca="1" si="6"/>
        <v/>
      </c>
      <c r="O405" s="23"/>
      <c r="P405" s="7" t="str">
        <f ca="1">IF(AND(B405&lt;&gt;"",F405&lt;&gt;"Cerrada",F405&lt;&gt;"Perdida",N405&lt;&gt;"",N405&gt;14),COUNTIFS($F$8:$F405,"&lt;&gt;Cerrada",$F$8:$F405,"&lt;&gt;Perdida",$N$8:$N405,"&gt;14"),"")</f>
        <v/>
      </c>
      <c r="Q405" s="8"/>
      <c r="R405" s="9"/>
      <c r="S405" s="10"/>
    </row>
    <row r="406" spans="2:19" ht="21.75" customHeight="1" x14ac:dyDescent="0.25">
      <c r="B406" s="24"/>
      <c r="C406" s="24"/>
      <c r="D406" s="24"/>
      <c r="E406" s="24"/>
      <c r="F406" s="38"/>
      <c r="G406" s="27"/>
      <c r="H406" s="24"/>
      <c r="I406" s="27"/>
      <c r="J406" s="26"/>
      <c r="K406" s="24"/>
      <c r="L406" s="24"/>
      <c r="M406" s="24" t="str">
        <f>IF(B406="","",IF(COUNTIFS(Cobranza!$C$9:$C$1008,B406,Cobranza!$N$9:$N$1008,"Vencida")&gt;0,"Vencida",IF(COUNTIFS(Cobranza!$C$9:$C$1008,B406,Cobranza!$N$9:$N$1008,"Parcial")&gt;0,"Parcial",IF(COUNTIFS(Cobranza!$C$9:$C$1008,B406,Cobranza!$N$9:$N$1008,"Pendiente")&gt;0,"Pendiente",IF(COUNTIFS(Cobranza!$C$9:$C$1008,B406,Cobranza!$N$9:$N$1008,"Pagada")&gt;0,"Pagada","")))))</f>
        <v/>
      </c>
      <c r="N406" s="33" t="str">
        <f t="shared" ca="1" si="6"/>
        <v/>
      </c>
      <c r="O406" s="23"/>
      <c r="P406" s="7" t="str">
        <f ca="1">IF(AND(B406&lt;&gt;"",F406&lt;&gt;"Cerrada",F406&lt;&gt;"Perdida",N406&lt;&gt;"",N406&gt;14),COUNTIFS($F$8:$F406,"&lt;&gt;Cerrada",$F$8:$F406,"&lt;&gt;Perdida",$N$8:$N406,"&gt;14"),"")</f>
        <v/>
      </c>
      <c r="Q406" s="8"/>
      <c r="R406" s="9"/>
      <c r="S406" s="10"/>
    </row>
    <row r="407" spans="2:19" ht="21.75" customHeight="1" x14ac:dyDescent="0.25">
      <c r="B407" s="24"/>
      <c r="C407" s="24"/>
      <c r="D407" s="24"/>
      <c r="E407" s="24"/>
      <c r="F407" s="38"/>
      <c r="G407" s="27"/>
      <c r="H407" s="24"/>
      <c r="I407" s="27"/>
      <c r="J407" s="26"/>
      <c r="K407" s="24"/>
      <c r="L407" s="24"/>
      <c r="M407" s="24" t="str">
        <f>IF(B407="","",IF(COUNTIFS(Cobranza!$C$9:$C$1008,B407,Cobranza!$N$9:$N$1008,"Vencida")&gt;0,"Vencida",IF(COUNTIFS(Cobranza!$C$9:$C$1008,B407,Cobranza!$N$9:$N$1008,"Parcial")&gt;0,"Parcial",IF(COUNTIFS(Cobranza!$C$9:$C$1008,B407,Cobranza!$N$9:$N$1008,"Pendiente")&gt;0,"Pendiente",IF(COUNTIFS(Cobranza!$C$9:$C$1008,B407,Cobranza!$N$9:$N$1008,"Pagada")&gt;0,"Pagada","")))))</f>
        <v/>
      </c>
      <c r="N407" s="33" t="str">
        <f t="shared" ca="1" si="6"/>
        <v/>
      </c>
      <c r="O407" s="23"/>
      <c r="P407" s="7" t="str">
        <f ca="1">IF(AND(B407&lt;&gt;"",F407&lt;&gt;"Cerrada",F407&lt;&gt;"Perdida",N407&lt;&gt;"",N407&gt;14),COUNTIFS($F$8:$F407,"&lt;&gt;Cerrada",$F$8:$F407,"&lt;&gt;Perdida",$N$8:$N407,"&gt;14"),"")</f>
        <v/>
      </c>
      <c r="Q407" s="8"/>
      <c r="R407" s="9"/>
      <c r="S407" s="10"/>
    </row>
    <row r="408" spans="2:19" ht="21.75" customHeight="1" x14ac:dyDescent="0.25">
      <c r="B408" s="24"/>
      <c r="C408" s="24"/>
      <c r="D408" s="24"/>
      <c r="E408" s="24"/>
      <c r="F408" s="38"/>
      <c r="G408" s="27"/>
      <c r="H408" s="24"/>
      <c r="I408" s="27"/>
      <c r="J408" s="26"/>
      <c r="K408" s="24"/>
      <c r="L408" s="24"/>
      <c r="M408" s="24" t="str">
        <f>IF(B408="","",IF(COUNTIFS(Cobranza!$C$9:$C$1008,B408,Cobranza!$N$9:$N$1008,"Vencida")&gt;0,"Vencida",IF(COUNTIFS(Cobranza!$C$9:$C$1008,B408,Cobranza!$N$9:$N$1008,"Parcial")&gt;0,"Parcial",IF(COUNTIFS(Cobranza!$C$9:$C$1008,B408,Cobranza!$N$9:$N$1008,"Pendiente")&gt;0,"Pendiente",IF(COUNTIFS(Cobranza!$C$9:$C$1008,B408,Cobranza!$N$9:$N$1008,"Pagada")&gt;0,"Pagada","")))))</f>
        <v/>
      </c>
      <c r="N408" s="33" t="str">
        <f t="shared" ca="1" si="6"/>
        <v/>
      </c>
      <c r="O408" s="23"/>
      <c r="P408" s="7" t="str">
        <f ca="1">IF(AND(B408&lt;&gt;"",F408&lt;&gt;"Cerrada",F408&lt;&gt;"Perdida",N408&lt;&gt;"",N408&gt;14),COUNTIFS($F$8:$F408,"&lt;&gt;Cerrada",$F$8:$F408,"&lt;&gt;Perdida",$N$8:$N408,"&gt;14"),"")</f>
        <v/>
      </c>
      <c r="Q408" s="8"/>
      <c r="R408" s="9"/>
      <c r="S408" s="10"/>
    </row>
    <row r="409" spans="2:19" ht="21.75" customHeight="1" x14ac:dyDescent="0.25">
      <c r="B409" s="24"/>
      <c r="C409" s="24"/>
      <c r="D409" s="24"/>
      <c r="E409" s="24"/>
      <c r="F409" s="38"/>
      <c r="G409" s="27"/>
      <c r="H409" s="24"/>
      <c r="I409" s="27"/>
      <c r="J409" s="26"/>
      <c r="K409" s="24"/>
      <c r="L409" s="24"/>
      <c r="M409" s="24" t="str">
        <f>IF(B409="","",IF(COUNTIFS(Cobranza!$C$9:$C$1008,B409,Cobranza!$N$9:$N$1008,"Vencida")&gt;0,"Vencida",IF(COUNTIFS(Cobranza!$C$9:$C$1008,B409,Cobranza!$N$9:$N$1008,"Parcial")&gt;0,"Parcial",IF(COUNTIFS(Cobranza!$C$9:$C$1008,B409,Cobranza!$N$9:$N$1008,"Pendiente")&gt;0,"Pendiente",IF(COUNTIFS(Cobranza!$C$9:$C$1008,B409,Cobranza!$N$9:$N$1008,"Pagada")&gt;0,"Pagada","")))))</f>
        <v/>
      </c>
      <c r="N409" s="33" t="str">
        <f t="shared" ca="1" si="6"/>
        <v/>
      </c>
      <c r="O409" s="23"/>
      <c r="P409" s="7" t="str">
        <f ca="1">IF(AND(B409&lt;&gt;"",F409&lt;&gt;"Cerrada",F409&lt;&gt;"Perdida",N409&lt;&gt;"",N409&gt;14),COUNTIFS($F$8:$F409,"&lt;&gt;Cerrada",$F$8:$F409,"&lt;&gt;Perdida",$N$8:$N409,"&gt;14"),"")</f>
        <v/>
      </c>
      <c r="Q409" s="8"/>
      <c r="R409" s="9"/>
      <c r="S409" s="10"/>
    </row>
    <row r="410" spans="2:19" ht="21.75" customHeight="1" x14ac:dyDescent="0.25">
      <c r="B410" s="24"/>
      <c r="C410" s="24"/>
      <c r="D410" s="24"/>
      <c r="E410" s="24"/>
      <c r="F410" s="38"/>
      <c r="G410" s="27"/>
      <c r="H410" s="24"/>
      <c r="I410" s="27"/>
      <c r="J410" s="26"/>
      <c r="K410" s="24"/>
      <c r="L410" s="24"/>
      <c r="M410" s="24" t="str">
        <f>IF(B410="","",IF(COUNTIFS(Cobranza!$C$9:$C$1008,B410,Cobranza!$N$9:$N$1008,"Vencida")&gt;0,"Vencida",IF(COUNTIFS(Cobranza!$C$9:$C$1008,B410,Cobranza!$N$9:$N$1008,"Parcial")&gt;0,"Parcial",IF(COUNTIFS(Cobranza!$C$9:$C$1008,B410,Cobranza!$N$9:$N$1008,"Pendiente")&gt;0,"Pendiente",IF(COUNTIFS(Cobranza!$C$9:$C$1008,B410,Cobranza!$N$9:$N$1008,"Pagada")&gt;0,"Pagada","")))))</f>
        <v/>
      </c>
      <c r="N410" s="33" t="str">
        <f t="shared" ca="1" si="6"/>
        <v/>
      </c>
      <c r="O410" s="23"/>
      <c r="P410" s="7" t="str">
        <f ca="1">IF(AND(B410&lt;&gt;"",F410&lt;&gt;"Cerrada",F410&lt;&gt;"Perdida",N410&lt;&gt;"",N410&gt;14),COUNTIFS($F$8:$F410,"&lt;&gt;Cerrada",$F$8:$F410,"&lt;&gt;Perdida",$N$8:$N410,"&gt;14"),"")</f>
        <v/>
      </c>
      <c r="Q410" s="8"/>
      <c r="R410" s="9"/>
      <c r="S410" s="10"/>
    </row>
    <row r="411" spans="2:19" ht="21.75" customHeight="1" x14ac:dyDescent="0.25">
      <c r="B411" s="24"/>
      <c r="C411" s="24"/>
      <c r="D411" s="24"/>
      <c r="E411" s="24"/>
      <c r="F411" s="38"/>
      <c r="G411" s="27"/>
      <c r="H411" s="24"/>
      <c r="I411" s="27"/>
      <c r="J411" s="26"/>
      <c r="K411" s="24"/>
      <c r="L411" s="24"/>
      <c r="M411" s="24" t="str">
        <f>IF(B411="","",IF(COUNTIFS(Cobranza!$C$9:$C$1008,B411,Cobranza!$N$9:$N$1008,"Vencida")&gt;0,"Vencida",IF(COUNTIFS(Cobranza!$C$9:$C$1008,B411,Cobranza!$N$9:$N$1008,"Parcial")&gt;0,"Parcial",IF(COUNTIFS(Cobranza!$C$9:$C$1008,B411,Cobranza!$N$9:$N$1008,"Pendiente")&gt;0,"Pendiente",IF(COUNTIFS(Cobranza!$C$9:$C$1008,B411,Cobranza!$N$9:$N$1008,"Pagada")&gt;0,"Pagada","")))))</f>
        <v/>
      </c>
      <c r="N411" s="33" t="str">
        <f t="shared" ca="1" si="6"/>
        <v/>
      </c>
      <c r="O411" s="23"/>
      <c r="P411" s="7" t="str">
        <f ca="1">IF(AND(B411&lt;&gt;"",F411&lt;&gt;"Cerrada",F411&lt;&gt;"Perdida",N411&lt;&gt;"",N411&gt;14),COUNTIFS($F$8:$F411,"&lt;&gt;Cerrada",$F$8:$F411,"&lt;&gt;Perdida",$N$8:$N411,"&gt;14"),"")</f>
        <v/>
      </c>
      <c r="Q411" s="8"/>
      <c r="R411" s="9"/>
      <c r="S411" s="10"/>
    </row>
    <row r="412" spans="2:19" ht="21.75" customHeight="1" x14ac:dyDescent="0.25">
      <c r="B412" s="24"/>
      <c r="C412" s="24"/>
      <c r="D412" s="24"/>
      <c r="E412" s="24"/>
      <c r="F412" s="38"/>
      <c r="G412" s="27"/>
      <c r="H412" s="24"/>
      <c r="I412" s="27"/>
      <c r="J412" s="26"/>
      <c r="K412" s="24"/>
      <c r="L412" s="24"/>
      <c r="M412" s="24" t="str">
        <f>IF(B412="","",IF(COUNTIFS(Cobranza!$C$9:$C$1008,B412,Cobranza!$N$9:$N$1008,"Vencida")&gt;0,"Vencida",IF(COUNTIFS(Cobranza!$C$9:$C$1008,B412,Cobranza!$N$9:$N$1008,"Parcial")&gt;0,"Parcial",IF(COUNTIFS(Cobranza!$C$9:$C$1008,B412,Cobranza!$N$9:$N$1008,"Pendiente")&gt;0,"Pendiente",IF(COUNTIFS(Cobranza!$C$9:$C$1008,B412,Cobranza!$N$9:$N$1008,"Pagada")&gt;0,"Pagada","")))))</f>
        <v/>
      </c>
      <c r="N412" s="33" t="str">
        <f t="shared" ca="1" si="6"/>
        <v/>
      </c>
      <c r="O412" s="23"/>
      <c r="P412" s="7" t="str">
        <f ca="1">IF(AND(B412&lt;&gt;"",F412&lt;&gt;"Cerrada",F412&lt;&gt;"Perdida",N412&lt;&gt;"",N412&gt;14),COUNTIFS($F$8:$F412,"&lt;&gt;Cerrada",$F$8:$F412,"&lt;&gt;Perdida",$N$8:$N412,"&gt;14"),"")</f>
        <v/>
      </c>
      <c r="Q412" s="8"/>
      <c r="R412" s="9"/>
      <c r="S412" s="10"/>
    </row>
    <row r="413" spans="2:19" ht="21.75" customHeight="1" x14ac:dyDescent="0.25">
      <c r="B413" s="24"/>
      <c r="C413" s="24"/>
      <c r="D413" s="24"/>
      <c r="E413" s="24"/>
      <c r="F413" s="38"/>
      <c r="G413" s="27"/>
      <c r="H413" s="24"/>
      <c r="I413" s="27"/>
      <c r="J413" s="26"/>
      <c r="K413" s="24"/>
      <c r="L413" s="24"/>
      <c r="M413" s="24" t="str">
        <f>IF(B413="","",IF(COUNTIFS(Cobranza!$C$9:$C$1008,B413,Cobranza!$N$9:$N$1008,"Vencida")&gt;0,"Vencida",IF(COUNTIFS(Cobranza!$C$9:$C$1008,B413,Cobranza!$N$9:$N$1008,"Parcial")&gt;0,"Parcial",IF(COUNTIFS(Cobranza!$C$9:$C$1008,B413,Cobranza!$N$9:$N$1008,"Pendiente")&gt;0,"Pendiente",IF(COUNTIFS(Cobranza!$C$9:$C$1008,B413,Cobranza!$N$9:$N$1008,"Pagada")&gt;0,"Pagada","")))))</f>
        <v/>
      </c>
      <c r="N413" s="33" t="str">
        <f t="shared" ca="1" si="6"/>
        <v/>
      </c>
      <c r="O413" s="23"/>
      <c r="P413" s="7" t="str">
        <f ca="1">IF(AND(B413&lt;&gt;"",F413&lt;&gt;"Cerrada",F413&lt;&gt;"Perdida",N413&lt;&gt;"",N413&gt;14),COUNTIFS($F$8:$F413,"&lt;&gt;Cerrada",$F$8:$F413,"&lt;&gt;Perdida",$N$8:$N413,"&gt;14"),"")</f>
        <v/>
      </c>
      <c r="Q413" s="8"/>
      <c r="R413" s="9"/>
      <c r="S413" s="10"/>
    </row>
    <row r="414" spans="2:19" ht="21.75" customHeight="1" x14ac:dyDescent="0.25">
      <c r="B414" s="24"/>
      <c r="C414" s="24"/>
      <c r="D414" s="24"/>
      <c r="E414" s="24"/>
      <c r="F414" s="38"/>
      <c r="G414" s="27"/>
      <c r="H414" s="24"/>
      <c r="I414" s="27"/>
      <c r="J414" s="26"/>
      <c r="K414" s="24"/>
      <c r="L414" s="24"/>
      <c r="M414" s="24" t="str">
        <f>IF(B414="","",IF(COUNTIFS(Cobranza!$C$9:$C$1008,B414,Cobranza!$N$9:$N$1008,"Vencida")&gt;0,"Vencida",IF(COUNTIFS(Cobranza!$C$9:$C$1008,B414,Cobranza!$N$9:$N$1008,"Parcial")&gt;0,"Parcial",IF(COUNTIFS(Cobranza!$C$9:$C$1008,B414,Cobranza!$N$9:$N$1008,"Pendiente")&gt;0,"Pendiente",IF(COUNTIFS(Cobranza!$C$9:$C$1008,B414,Cobranza!$N$9:$N$1008,"Pagada")&gt;0,"Pagada","")))))</f>
        <v/>
      </c>
      <c r="N414" s="33" t="str">
        <f t="shared" ca="1" si="6"/>
        <v/>
      </c>
      <c r="O414" s="23"/>
      <c r="P414" s="7" t="str">
        <f ca="1">IF(AND(B414&lt;&gt;"",F414&lt;&gt;"Cerrada",F414&lt;&gt;"Perdida",N414&lt;&gt;"",N414&gt;14),COUNTIFS($F$8:$F414,"&lt;&gt;Cerrada",$F$8:$F414,"&lt;&gt;Perdida",$N$8:$N414,"&gt;14"),"")</f>
        <v/>
      </c>
      <c r="Q414" s="8"/>
      <c r="R414" s="9"/>
      <c r="S414" s="10"/>
    </row>
    <row r="415" spans="2:19" ht="21.75" customHeight="1" x14ac:dyDescent="0.25">
      <c r="B415" s="24"/>
      <c r="C415" s="24"/>
      <c r="D415" s="24"/>
      <c r="E415" s="24"/>
      <c r="F415" s="38"/>
      <c r="G415" s="27"/>
      <c r="H415" s="24"/>
      <c r="I415" s="27"/>
      <c r="J415" s="26"/>
      <c r="K415" s="24"/>
      <c r="L415" s="24"/>
      <c r="M415" s="24" t="str">
        <f>IF(B415="","",IF(COUNTIFS(Cobranza!$C$9:$C$1008,B415,Cobranza!$N$9:$N$1008,"Vencida")&gt;0,"Vencida",IF(COUNTIFS(Cobranza!$C$9:$C$1008,B415,Cobranza!$N$9:$N$1008,"Parcial")&gt;0,"Parcial",IF(COUNTIFS(Cobranza!$C$9:$C$1008,B415,Cobranza!$N$9:$N$1008,"Pendiente")&gt;0,"Pendiente",IF(COUNTIFS(Cobranza!$C$9:$C$1008,B415,Cobranza!$N$9:$N$1008,"Pagada")&gt;0,"Pagada","")))))</f>
        <v/>
      </c>
      <c r="N415" s="33" t="str">
        <f t="shared" ca="1" si="6"/>
        <v/>
      </c>
      <c r="O415" s="23"/>
      <c r="P415" s="7" t="str">
        <f ca="1">IF(AND(B415&lt;&gt;"",F415&lt;&gt;"Cerrada",F415&lt;&gt;"Perdida",N415&lt;&gt;"",N415&gt;14),COUNTIFS($F$8:$F415,"&lt;&gt;Cerrada",$F$8:$F415,"&lt;&gt;Perdida",$N$8:$N415,"&gt;14"),"")</f>
        <v/>
      </c>
      <c r="Q415" s="8"/>
      <c r="R415" s="9"/>
      <c r="S415" s="10"/>
    </row>
    <row r="416" spans="2:19" ht="21.75" customHeight="1" x14ac:dyDescent="0.25">
      <c r="B416" s="24"/>
      <c r="C416" s="24"/>
      <c r="D416" s="24"/>
      <c r="E416" s="24"/>
      <c r="F416" s="38"/>
      <c r="G416" s="27"/>
      <c r="H416" s="24"/>
      <c r="I416" s="27"/>
      <c r="J416" s="26"/>
      <c r="K416" s="24"/>
      <c r="L416" s="24"/>
      <c r="M416" s="24" t="str">
        <f>IF(B416="","",IF(COUNTIFS(Cobranza!$C$9:$C$1008,B416,Cobranza!$N$9:$N$1008,"Vencida")&gt;0,"Vencida",IF(COUNTIFS(Cobranza!$C$9:$C$1008,B416,Cobranza!$N$9:$N$1008,"Parcial")&gt;0,"Parcial",IF(COUNTIFS(Cobranza!$C$9:$C$1008,B416,Cobranza!$N$9:$N$1008,"Pendiente")&gt;0,"Pendiente",IF(COUNTIFS(Cobranza!$C$9:$C$1008,B416,Cobranza!$N$9:$N$1008,"Pagada")&gt;0,"Pagada","")))))</f>
        <v/>
      </c>
      <c r="N416" s="33" t="str">
        <f t="shared" ca="1" si="6"/>
        <v/>
      </c>
      <c r="O416" s="23"/>
      <c r="P416" s="7" t="str">
        <f ca="1">IF(AND(B416&lt;&gt;"",F416&lt;&gt;"Cerrada",F416&lt;&gt;"Perdida",N416&lt;&gt;"",N416&gt;14),COUNTIFS($F$8:$F416,"&lt;&gt;Cerrada",$F$8:$F416,"&lt;&gt;Perdida",$N$8:$N416,"&gt;14"),"")</f>
        <v/>
      </c>
      <c r="Q416" s="8"/>
      <c r="R416" s="9"/>
      <c r="S416" s="10"/>
    </row>
    <row r="417" spans="2:19" ht="21.75" customHeight="1" x14ac:dyDescent="0.25">
      <c r="B417" s="24"/>
      <c r="C417" s="24"/>
      <c r="D417" s="24"/>
      <c r="E417" s="24"/>
      <c r="F417" s="38"/>
      <c r="G417" s="27"/>
      <c r="H417" s="24"/>
      <c r="I417" s="27"/>
      <c r="J417" s="26"/>
      <c r="K417" s="24"/>
      <c r="L417" s="24"/>
      <c r="M417" s="24" t="str">
        <f>IF(B417="","",IF(COUNTIFS(Cobranza!$C$9:$C$1008,B417,Cobranza!$N$9:$N$1008,"Vencida")&gt;0,"Vencida",IF(COUNTIFS(Cobranza!$C$9:$C$1008,B417,Cobranza!$N$9:$N$1008,"Parcial")&gt;0,"Parcial",IF(COUNTIFS(Cobranza!$C$9:$C$1008,B417,Cobranza!$N$9:$N$1008,"Pendiente")&gt;0,"Pendiente",IF(COUNTIFS(Cobranza!$C$9:$C$1008,B417,Cobranza!$N$9:$N$1008,"Pagada")&gt;0,"Pagada","")))))</f>
        <v/>
      </c>
      <c r="N417" s="33" t="str">
        <f t="shared" ca="1" si="6"/>
        <v/>
      </c>
      <c r="O417" s="23"/>
      <c r="P417" s="7" t="str">
        <f ca="1">IF(AND(B417&lt;&gt;"",F417&lt;&gt;"Cerrada",F417&lt;&gt;"Perdida",N417&lt;&gt;"",N417&gt;14),COUNTIFS($F$8:$F417,"&lt;&gt;Cerrada",$F$8:$F417,"&lt;&gt;Perdida",$N$8:$N417,"&gt;14"),"")</f>
        <v/>
      </c>
      <c r="Q417" s="8"/>
      <c r="R417" s="9"/>
      <c r="S417" s="10"/>
    </row>
    <row r="418" spans="2:19" ht="21.75" customHeight="1" x14ac:dyDescent="0.25">
      <c r="B418" s="24"/>
      <c r="C418" s="24"/>
      <c r="D418" s="24"/>
      <c r="E418" s="24"/>
      <c r="F418" s="38"/>
      <c r="G418" s="27"/>
      <c r="H418" s="24"/>
      <c r="I418" s="27"/>
      <c r="J418" s="26"/>
      <c r="K418" s="24"/>
      <c r="L418" s="24"/>
      <c r="M418" s="24" t="str">
        <f>IF(B418="","",IF(COUNTIFS(Cobranza!$C$9:$C$1008,B418,Cobranza!$N$9:$N$1008,"Vencida")&gt;0,"Vencida",IF(COUNTIFS(Cobranza!$C$9:$C$1008,B418,Cobranza!$N$9:$N$1008,"Parcial")&gt;0,"Parcial",IF(COUNTIFS(Cobranza!$C$9:$C$1008,B418,Cobranza!$N$9:$N$1008,"Pendiente")&gt;0,"Pendiente",IF(COUNTIFS(Cobranza!$C$9:$C$1008,B418,Cobranza!$N$9:$N$1008,"Pagada")&gt;0,"Pagada","")))))</f>
        <v/>
      </c>
      <c r="N418" s="33" t="str">
        <f t="shared" ca="1" si="6"/>
        <v/>
      </c>
      <c r="O418" s="23"/>
      <c r="P418" s="7" t="str">
        <f ca="1">IF(AND(B418&lt;&gt;"",F418&lt;&gt;"Cerrada",F418&lt;&gt;"Perdida",N418&lt;&gt;"",N418&gt;14),COUNTIFS($F$8:$F418,"&lt;&gt;Cerrada",$F$8:$F418,"&lt;&gt;Perdida",$N$8:$N418,"&gt;14"),"")</f>
        <v/>
      </c>
      <c r="Q418" s="8"/>
      <c r="R418" s="9"/>
      <c r="S418" s="10"/>
    </row>
    <row r="419" spans="2:19" ht="21.75" customHeight="1" x14ac:dyDescent="0.25">
      <c r="B419" s="24"/>
      <c r="C419" s="24"/>
      <c r="D419" s="24"/>
      <c r="E419" s="24"/>
      <c r="F419" s="38"/>
      <c r="G419" s="27"/>
      <c r="H419" s="24"/>
      <c r="I419" s="27"/>
      <c r="J419" s="26"/>
      <c r="K419" s="24"/>
      <c r="L419" s="24"/>
      <c r="M419" s="24" t="str">
        <f>IF(B419="","",IF(COUNTIFS(Cobranza!$C$9:$C$1008,B419,Cobranza!$N$9:$N$1008,"Vencida")&gt;0,"Vencida",IF(COUNTIFS(Cobranza!$C$9:$C$1008,B419,Cobranza!$N$9:$N$1008,"Parcial")&gt;0,"Parcial",IF(COUNTIFS(Cobranza!$C$9:$C$1008,B419,Cobranza!$N$9:$N$1008,"Pendiente")&gt;0,"Pendiente",IF(COUNTIFS(Cobranza!$C$9:$C$1008,B419,Cobranza!$N$9:$N$1008,"Pagada")&gt;0,"Pagada","")))))</f>
        <v/>
      </c>
      <c r="N419" s="33" t="str">
        <f t="shared" ca="1" si="6"/>
        <v/>
      </c>
      <c r="O419" s="23"/>
      <c r="P419" s="7" t="str">
        <f ca="1">IF(AND(B419&lt;&gt;"",F419&lt;&gt;"Cerrada",F419&lt;&gt;"Perdida",N419&lt;&gt;"",N419&gt;14),COUNTIFS($F$8:$F419,"&lt;&gt;Cerrada",$F$8:$F419,"&lt;&gt;Perdida",$N$8:$N419,"&gt;14"),"")</f>
        <v/>
      </c>
      <c r="Q419" s="8"/>
      <c r="R419" s="9"/>
      <c r="S419" s="10"/>
    </row>
    <row r="420" spans="2:19" ht="21.75" customHeight="1" x14ac:dyDescent="0.25">
      <c r="B420" s="24"/>
      <c r="C420" s="24"/>
      <c r="D420" s="24"/>
      <c r="E420" s="24"/>
      <c r="F420" s="38"/>
      <c r="G420" s="27"/>
      <c r="H420" s="24"/>
      <c r="I420" s="27"/>
      <c r="J420" s="26"/>
      <c r="K420" s="24"/>
      <c r="L420" s="24"/>
      <c r="M420" s="24" t="str">
        <f>IF(B420="","",IF(COUNTIFS(Cobranza!$C$9:$C$1008,B420,Cobranza!$N$9:$N$1008,"Vencida")&gt;0,"Vencida",IF(COUNTIFS(Cobranza!$C$9:$C$1008,B420,Cobranza!$N$9:$N$1008,"Parcial")&gt;0,"Parcial",IF(COUNTIFS(Cobranza!$C$9:$C$1008,B420,Cobranza!$N$9:$N$1008,"Pendiente")&gt;0,"Pendiente",IF(COUNTIFS(Cobranza!$C$9:$C$1008,B420,Cobranza!$N$9:$N$1008,"Pagada")&gt;0,"Pagada","")))))</f>
        <v/>
      </c>
      <c r="N420" s="33" t="str">
        <f t="shared" ca="1" si="6"/>
        <v/>
      </c>
      <c r="O420" s="23"/>
      <c r="P420" s="7" t="str">
        <f ca="1">IF(AND(B420&lt;&gt;"",F420&lt;&gt;"Cerrada",F420&lt;&gt;"Perdida",N420&lt;&gt;"",N420&gt;14),COUNTIFS($F$8:$F420,"&lt;&gt;Cerrada",$F$8:$F420,"&lt;&gt;Perdida",$N$8:$N420,"&gt;14"),"")</f>
        <v/>
      </c>
      <c r="Q420" s="8"/>
      <c r="R420" s="9"/>
      <c r="S420" s="10"/>
    </row>
    <row r="421" spans="2:19" ht="21.75" customHeight="1" x14ac:dyDescent="0.25">
      <c r="B421" s="24"/>
      <c r="C421" s="24"/>
      <c r="D421" s="24"/>
      <c r="E421" s="24"/>
      <c r="F421" s="38"/>
      <c r="G421" s="27"/>
      <c r="H421" s="24"/>
      <c r="I421" s="27"/>
      <c r="J421" s="26"/>
      <c r="K421" s="24"/>
      <c r="L421" s="24"/>
      <c r="M421" s="24" t="str">
        <f>IF(B421="","",IF(COUNTIFS(Cobranza!$C$9:$C$1008,B421,Cobranza!$N$9:$N$1008,"Vencida")&gt;0,"Vencida",IF(COUNTIFS(Cobranza!$C$9:$C$1008,B421,Cobranza!$N$9:$N$1008,"Parcial")&gt;0,"Parcial",IF(COUNTIFS(Cobranza!$C$9:$C$1008,B421,Cobranza!$N$9:$N$1008,"Pendiente")&gt;0,"Pendiente",IF(COUNTIFS(Cobranza!$C$9:$C$1008,B421,Cobranza!$N$9:$N$1008,"Pagada")&gt;0,"Pagada","")))))</f>
        <v/>
      </c>
      <c r="N421" s="33" t="str">
        <f t="shared" ca="1" si="6"/>
        <v/>
      </c>
      <c r="O421" s="23"/>
      <c r="P421" s="7" t="str">
        <f ca="1">IF(AND(B421&lt;&gt;"",F421&lt;&gt;"Cerrada",F421&lt;&gt;"Perdida",N421&lt;&gt;"",N421&gt;14),COUNTIFS($F$8:$F421,"&lt;&gt;Cerrada",$F$8:$F421,"&lt;&gt;Perdida",$N$8:$N421,"&gt;14"),"")</f>
        <v/>
      </c>
      <c r="Q421" s="8"/>
      <c r="R421" s="9"/>
      <c r="S421" s="10"/>
    </row>
    <row r="422" spans="2:19" ht="21.75" customHeight="1" x14ac:dyDescent="0.25">
      <c r="B422" s="24"/>
      <c r="C422" s="24"/>
      <c r="D422" s="24"/>
      <c r="E422" s="24"/>
      <c r="F422" s="38"/>
      <c r="G422" s="27"/>
      <c r="H422" s="24"/>
      <c r="I422" s="27"/>
      <c r="J422" s="26"/>
      <c r="K422" s="24"/>
      <c r="L422" s="24"/>
      <c r="M422" s="24" t="str">
        <f>IF(B422="","",IF(COUNTIFS(Cobranza!$C$9:$C$1008,B422,Cobranza!$N$9:$N$1008,"Vencida")&gt;0,"Vencida",IF(COUNTIFS(Cobranza!$C$9:$C$1008,B422,Cobranza!$N$9:$N$1008,"Parcial")&gt;0,"Parcial",IF(COUNTIFS(Cobranza!$C$9:$C$1008,B422,Cobranza!$N$9:$N$1008,"Pendiente")&gt;0,"Pendiente",IF(COUNTIFS(Cobranza!$C$9:$C$1008,B422,Cobranza!$N$9:$N$1008,"Pagada")&gt;0,"Pagada","")))))</f>
        <v/>
      </c>
      <c r="N422" s="33" t="str">
        <f t="shared" ca="1" si="6"/>
        <v/>
      </c>
      <c r="O422" s="23"/>
      <c r="P422" s="7" t="str">
        <f ca="1">IF(AND(B422&lt;&gt;"",F422&lt;&gt;"Cerrada",F422&lt;&gt;"Perdida",N422&lt;&gt;"",N422&gt;14),COUNTIFS($F$8:$F422,"&lt;&gt;Cerrada",$F$8:$F422,"&lt;&gt;Perdida",$N$8:$N422,"&gt;14"),"")</f>
        <v/>
      </c>
      <c r="Q422" s="8"/>
      <c r="R422" s="9"/>
      <c r="S422" s="10"/>
    </row>
    <row r="423" spans="2:19" ht="21.75" customHeight="1" x14ac:dyDescent="0.25">
      <c r="B423" s="24"/>
      <c r="C423" s="24"/>
      <c r="D423" s="24"/>
      <c r="E423" s="24"/>
      <c r="F423" s="38"/>
      <c r="G423" s="27"/>
      <c r="H423" s="24"/>
      <c r="I423" s="27"/>
      <c r="J423" s="26"/>
      <c r="K423" s="24"/>
      <c r="L423" s="24"/>
      <c r="M423" s="24" t="str">
        <f>IF(B423="","",IF(COUNTIFS(Cobranza!$C$9:$C$1008,B423,Cobranza!$N$9:$N$1008,"Vencida")&gt;0,"Vencida",IF(COUNTIFS(Cobranza!$C$9:$C$1008,B423,Cobranza!$N$9:$N$1008,"Parcial")&gt;0,"Parcial",IF(COUNTIFS(Cobranza!$C$9:$C$1008,B423,Cobranza!$N$9:$N$1008,"Pendiente")&gt;0,"Pendiente",IF(COUNTIFS(Cobranza!$C$9:$C$1008,B423,Cobranza!$N$9:$N$1008,"Pagada")&gt;0,"Pagada","")))))</f>
        <v/>
      </c>
      <c r="N423" s="33" t="str">
        <f t="shared" ca="1" si="6"/>
        <v/>
      </c>
      <c r="O423" s="23"/>
      <c r="P423" s="7" t="str">
        <f ca="1">IF(AND(B423&lt;&gt;"",F423&lt;&gt;"Cerrada",F423&lt;&gt;"Perdida",N423&lt;&gt;"",N423&gt;14),COUNTIFS($F$8:$F423,"&lt;&gt;Cerrada",$F$8:$F423,"&lt;&gt;Perdida",$N$8:$N423,"&gt;14"),"")</f>
        <v/>
      </c>
      <c r="Q423" s="8"/>
      <c r="R423" s="9"/>
      <c r="S423" s="10"/>
    </row>
    <row r="424" spans="2:19" ht="21.75" customHeight="1" x14ac:dyDescent="0.25">
      <c r="B424" s="24"/>
      <c r="C424" s="24"/>
      <c r="D424" s="24"/>
      <c r="E424" s="24"/>
      <c r="F424" s="38"/>
      <c r="G424" s="27"/>
      <c r="H424" s="24"/>
      <c r="I424" s="27"/>
      <c r="J424" s="26"/>
      <c r="K424" s="24"/>
      <c r="L424" s="24"/>
      <c r="M424" s="24" t="str">
        <f>IF(B424="","",IF(COUNTIFS(Cobranza!$C$9:$C$1008,B424,Cobranza!$N$9:$N$1008,"Vencida")&gt;0,"Vencida",IF(COUNTIFS(Cobranza!$C$9:$C$1008,B424,Cobranza!$N$9:$N$1008,"Parcial")&gt;0,"Parcial",IF(COUNTIFS(Cobranza!$C$9:$C$1008,B424,Cobranza!$N$9:$N$1008,"Pendiente")&gt;0,"Pendiente",IF(COUNTIFS(Cobranza!$C$9:$C$1008,B424,Cobranza!$N$9:$N$1008,"Pagada")&gt;0,"Pagada","")))))</f>
        <v/>
      </c>
      <c r="N424" s="33" t="str">
        <f t="shared" ca="1" si="6"/>
        <v/>
      </c>
      <c r="O424" s="23"/>
      <c r="P424" s="7" t="str">
        <f ca="1">IF(AND(B424&lt;&gt;"",F424&lt;&gt;"Cerrada",F424&lt;&gt;"Perdida",N424&lt;&gt;"",N424&gt;14),COUNTIFS($F$8:$F424,"&lt;&gt;Cerrada",$F$8:$F424,"&lt;&gt;Perdida",$N$8:$N424,"&gt;14"),"")</f>
        <v/>
      </c>
      <c r="Q424" s="8"/>
      <c r="R424" s="9"/>
      <c r="S424" s="10"/>
    </row>
    <row r="425" spans="2:19" ht="21.75" customHeight="1" x14ac:dyDescent="0.25">
      <c r="B425" s="24"/>
      <c r="C425" s="24"/>
      <c r="D425" s="24"/>
      <c r="E425" s="24"/>
      <c r="F425" s="38"/>
      <c r="G425" s="27"/>
      <c r="H425" s="24"/>
      <c r="I425" s="27"/>
      <c r="J425" s="26"/>
      <c r="K425" s="24"/>
      <c r="L425" s="24"/>
      <c r="M425" s="24" t="str">
        <f>IF(B425="","",IF(COUNTIFS(Cobranza!$C$9:$C$1008,B425,Cobranza!$N$9:$N$1008,"Vencida")&gt;0,"Vencida",IF(COUNTIFS(Cobranza!$C$9:$C$1008,B425,Cobranza!$N$9:$N$1008,"Parcial")&gt;0,"Parcial",IF(COUNTIFS(Cobranza!$C$9:$C$1008,B425,Cobranza!$N$9:$N$1008,"Pendiente")&gt;0,"Pendiente",IF(COUNTIFS(Cobranza!$C$9:$C$1008,B425,Cobranza!$N$9:$N$1008,"Pagada")&gt;0,"Pagada","")))))</f>
        <v/>
      </c>
      <c r="N425" s="33" t="str">
        <f t="shared" ca="1" si="6"/>
        <v/>
      </c>
      <c r="O425" s="23"/>
      <c r="P425" s="7" t="str">
        <f ca="1">IF(AND(B425&lt;&gt;"",F425&lt;&gt;"Cerrada",F425&lt;&gt;"Perdida",N425&lt;&gt;"",N425&gt;14),COUNTIFS($F$8:$F425,"&lt;&gt;Cerrada",$F$8:$F425,"&lt;&gt;Perdida",$N$8:$N425,"&gt;14"),"")</f>
        <v/>
      </c>
      <c r="Q425" s="8"/>
      <c r="R425" s="9"/>
      <c r="S425" s="10"/>
    </row>
    <row r="426" spans="2:19" ht="21.75" customHeight="1" x14ac:dyDescent="0.25">
      <c r="B426" s="24"/>
      <c r="C426" s="24"/>
      <c r="D426" s="24"/>
      <c r="E426" s="24"/>
      <c r="F426" s="38"/>
      <c r="G426" s="27"/>
      <c r="H426" s="24"/>
      <c r="I426" s="27"/>
      <c r="J426" s="26"/>
      <c r="K426" s="24"/>
      <c r="L426" s="24"/>
      <c r="M426" s="24" t="str">
        <f>IF(B426="","",IF(COUNTIFS(Cobranza!$C$9:$C$1008,B426,Cobranza!$N$9:$N$1008,"Vencida")&gt;0,"Vencida",IF(COUNTIFS(Cobranza!$C$9:$C$1008,B426,Cobranza!$N$9:$N$1008,"Parcial")&gt;0,"Parcial",IF(COUNTIFS(Cobranza!$C$9:$C$1008,B426,Cobranza!$N$9:$N$1008,"Pendiente")&gt;0,"Pendiente",IF(COUNTIFS(Cobranza!$C$9:$C$1008,B426,Cobranza!$N$9:$N$1008,"Pagada")&gt;0,"Pagada","")))))</f>
        <v/>
      </c>
      <c r="N426" s="33" t="str">
        <f t="shared" ca="1" si="6"/>
        <v/>
      </c>
      <c r="O426" s="23"/>
      <c r="P426" s="7" t="str">
        <f ca="1">IF(AND(B426&lt;&gt;"",F426&lt;&gt;"Cerrada",F426&lt;&gt;"Perdida",N426&lt;&gt;"",N426&gt;14),COUNTIFS($F$8:$F426,"&lt;&gt;Cerrada",$F$8:$F426,"&lt;&gt;Perdida",$N$8:$N426,"&gt;14"),"")</f>
        <v/>
      </c>
      <c r="Q426" s="8"/>
      <c r="R426" s="9"/>
      <c r="S426" s="10"/>
    </row>
    <row r="427" spans="2:19" ht="21.75" customHeight="1" x14ac:dyDescent="0.25">
      <c r="B427" s="24"/>
      <c r="C427" s="24"/>
      <c r="D427" s="24"/>
      <c r="E427" s="24"/>
      <c r="F427" s="38"/>
      <c r="G427" s="27"/>
      <c r="H427" s="24"/>
      <c r="I427" s="27"/>
      <c r="J427" s="26"/>
      <c r="K427" s="24"/>
      <c r="L427" s="24"/>
      <c r="M427" s="24" t="str">
        <f>IF(B427="","",IF(COUNTIFS(Cobranza!$C$9:$C$1008,B427,Cobranza!$N$9:$N$1008,"Vencida")&gt;0,"Vencida",IF(COUNTIFS(Cobranza!$C$9:$C$1008,B427,Cobranza!$N$9:$N$1008,"Parcial")&gt;0,"Parcial",IF(COUNTIFS(Cobranza!$C$9:$C$1008,B427,Cobranza!$N$9:$N$1008,"Pendiente")&gt;0,"Pendiente",IF(COUNTIFS(Cobranza!$C$9:$C$1008,B427,Cobranza!$N$9:$N$1008,"Pagada")&gt;0,"Pagada","")))))</f>
        <v/>
      </c>
      <c r="N427" s="33" t="str">
        <f t="shared" ca="1" si="6"/>
        <v/>
      </c>
      <c r="O427" s="23"/>
      <c r="P427" s="7" t="str">
        <f ca="1">IF(AND(B427&lt;&gt;"",F427&lt;&gt;"Cerrada",F427&lt;&gt;"Perdida",N427&lt;&gt;"",N427&gt;14),COUNTIFS($F$8:$F427,"&lt;&gt;Cerrada",$F$8:$F427,"&lt;&gt;Perdida",$N$8:$N427,"&gt;14"),"")</f>
        <v/>
      </c>
      <c r="Q427" s="8"/>
      <c r="R427" s="9"/>
      <c r="S427" s="10"/>
    </row>
    <row r="428" spans="2:19" ht="21.75" customHeight="1" x14ac:dyDescent="0.25">
      <c r="B428" s="24"/>
      <c r="C428" s="24"/>
      <c r="D428" s="24"/>
      <c r="E428" s="24"/>
      <c r="F428" s="38"/>
      <c r="G428" s="27"/>
      <c r="H428" s="24"/>
      <c r="I428" s="27"/>
      <c r="J428" s="26"/>
      <c r="K428" s="24"/>
      <c r="L428" s="24"/>
      <c r="M428" s="24" t="str">
        <f>IF(B428="","",IF(COUNTIFS(Cobranza!$C$9:$C$1008,B428,Cobranza!$N$9:$N$1008,"Vencida")&gt;0,"Vencida",IF(COUNTIFS(Cobranza!$C$9:$C$1008,B428,Cobranza!$N$9:$N$1008,"Parcial")&gt;0,"Parcial",IF(COUNTIFS(Cobranza!$C$9:$C$1008,B428,Cobranza!$N$9:$N$1008,"Pendiente")&gt;0,"Pendiente",IF(COUNTIFS(Cobranza!$C$9:$C$1008,B428,Cobranza!$N$9:$N$1008,"Pagada")&gt;0,"Pagada","")))))</f>
        <v/>
      </c>
      <c r="N428" s="33" t="str">
        <f t="shared" ca="1" si="6"/>
        <v/>
      </c>
      <c r="O428" s="23"/>
      <c r="P428" s="7" t="str">
        <f ca="1">IF(AND(B428&lt;&gt;"",F428&lt;&gt;"Cerrada",F428&lt;&gt;"Perdida",N428&lt;&gt;"",N428&gt;14),COUNTIFS($F$8:$F428,"&lt;&gt;Cerrada",$F$8:$F428,"&lt;&gt;Perdida",$N$8:$N428,"&gt;14"),"")</f>
        <v/>
      </c>
      <c r="Q428" s="8"/>
      <c r="R428" s="9"/>
      <c r="S428" s="10"/>
    </row>
    <row r="429" spans="2:19" ht="21.75" customHeight="1" x14ac:dyDescent="0.25">
      <c r="B429" s="24"/>
      <c r="C429" s="24"/>
      <c r="D429" s="24"/>
      <c r="E429" s="24"/>
      <c r="F429" s="38"/>
      <c r="G429" s="27"/>
      <c r="H429" s="24"/>
      <c r="I429" s="27"/>
      <c r="J429" s="26"/>
      <c r="K429" s="24"/>
      <c r="L429" s="24"/>
      <c r="M429" s="24" t="str">
        <f>IF(B429="","",IF(COUNTIFS(Cobranza!$C$9:$C$1008,B429,Cobranza!$N$9:$N$1008,"Vencida")&gt;0,"Vencida",IF(COUNTIFS(Cobranza!$C$9:$C$1008,B429,Cobranza!$N$9:$N$1008,"Parcial")&gt;0,"Parcial",IF(COUNTIFS(Cobranza!$C$9:$C$1008,B429,Cobranza!$N$9:$N$1008,"Pendiente")&gt;0,"Pendiente",IF(COUNTIFS(Cobranza!$C$9:$C$1008,B429,Cobranza!$N$9:$N$1008,"Pagada")&gt;0,"Pagada","")))))</f>
        <v/>
      </c>
      <c r="N429" s="33" t="str">
        <f t="shared" ca="1" si="6"/>
        <v/>
      </c>
      <c r="O429" s="23"/>
      <c r="P429" s="7" t="str">
        <f ca="1">IF(AND(B429&lt;&gt;"",F429&lt;&gt;"Cerrada",F429&lt;&gt;"Perdida",N429&lt;&gt;"",N429&gt;14),COUNTIFS($F$8:$F429,"&lt;&gt;Cerrada",$F$8:$F429,"&lt;&gt;Perdida",$N$8:$N429,"&gt;14"),"")</f>
        <v/>
      </c>
      <c r="Q429" s="8"/>
      <c r="R429" s="9"/>
      <c r="S429" s="10"/>
    </row>
    <row r="430" spans="2:19" ht="21.75" customHeight="1" x14ac:dyDescent="0.25">
      <c r="B430" s="24"/>
      <c r="C430" s="24"/>
      <c r="D430" s="24"/>
      <c r="E430" s="24"/>
      <c r="F430" s="38"/>
      <c r="G430" s="27"/>
      <c r="H430" s="24"/>
      <c r="I430" s="27"/>
      <c r="J430" s="26"/>
      <c r="K430" s="24"/>
      <c r="L430" s="24"/>
      <c r="M430" s="24" t="str">
        <f>IF(B430="","",IF(COUNTIFS(Cobranza!$C$9:$C$1008,B430,Cobranza!$N$9:$N$1008,"Vencida")&gt;0,"Vencida",IF(COUNTIFS(Cobranza!$C$9:$C$1008,B430,Cobranza!$N$9:$N$1008,"Parcial")&gt;0,"Parcial",IF(COUNTIFS(Cobranza!$C$9:$C$1008,B430,Cobranza!$N$9:$N$1008,"Pendiente")&gt;0,"Pendiente",IF(COUNTIFS(Cobranza!$C$9:$C$1008,B430,Cobranza!$N$9:$N$1008,"Pagada")&gt;0,"Pagada","")))))</f>
        <v/>
      </c>
      <c r="N430" s="33" t="str">
        <f t="shared" ca="1" si="6"/>
        <v/>
      </c>
      <c r="O430" s="23"/>
      <c r="P430" s="7" t="str">
        <f ca="1">IF(AND(B430&lt;&gt;"",F430&lt;&gt;"Cerrada",F430&lt;&gt;"Perdida",N430&lt;&gt;"",N430&gt;14),COUNTIFS($F$8:$F430,"&lt;&gt;Cerrada",$F$8:$F430,"&lt;&gt;Perdida",$N$8:$N430,"&gt;14"),"")</f>
        <v/>
      </c>
      <c r="Q430" s="8"/>
      <c r="R430" s="9"/>
      <c r="S430" s="10"/>
    </row>
    <row r="431" spans="2:19" ht="21.75" customHeight="1" x14ac:dyDescent="0.25">
      <c r="B431" s="24"/>
      <c r="C431" s="24"/>
      <c r="D431" s="24"/>
      <c r="E431" s="24"/>
      <c r="F431" s="38"/>
      <c r="G431" s="27"/>
      <c r="H431" s="24"/>
      <c r="I431" s="27"/>
      <c r="J431" s="26"/>
      <c r="K431" s="24"/>
      <c r="L431" s="24"/>
      <c r="M431" s="24" t="str">
        <f>IF(B431="","",IF(COUNTIFS(Cobranza!$C$9:$C$1008,B431,Cobranza!$N$9:$N$1008,"Vencida")&gt;0,"Vencida",IF(COUNTIFS(Cobranza!$C$9:$C$1008,B431,Cobranza!$N$9:$N$1008,"Parcial")&gt;0,"Parcial",IF(COUNTIFS(Cobranza!$C$9:$C$1008,B431,Cobranza!$N$9:$N$1008,"Pendiente")&gt;0,"Pendiente",IF(COUNTIFS(Cobranza!$C$9:$C$1008,B431,Cobranza!$N$9:$N$1008,"Pagada")&gt;0,"Pagada","")))))</f>
        <v/>
      </c>
      <c r="N431" s="33" t="str">
        <f t="shared" ca="1" si="6"/>
        <v/>
      </c>
      <c r="O431" s="23"/>
      <c r="P431" s="7" t="str">
        <f ca="1">IF(AND(B431&lt;&gt;"",F431&lt;&gt;"Cerrada",F431&lt;&gt;"Perdida",N431&lt;&gt;"",N431&gt;14),COUNTIFS($F$8:$F431,"&lt;&gt;Cerrada",$F$8:$F431,"&lt;&gt;Perdida",$N$8:$N431,"&gt;14"),"")</f>
        <v/>
      </c>
      <c r="Q431" s="8"/>
      <c r="R431" s="9"/>
      <c r="S431" s="10"/>
    </row>
    <row r="432" spans="2:19" ht="21.75" customHeight="1" x14ac:dyDescent="0.25">
      <c r="B432" s="24"/>
      <c r="C432" s="24"/>
      <c r="D432" s="24"/>
      <c r="E432" s="24"/>
      <c r="F432" s="38"/>
      <c r="G432" s="27"/>
      <c r="H432" s="24"/>
      <c r="I432" s="27"/>
      <c r="J432" s="26"/>
      <c r="K432" s="24"/>
      <c r="L432" s="24"/>
      <c r="M432" s="24" t="str">
        <f>IF(B432="","",IF(COUNTIFS(Cobranza!$C$9:$C$1008,B432,Cobranza!$N$9:$N$1008,"Vencida")&gt;0,"Vencida",IF(COUNTIFS(Cobranza!$C$9:$C$1008,B432,Cobranza!$N$9:$N$1008,"Parcial")&gt;0,"Parcial",IF(COUNTIFS(Cobranza!$C$9:$C$1008,B432,Cobranza!$N$9:$N$1008,"Pendiente")&gt;0,"Pendiente",IF(COUNTIFS(Cobranza!$C$9:$C$1008,B432,Cobranza!$N$9:$N$1008,"Pagada")&gt;0,"Pagada","")))))</f>
        <v/>
      </c>
      <c r="N432" s="33" t="str">
        <f t="shared" ca="1" si="6"/>
        <v/>
      </c>
      <c r="O432" s="23"/>
      <c r="P432" s="7" t="str">
        <f ca="1">IF(AND(B432&lt;&gt;"",F432&lt;&gt;"Cerrada",F432&lt;&gt;"Perdida",N432&lt;&gt;"",N432&gt;14),COUNTIFS($F$8:$F432,"&lt;&gt;Cerrada",$F$8:$F432,"&lt;&gt;Perdida",$N$8:$N432,"&gt;14"),"")</f>
        <v/>
      </c>
      <c r="Q432" s="8"/>
      <c r="R432" s="9"/>
      <c r="S432" s="10"/>
    </row>
    <row r="433" spans="2:19" ht="21.75" customHeight="1" x14ac:dyDescent="0.25">
      <c r="B433" s="24"/>
      <c r="C433" s="24"/>
      <c r="D433" s="24"/>
      <c r="E433" s="24"/>
      <c r="F433" s="38"/>
      <c r="G433" s="27"/>
      <c r="H433" s="24"/>
      <c r="I433" s="27"/>
      <c r="J433" s="26"/>
      <c r="K433" s="24"/>
      <c r="L433" s="24"/>
      <c r="M433" s="24" t="str">
        <f>IF(B433="","",IF(COUNTIFS(Cobranza!$C$9:$C$1008,B433,Cobranza!$N$9:$N$1008,"Vencida")&gt;0,"Vencida",IF(COUNTIFS(Cobranza!$C$9:$C$1008,B433,Cobranza!$N$9:$N$1008,"Parcial")&gt;0,"Parcial",IF(COUNTIFS(Cobranza!$C$9:$C$1008,B433,Cobranza!$N$9:$N$1008,"Pendiente")&gt;0,"Pendiente",IF(COUNTIFS(Cobranza!$C$9:$C$1008,B433,Cobranza!$N$9:$N$1008,"Pagada")&gt;0,"Pagada","")))))</f>
        <v/>
      </c>
      <c r="N433" s="33" t="str">
        <f t="shared" ca="1" si="6"/>
        <v/>
      </c>
      <c r="O433" s="23"/>
      <c r="P433" s="7" t="str">
        <f ca="1">IF(AND(B433&lt;&gt;"",F433&lt;&gt;"Cerrada",F433&lt;&gt;"Perdida",N433&lt;&gt;"",N433&gt;14),COUNTIFS($F$8:$F433,"&lt;&gt;Cerrada",$F$8:$F433,"&lt;&gt;Perdida",$N$8:$N433,"&gt;14"),"")</f>
        <v/>
      </c>
      <c r="Q433" s="8"/>
      <c r="R433" s="9"/>
      <c r="S433" s="10"/>
    </row>
    <row r="434" spans="2:19" ht="21.75" customHeight="1" x14ac:dyDescent="0.25">
      <c r="B434" s="24"/>
      <c r="C434" s="24"/>
      <c r="D434" s="24"/>
      <c r="E434" s="24"/>
      <c r="F434" s="38"/>
      <c r="G434" s="27"/>
      <c r="H434" s="24"/>
      <c r="I434" s="27"/>
      <c r="J434" s="26"/>
      <c r="K434" s="24"/>
      <c r="L434" s="24"/>
      <c r="M434" s="24" t="str">
        <f>IF(B434="","",IF(COUNTIFS(Cobranza!$C$9:$C$1008,B434,Cobranza!$N$9:$N$1008,"Vencida")&gt;0,"Vencida",IF(COUNTIFS(Cobranza!$C$9:$C$1008,B434,Cobranza!$N$9:$N$1008,"Parcial")&gt;0,"Parcial",IF(COUNTIFS(Cobranza!$C$9:$C$1008,B434,Cobranza!$N$9:$N$1008,"Pendiente")&gt;0,"Pendiente",IF(COUNTIFS(Cobranza!$C$9:$C$1008,B434,Cobranza!$N$9:$N$1008,"Pagada")&gt;0,"Pagada","")))))</f>
        <v/>
      </c>
      <c r="N434" s="33" t="str">
        <f t="shared" ca="1" si="6"/>
        <v/>
      </c>
      <c r="O434" s="23"/>
      <c r="P434" s="7" t="str">
        <f ca="1">IF(AND(B434&lt;&gt;"",F434&lt;&gt;"Cerrada",F434&lt;&gt;"Perdida",N434&lt;&gt;"",N434&gt;14),COUNTIFS($F$8:$F434,"&lt;&gt;Cerrada",$F$8:$F434,"&lt;&gt;Perdida",$N$8:$N434,"&gt;14"),"")</f>
        <v/>
      </c>
      <c r="Q434" s="8"/>
      <c r="R434" s="9"/>
      <c r="S434" s="10"/>
    </row>
    <row r="435" spans="2:19" ht="21.75" customHeight="1" x14ac:dyDescent="0.25">
      <c r="B435" s="24"/>
      <c r="C435" s="24"/>
      <c r="D435" s="24"/>
      <c r="E435" s="24"/>
      <c r="F435" s="38"/>
      <c r="G435" s="27"/>
      <c r="H435" s="24"/>
      <c r="I435" s="27"/>
      <c r="J435" s="26"/>
      <c r="K435" s="24"/>
      <c r="L435" s="24"/>
      <c r="M435" s="24" t="str">
        <f>IF(B435="","",IF(COUNTIFS(Cobranza!$C$9:$C$1008,B435,Cobranza!$N$9:$N$1008,"Vencida")&gt;0,"Vencida",IF(COUNTIFS(Cobranza!$C$9:$C$1008,B435,Cobranza!$N$9:$N$1008,"Parcial")&gt;0,"Parcial",IF(COUNTIFS(Cobranza!$C$9:$C$1008,B435,Cobranza!$N$9:$N$1008,"Pendiente")&gt;0,"Pendiente",IF(COUNTIFS(Cobranza!$C$9:$C$1008,B435,Cobranza!$N$9:$N$1008,"Pagada")&gt;0,"Pagada","")))))</f>
        <v/>
      </c>
      <c r="N435" s="33" t="str">
        <f t="shared" ca="1" si="6"/>
        <v/>
      </c>
      <c r="O435" s="23"/>
      <c r="P435" s="7" t="str">
        <f ca="1">IF(AND(B435&lt;&gt;"",F435&lt;&gt;"Cerrada",F435&lt;&gt;"Perdida",N435&lt;&gt;"",N435&gt;14),COUNTIFS($F$8:$F435,"&lt;&gt;Cerrada",$F$8:$F435,"&lt;&gt;Perdida",$N$8:$N435,"&gt;14"),"")</f>
        <v/>
      </c>
      <c r="Q435" s="8"/>
      <c r="R435" s="9"/>
      <c r="S435" s="10"/>
    </row>
    <row r="436" spans="2:19" ht="21.75" customHeight="1" x14ac:dyDescent="0.25">
      <c r="B436" s="24"/>
      <c r="C436" s="24"/>
      <c r="D436" s="24"/>
      <c r="E436" s="24"/>
      <c r="F436" s="38"/>
      <c r="G436" s="27"/>
      <c r="H436" s="24"/>
      <c r="I436" s="27"/>
      <c r="J436" s="26"/>
      <c r="K436" s="24"/>
      <c r="L436" s="24"/>
      <c r="M436" s="24" t="str">
        <f>IF(B436="","",IF(COUNTIFS(Cobranza!$C$9:$C$1008,B436,Cobranza!$N$9:$N$1008,"Vencida")&gt;0,"Vencida",IF(COUNTIFS(Cobranza!$C$9:$C$1008,B436,Cobranza!$N$9:$N$1008,"Parcial")&gt;0,"Parcial",IF(COUNTIFS(Cobranza!$C$9:$C$1008,B436,Cobranza!$N$9:$N$1008,"Pendiente")&gt;0,"Pendiente",IF(COUNTIFS(Cobranza!$C$9:$C$1008,B436,Cobranza!$N$9:$N$1008,"Pagada")&gt;0,"Pagada","")))))</f>
        <v/>
      </c>
      <c r="N436" s="33" t="str">
        <f t="shared" ca="1" si="6"/>
        <v/>
      </c>
      <c r="O436" s="23"/>
      <c r="P436" s="7" t="str">
        <f ca="1">IF(AND(B436&lt;&gt;"",F436&lt;&gt;"Cerrada",F436&lt;&gt;"Perdida",N436&lt;&gt;"",N436&gt;14),COUNTIFS($F$8:$F436,"&lt;&gt;Cerrada",$F$8:$F436,"&lt;&gt;Perdida",$N$8:$N436,"&gt;14"),"")</f>
        <v/>
      </c>
      <c r="Q436" s="8"/>
      <c r="R436" s="9"/>
      <c r="S436" s="10"/>
    </row>
    <row r="437" spans="2:19" ht="21.75" customHeight="1" x14ac:dyDescent="0.25">
      <c r="B437" s="24"/>
      <c r="C437" s="24"/>
      <c r="D437" s="24"/>
      <c r="E437" s="24"/>
      <c r="F437" s="38"/>
      <c r="G437" s="27"/>
      <c r="H437" s="24"/>
      <c r="I437" s="27"/>
      <c r="J437" s="26"/>
      <c r="K437" s="24"/>
      <c r="L437" s="24"/>
      <c r="M437" s="24" t="str">
        <f>IF(B437="","",IF(COUNTIFS(Cobranza!$C$9:$C$1008,B437,Cobranza!$N$9:$N$1008,"Vencida")&gt;0,"Vencida",IF(COUNTIFS(Cobranza!$C$9:$C$1008,B437,Cobranza!$N$9:$N$1008,"Parcial")&gt;0,"Parcial",IF(COUNTIFS(Cobranza!$C$9:$C$1008,B437,Cobranza!$N$9:$N$1008,"Pendiente")&gt;0,"Pendiente",IF(COUNTIFS(Cobranza!$C$9:$C$1008,B437,Cobranza!$N$9:$N$1008,"Pagada")&gt;0,"Pagada","")))))</f>
        <v/>
      </c>
      <c r="N437" s="33" t="str">
        <f t="shared" ca="1" si="6"/>
        <v/>
      </c>
      <c r="O437" s="23"/>
      <c r="P437" s="7" t="str">
        <f ca="1">IF(AND(B437&lt;&gt;"",F437&lt;&gt;"Cerrada",F437&lt;&gt;"Perdida",N437&lt;&gt;"",N437&gt;14),COUNTIFS($F$8:$F437,"&lt;&gt;Cerrada",$F$8:$F437,"&lt;&gt;Perdida",$N$8:$N437,"&gt;14"),"")</f>
        <v/>
      </c>
      <c r="Q437" s="8"/>
      <c r="R437" s="9"/>
      <c r="S437" s="10"/>
    </row>
    <row r="438" spans="2:19" ht="21.75" customHeight="1" x14ac:dyDescent="0.25">
      <c r="B438" s="24"/>
      <c r="C438" s="24"/>
      <c r="D438" s="24"/>
      <c r="E438" s="24"/>
      <c r="F438" s="38"/>
      <c r="G438" s="27"/>
      <c r="H438" s="24"/>
      <c r="I438" s="27"/>
      <c r="J438" s="26"/>
      <c r="K438" s="24"/>
      <c r="L438" s="24"/>
      <c r="M438" s="24" t="str">
        <f>IF(B438="","",IF(COUNTIFS(Cobranza!$C$9:$C$1008,B438,Cobranza!$N$9:$N$1008,"Vencida")&gt;0,"Vencida",IF(COUNTIFS(Cobranza!$C$9:$C$1008,B438,Cobranza!$N$9:$N$1008,"Parcial")&gt;0,"Parcial",IF(COUNTIFS(Cobranza!$C$9:$C$1008,B438,Cobranza!$N$9:$N$1008,"Pendiente")&gt;0,"Pendiente",IF(COUNTIFS(Cobranza!$C$9:$C$1008,B438,Cobranza!$N$9:$N$1008,"Pagada")&gt;0,"Pagada","")))))</f>
        <v/>
      </c>
      <c r="N438" s="33" t="str">
        <f t="shared" ca="1" si="6"/>
        <v/>
      </c>
      <c r="O438" s="23"/>
      <c r="P438" s="7" t="str">
        <f ca="1">IF(AND(B438&lt;&gt;"",F438&lt;&gt;"Cerrada",F438&lt;&gt;"Perdida",N438&lt;&gt;"",N438&gt;14),COUNTIFS($F$8:$F438,"&lt;&gt;Cerrada",$F$8:$F438,"&lt;&gt;Perdida",$N$8:$N438,"&gt;14"),"")</f>
        <v/>
      </c>
      <c r="Q438" s="8"/>
      <c r="R438" s="9"/>
      <c r="S438" s="10"/>
    </row>
    <row r="439" spans="2:19" ht="21.75" customHeight="1" x14ac:dyDescent="0.25">
      <c r="B439" s="24"/>
      <c r="C439" s="24"/>
      <c r="D439" s="24"/>
      <c r="E439" s="24"/>
      <c r="F439" s="38"/>
      <c r="G439" s="27"/>
      <c r="H439" s="24"/>
      <c r="I439" s="27"/>
      <c r="J439" s="26"/>
      <c r="K439" s="24"/>
      <c r="L439" s="24"/>
      <c r="M439" s="24" t="str">
        <f>IF(B439="","",IF(COUNTIFS(Cobranza!$C$9:$C$1008,B439,Cobranza!$N$9:$N$1008,"Vencida")&gt;0,"Vencida",IF(COUNTIFS(Cobranza!$C$9:$C$1008,B439,Cobranza!$N$9:$N$1008,"Parcial")&gt;0,"Parcial",IF(COUNTIFS(Cobranza!$C$9:$C$1008,B439,Cobranza!$N$9:$N$1008,"Pendiente")&gt;0,"Pendiente",IF(COUNTIFS(Cobranza!$C$9:$C$1008,B439,Cobranza!$N$9:$N$1008,"Pagada")&gt;0,"Pagada","")))))</f>
        <v/>
      </c>
      <c r="N439" s="33" t="str">
        <f t="shared" ca="1" si="6"/>
        <v/>
      </c>
      <c r="O439" s="23"/>
      <c r="P439" s="7" t="str">
        <f ca="1">IF(AND(B439&lt;&gt;"",F439&lt;&gt;"Cerrada",F439&lt;&gt;"Perdida",N439&lt;&gt;"",N439&gt;14),COUNTIFS($F$8:$F439,"&lt;&gt;Cerrada",$F$8:$F439,"&lt;&gt;Perdida",$N$8:$N439,"&gt;14"),"")</f>
        <v/>
      </c>
      <c r="Q439" s="8"/>
      <c r="R439" s="9"/>
      <c r="S439" s="10"/>
    </row>
    <row r="440" spans="2:19" ht="21.75" customHeight="1" x14ac:dyDescent="0.25">
      <c r="B440" s="24"/>
      <c r="C440" s="24"/>
      <c r="D440" s="24"/>
      <c r="E440" s="24"/>
      <c r="F440" s="38"/>
      <c r="G440" s="27"/>
      <c r="H440" s="24"/>
      <c r="I440" s="27"/>
      <c r="J440" s="26"/>
      <c r="K440" s="24"/>
      <c r="L440" s="24"/>
      <c r="M440" s="24" t="str">
        <f>IF(B440="","",IF(COUNTIFS(Cobranza!$C$9:$C$1008,B440,Cobranza!$N$9:$N$1008,"Vencida")&gt;0,"Vencida",IF(COUNTIFS(Cobranza!$C$9:$C$1008,B440,Cobranza!$N$9:$N$1008,"Parcial")&gt;0,"Parcial",IF(COUNTIFS(Cobranza!$C$9:$C$1008,B440,Cobranza!$N$9:$N$1008,"Pendiente")&gt;0,"Pendiente",IF(COUNTIFS(Cobranza!$C$9:$C$1008,B440,Cobranza!$N$9:$N$1008,"Pagada")&gt;0,"Pagada","")))))</f>
        <v/>
      </c>
      <c r="N440" s="33" t="str">
        <f t="shared" ca="1" si="6"/>
        <v/>
      </c>
      <c r="O440" s="23"/>
      <c r="P440" s="7" t="str">
        <f ca="1">IF(AND(B440&lt;&gt;"",F440&lt;&gt;"Cerrada",F440&lt;&gt;"Perdida",N440&lt;&gt;"",N440&gt;14),COUNTIFS($F$8:$F440,"&lt;&gt;Cerrada",$F$8:$F440,"&lt;&gt;Perdida",$N$8:$N440,"&gt;14"),"")</f>
        <v/>
      </c>
      <c r="Q440" s="8"/>
      <c r="R440" s="9"/>
      <c r="S440" s="10"/>
    </row>
    <row r="441" spans="2:19" ht="21.75" customHeight="1" x14ac:dyDescent="0.25">
      <c r="B441" s="24"/>
      <c r="C441" s="24"/>
      <c r="D441" s="24"/>
      <c r="E441" s="24"/>
      <c r="F441" s="38"/>
      <c r="G441" s="27"/>
      <c r="H441" s="24"/>
      <c r="I441" s="27"/>
      <c r="J441" s="26"/>
      <c r="K441" s="24"/>
      <c r="L441" s="24"/>
      <c r="M441" s="24" t="str">
        <f>IF(B441="","",IF(COUNTIFS(Cobranza!$C$9:$C$1008,B441,Cobranza!$N$9:$N$1008,"Vencida")&gt;0,"Vencida",IF(COUNTIFS(Cobranza!$C$9:$C$1008,B441,Cobranza!$N$9:$N$1008,"Parcial")&gt;0,"Parcial",IF(COUNTIFS(Cobranza!$C$9:$C$1008,B441,Cobranza!$N$9:$N$1008,"Pendiente")&gt;0,"Pendiente",IF(COUNTIFS(Cobranza!$C$9:$C$1008,B441,Cobranza!$N$9:$N$1008,"Pagada")&gt;0,"Pagada","")))))</f>
        <v/>
      </c>
      <c r="N441" s="33" t="str">
        <f t="shared" ca="1" si="6"/>
        <v/>
      </c>
      <c r="O441" s="23"/>
      <c r="P441" s="7" t="str">
        <f ca="1">IF(AND(B441&lt;&gt;"",F441&lt;&gt;"Cerrada",F441&lt;&gt;"Perdida",N441&lt;&gt;"",N441&gt;14),COUNTIFS($F$8:$F441,"&lt;&gt;Cerrada",$F$8:$F441,"&lt;&gt;Perdida",$N$8:$N441,"&gt;14"),"")</f>
        <v/>
      </c>
      <c r="Q441" s="8"/>
      <c r="R441" s="9"/>
      <c r="S441" s="10"/>
    </row>
    <row r="442" spans="2:19" ht="21.75" customHeight="1" x14ac:dyDescent="0.25">
      <c r="B442" s="24"/>
      <c r="C442" s="24"/>
      <c r="D442" s="24"/>
      <c r="E442" s="24"/>
      <c r="F442" s="38"/>
      <c r="G442" s="27"/>
      <c r="H442" s="24"/>
      <c r="I442" s="27"/>
      <c r="J442" s="26"/>
      <c r="K442" s="24"/>
      <c r="L442" s="24"/>
      <c r="M442" s="24" t="str">
        <f>IF(B442="","",IF(COUNTIFS(Cobranza!$C$9:$C$1008,B442,Cobranza!$N$9:$N$1008,"Vencida")&gt;0,"Vencida",IF(COUNTIFS(Cobranza!$C$9:$C$1008,B442,Cobranza!$N$9:$N$1008,"Parcial")&gt;0,"Parcial",IF(COUNTIFS(Cobranza!$C$9:$C$1008,B442,Cobranza!$N$9:$N$1008,"Pendiente")&gt;0,"Pendiente",IF(COUNTIFS(Cobranza!$C$9:$C$1008,B442,Cobranza!$N$9:$N$1008,"Pagada")&gt;0,"Pagada","")))))</f>
        <v/>
      </c>
      <c r="N442" s="33" t="str">
        <f t="shared" ca="1" si="6"/>
        <v/>
      </c>
      <c r="O442" s="23"/>
      <c r="P442" s="7" t="str">
        <f ca="1">IF(AND(B442&lt;&gt;"",F442&lt;&gt;"Cerrada",F442&lt;&gt;"Perdida",N442&lt;&gt;"",N442&gt;14),COUNTIFS($F$8:$F442,"&lt;&gt;Cerrada",$F$8:$F442,"&lt;&gt;Perdida",$N$8:$N442,"&gt;14"),"")</f>
        <v/>
      </c>
      <c r="Q442" s="8"/>
      <c r="R442" s="9"/>
      <c r="S442" s="10"/>
    </row>
    <row r="443" spans="2:19" ht="21.75" customHeight="1" x14ac:dyDescent="0.25">
      <c r="B443" s="24"/>
      <c r="C443" s="24"/>
      <c r="D443" s="24"/>
      <c r="E443" s="24"/>
      <c r="F443" s="38"/>
      <c r="G443" s="27"/>
      <c r="H443" s="24"/>
      <c r="I443" s="27"/>
      <c r="J443" s="26"/>
      <c r="K443" s="24"/>
      <c r="L443" s="24"/>
      <c r="M443" s="24" t="str">
        <f>IF(B443="","",IF(COUNTIFS(Cobranza!$C$9:$C$1008,B443,Cobranza!$N$9:$N$1008,"Vencida")&gt;0,"Vencida",IF(COUNTIFS(Cobranza!$C$9:$C$1008,B443,Cobranza!$N$9:$N$1008,"Parcial")&gt;0,"Parcial",IF(COUNTIFS(Cobranza!$C$9:$C$1008,B443,Cobranza!$N$9:$N$1008,"Pendiente")&gt;0,"Pendiente",IF(COUNTIFS(Cobranza!$C$9:$C$1008,B443,Cobranza!$N$9:$N$1008,"Pagada")&gt;0,"Pagada","")))))</f>
        <v/>
      </c>
      <c r="N443" s="33" t="str">
        <f t="shared" ca="1" si="6"/>
        <v/>
      </c>
      <c r="O443" s="23"/>
      <c r="P443" s="7" t="str">
        <f ca="1">IF(AND(B443&lt;&gt;"",F443&lt;&gt;"Cerrada",F443&lt;&gt;"Perdida",N443&lt;&gt;"",N443&gt;14),COUNTIFS($F$8:$F443,"&lt;&gt;Cerrada",$F$8:$F443,"&lt;&gt;Perdida",$N$8:$N443,"&gt;14"),"")</f>
        <v/>
      </c>
      <c r="Q443" s="8"/>
      <c r="R443" s="9"/>
      <c r="S443" s="10"/>
    </row>
    <row r="444" spans="2:19" ht="21.75" customHeight="1" x14ac:dyDescent="0.25">
      <c r="B444" s="24"/>
      <c r="C444" s="24"/>
      <c r="D444" s="24"/>
      <c r="E444" s="24"/>
      <c r="F444" s="38"/>
      <c r="G444" s="27"/>
      <c r="H444" s="24"/>
      <c r="I444" s="27"/>
      <c r="J444" s="26"/>
      <c r="K444" s="24"/>
      <c r="L444" s="24"/>
      <c r="M444" s="24" t="str">
        <f>IF(B444="","",IF(COUNTIFS(Cobranza!$C$9:$C$1008,B444,Cobranza!$N$9:$N$1008,"Vencida")&gt;0,"Vencida",IF(COUNTIFS(Cobranza!$C$9:$C$1008,B444,Cobranza!$N$9:$N$1008,"Parcial")&gt;0,"Parcial",IF(COUNTIFS(Cobranza!$C$9:$C$1008,B444,Cobranza!$N$9:$N$1008,"Pendiente")&gt;0,"Pendiente",IF(COUNTIFS(Cobranza!$C$9:$C$1008,B444,Cobranza!$N$9:$N$1008,"Pagada")&gt;0,"Pagada","")))))</f>
        <v/>
      </c>
      <c r="N444" s="33" t="str">
        <f t="shared" ca="1" si="6"/>
        <v/>
      </c>
      <c r="O444" s="23"/>
      <c r="P444" s="7" t="str">
        <f ca="1">IF(AND(B444&lt;&gt;"",F444&lt;&gt;"Cerrada",F444&lt;&gt;"Perdida",N444&lt;&gt;"",N444&gt;14),COUNTIFS($F$8:$F444,"&lt;&gt;Cerrada",$F$8:$F444,"&lt;&gt;Perdida",$N$8:$N444,"&gt;14"),"")</f>
        <v/>
      </c>
      <c r="Q444" s="8"/>
      <c r="R444" s="9"/>
      <c r="S444" s="10"/>
    </row>
    <row r="445" spans="2:19" ht="21.75" customHeight="1" x14ac:dyDescent="0.25">
      <c r="B445" s="24"/>
      <c r="C445" s="24"/>
      <c r="D445" s="24"/>
      <c r="E445" s="24"/>
      <c r="F445" s="38"/>
      <c r="G445" s="27"/>
      <c r="H445" s="24"/>
      <c r="I445" s="27"/>
      <c r="J445" s="26"/>
      <c r="K445" s="24"/>
      <c r="L445" s="24"/>
      <c r="M445" s="24" t="str">
        <f>IF(B445="","",IF(COUNTIFS(Cobranza!$C$9:$C$1008,B445,Cobranza!$N$9:$N$1008,"Vencida")&gt;0,"Vencida",IF(COUNTIFS(Cobranza!$C$9:$C$1008,B445,Cobranza!$N$9:$N$1008,"Parcial")&gt;0,"Parcial",IF(COUNTIFS(Cobranza!$C$9:$C$1008,B445,Cobranza!$N$9:$N$1008,"Pendiente")&gt;0,"Pendiente",IF(COUNTIFS(Cobranza!$C$9:$C$1008,B445,Cobranza!$N$9:$N$1008,"Pagada")&gt;0,"Pagada","")))))</f>
        <v/>
      </c>
      <c r="N445" s="33" t="str">
        <f t="shared" ca="1" si="6"/>
        <v/>
      </c>
      <c r="O445" s="23"/>
      <c r="P445" s="7" t="str">
        <f ca="1">IF(AND(B445&lt;&gt;"",F445&lt;&gt;"Cerrada",F445&lt;&gt;"Perdida",N445&lt;&gt;"",N445&gt;14),COUNTIFS($F$8:$F445,"&lt;&gt;Cerrada",$F$8:$F445,"&lt;&gt;Perdida",$N$8:$N445,"&gt;14"),"")</f>
        <v/>
      </c>
      <c r="Q445" s="8"/>
      <c r="R445" s="9"/>
      <c r="S445" s="10"/>
    </row>
    <row r="446" spans="2:19" ht="21.75" customHeight="1" x14ac:dyDescent="0.25">
      <c r="B446" s="24"/>
      <c r="C446" s="24"/>
      <c r="D446" s="24"/>
      <c r="E446" s="24"/>
      <c r="F446" s="38"/>
      <c r="G446" s="27"/>
      <c r="H446" s="24"/>
      <c r="I446" s="27"/>
      <c r="J446" s="26"/>
      <c r="K446" s="24"/>
      <c r="L446" s="24"/>
      <c r="M446" s="24" t="str">
        <f>IF(B446="","",IF(COUNTIFS(Cobranza!$C$9:$C$1008,B446,Cobranza!$N$9:$N$1008,"Vencida")&gt;0,"Vencida",IF(COUNTIFS(Cobranza!$C$9:$C$1008,B446,Cobranza!$N$9:$N$1008,"Parcial")&gt;0,"Parcial",IF(COUNTIFS(Cobranza!$C$9:$C$1008,B446,Cobranza!$N$9:$N$1008,"Pendiente")&gt;0,"Pendiente",IF(COUNTIFS(Cobranza!$C$9:$C$1008,B446,Cobranza!$N$9:$N$1008,"Pagada")&gt;0,"Pagada","")))))</f>
        <v/>
      </c>
      <c r="N446" s="33" t="str">
        <f t="shared" ca="1" si="6"/>
        <v/>
      </c>
      <c r="O446" s="23"/>
      <c r="P446" s="7" t="str">
        <f ca="1">IF(AND(B446&lt;&gt;"",F446&lt;&gt;"Cerrada",F446&lt;&gt;"Perdida",N446&lt;&gt;"",N446&gt;14),COUNTIFS($F$8:$F446,"&lt;&gt;Cerrada",$F$8:$F446,"&lt;&gt;Perdida",$N$8:$N446,"&gt;14"),"")</f>
        <v/>
      </c>
      <c r="Q446" s="8"/>
      <c r="R446" s="9"/>
      <c r="S446" s="10"/>
    </row>
    <row r="447" spans="2:19" ht="21.75" customHeight="1" x14ac:dyDescent="0.25">
      <c r="B447" s="24"/>
      <c r="C447" s="24"/>
      <c r="D447" s="24"/>
      <c r="E447" s="24"/>
      <c r="F447" s="38"/>
      <c r="G447" s="27"/>
      <c r="H447" s="24"/>
      <c r="I447" s="27"/>
      <c r="J447" s="26"/>
      <c r="K447" s="24"/>
      <c r="L447" s="24"/>
      <c r="M447" s="24" t="str">
        <f>IF(B447="","",IF(COUNTIFS(Cobranza!$C$9:$C$1008,B447,Cobranza!$N$9:$N$1008,"Vencida")&gt;0,"Vencida",IF(COUNTIFS(Cobranza!$C$9:$C$1008,B447,Cobranza!$N$9:$N$1008,"Parcial")&gt;0,"Parcial",IF(COUNTIFS(Cobranza!$C$9:$C$1008,B447,Cobranza!$N$9:$N$1008,"Pendiente")&gt;0,"Pendiente",IF(COUNTIFS(Cobranza!$C$9:$C$1008,B447,Cobranza!$N$9:$N$1008,"Pagada")&gt;0,"Pagada","")))))</f>
        <v/>
      </c>
      <c r="N447" s="33" t="str">
        <f t="shared" ca="1" si="6"/>
        <v/>
      </c>
      <c r="O447" s="23"/>
      <c r="P447" s="7" t="str">
        <f ca="1">IF(AND(B447&lt;&gt;"",F447&lt;&gt;"Cerrada",F447&lt;&gt;"Perdida",N447&lt;&gt;"",N447&gt;14),COUNTIFS($F$8:$F447,"&lt;&gt;Cerrada",$F$8:$F447,"&lt;&gt;Perdida",$N$8:$N447,"&gt;14"),"")</f>
        <v/>
      </c>
      <c r="Q447" s="8"/>
      <c r="R447" s="9"/>
      <c r="S447" s="10"/>
    </row>
    <row r="448" spans="2:19" ht="21.75" customHeight="1" x14ac:dyDescent="0.25">
      <c r="B448" s="24"/>
      <c r="C448" s="24"/>
      <c r="D448" s="24"/>
      <c r="E448" s="24"/>
      <c r="F448" s="38"/>
      <c r="G448" s="27"/>
      <c r="H448" s="24"/>
      <c r="I448" s="27"/>
      <c r="J448" s="26"/>
      <c r="K448" s="24"/>
      <c r="L448" s="24"/>
      <c r="M448" s="24" t="str">
        <f>IF(B448="","",IF(COUNTIFS(Cobranza!$C$9:$C$1008,B448,Cobranza!$N$9:$N$1008,"Vencida")&gt;0,"Vencida",IF(COUNTIFS(Cobranza!$C$9:$C$1008,B448,Cobranza!$N$9:$N$1008,"Parcial")&gt;0,"Parcial",IF(COUNTIFS(Cobranza!$C$9:$C$1008,B448,Cobranza!$N$9:$N$1008,"Pendiente")&gt;0,"Pendiente",IF(COUNTIFS(Cobranza!$C$9:$C$1008,B448,Cobranza!$N$9:$N$1008,"Pagada")&gt;0,"Pagada","")))))</f>
        <v/>
      </c>
      <c r="N448" s="33" t="str">
        <f t="shared" ca="1" si="6"/>
        <v/>
      </c>
      <c r="O448" s="23"/>
      <c r="P448" s="7" t="str">
        <f ca="1">IF(AND(B448&lt;&gt;"",F448&lt;&gt;"Cerrada",F448&lt;&gt;"Perdida",N448&lt;&gt;"",N448&gt;14),COUNTIFS($F$8:$F448,"&lt;&gt;Cerrada",$F$8:$F448,"&lt;&gt;Perdida",$N$8:$N448,"&gt;14"),"")</f>
        <v/>
      </c>
      <c r="Q448" s="8"/>
      <c r="R448" s="9"/>
      <c r="S448" s="10"/>
    </row>
    <row r="449" spans="2:19" ht="21.75" customHeight="1" x14ac:dyDescent="0.25">
      <c r="B449" s="24"/>
      <c r="C449" s="24"/>
      <c r="D449" s="24"/>
      <c r="E449" s="24"/>
      <c r="F449" s="38"/>
      <c r="G449" s="27"/>
      <c r="H449" s="24"/>
      <c r="I449" s="27"/>
      <c r="J449" s="26"/>
      <c r="K449" s="24"/>
      <c r="L449" s="24"/>
      <c r="M449" s="24" t="str">
        <f>IF(B449="","",IF(COUNTIFS(Cobranza!$C$9:$C$1008,B449,Cobranza!$N$9:$N$1008,"Vencida")&gt;0,"Vencida",IF(COUNTIFS(Cobranza!$C$9:$C$1008,B449,Cobranza!$N$9:$N$1008,"Parcial")&gt;0,"Parcial",IF(COUNTIFS(Cobranza!$C$9:$C$1008,B449,Cobranza!$N$9:$N$1008,"Pendiente")&gt;0,"Pendiente",IF(COUNTIFS(Cobranza!$C$9:$C$1008,B449,Cobranza!$N$9:$N$1008,"Pagada")&gt;0,"Pagada","")))))</f>
        <v/>
      </c>
      <c r="N449" s="33" t="str">
        <f t="shared" ca="1" si="6"/>
        <v/>
      </c>
      <c r="O449" s="23"/>
      <c r="P449" s="7" t="str">
        <f ca="1">IF(AND(B449&lt;&gt;"",F449&lt;&gt;"Cerrada",F449&lt;&gt;"Perdida",N449&lt;&gt;"",N449&gt;14),COUNTIFS($F$8:$F449,"&lt;&gt;Cerrada",$F$8:$F449,"&lt;&gt;Perdida",$N$8:$N449,"&gt;14"),"")</f>
        <v/>
      </c>
      <c r="Q449" s="8"/>
      <c r="R449" s="9"/>
      <c r="S449" s="10"/>
    </row>
    <row r="450" spans="2:19" ht="21.75" customHeight="1" x14ac:dyDescent="0.25">
      <c r="B450" s="24"/>
      <c r="C450" s="24"/>
      <c r="D450" s="24"/>
      <c r="E450" s="24"/>
      <c r="F450" s="38"/>
      <c r="G450" s="27"/>
      <c r="H450" s="24"/>
      <c r="I450" s="27"/>
      <c r="J450" s="26"/>
      <c r="K450" s="24"/>
      <c r="L450" s="24"/>
      <c r="M450" s="24" t="str">
        <f>IF(B450="","",IF(COUNTIFS(Cobranza!$C$9:$C$1008,B450,Cobranza!$N$9:$N$1008,"Vencida")&gt;0,"Vencida",IF(COUNTIFS(Cobranza!$C$9:$C$1008,B450,Cobranza!$N$9:$N$1008,"Parcial")&gt;0,"Parcial",IF(COUNTIFS(Cobranza!$C$9:$C$1008,B450,Cobranza!$N$9:$N$1008,"Pendiente")&gt;0,"Pendiente",IF(COUNTIFS(Cobranza!$C$9:$C$1008,B450,Cobranza!$N$9:$N$1008,"Pagada")&gt;0,"Pagada","")))))</f>
        <v/>
      </c>
      <c r="N450" s="33" t="str">
        <f t="shared" ca="1" si="6"/>
        <v/>
      </c>
      <c r="O450" s="23"/>
      <c r="P450" s="7" t="str">
        <f ca="1">IF(AND(B450&lt;&gt;"",F450&lt;&gt;"Cerrada",F450&lt;&gt;"Perdida",N450&lt;&gt;"",N450&gt;14),COUNTIFS($F$8:$F450,"&lt;&gt;Cerrada",$F$8:$F450,"&lt;&gt;Perdida",$N$8:$N450,"&gt;14"),"")</f>
        <v/>
      </c>
      <c r="Q450" s="8"/>
      <c r="R450" s="9"/>
      <c r="S450" s="10"/>
    </row>
    <row r="451" spans="2:19" ht="21.75" customHeight="1" x14ac:dyDescent="0.25">
      <c r="B451" s="24"/>
      <c r="C451" s="24"/>
      <c r="D451" s="24"/>
      <c r="E451" s="24"/>
      <c r="F451" s="38"/>
      <c r="G451" s="27"/>
      <c r="H451" s="24"/>
      <c r="I451" s="27"/>
      <c r="J451" s="26"/>
      <c r="K451" s="24"/>
      <c r="L451" s="24"/>
      <c r="M451" s="24" t="str">
        <f>IF(B451="","",IF(COUNTIFS(Cobranza!$C$9:$C$1008,B451,Cobranza!$N$9:$N$1008,"Vencida")&gt;0,"Vencida",IF(COUNTIFS(Cobranza!$C$9:$C$1008,B451,Cobranza!$N$9:$N$1008,"Parcial")&gt;0,"Parcial",IF(COUNTIFS(Cobranza!$C$9:$C$1008,B451,Cobranza!$N$9:$N$1008,"Pendiente")&gt;0,"Pendiente",IF(COUNTIFS(Cobranza!$C$9:$C$1008,B451,Cobranza!$N$9:$N$1008,"Pagada")&gt;0,"Pagada","")))))</f>
        <v/>
      </c>
      <c r="N451" s="33" t="str">
        <f t="shared" ca="1" si="6"/>
        <v/>
      </c>
      <c r="O451" s="23"/>
      <c r="P451" s="7" t="str">
        <f ca="1">IF(AND(B451&lt;&gt;"",F451&lt;&gt;"Cerrada",F451&lt;&gt;"Perdida",N451&lt;&gt;"",N451&gt;14),COUNTIFS($F$8:$F451,"&lt;&gt;Cerrada",$F$8:$F451,"&lt;&gt;Perdida",$N$8:$N451,"&gt;14"),"")</f>
        <v/>
      </c>
      <c r="Q451" s="8"/>
      <c r="R451" s="9"/>
      <c r="S451" s="10"/>
    </row>
    <row r="452" spans="2:19" ht="21.75" customHeight="1" x14ac:dyDescent="0.25">
      <c r="B452" s="24"/>
      <c r="C452" s="24"/>
      <c r="D452" s="24"/>
      <c r="E452" s="24"/>
      <c r="F452" s="38"/>
      <c r="G452" s="27"/>
      <c r="H452" s="24"/>
      <c r="I452" s="27"/>
      <c r="J452" s="26"/>
      <c r="K452" s="24"/>
      <c r="L452" s="24"/>
      <c r="M452" s="24" t="str">
        <f>IF(B452="","",IF(COUNTIFS(Cobranza!$C$9:$C$1008,B452,Cobranza!$N$9:$N$1008,"Vencida")&gt;0,"Vencida",IF(COUNTIFS(Cobranza!$C$9:$C$1008,B452,Cobranza!$N$9:$N$1008,"Parcial")&gt;0,"Parcial",IF(COUNTIFS(Cobranza!$C$9:$C$1008,B452,Cobranza!$N$9:$N$1008,"Pendiente")&gt;0,"Pendiente",IF(COUNTIFS(Cobranza!$C$9:$C$1008,B452,Cobranza!$N$9:$N$1008,"Pagada")&gt;0,"Pagada","")))))</f>
        <v/>
      </c>
      <c r="N452" s="33" t="str">
        <f t="shared" ca="1" si="6"/>
        <v/>
      </c>
      <c r="O452" s="23"/>
      <c r="P452" s="7" t="str">
        <f ca="1">IF(AND(B452&lt;&gt;"",F452&lt;&gt;"Cerrada",F452&lt;&gt;"Perdida",N452&lt;&gt;"",N452&gt;14),COUNTIFS($F$8:$F452,"&lt;&gt;Cerrada",$F$8:$F452,"&lt;&gt;Perdida",$N$8:$N452,"&gt;14"),"")</f>
        <v/>
      </c>
      <c r="Q452" s="8"/>
      <c r="R452" s="9"/>
      <c r="S452" s="10"/>
    </row>
    <row r="453" spans="2:19" ht="21.75" customHeight="1" x14ac:dyDescent="0.25">
      <c r="B453" s="24"/>
      <c r="C453" s="24"/>
      <c r="D453" s="24"/>
      <c r="E453" s="24"/>
      <c r="F453" s="38"/>
      <c r="G453" s="27"/>
      <c r="H453" s="24"/>
      <c r="I453" s="27"/>
      <c r="J453" s="26"/>
      <c r="K453" s="24"/>
      <c r="L453" s="24"/>
      <c r="M453" s="24" t="str">
        <f>IF(B453="","",IF(COUNTIFS(Cobranza!$C$9:$C$1008,B453,Cobranza!$N$9:$N$1008,"Vencida")&gt;0,"Vencida",IF(COUNTIFS(Cobranza!$C$9:$C$1008,B453,Cobranza!$N$9:$N$1008,"Parcial")&gt;0,"Parcial",IF(COUNTIFS(Cobranza!$C$9:$C$1008,B453,Cobranza!$N$9:$N$1008,"Pendiente")&gt;0,"Pendiente",IF(COUNTIFS(Cobranza!$C$9:$C$1008,B453,Cobranza!$N$9:$N$1008,"Pagada")&gt;0,"Pagada","")))))</f>
        <v/>
      </c>
      <c r="N453" s="33" t="str">
        <f t="shared" ca="1" si="6"/>
        <v/>
      </c>
      <c r="O453" s="23"/>
      <c r="P453" s="7" t="str">
        <f ca="1">IF(AND(B453&lt;&gt;"",F453&lt;&gt;"Cerrada",F453&lt;&gt;"Perdida",N453&lt;&gt;"",N453&gt;14),COUNTIFS($F$8:$F453,"&lt;&gt;Cerrada",$F$8:$F453,"&lt;&gt;Perdida",$N$8:$N453,"&gt;14"),"")</f>
        <v/>
      </c>
      <c r="Q453" s="8"/>
      <c r="R453" s="9"/>
      <c r="S453" s="10"/>
    </row>
    <row r="454" spans="2:19" ht="21.75" customHeight="1" x14ac:dyDescent="0.25">
      <c r="B454" s="24"/>
      <c r="C454" s="24"/>
      <c r="D454" s="24"/>
      <c r="E454" s="24"/>
      <c r="F454" s="38"/>
      <c r="G454" s="27"/>
      <c r="H454" s="24"/>
      <c r="I454" s="27"/>
      <c r="J454" s="26"/>
      <c r="K454" s="24"/>
      <c r="L454" s="24"/>
      <c r="M454" s="24" t="str">
        <f>IF(B454="","",IF(COUNTIFS(Cobranza!$C$9:$C$1008,B454,Cobranza!$N$9:$N$1008,"Vencida")&gt;0,"Vencida",IF(COUNTIFS(Cobranza!$C$9:$C$1008,B454,Cobranza!$N$9:$N$1008,"Parcial")&gt;0,"Parcial",IF(COUNTIFS(Cobranza!$C$9:$C$1008,B454,Cobranza!$N$9:$N$1008,"Pendiente")&gt;0,"Pendiente",IF(COUNTIFS(Cobranza!$C$9:$C$1008,B454,Cobranza!$N$9:$N$1008,"Pagada")&gt;0,"Pagada","")))))</f>
        <v/>
      </c>
      <c r="N454" s="33" t="str">
        <f t="shared" ca="1" si="6"/>
        <v/>
      </c>
      <c r="O454" s="23"/>
      <c r="P454" s="7" t="str">
        <f ca="1">IF(AND(B454&lt;&gt;"",F454&lt;&gt;"Cerrada",F454&lt;&gt;"Perdida",N454&lt;&gt;"",N454&gt;14),COUNTIFS($F$8:$F454,"&lt;&gt;Cerrada",$F$8:$F454,"&lt;&gt;Perdida",$N$8:$N454,"&gt;14"),"")</f>
        <v/>
      </c>
      <c r="Q454" s="8"/>
      <c r="R454" s="9"/>
      <c r="S454" s="10"/>
    </row>
    <row r="455" spans="2:19" ht="21.75" customHeight="1" x14ac:dyDescent="0.25">
      <c r="B455" s="24"/>
      <c r="C455" s="24"/>
      <c r="D455" s="24"/>
      <c r="E455" s="24"/>
      <c r="F455" s="38"/>
      <c r="G455" s="27"/>
      <c r="H455" s="24"/>
      <c r="I455" s="27"/>
      <c r="J455" s="26"/>
      <c r="K455" s="24"/>
      <c r="L455" s="24"/>
      <c r="M455" s="24" t="str">
        <f>IF(B455="","",IF(COUNTIFS(Cobranza!$C$9:$C$1008,B455,Cobranza!$N$9:$N$1008,"Vencida")&gt;0,"Vencida",IF(COUNTIFS(Cobranza!$C$9:$C$1008,B455,Cobranza!$N$9:$N$1008,"Parcial")&gt;0,"Parcial",IF(COUNTIFS(Cobranza!$C$9:$C$1008,B455,Cobranza!$N$9:$N$1008,"Pendiente")&gt;0,"Pendiente",IF(COUNTIFS(Cobranza!$C$9:$C$1008,B455,Cobranza!$N$9:$N$1008,"Pagada")&gt;0,"Pagada","")))))</f>
        <v/>
      </c>
      <c r="N455" s="33" t="str">
        <f t="shared" ca="1" si="6"/>
        <v/>
      </c>
      <c r="O455" s="23"/>
      <c r="P455" s="7" t="str">
        <f ca="1">IF(AND(B455&lt;&gt;"",F455&lt;&gt;"Cerrada",F455&lt;&gt;"Perdida",N455&lt;&gt;"",N455&gt;14),COUNTIFS($F$8:$F455,"&lt;&gt;Cerrada",$F$8:$F455,"&lt;&gt;Perdida",$N$8:$N455,"&gt;14"),"")</f>
        <v/>
      </c>
      <c r="Q455" s="8"/>
      <c r="R455" s="9"/>
      <c r="S455" s="10"/>
    </row>
    <row r="456" spans="2:19" ht="21.75" customHeight="1" x14ac:dyDescent="0.25">
      <c r="B456" s="24"/>
      <c r="C456" s="24"/>
      <c r="D456" s="24"/>
      <c r="E456" s="24"/>
      <c r="F456" s="38"/>
      <c r="G456" s="27"/>
      <c r="H456" s="24"/>
      <c r="I456" s="27"/>
      <c r="J456" s="26"/>
      <c r="K456" s="24"/>
      <c r="L456" s="24"/>
      <c r="M456" s="24" t="str">
        <f>IF(B456="","",IF(COUNTIFS(Cobranza!$C$9:$C$1008,B456,Cobranza!$N$9:$N$1008,"Vencida")&gt;0,"Vencida",IF(COUNTIFS(Cobranza!$C$9:$C$1008,B456,Cobranza!$N$9:$N$1008,"Parcial")&gt;0,"Parcial",IF(COUNTIFS(Cobranza!$C$9:$C$1008,B456,Cobranza!$N$9:$N$1008,"Pendiente")&gt;0,"Pendiente",IF(COUNTIFS(Cobranza!$C$9:$C$1008,B456,Cobranza!$N$9:$N$1008,"Pagada")&gt;0,"Pagada","")))))</f>
        <v/>
      </c>
      <c r="N456" s="33" t="str">
        <f t="shared" ref="N456:N519" ca="1" si="7">IF(I456="","",MAX(0,TODAY()-I456))</f>
        <v/>
      </c>
      <c r="O456" s="23"/>
      <c r="P456" s="7" t="str">
        <f ca="1">IF(AND(B456&lt;&gt;"",F456&lt;&gt;"Cerrada",F456&lt;&gt;"Perdida",N456&lt;&gt;"",N456&gt;14),COUNTIFS($F$8:$F456,"&lt;&gt;Cerrada",$F$8:$F456,"&lt;&gt;Perdida",$N$8:$N456,"&gt;14"),"")</f>
        <v/>
      </c>
      <c r="Q456" s="8"/>
      <c r="R456" s="9"/>
      <c r="S456" s="10"/>
    </row>
    <row r="457" spans="2:19" ht="21.75" customHeight="1" x14ac:dyDescent="0.25">
      <c r="B457" s="24"/>
      <c r="C457" s="24"/>
      <c r="D457" s="24"/>
      <c r="E457" s="24"/>
      <c r="F457" s="38"/>
      <c r="G457" s="27"/>
      <c r="H457" s="24"/>
      <c r="I457" s="27"/>
      <c r="J457" s="26"/>
      <c r="K457" s="24"/>
      <c r="L457" s="24"/>
      <c r="M457" s="24" t="str">
        <f>IF(B457="","",IF(COUNTIFS(Cobranza!$C$9:$C$1008,B457,Cobranza!$N$9:$N$1008,"Vencida")&gt;0,"Vencida",IF(COUNTIFS(Cobranza!$C$9:$C$1008,B457,Cobranza!$N$9:$N$1008,"Parcial")&gt;0,"Parcial",IF(COUNTIFS(Cobranza!$C$9:$C$1008,B457,Cobranza!$N$9:$N$1008,"Pendiente")&gt;0,"Pendiente",IF(COUNTIFS(Cobranza!$C$9:$C$1008,B457,Cobranza!$N$9:$N$1008,"Pagada")&gt;0,"Pagada","")))))</f>
        <v/>
      </c>
      <c r="N457" s="33" t="str">
        <f t="shared" ca="1" si="7"/>
        <v/>
      </c>
      <c r="O457" s="23"/>
      <c r="P457" s="7" t="str">
        <f ca="1">IF(AND(B457&lt;&gt;"",F457&lt;&gt;"Cerrada",F457&lt;&gt;"Perdida",N457&lt;&gt;"",N457&gt;14),COUNTIFS($F$8:$F457,"&lt;&gt;Cerrada",$F$8:$F457,"&lt;&gt;Perdida",$N$8:$N457,"&gt;14"),"")</f>
        <v/>
      </c>
      <c r="Q457" s="8"/>
      <c r="R457" s="9"/>
      <c r="S457" s="10"/>
    </row>
    <row r="458" spans="2:19" ht="21.75" customHeight="1" x14ac:dyDescent="0.25">
      <c r="B458" s="24"/>
      <c r="C458" s="24"/>
      <c r="D458" s="24"/>
      <c r="E458" s="24"/>
      <c r="F458" s="38"/>
      <c r="G458" s="27"/>
      <c r="H458" s="24"/>
      <c r="I458" s="27"/>
      <c r="J458" s="26"/>
      <c r="K458" s="24"/>
      <c r="L458" s="24"/>
      <c r="M458" s="24" t="str">
        <f>IF(B458="","",IF(COUNTIFS(Cobranza!$C$9:$C$1008,B458,Cobranza!$N$9:$N$1008,"Vencida")&gt;0,"Vencida",IF(COUNTIFS(Cobranza!$C$9:$C$1008,B458,Cobranza!$N$9:$N$1008,"Parcial")&gt;0,"Parcial",IF(COUNTIFS(Cobranza!$C$9:$C$1008,B458,Cobranza!$N$9:$N$1008,"Pendiente")&gt;0,"Pendiente",IF(COUNTIFS(Cobranza!$C$9:$C$1008,B458,Cobranza!$N$9:$N$1008,"Pagada")&gt;0,"Pagada","")))))</f>
        <v/>
      </c>
      <c r="N458" s="33" t="str">
        <f t="shared" ca="1" si="7"/>
        <v/>
      </c>
      <c r="O458" s="23"/>
      <c r="P458" s="7" t="str">
        <f ca="1">IF(AND(B458&lt;&gt;"",F458&lt;&gt;"Cerrada",F458&lt;&gt;"Perdida",N458&lt;&gt;"",N458&gt;14),COUNTIFS($F$8:$F458,"&lt;&gt;Cerrada",$F$8:$F458,"&lt;&gt;Perdida",$N$8:$N458,"&gt;14"),"")</f>
        <v/>
      </c>
      <c r="Q458" s="8"/>
      <c r="R458" s="9"/>
      <c r="S458" s="10"/>
    </row>
    <row r="459" spans="2:19" ht="21.75" customHeight="1" x14ac:dyDescent="0.25">
      <c r="B459" s="24"/>
      <c r="C459" s="24"/>
      <c r="D459" s="24"/>
      <c r="E459" s="24"/>
      <c r="F459" s="38"/>
      <c r="G459" s="27"/>
      <c r="H459" s="24"/>
      <c r="I459" s="27"/>
      <c r="J459" s="26"/>
      <c r="K459" s="24"/>
      <c r="L459" s="24"/>
      <c r="M459" s="24" t="str">
        <f>IF(B459="","",IF(COUNTIFS(Cobranza!$C$9:$C$1008,B459,Cobranza!$N$9:$N$1008,"Vencida")&gt;0,"Vencida",IF(COUNTIFS(Cobranza!$C$9:$C$1008,B459,Cobranza!$N$9:$N$1008,"Parcial")&gt;0,"Parcial",IF(COUNTIFS(Cobranza!$C$9:$C$1008,B459,Cobranza!$N$9:$N$1008,"Pendiente")&gt;0,"Pendiente",IF(COUNTIFS(Cobranza!$C$9:$C$1008,B459,Cobranza!$N$9:$N$1008,"Pagada")&gt;0,"Pagada","")))))</f>
        <v/>
      </c>
      <c r="N459" s="33" t="str">
        <f t="shared" ca="1" si="7"/>
        <v/>
      </c>
      <c r="O459" s="23"/>
      <c r="P459" s="7" t="str">
        <f ca="1">IF(AND(B459&lt;&gt;"",F459&lt;&gt;"Cerrada",F459&lt;&gt;"Perdida",N459&lt;&gt;"",N459&gt;14),COUNTIFS($F$8:$F459,"&lt;&gt;Cerrada",$F$8:$F459,"&lt;&gt;Perdida",$N$8:$N459,"&gt;14"),"")</f>
        <v/>
      </c>
      <c r="Q459" s="8"/>
      <c r="R459" s="9"/>
      <c r="S459" s="10"/>
    </row>
    <row r="460" spans="2:19" ht="21.75" customHeight="1" x14ac:dyDescent="0.25">
      <c r="B460" s="24"/>
      <c r="C460" s="24"/>
      <c r="D460" s="24"/>
      <c r="E460" s="24"/>
      <c r="F460" s="38"/>
      <c r="G460" s="27"/>
      <c r="H460" s="24"/>
      <c r="I460" s="27"/>
      <c r="J460" s="26"/>
      <c r="K460" s="24"/>
      <c r="L460" s="24"/>
      <c r="M460" s="24" t="str">
        <f>IF(B460="","",IF(COUNTIFS(Cobranza!$C$9:$C$1008,B460,Cobranza!$N$9:$N$1008,"Vencida")&gt;0,"Vencida",IF(COUNTIFS(Cobranza!$C$9:$C$1008,B460,Cobranza!$N$9:$N$1008,"Parcial")&gt;0,"Parcial",IF(COUNTIFS(Cobranza!$C$9:$C$1008,B460,Cobranza!$N$9:$N$1008,"Pendiente")&gt;0,"Pendiente",IF(COUNTIFS(Cobranza!$C$9:$C$1008,B460,Cobranza!$N$9:$N$1008,"Pagada")&gt;0,"Pagada","")))))</f>
        <v/>
      </c>
      <c r="N460" s="33" t="str">
        <f t="shared" ca="1" si="7"/>
        <v/>
      </c>
      <c r="O460" s="23"/>
      <c r="P460" s="7" t="str">
        <f ca="1">IF(AND(B460&lt;&gt;"",F460&lt;&gt;"Cerrada",F460&lt;&gt;"Perdida",N460&lt;&gt;"",N460&gt;14),COUNTIFS($F$8:$F460,"&lt;&gt;Cerrada",$F$8:$F460,"&lt;&gt;Perdida",$N$8:$N460,"&gt;14"),"")</f>
        <v/>
      </c>
      <c r="Q460" s="8"/>
      <c r="R460" s="9"/>
      <c r="S460" s="10"/>
    </row>
    <row r="461" spans="2:19" ht="21.75" customHeight="1" x14ac:dyDescent="0.25">
      <c r="B461" s="24"/>
      <c r="C461" s="24"/>
      <c r="D461" s="24"/>
      <c r="E461" s="24"/>
      <c r="F461" s="38"/>
      <c r="G461" s="27"/>
      <c r="H461" s="24"/>
      <c r="I461" s="27"/>
      <c r="J461" s="26"/>
      <c r="K461" s="24"/>
      <c r="L461" s="24"/>
      <c r="M461" s="24" t="str">
        <f>IF(B461="","",IF(COUNTIFS(Cobranza!$C$9:$C$1008,B461,Cobranza!$N$9:$N$1008,"Vencida")&gt;0,"Vencida",IF(COUNTIFS(Cobranza!$C$9:$C$1008,B461,Cobranza!$N$9:$N$1008,"Parcial")&gt;0,"Parcial",IF(COUNTIFS(Cobranza!$C$9:$C$1008,B461,Cobranza!$N$9:$N$1008,"Pendiente")&gt;0,"Pendiente",IF(COUNTIFS(Cobranza!$C$9:$C$1008,B461,Cobranza!$N$9:$N$1008,"Pagada")&gt;0,"Pagada","")))))</f>
        <v/>
      </c>
      <c r="N461" s="33" t="str">
        <f t="shared" ca="1" si="7"/>
        <v/>
      </c>
      <c r="O461" s="23"/>
      <c r="P461" s="7" t="str">
        <f ca="1">IF(AND(B461&lt;&gt;"",F461&lt;&gt;"Cerrada",F461&lt;&gt;"Perdida",N461&lt;&gt;"",N461&gt;14),COUNTIFS($F$8:$F461,"&lt;&gt;Cerrada",$F$8:$F461,"&lt;&gt;Perdida",$N$8:$N461,"&gt;14"),"")</f>
        <v/>
      </c>
      <c r="Q461" s="8"/>
      <c r="R461" s="9"/>
      <c r="S461" s="10"/>
    </row>
    <row r="462" spans="2:19" ht="21.75" customHeight="1" x14ac:dyDescent="0.25">
      <c r="B462" s="24"/>
      <c r="C462" s="24"/>
      <c r="D462" s="24"/>
      <c r="E462" s="24"/>
      <c r="F462" s="38"/>
      <c r="G462" s="27"/>
      <c r="H462" s="24"/>
      <c r="I462" s="27"/>
      <c r="J462" s="26"/>
      <c r="K462" s="24"/>
      <c r="L462" s="24"/>
      <c r="M462" s="24" t="str">
        <f>IF(B462="","",IF(COUNTIFS(Cobranza!$C$9:$C$1008,B462,Cobranza!$N$9:$N$1008,"Vencida")&gt;0,"Vencida",IF(COUNTIFS(Cobranza!$C$9:$C$1008,B462,Cobranza!$N$9:$N$1008,"Parcial")&gt;0,"Parcial",IF(COUNTIFS(Cobranza!$C$9:$C$1008,B462,Cobranza!$N$9:$N$1008,"Pendiente")&gt;0,"Pendiente",IF(COUNTIFS(Cobranza!$C$9:$C$1008,B462,Cobranza!$N$9:$N$1008,"Pagada")&gt;0,"Pagada","")))))</f>
        <v/>
      </c>
      <c r="N462" s="33" t="str">
        <f t="shared" ca="1" si="7"/>
        <v/>
      </c>
      <c r="O462" s="23"/>
      <c r="P462" s="7" t="str">
        <f ca="1">IF(AND(B462&lt;&gt;"",F462&lt;&gt;"Cerrada",F462&lt;&gt;"Perdida",N462&lt;&gt;"",N462&gt;14),COUNTIFS($F$8:$F462,"&lt;&gt;Cerrada",$F$8:$F462,"&lt;&gt;Perdida",$N$8:$N462,"&gt;14"),"")</f>
        <v/>
      </c>
      <c r="Q462" s="8"/>
      <c r="R462" s="9"/>
      <c r="S462" s="10"/>
    </row>
    <row r="463" spans="2:19" ht="21.75" customHeight="1" x14ac:dyDescent="0.25">
      <c r="B463" s="24"/>
      <c r="C463" s="24"/>
      <c r="D463" s="24"/>
      <c r="E463" s="24"/>
      <c r="F463" s="38"/>
      <c r="G463" s="27"/>
      <c r="H463" s="24"/>
      <c r="I463" s="27"/>
      <c r="J463" s="26"/>
      <c r="K463" s="24"/>
      <c r="L463" s="24"/>
      <c r="M463" s="24" t="str">
        <f>IF(B463="","",IF(COUNTIFS(Cobranza!$C$9:$C$1008,B463,Cobranza!$N$9:$N$1008,"Vencida")&gt;0,"Vencida",IF(COUNTIFS(Cobranza!$C$9:$C$1008,B463,Cobranza!$N$9:$N$1008,"Parcial")&gt;0,"Parcial",IF(COUNTIFS(Cobranza!$C$9:$C$1008,B463,Cobranza!$N$9:$N$1008,"Pendiente")&gt;0,"Pendiente",IF(COUNTIFS(Cobranza!$C$9:$C$1008,B463,Cobranza!$N$9:$N$1008,"Pagada")&gt;0,"Pagada","")))))</f>
        <v/>
      </c>
      <c r="N463" s="33" t="str">
        <f t="shared" ca="1" si="7"/>
        <v/>
      </c>
      <c r="O463" s="23"/>
      <c r="P463" s="7" t="str">
        <f ca="1">IF(AND(B463&lt;&gt;"",F463&lt;&gt;"Cerrada",F463&lt;&gt;"Perdida",N463&lt;&gt;"",N463&gt;14),COUNTIFS($F$8:$F463,"&lt;&gt;Cerrada",$F$8:$F463,"&lt;&gt;Perdida",$N$8:$N463,"&gt;14"),"")</f>
        <v/>
      </c>
      <c r="Q463" s="8"/>
      <c r="R463" s="9"/>
      <c r="S463" s="10"/>
    </row>
    <row r="464" spans="2:19" ht="21.75" customHeight="1" x14ac:dyDescent="0.25">
      <c r="B464" s="24"/>
      <c r="C464" s="24"/>
      <c r="D464" s="24"/>
      <c r="E464" s="24"/>
      <c r="F464" s="38"/>
      <c r="G464" s="27"/>
      <c r="H464" s="24"/>
      <c r="I464" s="27"/>
      <c r="J464" s="26"/>
      <c r="K464" s="24"/>
      <c r="L464" s="24"/>
      <c r="M464" s="24" t="str">
        <f>IF(B464="","",IF(COUNTIFS(Cobranza!$C$9:$C$1008,B464,Cobranza!$N$9:$N$1008,"Vencida")&gt;0,"Vencida",IF(COUNTIFS(Cobranza!$C$9:$C$1008,B464,Cobranza!$N$9:$N$1008,"Parcial")&gt;0,"Parcial",IF(COUNTIFS(Cobranza!$C$9:$C$1008,B464,Cobranza!$N$9:$N$1008,"Pendiente")&gt;0,"Pendiente",IF(COUNTIFS(Cobranza!$C$9:$C$1008,B464,Cobranza!$N$9:$N$1008,"Pagada")&gt;0,"Pagada","")))))</f>
        <v/>
      </c>
      <c r="N464" s="33" t="str">
        <f t="shared" ca="1" si="7"/>
        <v/>
      </c>
      <c r="O464" s="23"/>
      <c r="P464" s="7" t="str">
        <f ca="1">IF(AND(B464&lt;&gt;"",F464&lt;&gt;"Cerrada",F464&lt;&gt;"Perdida",N464&lt;&gt;"",N464&gt;14),COUNTIFS($F$8:$F464,"&lt;&gt;Cerrada",$F$8:$F464,"&lt;&gt;Perdida",$N$8:$N464,"&gt;14"),"")</f>
        <v/>
      </c>
      <c r="Q464" s="8"/>
      <c r="R464" s="9"/>
      <c r="S464" s="10"/>
    </row>
    <row r="465" spans="2:19" ht="21.75" customHeight="1" x14ac:dyDescent="0.25">
      <c r="B465" s="24"/>
      <c r="C465" s="24"/>
      <c r="D465" s="24"/>
      <c r="E465" s="24"/>
      <c r="F465" s="38"/>
      <c r="G465" s="27"/>
      <c r="H465" s="24"/>
      <c r="I465" s="27"/>
      <c r="J465" s="26"/>
      <c r="K465" s="24"/>
      <c r="L465" s="24"/>
      <c r="M465" s="24" t="str">
        <f>IF(B465="","",IF(COUNTIFS(Cobranza!$C$9:$C$1008,B465,Cobranza!$N$9:$N$1008,"Vencida")&gt;0,"Vencida",IF(COUNTIFS(Cobranza!$C$9:$C$1008,B465,Cobranza!$N$9:$N$1008,"Parcial")&gt;0,"Parcial",IF(COUNTIFS(Cobranza!$C$9:$C$1008,B465,Cobranza!$N$9:$N$1008,"Pendiente")&gt;0,"Pendiente",IF(COUNTIFS(Cobranza!$C$9:$C$1008,B465,Cobranza!$N$9:$N$1008,"Pagada")&gt;0,"Pagada","")))))</f>
        <v/>
      </c>
      <c r="N465" s="33" t="str">
        <f t="shared" ca="1" si="7"/>
        <v/>
      </c>
      <c r="O465" s="23"/>
      <c r="P465" s="7" t="str">
        <f ca="1">IF(AND(B465&lt;&gt;"",F465&lt;&gt;"Cerrada",F465&lt;&gt;"Perdida",N465&lt;&gt;"",N465&gt;14),COUNTIFS($F$8:$F465,"&lt;&gt;Cerrada",$F$8:$F465,"&lt;&gt;Perdida",$N$8:$N465,"&gt;14"),"")</f>
        <v/>
      </c>
      <c r="Q465" s="8"/>
      <c r="R465" s="9"/>
      <c r="S465" s="10"/>
    </row>
    <row r="466" spans="2:19" ht="21.75" customHeight="1" x14ac:dyDescent="0.25">
      <c r="B466" s="24"/>
      <c r="C466" s="24"/>
      <c r="D466" s="24"/>
      <c r="E466" s="24"/>
      <c r="F466" s="38"/>
      <c r="G466" s="27"/>
      <c r="H466" s="24"/>
      <c r="I466" s="27"/>
      <c r="J466" s="26"/>
      <c r="K466" s="24"/>
      <c r="L466" s="24"/>
      <c r="M466" s="24" t="str">
        <f>IF(B466="","",IF(COUNTIFS(Cobranza!$C$9:$C$1008,B466,Cobranza!$N$9:$N$1008,"Vencida")&gt;0,"Vencida",IF(COUNTIFS(Cobranza!$C$9:$C$1008,B466,Cobranza!$N$9:$N$1008,"Parcial")&gt;0,"Parcial",IF(COUNTIFS(Cobranza!$C$9:$C$1008,B466,Cobranza!$N$9:$N$1008,"Pendiente")&gt;0,"Pendiente",IF(COUNTIFS(Cobranza!$C$9:$C$1008,B466,Cobranza!$N$9:$N$1008,"Pagada")&gt;0,"Pagada","")))))</f>
        <v/>
      </c>
      <c r="N466" s="33" t="str">
        <f t="shared" ca="1" si="7"/>
        <v/>
      </c>
      <c r="O466" s="23"/>
      <c r="P466" s="7" t="str">
        <f ca="1">IF(AND(B466&lt;&gt;"",F466&lt;&gt;"Cerrada",F466&lt;&gt;"Perdida",N466&lt;&gt;"",N466&gt;14),COUNTIFS($F$8:$F466,"&lt;&gt;Cerrada",$F$8:$F466,"&lt;&gt;Perdida",$N$8:$N466,"&gt;14"),"")</f>
        <v/>
      </c>
      <c r="Q466" s="8"/>
      <c r="R466" s="9"/>
      <c r="S466" s="10"/>
    </row>
    <row r="467" spans="2:19" ht="21.75" customHeight="1" x14ac:dyDescent="0.25">
      <c r="B467" s="24"/>
      <c r="C467" s="24"/>
      <c r="D467" s="24"/>
      <c r="E467" s="24"/>
      <c r="F467" s="38"/>
      <c r="G467" s="27"/>
      <c r="H467" s="24"/>
      <c r="I467" s="27"/>
      <c r="J467" s="26"/>
      <c r="K467" s="24"/>
      <c r="L467" s="24"/>
      <c r="M467" s="24" t="str">
        <f>IF(B467="","",IF(COUNTIFS(Cobranza!$C$9:$C$1008,B467,Cobranza!$N$9:$N$1008,"Vencida")&gt;0,"Vencida",IF(COUNTIFS(Cobranza!$C$9:$C$1008,B467,Cobranza!$N$9:$N$1008,"Parcial")&gt;0,"Parcial",IF(COUNTIFS(Cobranza!$C$9:$C$1008,B467,Cobranza!$N$9:$N$1008,"Pendiente")&gt;0,"Pendiente",IF(COUNTIFS(Cobranza!$C$9:$C$1008,B467,Cobranza!$N$9:$N$1008,"Pagada")&gt;0,"Pagada","")))))</f>
        <v/>
      </c>
      <c r="N467" s="33" t="str">
        <f t="shared" ca="1" si="7"/>
        <v/>
      </c>
      <c r="O467" s="23"/>
      <c r="P467" s="7" t="str">
        <f ca="1">IF(AND(B467&lt;&gt;"",F467&lt;&gt;"Cerrada",F467&lt;&gt;"Perdida",N467&lt;&gt;"",N467&gt;14),COUNTIFS($F$8:$F467,"&lt;&gt;Cerrada",$F$8:$F467,"&lt;&gt;Perdida",$N$8:$N467,"&gt;14"),"")</f>
        <v/>
      </c>
      <c r="Q467" s="8"/>
      <c r="R467" s="9"/>
      <c r="S467" s="10"/>
    </row>
    <row r="468" spans="2:19" ht="21.75" customHeight="1" x14ac:dyDescent="0.25">
      <c r="B468" s="24"/>
      <c r="C468" s="24"/>
      <c r="D468" s="24"/>
      <c r="E468" s="24"/>
      <c r="F468" s="38"/>
      <c r="G468" s="27"/>
      <c r="H468" s="24"/>
      <c r="I468" s="27"/>
      <c r="J468" s="26"/>
      <c r="K468" s="24"/>
      <c r="L468" s="24"/>
      <c r="M468" s="24" t="str">
        <f>IF(B468="","",IF(COUNTIFS(Cobranza!$C$9:$C$1008,B468,Cobranza!$N$9:$N$1008,"Vencida")&gt;0,"Vencida",IF(COUNTIFS(Cobranza!$C$9:$C$1008,B468,Cobranza!$N$9:$N$1008,"Parcial")&gt;0,"Parcial",IF(COUNTIFS(Cobranza!$C$9:$C$1008,B468,Cobranza!$N$9:$N$1008,"Pendiente")&gt;0,"Pendiente",IF(COUNTIFS(Cobranza!$C$9:$C$1008,B468,Cobranza!$N$9:$N$1008,"Pagada")&gt;0,"Pagada","")))))</f>
        <v/>
      </c>
      <c r="N468" s="33" t="str">
        <f t="shared" ca="1" si="7"/>
        <v/>
      </c>
      <c r="O468" s="23"/>
      <c r="P468" s="7" t="str">
        <f ca="1">IF(AND(B468&lt;&gt;"",F468&lt;&gt;"Cerrada",F468&lt;&gt;"Perdida",N468&lt;&gt;"",N468&gt;14),COUNTIFS($F$8:$F468,"&lt;&gt;Cerrada",$F$8:$F468,"&lt;&gt;Perdida",$N$8:$N468,"&gt;14"),"")</f>
        <v/>
      </c>
      <c r="Q468" s="8"/>
      <c r="R468" s="9"/>
      <c r="S468" s="10"/>
    </row>
    <row r="469" spans="2:19" ht="21.75" customHeight="1" x14ac:dyDescent="0.25">
      <c r="B469" s="24"/>
      <c r="C469" s="24"/>
      <c r="D469" s="24"/>
      <c r="E469" s="24"/>
      <c r="F469" s="38"/>
      <c r="G469" s="27"/>
      <c r="H469" s="24"/>
      <c r="I469" s="27"/>
      <c r="J469" s="26"/>
      <c r="K469" s="24"/>
      <c r="L469" s="24"/>
      <c r="M469" s="24" t="str">
        <f>IF(B469="","",IF(COUNTIFS(Cobranza!$C$9:$C$1008,B469,Cobranza!$N$9:$N$1008,"Vencida")&gt;0,"Vencida",IF(COUNTIFS(Cobranza!$C$9:$C$1008,B469,Cobranza!$N$9:$N$1008,"Parcial")&gt;0,"Parcial",IF(COUNTIFS(Cobranza!$C$9:$C$1008,B469,Cobranza!$N$9:$N$1008,"Pendiente")&gt;0,"Pendiente",IF(COUNTIFS(Cobranza!$C$9:$C$1008,B469,Cobranza!$N$9:$N$1008,"Pagada")&gt;0,"Pagada","")))))</f>
        <v/>
      </c>
      <c r="N469" s="33" t="str">
        <f t="shared" ca="1" si="7"/>
        <v/>
      </c>
      <c r="O469" s="23"/>
      <c r="P469" s="7" t="str">
        <f ca="1">IF(AND(B469&lt;&gt;"",F469&lt;&gt;"Cerrada",F469&lt;&gt;"Perdida",N469&lt;&gt;"",N469&gt;14),COUNTIFS($F$8:$F469,"&lt;&gt;Cerrada",$F$8:$F469,"&lt;&gt;Perdida",$N$8:$N469,"&gt;14"),"")</f>
        <v/>
      </c>
      <c r="Q469" s="8"/>
      <c r="R469" s="9"/>
      <c r="S469" s="10"/>
    </row>
    <row r="470" spans="2:19" ht="21.75" customHeight="1" x14ac:dyDescent="0.25">
      <c r="B470" s="24"/>
      <c r="C470" s="24"/>
      <c r="D470" s="24"/>
      <c r="E470" s="24"/>
      <c r="F470" s="38"/>
      <c r="G470" s="27"/>
      <c r="H470" s="24"/>
      <c r="I470" s="27"/>
      <c r="J470" s="26"/>
      <c r="K470" s="24"/>
      <c r="L470" s="24"/>
      <c r="M470" s="24" t="str">
        <f>IF(B470="","",IF(COUNTIFS(Cobranza!$C$9:$C$1008,B470,Cobranza!$N$9:$N$1008,"Vencida")&gt;0,"Vencida",IF(COUNTIFS(Cobranza!$C$9:$C$1008,B470,Cobranza!$N$9:$N$1008,"Parcial")&gt;0,"Parcial",IF(COUNTIFS(Cobranza!$C$9:$C$1008,B470,Cobranza!$N$9:$N$1008,"Pendiente")&gt;0,"Pendiente",IF(COUNTIFS(Cobranza!$C$9:$C$1008,B470,Cobranza!$N$9:$N$1008,"Pagada")&gt;0,"Pagada","")))))</f>
        <v/>
      </c>
      <c r="N470" s="33" t="str">
        <f t="shared" ca="1" si="7"/>
        <v/>
      </c>
      <c r="O470" s="23"/>
      <c r="P470" s="7" t="str">
        <f ca="1">IF(AND(B470&lt;&gt;"",F470&lt;&gt;"Cerrada",F470&lt;&gt;"Perdida",N470&lt;&gt;"",N470&gt;14),COUNTIFS($F$8:$F470,"&lt;&gt;Cerrada",$F$8:$F470,"&lt;&gt;Perdida",$N$8:$N470,"&gt;14"),"")</f>
        <v/>
      </c>
      <c r="Q470" s="8"/>
      <c r="R470" s="9"/>
      <c r="S470" s="10"/>
    </row>
    <row r="471" spans="2:19" ht="21.75" customHeight="1" x14ac:dyDescent="0.25">
      <c r="B471" s="24"/>
      <c r="C471" s="24"/>
      <c r="D471" s="24"/>
      <c r="E471" s="24"/>
      <c r="F471" s="38"/>
      <c r="G471" s="27"/>
      <c r="H471" s="24"/>
      <c r="I471" s="27"/>
      <c r="J471" s="26"/>
      <c r="K471" s="24"/>
      <c r="L471" s="24"/>
      <c r="M471" s="24" t="str">
        <f>IF(B471="","",IF(COUNTIFS(Cobranza!$C$9:$C$1008,B471,Cobranza!$N$9:$N$1008,"Vencida")&gt;0,"Vencida",IF(COUNTIFS(Cobranza!$C$9:$C$1008,B471,Cobranza!$N$9:$N$1008,"Parcial")&gt;0,"Parcial",IF(COUNTIFS(Cobranza!$C$9:$C$1008,B471,Cobranza!$N$9:$N$1008,"Pendiente")&gt;0,"Pendiente",IF(COUNTIFS(Cobranza!$C$9:$C$1008,B471,Cobranza!$N$9:$N$1008,"Pagada")&gt;0,"Pagada","")))))</f>
        <v/>
      </c>
      <c r="N471" s="33" t="str">
        <f t="shared" ca="1" si="7"/>
        <v/>
      </c>
      <c r="O471" s="23"/>
      <c r="P471" s="7" t="str">
        <f ca="1">IF(AND(B471&lt;&gt;"",F471&lt;&gt;"Cerrada",F471&lt;&gt;"Perdida",N471&lt;&gt;"",N471&gt;14),COUNTIFS($F$8:$F471,"&lt;&gt;Cerrada",$F$8:$F471,"&lt;&gt;Perdida",$N$8:$N471,"&gt;14"),"")</f>
        <v/>
      </c>
      <c r="Q471" s="8"/>
      <c r="R471" s="9"/>
      <c r="S471" s="10"/>
    </row>
    <row r="472" spans="2:19" ht="21.75" customHeight="1" x14ac:dyDescent="0.25">
      <c r="B472" s="24"/>
      <c r="C472" s="24"/>
      <c r="D472" s="24"/>
      <c r="E472" s="24"/>
      <c r="F472" s="38"/>
      <c r="G472" s="27"/>
      <c r="H472" s="24"/>
      <c r="I472" s="27"/>
      <c r="J472" s="26"/>
      <c r="K472" s="24"/>
      <c r="L472" s="24"/>
      <c r="M472" s="24" t="str">
        <f>IF(B472="","",IF(COUNTIFS(Cobranza!$C$9:$C$1008,B472,Cobranza!$N$9:$N$1008,"Vencida")&gt;0,"Vencida",IF(COUNTIFS(Cobranza!$C$9:$C$1008,B472,Cobranza!$N$9:$N$1008,"Parcial")&gt;0,"Parcial",IF(COUNTIFS(Cobranza!$C$9:$C$1008,B472,Cobranza!$N$9:$N$1008,"Pendiente")&gt;0,"Pendiente",IF(COUNTIFS(Cobranza!$C$9:$C$1008,B472,Cobranza!$N$9:$N$1008,"Pagada")&gt;0,"Pagada","")))))</f>
        <v/>
      </c>
      <c r="N472" s="33" t="str">
        <f t="shared" ca="1" si="7"/>
        <v/>
      </c>
      <c r="O472" s="23"/>
      <c r="P472" s="7" t="str">
        <f ca="1">IF(AND(B472&lt;&gt;"",F472&lt;&gt;"Cerrada",F472&lt;&gt;"Perdida",N472&lt;&gt;"",N472&gt;14),COUNTIFS($F$8:$F472,"&lt;&gt;Cerrada",$F$8:$F472,"&lt;&gt;Perdida",$N$8:$N472,"&gt;14"),"")</f>
        <v/>
      </c>
      <c r="Q472" s="8"/>
      <c r="R472" s="9"/>
      <c r="S472" s="10"/>
    </row>
    <row r="473" spans="2:19" ht="21.75" customHeight="1" x14ac:dyDescent="0.25">
      <c r="B473" s="24"/>
      <c r="C473" s="24"/>
      <c r="D473" s="24"/>
      <c r="E473" s="24"/>
      <c r="F473" s="38"/>
      <c r="G473" s="27"/>
      <c r="H473" s="24"/>
      <c r="I473" s="27"/>
      <c r="J473" s="26"/>
      <c r="K473" s="24"/>
      <c r="L473" s="24"/>
      <c r="M473" s="24" t="str">
        <f>IF(B473="","",IF(COUNTIFS(Cobranza!$C$9:$C$1008,B473,Cobranza!$N$9:$N$1008,"Vencida")&gt;0,"Vencida",IF(COUNTIFS(Cobranza!$C$9:$C$1008,B473,Cobranza!$N$9:$N$1008,"Parcial")&gt;0,"Parcial",IF(COUNTIFS(Cobranza!$C$9:$C$1008,B473,Cobranza!$N$9:$N$1008,"Pendiente")&gt;0,"Pendiente",IF(COUNTIFS(Cobranza!$C$9:$C$1008,B473,Cobranza!$N$9:$N$1008,"Pagada")&gt;0,"Pagada","")))))</f>
        <v/>
      </c>
      <c r="N473" s="33" t="str">
        <f t="shared" ca="1" si="7"/>
        <v/>
      </c>
      <c r="O473" s="23"/>
      <c r="P473" s="7" t="str">
        <f ca="1">IF(AND(B473&lt;&gt;"",F473&lt;&gt;"Cerrada",F473&lt;&gt;"Perdida",N473&lt;&gt;"",N473&gt;14),COUNTIFS($F$8:$F473,"&lt;&gt;Cerrada",$F$8:$F473,"&lt;&gt;Perdida",$N$8:$N473,"&gt;14"),"")</f>
        <v/>
      </c>
      <c r="Q473" s="8"/>
      <c r="R473" s="9"/>
      <c r="S473" s="10"/>
    </row>
    <row r="474" spans="2:19" ht="21.75" customHeight="1" x14ac:dyDescent="0.25">
      <c r="B474" s="24"/>
      <c r="C474" s="24"/>
      <c r="D474" s="24"/>
      <c r="E474" s="24"/>
      <c r="F474" s="38"/>
      <c r="G474" s="27"/>
      <c r="H474" s="24"/>
      <c r="I474" s="27"/>
      <c r="J474" s="26"/>
      <c r="K474" s="24"/>
      <c r="L474" s="24"/>
      <c r="M474" s="24" t="str">
        <f>IF(B474="","",IF(COUNTIFS(Cobranza!$C$9:$C$1008,B474,Cobranza!$N$9:$N$1008,"Vencida")&gt;0,"Vencida",IF(COUNTIFS(Cobranza!$C$9:$C$1008,B474,Cobranza!$N$9:$N$1008,"Parcial")&gt;0,"Parcial",IF(COUNTIFS(Cobranza!$C$9:$C$1008,B474,Cobranza!$N$9:$N$1008,"Pendiente")&gt;0,"Pendiente",IF(COUNTIFS(Cobranza!$C$9:$C$1008,B474,Cobranza!$N$9:$N$1008,"Pagada")&gt;0,"Pagada","")))))</f>
        <v/>
      </c>
      <c r="N474" s="33" t="str">
        <f t="shared" ca="1" si="7"/>
        <v/>
      </c>
      <c r="O474" s="23"/>
      <c r="P474" s="7" t="str">
        <f ca="1">IF(AND(B474&lt;&gt;"",F474&lt;&gt;"Cerrada",F474&lt;&gt;"Perdida",N474&lt;&gt;"",N474&gt;14),COUNTIFS($F$8:$F474,"&lt;&gt;Cerrada",$F$8:$F474,"&lt;&gt;Perdida",$N$8:$N474,"&gt;14"),"")</f>
        <v/>
      </c>
      <c r="Q474" s="8"/>
      <c r="R474" s="9"/>
      <c r="S474" s="10"/>
    </row>
    <row r="475" spans="2:19" ht="21.75" customHeight="1" x14ac:dyDescent="0.25">
      <c r="B475" s="24"/>
      <c r="C475" s="24"/>
      <c r="D475" s="24"/>
      <c r="E475" s="24"/>
      <c r="F475" s="38"/>
      <c r="G475" s="27"/>
      <c r="H475" s="24"/>
      <c r="I475" s="27"/>
      <c r="J475" s="26"/>
      <c r="K475" s="24"/>
      <c r="L475" s="24"/>
      <c r="M475" s="24" t="str">
        <f>IF(B475="","",IF(COUNTIFS(Cobranza!$C$9:$C$1008,B475,Cobranza!$N$9:$N$1008,"Vencida")&gt;0,"Vencida",IF(COUNTIFS(Cobranza!$C$9:$C$1008,B475,Cobranza!$N$9:$N$1008,"Parcial")&gt;0,"Parcial",IF(COUNTIFS(Cobranza!$C$9:$C$1008,B475,Cobranza!$N$9:$N$1008,"Pendiente")&gt;0,"Pendiente",IF(COUNTIFS(Cobranza!$C$9:$C$1008,B475,Cobranza!$N$9:$N$1008,"Pagada")&gt;0,"Pagada","")))))</f>
        <v/>
      </c>
      <c r="N475" s="33" t="str">
        <f t="shared" ca="1" si="7"/>
        <v/>
      </c>
      <c r="O475" s="23"/>
      <c r="P475" s="7" t="str">
        <f ca="1">IF(AND(B475&lt;&gt;"",F475&lt;&gt;"Cerrada",F475&lt;&gt;"Perdida",N475&lt;&gt;"",N475&gt;14),COUNTIFS($F$8:$F475,"&lt;&gt;Cerrada",$F$8:$F475,"&lt;&gt;Perdida",$N$8:$N475,"&gt;14"),"")</f>
        <v/>
      </c>
      <c r="Q475" s="8"/>
      <c r="R475" s="9"/>
      <c r="S475" s="10"/>
    </row>
    <row r="476" spans="2:19" ht="21.75" customHeight="1" x14ac:dyDescent="0.25">
      <c r="B476" s="24"/>
      <c r="C476" s="24"/>
      <c r="D476" s="24"/>
      <c r="E476" s="24"/>
      <c r="F476" s="38"/>
      <c r="G476" s="27"/>
      <c r="H476" s="24"/>
      <c r="I476" s="27"/>
      <c r="J476" s="26"/>
      <c r="K476" s="24"/>
      <c r="L476" s="24"/>
      <c r="M476" s="24" t="str">
        <f>IF(B476="","",IF(COUNTIFS(Cobranza!$C$9:$C$1008,B476,Cobranza!$N$9:$N$1008,"Vencida")&gt;0,"Vencida",IF(COUNTIFS(Cobranza!$C$9:$C$1008,B476,Cobranza!$N$9:$N$1008,"Parcial")&gt;0,"Parcial",IF(COUNTIFS(Cobranza!$C$9:$C$1008,B476,Cobranza!$N$9:$N$1008,"Pendiente")&gt;0,"Pendiente",IF(COUNTIFS(Cobranza!$C$9:$C$1008,B476,Cobranza!$N$9:$N$1008,"Pagada")&gt;0,"Pagada","")))))</f>
        <v/>
      </c>
      <c r="N476" s="33" t="str">
        <f t="shared" ca="1" si="7"/>
        <v/>
      </c>
      <c r="O476" s="23"/>
      <c r="P476" s="7" t="str">
        <f ca="1">IF(AND(B476&lt;&gt;"",F476&lt;&gt;"Cerrada",F476&lt;&gt;"Perdida",N476&lt;&gt;"",N476&gt;14),COUNTIFS($F$8:$F476,"&lt;&gt;Cerrada",$F$8:$F476,"&lt;&gt;Perdida",$N$8:$N476,"&gt;14"),"")</f>
        <v/>
      </c>
      <c r="Q476" s="8"/>
      <c r="R476" s="9"/>
      <c r="S476" s="10"/>
    </row>
    <row r="477" spans="2:19" ht="21.75" customHeight="1" x14ac:dyDescent="0.25">
      <c r="B477" s="24"/>
      <c r="C477" s="24"/>
      <c r="D477" s="24"/>
      <c r="E477" s="24"/>
      <c r="F477" s="38"/>
      <c r="G477" s="27"/>
      <c r="H477" s="24"/>
      <c r="I477" s="27"/>
      <c r="J477" s="26"/>
      <c r="K477" s="24"/>
      <c r="L477" s="24"/>
      <c r="M477" s="24" t="str">
        <f>IF(B477="","",IF(COUNTIFS(Cobranza!$C$9:$C$1008,B477,Cobranza!$N$9:$N$1008,"Vencida")&gt;0,"Vencida",IF(COUNTIFS(Cobranza!$C$9:$C$1008,B477,Cobranza!$N$9:$N$1008,"Parcial")&gt;0,"Parcial",IF(COUNTIFS(Cobranza!$C$9:$C$1008,B477,Cobranza!$N$9:$N$1008,"Pendiente")&gt;0,"Pendiente",IF(COUNTIFS(Cobranza!$C$9:$C$1008,B477,Cobranza!$N$9:$N$1008,"Pagada")&gt;0,"Pagada","")))))</f>
        <v/>
      </c>
      <c r="N477" s="33" t="str">
        <f t="shared" ca="1" si="7"/>
        <v/>
      </c>
      <c r="O477" s="23"/>
      <c r="P477" s="7" t="str">
        <f ca="1">IF(AND(B477&lt;&gt;"",F477&lt;&gt;"Cerrada",F477&lt;&gt;"Perdida",N477&lt;&gt;"",N477&gt;14),COUNTIFS($F$8:$F477,"&lt;&gt;Cerrada",$F$8:$F477,"&lt;&gt;Perdida",$N$8:$N477,"&gt;14"),"")</f>
        <v/>
      </c>
      <c r="Q477" s="8"/>
      <c r="R477" s="9"/>
      <c r="S477" s="10"/>
    </row>
    <row r="478" spans="2:19" ht="21.75" customHeight="1" x14ac:dyDescent="0.25">
      <c r="B478" s="24"/>
      <c r="C478" s="24"/>
      <c r="D478" s="24"/>
      <c r="E478" s="24"/>
      <c r="F478" s="38"/>
      <c r="G478" s="27"/>
      <c r="H478" s="24"/>
      <c r="I478" s="27"/>
      <c r="J478" s="26"/>
      <c r="K478" s="24"/>
      <c r="L478" s="24"/>
      <c r="M478" s="24" t="str">
        <f>IF(B478="","",IF(COUNTIFS(Cobranza!$C$9:$C$1008,B478,Cobranza!$N$9:$N$1008,"Vencida")&gt;0,"Vencida",IF(COUNTIFS(Cobranza!$C$9:$C$1008,B478,Cobranza!$N$9:$N$1008,"Parcial")&gt;0,"Parcial",IF(COUNTIFS(Cobranza!$C$9:$C$1008,B478,Cobranza!$N$9:$N$1008,"Pendiente")&gt;0,"Pendiente",IF(COUNTIFS(Cobranza!$C$9:$C$1008,B478,Cobranza!$N$9:$N$1008,"Pagada")&gt;0,"Pagada","")))))</f>
        <v/>
      </c>
      <c r="N478" s="33" t="str">
        <f t="shared" ca="1" si="7"/>
        <v/>
      </c>
      <c r="O478" s="23"/>
      <c r="P478" s="7" t="str">
        <f ca="1">IF(AND(B478&lt;&gt;"",F478&lt;&gt;"Cerrada",F478&lt;&gt;"Perdida",N478&lt;&gt;"",N478&gt;14),COUNTIFS($F$8:$F478,"&lt;&gt;Cerrada",$F$8:$F478,"&lt;&gt;Perdida",$N$8:$N478,"&gt;14"),"")</f>
        <v/>
      </c>
      <c r="Q478" s="8"/>
      <c r="R478" s="9"/>
      <c r="S478" s="10"/>
    </row>
    <row r="479" spans="2:19" ht="21.75" customHeight="1" x14ac:dyDescent="0.25">
      <c r="B479" s="24"/>
      <c r="C479" s="24"/>
      <c r="D479" s="24"/>
      <c r="E479" s="24"/>
      <c r="F479" s="38"/>
      <c r="G479" s="27"/>
      <c r="H479" s="24"/>
      <c r="I479" s="27"/>
      <c r="J479" s="26"/>
      <c r="K479" s="24"/>
      <c r="L479" s="24"/>
      <c r="M479" s="24" t="str">
        <f>IF(B479="","",IF(COUNTIFS(Cobranza!$C$9:$C$1008,B479,Cobranza!$N$9:$N$1008,"Vencida")&gt;0,"Vencida",IF(COUNTIFS(Cobranza!$C$9:$C$1008,B479,Cobranza!$N$9:$N$1008,"Parcial")&gt;0,"Parcial",IF(COUNTIFS(Cobranza!$C$9:$C$1008,B479,Cobranza!$N$9:$N$1008,"Pendiente")&gt;0,"Pendiente",IF(COUNTIFS(Cobranza!$C$9:$C$1008,B479,Cobranza!$N$9:$N$1008,"Pagada")&gt;0,"Pagada","")))))</f>
        <v/>
      </c>
      <c r="N479" s="33" t="str">
        <f t="shared" ca="1" si="7"/>
        <v/>
      </c>
      <c r="O479" s="23"/>
      <c r="P479" s="7" t="str">
        <f ca="1">IF(AND(B479&lt;&gt;"",F479&lt;&gt;"Cerrada",F479&lt;&gt;"Perdida",N479&lt;&gt;"",N479&gt;14),COUNTIFS($F$8:$F479,"&lt;&gt;Cerrada",$F$8:$F479,"&lt;&gt;Perdida",$N$8:$N479,"&gt;14"),"")</f>
        <v/>
      </c>
      <c r="Q479" s="8"/>
      <c r="R479" s="9"/>
      <c r="S479" s="10"/>
    </row>
    <row r="480" spans="2:19" ht="21.75" customHeight="1" x14ac:dyDescent="0.25">
      <c r="B480" s="24"/>
      <c r="C480" s="24"/>
      <c r="D480" s="24"/>
      <c r="E480" s="24"/>
      <c r="F480" s="38"/>
      <c r="G480" s="27"/>
      <c r="H480" s="24"/>
      <c r="I480" s="27"/>
      <c r="J480" s="26"/>
      <c r="K480" s="24"/>
      <c r="L480" s="24"/>
      <c r="M480" s="24" t="str">
        <f>IF(B480="","",IF(COUNTIFS(Cobranza!$C$9:$C$1008,B480,Cobranza!$N$9:$N$1008,"Vencida")&gt;0,"Vencida",IF(COUNTIFS(Cobranza!$C$9:$C$1008,B480,Cobranza!$N$9:$N$1008,"Parcial")&gt;0,"Parcial",IF(COUNTIFS(Cobranza!$C$9:$C$1008,B480,Cobranza!$N$9:$N$1008,"Pendiente")&gt;0,"Pendiente",IF(COUNTIFS(Cobranza!$C$9:$C$1008,B480,Cobranza!$N$9:$N$1008,"Pagada")&gt;0,"Pagada","")))))</f>
        <v/>
      </c>
      <c r="N480" s="33" t="str">
        <f t="shared" ca="1" si="7"/>
        <v/>
      </c>
      <c r="O480" s="23"/>
      <c r="P480" s="7" t="str">
        <f ca="1">IF(AND(B480&lt;&gt;"",F480&lt;&gt;"Cerrada",F480&lt;&gt;"Perdida",N480&lt;&gt;"",N480&gt;14),COUNTIFS($F$8:$F480,"&lt;&gt;Cerrada",$F$8:$F480,"&lt;&gt;Perdida",$N$8:$N480,"&gt;14"),"")</f>
        <v/>
      </c>
      <c r="Q480" s="8"/>
      <c r="R480" s="9"/>
      <c r="S480" s="10"/>
    </row>
    <row r="481" spans="2:19" ht="21.75" customHeight="1" x14ac:dyDescent="0.25">
      <c r="B481" s="24"/>
      <c r="C481" s="24"/>
      <c r="D481" s="24"/>
      <c r="E481" s="24"/>
      <c r="F481" s="38"/>
      <c r="G481" s="27"/>
      <c r="H481" s="24"/>
      <c r="I481" s="27"/>
      <c r="J481" s="26"/>
      <c r="K481" s="24"/>
      <c r="L481" s="24"/>
      <c r="M481" s="24" t="str">
        <f>IF(B481="","",IF(COUNTIFS(Cobranza!$C$9:$C$1008,B481,Cobranza!$N$9:$N$1008,"Vencida")&gt;0,"Vencida",IF(COUNTIFS(Cobranza!$C$9:$C$1008,B481,Cobranza!$N$9:$N$1008,"Parcial")&gt;0,"Parcial",IF(COUNTIFS(Cobranza!$C$9:$C$1008,B481,Cobranza!$N$9:$N$1008,"Pendiente")&gt;0,"Pendiente",IF(COUNTIFS(Cobranza!$C$9:$C$1008,B481,Cobranza!$N$9:$N$1008,"Pagada")&gt;0,"Pagada","")))))</f>
        <v/>
      </c>
      <c r="N481" s="33" t="str">
        <f t="shared" ca="1" si="7"/>
        <v/>
      </c>
      <c r="O481" s="23"/>
      <c r="P481" s="7" t="str">
        <f ca="1">IF(AND(B481&lt;&gt;"",F481&lt;&gt;"Cerrada",F481&lt;&gt;"Perdida",N481&lt;&gt;"",N481&gt;14),COUNTIFS($F$8:$F481,"&lt;&gt;Cerrada",$F$8:$F481,"&lt;&gt;Perdida",$N$8:$N481,"&gt;14"),"")</f>
        <v/>
      </c>
      <c r="Q481" s="8"/>
      <c r="R481" s="9"/>
      <c r="S481" s="10"/>
    </row>
    <row r="482" spans="2:19" ht="21.75" customHeight="1" x14ac:dyDescent="0.25">
      <c r="B482" s="24"/>
      <c r="C482" s="24"/>
      <c r="D482" s="24"/>
      <c r="E482" s="24"/>
      <c r="F482" s="38"/>
      <c r="G482" s="27"/>
      <c r="H482" s="24"/>
      <c r="I482" s="27"/>
      <c r="J482" s="26"/>
      <c r="K482" s="24"/>
      <c r="L482" s="24"/>
      <c r="M482" s="24" t="str">
        <f>IF(B482="","",IF(COUNTIFS(Cobranza!$C$9:$C$1008,B482,Cobranza!$N$9:$N$1008,"Vencida")&gt;0,"Vencida",IF(COUNTIFS(Cobranza!$C$9:$C$1008,B482,Cobranza!$N$9:$N$1008,"Parcial")&gt;0,"Parcial",IF(COUNTIFS(Cobranza!$C$9:$C$1008,B482,Cobranza!$N$9:$N$1008,"Pendiente")&gt;0,"Pendiente",IF(COUNTIFS(Cobranza!$C$9:$C$1008,B482,Cobranza!$N$9:$N$1008,"Pagada")&gt;0,"Pagada","")))))</f>
        <v/>
      </c>
      <c r="N482" s="33" t="str">
        <f t="shared" ca="1" si="7"/>
        <v/>
      </c>
      <c r="O482" s="23"/>
      <c r="P482" s="7" t="str">
        <f ca="1">IF(AND(B482&lt;&gt;"",F482&lt;&gt;"Cerrada",F482&lt;&gt;"Perdida",N482&lt;&gt;"",N482&gt;14),COUNTIFS($F$8:$F482,"&lt;&gt;Cerrada",$F$8:$F482,"&lt;&gt;Perdida",$N$8:$N482,"&gt;14"),"")</f>
        <v/>
      </c>
      <c r="Q482" s="8"/>
      <c r="R482" s="9"/>
      <c r="S482" s="10"/>
    </row>
    <row r="483" spans="2:19" ht="21.75" customHeight="1" x14ac:dyDescent="0.25">
      <c r="B483" s="24"/>
      <c r="C483" s="24"/>
      <c r="D483" s="24"/>
      <c r="E483" s="24"/>
      <c r="F483" s="38"/>
      <c r="G483" s="27"/>
      <c r="H483" s="24"/>
      <c r="I483" s="27"/>
      <c r="J483" s="26"/>
      <c r="K483" s="24"/>
      <c r="L483" s="24"/>
      <c r="M483" s="24" t="str">
        <f>IF(B483="","",IF(COUNTIFS(Cobranza!$C$9:$C$1008,B483,Cobranza!$N$9:$N$1008,"Vencida")&gt;0,"Vencida",IF(COUNTIFS(Cobranza!$C$9:$C$1008,B483,Cobranza!$N$9:$N$1008,"Parcial")&gt;0,"Parcial",IF(COUNTIFS(Cobranza!$C$9:$C$1008,B483,Cobranza!$N$9:$N$1008,"Pendiente")&gt;0,"Pendiente",IF(COUNTIFS(Cobranza!$C$9:$C$1008,B483,Cobranza!$N$9:$N$1008,"Pagada")&gt;0,"Pagada","")))))</f>
        <v/>
      </c>
      <c r="N483" s="33" t="str">
        <f t="shared" ca="1" si="7"/>
        <v/>
      </c>
      <c r="O483" s="23"/>
      <c r="P483" s="7" t="str">
        <f ca="1">IF(AND(B483&lt;&gt;"",F483&lt;&gt;"Cerrada",F483&lt;&gt;"Perdida",N483&lt;&gt;"",N483&gt;14),COUNTIFS($F$8:$F483,"&lt;&gt;Cerrada",$F$8:$F483,"&lt;&gt;Perdida",$N$8:$N483,"&gt;14"),"")</f>
        <v/>
      </c>
      <c r="Q483" s="8"/>
      <c r="R483" s="9"/>
      <c r="S483" s="10"/>
    </row>
    <row r="484" spans="2:19" ht="21.75" customHeight="1" x14ac:dyDescent="0.25">
      <c r="B484" s="24"/>
      <c r="C484" s="24"/>
      <c r="D484" s="24"/>
      <c r="E484" s="24"/>
      <c r="F484" s="38"/>
      <c r="G484" s="27"/>
      <c r="H484" s="24"/>
      <c r="I484" s="27"/>
      <c r="J484" s="26"/>
      <c r="K484" s="24"/>
      <c r="L484" s="24"/>
      <c r="M484" s="24" t="str">
        <f>IF(B484="","",IF(COUNTIFS(Cobranza!$C$9:$C$1008,B484,Cobranza!$N$9:$N$1008,"Vencida")&gt;0,"Vencida",IF(COUNTIFS(Cobranza!$C$9:$C$1008,B484,Cobranza!$N$9:$N$1008,"Parcial")&gt;0,"Parcial",IF(COUNTIFS(Cobranza!$C$9:$C$1008,B484,Cobranza!$N$9:$N$1008,"Pendiente")&gt;0,"Pendiente",IF(COUNTIFS(Cobranza!$C$9:$C$1008,B484,Cobranza!$N$9:$N$1008,"Pagada")&gt;0,"Pagada","")))))</f>
        <v/>
      </c>
      <c r="N484" s="33" t="str">
        <f t="shared" ca="1" si="7"/>
        <v/>
      </c>
      <c r="O484" s="23"/>
      <c r="P484" s="7" t="str">
        <f ca="1">IF(AND(B484&lt;&gt;"",F484&lt;&gt;"Cerrada",F484&lt;&gt;"Perdida",N484&lt;&gt;"",N484&gt;14),COUNTIFS($F$8:$F484,"&lt;&gt;Cerrada",$F$8:$F484,"&lt;&gt;Perdida",$N$8:$N484,"&gt;14"),"")</f>
        <v/>
      </c>
      <c r="Q484" s="8"/>
      <c r="R484" s="9"/>
      <c r="S484" s="10"/>
    </row>
    <row r="485" spans="2:19" ht="21.75" customHeight="1" x14ac:dyDescent="0.25">
      <c r="B485" s="24"/>
      <c r="C485" s="24"/>
      <c r="D485" s="24"/>
      <c r="E485" s="24"/>
      <c r="F485" s="38"/>
      <c r="G485" s="27"/>
      <c r="H485" s="24"/>
      <c r="I485" s="27"/>
      <c r="J485" s="26"/>
      <c r="K485" s="24"/>
      <c r="L485" s="24"/>
      <c r="M485" s="24" t="str">
        <f>IF(B485="","",IF(COUNTIFS(Cobranza!$C$9:$C$1008,B485,Cobranza!$N$9:$N$1008,"Vencida")&gt;0,"Vencida",IF(COUNTIFS(Cobranza!$C$9:$C$1008,B485,Cobranza!$N$9:$N$1008,"Parcial")&gt;0,"Parcial",IF(COUNTIFS(Cobranza!$C$9:$C$1008,B485,Cobranza!$N$9:$N$1008,"Pendiente")&gt;0,"Pendiente",IF(COUNTIFS(Cobranza!$C$9:$C$1008,B485,Cobranza!$N$9:$N$1008,"Pagada")&gt;0,"Pagada","")))))</f>
        <v/>
      </c>
      <c r="N485" s="33" t="str">
        <f t="shared" ca="1" si="7"/>
        <v/>
      </c>
      <c r="O485" s="23"/>
      <c r="P485" s="7" t="str">
        <f ca="1">IF(AND(B485&lt;&gt;"",F485&lt;&gt;"Cerrada",F485&lt;&gt;"Perdida",N485&lt;&gt;"",N485&gt;14),COUNTIFS($F$8:$F485,"&lt;&gt;Cerrada",$F$8:$F485,"&lt;&gt;Perdida",$N$8:$N485,"&gt;14"),"")</f>
        <v/>
      </c>
      <c r="Q485" s="8"/>
      <c r="R485" s="9"/>
      <c r="S485" s="10"/>
    </row>
    <row r="486" spans="2:19" ht="21.75" customHeight="1" x14ac:dyDescent="0.25">
      <c r="B486" s="24"/>
      <c r="C486" s="24"/>
      <c r="D486" s="24"/>
      <c r="E486" s="24"/>
      <c r="F486" s="38"/>
      <c r="G486" s="27"/>
      <c r="H486" s="24"/>
      <c r="I486" s="27"/>
      <c r="J486" s="26"/>
      <c r="K486" s="24"/>
      <c r="L486" s="24"/>
      <c r="M486" s="24" t="str">
        <f>IF(B486="","",IF(COUNTIFS(Cobranza!$C$9:$C$1008,B486,Cobranza!$N$9:$N$1008,"Vencida")&gt;0,"Vencida",IF(COUNTIFS(Cobranza!$C$9:$C$1008,B486,Cobranza!$N$9:$N$1008,"Parcial")&gt;0,"Parcial",IF(COUNTIFS(Cobranza!$C$9:$C$1008,B486,Cobranza!$N$9:$N$1008,"Pendiente")&gt;0,"Pendiente",IF(COUNTIFS(Cobranza!$C$9:$C$1008,B486,Cobranza!$N$9:$N$1008,"Pagada")&gt;0,"Pagada","")))))</f>
        <v/>
      </c>
      <c r="N486" s="33" t="str">
        <f t="shared" ca="1" si="7"/>
        <v/>
      </c>
      <c r="O486" s="23"/>
      <c r="P486" s="7" t="str">
        <f ca="1">IF(AND(B486&lt;&gt;"",F486&lt;&gt;"Cerrada",F486&lt;&gt;"Perdida",N486&lt;&gt;"",N486&gt;14),COUNTIFS($F$8:$F486,"&lt;&gt;Cerrada",$F$8:$F486,"&lt;&gt;Perdida",$N$8:$N486,"&gt;14"),"")</f>
        <v/>
      </c>
      <c r="Q486" s="8"/>
      <c r="R486" s="9"/>
      <c r="S486" s="10"/>
    </row>
    <row r="487" spans="2:19" ht="21.75" customHeight="1" x14ac:dyDescent="0.25">
      <c r="B487" s="24"/>
      <c r="C487" s="24"/>
      <c r="D487" s="24"/>
      <c r="E487" s="24"/>
      <c r="F487" s="38"/>
      <c r="G487" s="27"/>
      <c r="H487" s="24"/>
      <c r="I487" s="27"/>
      <c r="J487" s="26"/>
      <c r="K487" s="24"/>
      <c r="L487" s="24"/>
      <c r="M487" s="24" t="str">
        <f>IF(B487="","",IF(COUNTIFS(Cobranza!$C$9:$C$1008,B487,Cobranza!$N$9:$N$1008,"Vencida")&gt;0,"Vencida",IF(COUNTIFS(Cobranza!$C$9:$C$1008,B487,Cobranza!$N$9:$N$1008,"Parcial")&gt;0,"Parcial",IF(COUNTIFS(Cobranza!$C$9:$C$1008,B487,Cobranza!$N$9:$N$1008,"Pendiente")&gt;0,"Pendiente",IF(COUNTIFS(Cobranza!$C$9:$C$1008,B487,Cobranza!$N$9:$N$1008,"Pagada")&gt;0,"Pagada","")))))</f>
        <v/>
      </c>
      <c r="N487" s="33" t="str">
        <f t="shared" ca="1" si="7"/>
        <v/>
      </c>
      <c r="O487" s="23"/>
      <c r="P487" s="7" t="str">
        <f ca="1">IF(AND(B487&lt;&gt;"",F487&lt;&gt;"Cerrada",F487&lt;&gt;"Perdida",N487&lt;&gt;"",N487&gt;14),COUNTIFS($F$8:$F487,"&lt;&gt;Cerrada",$F$8:$F487,"&lt;&gt;Perdida",$N$8:$N487,"&gt;14"),"")</f>
        <v/>
      </c>
      <c r="Q487" s="8"/>
      <c r="R487" s="9"/>
      <c r="S487" s="10"/>
    </row>
    <row r="488" spans="2:19" ht="21.75" customHeight="1" x14ac:dyDescent="0.25">
      <c r="B488" s="24"/>
      <c r="C488" s="24"/>
      <c r="D488" s="24"/>
      <c r="E488" s="24"/>
      <c r="F488" s="38"/>
      <c r="G488" s="27"/>
      <c r="H488" s="24"/>
      <c r="I488" s="27"/>
      <c r="J488" s="26"/>
      <c r="K488" s="24"/>
      <c r="L488" s="24"/>
      <c r="M488" s="24" t="str">
        <f>IF(B488="","",IF(COUNTIFS(Cobranza!$C$9:$C$1008,B488,Cobranza!$N$9:$N$1008,"Vencida")&gt;0,"Vencida",IF(COUNTIFS(Cobranza!$C$9:$C$1008,B488,Cobranza!$N$9:$N$1008,"Parcial")&gt;0,"Parcial",IF(COUNTIFS(Cobranza!$C$9:$C$1008,B488,Cobranza!$N$9:$N$1008,"Pendiente")&gt;0,"Pendiente",IF(COUNTIFS(Cobranza!$C$9:$C$1008,B488,Cobranza!$N$9:$N$1008,"Pagada")&gt;0,"Pagada","")))))</f>
        <v/>
      </c>
      <c r="N488" s="33" t="str">
        <f t="shared" ca="1" si="7"/>
        <v/>
      </c>
      <c r="O488" s="23"/>
      <c r="P488" s="7" t="str">
        <f ca="1">IF(AND(B488&lt;&gt;"",F488&lt;&gt;"Cerrada",F488&lt;&gt;"Perdida",N488&lt;&gt;"",N488&gt;14),COUNTIFS($F$8:$F488,"&lt;&gt;Cerrada",$F$8:$F488,"&lt;&gt;Perdida",$N$8:$N488,"&gt;14"),"")</f>
        <v/>
      </c>
      <c r="Q488" s="8"/>
      <c r="R488" s="9"/>
      <c r="S488" s="10"/>
    </row>
    <row r="489" spans="2:19" ht="21.75" customHeight="1" x14ac:dyDescent="0.25">
      <c r="B489" s="24"/>
      <c r="C489" s="24"/>
      <c r="D489" s="24"/>
      <c r="E489" s="24"/>
      <c r="F489" s="38"/>
      <c r="G489" s="27"/>
      <c r="H489" s="24"/>
      <c r="I489" s="27"/>
      <c r="J489" s="26"/>
      <c r="K489" s="24"/>
      <c r="L489" s="24"/>
      <c r="M489" s="24" t="str">
        <f>IF(B489="","",IF(COUNTIFS(Cobranza!$C$9:$C$1008,B489,Cobranza!$N$9:$N$1008,"Vencida")&gt;0,"Vencida",IF(COUNTIFS(Cobranza!$C$9:$C$1008,B489,Cobranza!$N$9:$N$1008,"Parcial")&gt;0,"Parcial",IF(COUNTIFS(Cobranza!$C$9:$C$1008,B489,Cobranza!$N$9:$N$1008,"Pendiente")&gt;0,"Pendiente",IF(COUNTIFS(Cobranza!$C$9:$C$1008,B489,Cobranza!$N$9:$N$1008,"Pagada")&gt;0,"Pagada","")))))</f>
        <v/>
      </c>
      <c r="N489" s="33" t="str">
        <f t="shared" ca="1" si="7"/>
        <v/>
      </c>
      <c r="O489" s="23"/>
      <c r="P489" s="7" t="str">
        <f ca="1">IF(AND(B489&lt;&gt;"",F489&lt;&gt;"Cerrada",F489&lt;&gt;"Perdida",N489&lt;&gt;"",N489&gt;14),COUNTIFS($F$8:$F489,"&lt;&gt;Cerrada",$F$8:$F489,"&lt;&gt;Perdida",$N$8:$N489,"&gt;14"),"")</f>
        <v/>
      </c>
      <c r="Q489" s="8"/>
      <c r="R489" s="9"/>
      <c r="S489" s="10"/>
    </row>
    <row r="490" spans="2:19" ht="21.75" customHeight="1" x14ac:dyDescent="0.25">
      <c r="B490" s="24"/>
      <c r="C490" s="24"/>
      <c r="D490" s="24"/>
      <c r="E490" s="24"/>
      <c r="F490" s="38"/>
      <c r="G490" s="27"/>
      <c r="H490" s="24"/>
      <c r="I490" s="27"/>
      <c r="J490" s="26"/>
      <c r="K490" s="24"/>
      <c r="L490" s="24"/>
      <c r="M490" s="24" t="str">
        <f>IF(B490="","",IF(COUNTIFS(Cobranza!$C$9:$C$1008,B490,Cobranza!$N$9:$N$1008,"Vencida")&gt;0,"Vencida",IF(COUNTIFS(Cobranza!$C$9:$C$1008,B490,Cobranza!$N$9:$N$1008,"Parcial")&gt;0,"Parcial",IF(COUNTIFS(Cobranza!$C$9:$C$1008,B490,Cobranza!$N$9:$N$1008,"Pendiente")&gt;0,"Pendiente",IF(COUNTIFS(Cobranza!$C$9:$C$1008,B490,Cobranza!$N$9:$N$1008,"Pagada")&gt;0,"Pagada","")))))</f>
        <v/>
      </c>
      <c r="N490" s="33" t="str">
        <f t="shared" ca="1" si="7"/>
        <v/>
      </c>
      <c r="O490" s="23"/>
      <c r="P490" s="7" t="str">
        <f ca="1">IF(AND(B490&lt;&gt;"",F490&lt;&gt;"Cerrada",F490&lt;&gt;"Perdida",N490&lt;&gt;"",N490&gt;14),COUNTIFS($F$8:$F490,"&lt;&gt;Cerrada",$F$8:$F490,"&lt;&gt;Perdida",$N$8:$N490,"&gt;14"),"")</f>
        <v/>
      </c>
      <c r="Q490" s="8"/>
      <c r="R490" s="9"/>
      <c r="S490" s="10"/>
    </row>
    <row r="491" spans="2:19" ht="21.75" customHeight="1" x14ac:dyDescent="0.25">
      <c r="B491" s="24"/>
      <c r="C491" s="24"/>
      <c r="D491" s="24"/>
      <c r="E491" s="24"/>
      <c r="F491" s="38"/>
      <c r="G491" s="27"/>
      <c r="H491" s="24"/>
      <c r="I491" s="27"/>
      <c r="J491" s="26"/>
      <c r="K491" s="24"/>
      <c r="L491" s="24"/>
      <c r="M491" s="24" t="str">
        <f>IF(B491="","",IF(COUNTIFS(Cobranza!$C$9:$C$1008,B491,Cobranza!$N$9:$N$1008,"Vencida")&gt;0,"Vencida",IF(COUNTIFS(Cobranza!$C$9:$C$1008,B491,Cobranza!$N$9:$N$1008,"Parcial")&gt;0,"Parcial",IF(COUNTIFS(Cobranza!$C$9:$C$1008,B491,Cobranza!$N$9:$N$1008,"Pendiente")&gt;0,"Pendiente",IF(COUNTIFS(Cobranza!$C$9:$C$1008,B491,Cobranza!$N$9:$N$1008,"Pagada")&gt;0,"Pagada","")))))</f>
        <v/>
      </c>
      <c r="N491" s="33" t="str">
        <f t="shared" ca="1" si="7"/>
        <v/>
      </c>
      <c r="O491" s="23"/>
      <c r="P491" s="7" t="str">
        <f ca="1">IF(AND(B491&lt;&gt;"",F491&lt;&gt;"Cerrada",F491&lt;&gt;"Perdida",N491&lt;&gt;"",N491&gt;14),COUNTIFS($F$8:$F491,"&lt;&gt;Cerrada",$F$8:$F491,"&lt;&gt;Perdida",$N$8:$N491,"&gt;14"),"")</f>
        <v/>
      </c>
      <c r="Q491" s="8"/>
      <c r="R491" s="9"/>
      <c r="S491" s="10"/>
    </row>
    <row r="492" spans="2:19" ht="21.75" customHeight="1" x14ac:dyDescent="0.25">
      <c r="B492" s="24"/>
      <c r="C492" s="24"/>
      <c r="D492" s="24"/>
      <c r="E492" s="24"/>
      <c r="F492" s="38"/>
      <c r="G492" s="27"/>
      <c r="H492" s="24"/>
      <c r="I492" s="27"/>
      <c r="J492" s="26"/>
      <c r="K492" s="24"/>
      <c r="L492" s="24"/>
      <c r="M492" s="24" t="str">
        <f>IF(B492="","",IF(COUNTIFS(Cobranza!$C$9:$C$1008,B492,Cobranza!$N$9:$N$1008,"Vencida")&gt;0,"Vencida",IF(COUNTIFS(Cobranza!$C$9:$C$1008,B492,Cobranza!$N$9:$N$1008,"Parcial")&gt;0,"Parcial",IF(COUNTIFS(Cobranza!$C$9:$C$1008,B492,Cobranza!$N$9:$N$1008,"Pendiente")&gt;0,"Pendiente",IF(COUNTIFS(Cobranza!$C$9:$C$1008,B492,Cobranza!$N$9:$N$1008,"Pagada")&gt;0,"Pagada","")))))</f>
        <v/>
      </c>
      <c r="N492" s="33" t="str">
        <f t="shared" ca="1" si="7"/>
        <v/>
      </c>
      <c r="O492" s="23"/>
      <c r="P492" s="7" t="str">
        <f ca="1">IF(AND(B492&lt;&gt;"",F492&lt;&gt;"Cerrada",F492&lt;&gt;"Perdida",N492&lt;&gt;"",N492&gt;14),COUNTIFS($F$8:$F492,"&lt;&gt;Cerrada",$F$8:$F492,"&lt;&gt;Perdida",$N$8:$N492,"&gt;14"),"")</f>
        <v/>
      </c>
      <c r="Q492" s="8"/>
      <c r="R492" s="9"/>
      <c r="S492" s="10"/>
    </row>
    <row r="493" spans="2:19" ht="21.75" customHeight="1" x14ac:dyDescent="0.25">
      <c r="B493" s="24"/>
      <c r="C493" s="24"/>
      <c r="D493" s="24"/>
      <c r="E493" s="24"/>
      <c r="F493" s="38"/>
      <c r="G493" s="27"/>
      <c r="H493" s="24"/>
      <c r="I493" s="27"/>
      <c r="J493" s="26"/>
      <c r="K493" s="24"/>
      <c r="L493" s="24"/>
      <c r="M493" s="24" t="str">
        <f>IF(B493="","",IF(COUNTIFS(Cobranza!$C$9:$C$1008,B493,Cobranza!$N$9:$N$1008,"Vencida")&gt;0,"Vencida",IF(COUNTIFS(Cobranza!$C$9:$C$1008,B493,Cobranza!$N$9:$N$1008,"Parcial")&gt;0,"Parcial",IF(COUNTIFS(Cobranza!$C$9:$C$1008,B493,Cobranza!$N$9:$N$1008,"Pendiente")&gt;0,"Pendiente",IF(COUNTIFS(Cobranza!$C$9:$C$1008,B493,Cobranza!$N$9:$N$1008,"Pagada")&gt;0,"Pagada","")))))</f>
        <v/>
      </c>
      <c r="N493" s="33" t="str">
        <f t="shared" ca="1" si="7"/>
        <v/>
      </c>
      <c r="O493" s="23"/>
      <c r="P493" s="7" t="str">
        <f ca="1">IF(AND(B493&lt;&gt;"",F493&lt;&gt;"Cerrada",F493&lt;&gt;"Perdida",N493&lt;&gt;"",N493&gt;14),COUNTIFS($F$8:$F493,"&lt;&gt;Cerrada",$F$8:$F493,"&lt;&gt;Perdida",$N$8:$N493,"&gt;14"),"")</f>
        <v/>
      </c>
      <c r="Q493" s="8"/>
      <c r="R493" s="9"/>
      <c r="S493" s="10"/>
    </row>
    <row r="494" spans="2:19" ht="21.75" customHeight="1" x14ac:dyDescent="0.25">
      <c r="B494" s="24"/>
      <c r="C494" s="24"/>
      <c r="D494" s="24"/>
      <c r="E494" s="24"/>
      <c r="F494" s="38"/>
      <c r="G494" s="27"/>
      <c r="H494" s="24"/>
      <c r="I494" s="27"/>
      <c r="J494" s="26"/>
      <c r="K494" s="24"/>
      <c r="L494" s="24"/>
      <c r="M494" s="24" t="str">
        <f>IF(B494="","",IF(COUNTIFS(Cobranza!$C$9:$C$1008,B494,Cobranza!$N$9:$N$1008,"Vencida")&gt;0,"Vencida",IF(COUNTIFS(Cobranza!$C$9:$C$1008,B494,Cobranza!$N$9:$N$1008,"Parcial")&gt;0,"Parcial",IF(COUNTIFS(Cobranza!$C$9:$C$1008,B494,Cobranza!$N$9:$N$1008,"Pendiente")&gt;0,"Pendiente",IF(COUNTIFS(Cobranza!$C$9:$C$1008,B494,Cobranza!$N$9:$N$1008,"Pagada")&gt;0,"Pagada","")))))</f>
        <v/>
      </c>
      <c r="N494" s="33" t="str">
        <f t="shared" ca="1" si="7"/>
        <v/>
      </c>
      <c r="O494" s="23"/>
      <c r="P494" s="7" t="str">
        <f ca="1">IF(AND(B494&lt;&gt;"",F494&lt;&gt;"Cerrada",F494&lt;&gt;"Perdida",N494&lt;&gt;"",N494&gt;14),COUNTIFS($F$8:$F494,"&lt;&gt;Cerrada",$F$8:$F494,"&lt;&gt;Perdida",$N$8:$N494,"&gt;14"),"")</f>
        <v/>
      </c>
      <c r="Q494" s="8"/>
      <c r="R494" s="9"/>
      <c r="S494" s="10"/>
    </row>
    <row r="495" spans="2:19" ht="21.75" customHeight="1" x14ac:dyDescent="0.25">
      <c r="B495" s="24"/>
      <c r="C495" s="24"/>
      <c r="D495" s="24"/>
      <c r="E495" s="24"/>
      <c r="F495" s="38"/>
      <c r="G495" s="27"/>
      <c r="H495" s="24"/>
      <c r="I495" s="27"/>
      <c r="J495" s="26"/>
      <c r="K495" s="24"/>
      <c r="L495" s="24"/>
      <c r="M495" s="24" t="str">
        <f>IF(B495="","",IF(COUNTIFS(Cobranza!$C$9:$C$1008,B495,Cobranza!$N$9:$N$1008,"Vencida")&gt;0,"Vencida",IF(COUNTIFS(Cobranza!$C$9:$C$1008,B495,Cobranza!$N$9:$N$1008,"Parcial")&gt;0,"Parcial",IF(COUNTIFS(Cobranza!$C$9:$C$1008,B495,Cobranza!$N$9:$N$1008,"Pendiente")&gt;0,"Pendiente",IF(COUNTIFS(Cobranza!$C$9:$C$1008,B495,Cobranza!$N$9:$N$1008,"Pagada")&gt;0,"Pagada","")))))</f>
        <v/>
      </c>
      <c r="N495" s="33" t="str">
        <f t="shared" ca="1" si="7"/>
        <v/>
      </c>
      <c r="O495" s="23"/>
      <c r="P495" s="7" t="str">
        <f ca="1">IF(AND(B495&lt;&gt;"",F495&lt;&gt;"Cerrada",F495&lt;&gt;"Perdida",N495&lt;&gt;"",N495&gt;14),COUNTIFS($F$8:$F495,"&lt;&gt;Cerrada",$F$8:$F495,"&lt;&gt;Perdida",$N$8:$N495,"&gt;14"),"")</f>
        <v/>
      </c>
      <c r="Q495" s="8"/>
      <c r="R495" s="9"/>
      <c r="S495" s="10"/>
    </row>
    <row r="496" spans="2:19" ht="21.75" customHeight="1" x14ac:dyDescent="0.25">
      <c r="B496" s="24"/>
      <c r="C496" s="24"/>
      <c r="D496" s="24"/>
      <c r="E496" s="24"/>
      <c r="F496" s="38"/>
      <c r="G496" s="27"/>
      <c r="H496" s="24"/>
      <c r="I496" s="27"/>
      <c r="J496" s="26"/>
      <c r="K496" s="24"/>
      <c r="L496" s="24"/>
      <c r="M496" s="24" t="str">
        <f>IF(B496="","",IF(COUNTIFS(Cobranza!$C$9:$C$1008,B496,Cobranza!$N$9:$N$1008,"Vencida")&gt;0,"Vencida",IF(COUNTIFS(Cobranza!$C$9:$C$1008,B496,Cobranza!$N$9:$N$1008,"Parcial")&gt;0,"Parcial",IF(COUNTIFS(Cobranza!$C$9:$C$1008,B496,Cobranza!$N$9:$N$1008,"Pendiente")&gt;0,"Pendiente",IF(COUNTIFS(Cobranza!$C$9:$C$1008,B496,Cobranza!$N$9:$N$1008,"Pagada")&gt;0,"Pagada","")))))</f>
        <v/>
      </c>
      <c r="N496" s="33" t="str">
        <f t="shared" ca="1" si="7"/>
        <v/>
      </c>
      <c r="O496" s="23"/>
      <c r="P496" s="7" t="str">
        <f ca="1">IF(AND(B496&lt;&gt;"",F496&lt;&gt;"Cerrada",F496&lt;&gt;"Perdida",N496&lt;&gt;"",N496&gt;14),COUNTIFS($F$8:$F496,"&lt;&gt;Cerrada",$F$8:$F496,"&lt;&gt;Perdida",$N$8:$N496,"&gt;14"),"")</f>
        <v/>
      </c>
      <c r="Q496" s="8"/>
      <c r="R496" s="9"/>
      <c r="S496" s="10"/>
    </row>
    <row r="497" spans="2:19" ht="21.75" customHeight="1" x14ac:dyDescent="0.25">
      <c r="B497" s="24"/>
      <c r="C497" s="24"/>
      <c r="D497" s="24"/>
      <c r="E497" s="24"/>
      <c r="F497" s="38"/>
      <c r="G497" s="27"/>
      <c r="H497" s="24"/>
      <c r="I497" s="27"/>
      <c r="J497" s="26"/>
      <c r="K497" s="24"/>
      <c r="L497" s="24"/>
      <c r="M497" s="24" t="str">
        <f>IF(B497="","",IF(COUNTIFS(Cobranza!$C$9:$C$1008,B497,Cobranza!$N$9:$N$1008,"Vencida")&gt;0,"Vencida",IF(COUNTIFS(Cobranza!$C$9:$C$1008,B497,Cobranza!$N$9:$N$1008,"Parcial")&gt;0,"Parcial",IF(COUNTIFS(Cobranza!$C$9:$C$1008,B497,Cobranza!$N$9:$N$1008,"Pendiente")&gt;0,"Pendiente",IF(COUNTIFS(Cobranza!$C$9:$C$1008,B497,Cobranza!$N$9:$N$1008,"Pagada")&gt;0,"Pagada","")))))</f>
        <v/>
      </c>
      <c r="N497" s="33" t="str">
        <f t="shared" ca="1" si="7"/>
        <v/>
      </c>
      <c r="O497" s="23"/>
      <c r="P497" s="7" t="str">
        <f ca="1">IF(AND(B497&lt;&gt;"",F497&lt;&gt;"Cerrada",F497&lt;&gt;"Perdida",N497&lt;&gt;"",N497&gt;14),COUNTIFS($F$8:$F497,"&lt;&gt;Cerrada",$F$8:$F497,"&lt;&gt;Perdida",$N$8:$N497,"&gt;14"),"")</f>
        <v/>
      </c>
      <c r="Q497" s="8"/>
      <c r="R497" s="9"/>
      <c r="S497" s="10"/>
    </row>
    <row r="498" spans="2:19" ht="21.75" customHeight="1" x14ac:dyDescent="0.25">
      <c r="B498" s="24"/>
      <c r="C498" s="24"/>
      <c r="D498" s="24"/>
      <c r="E498" s="24"/>
      <c r="F498" s="38"/>
      <c r="G498" s="27"/>
      <c r="H498" s="24"/>
      <c r="I498" s="27"/>
      <c r="J498" s="26"/>
      <c r="K498" s="24"/>
      <c r="L498" s="24"/>
      <c r="M498" s="24" t="str">
        <f>IF(B498="","",IF(COUNTIFS(Cobranza!$C$9:$C$1008,B498,Cobranza!$N$9:$N$1008,"Vencida")&gt;0,"Vencida",IF(COUNTIFS(Cobranza!$C$9:$C$1008,B498,Cobranza!$N$9:$N$1008,"Parcial")&gt;0,"Parcial",IF(COUNTIFS(Cobranza!$C$9:$C$1008,B498,Cobranza!$N$9:$N$1008,"Pendiente")&gt;0,"Pendiente",IF(COUNTIFS(Cobranza!$C$9:$C$1008,B498,Cobranza!$N$9:$N$1008,"Pagada")&gt;0,"Pagada","")))))</f>
        <v/>
      </c>
      <c r="N498" s="33" t="str">
        <f t="shared" ca="1" si="7"/>
        <v/>
      </c>
      <c r="O498" s="23"/>
      <c r="P498" s="7" t="str">
        <f ca="1">IF(AND(B498&lt;&gt;"",F498&lt;&gt;"Cerrada",F498&lt;&gt;"Perdida",N498&lt;&gt;"",N498&gt;14),COUNTIFS($F$8:$F498,"&lt;&gt;Cerrada",$F$8:$F498,"&lt;&gt;Perdida",$N$8:$N498,"&gt;14"),"")</f>
        <v/>
      </c>
      <c r="Q498" s="8"/>
      <c r="R498" s="9"/>
      <c r="S498" s="10"/>
    </row>
    <row r="499" spans="2:19" ht="21.75" customHeight="1" x14ac:dyDescent="0.25">
      <c r="B499" s="24"/>
      <c r="C499" s="24"/>
      <c r="D499" s="24"/>
      <c r="E499" s="24"/>
      <c r="F499" s="38"/>
      <c r="G499" s="27"/>
      <c r="H499" s="24"/>
      <c r="I499" s="27"/>
      <c r="J499" s="26"/>
      <c r="K499" s="24"/>
      <c r="L499" s="24"/>
      <c r="M499" s="24" t="str">
        <f>IF(B499="","",IF(COUNTIFS(Cobranza!$C$9:$C$1008,B499,Cobranza!$N$9:$N$1008,"Vencida")&gt;0,"Vencida",IF(COUNTIFS(Cobranza!$C$9:$C$1008,B499,Cobranza!$N$9:$N$1008,"Parcial")&gt;0,"Parcial",IF(COUNTIFS(Cobranza!$C$9:$C$1008,B499,Cobranza!$N$9:$N$1008,"Pendiente")&gt;0,"Pendiente",IF(COUNTIFS(Cobranza!$C$9:$C$1008,B499,Cobranza!$N$9:$N$1008,"Pagada")&gt;0,"Pagada","")))))</f>
        <v/>
      </c>
      <c r="N499" s="33" t="str">
        <f t="shared" ca="1" si="7"/>
        <v/>
      </c>
      <c r="O499" s="23"/>
      <c r="P499" s="7" t="str">
        <f ca="1">IF(AND(B499&lt;&gt;"",F499&lt;&gt;"Cerrada",F499&lt;&gt;"Perdida",N499&lt;&gt;"",N499&gt;14),COUNTIFS($F$8:$F499,"&lt;&gt;Cerrada",$F$8:$F499,"&lt;&gt;Perdida",$N$8:$N499,"&gt;14"),"")</f>
        <v/>
      </c>
      <c r="Q499" s="8"/>
      <c r="R499" s="9"/>
      <c r="S499" s="10"/>
    </row>
    <row r="500" spans="2:19" ht="21.75" customHeight="1" x14ac:dyDescent="0.25">
      <c r="B500" s="24"/>
      <c r="C500" s="24"/>
      <c r="D500" s="24"/>
      <c r="E500" s="24"/>
      <c r="F500" s="38"/>
      <c r="G500" s="27"/>
      <c r="H500" s="24"/>
      <c r="I500" s="27"/>
      <c r="J500" s="26"/>
      <c r="K500" s="24"/>
      <c r="L500" s="24"/>
      <c r="M500" s="24" t="str">
        <f>IF(B500="","",IF(COUNTIFS(Cobranza!$C$9:$C$1008,B500,Cobranza!$N$9:$N$1008,"Vencida")&gt;0,"Vencida",IF(COUNTIFS(Cobranza!$C$9:$C$1008,B500,Cobranza!$N$9:$N$1008,"Parcial")&gt;0,"Parcial",IF(COUNTIFS(Cobranza!$C$9:$C$1008,B500,Cobranza!$N$9:$N$1008,"Pendiente")&gt;0,"Pendiente",IF(COUNTIFS(Cobranza!$C$9:$C$1008,B500,Cobranza!$N$9:$N$1008,"Pagada")&gt;0,"Pagada","")))))</f>
        <v/>
      </c>
      <c r="N500" s="33" t="str">
        <f t="shared" ca="1" si="7"/>
        <v/>
      </c>
      <c r="O500" s="23"/>
      <c r="P500" s="7" t="str">
        <f ca="1">IF(AND(B500&lt;&gt;"",F500&lt;&gt;"Cerrada",F500&lt;&gt;"Perdida",N500&lt;&gt;"",N500&gt;14),COUNTIFS($F$8:$F500,"&lt;&gt;Cerrada",$F$8:$F500,"&lt;&gt;Perdida",$N$8:$N500,"&gt;14"),"")</f>
        <v/>
      </c>
      <c r="Q500" s="8"/>
      <c r="R500" s="9"/>
      <c r="S500" s="10"/>
    </row>
    <row r="501" spans="2:19" ht="21.75" customHeight="1" x14ac:dyDescent="0.25">
      <c r="B501" s="24"/>
      <c r="C501" s="24"/>
      <c r="D501" s="24"/>
      <c r="E501" s="24"/>
      <c r="F501" s="38"/>
      <c r="G501" s="27"/>
      <c r="H501" s="24"/>
      <c r="I501" s="27"/>
      <c r="J501" s="26"/>
      <c r="K501" s="24"/>
      <c r="L501" s="24"/>
      <c r="M501" s="24" t="str">
        <f>IF(B501="","",IF(COUNTIFS(Cobranza!$C$9:$C$1008,B501,Cobranza!$N$9:$N$1008,"Vencida")&gt;0,"Vencida",IF(COUNTIFS(Cobranza!$C$9:$C$1008,B501,Cobranza!$N$9:$N$1008,"Parcial")&gt;0,"Parcial",IF(COUNTIFS(Cobranza!$C$9:$C$1008,B501,Cobranza!$N$9:$N$1008,"Pendiente")&gt;0,"Pendiente",IF(COUNTIFS(Cobranza!$C$9:$C$1008,B501,Cobranza!$N$9:$N$1008,"Pagada")&gt;0,"Pagada","")))))</f>
        <v/>
      </c>
      <c r="N501" s="33" t="str">
        <f t="shared" ca="1" si="7"/>
        <v/>
      </c>
      <c r="O501" s="23"/>
      <c r="P501" s="7" t="str">
        <f ca="1">IF(AND(B501&lt;&gt;"",F501&lt;&gt;"Cerrada",F501&lt;&gt;"Perdida",N501&lt;&gt;"",N501&gt;14),COUNTIFS($F$8:$F501,"&lt;&gt;Cerrada",$F$8:$F501,"&lt;&gt;Perdida",$N$8:$N501,"&gt;14"),"")</f>
        <v/>
      </c>
      <c r="Q501" s="8"/>
      <c r="R501" s="9"/>
      <c r="S501" s="10"/>
    </row>
    <row r="502" spans="2:19" ht="21.75" customHeight="1" x14ac:dyDescent="0.25">
      <c r="B502" s="24"/>
      <c r="C502" s="24"/>
      <c r="D502" s="24"/>
      <c r="E502" s="24"/>
      <c r="F502" s="38"/>
      <c r="G502" s="27"/>
      <c r="H502" s="24"/>
      <c r="I502" s="27"/>
      <c r="J502" s="26"/>
      <c r="K502" s="24"/>
      <c r="L502" s="24"/>
      <c r="M502" s="24" t="str">
        <f>IF(B502="","",IF(COUNTIFS(Cobranza!$C$9:$C$1008,B502,Cobranza!$N$9:$N$1008,"Vencida")&gt;0,"Vencida",IF(COUNTIFS(Cobranza!$C$9:$C$1008,B502,Cobranza!$N$9:$N$1008,"Parcial")&gt;0,"Parcial",IF(COUNTIFS(Cobranza!$C$9:$C$1008,B502,Cobranza!$N$9:$N$1008,"Pendiente")&gt;0,"Pendiente",IF(COUNTIFS(Cobranza!$C$9:$C$1008,B502,Cobranza!$N$9:$N$1008,"Pagada")&gt;0,"Pagada","")))))</f>
        <v/>
      </c>
      <c r="N502" s="33" t="str">
        <f t="shared" ca="1" si="7"/>
        <v/>
      </c>
      <c r="O502" s="23"/>
      <c r="P502" s="7" t="str">
        <f ca="1">IF(AND(B502&lt;&gt;"",F502&lt;&gt;"Cerrada",F502&lt;&gt;"Perdida",N502&lt;&gt;"",N502&gt;14),COUNTIFS($F$8:$F502,"&lt;&gt;Cerrada",$F$8:$F502,"&lt;&gt;Perdida",$N$8:$N502,"&gt;14"),"")</f>
        <v/>
      </c>
      <c r="Q502" s="8"/>
      <c r="R502" s="9"/>
      <c r="S502" s="10"/>
    </row>
    <row r="503" spans="2:19" ht="21.75" customHeight="1" x14ac:dyDescent="0.25">
      <c r="B503" s="24"/>
      <c r="C503" s="24"/>
      <c r="D503" s="24"/>
      <c r="E503" s="24"/>
      <c r="F503" s="38"/>
      <c r="G503" s="27"/>
      <c r="H503" s="24"/>
      <c r="I503" s="27"/>
      <c r="J503" s="26"/>
      <c r="K503" s="24"/>
      <c r="L503" s="24"/>
      <c r="M503" s="24" t="str">
        <f>IF(B503="","",IF(COUNTIFS(Cobranza!$C$9:$C$1008,B503,Cobranza!$N$9:$N$1008,"Vencida")&gt;0,"Vencida",IF(COUNTIFS(Cobranza!$C$9:$C$1008,B503,Cobranza!$N$9:$N$1008,"Parcial")&gt;0,"Parcial",IF(COUNTIFS(Cobranza!$C$9:$C$1008,B503,Cobranza!$N$9:$N$1008,"Pendiente")&gt;0,"Pendiente",IF(COUNTIFS(Cobranza!$C$9:$C$1008,B503,Cobranza!$N$9:$N$1008,"Pagada")&gt;0,"Pagada","")))))</f>
        <v/>
      </c>
      <c r="N503" s="33" t="str">
        <f t="shared" ca="1" si="7"/>
        <v/>
      </c>
      <c r="O503" s="23"/>
      <c r="P503" s="7" t="str">
        <f ca="1">IF(AND(B503&lt;&gt;"",F503&lt;&gt;"Cerrada",F503&lt;&gt;"Perdida",N503&lt;&gt;"",N503&gt;14),COUNTIFS($F$8:$F503,"&lt;&gt;Cerrada",$F$8:$F503,"&lt;&gt;Perdida",$N$8:$N503,"&gt;14"),"")</f>
        <v/>
      </c>
      <c r="Q503" s="8"/>
      <c r="R503" s="9"/>
      <c r="S503" s="10"/>
    </row>
    <row r="504" spans="2:19" ht="21.75" customHeight="1" x14ac:dyDescent="0.25">
      <c r="B504" s="24"/>
      <c r="C504" s="24"/>
      <c r="D504" s="24"/>
      <c r="E504" s="24"/>
      <c r="F504" s="38"/>
      <c r="G504" s="27"/>
      <c r="H504" s="24"/>
      <c r="I504" s="27"/>
      <c r="J504" s="26"/>
      <c r="K504" s="24"/>
      <c r="L504" s="24"/>
      <c r="M504" s="24" t="str">
        <f>IF(B504="","",IF(COUNTIFS(Cobranza!$C$9:$C$1008,B504,Cobranza!$N$9:$N$1008,"Vencida")&gt;0,"Vencida",IF(COUNTIFS(Cobranza!$C$9:$C$1008,B504,Cobranza!$N$9:$N$1008,"Parcial")&gt;0,"Parcial",IF(COUNTIFS(Cobranza!$C$9:$C$1008,B504,Cobranza!$N$9:$N$1008,"Pendiente")&gt;0,"Pendiente",IF(COUNTIFS(Cobranza!$C$9:$C$1008,B504,Cobranza!$N$9:$N$1008,"Pagada")&gt;0,"Pagada","")))))</f>
        <v/>
      </c>
      <c r="N504" s="33" t="str">
        <f t="shared" ca="1" si="7"/>
        <v/>
      </c>
      <c r="O504" s="23"/>
      <c r="P504" s="7" t="str">
        <f ca="1">IF(AND(B504&lt;&gt;"",F504&lt;&gt;"Cerrada",F504&lt;&gt;"Perdida",N504&lt;&gt;"",N504&gt;14),COUNTIFS($F$8:$F504,"&lt;&gt;Cerrada",$F$8:$F504,"&lt;&gt;Perdida",$N$8:$N504,"&gt;14"),"")</f>
        <v/>
      </c>
      <c r="Q504" s="8"/>
      <c r="R504" s="9"/>
      <c r="S504" s="10"/>
    </row>
    <row r="505" spans="2:19" ht="21.75" customHeight="1" x14ac:dyDescent="0.25">
      <c r="B505" s="24"/>
      <c r="C505" s="24"/>
      <c r="D505" s="24"/>
      <c r="E505" s="24"/>
      <c r="F505" s="38"/>
      <c r="G505" s="27"/>
      <c r="H505" s="24"/>
      <c r="I505" s="27"/>
      <c r="J505" s="26"/>
      <c r="K505" s="24"/>
      <c r="L505" s="24"/>
      <c r="M505" s="24" t="str">
        <f>IF(B505="","",IF(COUNTIFS(Cobranza!$C$9:$C$1008,B505,Cobranza!$N$9:$N$1008,"Vencida")&gt;0,"Vencida",IF(COUNTIFS(Cobranza!$C$9:$C$1008,B505,Cobranza!$N$9:$N$1008,"Parcial")&gt;0,"Parcial",IF(COUNTIFS(Cobranza!$C$9:$C$1008,B505,Cobranza!$N$9:$N$1008,"Pendiente")&gt;0,"Pendiente",IF(COUNTIFS(Cobranza!$C$9:$C$1008,B505,Cobranza!$N$9:$N$1008,"Pagada")&gt;0,"Pagada","")))))</f>
        <v/>
      </c>
      <c r="N505" s="33" t="str">
        <f t="shared" ca="1" si="7"/>
        <v/>
      </c>
      <c r="O505" s="23"/>
      <c r="P505" s="7" t="str">
        <f ca="1">IF(AND(B505&lt;&gt;"",F505&lt;&gt;"Cerrada",F505&lt;&gt;"Perdida",N505&lt;&gt;"",N505&gt;14),COUNTIFS($F$8:$F505,"&lt;&gt;Cerrada",$F$8:$F505,"&lt;&gt;Perdida",$N$8:$N505,"&gt;14"),"")</f>
        <v/>
      </c>
      <c r="Q505" s="8"/>
      <c r="R505" s="9"/>
      <c r="S505" s="10"/>
    </row>
    <row r="506" spans="2:19" ht="21.75" customHeight="1" x14ac:dyDescent="0.25">
      <c r="B506" s="24"/>
      <c r="C506" s="24"/>
      <c r="D506" s="24"/>
      <c r="E506" s="24"/>
      <c r="F506" s="38"/>
      <c r="G506" s="27"/>
      <c r="H506" s="24"/>
      <c r="I506" s="27"/>
      <c r="J506" s="26"/>
      <c r="K506" s="24"/>
      <c r="L506" s="24"/>
      <c r="M506" s="24" t="str">
        <f>IF(B506="","",IF(COUNTIFS(Cobranza!$C$9:$C$1008,B506,Cobranza!$N$9:$N$1008,"Vencida")&gt;0,"Vencida",IF(COUNTIFS(Cobranza!$C$9:$C$1008,B506,Cobranza!$N$9:$N$1008,"Parcial")&gt;0,"Parcial",IF(COUNTIFS(Cobranza!$C$9:$C$1008,B506,Cobranza!$N$9:$N$1008,"Pendiente")&gt;0,"Pendiente",IF(COUNTIFS(Cobranza!$C$9:$C$1008,B506,Cobranza!$N$9:$N$1008,"Pagada")&gt;0,"Pagada","")))))</f>
        <v/>
      </c>
      <c r="N506" s="33" t="str">
        <f t="shared" ca="1" si="7"/>
        <v/>
      </c>
      <c r="O506" s="23"/>
      <c r="P506" s="7" t="str">
        <f ca="1">IF(AND(B506&lt;&gt;"",F506&lt;&gt;"Cerrada",F506&lt;&gt;"Perdida",N506&lt;&gt;"",N506&gt;14),COUNTIFS($F$8:$F506,"&lt;&gt;Cerrada",$F$8:$F506,"&lt;&gt;Perdida",$N$8:$N506,"&gt;14"),"")</f>
        <v/>
      </c>
      <c r="Q506" s="8"/>
      <c r="R506" s="9"/>
      <c r="S506" s="10"/>
    </row>
    <row r="507" spans="2:19" ht="21.75" customHeight="1" x14ac:dyDescent="0.25">
      <c r="B507" s="24"/>
      <c r="C507" s="24"/>
      <c r="D507" s="24"/>
      <c r="E507" s="24"/>
      <c r="F507" s="38"/>
      <c r="G507" s="27"/>
      <c r="H507" s="24"/>
      <c r="I507" s="27"/>
      <c r="J507" s="26"/>
      <c r="K507" s="24"/>
      <c r="L507" s="24"/>
      <c r="M507" s="24" t="str">
        <f>IF(B507="","",IF(COUNTIFS(Cobranza!$C$9:$C$1008,B507,Cobranza!$N$9:$N$1008,"Vencida")&gt;0,"Vencida",IF(COUNTIFS(Cobranza!$C$9:$C$1008,B507,Cobranza!$N$9:$N$1008,"Parcial")&gt;0,"Parcial",IF(COUNTIFS(Cobranza!$C$9:$C$1008,B507,Cobranza!$N$9:$N$1008,"Pendiente")&gt;0,"Pendiente",IF(COUNTIFS(Cobranza!$C$9:$C$1008,B507,Cobranza!$N$9:$N$1008,"Pagada")&gt;0,"Pagada","")))))</f>
        <v/>
      </c>
      <c r="N507" s="33" t="str">
        <f t="shared" ca="1" si="7"/>
        <v/>
      </c>
      <c r="O507" s="23"/>
      <c r="P507" s="7" t="str">
        <f ca="1">IF(AND(B507&lt;&gt;"",F507&lt;&gt;"Cerrada",F507&lt;&gt;"Perdida",N507&lt;&gt;"",N507&gt;14),COUNTIFS($F$8:$F507,"&lt;&gt;Cerrada",$F$8:$F507,"&lt;&gt;Perdida",$N$8:$N507,"&gt;14"),"")</f>
        <v/>
      </c>
      <c r="Q507" s="8"/>
      <c r="R507" s="9"/>
      <c r="S507" s="10"/>
    </row>
    <row r="508" spans="2:19" ht="21.75" customHeight="1" x14ac:dyDescent="0.25">
      <c r="B508" s="24"/>
      <c r="C508" s="24"/>
      <c r="D508" s="24"/>
      <c r="E508" s="24"/>
      <c r="F508" s="38"/>
      <c r="G508" s="27"/>
      <c r="H508" s="24"/>
      <c r="I508" s="27"/>
      <c r="J508" s="26"/>
      <c r="K508" s="24"/>
      <c r="L508" s="24"/>
      <c r="M508" s="24" t="str">
        <f>IF(B508="","",IF(COUNTIFS(Cobranza!$C$9:$C$1008,B508,Cobranza!$N$9:$N$1008,"Vencida")&gt;0,"Vencida",IF(COUNTIFS(Cobranza!$C$9:$C$1008,B508,Cobranza!$N$9:$N$1008,"Parcial")&gt;0,"Parcial",IF(COUNTIFS(Cobranza!$C$9:$C$1008,B508,Cobranza!$N$9:$N$1008,"Pendiente")&gt;0,"Pendiente",IF(COUNTIFS(Cobranza!$C$9:$C$1008,B508,Cobranza!$N$9:$N$1008,"Pagada")&gt;0,"Pagada","")))))</f>
        <v/>
      </c>
      <c r="N508" s="33" t="str">
        <f t="shared" ca="1" si="7"/>
        <v/>
      </c>
      <c r="O508" s="23"/>
      <c r="P508" s="7" t="str">
        <f ca="1">IF(AND(B508&lt;&gt;"",F508&lt;&gt;"Cerrada",F508&lt;&gt;"Perdida",N508&lt;&gt;"",N508&gt;14),COUNTIFS($F$8:$F508,"&lt;&gt;Cerrada",$F$8:$F508,"&lt;&gt;Perdida",$N$8:$N508,"&gt;14"),"")</f>
        <v/>
      </c>
      <c r="Q508" s="8"/>
      <c r="R508" s="9"/>
      <c r="S508" s="10"/>
    </row>
    <row r="509" spans="2:19" ht="21.75" customHeight="1" x14ac:dyDescent="0.25">
      <c r="B509" s="24"/>
      <c r="C509" s="24"/>
      <c r="D509" s="24"/>
      <c r="E509" s="24"/>
      <c r="F509" s="38"/>
      <c r="G509" s="27"/>
      <c r="H509" s="24"/>
      <c r="I509" s="27"/>
      <c r="J509" s="26"/>
      <c r="K509" s="24"/>
      <c r="L509" s="24"/>
      <c r="M509" s="24" t="str">
        <f>IF(B509="","",IF(COUNTIFS(Cobranza!$C$9:$C$1008,B509,Cobranza!$N$9:$N$1008,"Vencida")&gt;0,"Vencida",IF(COUNTIFS(Cobranza!$C$9:$C$1008,B509,Cobranza!$N$9:$N$1008,"Parcial")&gt;0,"Parcial",IF(COUNTIFS(Cobranza!$C$9:$C$1008,B509,Cobranza!$N$9:$N$1008,"Pendiente")&gt;0,"Pendiente",IF(COUNTIFS(Cobranza!$C$9:$C$1008,B509,Cobranza!$N$9:$N$1008,"Pagada")&gt;0,"Pagada","")))))</f>
        <v/>
      </c>
      <c r="N509" s="33" t="str">
        <f t="shared" ca="1" si="7"/>
        <v/>
      </c>
      <c r="O509" s="23"/>
      <c r="P509" s="7" t="str">
        <f ca="1">IF(AND(B509&lt;&gt;"",F509&lt;&gt;"Cerrada",F509&lt;&gt;"Perdida",N509&lt;&gt;"",N509&gt;14),COUNTIFS($F$8:$F509,"&lt;&gt;Cerrada",$F$8:$F509,"&lt;&gt;Perdida",$N$8:$N509,"&gt;14"),"")</f>
        <v/>
      </c>
      <c r="Q509" s="8"/>
      <c r="R509" s="9"/>
      <c r="S509" s="10"/>
    </row>
    <row r="510" spans="2:19" ht="21.75" customHeight="1" x14ac:dyDescent="0.25">
      <c r="B510" s="24"/>
      <c r="C510" s="24"/>
      <c r="D510" s="24"/>
      <c r="E510" s="24"/>
      <c r="F510" s="38"/>
      <c r="G510" s="27"/>
      <c r="H510" s="24"/>
      <c r="I510" s="27"/>
      <c r="J510" s="26"/>
      <c r="K510" s="24"/>
      <c r="L510" s="24"/>
      <c r="M510" s="24" t="str">
        <f>IF(B510="","",IF(COUNTIFS(Cobranza!$C$9:$C$1008,B510,Cobranza!$N$9:$N$1008,"Vencida")&gt;0,"Vencida",IF(COUNTIFS(Cobranza!$C$9:$C$1008,B510,Cobranza!$N$9:$N$1008,"Parcial")&gt;0,"Parcial",IF(COUNTIFS(Cobranza!$C$9:$C$1008,B510,Cobranza!$N$9:$N$1008,"Pendiente")&gt;0,"Pendiente",IF(COUNTIFS(Cobranza!$C$9:$C$1008,B510,Cobranza!$N$9:$N$1008,"Pagada")&gt;0,"Pagada","")))))</f>
        <v/>
      </c>
      <c r="N510" s="33" t="str">
        <f t="shared" ca="1" si="7"/>
        <v/>
      </c>
      <c r="O510" s="23"/>
      <c r="P510" s="7" t="str">
        <f ca="1">IF(AND(B510&lt;&gt;"",F510&lt;&gt;"Cerrada",F510&lt;&gt;"Perdida",N510&lt;&gt;"",N510&gt;14),COUNTIFS($F$8:$F510,"&lt;&gt;Cerrada",$F$8:$F510,"&lt;&gt;Perdida",$N$8:$N510,"&gt;14"),"")</f>
        <v/>
      </c>
      <c r="Q510" s="8"/>
      <c r="R510" s="9"/>
      <c r="S510" s="10"/>
    </row>
    <row r="511" spans="2:19" ht="21.75" customHeight="1" x14ac:dyDescent="0.25">
      <c r="B511" s="24"/>
      <c r="C511" s="24"/>
      <c r="D511" s="24"/>
      <c r="E511" s="24"/>
      <c r="F511" s="38"/>
      <c r="G511" s="27"/>
      <c r="H511" s="24"/>
      <c r="I511" s="27"/>
      <c r="J511" s="26"/>
      <c r="K511" s="24"/>
      <c r="L511" s="24"/>
      <c r="M511" s="24" t="str">
        <f>IF(B511="","",IF(COUNTIFS(Cobranza!$C$9:$C$1008,B511,Cobranza!$N$9:$N$1008,"Vencida")&gt;0,"Vencida",IF(COUNTIFS(Cobranza!$C$9:$C$1008,B511,Cobranza!$N$9:$N$1008,"Parcial")&gt;0,"Parcial",IF(COUNTIFS(Cobranza!$C$9:$C$1008,B511,Cobranza!$N$9:$N$1008,"Pendiente")&gt;0,"Pendiente",IF(COUNTIFS(Cobranza!$C$9:$C$1008,B511,Cobranza!$N$9:$N$1008,"Pagada")&gt;0,"Pagada","")))))</f>
        <v/>
      </c>
      <c r="N511" s="33" t="str">
        <f t="shared" ca="1" si="7"/>
        <v/>
      </c>
      <c r="O511" s="23"/>
      <c r="P511" s="7" t="str">
        <f ca="1">IF(AND(B511&lt;&gt;"",F511&lt;&gt;"Cerrada",F511&lt;&gt;"Perdida",N511&lt;&gt;"",N511&gt;14),COUNTIFS($F$8:$F511,"&lt;&gt;Cerrada",$F$8:$F511,"&lt;&gt;Perdida",$N$8:$N511,"&gt;14"),"")</f>
        <v/>
      </c>
      <c r="Q511" s="8"/>
      <c r="R511" s="9"/>
      <c r="S511" s="10"/>
    </row>
    <row r="512" spans="2:19" ht="21.75" customHeight="1" x14ac:dyDescent="0.25">
      <c r="B512" s="24"/>
      <c r="C512" s="24"/>
      <c r="D512" s="24"/>
      <c r="E512" s="24"/>
      <c r="F512" s="38"/>
      <c r="G512" s="27"/>
      <c r="H512" s="24"/>
      <c r="I512" s="27"/>
      <c r="J512" s="26"/>
      <c r="K512" s="24"/>
      <c r="L512" s="24"/>
      <c r="M512" s="24" t="str">
        <f>IF(B512="","",IF(COUNTIFS(Cobranza!$C$9:$C$1008,B512,Cobranza!$N$9:$N$1008,"Vencida")&gt;0,"Vencida",IF(COUNTIFS(Cobranza!$C$9:$C$1008,B512,Cobranza!$N$9:$N$1008,"Parcial")&gt;0,"Parcial",IF(COUNTIFS(Cobranza!$C$9:$C$1008,B512,Cobranza!$N$9:$N$1008,"Pendiente")&gt;0,"Pendiente",IF(COUNTIFS(Cobranza!$C$9:$C$1008,B512,Cobranza!$N$9:$N$1008,"Pagada")&gt;0,"Pagada","")))))</f>
        <v/>
      </c>
      <c r="N512" s="33" t="str">
        <f t="shared" ca="1" si="7"/>
        <v/>
      </c>
      <c r="O512" s="23"/>
      <c r="P512" s="7" t="str">
        <f ca="1">IF(AND(B512&lt;&gt;"",F512&lt;&gt;"Cerrada",F512&lt;&gt;"Perdida",N512&lt;&gt;"",N512&gt;14),COUNTIFS($F$8:$F512,"&lt;&gt;Cerrada",$F$8:$F512,"&lt;&gt;Perdida",$N$8:$N512,"&gt;14"),"")</f>
        <v/>
      </c>
      <c r="Q512" s="8"/>
      <c r="R512" s="9"/>
      <c r="S512" s="10"/>
    </row>
    <row r="513" spans="2:19" ht="21.75" customHeight="1" x14ac:dyDescent="0.25">
      <c r="B513" s="24"/>
      <c r="C513" s="24"/>
      <c r="D513" s="24"/>
      <c r="E513" s="24"/>
      <c r="F513" s="38"/>
      <c r="G513" s="27"/>
      <c r="H513" s="24"/>
      <c r="I513" s="27"/>
      <c r="J513" s="26"/>
      <c r="K513" s="24"/>
      <c r="L513" s="24"/>
      <c r="M513" s="24" t="str">
        <f>IF(B513="","",IF(COUNTIFS(Cobranza!$C$9:$C$1008,B513,Cobranza!$N$9:$N$1008,"Vencida")&gt;0,"Vencida",IF(COUNTIFS(Cobranza!$C$9:$C$1008,B513,Cobranza!$N$9:$N$1008,"Parcial")&gt;0,"Parcial",IF(COUNTIFS(Cobranza!$C$9:$C$1008,B513,Cobranza!$N$9:$N$1008,"Pendiente")&gt;0,"Pendiente",IF(COUNTIFS(Cobranza!$C$9:$C$1008,B513,Cobranza!$N$9:$N$1008,"Pagada")&gt;0,"Pagada","")))))</f>
        <v/>
      </c>
      <c r="N513" s="33" t="str">
        <f t="shared" ca="1" si="7"/>
        <v/>
      </c>
      <c r="O513" s="23"/>
      <c r="P513" s="7" t="str">
        <f ca="1">IF(AND(B513&lt;&gt;"",F513&lt;&gt;"Cerrada",F513&lt;&gt;"Perdida",N513&lt;&gt;"",N513&gt;14),COUNTIFS($F$8:$F513,"&lt;&gt;Cerrada",$F$8:$F513,"&lt;&gt;Perdida",$N$8:$N513,"&gt;14"),"")</f>
        <v/>
      </c>
      <c r="Q513" s="8"/>
      <c r="R513" s="9"/>
      <c r="S513" s="10"/>
    </row>
    <row r="514" spans="2:19" ht="21.75" customHeight="1" x14ac:dyDescent="0.25">
      <c r="B514" s="24"/>
      <c r="C514" s="24"/>
      <c r="D514" s="24"/>
      <c r="E514" s="24"/>
      <c r="F514" s="38"/>
      <c r="G514" s="27"/>
      <c r="H514" s="24"/>
      <c r="I514" s="27"/>
      <c r="J514" s="26"/>
      <c r="K514" s="24"/>
      <c r="L514" s="24"/>
      <c r="M514" s="24" t="str">
        <f>IF(B514="","",IF(COUNTIFS(Cobranza!$C$9:$C$1008,B514,Cobranza!$N$9:$N$1008,"Vencida")&gt;0,"Vencida",IF(COUNTIFS(Cobranza!$C$9:$C$1008,B514,Cobranza!$N$9:$N$1008,"Parcial")&gt;0,"Parcial",IF(COUNTIFS(Cobranza!$C$9:$C$1008,B514,Cobranza!$N$9:$N$1008,"Pendiente")&gt;0,"Pendiente",IF(COUNTIFS(Cobranza!$C$9:$C$1008,B514,Cobranza!$N$9:$N$1008,"Pagada")&gt;0,"Pagada","")))))</f>
        <v/>
      </c>
      <c r="N514" s="33" t="str">
        <f t="shared" ca="1" si="7"/>
        <v/>
      </c>
      <c r="O514" s="23"/>
      <c r="P514" s="7" t="str">
        <f ca="1">IF(AND(B514&lt;&gt;"",F514&lt;&gt;"Cerrada",F514&lt;&gt;"Perdida",N514&lt;&gt;"",N514&gt;14),COUNTIFS($F$8:$F514,"&lt;&gt;Cerrada",$F$8:$F514,"&lt;&gt;Perdida",$N$8:$N514,"&gt;14"),"")</f>
        <v/>
      </c>
      <c r="Q514" s="8"/>
      <c r="R514" s="9"/>
      <c r="S514" s="10"/>
    </row>
    <row r="515" spans="2:19" ht="21.75" customHeight="1" x14ac:dyDescent="0.25">
      <c r="B515" s="24"/>
      <c r="C515" s="24"/>
      <c r="D515" s="24"/>
      <c r="E515" s="24"/>
      <c r="F515" s="38"/>
      <c r="G515" s="27"/>
      <c r="H515" s="24"/>
      <c r="I515" s="27"/>
      <c r="J515" s="26"/>
      <c r="K515" s="24"/>
      <c r="L515" s="24"/>
      <c r="M515" s="24" t="str">
        <f>IF(B515="","",IF(COUNTIFS(Cobranza!$C$9:$C$1008,B515,Cobranza!$N$9:$N$1008,"Vencida")&gt;0,"Vencida",IF(COUNTIFS(Cobranza!$C$9:$C$1008,B515,Cobranza!$N$9:$N$1008,"Parcial")&gt;0,"Parcial",IF(COUNTIFS(Cobranza!$C$9:$C$1008,B515,Cobranza!$N$9:$N$1008,"Pendiente")&gt;0,"Pendiente",IF(COUNTIFS(Cobranza!$C$9:$C$1008,B515,Cobranza!$N$9:$N$1008,"Pagada")&gt;0,"Pagada","")))))</f>
        <v/>
      </c>
      <c r="N515" s="33" t="str">
        <f t="shared" ca="1" si="7"/>
        <v/>
      </c>
      <c r="O515" s="23"/>
      <c r="P515" s="7" t="str">
        <f ca="1">IF(AND(B515&lt;&gt;"",F515&lt;&gt;"Cerrada",F515&lt;&gt;"Perdida",N515&lt;&gt;"",N515&gt;14),COUNTIFS($F$8:$F515,"&lt;&gt;Cerrada",$F$8:$F515,"&lt;&gt;Perdida",$N$8:$N515,"&gt;14"),"")</f>
        <v/>
      </c>
      <c r="Q515" s="8"/>
      <c r="R515" s="9"/>
      <c r="S515" s="10"/>
    </row>
    <row r="516" spans="2:19" ht="21.75" customHeight="1" x14ac:dyDescent="0.25">
      <c r="B516" s="24"/>
      <c r="C516" s="24"/>
      <c r="D516" s="24"/>
      <c r="E516" s="24"/>
      <c r="F516" s="38"/>
      <c r="G516" s="27"/>
      <c r="H516" s="24"/>
      <c r="I516" s="27"/>
      <c r="J516" s="26"/>
      <c r="K516" s="24"/>
      <c r="L516" s="24"/>
      <c r="M516" s="24" t="str">
        <f>IF(B516="","",IF(COUNTIFS(Cobranza!$C$9:$C$1008,B516,Cobranza!$N$9:$N$1008,"Vencida")&gt;0,"Vencida",IF(COUNTIFS(Cobranza!$C$9:$C$1008,B516,Cobranza!$N$9:$N$1008,"Parcial")&gt;0,"Parcial",IF(COUNTIFS(Cobranza!$C$9:$C$1008,B516,Cobranza!$N$9:$N$1008,"Pendiente")&gt;0,"Pendiente",IF(COUNTIFS(Cobranza!$C$9:$C$1008,B516,Cobranza!$N$9:$N$1008,"Pagada")&gt;0,"Pagada","")))))</f>
        <v/>
      </c>
      <c r="N516" s="33" t="str">
        <f t="shared" ca="1" si="7"/>
        <v/>
      </c>
      <c r="O516" s="23"/>
      <c r="P516" s="7" t="str">
        <f ca="1">IF(AND(B516&lt;&gt;"",F516&lt;&gt;"Cerrada",F516&lt;&gt;"Perdida",N516&lt;&gt;"",N516&gt;14),COUNTIFS($F$8:$F516,"&lt;&gt;Cerrada",$F$8:$F516,"&lt;&gt;Perdida",$N$8:$N516,"&gt;14"),"")</f>
        <v/>
      </c>
      <c r="Q516" s="8"/>
      <c r="R516" s="9"/>
      <c r="S516" s="10"/>
    </row>
    <row r="517" spans="2:19" ht="21.75" customHeight="1" x14ac:dyDescent="0.25">
      <c r="B517" s="24"/>
      <c r="C517" s="24"/>
      <c r="D517" s="24"/>
      <c r="E517" s="24"/>
      <c r="F517" s="38"/>
      <c r="G517" s="27"/>
      <c r="H517" s="24"/>
      <c r="I517" s="27"/>
      <c r="J517" s="26"/>
      <c r="K517" s="24"/>
      <c r="L517" s="24"/>
      <c r="M517" s="24" t="str">
        <f>IF(B517="","",IF(COUNTIFS(Cobranza!$C$9:$C$1008,B517,Cobranza!$N$9:$N$1008,"Vencida")&gt;0,"Vencida",IF(COUNTIFS(Cobranza!$C$9:$C$1008,B517,Cobranza!$N$9:$N$1008,"Parcial")&gt;0,"Parcial",IF(COUNTIFS(Cobranza!$C$9:$C$1008,B517,Cobranza!$N$9:$N$1008,"Pendiente")&gt;0,"Pendiente",IF(COUNTIFS(Cobranza!$C$9:$C$1008,B517,Cobranza!$N$9:$N$1008,"Pagada")&gt;0,"Pagada","")))))</f>
        <v/>
      </c>
      <c r="N517" s="33" t="str">
        <f t="shared" ca="1" si="7"/>
        <v/>
      </c>
      <c r="O517" s="23"/>
      <c r="P517" s="7" t="str">
        <f ca="1">IF(AND(B517&lt;&gt;"",F517&lt;&gt;"Cerrada",F517&lt;&gt;"Perdida",N517&lt;&gt;"",N517&gt;14),COUNTIFS($F$8:$F517,"&lt;&gt;Cerrada",$F$8:$F517,"&lt;&gt;Perdida",$N$8:$N517,"&gt;14"),"")</f>
        <v/>
      </c>
      <c r="Q517" s="8"/>
      <c r="R517" s="9"/>
      <c r="S517" s="10"/>
    </row>
    <row r="518" spans="2:19" ht="21.75" customHeight="1" x14ac:dyDescent="0.25">
      <c r="B518" s="24"/>
      <c r="C518" s="24"/>
      <c r="D518" s="24"/>
      <c r="E518" s="24"/>
      <c r="F518" s="38"/>
      <c r="G518" s="27"/>
      <c r="H518" s="24"/>
      <c r="I518" s="27"/>
      <c r="J518" s="26"/>
      <c r="K518" s="24"/>
      <c r="L518" s="24"/>
      <c r="M518" s="24" t="str">
        <f>IF(B518="","",IF(COUNTIFS(Cobranza!$C$9:$C$1008,B518,Cobranza!$N$9:$N$1008,"Vencida")&gt;0,"Vencida",IF(COUNTIFS(Cobranza!$C$9:$C$1008,B518,Cobranza!$N$9:$N$1008,"Parcial")&gt;0,"Parcial",IF(COUNTIFS(Cobranza!$C$9:$C$1008,B518,Cobranza!$N$9:$N$1008,"Pendiente")&gt;0,"Pendiente",IF(COUNTIFS(Cobranza!$C$9:$C$1008,B518,Cobranza!$N$9:$N$1008,"Pagada")&gt;0,"Pagada","")))))</f>
        <v/>
      </c>
      <c r="N518" s="33" t="str">
        <f t="shared" ca="1" si="7"/>
        <v/>
      </c>
      <c r="O518" s="23"/>
      <c r="P518" s="7" t="str">
        <f ca="1">IF(AND(B518&lt;&gt;"",F518&lt;&gt;"Cerrada",F518&lt;&gt;"Perdida",N518&lt;&gt;"",N518&gt;14),COUNTIFS($F$8:$F518,"&lt;&gt;Cerrada",$F$8:$F518,"&lt;&gt;Perdida",$N$8:$N518,"&gt;14"),"")</f>
        <v/>
      </c>
      <c r="Q518" s="8"/>
      <c r="R518" s="9"/>
      <c r="S518" s="10"/>
    </row>
    <row r="519" spans="2:19" ht="21.75" customHeight="1" x14ac:dyDescent="0.25">
      <c r="B519" s="24"/>
      <c r="C519" s="24"/>
      <c r="D519" s="24"/>
      <c r="E519" s="24"/>
      <c r="F519" s="38"/>
      <c r="G519" s="27"/>
      <c r="H519" s="24"/>
      <c r="I519" s="27"/>
      <c r="J519" s="26"/>
      <c r="K519" s="24"/>
      <c r="L519" s="24"/>
      <c r="M519" s="24" t="str">
        <f>IF(B519="","",IF(COUNTIFS(Cobranza!$C$9:$C$1008,B519,Cobranza!$N$9:$N$1008,"Vencida")&gt;0,"Vencida",IF(COUNTIFS(Cobranza!$C$9:$C$1008,B519,Cobranza!$N$9:$N$1008,"Parcial")&gt;0,"Parcial",IF(COUNTIFS(Cobranza!$C$9:$C$1008,B519,Cobranza!$N$9:$N$1008,"Pendiente")&gt;0,"Pendiente",IF(COUNTIFS(Cobranza!$C$9:$C$1008,B519,Cobranza!$N$9:$N$1008,"Pagada")&gt;0,"Pagada","")))))</f>
        <v/>
      </c>
      <c r="N519" s="33" t="str">
        <f t="shared" ca="1" si="7"/>
        <v/>
      </c>
      <c r="O519" s="23"/>
      <c r="P519" s="7" t="str">
        <f ca="1">IF(AND(B519&lt;&gt;"",F519&lt;&gt;"Cerrada",F519&lt;&gt;"Perdida",N519&lt;&gt;"",N519&gt;14),COUNTIFS($F$8:$F519,"&lt;&gt;Cerrada",$F$8:$F519,"&lt;&gt;Perdida",$N$8:$N519,"&gt;14"),"")</f>
        <v/>
      </c>
      <c r="Q519" s="8"/>
      <c r="R519" s="9"/>
      <c r="S519" s="10"/>
    </row>
    <row r="520" spans="2:19" ht="21.75" customHeight="1" x14ac:dyDescent="0.25">
      <c r="B520" s="24"/>
      <c r="C520" s="24"/>
      <c r="D520" s="24"/>
      <c r="E520" s="24"/>
      <c r="F520" s="38"/>
      <c r="G520" s="27"/>
      <c r="H520" s="24"/>
      <c r="I520" s="27"/>
      <c r="J520" s="26"/>
      <c r="K520" s="24"/>
      <c r="L520" s="24"/>
      <c r="M520" s="24" t="str">
        <f>IF(B520="","",IF(COUNTIFS(Cobranza!$C$9:$C$1008,B520,Cobranza!$N$9:$N$1008,"Vencida")&gt;0,"Vencida",IF(COUNTIFS(Cobranza!$C$9:$C$1008,B520,Cobranza!$N$9:$N$1008,"Parcial")&gt;0,"Parcial",IF(COUNTIFS(Cobranza!$C$9:$C$1008,B520,Cobranza!$N$9:$N$1008,"Pendiente")&gt;0,"Pendiente",IF(COUNTIFS(Cobranza!$C$9:$C$1008,B520,Cobranza!$N$9:$N$1008,"Pagada")&gt;0,"Pagada","")))))</f>
        <v/>
      </c>
      <c r="N520" s="33" t="str">
        <f t="shared" ref="N520:N583" ca="1" si="8">IF(I520="","",MAX(0,TODAY()-I520))</f>
        <v/>
      </c>
      <c r="O520" s="23"/>
      <c r="P520" s="7" t="str">
        <f ca="1">IF(AND(B520&lt;&gt;"",F520&lt;&gt;"Cerrada",F520&lt;&gt;"Perdida",N520&lt;&gt;"",N520&gt;14),COUNTIFS($F$8:$F520,"&lt;&gt;Cerrada",$F$8:$F520,"&lt;&gt;Perdida",$N$8:$N520,"&gt;14"),"")</f>
        <v/>
      </c>
      <c r="Q520" s="8"/>
      <c r="R520" s="9"/>
      <c r="S520" s="10"/>
    </row>
    <row r="521" spans="2:19" ht="21.75" customHeight="1" x14ac:dyDescent="0.25">
      <c r="B521" s="24"/>
      <c r="C521" s="24"/>
      <c r="D521" s="24"/>
      <c r="E521" s="24"/>
      <c r="F521" s="38"/>
      <c r="G521" s="27"/>
      <c r="H521" s="24"/>
      <c r="I521" s="27"/>
      <c r="J521" s="26"/>
      <c r="K521" s="24"/>
      <c r="L521" s="24"/>
      <c r="M521" s="24" t="str">
        <f>IF(B521="","",IF(COUNTIFS(Cobranza!$C$9:$C$1008,B521,Cobranza!$N$9:$N$1008,"Vencida")&gt;0,"Vencida",IF(COUNTIFS(Cobranza!$C$9:$C$1008,B521,Cobranza!$N$9:$N$1008,"Parcial")&gt;0,"Parcial",IF(COUNTIFS(Cobranza!$C$9:$C$1008,B521,Cobranza!$N$9:$N$1008,"Pendiente")&gt;0,"Pendiente",IF(COUNTIFS(Cobranza!$C$9:$C$1008,B521,Cobranza!$N$9:$N$1008,"Pagada")&gt;0,"Pagada","")))))</f>
        <v/>
      </c>
      <c r="N521" s="33" t="str">
        <f t="shared" ca="1" si="8"/>
        <v/>
      </c>
      <c r="O521" s="23"/>
      <c r="P521" s="7" t="str">
        <f ca="1">IF(AND(B521&lt;&gt;"",F521&lt;&gt;"Cerrada",F521&lt;&gt;"Perdida",N521&lt;&gt;"",N521&gt;14),COUNTIFS($F$8:$F521,"&lt;&gt;Cerrada",$F$8:$F521,"&lt;&gt;Perdida",$N$8:$N521,"&gt;14"),"")</f>
        <v/>
      </c>
      <c r="Q521" s="8"/>
      <c r="R521" s="9"/>
      <c r="S521" s="10"/>
    </row>
    <row r="522" spans="2:19" ht="21.75" customHeight="1" x14ac:dyDescent="0.25">
      <c r="B522" s="24"/>
      <c r="C522" s="24"/>
      <c r="D522" s="24"/>
      <c r="E522" s="24"/>
      <c r="F522" s="38"/>
      <c r="G522" s="27"/>
      <c r="H522" s="24"/>
      <c r="I522" s="27"/>
      <c r="J522" s="26"/>
      <c r="K522" s="24"/>
      <c r="L522" s="24"/>
      <c r="M522" s="24" t="str">
        <f>IF(B522="","",IF(COUNTIFS(Cobranza!$C$9:$C$1008,B522,Cobranza!$N$9:$N$1008,"Vencida")&gt;0,"Vencida",IF(COUNTIFS(Cobranza!$C$9:$C$1008,B522,Cobranza!$N$9:$N$1008,"Parcial")&gt;0,"Parcial",IF(COUNTIFS(Cobranza!$C$9:$C$1008,B522,Cobranza!$N$9:$N$1008,"Pendiente")&gt;0,"Pendiente",IF(COUNTIFS(Cobranza!$C$9:$C$1008,B522,Cobranza!$N$9:$N$1008,"Pagada")&gt;0,"Pagada","")))))</f>
        <v/>
      </c>
      <c r="N522" s="33" t="str">
        <f t="shared" ca="1" si="8"/>
        <v/>
      </c>
      <c r="O522" s="23"/>
      <c r="P522" s="7" t="str">
        <f ca="1">IF(AND(B522&lt;&gt;"",F522&lt;&gt;"Cerrada",F522&lt;&gt;"Perdida",N522&lt;&gt;"",N522&gt;14),COUNTIFS($F$8:$F522,"&lt;&gt;Cerrada",$F$8:$F522,"&lt;&gt;Perdida",$N$8:$N522,"&gt;14"),"")</f>
        <v/>
      </c>
      <c r="Q522" s="8"/>
      <c r="R522" s="9"/>
      <c r="S522" s="10"/>
    </row>
    <row r="523" spans="2:19" ht="21.75" customHeight="1" x14ac:dyDescent="0.25">
      <c r="B523" s="24"/>
      <c r="C523" s="24"/>
      <c r="D523" s="24"/>
      <c r="E523" s="24"/>
      <c r="F523" s="38"/>
      <c r="G523" s="27"/>
      <c r="H523" s="24"/>
      <c r="I523" s="27"/>
      <c r="J523" s="26"/>
      <c r="K523" s="24"/>
      <c r="L523" s="24"/>
      <c r="M523" s="24" t="str">
        <f>IF(B523="","",IF(COUNTIFS(Cobranza!$C$9:$C$1008,B523,Cobranza!$N$9:$N$1008,"Vencida")&gt;0,"Vencida",IF(COUNTIFS(Cobranza!$C$9:$C$1008,B523,Cobranza!$N$9:$N$1008,"Parcial")&gt;0,"Parcial",IF(COUNTIFS(Cobranza!$C$9:$C$1008,B523,Cobranza!$N$9:$N$1008,"Pendiente")&gt;0,"Pendiente",IF(COUNTIFS(Cobranza!$C$9:$C$1008,B523,Cobranza!$N$9:$N$1008,"Pagada")&gt;0,"Pagada","")))))</f>
        <v/>
      </c>
      <c r="N523" s="33" t="str">
        <f t="shared" ca="1" si="8"/>
        <v/>
      </c>
      <c r="O523" s="23"/>
      <c r="P523" s="7" t="str">
        <f ca="1">IF(AND(B523&lt;&gt;"",F523&lt;&gt;"Cerrada",F523&lt;&gt;"Perdida",N523&lt;&gt;"",N523&gt;14),COUNTIFS($F$8:$F523,"&lt;&gt;Cerrada",$F$8:$F523,"&lt;&gt;Perdida",$N$8:$N523,"&gt;14"),"")</f>
        <v/>
      </c>
      <c r="Q523" s="8"/>
      <c r="R523" s="9"/>
      <c r="S523" s="10"/>
    </row>
    <row r="524" spans="2:19" ht="21.75" customHeight="1" x14ac:dyDescent="0.25">
      <c r="B524" s="24"/>
      <c r="C524" s="24"/>
      <c r="D524" s="24"/>
      <c r="E524" s="24"/>
      <c r="F524" s="38"/>
      <c r="G524" s="27"/>
      <c r="H524" s="24"/>
      <c r="I524" s="27"/>
      <c r="J524" s="26"/>
      <c r="K524" s="24"/>
      <c r="L524" s="24"/>
      <c r="M524" s="24" t="str">
        <f>IF(B524="","",IF(COUNTIFS(Cobranza!$C$9:$C$1008,B524,Cobranza!$N$9:$N$1008,"Vencida")&gt;0,"Vencida",IF(COUNTIFS(Cobranza!$C$9:$C$1008,B524,Cobranza!$N$9:$N$1008,"Parcial")&gt;0,"Parcial",IF(COUNTIFS(Cobranza!$C$9:$C$1008,B524,Cobranza!$N$9:$N$1008,"Pendiente")&gt;0,"Pendiente",IF(COUNTIFS(Cobranza!$C$9:$C$1008,B524,Cobranza!$N$9:$N$1008,"Pagada")&gt;0,"Pagada","")))))</f>
        <v/>
      </c>
      <c r="N524" s="33" t="str">
        <f t="shared" ca="1" si="8"/>
        <v/>
      </c>
      <c r="O524" s="23"/>
      <c r="P524" s="7" t="str">
        <f ca="1">IF(AND(B524&lt;&gt;"",F524&lt;&gt;"Cerrada",F524&lt;&gt;"Perdida",N524&lt;&gt;"",N524&gt;14),COUNTIFS($F$8:$F524,"&lt;&gt;Cerrada",$F$8:$F524,"&lt;&gt;Perdida",$N$8:$N524,"&gt;14"),"")</f>
        <v/>
      </c>
      <c r="Q524" s="8"/>
      <c r="R524" s="9"/>
      <c r="S524" s="10"/>
    </row>
    <row r="525" spans="2:19" ht="21.75" customHeight="1" x14ac:dyDescent="0.25">
      <c r="B525" s="24"/>
      <c r="C525" s="24"/>
      <c r="D525" s="24"/>
      <c r="E525" s="24"/>
      <c r="F525" s="38"/>
      <c r="G525" s="27"/>
      <c r="H525" s="24"/>
      <c r="I525" s="27"/>
      <c r="J525" s="26"/>
      <c r="K525" s="24"/>
      <c r="L525" s="24"/>
      <c r="M525" s="24" t="str">
        <f>IF(B525="","",IF(COUNTIFS(Cobranza!$C$9:$C$1008,B525,Cobranza!$N$9:$N$1008,"Vencida")&gt;0,"Vencida",IF(COUNTIFS(Cobranza!$C$9:$C$1008,B525,Cobranza!$N$9:$N$1008,"Parcial")&gt;0,"Parcial",IF(COUNTIFS(Cobranza!$C$9:$C$1008,B525,Cobranza!$N$9:$N$1008,"Pendiente")&gt;0,"Pendiente",IF(COUNTIFS(Cobranza!$C$9:$C$1008,B525,Cobranza!$N$9:$N$1008,"Pagada")&gt;0,"Pagada","")))))</f>
        <v/>
      </c>
      <c r="N525" s="33" t="str">
        <f t="shared" ca="1" si="8"/>
        <v/>
      </c>
      <c r="O525" s="23"/>
      <c r="P525" s="7" t="str">
        <f ca="1">IF(AND(B525&lt;&gt;"",F525&lt;&gt;"Cerrada",F525&lt;&gt;"Perdida",N525&lt;&gt;"",N525&gt;14),COUNTIFS($F$8:$F525,"&lt;&gt;Cerrada",$F$8:$F525,"&lt;&gt;Perdida",$N$8:$N525,"&gt;14"),"")</f>
        <v/>
      </c>
      <c r="Q525" s="8"/>
      <c r="R525" s="9"/>
      <c r="S525" s="10"/>
    </row>
    <row r="526" spans="2:19" ht="21.75" customHeight="1" x14ac:dyDescent="0.25">
      <c r="B526" s="24"/>
      <c r="C526" s="24"/>
      <c r="D526" s="24"/>
      <c r="E526" s="24"/>
      <c r="F526" s="38"/>
      <c r="G526" s="27"/>
      <c r="H526" s="24"/>
      <c r="I526" s="27"/>
      <c r="J526" s="26"/>
      <c r="K526" s="24"/>
      <c r="L526" s="24"/>
      <c r="M526" s="24" t="str">
        <f>IF(B526="","",IF(COUNTIFS(Cobranza!$C$9:$C$1008,B526,Cobranza!$N$9:$N$1008,"Vencida")&gt;0,"Vencida",IF(COUNTIFS(Cobranza!$C$9:$C$1008,B526,Cobranza!$N$9:$N$1008,"Parcial")&gt;0,"Parcial",IF(COUNTIFS(Cobranza!$C$9:$C$1008,B526,Cobranza!$N$9:$N$1008,"Pendiente")&gt;0,"Pendiente",IF(COUNTIFS(Cobranza!$C$9:$C$1008,B526,Cobranza!$N$9:$N$1008,"Pagada")&gt;0,"Pagada","")))))</f>
        <v/>
      </c>
      <c r="N526" s="33" t="str">
        <f t="shared" ca="1" si="8"/>
        <v/>
      </c>
      <c r="O526" s="23"/>
      <c r="P526" s="7" t="str">
        <f ca="1">IF(AND(B526&lt;&gt;"",F526&lt;&gt;"Cerrada",F526&lt;&gt;"Perdida",N526&lt;&gt;"",N526&gt;14),COUNTIFS($F$8:$F526,"&lt;&gt;Cerrada",$F$8:$F526,"&lt;&gt;Perdida",$N$8:$N526,"&gt;14"),"")</f>
        <v/>
      </c>
      <c r="Q526" s="8"/>
      <c r="R526" s="9"/>
      <c r="S526" s="10"/>
    </row>
    <row r="527" spans="2:19" ht="21.75" customHeight="1" x14ac:dyDescent="0.25">
      <c r="B527" s="24"/>
      <c r="C527" s="24"/>
      <c r="D527" s="24"/>
      <c r="E527" s="24"/>
      <c r="F527" s="38"/>
      <c r="G527" s="27"/>
      <c r="H527" s="24"/>
      <c r="I527" s="27"/>
      <c r="J527" s="26"/>
      <c r="K527" s="24"/>
      <c r="L527" s="24"/>
      <c r="M527" s="24" t="str">
        <f>IF(B527="","",IF(COUNTIFS(Cobranza!$C$9:$C$1008,B527,Cobranza!$N$9:$N$1008,"Vencida")&gt;0,"Vencida",IF(COUNTIFS(Cobranza!$C$9:$C$1008,B527,Cobranza!$N$9:$N$1008,"Parcial")&gt;0,"Parcial",IF(COUNTIFS(Cobranza!$C$9:$C$1008,B527,Cobranza!$N$9:$N$1008,"Pendiente")&gt;0,"Pendiente",IF(COUNTIFS(Cobranza!$C$9:$C$1008,B527,Cobranza!$N$9:$N$1008,"Pagada")&gt;0,"Pagada","")))))</f>
        <v/>
      </c>
      <c r="N527" s="33" t="str">
        <f t="shared" ca="1" si="8"/>
        <v/>
      </c>
      <c r="O527" s="23"/>
      <c r="P527" s="7" t="str">
        <f ca="1">IF(AND(B527&lt;&gt;"",F527&lt;&gt;"Cerrada",F527&lt;&gt;"Perdida",N527&lt;&gt;"",N527&gt;14),COUNTIFS($F$8:$F527,"&lt;&gt;Cerrada",$F$8:$F527,"&lt;&gt;Perdida",$N$8:$N527,"&gt;14"),"")</f>
        <v/>
      </c>
      <c r="Q527" s="8"/>
      <c r="R527" s="9"/>
      <c r="S527" s="10"/>
    </row>
    <row r="528" spans="2:19" ht="21.75" customHeight="1" x14ac:dyDescent="0.25">
      <c r="B528" s="24"/>
      <c r="C528" s="24"/>
      <c r="D528" s="24"/>
      <c r="E528" s="24"/>
      <c r="F528" s="38"/>
      <c r="G528" s="27"/>
      <c r="H528" s="24"/>
      <c r="I528" s="27"/>
      <c r="J528" s="26"/>
      <c r="K528" s="24"/>
      <c r="L528" s="24"/>
      <c r="M528" s="24" t="str">
        <f>IF(B528="","",IF(COUNTIFS(Cobranza!$C$9:$C$1008,B528,Cobranza!$N$9:$N$1008,"Vencida")&gt;0,"Vencida",IF(COUNTIFS(Cobranza!$C$9:$C$1008,B528,Cobranza!$N$9:$N$1008,"Parcial")&gt;0,"Parcial",IF(COUNTIFS(Cobranza!$C$9:$C$1008,B528,Cobranza!$N$9:$N$1008,"Pendiente")&gt;0,"Pendiente",IF(COUNTIFS(Cobranza!$C$9:$C$1008,B528,Cobranza!$N$9:$N$1008,"Pagada")&gt;0,"Pagada","")))))</f>
        <v/>
      </c>
      <c r="N528" s="33" t="str">
        <f t="shared" ca="1" si="8"/>
        <v/>
      </c>
      <c r="O528" s="23"/>
      <c r="P528" s="7" t="str">
        <f ca="1">IF(AND(B528&lt;&gt;"",F528&lt;&gt;"Cerrada",F528&lt;&gt;"Perdida",N528&lt;&gt;"",N528&gt;14),COUNTIFS($F$8:$F528,"&lt;&gt;Cerrada",$F$8:$F528,"&lt;&gt;Perdida",$N$8:$N528,"&gt;14"),"")</f>
        <v/>
      </c>
      <c r="Q528" s="8"/>
      <c r="R528" s="9"/>
      <c r="S528" s="10"/>
    </row>
    <row r="529" spans="2:19" ht="21.75" customHeight="1" x14ac:dyDescent="0.25">
      <c r="B529" s="24"/>
      <c r="C529" s="24"/>
      <c r="D529" s="24"/>
      <c r="E529" s="24"/>
      <c r="F529" s="38"/>
      <c r="G529" s="27"/>
      <c r="H529" s="24"/>
      <c r="I529" s="27"/>
      <c r="J529" s="26"/>
      <c r="K529" s="24"/>
      <c r="L529" s="24"/>
      <c r="M529" s="24" t="str">
        <f>IF(B529="","",IF(COUNTIFS(Cobranza!$C$9:$C$1008,B529,Cobranza!$N$9:$N$1008,"Vencida")&gt;0,"Vencida",IF(COUNTIFS(Cobranza!$C$9:$C$1008,B529,Cobranza!$N$9:$N$1008,"Parcial")&gt;0,"Parcial",IF(COUNTIFS(Cobranza!$C$9:$C$1008,B529,Cobranza!$N$9:$N$1008,"Pendiente")&gt;0,"Pendiente",IF(COUNTIFS(Cobranza!$C$9:$C$1008,B529,Cobranza!$N$9:$N$1008,"Pagada")&gt;0,"Pagada","")))))</f>
        <v/>
      </c>
      <c r="N529" s="33" t="str">
        <f t="shared" ca="1" si="8"/>
        <v/>
      </c>
      <c r="O529" s="23"/>
      <c r="P529" s="7" t="str">
        <f ca="1">IF(AND(B529&lt;&gt;"",F529&lt;&gt;"Cerrada",F529&lt;&gt;"Perdida",N529&lt;&gt;"",N529&gt;14),COUNTIFS($F$8:$F529,"&lt;&gt;Cerrada",$F$8:$F529,"&lt;&gt;Perdida",$N$8:$N529,"&gt;14"),"")</f>
        <v/>
      </c>
      <c r="Q529" s="8"/>
      <c r="R529" s="9"/>
      <c r="S529" s="10"/>
    </row>
    <row r="530" spans="2:19" ht="21.75" customHeight="1" x14ac:dyDescent="0.25">
      <c r="B530" s="24"/>
      <c r="C530" s="24"/>
      <c r="D530" s="24"/>
      <c r="E530" s="24"/>
      <c r="F530" s="38"/>
      <c r="G530" s="27"/>
      <c r="H530" s="24"/>
      <c r="I530" s="27"/>
      <c r="J530" s="26"/>
      <c r="K530" s="24"/>
      <c r="L530" s="24"/>
      <c r="M530" s="24" t="str">
        <f>IF(B530="","",IF(COUNTIFS(Cobranza!$C$9:$C$1008,B530,Cobranza!$N$9:$N$1008,"Vencida")&gt;0,"Vencida",IF(COUNTIFS(Cobranza!$C$9:$C$1008,B530,Cobranza!$N$9:$N$1008,"Parcial")&gt;0,"Parcial",IF(COUNTIFS(Cobranza!$C$9:$C$1008,B530,Cobranza!$N$9:$N$1008,"Pendiente")&gt;0,"Pendiente",IF(COUNTIFS(Cobranza!$C$9:$C$1008,B530,Cobranza!$N$9:$N$1008,"Pagada")&gt;0,"Pagada","")))))</f>
        <v/>
      </c>
      <c r="N530" s="33" t="str">
        <f t="shared" ca="1" si="8"/>
        <v/>
      </c>
      <c r="O530" s="23"/>
      <c r="P530" s="7" t="str">
        <f ca="1">IF(AND(B530&lt;&gt;"",F530&lt;&gt;"Cerrada",F530&lt;&gt;"Perdida",N530&lt;&gt;"",N530&gt;14),COUNTIFS($F$8:$F530,"&lt;&gt;Cerrada",$F$8:$F530,"&lt;&gt;Perdida",$N$8:$N530,"&gt;14"),"")</f>
        <v/>
      </c>
      <c r="Q530" s="8"/>
      <c r="R530" s="9"/>
      <c r="S530" s="10"/>
    </row>
    <row r="531" spans="2:19" ht="21.75" customHeight="1" x14ac:dyDescent="0.25">
      <c r="B531" s="24"/>
      <c r="C531" s="24"/>
      <c r="D531" s="24"/>
      <c r="E531" s="24"/>
      <c r="F531" s="38"/>
      <c r="G531" s="27"/>
      <c r="H531" s="24"/>
      <c r="I531" s="27"/>
      <c r="J531" s="26"/>
      <c r="K531" s="24"/>
      <c r="L531" s="24"/>
      <c r="M531" s="24" t="str">
        <f>IF(B531="","",IF(COUNTIFS(Cobranza!$C$9:$C$1008,B531,Cobranza!$N$9:$N$1008,"Vencida")&gt;0,"Vencida",IF(COUNTIFS(Cobranza!$C$9:$C$1008,B531,Cobranza!$N$9:$N$1008,"Parcial")&gt;0,"Parcial",IF(COUNTIFS(Cobranza!$C$9:$C$1008,B531,Cobranza!$N$9:$N$1008,"Pendiente")&gt;0,"Pendiente",IF(COUNTIFS(Cobranza!$C$9:$C$1008,B531,Cobranza!$N$9:$N$1008,"Pagada")&gt;0,"Pagada","")))))</f>
        <v/>
      </c>
      <c r="N531" s="33" t="str">
        <f t="shared" ca="1" si="8"/>
        <v/>
      </c>
      <c r="O531" s="23"/>
      <c r="P531" s="7" t="str">
        <f ca="1">IF(AND(B531&lt;&gt;"",F531&lt;&gt;"Cerrada",F531&lt;&gt;"Perdida",N531&lt;&gt;"",N531&gt;14),COUNTIFS($F$8:$F531,"&lt;&gt;Cerrada",$F$8:$F531,"&lt;&gt;Perdida",$N$8:$N531,"&gt;14"),"")</f>
        <v/>
      </c>
      <c r="Q531" s="8"/>
      <c r="R531" s="9"/>
      <c r="S531" s="10"/>
    </row>
    <row r="532" spans="2:19" ht="21.75" customHeight="1" x14ac:dyDescent="0.25">
      <c r="B532" s="24"/>
      <c r="C532" s="24"/>
      <c r="D532" s="24"/>
      <c r="E532" s="24"/>
      <c r="F532" s="38"/>
      <c r="G532" s="27"/>
      <c r="H532" s="24"/>
      <c r="I532" s="27"/>
      <c r="J532" s="26"/>
      <c r="K532" s="24"/>
      <c r="L532" s="24"/>
      <c r="M532" s="24" t="str">
        <f>IF(B532="","",IF(COUNTIFS(Cobranza!$C$9:$C$1008,B532,Cobranza!$N$9:$N$1008,"Vencida")&gt;0,"Vencida",IF(COUNTIFS(Cobranza!$C$9:$C$1008,B532,Cobranza!$N$9:$N$1008,"Parcial")&gt;0,"Parcial",IF(COUNTIFS(Cobranza!$C$9:$C$1008,B532,Cobranza!$N$9:$N$1008,"Pendiente")&gt;0,"Pendiente",IF(COUNTIFS(Cobranza!$C$9:$C$1008,B532,Cobranza!$N$9:$N$1008,"Pagada")&gt;0,"Pagada","")))))</f>
        <v/>
      </c>
      <c r="N532" s="33" t="str">
        <f t="shared" ca="1" si="8"/>
        <v/>
      </c>
      <c r="O532" s="23"/>
      <c r="P532" s="7" t="str">
        <f ca="1">IF(AND(B532&lt;&gt;"",F532&lt;&gt;"Cerrada",F532&lt;&gt;"Perdida",N532&lt;&gt;"",N532&gt;14),COUNTIFS($F$8:$F532,"&lt;&gt;Cerrada",$F$8:$F532,"&lt;&gt;Perdida",$N$8:$N532,"&gt;14"),"")</f>
        <v/>
      </c>
      <c r="Q532" s="8"/>
      <c r="R532" s="9"/>
      <c r="S532" s="10"/>
    </row>
    <row r="533" spans="2:19" ht="21.75" customHeight="1" x14ac:dyDescent="0.25">
      <c r="B533" s="24"/>
      <c r="C533" s="24"/>
      <c r="D533" s="24"/>
      <c r="E533" s="24"/>
      <c r="F533" s="38"/>
      <c r="G533" s="27"/>
      <c r="H533" s="24"/>
      <c r="I533" s="27"/>
      <c r="J533" s="26"/>
      <c r="K533" s="24"/>
      <c r="L533" s="24"/>
      <c r="M533" s="24" t="str">
        <f>IF(B533="","",IF(COUNTIFS(Cobranza!$C$9:$C$1008,B533,Cobranza!$N$9:$N$1008,"Vencida")&gt;0,"Vencida",IF(COUNTIFS(Cobranza!$C$9:$C$1008,B533,Cobranza!$N$9:$N$1008,"Parcial")&gt;0,"Parcial",IF(COUNTIFS(Cobranza!$C$9:$C$1008,B533,Cobranza!$N$9:$N$1008,"Pendiente")&gt;0,"Pendiente",IF(COUNTIFS(Cobranza!$C$9:$C$1008,B533,Cobranza!$N$9:$N$1008,"Pagada")&gt;0,"Pagada","")))))</f>
        <v/>
      </c>
      <c r="N533" s="33" t="str">
        <f t="shared" ca="1" si="8"/>
        <v/>
      </c>
      <c r="O533" s="23"/>
      <c r="P533" s="7" t="str">
        <f ca="1">IF(AND(B533&lt;&gt;"",F533&lt;&gt;"Cerrada",F533&lt;&gt;"Perdida",N533&lt;&gt;"",N533&gt;14),COUNTIFS($F$8:$F533,"&lt;&gt;Cerrada",$F$8:$F533,"&lt;&gt;Perdida",$N$8:$N533,"&gt;14"),"")</f>
        <v/>
      </c>
      <c r="Q533" s="8"/>
      <c r="R533" s="9"/>
      <c r="S533" s="10"/>
    </row>
    <row r="534" spans="2:19" ht="21.75" customHeight="1" x14ac:dyDescent="0.25">
      <c r="B534" s="24"/>
      <c r="C534" s="24"/>
      <c r="D534" s="24"/>
      <c r="E534" s="24"/>
      <c r="F534" s="38"/>
      <c r="G534" s="27"/>
      <c r="H534" s="24"/>
      <c r="I534" s="27"/>
      <c r="J534" s="26"/>
      <c r="K534" s="24"/>
      <c r="L534" s="24"/>
      <c r="M534" s="24" t="str">
        <f>IF(B534="","",IF(COUNTIFS(Cobranza!$C$9:$C$1008,B534,Cobranza!$N$9:$N$1008,"Vencida")&gt;0,"Vencida",IF(COUNTIFS(Cobranza!$C$9:$C$1008,B534,Cobranza!$N$9:$N$1008,"Parcial")&gt;0,"Parcial",IF(COUNTIFS(Cobranza!$C$9:$C$1008,B534,Cobranza!$N$9:$N$1008,"Pendiente")&gt;0,"Pendiente",IF(COUNTIFS(Cobranza!$C$9:$C$1008,B534,Cobranza!$N$9:$N$1008,"Pagada")&gt;0,"Pagada","")))))</f>
        <v/>
      </c>
      <c r="N534" s="33" t="str">
        <f t="shared" ca="1" si="8"/>
        <v/>
      </c>
      <c r="O534" s="23"/>
      <c r="P534" s="7" t="str">
        <f ca="1">IF(AND(B534&lt;&gt;"",F534&lt;&gt;"Cerrada",F534&lt;&gt;"Perdida",N534&lt;&gt;"",N534&gt;14),COUNTIFS($F$8:$F534,"&lt;&gt;Cerrada",$F$8:$F534,"&lt;&gt;Perdida",$N$8:$N534,"&gt;14"),"")</f>
        <v/>
      </c>
      <c r="Q534" s="8"/>
      <c r="R534" s="9"/>
      <c r="S534" s="10"/>
    </row>
    <row r="535" spans="2:19" ht="21.75" customHeight="1" x14ac:dyDescent="0.25">
      <c r="B535" s="24"/>
      <c r="C535" s="24"/>
      <c r="D535" s="24"/>
      <c r="E535" s="24"/>
      <c r="F535" s="38"/>
      <c r="G535" s="27"/>
      <c r="H535" s="24"/>
      <c r="I535" s="27"/>
      <c r="J535" s="26"/>
      <c r="K535" s="24"/>
      <c r="L535" s="24"/>
      <c r="M535" s="24" t="str">
        <f>IF(B535="","",IF(COUNTIFS(Cobranza!$C$9:$C$1008,B535,Cobranza!$N$9:$N$1008,"Vencida")&gt;0,"Vencida",IF(COUNTIFS(Cobranza!$C$9:$C$1008,B535,Cobranza!$N$9:$N$1008,"Parcial")&gt;0,"Parcial",IF(COUNTIFS(Cobranza!$C$9:$C$1008,B535,Cobranza!$N$9:$N$1008,"Pendiente")&gt;0,"Pendiente",IF(COUNTIFS(Cobranza!$C$9:$C$1008,B535,Cobranza!$N$9:$N$1008,"Pagada")&gt;0,"Pagada","")))))</f>
        <v/>
      </c>
      <c r="N535" s="33" t="str">
        <f t="shared" ca="1" si="8"/>
        <v/>
      </c>
      <c r="O535" s="23"/>
      <c r="P535" s="7" t="str">
        <f ca="1">IF(AND(B535&lt;&gt;"",F535&lt;&gt;"Cerrada",F535&lt;&gt;"Perdida",N535&lt;&gt;"",N535&gt;14),COUNTIFS($F$8:$F535,"&lt;&gt;Cerrada",$F$8:$F535,"&lt;&gt;Perdida",$N$8:$N535,"&gt;14"),"")</f>
        <v/>
      </c>
      <c r="Q535" s="8"/>
      <c r="R535" s="9"/>
      <c r="S535" s="10"/>
    </row>
    <row r="536" spans="2:19" ht="21.75" customHeight="1" x14ac:dyDescent="0.25">
      <c r="B536" s="24"/>
      <c r="C536" s="24"/>
      <c r="D536" s="24"/>
      <c r="E536" s="24"/>
      <c r="F536" s="38"/>
      <c r="G536" s="27"/>
      <c r="H536" s="24"/>
      <c r="I536" s="27"/>
      <c r="J536" s="26"/>
      <c r="K536" s="24"/>
      <c r="L536" s="24"/>
      <c r="M536" s="24" t="str">
        <f>IF(B536="","",IF(COUNTIFS(Cobranza!$C$9:$C$1008,B536,Cobranza!$N$9:$N$1008,"Vencida")&gt;0,"Vencida",IF(COUNTIFS(Cobranza!$C$9:$C$1008,B536,Cobranza!$N$9:$N$1008,"Parcial")&gt;0,"Parcial",IF(COUNTIFS(Cobranza!$C$9:$C$1008,B536,Cobranza!$N$9:$N$1008,"Pendiente")&gt;0,"Pendiente",IF(COUNTIFS(Cobranza!$C$9:$C$1008,B536,Cobranza!$N$9:$N$1008,"Pagada")&gt;0,"Pagada","")))))</f>
        <v/>
      </c>
      <c r="N536" s="33" t="str">
        <f t="shared" ca="1" si="8"/>
        <v/>
      </c>
      <c r="O536" s="23"/>
      <c r="P536" s="7" t="str">
        <f ca="1">IF(AND(B536&lt;&gt;"",F536&lt;&gt;"Cerrada",F536&lt;&gt;"Perdida",N536&lt;&gt;"",N536&gt;14),COUNTIFS($F$8:$F536,"&lt;&gt;Cerrada",$F$8:$F536,"&lt;&gt;Perdida",$N$8:$N536,"&gt;14"),"")</f>
        <v/>
      </c>
      <c r="Q536" s="8"/>
      <c r="R536" s="9"/>
      <c r="S536" s="10"/>
    </row>
    <row r="537" spans="2:19" ht="21.75" customHeight="1" x14ac:dyDescent="0.25">
      <c r="B537" s="24"/>
      <c r="C537" s="24"/>
      <c r="D537" s="24"/>
      <c r="E537" s="24"/>
      <c r="F537" s="38"/>
      <c r="G537" s="27"/>
      <c r="H537" s="24"/>
      <c r="I537" s="27"/>
      <c r="J537" s="26"/>
      <c r="K537" s="24"/>
      <c r="L537" s="24"/>
      <c r="M537" s="24" t="str">
        <f>IF(B537="","",IF(COUNTIFS(Cobranza!$C$9:$C$1008,B537,Cobranza!$N$9:$N$1008,"Vencida")&gt;0,"Vencida",IF(COUNTIFS(Cobranza!$C$9:$C$1008,B537,Cobranza!$N$9:$N$1008,"Parcial")&gt;0,"Parcial",IF(COUNTIFS(Cobranza!$C$9:$C$1008,B537,Cobranza!$N$9:$N$1008,"Pendiente")&gt;0,"Pendiente",IF(COUNTIFS(Cobranza!$C$9:$C$1008,B537,Cobranza!$N$9:$N$1008,"Pagada")&gt;0,"Pagada","")))))</f>
        <v/>
      </c>
      <c r="N537" s="33" t="str">
        <f t="shared" ca="1" si="8"/>
        <v/>
      </c>
      <c r="O537" s="23"/>
      <c r="P537" s="7" t="str">
        <f ca="1">IF(AND(B537&lt;&gt;"",F537&lt;&gt;"Cerrada",F537&lt;&gt;"Perdida",N537&lt;&gt;"",N537&gt;14),COUNTIFS($F$8:$F537,"&lt;&gt;Cerrada",$F$8:$F537,"&lt;&gt;Perdida",$N$8:$N537,"&gt;14"),"")</f>
        <v/>
      </c>
      <c r="Q537" s="8"/>
      <c r="R537" s="9"/>
      <c r="S537" s="10"/>
    </row>
    <row r="538" spans="2:19" ht="21.75" customHeight="1" x14ac:dyDescent="0.25">
      <c r="B538" s="24"/>
      <c r="C538" s="24"/>
      <c r="D538" s="24"/>
      <c r="E538" s="24"/>
      <c r="F538" s="38"/>
      <c r="G538" s="27"/>
      <c r="H538" s="24"/>
      <c r="I538" s="27"/>
      <c r="J538" s="26"/>
      <c r="K538" s="24"/>
      <c r="L538" s="24"/>
      <c r="M538" s="24" t="str">
        <f>IF(B538="","",IF(COUNTIFS(Cobranza!$C$9:$C$1008,B538,Cobranza!$N$9:$N$1008,"Vencida")&gt;0,"Vencida",IF(COUNTIFS(Cobranza!$C$9:$C$1008,B538,Cobranza!$N$9:$N$1008,"Parcial")&gt;0,"Parcial",IF(COUNTIFS(Cobranza!$C$9:$C$1008,B538,Cobranza!$N$9:$N$1008,"Pendiente")&gt;0,"Pendiente",IF(COUNTIFS(Cobranza!$C$9:$C$1008,B538,Cobranza!$N$9:$N$1008,"Pagada")&gt;0,"Pagada","")))))</f>
        <v/>
      </c>
      <c r="N538" s="33" t="str">
        <f t="shared" ca="1" si="8"/>
        <v/>
      </c>
      <c r="O538" s="23"/>
      <c r="P538" s="7" t="str">
        <f ca="1">IF(AND(B538&lt;&gt;"",F538&lt;&gt;"Cerrada",F538&lt;&gt;"Perdida",N538&lt;&gt;"",N538&gt;14),COUNTIFS($F$8:$F538,"&lt;&gt;Cerrada",$F$8:$F538,"&lt;&gt;Perdida",$N$8:$N538,"&gt;14"),"")</f>
        <v/>
      </c>
      <c r="Q538" s="8"/>
      <c r="R538" s="9"/>
      <c r="S538" s="10"/>
    </row>
    <row r="539" spans="2:19" ht="21.75" customHeight="1" x14ac:dyDescent="0.25">
      <c r="B539" s="24"/>
      <c r="C539" s="24"/>
      <c r="D539" s="24"/>
      <c r="E539" s="24"/>
      <c r="F539" s="38"/>
      <c r="G539" s="27"/>
      <c r="H539" s="24"/>
      <c r="I539" s="27"/>
      <c r="J539" s="26"/>
      <c r="K539" s="24"/>
      <c r="L539" s="24"/>
      <c r="M539" s="24" t="str">
        <f>IF(B539="","",IF(COUNTIFS(Cobranza!$C$9:$C$1008,B539,Cobranza!$N$9:$N$1008,"Vencida")&gt;0,"Vencida",IF(COUNTIFS(Cobranza!$C$9:$C$1008,B539,Cobranza!$N$9:$N$1008,"Parcial")&gt;0,"Parcial",IF(COUNTIFS(Cobranza!$C$9:$C$1008,B539,Cobranza!$N$9:$N$1008,"Pendiente")&gt;0,"Pendiente",IF(COUNTIFS(Cobranza!$C$9:$C$1008,B539,Cobranza!$N$9:$N$1008,"Pagada")&gt;0,"Pagada","")))))</f>
        <v/>
      </c>
      <c r="N539" s="33" t="str">
        <f t="shared" ca="1" si="8"/>
        <v/>
      </c>
      <c r="O539" s="23"/>
      <c r="P539" s="7" t="str">
        <f ca="1">IF(AND(B539&lt;&gt;"",F539&lt;&gt;"Cerrada",F539&lt;&gt;"Perdida",N539&lt;&gt;"",N539&gt;14),COUNTIFS($F$8:$F539,"&lt;&gt;Cerrada",$F$8:$F539,"&lt;&gt;Perdida",$N$8:$N539,"&gt;14"),"")</f>
        <v/>
      </c>
      <c r="Q539" s="8"/>
      <c r="R539" s="9"/>
      <c r="S539" s="10"/>
    </row>
    <row r="540" spans="2:19" ht="21.75" customHeight="1" x14ac:dyDescent="0.25">
      <c r="B540" s="24"/>
      <c r="C540" s="24"/>
      <c r="D540" s="24"/>
      <c r="E540" s="24"/>
      <c r="F540" s="38"/>
      <c r="G540" s="27"/>
      <c r="H540" s="24"/>
      <c r="I540" s="27"/>
      <c r="J540" s="26"/>
      <c r="K540" s="24"/>
      <c r="L540" s="24"/>
      <c r="M540" s="24" t="str">
        <f>IF(B540="","",IF(COUNTIFS(Cobranza!$C$9:$C$1008,B540,Cobranza!$N$9:$N$1008,"Vencida")&gt;0,"Vencida",IF(COUNTIFS(Cobranza!$C$9:$C$1008,B540,Cobranza!$N$9:$N$1008,"Parcial")&gt;0,"Parcial",IF(COUNTIFS(Cobranza!$C$9:$C$1008,B540,Cobranza!$N$9:$N$1008,"Pendiente")&gt;0,"Pendiente",IF(COUNTIFS(Cobranza!$C$9:$C$1008,B540,Cobranza!$N$9:$N$1008,"Pagada")&gt;0,"Pagada","")))))</f>
        <v/>
      </c>
      <c r="N540" s="33" t="str">
        <f t="shared" ca="1" si="8"/>
        <v/>
      </c>
      <c r="O540" s="23"/>
      <c r="P540" s="7" t="str">
        <f ca="1">IF(AND(B540&lt;&gt;"",F540&lt;&gt;"Cerrada",F540&lt;&gt;"Perdida",N540&lt;&gt;"",N540&gt;14),COUNTIFS($F$8:$F540,"&lt;&gt;Cerrada",$F$8:$F540,"&lt;&gt;Perdida",$N$8:$N540,"&gt;14"),"")</f>
        <v/>
      </c>
      <c r="Q540" s="8"/>
      <c r="R540" s="9"/>
      <c r="S540" s="10"/>
    </row>
    <row r="541" spans="2:19" ht="21.75" customHeight="1" x14ac:dyDescent="0.25">
      <c r="B541" s="24"/>
      <c r="C541" s="24"/>
      <c r="D541" s="24"/>
      <c r="E541" s="24"/>
      <c r="F541" s="38"/>
      <c r="G541" s="27"/>
      <c r="H541" s="24"/>
      <c r="I541" s="27"/>
      <c r="J541" s="26"/>
      <c r="K541" s="24"/>
      <c r="L541" s="24"/>
      <c r="M541" s="24" t="str">
        <f>IF(B541="","",IF(COUNTIFS(Cobranza!$C$9:$C$1008,B541,Cobranza!$N$9:$N$1008,"Vencida")&gt;0,"Vencida",IF(COUNTIFS(Cobranza!$C$9:$C$1008,B541,Cobranza!$N$9:$N$1008,"Parcial")&gt;0,"Parcial",IF(COUNTIFS(Cobranza!$C$9:$C$1008,B541,Cobranza!$N$9:$N$1008,"Pendiente")&gt;0,"Pendiente",IF(COUNTIFS(Cobranza!$C$9:$C$1008,B541,Cobranza!$N$9:$N$1008,"Pagada")&gt;0,"Pagada","")))))</f>
        <v/>
      </c>
      <c r="N541" s="33" t="str">
        <f t="shared" ca="1" si="8"/>
        <v/>
      </c>
      <c r="O541" s="23"/>
      <c r="P541" s="7" t="str">
        <f ca="1">IF(AND(B541&lt;&gt;"",F541&lt;&gt;"Cerrada",F541&lt;&gt;"Perdida",N541&lt;&gt;"",N541&gt;14),COUNTIFS($F$8:$F541,"&lt;&gt;Cerrada",$F$8:$F541,"&lt;&gt;Perdida",$N$8:$N541,"&gt;14"),"")</f>
        <v/>
      </c>
      <c r="Q541" s="8"/>
      <c r="R541" s="9"/>
      <c r="S541" s="10"/>
    </row>
    <row r="542" spans="2:19" ht="21.75" customHeight="1" x14ac:dyDescent="0.25">
      <c r="B542" s="24"/>
      <c r="C542" s="24"/>
      <c r="D542" s="24"/>
      <c r="E542" s="24"/>
      <c r="F542" s="38"/>
      <c r="G542" s="27"/>
      <c r="H542" s="24"/>
      <c r="I542" s="27"/>
      <c r="J542" s="26"/>
      <c r="K542" s="24"/>
      <c r="L542" s="24"/>
      <c r="M542" s="24" t="str">
        <f>IF(B542="","",IF(COUNTIFS(Cobranza!$C$9:$C$1008,B542,Cobranza!$N$9:$N$1008,"Vencida")&gt;0,"Vencida",IF(COUNTIFS(Cobranza!$C$9:$C$1008,B542,Cobranza!$N$9:$N$1008,"Parcial")&gt;0,"Parcial",IF(COUNTIFS(Cobranza!$C$9:$C$1008,B542,Cobranza!$N$9:$N$1008,"Pendiente")&gt;0,"Pendiente",IF(COUNTIFS(Cobranza!$C$9:$C$1008,B542,Cobranza!$N$9:$N$1008,"Pagada")&gt;0,"Pagada","")))))</f>
        <v/>
      </c>
      <c r="N542" s="33" t="str">
        <f t="shared" ca="1" si="8"/>
        <v/>
      </c>
      <c r="O542" s="23"/>
      <c r="P542" s="7" t="str">
        <f ca="1">IF(AND(B542&lt;&gt;"",F542&lt;&gt;"Cerrada",F542&lt;&gt;"Perdida",N542&lt;&gt;"",N542&gt;14),COUNTIFS($F$8:$F542,"&lt;&gt;Cerrada",$F$8:$F542,"&lt;&gt;Perdida",$N$8:$N542,"&gt;14"),"")</f>
        <v/>
      </c>
      <c r="Q542" s="8"/>
      <c r="R542" s="9"/>
      <c r="S542" s="10"/>
    </row>
    <row r="543" spans="2:19" ht="21.75" customHeight="1" x14ac:dyDescent="0.25">
      <c r="B543" s="24"/>
      <c r="C543" s="24"/>
      <c r="D543" s="24"/>
      <c r="E543" s="24"/>
      <c r="F543" s="38"/>
      <c r="G543" s="27"/>
      <c r="H543" s="24"/>
      <c r="I543" s="27"/>
      <c r="J543" s="26"/>
      <c r="K543" s="24"/>
      <c r="L543" s="24"/>
      <c r="M543" s="24" t="str">
        <f>IF(B543="","",IF(COUNTIFS(Cobranza!$C$9:$C$1008,B543,Cobranza!$N$9:$N$1008,"Vencida")&gt;0,"Vencida",IF(COUNTIFS(Cobranza!$C$9:$C$1008,B543,Cobranza!$N$9:$N$1008,"Parcial")&gt;0,"Parcial",IF(COUNTIFS(Cobranza!$C$9:$C$1008,B543,Cobranza!$N$9:$N$1008,"Pendiente")&gt;0,"Pendiente",IF(COUNTIFS(Cobranza!$C$9:$C$1008,B543,Cobranza!$N$9:$N$1008,"Pagada")&gt;0,"Pagada","")))))</f>
        <v/>
      </c>
      <c r="N543" s="33" t="str">
        <f t="shared" ca="1" si="8"/>
        <v/>
      </c>
      <c r="O543" s="23"/>
      <c r="P543" s="7" t="str">
        <f ca="1">IF(AND(B543&lt;&gt;"",F543&lt;&gt;"Cerrada",F543&lt;&gt;"Perdida",N543&lt;&gt;"",N543&gt;14),COUNTIFS($F$8:$F543,"&lt;&gt;Cerrada",$F$8:$F543,"&lt;&gt;Perdida",$N$8:$N543,"&gt;14"),"")</f>
        <v/>
      </c>
      <c r="Q543" s="8"/>
      <c r="R543" s="9"/>
      <c r="S543" s="10"/>
    </row>
    <row r="544" spans="2:19" ht="21.75" customHeight="1" x14ac:dyDescent="0.25">
      <c r="B544" s="24"/>
      <c r="C544" s="24"/>
      <c r="D544" s="24"/>
      <c r="E544" s="24"/>
      <c r="F544" s="38"/>
      <c r="G544" s="27"/>
      <c r="H544" s="24"/>
      <c r="I544" s="27"/>
      <c r="J544" s="26"/>
      <c r="K544" s="24"/>
      <c r="L544" s="24"/>
      <c r="M544" s="24" t="str">
        <f>IF(B544="","",IF(COUNTIFS(Cobranza!$C$9:$C$1008,B544,Cobranza!$N$9:$N$1008,"Vencida")&gt;0,"Vencida",IF(COUNTIFS(Cobranza!$C$9:$C$1008,B544,Cobranza!$N$9:$N$1008,"Parcial")&gt;0,"Parcial",IF(COUNTIFS(Cobranza!$C$9:$C$1008,B544,Cobranza!$N$9:$N$1008,"Pendiente")&gt;0,"Pendiente",IF(COUNTIFS(Cobranza!$C$9:$C$1008,B544,Cobranza!$N$9:$N$1008,"Pagada")&gt;0,"Pagada","")))))</f>
        <v/>
      </c>
      <c r="N544" s="33" t="str">
        <f t="shared" ca="1" si="8"/>
        <v/>
      </c>
      <c r="O544" s="23"/>
      <c r="P544" s="7" t="str">
        <f ca="1">IF(AND(B544&lt;&gt;"",F544&lt;&gt;"Cerrada",F544&lt;&gt;"Perdida",N544&lt;&gt;"",N544&gt;14),COUNTIFS($F$8:$F544,"&lt;&gt;Cerrada",$F$8:$F544,"&lt;&gt;Perdida",$N$8:$N544,"&gt;14"),"")</f>
        <v/>
      </c>
      <c r="Q544" s="8"/>
      <c r="R544" s="9"/>
      <c r="S544" s="10"/>
    </row>
    <row r="545" spans="2:19" ht="21.75" customHeight="1" x14ac:dyDescent="0.25">
      <c r="B545" s="24"/>
      <c r="C545" s="24"/>
      <c r="D545" s="24"/>
      <c r="E545" s="24"/>
      <c r="F545" s="38"/>
      <c r="G545" s="27"/>
      <c r="H545" s="24"/>
      <c r="I545" s="27"/>
      <c r="J545" s="26"/>
      <c r="K545" s="24"/>
      <c r="L545" s="24"/>
      <c r="M545" s="24" t="str">
        <f>IF(B545="","",IF(COUNTIFS(Cobranza!$C$9:$C$1008,B545,Cobranza!$N$9:$N$1008,"Vencida")&gt;0,"Vencida",IF(COUNTIFS(Cobranza!$C$9:$C$1008,B545,Cobranza!$N$9:$N$1008,"Parcial")&gt;0,"Parcial",IF(COUNTIFS(Cobranza!$C$9:$C$1008,B545,Cobranza!$N$9:$N$1008,"Pendiente")&gt;0,"Pendiente",IF(COUNTIFS(Cobranza!$C$9:$C$1008,B545,Cobranza!$N$9:$N$1008,"Pagada")&gt;0,"Pagada","")))))</f>
        <v/>
      </c>
      <c r="N545" s="33" t="str">
        <f t="shared" ca="1" si="8"/>
        <v/>
      </c>
      <c r="O545" s="23"/>
      <c r="P545" s="7" t="str">
        <f ca="1">IF(AND(B545&lt;&gt;"",F545&lt;&gt;"Cerrada",F545&lt;&gt;"Perdida",N545&lt;&gt;"",N545&gt;14),COUNTIFS($F$8:$F545,"&lt;&gt;Cerrada",$F$8:$F545,"&lt;&gt;Perdida",$N$8:$N545,"&gt;14"),"")</f>
        <v/>
      </c>
      <c r="Q545" s="8"/>
      <c r="R545" s="9"/>
      <c r="S545" s="10"/>
    </row>
    <row r="546" spans="2:19" ht="21.75" customHeight="1" x14ac:dyDescent="0.25">
      <c r="B546" s="24"/>
      <c r="C546" s="24"/>
      <c r="D546" s="24"/>
      <c r="E546" s="24"/>
      <c r="F546" s="38"/>
      <c r="G546" s="27"/>
      <c r="H546" s="24"/>
      <c r="I546" s="27"/>
      <c r="J546" s="26"/>
      <c r="K546" s="24"/>
      <c r="L546" s="24"/>
      <c r="M546" s="24" t="str">
        <f>IF(B546="","",IF(COUNTIFS(Cobranza!$C$9:$C$1008,B546,Cobranza!$N$9:$N$1008,"Vencida")&gt;0,"Vencida",IF(COUNTIFS(Cobranza!$C$9:$C$1008,B546,Cobranza!$N$9:$N$1008,"Parcial")&gt;0,"Parcial",IF(COUNTIFS(Cobranza!$C$9:$C$1008,B546,Cobranza!$N$9:$N$1008,"Pendiente")&gt;0,"Pendiente",IF(COUNTIFS(Cobranza!$C$9:$C$1008,B546,Cobranza!$N$9:$N$1008,"Pagada")&gt;0,"Pagada","")))))</f>
        <v/>
      </c>
      <c r="N546" s="33" t="str">
        <f t="shared" ca="1" si="8"/>
        <v/>
      </c>
      <c r="O546" s="23"/>
      <c r="P546" s="7" t="str">
        <f ca="1">IF(AND(B546&lt;&gt;"",F546&lt;&gt;"Cerrada",F546&lt;&gt;"Perdida",N546&lt;&gt;"",N546&gt;14),COUNTIFS($F$8:$F546,"&lt;&gt;Cerrada",$F$8:$F546,"&lt;&gt;Perdida",$N$8:$N546,"&gt;14"),"")</f>
        <v/>
      </c>
      <c r="Q546" s="8"/>
      <c r="R546" s="9"/>
      <c r="S546" s="10"/>
    </row>
    <row r="547" spans="2:19" ht="21.75" customHeight="1" x14ac:dyDescent="0.25">
      <c r="B547" s="24"/>
      <c r="C547" s="24"/>
      <c r="D547" s="24"/>
      <c r="E547" s="24"/>
      <c r="F547" s="38"/>
      <c r="G547" s="27"/>
      <c r="H547" s="24"/>
      <c r="I547" s="27"/>
      <c r="J547" s="26"/>
      <c r="K547" s="24"/>
      <c r="L547" s="24"/>
      <c r="M547" s="24" t="str">
        <f>IF(B547="","",IF(COUNTIFS(Cobranza!$C$9:$C$1008,B547,Cobranza!$N$9:$N$1008,"Vencida")&gt;0,"Vencida",IF(COUNTIFS(Cobranza!$C$9:$C$1008,B547,Cobranza!$N$9:$N$1008,"Parcial")&gt;0,"Parcial",IF(COUNTIFS(Cobranza!$C$9:$C$1008,B547,Cobranza!$N$9:$N$1008,"Pendiente")&gt;0,"Pendiente",IF(COUNTIFS(Cobranza!$C$9:$C$1008,B547,Cobranza!$N$9:$N$1008,"Pagada")&gt;0,"Pagada","")))))</f>
        <v/>
      </c>
      <c r="N547" s="33" t="str">
        <f t="shared" ca="1" si="8"/>
        <v/>
      </c>
      <c r="O547" s="23"/>
      <c r="P547" s="7" t="str">
        <f ca="1">IF(AND(B547&lt;&gt;"",F547&lt;&gt;"Cerrada",F547&lt;&gt;"Perdida",N547&lt;&gt;"",N547&gt;14),COUNTIFS($F$8:$F547,"&lt;&gt;Cerrada",$F$8:$F547,"&lt;&gt;Perdida",$N$8:$N547,"&gt;14"),"")</f>
        <v/>
      </c>
      <c r="Q547" s="8"/>
      <c r="R547" s="9"/>
      <c r="S547" s="10"/>
    </row>
    <row r="548" spans="2:19" ht="21.75" customHeight="1" x14ac:dyDescent="0.25">
      <c r="B548" s="24"/>
      <c r="C548" s="24"/>
      <c r="D548" s="24"/>
      <c r="E548" s="24"/>
      <c r="F548" s="38"/>
      <c r="G548" s="27"/>
      <c r="H548" s="24"/>
      <c r="I548" s="27"/>
      <c r="J548" s="26"/>
      <c r="K548" s="24"/>
      <c r="L548" s="24"/>
      <c r="M548" s="24" t="str">
        <f>IF(B548="","",IF(COUNTIFS(Cobranza!$C$9:$C$1008,B548,Cobranza!$N$9:$N$1008,"Vencida")&gt;0,"Vencida",IF(COUNTIFS(Cobranza!$C$9:$C$1008,B548,Cobranza!$N$9:$N$1008,"Parcial")&gt;0,"Parcial",IF(COUNTIFS(Cobranza!$C$9:$C$1008,B548,Cobranza!$N$9:$N$1008,"Pendiente")&gt;0,"Pendiente",IF(COUNTIFS(Cobranza!$C$9:$C$1008,B548,Cobranza!$N$9:$N$1008,"Pagada")&gt;0,"Pagada","")))))</f>
        <v/>
      </c>
      <c r="N548" s="33" t="str">
        <f t="shared" ca="1" si="8"/>
        <v/>
      </c>
      <c r="O548" s="23"/>
      <c r="P548" s="7" t="str">
        <f ca="1">IF(AND(B548&lt;&gt;"",F548&lt;&gt;"Cerrada",F548&lt;&gt;"Perdida",N548&lt;&gt;"",N548&gt;14),COUNTIFS($F$8:$F548,"&lt;&gt;Cerrada",$F$8:$F548,"&lt;&gt;Perdida",$N$8:$N548,"&gt;14"),"")</f>
        <v/>
      </c>
      <c r="Q548" s="8"/>
      <c r="R548" s="9"/>
      <c r="S548" s="10"/>
    </row>
    <row r="549" spans="2:19" ht="21.75" customHeight="1" x14ac:dyDescent="0.25">
      <c r="B549" s="24"/>
      <c r="C549" s="24"/>
      <c r="D549" s="24"/>
      <c r="E549" s="24"/>
      <c r="F549" s="38"/>
      <c r="G549" s="27"/>
      <c r="H549" s="24"/>
      <c r="I549" s="27"/>
      <c r="J549" s="26"/>
      <c r="K549" s="24"/>
      <c r="L549" s="24"/>
      <c r="M549" s="24" t="str">
        <f>IF(B549="","",IF(COUNTIFS(Cobranza!$C$9:$C$1008,B549,Cobranza!$N$9:$N$1008,"Vencida")&gt;0,"Vencida",IF(COUNTIFS(Cobranza!$C$9:$C$1008,B549,Cobranza!$N$9:$N$1008,"Parcial")&gt;0,"Parcial",IF(COUNTIFS(Cobranza!$C$9:$C$1008,B549,Cobranza!$N$9:$N$1008,"Pendiente")&gt;0,"Pendiente",IF(COUNTIFS(Cobranza!$C$9:$C$1008,B549,Cobranza!$N$9:$N$1008,"Pagada")&gt;0,"Pagada","")))))</f>
        <v/>
      </c>
      <c r="N549" s="33" t="str">
        <f t="shared" ca="1" si="8"/>
        <v/>
      </c>
      <c r="O549" s="23"/>
      <c r="P549" s="7" t="str">
        <f ca="1">IF(AND(B549&lt;&gt;"",F549&lt;&gt;"Cerrada",F549&lt;&gt;"Perdida",N549&lt;&gt;"",N549&gt;14),COUNTIFS($F$8:$F549,"&lt;&gt;Cerrada",$F$8:$F549,"&lt;&gt;Perdida",$N$8:$N549,"&gt;14"),"")</f>
        <v/>
      </c>
      <c r="Q549" s="8"/>
      <c r="R549" s="9"/>
      <c r="S549" s="10"/>
    </row>
    <row r="550" spans="2:19" ht="21.75" customHeight="1" x14ac:dyDescent="0.25">
      <c r="B550" s="24"/>
      <c r="C550" s="24"/>
      <c r="D550" s="24"/>
      <c r="E550" s="24"/>
      <c r="F550" s="38"/>
      <c r="G550" s="27"/>
      <c r="H550" s="24"/>
      <c r="I550" s="27"/>
      <c r="J550" s="26"/>
      <c r="K550" s="24"/>
      <c r="L550" s="24"/>
      <c r="M550" s="24" t="str">
        <f>IF(B550="","",IF(COUNTIFS(Cobranza!$C$9:$C$1008,B550,Cobranza!$N$9:$N$1008,"Vencida")&gt;0,"Vencida",IF(COUNTIFS(Cobranza!$C$9:$C$1008,B550,Cobranza!$N$9:$N$1008,"Parcial")&gt;0,"Parcial",IF(COUNTIFS(Cobranza!$C$9:$C$1008,B550,Cobranza!$N$9:$N$1008,"Pendiente")&gt;0,"Pendiente",IF(COUNTIFS(Cobranza!$C$9:$C$1008,B550,Cobranza!$N$9:$N$1008,"Pagada")&gt;0,"Pagada","")))))</f>
        <v/>
      </c>
      <c r="N550" s="33" t="str">
        <f t="shared" ca="1" si="8"/>
        <v/>
      </c>
      <c r="O550" s="23"/>
      <c r="P550" s="7" t="str">
        <f ca="1">IF(AND(B550&lt;&gt;"",F550&lt;&gt;"Cerrada",F550&lt;&gt;"Perdida",N550&lt;&gt;"",N550&gt;14),COUNTIFS($F$8:$F550,"&lt;&gt;Cerrada",$F$8:$F550,"&lt;&gt;Perdida",$N$8:$N550,"&gt;14"),"")</f>
        <v/>
      </c>
      <c r="Q550" s="8"/>
      <c r="R550" s="9"/>
      <c r="S550" s="10"/>
    </row>
    <row r="551" spans="2:19" ht="21.75" customHeight="1" x14ac:dyDescent="0.25">
      <c r="B551" s="24"/>
      <c r="C551" s="24"/>
      <c r="D551" s="24"/>
      <c r="E551" s="24"/>
      <c r="F551" s="38"/>
      <c r="G551" s="27"/>
      <c r="H551" s="24"/>
      <c r="I551" s="27"/>
      <c r="J551" s="26"/>
      <c r="K551" s="24"/>
      <c r="L551" s="24"/>
      <c r="M551" s="24" t="str">
        <f>IF(B551="","",IF(COUNTIFS(Cobranza!$C$9:$C$1008,B551,Cobranza!$N$9:$N$1008,"Vencida")&gt;0,"Vencida",IF(COUNTIFS(Cobranza!$C$9:$C$1008,B551,Cobranza!$N$9:$N$1008,"Parcial")&gt;0,"Parcial",IF(COUNTIFS(Cobranza!$C$9:$C$1008,B551,Cobranza!$N$9:$N$1008,"Pendiente")&gt;0,"Pendiente",IF(COUNTIFS(Cobranza!$C$9:$C$1008,B551,Cobranza!$N$9:$N$1008,"Pagada")&gt;0,"Pagada","")))))</f>
        <v/>
      </c>
      <c r="N551" s="33" t="str">
        <f t="shared" ca="1" si="8"/>
        <v/>
      </c>
      <c r="O551" s="23"/>
      <c r="P551" s="7" t="str">
        <f ca="1">IF(AND(B551&lt;&gt;"",F551&lt;&gt;"Cerrada",F551&lt;&gt;"Perdida",N551&lt;&gt;"",N551&gt;14),COUNTIFS($F$8:$F551,"&lt;&gt;Cerrada",$F$8:$F551,"&lt;&gt;Perdida",$N$8:$N551,"&gt;14"),"")</f>
        <v/>
      </c>
      <c r="Q551" s="8"/>
      <c r="R551" s="9"/>
      <c r="S551" s="10"/>
    </row>
    <row r="552" spans="2:19" ht="21.75" customHeight="1" x14ac:dyDescent="0.25">
      <c r="B552" s="24"/>
      <c r="C552" s="24"/>
      <c r="D552" s="24"/>
      <c r="E552" s="24"/>
      <c r="F552" s="38"/>
      <c r="G552" s="27"/>
      <c r="H552" s="24"/>
      <c r="I552" s="27"/>
      <c r="J552" s="26"/>
      <c r="K552" s="24"/>
      <c r="L552" s="24"/>
      <c r="M552" s="24" t="str">
        <f>IF(B552="","",IF(COUNTIFS(Cobranza!$C$9:$C$1008,B552,Cobranza!$N$9:$N$1008,"Vencida")&gt;0,"Vencida",IF(COUNTIFS(Cobranza!$C$9:$C$1008,B552,Cobranza!$N$9:$N$1008,"Parcial")&gt;0,"Parcial",IF(COUNTIFS(Cobranza!$C$9:$C$1008,B552,Cobranza!$N$9:$N$1008,"Pendiente")&gt;0,"Pendiente",IF(COUNTIFS(Cobranza!$C$9:$C$1008,B552,Cobranza!$N$9:$N$1008,"Pagada")&gt;0,"Pagada","")))))</f>
        <v/>
      </c>
      <c r="N552" s="33" t="str">
        <f t="shared" ca="1" si="8"/>
        <v/>
      </c>
      <c r="O552" s="23"/>
      <c r="P552" s="7" t="str">
        <f ca="1">IF(AND(B552&lt;&gt;"",F552&lt;&gt;"Cerrada",F552&lt;&gt;"Perdida",N552&lt;&gt;"",N552&gt;14),COUNTIFS($F$8:$F552,"&lt;&gt;Cerrada",$F$8:$F552,"&lt;&gt;Perdida",$N$8:$N552,"&gt;14"),"")</f>
        <v/>
      </c>
      <c r="Q552" s="8"/>
      <c r="R552" s="9"/>
      <c r="S552" s="10"/>
    </row>
    <row r="553" spans="2:19" ht="21.75" customHeight="1" x14ac:dyDescent="0.25">
      <c r="B553" s="24"/>
      <c r="C553" s="24"/>
      <c r="D553" s="24"/>
      <c r="E553" s="24"/>
      <c r="F553" s="38"/>
      <c r="G553" s="27"/>
      <c r="H553" s="24"/>
      <c r="I553" s="27"/>
      <c r="J553" s="26"/>
      <c r="K553" s="24"/>
      <c r="L553" s="24"/>
      <c r="M553" s="24" t="str">
        <f>IF(B553="","",IF(COUNTIFS(Cobranza!$C$9:$C$1008,B553,Cobranza!$N$9:$N$1008,"Vencida")&gt;0,"Vencida",IF(COUNTIFS(Cobranza!$C$9:$C$1008,B553,Cobranza!$N$9:$N$1008,"Parcial")&gt;0,"Parcial",IF(COUNTIFS(Cobranza!$C$9:$C$1008,B553,Cobranza!$N$9:$N$1008,"Pendiente")&gt;0,"Pendiente",IF(COUNTIFS(Cobranza!$C$9:$C$1008,B553,Cobranza!$N$9:$N$1008,"Pagada")&gt;0,"Pagada","")))))</f>
        <v/>
      </c>
      <c r="N553" s="33" t="str">
        <f t="shared" ca="1" si="8"/>
        <v/>
      </c>
      <c r="O553" s="23"/>
      <c r="P553" s="7" t="str">
        <f ca="1">IF(AND(B553&lt;&gt;"",F553&lt;&gt;"Cerrada",F553&lt;&gt;"Perdida",N553&lt;&gt;"",N553&gt;14),COUNTIFS($F$8:$F553,"&lt;&gt;Cerrada",$F$8:$F553,"&lt;&gt;Perdida",$N$8:$N553,"&gt;14"),"")</f>
        <v/>
      </c>
      <c r="Q553" s="8"/>
      <c r="R553" s="9"/>
      <c r="S553" s="10"/>
    </row>
    <row r="554" spans="2:19" ht="21.75" customHeight="1" x14ac:dyDescent="0.25">
      <c r="B554" s="24"/>
      <c r="C554" s="24"/>
      <c r="D554" s="24"/>
      <c r="E554" s="24"/>
      <c r="F554" s="38"/>
      <c r="G554" s="27"/>
      <c r="H554" s="24"/>
      <c r="I554" s="27"/>
      <c r="J554" s="26"/>
      <c r="K554" s="24"/>
      <c r="L554" s="24"/>
      <c r="M554" s="24" t="str">
        <f>IF(B554="","",IF(COUNTIFS(Cobranza!$C$9:$C$1008,B554,Cobranza!$N$9:$N$1008,"Vencida")&gt;0,"Vencida",IF(COUNTIFS(Cobranza!$C$9:$C$1008,B554,Cobranza!$N$9:$N$1008,"Parcial")&gt;0,"Parcial",IF(COUNTIFS(Cobranza!$C$9:$C$1008,B554,Cobranza!$N$9:$N$1008,"Pendiente")&gt;0,"Pendiente",IF(COUNTIFS(Cobranza!$C$9:$C$1008,B554,Cobranza!$N$9:$N$1008,"Pagada")&gt;0,"Pagada","")))))</f>
        <v/>
      </c>
      <c r="N554" s="33" t="str">
        <f t="shared" ca="1" si="8"/>
        <v/>
      </c>
      <c r="O554" s="23"/>
      <c r="P554" s="7" t="str">
        <f ca="1">IF(AND(B554&lt;&gt;"",F554&lt;&gt;"Cerrada",F554&lt;&gt;"Perdida",N554&lt;&gt;"",N554&gt;14),COUNTIFS($F$8:$F554,"&lt;&gt;Cerrada",$F$8:$F554,"&lt;&gt;Perdida",$N$8:$N554,"&gt;14"),"")</f>
        <v/>
      </c>
      <c r="Q554" s="8"/>
      <c r="R554" s="9"/>
      <c r="S554" s="10"/>
    </row>
    <row r="555" spans="2:19" ht="21.75" customHeight="1" x14ac:dyDescent="0.25">
      <c r="B555" s="24"/>
      <c r="C555" s="24"/>
      <c r="D555" s="24"/>
      <c r="E555" s="24"/>
      <c r="F555" s="38"/>
      <c r="G555" s="27"/>
      <c r="H555" s="24"/>
      <c r="I555" s="27"/>
      <c r="J555" s="26"/>
      <c r="K555" s="24"/>
      <c r="L555" s="24"/>
      <c r="M555" s="24" t="str">
        <f>IF(B555="","",IF(COUNTIFS(Cobranza!$C$9:$C$1008,B555,Cobranza!$N$9:$N$1008,"Vencida")&gt;0,"Vencida",IF(COUNTIFS(Cobranza!$C$9:$C$1008,B555,Cobranza!$N$9:$N$1008,"Parcial")&gt;0,"Parcial",IF(COUNTIFS(Cobranza!$C$9:$C$1008,B555,Cobranza!$N$9:$N$1008,"Pendiente")&gt;0,"Pendiente",IF(COUNTIFS(Cobranza!$C$9:$C$1008,B555,Cobranza!$N$9:$N$1008,"Pagada")&gt;0,"Pagada","")))))</f>
        <v/>
      </c>
      <c r="N555" s="33" t="str">
        <f t="shared" ca="1" si="8"/>
        <v/>
      </c>
      <c r="O555" s="23"/>
      <c r="P555" s="7" t="str">
        <f ca="1">IF(AND(B555&lt;&gt;"",F555&lt;&gt;"Cerrada",F555&lt;&gt;"Perdida",N555&lt;&gt;"",N555&gt;14),COUNTIFS($F$8:$F555,"&lt;&gt;Cerrada",$F$8:$F555,"&lt;&gt;Perdida",$N$8:$N555,"&gt;14"),"")</f>
        <v/>
      </c>
      <c r="Q555" s="8"/>
      <c r="R555" s="9"/>
      <c r="S555" s="10"/>
    </row>
    <row r="556" spans="2:19" ht="21.75" customHeight="1" x14ac:dyDescent="0.25">
      <c r="B556" s="24"/>
      <c r="C556" s="24"/>
      <c r="D556" s="24"/>
      <c r="E556" s="24"/>
      <c r="F556" s="38"/>
      <c r="G556" s="27"/>
      <c r="H556" s="24"/>
      <c r="I556" s="27"/>
      <c r="J556" s="26"/>
      <c r="K556" s="24"/>
      <c r="L556" s="24"/>
      <c r="M556" s="24" t="str">
        <f>IF(B556="","",IF(COUNTIFS(Cobranza!$C$9:$C$1008,B556,Cobranza!$N$9:$N$1008,"Vencida")&gt;0,"Vencida",IF(COUNTIFS(Cobranza!$C$9:$C$1008,B556,Cobranza!$N$9:$N$1008,"Parcial")&gt;0,"Parcial",IF(COUNTIFS(Cobranza!$C$9:$C$1008,B556,Cobranza!$N$9:$N$1008,"Pendiente")&gt;0,"Pendiente",IF(COUNTIFS(Cobranza!$C$9:$C$1008,B556,Cobranza!$N$9:$N$1008,"Pagada")&gt;0,"Pagada","")))))</f>
        <v/>
      </c>
      <c r="N556" s="33" t="str">
        <f t="shared" ca="1" si="8"/>
        <v/>
      </c>
      <c r="O556" s="23"/>
      <c r="P556" s="7" t="str">
        <f ca="1">IF(AND(B556&lt;&gt;"",F556&lt;&gt;"Cerrada",F556&lt;&gt;"Perdida",N556&lt;&gt;"",N556&gt;14),COUNTIFS($F$8:$F556,"&lt;&gt;Cerrada",$F$8:$F556,"&lt;&gt;Perdida",$N$8:$N556,"&gt;14"),"")</f>
        <v/>
      </c>
      <c r="Q556" s="8"/>
      <c r="R556" s="9"/>
      <c r="S556" s="10"/>
    </row>
    <row r="557" spans="2:19" ht="21.75" customHeight="1" x14ac:dyDescent="0.25">
      <c r="B557" s="24"/>
      <c r="C557" s="24"/>
      <c r="D557" s="24"/>
      <c r="E557" s="24"/>
      <c r="F557" s="38"/>
      <c r="G557" s="27"/>
      <c r="H557" s="24"/>
      <c r="I557" s="27"/>
      <c r="J557" s="26"/>
      <c r="K557" s="24"/>
      <c r="L557" s="24"/>
      <c r="M557" s="24" t="str">
        <f>IF(B557="","",IF(COUNTIFS(Cobranza!$C$9:$C$1008,B557,Cobranza!$N$9:$N$1008,"Vencida")&gt;0,"Vencida",IF(COUNTIFS(Cobranza!$C$9:$C$1008,B557,Cobranza!$N$9:$N$1008,"Parcial")&gt;0,"Parcial",IF(COUNTIFS(Cobranza!$C$9:$C$1008,B557,Cobranza!$N$9:$N$1008,"Pendiente")&gt;0,"Pendiente",IF(COUNTIFS(Cobranza!$C$9:$C$1008,B557,Cobranza!$N$9:$N$1008,"Pagada")&gt;0,"Pagada","")))))</f>
        <v/>
      </c>
      <c r="N557" s="33" t="str">
        <f t="shared" ca="1" si="8"/>
        <v/>
      </c>
      <c r="O557" s="23"/>
      <c r="P557" s="7" t="str">
        <f ca="1">IF(AND(B557&lt;&gt;"",F557&lt;&gt;"Cerrada",F557&lt;&gt;"Perdida",N557&lt;&gt;"",N557&gt;14),COUNTIFS($F$8:$F557,"&lt;&gt;Cerrada",$F$8:$F557,"&lt;&gt;Perdida",$N$8:$N557,"&gt;14"),"")</f>
        <v/>
      </c>
      <c r="Q557" s="8"/>
      <c r="R557" s="9"/>
      <c r="S557" s="10"/>
    </row>
    <row r="558" spans="2:19" ht="21.75" customHeight="1" x14ac:dyDescent="0.25">
      <c r="B558" s="24"/>
      <c r="C558" s="24"/>
      <c r="D558" s="24"/>
      <c r="E558" s="24"/>
      <c r="F558" s="38"/>
      <c r="G558" s="27"/>
      <c r="H558" s="24"/>
      <c r="I558" s="27"/>
      <c r="J558" s="26"/>
      <c r="K558" s="24"/>
      <c r="L558" s="24"/>
      <c r="M558" s="24" t="str">
        <f>IF(B558="","",IF(COUNTIFS(Cobranza!$C$9:$C$1008,B558,Cobranza!$N$9:$N$1008,"Vencida")&gt;0,"Vencida",IF(COUNTIFS(Cobranza!$C$9:$C$1008,B558,Cobranza!$N$9:$N$1008,"Parcial")&gt;0,"Parcial",IF(COUNTIFS(Cobranza!$C$9:$C$1008,B558,Cobranza!$N$9:$N$1008,"Pendiente")&gt;0,"Pendiente",IF(COUNTIFS(Cobranza!$C$9:$C$1008,B558,Cobranza!$N$9:$N$1008,"Pagada")&gt;0,"Pagada","")))))</f>
        <v/>
      </c>
      <c r="N558" s="33" t="str">
        <f t="shared" ca="1" si="8"/>
        <v/>
      </c>
      <c r="O558" s="23"/>
      <c r="P558" s="7" t="str">
        <f ca="1">IF(AND(B558&lt;&gt;"",F558&lt;&gt;"Cerrada",F558&lt;&gt;"Perdida",N558&lt;&gt;"",N558&gt;14),COUNTIFS($F$8:$F558,"&lt;&gt;Cerrada",$F$8:$F558,"&lt;&gt;Perdida",$N$8:$N558,"&gt;14"),"")</f>
        <v/>
      </c>
      <c r="Q558" s="8"/>
      <c r="R558" s="9"/>
      <c r="S558" s="10"/>
    </row>
    <row r="559" spans="2:19" ht="21.75" customHeight="1" x14ac:dyDescent="0.25">
      <c r="B559" s="24"/>
      <c r="C559" s="24"/>
      <c r="D559" s="24"/>
      <c r="E559" s="24"/>
      <c r="F559" s="38"/>
      <c r="G559" s="27"/>
      <c r="H559" s="24"/>
      <c r="I559" s="27"/>
      <c r="J559" s="26"/>
      <c r="K559" s="24"/>
      <c r="L559" s="24"/>
      <c r="M559" s="24" t="str">
        <f>IF(B559="","",IF(COUNTIFS(Cobranza!$C$9:$C$1008,B559,Cobranza!$N$9:$N$1008,"Vencida")&gt;0,"Vencida",IF(COUNTIFS(Cobranza!$C$9:$C$1008,B559,Cobranza!$N$9:$N$1008,"Parcial")&gt;0,"Parcial",IF(COUNTIFS(Cobranza!$C$9:$C$1008,B559,Cobranza!$N$9:$N$1008,"Pendiente")&gt;0,"Pendiente",IF(COUNTIFS(Cobranza!$C$9:$C$1008,B559,Cobranza!$N$9:$N$1008,"Pagada")&gt;0,"Pagada","")))))</f>
        <v/>
      </c>
      <c r="N559" s="33" t="str">
        <f t="shared" ca="1" si="8"/>
        <v/>
      </c>
      <c r="O559" s="23"/>
      <c r="P559" s="7" t="str">
        <f ca="1">IF(AND(B559&lt;&gt;"",F559&lt;&gt;"Cerrada",F559&lt;&gt;"Perdida",N559&lt;&gt;"",N559&gt;14),COUNTIFS($F$8:$F559,"&lt;&gt;Cerrada",$F$8:$F559,"&lt;&gt;Perdida",$N$8:$N559,"&gt;14"),"")</f>
        <v/>
      </c>
      <c r="Q559" s="8"/>
      <c r="R559" s="9"/>
      <c r="S559" s="10"/>
    </row>
    <row r="560" spans="2:19" ht="21.75" customHeight="1" x14ac:dyDescent="0.25">
      <c r="B560" s="24"/>
      <c r="C560" s="24"/>
      <c r="D560" s="24"/>
      <c r="E560" s="24"/>
      <c r="F560" s="38"/>
      <c r="G560" s="27"/>
      <c r="H560" s="24"/>
      <c r="I560" s="27"/>
      <c r="J560" s="26"/>
      <c r="K560" s="24"/>
      <c r="L560" s="24"/>
      <c r="M560" s="24" t="str">
        <f>IF(B560="","",IF(COUNTIFS(Cobranza!$C$9:$C$1008,B560,Cobranza!$N$9:$N$1008,"Vencida")&gt;0,"Vencida",IF(COUNTIFS(Cobranza!$C$9:$C$1008,B560,Cobranza!$N$9:$N$1008,"Parcial")&gt;0,"Parcial",IF(COUNTIFS(Cobranza!$C$9:$C$1008,B560,Cobranza!$N$9:$N$1008,"Pendiente")&gt;0,"Pendiente",IF(COUNTIFS(Cobranza!$C$9:$C$1008,B560,Cobranza!$N$9:$N$1008,"Pagada")&gt;0,"Pagada","")))))</f>
        <v/>
      </c>
      <c r="N560" s="33" t="str">
        <f t="shared" ca="1" si="8"/>
        <v/>
      </c>
      <c r="O560" s="23"/>
      <c r="P560" s="7" t="str">
        <f ca="1">IF(AND(B560&lt;&gt;"",F560&lt;&gt;"Cerrada",F560&lt;&gt;"Perdida",N560&lt;&gt;"",N560&gt;14),COUNTIFS($F$8:$F560,"&lt;&gt;Cerrada",$F$8:$F560,"&lt;&gt;Perdida",$N$8:$N560,"&gt;14"),"")</f>
        <v/>
      </c>
      <c r="Q560" s="8"/>
      <c r="R560" s="9"/>
      <c r="S560" s="10"/>
    </row>
    <row r="561" spans="2:19" ht="21.75" customHeight="1" x14ac:dyDescent="0.25">
      <c r="B561" s="24"/>
      <c r="C561" s="24"/>
      <c r="D561" s="24"/>
      <c r="E561" s="24"/>
      <c r="F561" s="38"/>
      <c r="G561" s="27"/>
      <c r="H561" s="24"/>
      <c r="I561" s="27"/>
      <c r="J561" s="26"/>
      <c r="K561" s="24"/>
      <c r="L561" s="24"/>
      <c r="M561" s="24" t="str">
        <f>IF(B561="","",IF(COUNTIFS(Cobranza!$C$9:$C$1008,B561,Cobranza!$N$9:$N$1008,"Vencida")&gt;0,"Vencida",IF(COUNTIFS(Cobranza!$C$9:$C$1008,B561,Cobranza!$N$9:$N$1008,"Parcial")&gt;0,"Parcial",IF(COUNTIFS(Cobranza!$C$9:$C$1008,B561,Cobranza!$N$9:$N$1008,"Pendiente")&gt;0,"Pendiente",IF(COUNTIFS(Cobranza!$C$9:$C$1008,B561,Cobranza!$N$9:$N$1008,"Pagada")&gt;0,"Pagada","")))))</f>
        <v/>
      </c>
      <c r="N561" s="33" t="str">
        <f t="shared" ca="1" si="8"/>
        <v/>
      </c>
      <c r="O561" s="23"/>
      <c r="P561" s="7" t="str">
        <f ca="1">IF(AND(B561&lt;&gt;"",F561&lt;&gt;"Cerrada",F561&lt;&gt;"Perdida",N561&lt;&gt;"",N561&gt;14),COUNTIFS($F$8:$F561,"&lt;&gt;Cerrada",$F$8:$F561,"&lt;&gt;Perdida",$N$8:$N561,"&gt;14"),"")</f>
        <v/>
      </c>
      <c r="Q561" s="8"/>
      <c r="R561" s="9"/>
      <c r="S561" s="10"/>
    </row>
    <row r="562" spans="2:19" ht="21.75" customHeight="1" x14ac:dyDescent="0.25">
      <c r="B562" s="24"/>
      <c r="C562" s="24"/>
      <c r="D562" s="24"/>
      <c r="E562" s="24"/>
      <c r="F562" s="38"/>
      <c r="G562" s="27"/>
      <c r="H562" s="24"/>
      <c r="I562" s="27"/>
      <c r="J562" s="26"/>
      <c r="K562" s="24"/>
      <c r="L562" s="24"/>
      <c r="M562" s="24" t="str">
        <f>IF(B562="","",IF(COUNTIFS(Cobranza!$C$9:$C$1008,B562,Cobranza!$N$9:$N$1008,"Vencida")&gt;0,"Vencida",IF(COUNTIFS(Cobranza!$C$9:$C$1008,B562,Cobranza!$N$9:$N$1008,"Parcial")&gt;0,"Parcial",IF(COUNTIFS(Cobranza!$C$9:$C$1008,B562,Cobranza!$N$9:$N$1008,"Pendiente")&gt;0,"Pendiente",IF(COUNTIFS(Cobranza!$C$9:$C$1008,B562,Cobranza!$N$9:$N$1008,"Pagada")&gt;0,"Pagada","")))))</f>
        <v/>
      </c>
      <c r="N562" s="33" t="str">
        <f t="shared" ca="1" si="8"/>
        <v/>
      </c>
      <c r="O562" s="23"/>
      <c r="P562" s="7" t="str">
        <f ca="1">IF(AND(B562&lt;&gt;"",F562&lt;&gt;"Cerrada",F562&lt;&gt;"Perdida",N562&lt;&gt;"",N562&gt;14),COUNTIFS($F$8:$F562,"&lt;&gt;Cerrada",$F$8:$F562,"&lt;&gt;Perdida",$N$8:$N562,"&gt;14"),"")</f>
        <v/>
      </c>
      <c r="Q562" s="8"/>
      <c r="R562" s="9"/>
      <c r="S562" s="10"/>
    </row>
    <row r="563" spans="2:19" ht="21.75" customHeight="1" x14ac:dyDescent="0.25">
      <c r="B563" s="24"/>
      <c r="C563" s="24"/>
      <c r="D563" s="24"/>
      <c r="E563" s="24"/>
      <c r="F563" s="38"/>
      <c r="G563" s="27"/>
      <c r="H563" s="24"/>
      <c r="I563" s="27"/>
      <c r="J563" s="26"/>
      <c r="K563" s="24"/>
      <c r="L563" s="24"/>
      <c r="M563" s="24" t="str">
        <f>IF(B563="","",IF(COUNTIFS(Cobranza!$C$9:$C$1008,B563,Cobranza!$N$9:$N$1008,"Vencida")&gt;0,"Vencida",IF(COUNTIFS(Cobranza!$C$9:$C$1008,B563,Cobranza!$N$9:$N$1008,"Parcial")&gt;0,"Parcial",IF(COUNTIFS(Cobranza!$C$9:$C$1008,B563,Cobranza!$N$9:$N$1008,"Pendiente")&gt;0,"Pendiente",IF(COUNTIFS(Cobranza!$C$9:$C$1008,B563,Cobranza!$N$9:$N$1008,"Pagada")&gt;0,"Pagada","")))))</f>
        <v/>
      </c>
      <c r="N563" s="33" t="str">
        <f t="shared" ca="1" si="8"/>
        <v/>
      </c>
      <c r="O563" s="23"/>
      <c r="P563" s="7" t="str">
        <f ca="1">IF(AND(B563&lt;&gt;"",F563&lt;&gt;"Cerrada",F563&lt;&gt;"Perdida",N563&lt;&gt;"",N563&gt;14),COUNTIFS($F$8:$F563,"&lt;&gt;Cerrada",$F$8:$F563,"&lt;&gt;Perdida",$N$8:$N563,"&gt;14"),"")</f>
        <v/>
      </c>
      <c r="Q563" s="8"/>
      <c r="R563" s="9"/>
      <c r="S563" s="10"/>
    </row>
    <row r="564" spans="2:19" ht="21.75" customHeight="1" x14ac:dyDescent="0.25">
      <c r="B564" s="24"/>
      <c r="C564" s="24"/>
      <c r="D564" s="24"/>
      <c r="E564" s="24"/>
      <c r="F564" s="38"/>
      <c r="G564" s="27"/>
      <c r="H564" s="24"/>
      <c r="I564" s="27"/>
      <c r="J564" s="26"/>
      <c r="K564" s="24"/>
      <c r="L564" s="24"/>
      <c r="M564" s="24" t="str">
        <f>IF(B564="","",IF(COUNTIFS(Cobranza!$C$9:$C$1008,B564,Cobranza!$N$9:$N$1008,"Vencida")&gt;0,"Vencida",IF(COUNTIFS(Cobranza!$C$9:$C$1008,B564,Cobranza!$N$9:$N$1008,"Parcial")&gt;0,"Parcial",IF(COUNTIFS(Cobranza!$C$9:$C$1008,B564,Cobranza!$N$9:$N$1008,"Pendiente")&gt;0,"Pendiente",IF(COUNTIFS(Cobranza!$C$9:$C$1008,B564,Cobranza!$N$9:$N$1008,"Pagada")&gt;0,"Pagada","")))))</f>
        <v/>
      </c>
      <c r="N564" s="33" t="str">
        <f t="shared" ca="1" si="8"/>
        <v/>
      </c>
      <c r="O564" s="23"/>
      <c r="P564" s="7" t="str">
        <f ca="1">IF(AND(B564&lt;&gt;"",F564&lt;&gt;"Cerrada",F564&lt;&gt;"Perdida",N564&lt;&gt;"",N564&gt;14),COUNTIFS($F$8:$F564,"&lt;&gt;Cerrada",$F$8:$F564,"&lt;&gt;Perdida",$N$8:$N564,"&gt;14"),"")</f>
        <v/>
      </c>
      <c r="Q564" s="8"/>
      <c r="R564" s="9"/>
      <c r="S564" s="10"/>
    </row>
    <row r="565" spans="2:19" ht="21.75" customHeight="1" x14ac:dyDescent="0.25">
      <c r="B565" s="24"/>
      <c r="C565" s="24"/>
      <c r="D565" s="24"/>
      <c r="E565" s="24"/>
      <c r="F565" s="38"/>
      <c r="G565" s="27"/>
      <c r="H565" s="24"/>
      <c r="I565" s="27"/>
      <c r="J565" s="26"/>
      <c r="K565" s="24"/>
      <c r="L565" s="24"/>
      <c r="M565" s="24" t="str">
        <f>IF(B565="","",IF(COUNTIFS(Cobranza!$C$9:$C$1008,B565,Cobranza!$N$9:$N$1008,"Vencida")&gt;0,"Vencida",IF(COUNTIFS(Cobranza!$C$9:$C$1008,B565,Cobranza!$N$9:$N$1008,"Parcial")&gt;0,"Parcial",IF(COUNTIFS(Cobranza!$C$9:$C$1008,B565,Cobranza!$N$9:$N$1008,"Pendiente")&gt;0,"Pendiente",IF(COUNTIFS(Cobranza!$C$9:$C$1008,B565,Cobranza!$N$9:$N$1008,"Pagada")&gt;0,"Pagada","")))))</f>
        <v/>
      </c>
      <c r="N565" s="33" t="str">
        <f t="shared" ca="1" si="8"/>
        <v/>
      </c>
      <c r="O565" s="23"/>
      <c r="P565" s="7" t="str">
        <f ca="1">IF(AND(B565&lt;&gt;"",F565&lt;&gt;"Cerrada",F565&lt;&gt;"Perdida",N565&lt;&gt;"",N565&gt;14),COUNTIFS($F$8:$F565,"&lt;&gt;Cerrada",$F$8:$F565,"&lt;&gt;Perdida",$N$8:$N565,"&gt;14"),"")</f>
        <v/>
      </c>
      <c r="Q565" s="8"/>
      <c r="R565" s="9"/>
      <c r="S565" s="10"/>
    </row>
    <row r="566" spans="2:19" ht="21.75" customHeight="1" x14ac:dyDescent="0.25">
      <c r="B566" s="24"/>
      <c r="C566" s="24"/>
      <c r="D566" s="24"/>
      <c r="E566" s="24"/>
      <c r="F566" s="38"/>
      <c r="G566" s="27"/>
      <c r="H566" s="24"/>
      <c r="I566" s="27"/>
      <c r="J566" s="26"/>
      <c r="K566" s="24"/>
      <c r="L566" s="24"/>
      <c r="M566" s="24" t="str">
        <f>IF(B566="","",IF(COUNTIFS(Cobranza!$C$9:$C$1008,B566,Cobranza!$N$9:$N$1008,"Vencida")&gt;0,"Vencida",IF(COUNTIFS(Cobranza!$C$9:$C$1008,B566,Cobranza!$N$9:$N$1008,"Parcial")&gt;0,"Parcial",IF(COUNTIFS(Cobranza!$C$9:$C$1008,B566,Cobranza!$N$9:$N$1008,"Pendiente")&gt;0,"Pendiente",IF(COUNTIFS(Cobranza!$C$9:$C$1008,B566,Cobranza!$N$9:$N$1008,"Pagada")&gt;0,"Pagada","")))))</f>
        <v/>
      </c>
      <c r="N566" s="33" t="str">
        <f t="shared" ca="1" si="8"/>
        <v/>
      </c>
      <c r="O566" s="23"/>
      <c r="P566" s="7" t="str">
        <f ca="1">IF(AND(B566&lt;&gt;"",F566&lt;&gt;"Cerrada",F566&lt;&gt;"Perdida",N566&lt;&gt;"",N566&gt;14),COUNTIFS($F$8:$F566,"&lt;&gt;Cerrada",$F$8:$F566,"&lt;&gt;Perdida",$N$8:$N566,"&gt;14"),"")</f>
        <v/>
      </c>
      <c r="Q566" s="8"/>
      <c r="R566" s="9"/>
      <c r="S566" s="10"/>
    </row>
    <row r="567" spans="2:19" ht="21.75" customHeight="1" x14ac:dyDescent="0.25">
      <c r="B567" s="24"/>
      <c r="C567" s="24"/>
      <c r="D567" s="24"/>
      <c r="E567" s="24"/>
      <c r="F567" s="38"/>
      <c r="G567" s="27"/>
      <c r="H567" s="24"/>
      <c r="I567" s="27"/>
      <c r="J567" s="26"/>
      <c r="K567" s="24"/>
      <c r="L567" s="24"/>
      <c r="M567" s="24" t="str">
        <f>IF(B567="","",IF(COUNTIFS(Cobranza!$C$9:$C$1008,B567,Cobranza!$N$9:$N$1008,"Vencida")&gt;0,"Vencida",IF(COUNTIFS(Cobranza!$C$9:$C$1008,B567,Cobranza!$N$9:$N$1008,"Parcial")&gt;0,"Parcial",IF(COUNTIFS(Cobranza!$C$9:$C$1008,B567,Cobranza!$N$9:$N$1008,"Pendiente")&gt;0,"Pendiente",IF(COUNTIFS(Cobranza!$C$9:$C$1008,B567,Cobranza!$N$9:$N$1008,"Pagada")&gt;0,"Pagada","")))))</f>
        <v/>
      </c>
      <c r="N567" s="33" t="str">
        <f t="shared" ca="1" si="8"/>
        <v/>
      </c>
      <c r="O567" s="23"/>
      <c r="P567" s="7" t="str">
        <f ca="1">IF(AND(B567&lt;&gt;"",F567&lt;&gt;"Cerrada",F567&lt;&gt;"Perdida",N567&lt;&gt;"",N567&gt;14),COUNTIFS($F$8:$F567,"&lt;&gt;Cerrada",$F$8:$F567,"&lt;&gt;Perdida",$N$8:$N567,"&gt;14"),"")</f>
        <v/>
      </c>
      <c r="Q567" s="8"/>
      <c r="R567" s="9"/>
      <c r="S567" s="10"/>
    </row>
    <row r="568" spans="2:19" ht="21.75" customHeight="1" x14ac:dyDescent="0.25">
      <c r="B568" s="24"/>
      <c r="C568" s="24"/>
      <c r="D568" s="24"/>
      <c r="E568" s="24"/>
      <c r="F568" s="38"/>
      <c r="G568" s="27"/>
      <c r="H568" s="24"/>
      <c r="I568" s="27"/>
      <c r="J568" s="26"/>
      <c r="K568" s="24"/>
      <c r="L568" s="24"/>
      <c r="M568" s="24" t="str">
        <f>IF(B568="","",IF(COUNTIFS(Cobranza!$C$9:$C$1008,B568,Cobranza!$N$9:$N$1008,"Vencida")&gt;0,"Vencida",IF(COUNTIFS(Cobranza!$C$9:$C$1008,B568,Cobranza!$N$9:$N$1008,"Parcial")&gt;0,"Parcial",IF(COUNTIFS(Cobranza!$C$9:$C$1008,B568,Cobranza!$N$9:$N$1008,"Pendiente")&gt;0,"Pendiente",IF(COUNTIFS(Cobranza!$C$9:$C$1008,B568,Cobranza!$N$9:$N$1008,"Pagada")&gt;0,"Pagada","")))))</f>
        <v/>
      </c>
      <c r="N568" s="33" t="str">
        <f t="shared" ca="1" si="8"/>
        <v/>
      </c>
      <c r="O568" s="23"/>
      <c r="P568" s="7" t="str">
        <f ca="1">IF(AND(B568&lt;&gt;"",F568&lt;&gt;"Cerrada",F568&lt;&gt;"Perdida",N568&lt;&gt;"",N568&gt;14),COUNTIFS($F$8:$F568,"&lt;&gt;Cerrada",$F$8:$F568,"&lt;&gt;Perdida",$N$8:$N568,"&gt;14"),"")</f>
        <v/>
      </c>
      <c r="Q568" s="8"/>
      <c r="R568" s="9"/>
      <c r="S568" s="10"/>
    </row>
    <row r="569" spans="2:19" ht="21.75" customHeight="1" x14ac:dyDescent="0.25">
      <c r="B569" s="24"/>
      <c r="C569" s="24"/>
      <c r="D569" s="24"/>
      <c r="E569" s="24"/>
      <c r="F569" s="38"/>
      <c r="G569" s="27"/>
      <c r="H569" s="24"/>
      <c r="I569" s="27"/>
      <c r="J569" s="26"/>
      <c r="K569" s="24"/>
      <c r="L569" s="24"/>
      <c r="M569" s="24" t="str">
        <f>IF(B569="","",IF(COUNTIFS(Cobranza!$C$9:$C$1008,B569,Cobranza!$N$9:$N$1008,"Vencida")&gt;0,"Vencida",IF(COUNTIFS(Cobranza!$C$9:$C$1008,B569,Cobranza!$N$9:$N$1008,"Parcial")&gt;0,"Parcial",IF(COUNTIFS(Cobranza!$C$9:$C$1008,B569,Cobranza!$N$9:$N$1008,"Pendiente")&gt;0,"Pendiente",IF(COUNTIFS(Cobranza!$C$9:$C$1008,B569,Cobranza!$N$9:$N$1008,"Pagada")&gt;0,"Pagada","")))))</f>
        <v/>
      </c>
      <c r="N569" s="33" t="str">
        <f t="shared" ca="1" si="8"/>
        <v/>
      </c>
      <c r="O569" s="23"/>
      <c r="P569" s="7" t="str">
        <f ca="1">IF(AND(B569&lt;&gt;"",F569&lt;&gt;"Cerrada",F569&lt;&gt;"Perdida",N569&lt;&gt;"",N569&gt;14),COUNTIFS($F$8:$F569,"&lt;&gt;Cerrada",$F$8:$F569,"&lt;&gt;Perdida",$N$8:$N569,"&gt;14"),"")</f>
        <v/>
      </c>
      <c r="Q569" s="8"/>
      <c r="R569" s="9"/>
      <c r="S569" s="10"/>
    </row>
    <row r="570" spans="2:19" ht="21.75" customHeight="1" x14ac:dyDescent="0.25">
      <c r="B570" s="24"/>
      <c r="C570" s="24"/>
      <c r="D570" s="24"/>
      <c r="E570" s="24"/>
      <c r="F570" s="38"/>
      <c r="G570" s="27"/>
      <c r="H570" s="24"/>
      <c r="I570" s="27"/>
      <c r="J570" s="26"/>
      <c r="K570" s="24"/>
      <c r="L570" s="24"/>
      <c r="M570" s="24" t="str">
        <f>IF(B570="","",IF(COUNTIFS(Cobranza!$C$9:$C$1008,B570,Cobranza!$N$9:$N$1008,"Vencida")&gt;0,"Vencida",IF(COUNTIFS(Cobranza!$C$9:$C$1008,B570,Cobranza!$N$9:$N$1008,"Parcial")&gt;0,"Parcial",IF(COUNTIFS(Cobranza!$C$9:$C$1008,B570,Cobranza!$N$9:$N$1008,"Pendiente")&gt;0,"Pendiente",IF(COUNTIFS(Cobranza!$C$9:$C$1008,B570,Cobranza!$N$9:$N$1008,"Pagada")&gt;0,"Pagada","")))))</f>
        <v/>
      </c>
      <c r="N570" s="33" t="str">
        <f t="shared" ca="1" si="8"/>
        <v/>
      </c>
      <c r="O570" s="23"/>
      <c r="P570" s="7" t="str">
        <f ca="1">IF(AND(B570&lt;&gt;"",F570&lt;&gt;"Cerrada",F570&lt;&gt;"Perdida",N570&lt;&gt;"",N570&gt;14),COUNTIFS($F$8:$F570,"&lt;&gt;Cerrada",$F$8:$F570,"&lt;&gt;Perdida",$N$8:$N570,"&gt;14"),"")</f>
        <v/>
      </c>
      <c r="Q570" s="8"/>
      <c r="R570" s="9"/>
      <c r="S570" s="10"/>
    </row>
    <row r="571" spans="2:19" ht="21.75" customHeight="1" x14ac:dyDescent="0.25">
      <c r="B571" s="24"/>
      <c r="C571" s="24"/>
      <c r="D571" s="24"/>
      <c r="E571" s="24"/>
      <c r="F571" s="38"/>
      <c r="G571" s="27"/>
      <c r="H571" s="24"/>
      <c r="I571" s="27"/>
      <c r="J571" s="26"/>
      <c r="K571" s="24"/>
      <c r="L571" s="24"/>
      <c r="M571" s="24" t="str">
        <f>IF(B571="","",IF(COUNTIFS(Cobranza!$C$9:$C$1008,B571,Cobranza!$N$9:$N$1008,"Vencida")&gt;0,"Vencida",IF(COUNTIFS(Cobranza!$C$9:$C$1008,B571,Cobranza!$N$9:$N$1008,"Parcial")&gt;0,"Parcial",IF(COUNTIFS(Cobranza!$C$9:$C$1008,B571,Cobranza!$N$9:$N$1008,"Pendiente")&gt;0,"Pendiente",IF(COUNTIFS(Cobranza!$C$9:$C$1008,B571,Cobranza!$N$9:$N$1008,"Pagada")&gt;0,"Pagada","")))))</f>
        <v/>
      </c>
      <c r="N571" s="33" t="str">
        <f t="shared" ca="1" si="8"/>
        <v/>
      </c>
      <c r="O571" s="23"/>
      <c r="P571" s="7" t="str">
        <f ca="1">IF(AND(B571&lt;&gt;"",F571&lt;&gt;"Cerrada",F571&lt;&gt;"Perdida",N571&lt;&gt;"",N571&gt;14),COUNTIFS($F$8:$F571,"&lt;&gt;Cerrada",$F$8:$F571,"&lt;&gt;Perdida",$N$8:$N571,"&gt;14"),"")</f>
        <v/>
      </c>
      <c r="Q571" s="8"/>
      <c r="R571" s="9"/>
      <c r="S571" s="10"/>
    </row>
    <row r="572" spans="2:19" ht="21.75" customHeight="1" x14ac:dyDescent="0.25">
      <c r="B572" s="24"/>
      <c r="C572" s="24"/>
      <c r="D572" s="24"/>
      <c r="E572" s="24"/>
      <c r="F572" s="38"/>
      <c r="G572" s="27"/>
      <c r="H572" s="24"/>
      <c r="I572" s="27"/>
      <c r="J572" s="26"/>
      <c r="K572" s="24"/>
      <c r="L572" s="24"/>
      <c r="M572" s="24" t="str">
        <f>IF(B572="","",IF(COUNTIFS(Cobranza!$C$9:$C$1008,B572,Cobranza!$N$9:$N$1008,"Vencida")&gt;0,"Vencida",IF(COUNTIFS(Cobranza!$C$9:$C$1008,B572,Cobranza!$N$9:$N$1008,"Parcial")&gt;0,"Parcial",IF(COUNTIFS(Cobranza!$C$9:$C$1008,B572,Cobranza!$N$9:$N$1008,"Pendiente")&gt;0,"Pendiente",IF(COUNTIFS(Cobranza!$C$9:$C$1008,B572,Cobranza!$N$9:$N$1008,"Pagada")&gt;0,"Pagada","")))))</f>
        <v/>
      </c>
      <c r="N572" s="33" t="str">
        <f t="shared" ca="1" si="8"/>
        <v/>
      </c>
      <c r="O572" s="23"/>
      <c r="P572" s="7" t="str">
        <f ca="1">IF(AND(B572&lt;&gt;"",F572&lt;&gt;"Cerrada",F572&lt;&gt;"Perdida",N572&lt;&gt;"",N572&gt;14),COUNTIFS($F$8:$F572,"&lt;&gt;Cerrada",$F$8:$F572,"&lt;&gt;Perdida",$N$8:$N572,"&gt;14"),"")</f>
        <v/>
      </c>
      <c r="Q572" s="8"/>
      <c r="R572" s="9"/>
      <c r="S572" s="10"/>
    </row>
    <row r="573" spans="2:19" ht="21.75" customHeight="1" x14ac:dyDescent="0.25">
      <c r="B573" s="24"/>
      <c r="C573" s="24"/>
      <c r="D573" s="24"/>
      <c r="E573" s="24"/>
      <c r="F573" s="38"/>
      <c r="G573" s="27"/>
      <c r="H573" s="24"/>
      <c r="I573" s="27"/>
      <c r="J573" s="26"/>
      <c r="K573" s="24"/>
      <c r="L573" s="24"/>
      <c r="M573" s="24" t="str">
        <f>IF(B573="","",IF(COUNTIFS(Cobranza!$C$9:$C$1008,B573,Cobranza!$N$9:$N$1008,"Vencida")&gt;0,"Vencida",IF(COUNTIFS(Cobranza!$C$9:$C$1008,B573,Cobranza!$N$9:$N$1008,"Parcial")&gt;0,"Parcial",IF(COUNTIFS(Cobranza!$C$9:$C$1008,B573,Cobranza!$N$9:$N$1008,"Pendiente")&gt;0,"Pendiente",IF(COUNTIFS(Cobranza!$C$9:$C$1008,B573,Cobranza!$N$9:$N$1008,"Pagada")&gt;0,"Pagada","")))))</f>
        <v/>
      </c>
      <c r="N573" s="33" t="str">
        <f t="shared" ca="1" si="8"/>
        <v/>
      </c>
      <c r="O573" s="23"/>
      <c r="P573" s="7" t="str">
        <f ca="1">IF(AND(B573&lt;&gt;"",F573&lt;&gt;"Cerrada",F573&lt;&gt;"Perdida",N573&lt;&gt;"",N573&gt;14),COUNTIFS($F$8:$F573,"&lt;&gt;Cerrada",$F$8:$F573,"&lt;&gt;Perdida",$N$8:$N573,"&gt;14"),"")</f>
        <v/>
      </c>
      <c r="Q573" s="8"/>
      <c r="R573" s="9"/>
      <c r="S573" s="10"/>
    </row>
    <row r="574" spans="2:19" ht="21.75" customHeight="1" x14ac:dyDescent="0.25">
      <c r="B574" s="24"/>
      <c r="C574" s="24"/>
      <c r="D574" s="24"/>
      <c r="E574" s="24"/>
      <c r="F574" s="38"/>
      <c r="G574" s="27"/>
      <c r="H574" s="24"/>
      <c r="I574" s="27"/>
      <c r="J574" s="26"/>
      <c r="K574" s="24"/>
      <c r="L574" s="24"/>
      <c r="M574" s="24" t="str">
        <f>IF(B574="","",IF(COUNTIFS(Cobranza!$C$9:$C$1008,B574,Cobranza!$N$9:$N$1008,"Vencida")&gt;0,"Vencida",IF(COUNTIFS(Cobranza!$C$9:$C$1008,B574,Cobranza!$N$9:$N$1008,"Parcial")&gt;0,"Parcial",IF(COUNTIFS(Cobranza!$C$9:$C$1008,B574,Cobranza!$N$9:$N$1008,"Pendiente")&gt;0,"Pendiente",IF(COUNTIFS(Cobranza!$C$9:$C$1008,B574,Cobranza!$N$9:$N$1008,"Pagada")&gt;0,"Pagada","")))))</f>
        <v/>
      </c>
      <c r="N574" s="33" t="str">
        <f t="shared" ca="1" si="8"/>
        <v/>
      </c>
      <c r="O574" s="23"/>
      <c r="P574" s="7" t="str">
        <f ca="1">IF(AND(B574&lt;&gt;"",F574&lt;&gt;"Cerrada",F574&lt;&gt;"Perdida",N574&lt;&gt;"",N574&gt;14),COUNTIFS($F$8:$F574,"&lt;&gt;Cerrada",$F$8:$F574,"&lt;&gt;Perdida",$N$8:$N574,"&gt;14"),"")</f>
        <v/>
      </c>
      <c r="Q574" s="8"/>
      <c r="R574" s="9"/>
      <c r="S574" s="10"/>
    </row>
    <row r="575" spans="2:19" ht="21.75" customHeight="1" x14ac:dyDescent="0.25">
      <c r="B575" s="24"/>
      <c r="C575" s="24"/>
      <c r="D575" s="24"/>
      <c r="E575" s="24"/>
      <c r="F575" s="38"/>
      <c r="G575" s="27"/>
      <c r="H575" s="24"/>
      <c r="I575" s="27"/>
      <c r="J575" s="26"/>
      <c r="K575" s="24"/>
      <c r="L575" s="24"/>
      <c r="M575" s="24" t="str">
        <f>IF(B575="","",IF(COUNTIFS(Cobranza!$C$9:$C$1008,B575,Cobranza!$N$9:$N$1008,"Vencida")&gt;0,"Vencida",IF(COUNTIFS(Cobranza!$C$9:$C$1008,B575,Cobranza!$N$9:$N$1008,"Parcial")&gt;0,"Parcial",IF(COUNTIFS(Cobranza!$C$9:$C$1008,B575,Cobranza!$N$9:$N$1008,"Pendiente")&gt;0,"Pendiente",IF(COUNTIFS(Cobranza!$C$9:$C$1008,B575,Cobranza!$N$9:$N$1008,"Pagada")&gt;0,"Pagada","")))))</f>
        <v/>
      </c>
      <c r="N575" s="33" t="str">
        <f t="shared" ca="1" si="8"/>
        <v/>
      </c>
      <c r="O575" s="23"/>
      <c r="P575" s="7" t="str">
        <f ca="1">IF(AND(B575&lt;&gt;"",F575&lt;&gt;"Cerrada",F575&lt;&gt;"Perdida",N575&lt;&gt;"",N575&gt;14),COUNTIFS($F$8:$F575,"&lt;&gt;Cerrada",$F$8:$F575,"&lt;&gt;Perdida",$N$8:$N575,"&gt;14"),"")</f>
        <v/>
      </c>
      <c r="Q575" s="8"/>
      <c r="R575" s="9"/>
      <c r="S575" s="10"/>
    </row>
    <row r="576" spans="2:19" ht="21.75" customHeight="1" x14ac:dyDescent="0.25">
      <c r="B576" s="24"/>
      <c r="C576" s="24"/>
      <c r="D576" s="24"/>
      <c r="E576" s="24"/>
      <c r="F576" s="38"/>
      <c r="G576" s="27"/>
      <c r="H576" s="24"/>
      <c r="I576" s="27"/>
      <c r="J576" s="26"/>
      <c r="K576" s="24"/>
      <c r="L576" s="24"/>
      <c r="M576" s="24" t="str">
        <f>IF(B576="","",IF(COUNTIFS(Cobranza!$C$9:$C$1008,B576,Cobranza!$N$9:$N$1008,"Vencida")&gt;0,"Vencida",IF(COUNTIFS(Cobranza!$C$9:$C$1008,B576,Cobranza!$N$9:$N$1008,"Parcial")&gt;0,"Parcial",IF(COUNTIFS(Cobranza!$C$9:$C$1008,B576,Cobranza!$N$9:$N$1008,"Pendiente")&gt;0,"Pendiente",IF(COUNTIFS(Cobranza!$C$9:$C$1008,B576,Cobranza!$N$9:$N$1008,"Pagada")&gt;0,"Pagada","")))))</f>
        <v/>
      </c>
      <c r="N576" s="33" t="str">
        <f t="shared" ca="1" si="8"/>
        <v/>
      </c>
      <c r="O576" s="23"/>
      <c r="P576" s="7" t="str">
        <f ca="1">IF(AND(B576&lt;&gt;"",F576&lt;&gt;"Cerrada",F576&lt;&gt;"Perdida",N576&lt;&gt;"",N576&gt;14),COUNTIFS($F$8:$F576,"&lt;&gt;Cerrada",$F$8:$F576,"&lt;&gt;Perdida",$N$8:$N576,"&gt;14"),"")</f>
        <v/>
      </c>
      <c r="Q576" s="8"/>
      <c r="R576" s="9"/>
      <c r="S576" s="10"/>
    </row>
    <row r="577" spans="2:19" ht="21.75" customHeight="1" x14ac:dyDescent="0.25">
      <c r="B577" s="24"/>
      <c r="C577" s="24"/>
      <c r="D577" s="24"/>
      <c r="E577" s="24"/>
      <c r="F577" s="38"/>
      <c r="G577" s="27"/>
      <c r="H577" s="24"/>
      <c r="I577" s="27"/>
      <c r="J577" s="26"/>
      <c r="K577" s="24"/>
      <c r="L577" s="24"/>
      <c r="M577" s="24" t="str">
        <f>IF(B577="","",IF(COUNTIFS(Cobranza!$C$9:$C$1008,B577,Cobranza!$N$9:$N$1008,"Vencida")&gt;0,"Vencida",IF(COUNTIFS(Cobranza!$C$9:$C$1008,B577,Cobranza!$N$9:$N$1008,"Parcial")&gt;0,"Parcial",IF(COUNTIFS(Cobranza!$C$9:$C$1008,B577,Cobranza!$N$9:$N$1008,"Pendiente")&gt;0,"Pendiente",IF(COUNTIFS(Cobranza!$C$9:$C$1008,B577,Cobranza!$N$9:$N$1008,"Pagada")&gt;0,"Pagada","")))))</f>
        <v/>
      </c>
      <c r="N577" s="33" t="str">
        <f t="shared" ca="1" si="8"/>
        <v/>
      </c>
      <c r="O577" s="23"/>
      <c r="P577" s="7" t="str">
        <f ca="1">IF(AND(B577&lt;&gt;"",F577&lt;&gt;"Cerrada",F577&lt;&gt;"Perdida",N577&lt;&gt;"",N577&gt;14),COUNTIFS($F$8:$F577,"&lt;&gt;Cerrada",$F$8:$F577,"&lt;&gt;Perdida",$N$8:$N577,"&gt;14"),"")</f>
        <v/>
      </c>
      <c r="Q577" s="8"/>
      <c r="R577" s="9"/>
      <c r="S577" s="10"/>
    </row>
    <row r="578" spans="2:19" ht="21.75" customHeight="1" x14ac:dyDescent="0.25">
      <c r="B578" s="24"/>
      <c r="C578" s="24"/>
      <c r="D578" s="24"/>
      <c r="E578" s="24"/>
      <c r="F578" s="38"/>
      <c r="G578" s="27"/>
      <c r="H578" s="24"/>
      <c r="I578" s="27"/>
      <c r="J578" s="26"/>
      <c r="K578" s="24"/>
      <c r="L578" s="24"/>
      <c r="M578" s="24" t="str">
        <f>IF(B578="","",IF(COUNTIFS(Cobranza!$C$9:$C$1008,B578,Cobranza!$N$9:$N$1008,"Vencida")&gt;0,"Vencida",IF(COUNTIFS(Cobranza!$C$9:$C$1008,B578,Cobranza!$N$9:$N$1008,"Parcial")&gt;0,"Parcial",IF(COUNTIFS(Cobranza!$C$9:$C$1008,B578,Cobranza!$N$9:$N$1008,"Pendiente")&gt;0,"Pendiente",IF(COUNTIFS(Cobranza!$C$9:$C$1008,B578,Cobranza!$N$9:$N$1008,"Pagada")&gt;0,"Pagada","")))))</f>
        <v/>
      </c>
      <c r="N578" s="33" t="str">
        <f t="shared" ca="1" si="8"/>
        <v/>
      </c>
      <c r="O578" s="23"/>
      <c r="P578" s="7" t="str">
        <f ca="1">IF(AND(B578&lt;&gt;"",F578&lt;&gt;"Cerrada",F578&lt;&gt;"Perdida",N578&lt;&gt;"",N578&gt;14),COUNTIFS($F$8:$F578,"&lt;&gt;Cerrada",$F$8:$F578,"&lt;&gt;Perdida",$N$8:$N578,"&gt;14"),"")</f>
        <v/>
      </c>
      <c r="Q578" s="8"/>
      <c r="R578" s="9"/>
      <c r="S578" s="10"/>
    </row>
    <row r="579" spans="2:19" ht="21.75" customHeight="1" x14ac:dyDescent="0.25">
      <c r="B579" s="24"/>
      <c r="C579" s="24"/>
      <c r="D579" s="24"/>
      <c r="E579" s="24"/>
      <c r="F579" s="38"/>
      <c r="G579" s="27"/>
      <c r="H579" s="24"/>
      <c r="I579" s="27"/>
      <c r="J579" s="26"/>
      <c r="K579" s="24"/>
      <c r="L579" s="24"/>
      <c r="M579" s="24" t="str">
        <f>IF(B579="","",IF(COUNTIFS(Cobranza!$C$9:$C$1008,B579,Cobranza!$N$9:$N$1008,"Vencida")&gt;0,"Vencida",IF(COUNTIFS(Cobranza!$C$9:$C$1008,B579,Cobranza!$N$9:$N$1008,"Parcial")&gt;0,"Parcial",IF(COUNTIFS(Cobranza!$C$9:$C$1008,B579,Cobranza!$N$9:$N$1008,"Pendiente")&gt;0,"Pendiente",IF(COUNTIFS(Cobranza!$C$9:$C$1008,B579,Cobranza!$N$9:$N$1008,"Pagada")&gt;0,"Pagada","")))))</f>
        <v/>
      </c>
      <c r="N579" s="33" t="str">
        <f t="shared" ca="1" si="8"/>
        <v/>
      </c>
      <c r="O579" s="23"/>
      <c r="P579" s="7" t="str">
        <f ca="1">IF(AND(B579&lt;&gt;"",F579&lt;&gt;"Cerrada",F579&lt;&gt;"Perdida",N579&lt;&gt;"",N579&gt;14),COUNTIFS($F$8:$F579,"&lt;&gt;Cerrada",$F$8:$F579,"&lt;&gt;Perdida",$N$8:$N579,"&gt;14"),"")</f>
        <v/>
      </c>
      <c r="Q579" s="8"/>
      <c r="R579" s="9"/>
      <c r="S579" s="10"/>
    </row>
    <row r="580" spans="2:19" ht="21.75" customHeight="1" x14ac:dyDescent="0.25">
      <c r="B580" s="24"/>
      <c r="C580" s="24"/>
      <c r="D580" s="24"/>
      <c r="E580" s="24"/>
      <c r="F580" s="38"/>
      <c r="G580" s="27"/>
      <c r="H580" s="24"/>
      <c r="I580" s="27"/>
      <c r="J580" s="26"/>
      <c r="K580" s="24"/>
      <c r="L580" s="24"/>
      <c r="M580" s="24" t="str">
        <f>IF(B580="","",IF(COUNTIFS(Cobranza!$C$9:$C$1008,B580,Cobranza!$N$9:$N$1008,"Vencida")&gt;0,"Vencida",IF(COUNTIFS(Cobranza!$C$9:$C$1008,B580,Cobranza!$N$9:$N$1008,"Parcial")&gt;0,"Parcial",IF(COUNTIFS(Cobranza!$C$9:$C$1008,B580,Cobranza!$N$9:$N$1008,"Pendiente")&gt;0,"Pendiente",IF(COUNTIFS(Cobranza!$C$9:$C$1008,B580,Cobranza!$N$9:$N$1008,"Pagada")&gt;0,"Pagada","")))))</f>
        <v/>
      </c>
      <c r="N580" s="33" t="str">
        <f t="shared" ca="1" si="8"/>
        <v/>
      </c>
      <c r="O580" s="23"/>
      <c r="P580" s="7" t="str">
        <f ca="1">IF(AND(B580&lt;&gt;"",F580&lt;&gt;"Cerrada",F580&lt;&gt;"Perdida",N580&lt;&gt;"",N580&gt;14),COUNTIFS($F$8:$F580,"&lt;&gt;Cerrada",$F$8:$F580,"&lt;&gt;Perdida",$N$8:$N580,"&gt;14"),"")</f>
        <v/>
      </c>
      <c r="Q580" s="8"/>
      <c r="R580" s="9"/>
      <c r="S580" s="10"/>
    </row>
    <row r="581" spans="2:19" ht="21.75" customHeight="1" x14ac:dyDescent="0.25">
      <c r="B581" s="24"/>
      <c r="C581" s="24"/>
      <c r="D581" s="24"/>
      <c r="E581" s="24"/>
      <c r="F581" s="38"/>
      <c r="G581" s="27"/>
      <c r="H581" s="24"/>
      <c r="I581" s="27"/>
      <c r="J581" s="26"/>
      <c r="K581" s="24"/>
      <c r="L581" s="24"/>
      <c r="M581" s="24" t="str">
        <f>IF(B581="","",IF(COUNTIFS(Cobranza!$C$9:$C$1008,B581,Cobranza!$N$9:$N$1008,"Vencida")&gt;0,"Vencida",IF(COUNTIFS(Cobranza!$C$9:$C$1008,B581,Cobranza!$N$9:$N$1008,"Parcial")&gt;0,"Parcial",IF(COUNTIFS(Cobranza!$C$9:$C$1008,B581,Cobranza!$N$9:$N$1008,"Pendiente")&gt;0,"Pendiente",IF(COUNTIFS(Cobranza!$C$9:$C$1008,B581,Cobranza!$N$9:$N$1008,"Pagada")&gt;0,"Pagada","")))))</f>
        <v/>
      </c>
      <c r="N581" s="33" t="str">
        <f t="shared" ca="1" si="8"/>
        <v/>
      </c>
      <c r="O581" s="23"/>
      <c r="P581" s="7" t="str">
        <f ca="1">IF(AND(B581&lt;&gt;"",F581&lt;&gt;"Cerrada",F581&lt;&gt;"Perdida",N581&lt;&gt;"",N581&gt;14),COUNTIFS($F$8:$F581,"&lt;&gt;Cerrada",$F$8:$F581,"&lt;&gt;Perdida",$N$8:$N581,"&gt;14"),"")</f>
        <v/>
      </c>
      <c r="Q581" s="8"/>
      <c r="R581" s="9"/>
      <c r="S581" s="10"/>
    </row>
    <row r="582" spans="2:19" ht="21.75" customHeight="1" x14ac:dyDescent="0.25">
      <c r="B582" s="24"/>
      <c r="C582" s="24"/>
      <c r="D582" s="24"/>
      <c r="E582" s="24"/>
      <c r="F582" s="38"/>
      <c r="G582" s="27"/>
      <c r="H582" s="24"/>
      <c r="I582" s="27"/>
      <c r="J582" s="26"/>
      <c r="K582" s="24"/>
      <c r="L582" s="24"/>
      <c r="M582" s="24" t="str">
        <f>IF(B582="","",IF(COUNTIFS(Cobranza!$C$9:$C$1008,B582,Cobranza!$N$9:$N$1008,"Vencida")&gt;0,"Vencida",IF(COUNTIFS(Cobranza!$C$9:$C$1008,B582,Cobranza!$N$9:$N$1008,"Parcial")&gt;0,"Parcial",IF(COUNTIFS(Cobranza!$C$9:$C$1008,B582,Cobranza!$N$9:$N$1008,"Pendiente")&gt;0,"Pendiente",IF(COUNTIFS(Cobranza!$C$9:$C$1008,B582,Cobranza!$N$9:$N$1008,"Pagada")&gt;0,"Pagada","")))))</f>
        <v/>
      </c>
      <c r="N582" s="33" t="str">
        <f t="shared" ca="1" si="8"/>
        <v/>
      </c>
      <c r="O582" s="23"/>
      <c r="P582" s="7" t="str">
        <f ca="1">IF(AND(B582&lt;&gt;"",F582&lt;&gt;"Cerrada",F582&lt;&gt;"Perdida",N582&lt;&gt;"",N582&gt;14),COUNTIFS($F$8:$F582,"&lt;&gt;Cerrada",$F$8:$F582,"&lt;&gt;Perdida",$N$8:$N582,"&gt;14"),"")</f>
        <v/>
      </c>
      <c r="Q582" s="8"/>
      <c r="R582" s="9"/>
      <c r="S582" s="10"/>
    </row>
    <row r="583" spans="2:19" ht="21.75" customHeight="1" x14ac:dyDescent="0.25">
      <c r="B583" s="24"/>
      <c r="C583" s="24"/>
      <c r="D583" s="24"/>
      <c r="E583" s="24"/>
      <c r="F583" s="38"/>
      <c r="G583" s="27"/>
      <c r="H583" s="24"/>
      <c r="I583" s="27"/>
      <c r="J583" s="26"/>
      <c r="K583" s="24"/>
      <c r="L583" s="24"/>
      <c r="M583" s="24" t="str">
        <f>IF(B583="","",IF(COUNTIFS(Cobranza!$C$9:$C$1008,B583,Cobranza!$N$9:$N$1008,"Vencida")&gt;0,"Vencida",IF(COUNTIFS(Cobranza!$C$9:$C$1008,B583,Cobranza!$N$9:$N$1008,"Parcial")&gt;0,"Parcial",IF(COUNTIFS(Cobranza!$C$9:$C$1008,B583,Cobranza!$N$9:$N$1008,"Pendiente")&gt;0,"Pendiente",IF(COUNTIFS(Cobranza!$C$9:$C$1008,B583,Cobranza!$N$9:$N$1008,"Pagada")&gt;0,"Pagada","")))))</f>
        <v/>
      </c>
      <c r="N583" s="33" t="str">
        <f t="shared" ca="1" si="8"/>
        <v/>
      </c>
      <c r="O583" s="23"/>
      <c r="P583" s="7" t="str">
        <f ca="1">IF(AND(B583&lt;&gt;"",F583&lt;&gt;"Cerrada",F583&lt;&gt;"Perdida",N583&lt;&gt;"",N583&gt;14),COUNTIFS($F$8:$F583,"&lt;&gt;Cerrada",$F$8:$F583,"&lt;&gt;Perdida",$N$8:$N583,"&gt;14"),"")</f>
        <v/>
      </c>
      <c r="Q583" s="8"/>
      <c r="R583" s="9"/>
      <c r="S583" s="10"/>
    </row>
    <row r="584" spans="2:19" ht="21.75" customHeight="1" x14ac:dyDescent="0.25">
      <c r="B584" s="24"/>
      <c r="C584" s="24"/>
      <c r="D584" s="24"/>
      <c r="E584" s="24"/>
      <c r="F584" s="38"/>
      <c r="G584" s="27"/>
      <c r="H584" s="24"/>
      <c r="I584" s="27"/>
      <c r="J584" s="26"/>
      <c r="K584" s="24"/>
      <c r="L584" s="24"/>
      <c r="M584" s="24" t="str">
        <f>IF(B584="","",IF(COUNTIFS(Cobranza!$C$9:$C$1008,B584,Cobranza!$N$9:$N$1008,"Vencida")&gt;0,"Vencida",IF(COUNTIFS(Cobranza!$C$9:$C$1008,B584,Cobranza!$N$9:$N$1008,"Parcial")&gt;0,"Parcial",IF(COUNTIFS(Cobranza!$C$9:$C$1008,B584,Cobranza!$N$9:$N$1008,"Pendiente")&gt;0,"Pendiente",IF(COUNTIFS(Cobranza!$C$9:$C$1008,B584,Cobranza!$N$9:$N$1008,"Pagada")&gt;0,"Pagada","")))))</f>
        <v/>
      </c>
      <c r="N584" s="33" t="str">
        <f t="shared" ref="N584:N647" ca="1" si="9">IF(I584="","",MAX(0,TODAY()-I584))</f>
        <v/>
      </c>
      <c r="O584" s="23"/>
      <c r="P584" s="7" t="str">
        <f ca="1">IF(AND(B584&lt;&gt;"",F584&lt;&gt;"Cerrada",F584&lt;&gt;"Perdida",N584&lt;&gt;"",N584&gt;14),COUNTIFS($F$8:$F584,"&lt;&gt;Cerrada",$F$8:$F584,"&lt;&gt;Perdida",$N$8:$N584,"&gt;14"),"")</f>
        <v/>
      </c>
      <c r="Q584" s="8"/>
      <c r="R584" s="9"/>
      <c r="S584" s="10"/>
    </row>
    <row r="585" spans="2:19" ht="21.75" customHeight="1" x14ac:dyDescent="0.25">
      <c r="B585" s="24"/>
      <c r="C585" s="24"/>
      <c r="D585" s="24"/>
      <c r="E585" s="24"/>
      <c r="F585" s="38"/>
      <c r="G585" s="27"/>
      <c r="H585" s="24"/>
      <c r="I585" s="27"/>
      <c r="J585" s="26"/>
      <c r="K585" s="24"/>
      <c r="L585" s="24"/>
      <c r="M585" s="24" t="str">
        <f>IF(B585="","",IF(COUNTIFS(Cobranza!$C$9:$C$1008,B585,Cobranza!$N$9:$N$1008,"Vencida")&gt;0,"Vencida",IF(COUNTIFS(Cobranza!$C$9:$C$1008,B585,Cobranza!$N$9:$N$1008,"Parcial")&gt;0,"Parcial",IF(COUNTIFS(Cobranza!$C$9:$C$1008,B585,Cobranza!$N$9:$N$1008,"Pendiente")&gt;0,"Pendiente",IF(COUNTIFS(Cobranza!$C$9:$C$1008,B585,Cobranza!$N$9:$N$1008,"Pagada")&gt;0,"Pagada","")))))</f>
        <v/>
      </c>
      <c r="N585" s="33" t="str">
        <f t="shared" ca="1" si="9"/>
        <v/>
      </c>
      <c r="O585" s="23"/>
      <c r="P585" s="7" t="str">
        <f ca="1">IF(AND(B585&lt;&gt;"",F585&lt;&gt;"Cerrada",F585&lt;&gt;"Perdida",N585&lt;&gt;"",N585&gt;14),COUNTIFS($F$8:$F585,"&lt;&gt;Cerrada",$F$8:$F585,"&lt;&gt;Perdida",$N$8:$N585,"&gt;14"),"")</f>
        <v/>
      </c>
      <c r="Q585" s="8"/>
      <c r="R585" s="9"/>
      <c r="S585" s="10"/>
    </row>
    <row r="586" spans="2:19" ht="21.75" customHeight="1" x14ac:dyDescent="0.25">
      <c r="B586" s="24"/>
      <c r="C586" s="24"/>
      <c r="D586" s="24"/>
      <c r="E586" s="24"/>
      <c r="F586" s="38"/>
      <c r="G586" s="27"/>
      <c r="H586" s="24"/>
      <c r="I586" s="27"/>
      <c r="J586" s="26"/>
      <c r="K586" s="24"/>
      <c r="L586" s="24"/>
      <c r="M586" s="24" t="str">
        <f>IF(B586="","",IF(COUNTIFS(Cobranza!$C$9:$C$1008,B586,Cobranza!$N$9:$N$1008,"Vencida")&gt;0,"Vencida",IF(COUNTIFS(Cobranza!$C$9:$C$1008,B586,Cobranza!$N$9:$N$1008,"Parcial")&gt;0,"Parcial",IF(COUNTIFS(Cobranza!$C$9:$C$1008,B586,Cobranza!$N$9:$N$1008,"Pendiente")&gt;0,"Pendiente",IF(COUNTIFS(Cobranza!$C$9:$C$1008,B586,Cobranza!$N$9:$N$1008,"Pagada")&gt;0,"Pagada","")))))</f>
        <v/>
      </c>
      <c r="N586" s="33" t="str">
        <f t="shared" ca="1" si="9"/>
        <v/>
      </c>
      <c r="O586" s="23"/>
      <c r="P586" s="7" t="str">
        <f ca="1">IF(AND(B586&lt;&gt;"",F586&lt;&gt;"Cerrada",F586&lt;&gt;"Perdida",N586&lt;&gt;"",N586&gt;14),COUNTIFS($F$8:$F586,"&lt;&gt;Cerrada",$F$8:$F586,"&lt;&gt;Perdida",$N$8:$N586,"&gt;14"),"")</f>
        <v/>
      </c>
      <c r="Q586" s="8"/>
      <c r="R586" s="9"/>
      <c r="S586" s="10"/>
    </row>
    <row r="587" spans="2:19" ht="21.75" customHeight="1" x14ac:dyDescent="0.25">
      <c r="B587" s="24"/>
      <c r="C587" s="24"/>
      <c r="D587" s="24"/>
      <c r="E587" s="24"/>
      <c r="F587" s="38"/>
      <c r="G587" s="27"/>
      <c r="H587" s="24"/>
      <c r="I587" s="27"/>
      <c r="J587" s="26"/>
      <c r="K587" s="24"/>
      <c r="L587" s="24"/>
      <c r="M587" s="24" t="str">
        <f>IF(B587="","",IF(COUNTIFS(Cobranza!$C$9:$C$1008,B587,Cobranza!$N$9:$N$1008,"Vencida")&gt;0,"Vencida",IF(COUNTIFS(Cobranza!$C$9:$C$1008,B587,Cobranza!$N$9:$N$1008,"Parcial")&gt;0,"Parcial",IF(COUNTIFS(Cobranza!$C$9:$C$1008,B587,Cobranza!$N$9:$N$1008,"Pendiente")&gt;0,"Pendiente",IF(COUNTIFS(Cobranza!$C$9:$C$1008,B587,Cobranza!$N$9:$N$1008,"Pagada")&gt;0,"Pagada","")))))</f>
        <v/>
      </c>
      <c r="N587" s="33" t="str">
        <f t="shared" ca="1" si="9"/>
        <v/>
      </c>
      <c r="O587" s="23"/>
      <c r="P587" s="7" t="str">
        <f ca="1">IF(AND(B587&lt;&gt;"",F587&lt;&gt;"Cerrada",F587&lt;&gt;"Perdida",N587&lt;&gt;"",N587&gt;14),COUNTIFS($F$8:$F587,"&lt;&gt;Cerrada",$F$8:$F587,"&lt;&gt;Perdida",$N$8:$N587,"&gt;14"),"")</f>
        <v/>
      </c>
      <c r="Q587" s="8"/>
      <c r="R587" s="9"/>
      <c r="S587" s="10"/>
    </row>
    <row r="588" spans="2:19" ht="21.75" customHeight="1" x14ac:dyDescent="0.25">
      <c r="B588" s="24"/>
      <c r="C588" s="24"/>
      <c r="D588" s="24"/>
      <c r="E588" s="24"/>
      <c r="F588" s="38"/>
      <c r="G588" s="27"/>
      <c r="H588" s="24"/>
      <c r="I588" s="27"/>
      <c r="J588" s="26"/>
      <c r="K588" s="24"/>
      <c r="L588" s="24"/>
      <c r="M588" s="24" t="str">
        <f>IF(B588="","",IF(COUNTIFS(Cobranza!$C$9:$C$1008,B588,Cobranza!$N$9:$N$1008,"Vencida")&gt;0,"Vencida",IF(COUNTIFS(Cobranza!$C$9:$C$1008,B588,Cobranza!$N$9:$N$1008,"Parcial")&gt;0,"Parcial",IF(COUNTIFS(Cobranza!$C$9:$C$1008,B588,Cobranza!$N$9:$N$1008,"Pendiente")&gt;0,"Pendiente",IF(COUNTIFS(Cobranza!$C$9:$C$1008,B588,Cobranza!$N$9:$N$1008,"Pagada")&gt;0,"Pagada","")))))</f>
        <v/>
      </c>
      <c r="N588" s="33" t="str">
        <f t="shared" ca="1" si="9"/>
        <v/>
      </c>
      <c r="O588" s="23"/>
      <c r="P588" s="7" t="str">
        <f ca="1">IF(AND(B588&lt;&gt;"",F588&lt;&gt;"Cerrada",F588&lt;&gt;"Perdida",N588&lt;&gt;"",N588&gt;14),COUNTIFS($F$8:$F588,"&lt;&gt;Cerrada",$F$8:$F588,"&lt;&gt;Perdida",$N$8:$N588,"&gt;14"),"")</f>
        <v/>
      </c>
      <c r="Q588" s="8"/>
      <c r="R588" s="9"/>
      <c r="S588" s="10"/>
    </row>
    <row r="589" spans="2:19" ht="21.75" customHeight="1" x14ac:dyDescent="0.25">
      <c r="B589" s="24"/>
      <c r="C589" s="24"/>
      <c r="D589" s="24"/>
      <c r="E589" s="24"/>
      <c r="F589" s="38"/>
      <c r="G589" s="27"/>
      <c r="H589" s="24"/>
      <c r="I589" s="27"/>
      <c r="J589" s="26"/>
      <c r="K589" s="24"/>
      <c r="L589" s="24"/>
      <c r="M589" s="24" t="str">
        <f>IF(B589="","",IF(COUNTIFS(Cobranza!$C$9:$C$1008,B589,Cobranza!$N$9:$N$1008,"Vencida")&gt;0,"Vencida",IF(COUNTIFS(Cobranza!$C$9:$C$1008,B589,Cobranza!$N$9:$N$1008,"Parcial")&gt;0,"Parcial",IF(COUNTIFS(Cobranza!$C$9:$C$1008,B589,Cobranza!$N$9:$N$1008,"Pendiente")&gt;0,"Pendiente",IF(COUNTIFS(Cobranza!$C$9:$C$1008,B589,Cobranza!$N$9:$N$1008,"Pagada")&gt;0,"Pagada","")))))</f>
        <v/>
      </c>
      <c r="N589" s="33" t="str">
        <f t="shared" ca="1" si="9"/>
        <v/>
      </c>
      <c r="O589" s="23"/>
      <c r="P589" s="7" t="str">
        <f ca="1">IF(AND(B589&lt;&gt;"",F589&lt;&gt;"Cerrada",F589&lt;&gt;"Perdida",N589&lt;&gt;"",N589&gt;14),COUNTIFS($F$8:$F589,"&lt;&gt;Cerrada",$F$8:$F589,"&lt;&gt;Perdida",$N$8:$N589,"&gt;14"),"")</f>
        <v/>
      </c>
      <c r="Q589" s="8"/>
      <c r="R589" s="9"/>
      <c r="S589" s="10"/>
    </row>
    <row r="590" spans="2:19" ht="21.75" customHeight="1" x14ac:dyDescent="0.25">
      <c r="B590" s="24"/>
      <c r="C590" s="24"/>
      <c r="D590" s="24"/>
      <c r="E590" s="24"/>
      <c r="F590" s="38"/>
      <c r="G590" s="27"/>
      <c r="H590" s="24"/>
      <c r="I590" s="27"/>
      <c r="J590" s="26"/>
      <c r="K590" s="24"/>
      <c r="L590" s="24"/>
      <c r="M590" s="24" t="str">
        <f>IF(B590="","",IF(COUNTIFS(Cobranza!$C$9:$C$1008,B590,Cobranza!$N$9:$N$1008,"Vencida")&gt;0,"Vencida",IF(COUNTIFS(Cobranza!$C$9:$C$1008,B590,Cobranza!$N$9:$N$1008,"Parcial")&gt;0,"Parcial",IF(COUNTIFS(Cobranza!$C$9:$C$1008,B590,Cobranza!$N$9:$N$1008,"Pendiente")&gt;0,"Pendiente",IF(COUNTIFS(Cobranza!$C$9:$C$1008,B590,Cobranza!$N$9:$N$1008,"Pagada")&gt;0,"Pagada","")))))</f>
        <v/>
      </c>
      <c r="N590" s="33" t="str">
        <f t="shared" ca="1" si="9"/>
        <v/>
      </c>
      <c r="O590" s="23"/>
      <c r="P590" s="7" t="str">
        <f ca="1">IF(AND(B590&lt;&gt;"",F590&lt;&gt;"Cerrada",F590&lt;&gt;"Perdida",N590&lt;&gt;"",N590&gt;14),COUNTIFS($F$8:$F590,"&lt;&gt;Cerrada",$F$8:$F590,"&lt;&gt;Perdida",$N$8:$N590,"&gt;14"),"")</f>
        <v/>
      </c>
      <c r="Q590" s="8"/>
      <c r="R590" s="9"/>
      <c r="S590" s="10"/>
    </row>
    <row r="591" spans="2:19" ht="21.75" customHeight="1" x14ac:dyDescent="0.25">
      <c r="B591" s="24"/>
      <c r="C591" s="24"/>
      <c r="D591" s="24"/>
      <c r="E591" s="24"/>
      <c r="F591" s="38"/>
      <c r="G591" s="27"/>
      <c r="H591" s="24"/>
      <c r="I591" s="27"/>
      <c r="J591" s="26"/>
      <c r="K591" s="24"/>
      <c r="L591" s="24"/>
      <c r="M591" s="24" t="str">
        <f>IF(B591="","",IF(COUNTIFS(Cobranza!$C$9:$C$1008,B591,Cobranza!$N$9:$N$1008,"Vencida")&gt;0,"Vencida",IF(COUNTIFS(Cobranza!$C$9:$C$1008,B591,Cobranza!$N$9:$N$1008,"Parcial")&gt;0,"Parcial",IF(COUNTIFS(Cobranza!$C$9:$C$1008,B591,Cobranza!$N$9:$N$1008,"Pendiente")&gt;0,"Pendiente",IF(COUNTIFS(Cobranza!$C$9:$C$1008,B591,Cobranza!$N$9:$N$1008,"Pagada")&gt;0,"Pagada","")))))</f>
        <v/>
      </c>
      <c r="N591" s="33" t="str">
        <f t="shared" ca="1" si="9"/>
        <v/>
      </c>
      <c r="O591" s="23"/>
      <c r="P591" s="7" t="str">
        <f ca="1">IF(AND(B591&lt;&gt;"",F591&lt;&gt;"Cerrada",F591&lt;&gt;"Perdida",N591&lt;&gt;"",N591&gt;14),COUNTIFS($F$8:$F591,"&lt;&gt;Cerrada",$F$8:$F591,"&lt;&gt;Perdida",$N$8:$N591,"&gt;14"),"")</f>
        <v/>
      </c>
      <c r="Q591" s="8"/>
      <c r="R591" s="9"/>
      <c r="S591" s="10"/>
    </row>
    <row r="592" spans="2:19" ht="21.75" customHeight="1" x14ac:dyDescent="0.25">
      <c r="B592" s="24"/>
      <c r="C592" s="24"/>
      <c r="D592" s="24"/>
      <c r="E592" s="24"/>
      <c r="F592" s="38"/>
      <c r="G592" s="27"/>
      <c r="H592" s="24"/>
      <c r="I592" s="27"/>
      <c r="J592" s="26"/>
      <c r="K592" s="24"/>
      <c r="L592" s="24"/>
      <c r="M592" s="24" t="str">
        <f>IF(B592="","",IF(COUNTIFS(Cobranza!$C$9:$C$1008,B592,Cobranza!$N$9:$N$1008,"Vencida")&gt;0,"Vencida",IF(COUNTIFS(Cobranza!$C$9:$C$1008,B592,Cobranza!$N$9:$N$1008,"Parcial")&gt;0,"Parcial",IF(COUNTIFS(Cobranza!$C$9:$C$1008,B592,Cobranza!$N$9:$N$1008,"Pendiente")&gt;0,"Pendiente",IF(COUNTIFS(Cobranza!$C$9:$C$1008,B592,Cobranza!$N$9:$N$1008,"Pagada")&gt;0,"Pagada","")))))</f>
        <v/>
      </c>
      <c r="N592" s="33" t="str">
        <f t="shared" ca="1" si="9"/>
        <v/>
      </c>
      <c r="O592" s="23"/>
      <c r="P592" s="7" t="str">
        <f ca="1">IF(AND(B592&lt;&gt;"",F592&lt;&gt;"Cerrada",F592&lt;&gt;"Perdida",N592&lt;&gt;"",N592&gt;14),COUNTIFS($F$8:$F592,"&lt;&gt;Cerrada",$F$8:$F592,"&lt;&gt;Perdida",$N$8:$N592,"&gt;14"),"")</f>
        <v/>
      </c>
      <c r="Q592" s="8"/>
      <c r="R592" s="9"/>
      <c r="S592" s="10"/>
    </row>
    <row r="593" spans="2:19" ht="21.75" customHeight="1" x14ac:dyDescent="0.25">
      <c r="B593" s="24"/>
      <c r="C593" s="24"/>
      <c r="D593" s="24"/>
      <c r="E593" s="24"/>
      <c r="F593" s="38"/>
      <c r="G593" s="27"/>
      <c r="H593" s="24"/>
      <c r="I593" s="27"/>
      <c r="J593" s="26"/>
      <c r="K593" s="24"/>
      <c r="L593" s="24"/>
      <c r="M593" s="24" t="str">
        <f>IF(B593="","",IF(COUNTIFS(Cobranza!$C$9:$C$1008,B593,Cobranza!$N$9:$N$1008,"Vencida")&gt;0,"Vencida",IF(COUNTIFS(Cobranza!$C$9:$C$1008,B593,Cobranza!$N$9:$N$1008,"Parcial")&gt;0,"Parcial",IF(COUNTIFS(Cobranza!$C$9:$C$1008,B593,Cobranza!$N$9:$N$1008,"Pendiente")&gt;0,"Pendiente",IF(COUNTIFS(Cobranza!$C$9:$C$1008,B593,Cobranza!$N$9:$N$1008,"Pagada")&gt;0,"Pagada","")))))</f>
        <v/>
      </c>
      <c r="N593" s="33" t="str">
        <f t="shared" ca="1" si="9"/>
        <v/>
      </c>
      <c r="O593" s="23"/>
      <c r="P593" s="7" t="str">
        <f ca="1">IF(AND(B593&lt;&gt;"",F593&lt;&gt;"Cerrada",F593&lt;&gt;"Perdida",N593&lt;&gt;"",N593&gt;14),COUNTIFS($F$8:$F593,"&lt;&gt;Cerrada",$F$8:$F593,"&lt;&gt;Perdida",$N$8:$N593,"&gt;14"),"")</f>
        <v/>
      </c>
      <c r="Q593" s="8"/>
      <c r="R593" s="9"/>
      <c r="S593" s="10"/>
    </row>
    <row r="594" spans="2:19" ht="21.75" customHeight="1" x14ac:dyDescent="0.25">
      <c r="B594" s="24"/>
      <c r="C594" s="24"/>
      <c r="D594" s="24"/>
      <c r="E594" s="24"/>
      <c r="F594" s="38"/>
      <c r="G594" s="27"/>
      <c r="H594" s="24"/>
      <c r="I594" s="27"/>
      <c r="J594" s="26"/>
      <c r="K594" s="24"/>
      <c r="L594" s="24"/>
      <c r="M594" s="24" t="str">
        <f>IF(B594="","",IF(COUNTIFS(Cobranza!$C$9:$C$1008,B594,Cobranza!$N$9:$N$1008,"Vencida")&gt;0,"Vencida",IF(COUNTIFS(Cobranza!$C$9:$C$1008,B594,Cobranza!$N$9:$N$1008,"Parcial")&gt;0,"Parcial",IF(COUNTIFS(Cobranza!$C$9:$C$1008,B594,Cobranza!$N$9:$N$1008,"Pendiente")&gt;0,"Pendiente",IF(COUNTIFS(Cobranza!$C$9:$C$1008,B594,Cobranza!$N$9:$N$1008,"Pagada")&gt;0,"Pagada","")))))</f>
        <v/>
      </c>
      <c r="N594" s="33" t="str">
        <f t="shared" ca="1" si="9"/>
        <v/>
      </c>
      <c r="O594" s="23"/>
      <c r="P594" s="7" t="str">
        <f ca="1">IF(AND(B594&lt;&gt;"",F594&lt;&gt;"Cerrada",F594&lt;&gt;"Perdida",N594&lt;&gt;"",N594&gt;14),COUNTIFS($F$8:$F594,"&lt;&gt;Cerrada",$F$8:$F594,"&lt;&gt;Perdida",$N$8:$N594,"&gt;14"),"")</f>
        <v/>
      </c>
      <c r="Q594" s="8"/>
      <c r="R594" s="9"/>
      <c r="S594" s="10"/>
    </row>
    <row r="595" spans="2:19" ht="21.75" customHeight="1" x14ac:dyDescent="0.25">
      <c r="B595" s="24"/>
      <c r="C595" s="24"/>
      <c r="D595" s="24"/>
      <c r="E595" s="24"/>
      <c r="F595" s="38"/>
      <c r="G595" s="27"/>
      <c r="H595" s="24"/>
      <c r="I595" s="27"/>
      <c r="J595" s="26"/>
      <c r="K595" s="24"/>
      <c r="L595" s="24"/>
      <c r="M595" s="24" t="str">
        <f>IF(B595="","",IF(COUNTIFS(Cobranza!$C$9:$C$1008,B595,Cobranza!$N$9:$N$1008,"Vencida")&gt;0,"Vencida",IF(COUNTIFS(Cobranza!$C$9:$C$1008,B595,Cobranza!$N$9:$N$1008,"Parcial")&gt;0,"Parcial",IF(COUNTIFS(Cobranza!$C$9:$C$1008,B595,Cobranza!$N$9:$N$1008,"Pendiente")&gt;0,"Pendiente",IF(COUNTIFS(Cobranza!$C$9:$C$1008,B595,Cobranza!$N$9:$N$1008,"Pagada")&gt;0,"Pagada","")))))</f>
        <v/>
      </c>
      <c r="N595" s="33" t="str">
        <f t="shared" ca="1" si="9"/>
        <v/>
      </c>
      <c r="O595" s="23"/>
      <c r="P595" s="7" t="str">
        <f ca="1">IF(AND(B595&lt;&gt;"",F595&lt;&gt;"Cerrada",F595&lt;&gt;"Perdida",N595&lt;&gt;"",N595&gt;14),COUNTIFS($F$8:$F595,"&lt;&gt;Cerrada",$F$8:$F595,"&lt;&gt;Perdida",$N$8:$N595,"&gt;14"),"")</f>
        <v/>
      </c>
      <c r="Q595" s="8"/>
      <c r="R595" s="9"/>
      <c r="S595" s="10"/>
    </row>
    <row r="596" spans="2:19" ht="21.75" customHeight="1" x14ac:dyDescent="0.25">
      <c r="B596" s="24"/>
      <c r="C596" s="24"/>
      <c r="D596" s="24"/>
      <c r="E596" s="24"/>
      <c r="F596" s="38"/>
      <c r="G596" s="27"/>
      <c r="H596" s="24"/>
      <c r="I596" s="27"/>
      <c r="J596" s="26"/>
      <c r="K596" s="24"/>
      <c r="L596" s="24"/>
      <c r="M596" s="24" t="str">
        <f>IF(B596="","",IF(COUNTIFS(Cobranza!$C$9:$C$1008,B596,Cobranza!$N$9:$N$1008,"Vencida")&gt;0,"Vencida",IF(COUNTIFS(Cobranza!$C$9:$C$1008,B596,Cobranza!$N$9:$N$1008,"Parcial")&gt;0,"Parcial",IF(COUNTIFS(Cobranza!$C$9:$C$1008,B596,Cobranza!$N$9:$N$1008,"Pendiente")&gt;0,"Pendiente",IF(COUNTIFS(Cobranza!$C$9:$C$1008,B596,Cobranza!$N$9:$N$1008,"Pagada")&gt;0,"Pagada","")))))</f>
        <v/>
      </c>
      <c r="N596" s="33" t="str">
        <f t="shared" ca="1" si="9"/>
        <v/>
      </c>
      <c r="O596" s="23"/>
      <c r="P596" s="7" t="str">
        <f ca="1">IF(AND(B596&lt;&gt;"",F596&lt;&gt;"Cerrada",F596&lt;&gt;"Perdida",N596&lt;&gt;"",N596&gt;14),COUNTIFS($F$8:$F596,"&lt;&gt;Cerrada",$F$8:$F596,"&lt;&gt;Perdida",$N$8:$N596,"&gt;14"),"")</f>
        <v/>
      </c>
      <c r="Q596" s="8"/>
      <c r="R596" s="9"/>
      <c r="S596" s="10"/>
    </row>
    <row r="597" spans="2:19" ht="21.75" customHeight="1" x14ac:dyDescent="0.25">
      <c r="B597" s="24"/>
      <c r="C597" s="24"/>
      <c r="D597" s="24"/>
      <c r="E597" s="24"/>
      <c r="F597" s="38"/>
      <c r="G597" s="27"/>
      <c r="H597" s="24"/>
      <c r="I597" s="27"/>
      <c r="J597" s="26"/>
      <c r="K597" s="24"/>
      <c r="L597" s="24"/>
      <c r="M597" s="24" t="str">
        <f>IF(B597="","",IF(COUNTIFS(Cobranza!$C$9:$C$1008,B597,Cobranza!$N$9:$N$1008,"Vencida")&gt;0,"Vencida",IF(COUNTIFS(Cobranza!$C$9:$C$1008,B597,Cobranza!$N$9:$N$1008,"Parcial")&gt;0,"Parcial",IF(COUNTIFS(Cobranza!$C$9:$C$1008,B597,Cobranza!$N$9:$N$1008,"Pendiente")&gt;0,"Pendiente",IF(COUNTIFS(Cobranza!$C$9:$C$1008,B597,Cobranza!$N$9:$N$1008,"Pagada")&gt;0,"Pagada","")))))</f>
        <v/>
      </c>
      <c r="N597" s="33" t="str">
        <f t="shared" ca="1" si="9"/>
        <v/>
      </c>
      <c r="O597" s="23"/>
      <c r="P597" s="7" t="str">
        <f ca="1">IF(AND(B597&lt;&gt;"",F597&lt;&gt;"Cerrada",F597&lt;&gt;"Perdida",N597&lt;&gt;"",N597&gt;14),COUNTIFS($F$8:$F597,"&lt;&gt;Cerrada",$F$8:$F597,"&lt;&gt;Perdida",$N$8:$N597,"&gt;14"),"")</f>
        <v/>
      </c>
      <c r="Q597" s="8"/>
      <c r="R597" s="9"/>
      <c r="S597" s="10"/>
    </row>
    <row r="598" spans="2:19" ht="21.75" customHeight="1" x14ac:dyDescent="0.25">
      <c r="B598" s="24"/>
      <c r="C598" s="24"/>
      <c r="D598" s="24"/>
      <c r="E598" s="24"/>
      <c r="F598" s="38"/>
      <c r="G598" s="27"/>
      <c r="H598" s="24"/>
      <c r="I598" s="27"/>
      <c r="J598" s="26"/>
      <c r="K598" s="24"/>
      <c r="L598" s="24"/>
      <c r="M598" s="24" t="str">
        <f>IF(B598="","",IF(COUNTIFS(Cobranza!$C$9:$C$1008,B598,Cobranza!$N$9:$N$1008,"Vencida")&gt;0,"Vencida",IF(COUNTIFS(Cobranza!$C$9:$C$1008,B598,Cobranza!$N$9:$N$1008,"Parcial")&gt;0,"Parcial",IF(COUNTIFS(Cobranza!$C$9:$C$1008,B598,Cobranza!$N$9:$N$1008,"Pendiente")&gt;0,"Pendiente",IF(COUNTIFS(Cobranza!$C$9:$C$1008,B598,Cobranza!$N$9:$N$1008,"Pagada")&gt;0,"Pagada","")))))</f>
        <v/>
      </c>
      <c r="N598" s="33" t="str">
        <f t="shared" ca="1" si="9"/>
        <v/>
      </c>
      <c r="O598" s="23"/>
      <c r="P598" s="7" t="str">
        <f ca="1">IF(AND(B598&lt;&gt;"",F598&lt;&gt;"Cerrada",F598&lt;&gt;"Perdida",N598&lt;&gt;"",N598&gt;14),COUNTIFS($F$8:$F598,"&lt;&gt;Cerrada",$F$8:$F598,"&lt;&gt;Perdida",$N$8:$N598,"&gt;14"),"")</f>
        <v/>
      </c>
      <c r="Q598" s="8"/>
      <c r="R598" s="9"/>
      <c r="S598" s="10"/>
    </row>
    <row r="599" spans="2:19" ht="21.75" customHeight="1" x14ac:dyDescent="0.25">
      <c r="B599" s="24"/>
      <c r="C599" s="24"/>
      <c r="D599" s="24"/>
      <c r="E599" s="24"/>
      <c r="F599" s="38"/>
      <c r="G599" s="27"/>
      <c r="H599" s="24"/>
      <c r="I599" s="27"/>
      <c r="J599" s="26"/>
      <c r="K599" s="24"/>
      <c r="L599" s="24"/>
      <c r="M599" s="24" t="str">
        <f>IF(B599="","",IF(COUNTIFS(Cobranza!$C$9:$C$1008,B599,Cobranza!$N$9:$N$1008,"Vencida")&gt;0,"Vencida",IF(COUNTIFS(Cobranza!$C$9:$C$1008,B599,Cobranza!$N$9:$N$1008,"Parcial")&gt;0,"Parcial",IF(COUNTIFS(Cobranza!$C$9:$C$1008,B599,Cobranza!$N$9:$N$1008,"Pendiente")&gt;0,"Pendiente",IF(COUNTIFS(Cobranza!$C$9:$C$1008,B599,Cobranza!$N$9:$N$1008,"Pagada")&gt;0,"Pagada","")))))</f>
        <v/>
      </c>
      <c r="N599" s="33" t="str">
        <f t="shared" ca="1" si="9"/>
        <v/>
      </c>
      <c r="O599" s="23"/>
      <c r="P599" s="7" t="str">
        <f ca="1">IF(AND(B599&lt;&gt;"",F599&lt;&gt;"Cerrada",F599&lt;&gt;"Perdida",N599&lt;&gt;"",N599&gt;14),COUNTIFS($F$8:$F599,"&lt;&gt;Cerrada",$F$8:$F599,"&lt;&gt;Perdida",$N$8:$N599,"&gt;14"),"")</f>
        <v/>
      </c>
      <c r="Q599" s="8"/>
      <c r="R599" s="9"/>
      <c r="S599" s="10"/>
    </row>
    <row r="600" spans="2:19" ht="21.75" customHeight="1" x14ac:dyDescent="0.25">
      <c r="B600" s="24"/>
      <c r="C600" s="24"/>
      <c r="D600" s="24"/>
      <c r="E600" s="24"/>
      <c r="F600" s="38"/>
      <c r="G600" s="27"/>
      <c r="H600" s="24"/>
      <c r="I600" s="27"/>
      <c r="J600" s="26"/>
      <c r="K600" s="24"/>
      <c r="L600" s="24"/>
      <c r="M600" s="24" t="str">
        <f>IF(B600="","",IF(COUNTIFS(Cobranza!$C$9:$C$1008,B600,Cobranza!$N$9:$N$1008,"Vencida")&gt;0,"Vencida",IF(COUNTIFS(Cobranza!$C$9:$C$1008,B600,Cobranza!$N$9:$N$1008,"Parcial")&gt;0,"Parcial",IF(COUNTIFS(Cobranza!$C$9:$C$1008,B600,Cobranza!$N$9:$N$1008,"Pendiente")&gt;0,"Pendiente",IF(COUNTIFS(Cobranza!$C$9:$C$1008,B600,Cobranza!$N$9:$N$1008,"Pagada")&gt;0,"Pagada","")))))</f>
        <v/>
      </c>
      <c r="N600" s="33" t="str">
        <f t="shared" ca="1" si="9"/>
        <v/>
      </c>
      <c r="O600" s="23"/>
      <c r="P600" s="7" t="str">
        <f ca="1">IF(AND(B600&lt;&gt;"",F600&lt;&gt;"Cerrada",F600&lt;&gt;"Perdida",N600&lt;&gt;"",N600&gt;14),COUNTIFS($F$8:$F600,"&lt;&gt;Cerrada",$F$8:$F600,"&lt;&gt;Perdida",$N$8:$N600,"&gt;14"),"")</f>
        <v/>
      </c>
      <c r="Q600" s="8"/>
      <c r="R600" s="9"/>
      <c r="S600" s="10"/>
    </row>
    <row r="601" spans="2:19" ht="21.75" customHeight="1" x14ac:dyDescent="0.25">
      <c r="B601" s="24"/>
      <c r="C601" s="24"/>
      <c r="D601" s="24"/>
      <c r="E601" s="24"/>
      <c r="F601" s="38"/>
      <c r="G601" s="27"/>
      <c r="H601" s="24"/>
      <c r="I601" s="27"/>
      <c r="J601" s="26"/>
      <c r="K601" s="24"/>
      <c r="L601" s="24"/>
      <c r="M601" s="24" t="str">
        <f>IF(B601="","",IF(COUNTIFS(Cobranza!$C$9:$C$1008,B601,Cobranza!$N$9:$N$1008,"Vencida")&gt;0,"Vencida",IF(COUNTIFS(Cobranza!$C$9:$C$1008,B601,Cobranza!$N$9:$N$1008,"Parcial")&gt;0,"Parcial",IF(COUNTIFS(Cobranza!$C$9:$C$1008,B601,Cobranza!$N$9:$N$1008,"Pendiente")&gt;0,"Pendiente",IF(COUNTIFS(Cobranza!$C$9:$C$1008,B601,Cobranza!$N$9:$N$1008,"Pagada")&gt;0,"Pagada","")))))</f>
        <v/>
      </c>
      <c r="N601" s="33" t="str">
        <f t="shared" ca="1" si="9"/>
        <v/>
      </c>
      <c r="O601" s="23"/>
      <c r="P601" s="7" t="str">
        <f ca="1">IF(AND(B601&lt;&gt;"",F601&lt;&gt;"Cerrada",F601&lt;&gt;"Perdida",N601&lt;&gt;"",N601&gt;14),COUNTIFS($F$8:$F601,"&lt;&gt;Cerrada",$F$8:$F601,"&lt;&gt;Perdida",$N$8:$N601,"&gt;14"),"")</f>
        <v/>
      </c>
      <c r="Q601" s="8"/>
      <c r="R601" s="9"/>
      <c r="S601" s="10"/>
    </row>
    <row r="602" spans="2:19" ht="21.75" customHeight="1" x14ac:dyDescent="0.25">
      <c r="B602" s="24"/>
      <c r="C602" s="24"/>
      <c r="D602" s="24"/>
      <c r="E602" s="24"/>
      <c r="F602" s="38"/>
      <c r="G602" s="27"/>
      <c r="H602" s="24"/>
      <c r="I602" s="27"/>
      <c r="J602" s="26"/>
      <c r="K602" s="24"/>
      <c r="L602" s="24"/>
      <c r="M602" s="24" t="str">
        <f>IF(B602="","",IF(COUNTIFS(Cobranza!$C$9:$C$1008,B602,Cobranza!$N$9:$N$1008,"Vencida")&gt;0,"Vencida",IF(COUNTIFS(Cobranza!$C$9:$C$1008,B602,Cobranza!$N$9:$N$1008,"Parcial")&gt;0,"Parcial",IF(COUNTIFS(Cobranza!$C$9:$C$1008,B602,Cobranza!$N$9:$N$1008,"Pendiente")&gt;0,"Pendiente",IF(COUNTIFS(Cobranza!$C$9:$C$1008,B602,Cobranza!$N$9:$N$1008,"Pagada")&gt;0,"Pagada","")))))</f>
        <v/>
      </c>
      <c r="N602" s="33" t="str">
        <f t="shared" ca="1" si="9"/>
        <v/>
      </c>
      <c r="O602" s="23"/>
      <c r="P602" s="7" t="str">
        <f ca="1">IF(AND(B602&lt;&gt;"",F602&lt;&gt;"Cerrada",F602&lt;&gt;"Perdida",N602&lt;&gt;"",N602&gt;14),COUNTIFS($F$8:$F602,"&lt;&gt;Cerrada",$F$8:$F602,"&lt;&gt;Perdida",$N$8:$N602,"&gt;14"),"")</f>
        <v/>
      </c>
      <c r="Q602" s="8"/>
      <c r="R602" s="9"/>
      <c r="S602" s="10"/>
    </row>
    <row r="603" spans="2:19" ht="21.75" customHeight="1" x14ac:dyDescent="0.25">
      <c r="B603" s="24"/>
      <c r="C603" s="24"/>
      <c r="D603" s="24"/>
      <c r="E603" s="24"/>
      <c r="F603" s="38"/>
      <c r="G603" s="27"/>
      <c r="H603" s="24"/>
      <c r="I603" s="27"/>
      <c r="J603" s="26"/>
      <c r="K603" s="24"/>
      <c r="L603" s="24"/>
      <c r="M603" s="24" t="str">
        <f>IF(B603="","",IF(COUNTIFS(Cobranza!$C$9:$C$1008,B603,Cobranza!$N$9:$N$1008,"Vencida")&gt;0,"Vencida",IF(COUNTIFS(Cobranza!$C$9:$C$1008,B603,Cobranza!$N$9:$N$1008,"Parcial")&gt;0,"Parcial",IF(COUNTIFS(Cobranza!$C$9:$C$1008,B603,Cobranza!$N$9:$N$1008,"Pendiente")&gt;0,"Pendiente",IF(COUNTIFS(Cobranza!$C$9:$C$1008,B603,Cobranza!$N$9:$N$1008,"Pagada")&gt;0,"Pagada","")))))</f>
        <v/>
      </c>
      <c r="N603" s="33" t="str">
        <f t="shared" ca="1" si="9"/>
        <v/>
      </c>
      <c r="O603" s="23"/>
      <c r="P603" s="7" t="str">
        <f ca="1">IF(AND(B603&lt;&gt;"",F603&lt;&gt;"Cerrada",F603&lt;&gt;"Perdida",N603&lt;&gt;"",N603&gt;14),COUNTIFS($F$8:$F603,"&lt;&gt;Cerrada",$F$8:$F603,"&lt;&gt;Perdida",$N$8:$N603,"&gt;14"),"")</f>
        <v/>
      </c>
      <c r="Q603" s="8"/>
      <c r="R603" s="9"/>
      <c r="S603" s="10"/>
    </row>
    <row r="604" spans="2:19" ht="21.75" customHeight="1" x14ac:dyDescent="0.25">
      <c r="B604" s="24"/>
      <c r="C604" s="24"/>
      <c r="D604" s="24"/>
      <c r="E604" s="24"/>
      <c r="F604" s="38"/>
      <c r="G604" s="27"/>
      <c r="H604" s="24"/>
      <c r="I604" s="27"/>
      <c r="J604" s="26"/>
      <c r="K604" s="24"/>
      <c r="L604" s="24"/>
      <c r="M604" s="24" t="str">
        <f>IF(B604="","",IF(COUNTIFS(Cobranza!$C$9:$C$1008,B604,Cobranza!$N$9:$N$1008,"Vencida")&gt;0,"Vencida",IF(COUNTIFS(Cobranza!$C$9:$C$1008,B604,Cobranza!$N$9:$N$1008,"Parcial")&gt;0,"Parcial",IF(COUNTIFS(Cobranza!$C$9:$C$1008,B604,Cobranza!$N$9:$N$1008,"Pendiente")&gt;0,"Pendiente",IF(COUNTIFS(Cobranza!$C$9:$C$1008,B604,Cobranza!$N$9:$N$1008,"Pagada")&gt;0,"Pagada","")))))</f>
        <v/>
      </c>
      <c r="N604" s="33" t="str">
        <f t="shared" ca="1" si="9"/>
        <v/>
      </c>
      <c r="O604" s="23"/>
      <c r="P604" s="7" t="str">
        <f ca="1">IF(AND(B604&lt;&gt;"",F604&lt;&gt;"Cerrada",F604&lt;&gt;"Perdida",N604&lt;&gt;"",N604&gt;14),COUNTIFS($F$8:$F604,"&lt;&gt;Cerrada",$F$8:$F604,"&lt;&gt;Perdida",$N$8:$N604,"&gt;14"),"")</f>
        <v/>
      </c>
      <c r="Q604" s="8"/>
      <c r="R604" s="9"/>
      <c r="S604" s="10"/>
    </row>
    <row r="605" spans="2:19" ht="21.75" customHeight="1" x14ac:dyDescent="0.25">
      <c r="B605" s="24"/>
      <c r="C605" s="24"/>
      <c r="D605" s="24"/>
      <c r="E605" s="24"/>
      <c r="F605" s="38"/>
      <c r="G605" s="27"/>
      <c r="H605" s="24"/>
      <c r="I605" s="27"/>
      <c r="J605" s="26"/>
      <c r="K605" s="24"/>
      <c r="L605" s="24"/>
      <c r="M605" s="24" t="str">
        <f>IF(B605="","",IF(COUNTIFS(Cobranza!$C$9:$C$1008,B605,Cobranza!$N$9:$N$1008,"Vencida")&gt;0,"Vencida",IF(COUNTIFS(Cobranza!$C$9:$C$1008,B605,Cobranza!$N$9:$N$1008,"Parcial")&gt;0,"Parcial",IF(COUNTIFS(Cobranza!$C$9:$C$1008,B605,Cobranza!$N$9:$N$1008,"Pendiente")&gt;0,"Pendiente",IF(COUNTIFS(Cobranza!$C$9:$C$1008,B605,Cobranza!$N$9:$N$1008,"Pagada")&gt;0,"Pagada","")))))</f>
        <v/>
      </c>
      <c r="N605" s="33" t="str">
        <f t="shared" ca="1" si="9"/>
        <v/>
      </c>
      <c r="O605" s="23"/>
      <c r="P605" s="7" t="str">
        <f ca="1">IF(AND(B605&lt;&gt;"",F605&lt;&gt;"Cerrada",F605&lt;&gt;"Perdida",N605&lt;&gt;"",N605&gt;14),COUNTIFS($F$8:$F605,"&lt;&gt;Cerrada",$F$8:$F605,"&lt;&gt;Perdida",$N$8:$N605,"&gt;14"),"")</f>
        <v/>
      </c>
      <c r="Q605" s="8"/>
      <c r="R605" s="9"/>
      <c r="S605" s="10"/>
    </row>
    <row r="606" spans="2:19" ht="21.75" customHeight="1" x14ac:dyDescent="0.25">
      <c r="B606" s="24"/>
      <c r="C606" s="24"/>
      <c r="D606" s="24"/>
      <c r="E606" s="24"/>
      <c r="F606" s="38"/>
      <c r="G606" s="27"/>
      <c r="H606" s="24"/>
      <c r="I606" s="27"/>
      <c r="J606" s="26"/>
      <c r="K606" s="24"/>
      <c r="L606" s="24"/>
      <c r="M606" s="24" t="str">
        <f>IF(B606="","",IF(COUNTIFS(Cobranza!$C$9:$C$1008,B606,Cobranza!$N$9:$N$1008,"Vencida")&gt;0,"Vencida",IF(COUNTIFS(Cobranza!$C$9:$C$1008,B606,Cobranza!$N$9:$N$1008,"Parcial")&gt;0,"Parcial",IF(COUNTIFS(Cobranza!$C$9:$C$1008,B606,Cobranza!$N$9:$N$1008,"Pendiente")&gt;0,"Pendiente",IF(COUNTIFS(Cobranza!$C$9:$C$1008,B606,Cobranza!$N$9:$N$1008,"Pagada")&gt;0,"Pagada","")))))</f>
        <v/>
      </c>
      <c r="N606" s="33" t="str">
        <f t="shared" ca="1" si="9"/>
        <v/>
      </c>
      <c r="O606" s="23"/>
      <c r="P606" s="7" t="str">
        <f ca="1">IF(AND(B606&lt;&gt;"",F606&lt;&gt;"Cerrada",F606&lt;&gt;"Perdida",N606&lt;&gt;"",N606&gt;14),COUNTIFS($F$8:$F606,"&lt;&gt;Cerrada",$F$8:$F606,"&lt;&gt;Perdida",$N$8:$N606,"&gt;14"),"")</f>
        <v/>
      </c>
      <c r="Q606" s="8"/>
      <c r="R606" s="9"/>
      <c r="S606" s="10"/>
    </row>
    <row r="607" spans="2:19" ht="21.75" customHeight="1" x14ac:dyDescent="0.25">
      <c r="B607" s="24"/>
      <c r="C607" s="24"/>
      <c r="D607" s="24"/>
      <c r="E607" s="24"/>
      <c r="F607" s="38"/>
      <c r="G607" s="27"/>
      <c r="H607" s="24"/>
      <c r="I607" s="27"/>
      <c r="J607" s="26"/>
      <c r="K607" s="24"/>
      <c r="L607" s="24"/>
      <c r="M607" s="24" t="str">
        <f>IF(B607="","",IF(COUNTIFS(Cobranza!$C$9:$C$1008,B607,Cobranza!$N$9:$N$1008,"Vencida")&gt;0,"Vencida",IF(COUNTIFS(Cobranza!$C$9:$C$1008,B607,Cobranza!$N$9:$N$1008,"Parcial")&gt;0,"Parcial",IF(COUNTIFS(Cobranza!$C$9:$C$1008,B607,Cobranza!$N$9:$N$1008,"Pendiente")&gt;0,"Pendiente",IF(COUNTIFS(Cobranza!$C$9:$C$1008,B607,Cobranza!$N$9:$N$1008,"Pagada")&gt;0,"Pagada","")))))</f>
        <v/>
      </c>
      <c r="N607" s="33" t="str">
        <f t="shared" ca="1" si="9"/>
        <v/>
      </c>
      <c r="O607" s="23"/>
      <c r="P607" s="7" t="str">
        <f ca="1">IF(AND(B607&lt;&gt;"",F607&lt;&gt;"Cerrada",F607&lt;&gt;"Perdida",N607&lt;&gt;"",N607&gt;14),COUNTIFS($F$8:$F607,"&lt;&gt;Cerrada",$F$8:$F607,"&lt;&gt;Perdida",$N$8:$N607,"&gt;14"),"")</f>
        <v/>
      </c>
      <c r="Q607" s="8"/>
      <c r="R607" s="9"/>
      <c r="S607" s="10"/>
    </row>
    <row r="608" spans="2:19" ht="21.75" customHeight="1" x14ac:dyDescent="0.25">
      <c r="B608" s="40"/>
      <c r="C608" s="40"/>
      <c r="D608" s="40"/>
      <c r="E608" s="40"/>
      <c r="F608" s="39"/>
      <c r="G608" s="41"/>
      <c r="H608" s="40"/>
      <c r="I608" s="41"/>
      <c r="J608" s="42"/>
      <c r="K608" s="40"/>
      <c r="L608" s="40"/>
      <c r="M608" s="40" t="str">
        <f>IF(B608="","",IF(COUNTIFS(Cobranza!$C$9:$C$1008,B608,Cobranza!$N$9:$N$1008,"Vencida")&gt;0,"Vencida",IF(COUNTIFS(Cobranza!$C$9:$C$1008,B608,Cobranza!$N$9:$N$1008,"Parcial")&gt;0,"Parcial",IF(COUNTIFS(Cobranza!$C$9:$C$1008,B608,Cobranza!$N$9:$N$1008,"Pendiente")&gt;0,"Pendiente",IF(COUNTIFS(Cobranza!$C$9:$C$1008,B608,Cobranza!$N$9:$N$1008,"Pagada")&gt;0,"Pagada","")))))</f>
        <v/>
      </c>
      <c r="N608" s="33" t="str">
        <f t="shared" ca="1" si="9"/>
        <v/>
      </c>
      <c r="O608" s="25"/>
      <c r="P608" s="11" t="str">
        <f ca="1">IF(AND(B608&lt;&gt;"",F608&lt;&gt;"Cerrada",F608&lt;&gt;"Perdida",N608&lt;&gt;"",N608&gt;14),COUNTIFS($F$8:$F608,"&lt;&gt;Cerrada",$F$8:$F608,"&lt;&gt;Perdida",$N$8:$N608,"&gt;14"),"")</f>
        <v/>
      </c>
    </row>
    <row r="609" spans="2:16" ht="21.75" customHeight="1" x14ac:dyDescent="0.25">
      <c r="B609" s="40"/>
      <c r="C609" s="40"/>
      <c r="D609" s="40"/>
      <c r="E609" s="40"/>
      <c r="F609" s="39"/>
      <c r="G609" s="41"/>
      <c r="H609" s="40"/>
      <c r="I609" s="41"/>
      <c r="J609" s="42"/>
      <c r="K609" s="40"/>
      <c r="L609" s="40"/>
      <c r="M609" s="40" t="str">
        <f>IF(B609="","",IF(COUNTIFS(Cobranza!$C$9:$C$1008,B609,Cobranza!$N$9:$N$1008,"Vencida")&gt;0,"Vencida",IF(COUNTIFS(Cobranza!$C$9:$C$1008,B609,Cobranza!$N$9:$N$1008,"Parcial")&gt;0,"Parcial",IF(COUNTIFS(Cobranza!$C$9:$C$1008,B609,Cobranza!$N$9:$N$1008,"Pendiente")&gt;0,"Pendiente",IF(COUNTIFS(Cobranza!$C$9:$C$1008,B609,Cobranza!$N$9:$N$1008,"Pagada")&gt;0,"Pagada","")))))</f>
        <v/>
      </c>
      <c r="N609" s="33" t="str">
        <f t="shared" ca="1" si="9"/>
        <v/>
      </c>
      <c r="O609" s="25"/>
      <c r="P609" s="11" t="str">
        <f ca="1">IF(AND(B609&lt;&gt;"",F609&lt;&gt;"Cerrada",F609&lt;&gt;"Perdida",N609&lt;&gt;"",N609&gt;14),COUNTIFS($F$8:$F609,"&lt;&gt;Cerrada",$F$8:$F609,"&lt;&gt;Perdida",$N$8:$N609,"&gt;14"),"")</f>
        <v/>
      </c>
    </row>
    <row r="610" spans="2:16" ht="21.75" customHeight="1" x14ac:dyDescent="0.25">
      <c r="B610" s="40"/>
      <c r="C610" s="40"/>
      <c r="D610" s="40"/>
      <c r="E610" s="40"/>
      <c r="F610" s="39"/>
      <c r="G610" s="41"/>
      <c r="H610" s="40"/>
      <c r="I610" s="41"/>
      <c r="J610" s="42"/>
      <c r="K610" s="40"/>
      <c r="L610" s="40"/>
      <c r="M610" s="40" t="str">
        <f>IF(B610="","",IF(COUNTIFS(Cobranza!$C$9:$C$1008,B610,Cobranza!$N$9:$N$1008,"Vencida")&gt;0,"Vencida",IF(COUNTIFS(Cobranza!$C$9:$C$1008,B610,Cobranza!$N$9:$N$1008,"Parcial")&gt;0,"Parcial",IF(COUNTIFS(Cobranza!$C$9:$C$1008,B610,Cobranza!$N$9:$N$1008,"Pendiente")&gt;0,"Pendiente",IF(COUNTIFS(Cobranza!$C$9:$C$1008,B610,Cobranza!$N$9:$N$1008,"Pagada")&gt;0,"Pagada","")))))</f>
        <v/>
      </c>
      <c r="N610" s="33" t="str">
        <f t="shared" ca="1" si="9"/>
        <v/>
      </c>
      <c r="O610" s="25"/>
      <c r="P610" s="11" t="str">
        <f ca="1">IF(AND(B610&lt;&gt;"",F610&lt;&gt;"Cerrada",F610&lt;&gt;"Perdida",N610&lt;&gt;"",N610&gt;14),COUNTIFS($F$8:$F610,"&lt;&gt;Cerrada",$F$8:$F610,"&lt;&gt;Perdida",$N$8:$N610,"&gt;14"),"")</f>
        <v/>
      </c>
    </row>
    <row r="611" spans="2:16" ht="21.75" customHeight="1" x14ac:dyDescent="0.25">
      <c r="B611" s="40"/>
      <c r="C611" s="40"/>
      <c r="D611" s="40"/>
      <c r="E611" s="40"/>
      <c r="F611" s="39"/>
      <c r="G611" s="41"/>
      <c r="H611" s="40"/>
      <c r="I611" s="41"/>
      <c r="J611" s="42"/>
      <c r="K611" s="40"/>
      <c r="L611" s="40"/>
      <c r="M611" s="40" t="str">
        <f>IF(B611="","",IF(COUNTIFS(Cobranza!$C$9:$C$1008,B611,Cobranza!$N$9:$N$1008,"Vencida")&gt;0,"Vencida",IF(COUNTIFS(Cobranza!$C$9:$C$1008,B611,Cobranza!$N$9:$N$1008,"Parcial")&gt;0,"Parcial",IF(COUNTIFS(Cobranza!$C$9:$C$1008,B611,Cobranza!$N$9:$N$1008,"Pendiente")&gt;0,"Pendiente",IF(COUNTIFS(Cobranza!$C$9:$C$1008,B611,Cobranza!$N$9:$N$1008,"Pagada")&gt;0,"Pagada","")))))</f>
        <v/>
      </c>
      <c r="N611" s="33" t="str">
        <f t="shared" ca="1" si="9"/>
        <v/>
      </c>
      <c r="O611" s="25"/>
      <c r="P611" s="11" t="str">
        <f ca="1">IF(AND(B611&lt;&gt;"",F611&lt;&gt;"Cerrada",F611&lt;&gt;"Perdida",N611&lt;&gt;"",N611&gt;14),COUNTIFS($F$8:$F611,"&lt;&gt;Cerrada",$F$8:$F611,"&lt;&gt;Perdida",$N$8:$N611,"&gt;14"),"")</f>
        <v/>
      </c>
    </row>
    <row r="612" spans="2:16" ht="21.75" customHeight="1" x14ac:dyDescent="0.25">
      <c r="B612" s="40"/>
      <c r="C612" s="40"/>
      <c r="D612" s="40"/>
      <c r="E612" s="40"/>
      <c r="F612" s="39"/>
      <c r="G612" s="41"/>
      <c r="H612" s="40"/>
      <c r="I612" s="41"/>
      <c r="J612" s="42"/>
      <c r="K612" s="40"/>
      <c r="L612" s="40"/>
      <c r="M612" s="40" t="str">
        <f>IF(B612="","",IF(COUNTIFS(Cobranza!$C$9:$C$1008,B612,Cobranza!$N$9:$N$1008,"Vencida")&gt;0,"Vencida",IF(COUNTIFS(Cobranza!$C$9:$C$1008,B612,Cobranza!$N$9:$N$1008,"Parcial")&gt;0,"Parcial",IF(COUNTIFS(Cobranza!$C$9:$C$1008,B612,Cobranza!$N$9:$N$1008,"Pendiente")&gt;0,"Pendiente",IF(COUNTIFS(Cobranza!$C$9:$C$1008,B612,Cobranza!$N$9:$N$1008,"Pagada")&gt;0,"Pagada","")))))</f>
        <v/>
      </c>
      <c r="N612" s="33" t="str">
        <f t="shared" ca="1" si="9"/>
        <v/>
      </c>
      <c r="O612" s="25"/>
      <c r="P612" s="11" t="str">
        <f ca="1">IF(AND(B612&lt;&gt;"",F612&lt;&gt;"Cerrada",F612&lt;&gt;"Perdida",N612&lt;&gt;"",N612&gt;14),COUNTIFS($F$8:$F612,"&lt;&gt;Cerrada",$F$8:$F612,"&lt;&gt;Perdida",$N$8:$N612,"&gt;14"),"")</f>
        <v/>
      </c>
    </row>
    <row r="613" spans="2:16" ht="21.75" customHeight="1" x14ac:dyDescent="0.25">
      <c r="B613" s="40"/>
      <c r="C613" s="40"/>
      <c r="D613" s="40"/>
      <c r="E613" s="40"/>
      <c r="F613" s="39"/>
      <c r="G613" s="41"/>
      <c r="H613" s="40"/>
      <c r="I613" s="41"/>
      <c r="J613" s="42"/>
      <c r="K613" s="40"/>
      <c r="L613" s="40"/>
      <c r="M613" s="40" t="str">
        <f>IF(B613="","",IF(COUNTIFS(Cobranza!$C$9:$C$1008,B613,Cobranza!$N$9:$N$1008,"Vencida")&gt;0,"Vencida",IF(COUNTIFS(Cobranza!$C$9:$C$1008,B613,Cobranza!$N$9:$N$1008,"Parcial")&gt;0,"Parcial",IF(COUNTIFS(Cobranza!$C$9:$C$1008,B613,Cobranza!$N$9:$N$1008,"Pendiente")&gt;0,"Pendiente",IF(COUNTIFS(Cobranza!$C$9:$C$1008,B613,Cobranza!$N$9:$N$1008,"Pagada")&gt;0,"Pagada","")))))</f>
        <v/>
      </c>
      <c r="N613" s="33" t="str">
        <f t="shared" ca="1" si="9"/>
        <v/>
      </c>
      <c r="O613" s="25"/>
      <c r="P613" s="11" t="str">
        <f ca="1">IF(AND(B613&lt;&gt;"",F613&lt;&gt;"Cerrada",F613&lt;&gt;"Perdida",N613&lt;&gt;"",N613&gt;14),COUNTIFS($F$8:$F613,"&lt;&gt;Cerrada",$F$8:$F613,"&lt;&gt;Perdida",$N$8:$N613,"&gt;14"),"")</f>
        <v/>
      </c>
    </row>
    <row r="614" spans="2:16" ht="21.75" customHeight="1" x14ac:dyDescent="0.25">
      <c r="B614" s="40"/>
      <c r="C614" s="40"/>
      <c r="D614" s="40"/>
      <c r="E614" s="40"/>
      <c r="F614" s="39"/>
      <c r="G614" s="41"/>
      <c r="H614" s="40"/>
      <c r="I614" s="41"/>
      <c r="J614" s="42"/>
      <c r="K614" s="40"/>
      <c r="L614" s="40"/>
      <c r="M614" s="40" t="str">
        <f>IF(B614="","",IF(COUNTIFS(Cobranza!$C$9:$C$1008,B614,Cobranza!$N$9:$N$1008,"Vencida")&gt;0,"Vencida",IF(COUNTIFS(Cobranza!$C$9:$C$1008,B614,Cobranza!$N$9:$N$1008,"Parcial")&gt;0,"Parcial",IF(COUNTIFS(Cobranza!$C$9:$C$1008,B614,Cobranza!$N$9:$N$1008,"Pendiente")&gt;0,"Pendiente",IF(COUNTIFS(Cobranza!$C$9:$C$1008,B614,Cobranza!$N$9:$N$1008,"Pagada")&gt;0,"Pagada","")))))</f>
        <v/>
      </c>
      <c r="N614" s="33" t="str">
        <f t="shared" ca="1" si="9"/>
        <v/>
      </c>
      <c r="O614" s="25"/>
      <c r="P614" s="11" t="str">
        <f ca="1">IF(AND(B614&lt;&gt;"",F614&lt;&gt;"Cerrada",F614&lt;&gt;"Perdida",N614&lt;&gt;"",N614&gt;14),COUNTIFS($F$8:$F614,"&lt;&gt;Cerrada",$F$8:$F614,"&lt;&gt;Perdida",$N$8:$N614,"&gt;14"),"")</f>
        <v/>
      </c>
    </row>
    <row r="615" spans="2:16" ht="21.75" customHeight="1" x14ac:dyDescent="0.25">
      <c r="B615" s="40"/>
      <c r="C615" s="40"/>
      <c r="D615" s="40"/>
      <c r="E615" s="40"/>
      <c r="F615" s="39"/>
      <c r="G615" s="41"/>
      <c r="H615" s="40"/>
      <c r="I615" s="41"/>
      <c r="J615" s="42"/>
      <c r="K615" s="40"/>
      <c r="L615" s="40"/>
      <c r="M615" s="40" t="str">
        <f>IF(B615="","",IF(COUNTIFS(Cobranza!$C$9:$C$1008,B615,Cobranza!$N$9:$N$1008,"Vencida")&gt;0,"Vencida",IF(COUNTIFS(Cobranza!$C$9:$C$1008,B615,Cobranza!$N$9:$N$1008,"Parcial")&gt;0,"Parcial",IF(COUNTIFS(Cobranza!$C$9:$C$1008,B615,Cobranza!$N$9:$N$1008,"Pendiente")&gt;0,"Pendiente",IF(COUNTIFS(Cobranza!$C$9:$C$1008,B615,Cobranza!$N$9:$N$1008,"Pagada")&gt;0,"Pagada","")))))</f>
        <v/>
      </c>
      <c r="N615" s="33" t="str">
        <f t="shared" ca="1" si="9"/>
        <v/>
      </c>
      <c r="O615" s="25"/>
      <c r="P615" s="11" t="str">
        <f ca="1">IF(AND(B615&lt;&gt;"",F615&lt;&gt;"Cerrada",F615&lt;&gt;"Perdida",N615&lt;&gt;"",N615&gt;14),COUNTIFS($F$8:$F615,"&lt;&gt;Cerrada",$F$8:$F615,"&lt;&gt;Perdida",$N$8:$N615,"&gt;14"),"")</f>
        <v/>
      </c>
    </row>
    <row r="616" spans="2:16" ht="21.75" customHeight="1" x14ac:dyDescent="0.25">
      <c r="B616" s="40"/>
      <c r="C616" s="40"/>
      <c r="D616" s="40"/>
      <c r="E616" s="40"/>
      <c r="F616" s="39"/>
      <c r="G616" s="41"/>
      <c r="H616" s="40"/>
      <c r="I616" s="41"/>
      <c r="J616" s="42"/>
      <c r="K616" s="40"/>
      <c r="L616" s="40"/>
      <c r="M616" s="40" t="str">
        <f>IF(B616="","",IF(COUNTIFS(Cobranza!$C$9:$C$1008,B616,Cobranza!$N$9:$N$1008,"Vencida")&gt;0,"Vencida",IF(COUNTIFS(Cobranza!$C$9:$C$1008,B616,Cobranza!$N$9:$N$1008,"Parcial")&gt;0,"Parcial",IF(COUNTIFS(Cobranza!$C$9:$C$1008,B616,Cobranza!$N$9:$N$1008,"Pendiente")&gt;0,"Pendiente",IF(COUNTIFS(Cobranza!$C$9:$C$1008,B616,Cobranza!$N$9:$N$1008,"Pagada")&gt;0,"Pagada","")))))</f>
        <v/>
      </c>
      <c r="N616" s="33" t="str">
        <f t="shared" ca="1" si="9"/>
        <v/>
      </c>
      <c r="O616" s="25"/>
      <c r="P616" s="11" t="str">
        <f ca="1">IF(AND(B616&lt;&gt;"",F616&lt;&gt;"Cerrada",F616&lt;&gt;"Perdida",N616&lt;&gt;"",N616&gt;14),COUNTIFS($F$8:$F616,"&lt;&gt;Cerrada",$F$8:$F616,"&lt;&gt;Perdida",$N$8:$N616,"&gt;14"),"")</f>
        <v/>
      </c>
    </row>
    <row r="617" spans="2:16" ht="21.75" customHeight="1" x14ac:dyDescent="0.25">
      <c r="B617" s="40"/>
      <c r="C617" s="40"/>
      <c r="D617" s="40"/>
      <c r="E617" s="40"/>
      <c r="F617" s="39"/>
      <c r="G617" s="41"/>
      <c r="H617" s="40"/>
      <c r="I617" s="41"/>
      <c r="J617" s="42"/>
      <c r="K617" s="40"/>
      <c r="L617" s="40"/>
      <c r="M617" s="40" t="str">
        <f>IF(B617="","",IF(COUNTIFS(Cobranza!$C$9:$C$1008,B617,Cobranza!$N$9:$N$1008,"Vencida")&gt;0,"Vencida",IF(COUNTIFS(Cobranza!$C$9:$C$1008,B617,Cobranza!$N$9:$N$1008,"Parcial")&gt;0,"Parcial",IF(COUNTIFS(Cobranza!$C$9:$C$1008,B617,Cobranza!$N$9:$N$1008,"Pendiente")&gt;0,"Pendiente",IF(COUNTIFS(Cobranza!$C$9:$C$1008,B617,Cobranza!$N$9:$N$1008,"Pagada")&gt;0,"Pagada","")))))</f>
        <v/>
      </c>
      <c r="N617" s="33" t="str">
        <f t="shared" ca="1" si="9"/>
        <v/>
      </c>
      <c r="O617" s="25"/>
      <c r="P617" s="11" t="str">
        <f ca="1">IF(AND(B617&lt;&gt;"",F617&lt;&gt;"Cerrada",F617&lt;&gt;"Perdida",N617&lt;&gt;"",N617&gt;14),COUNTIFS($F$8:$F617,"&lt;&gt;Cerrada",$F$8:$F617,"&lt;&gt;Perdida",$N$8:$N617,"&gt;14"),"")</f>
        <v/>
      </c>
    </row>
    <row r="618" spans="2:16" ht="21.75" customHeight="1" x14ac:dyDescent="0.25">
      <c r="B618" s="40"/>
      <c r="C618" s="40"/>
      <c r="D618" s="40"/>
      <c r="E618" s="40"/>
      <c r="F618" s="39"/>
      <c r="G618" s="41"/>
      <c r="H618" s="40"/>
      <c r="I618" s="41"/>
      <c r="J618" s="42"/>
      <c r="K618" s="40"/>
      <c r="L618" s="40"/>
      <c r="M618" s="40" t="str">
        <f>IF(B618="","",IF(COUNTIFS(Cobranza!$C$9:$C$1008,B618,Cobranza!$N$9:$N$1008,"Vencida")&gt;0,"Vencida",IF(COUNTIFS(Cobranza!$C$9:$C$1008,B618,Cobranza!$N$9:$N$1008,"Parcial")&gt;0,"Parcial",IF(COUNTIFS(Cobranza!$C$9:$C$1008,B618,Cobranza!$N$9:$N$1008,"Pendiente")&gt;0,"Pendiente",IF(COUNTIFS(Cobranza!$C$9:$C$1008,B618,Cobranza!$N$9:$N$1008,"Pagada")&gt;0,"Pagada","")))))</f>
        <v/>
      </c>
      <c r="N618" s="33" t="str">
        <f t="shared" ca="1" si="9"/>
        <v/>
      </c>
      <c r="O618" s="25"/>
      <c r="P618" s="11" t="str">
        <f ca="1">IF(AND(B618&lt;&gt;"",F618&lt;&gt;"Cerrada",F618&lt;&gt;"Perdida",N618&lt;&gt;"",N618&gt;14),COUNTIFS($F$8:$F618,"&lt;&gt;Cerrada",$F$8:$F618,"&lt;&gt;Perdida",$N$8:$N618,"&gt;14"),"")</f>
        <v/>
      </c>
    </row>
    <row r="619" spans="2:16" ht="21.75" customHeight="1" x14ac:dyDescent="0.25">
      <c r="B619" s="40"/>
      <c r="C619" s="40"/>
      <c r="D619" s="40"/>
      <c r="E619" s="40"/>
      <c r="F619" s="39"/>
      <c r="G619" s="41"/>
      <c r="H619" s="40"/>
      <c r="I619" s="41"/>
      <c r="J619" s="42"/>
      <c r="K619" s="40"/>
      <c r="L619" s="40"/>
      <c r="M619" s="40" t="str">
        <f>IF(B619="","",IF(COUNTIFS(Cobranza!$C$9:$C$1008,B619,Cobranza!$N$9:$N$1008,"Vencida")&gt;0,"Vencida",IF(COUNTIFS(Cobranza!$C$9:$C$1008,B619,Cobranza!$N$9:$N$1008,"Parcial")&gt;0,"Parcial",IF(COUNTIFS(Cobranza!$C$9:$C$1008,B619,Cobranza!$N$9:$N$1008,"Pendiente")&gt;0,"Pendiente",IF(COUNTIFS(Cobranza!$C$9:$C$1008,B619,Cobranza!$N$9:$N$1008,"Pagada")&gt;0,"Pagada","")))))</f>
        <v/>
      </c>
      <c r="N619" s="33" t="str">
        <f t="shared" ca="1" si="9"/>
        <v/>
      </c>
      <c r="O619" s="25"/>
      <c r="P619" s="11" t="str">
        <f ca="1">IF(AND(B619&lt;&gt;"",F619&lt;&gt;"Cerrada",F619&lt;&gt;"Perdida",N619&lt;&gt;"",N619&gt;14),COUNTIFS($F$8:$F619,"&lt;&gt;Cerrada",$F$8:$F619,"&lt;&gt;Perdida",$N$8:$N619,"&gt;14"),"")</f>
        <v/>
      </c>
    </row>
    <row r="620" spans="2:16" ht="21.75" customHeight="1" x14ac:dyDescent="0.25">
      <c r="B620" s="40"/>
      <c r="C620" s="40"/>
      <c r="D620" s="40"/>
      <c r="E620" s="40"/>
      <c r="F620" s="39"/>
      <c r="G620" s="41"/>
      <c r="H620" s="40"/>
      <c r="I620" s="41"/>
      <c r="J620" s="42"/>
      <c r="K620" s="40"/>
      <c r="L620" s="40"/>
      <c r="M620" s="40" t="str">
        <f>IF(B620="","",IF(COUNTIFS(Cobranza!$C$9:$C$1008,B620,Cobranza!$N$9:$N$1008,"Vencida")&gt;0,"Vencida",IF(COUNTIFS(Cobranza!$C$9:$C$1008,B620,Cobranza!$N$9:$N$1008,"Parcial")&gt;0,"Parcial",IF(COUNTIFS(Cobranza!$C$9:$C$1008,B620,Cobranza!$N$9:$N$1008,"Pendiente")&gt;0,"Pendiente",IF(COUNTIFS(Cobranza!$C$9:$C$1008,B620,Cobranza!$N$9:$N$1008,"Pagada")&gt;0,"Pagada","")))))</f>
        <v/>
      </c>
      <c r="N620" s="33" t="str">
        <f t="shared" ca="1" si="9"/>
        <v/>
      </c>
      <c r="O620" s="25"/>
      <c r="P620" s="11" t="str">
        <f ca="1">IF(AND(B620&lt;&gt;"",F620&lt;&gt;"Cerrada",F620&lt;&gt;"Perdida",N620&lt;&gt;"",N620&gt;14),COUNTIFS($F$8:$F620,"&lt;&gt;Cerrada",$F$8:$F620,"&lt;&gt;Perdida",$N$8:$N620,"&gt;14"),"")</f>
        <v/>
      </c>
    </row>
    <row r="621" spans="2:16" ht="21.75" customHeight="1" x14ac:dyDescent="0.25">
      <c r="B621" s="40"/>
      <c r="C621" s="40"/>
      <c r="D621" s="40"/>
      <c r="E621" s="40"/>
      <c r="F621" s="39"/>
      <c r="G621" s="41"/>
      <c r="H621" s="40"/>
      <c r="I621" s="41"/>
      <c r="J621" s="42"/>
      <c r="K621" s="40"/>
      <c r="L621" s="40"/>
      <c r="M621" s="40" t="str">
        <f>IF(B621="","",IF(COUNTIFS(Cobranza!$C$9:$C$1008,B621,Cobranza!$N$9:$N$1008,"Vencida")&gt;0,"Vencida",IF(COUNTIFS(Cobranza!$C$9:$C$1008,B621,Cobranza!$N$9:$N$1008,"Parcial")&gt;0,"Parcial",IF(COUNTIFS(Cobranza!$C$9:$C$1008,B621,Cobranza!$N$9:$N$1008,"Pendiente")&gt;0,"Pendiente",IF(COUNTIFS(Cobranza!$C$9:$C$1008,B621,Cobranza!$N$9:$N$1008,"Pagada")&gt;0,"Pagada","")))))</f>
        <v/>
      </c>
      <c r="N621" s="33" t="str">
        <f t="shared" ca="1" si="9"/>
        <v/>
      </c>
      <c r="O621" s="25"/>
      <c r="P621" s="11" t="str">
        <f ca="1">IF(AND(B621&lt;&gt;"",F621&lt;&gt;"Cerrada",F621&lt;&gt;"Perdida",N621&lt;&gt;"",N621&gt;14),COUNTIFS($F$8:$F621,"&lt;&gt;Cerrada",$F$8:$F621,"&lt;&gt;Perdida",$N$8:$N621,"&gt;14"),"")</f>
        <v/>
      </c>
    </row>
    <row r="622" spans="2:16" ht="21.75" customHeight="1" x14ac:dyDescent="0.25">
      <c r="B622" s="40"/>
      <c r="C622" s="40"/>
      <c r="D622" s="40"/>
      <c r="E622" s="40"/>
      <c r="F622" s="39"/>
      <c r="G622" s="41"/>
      <c r="H622" s="40"/>
      <c r="I622" s="41"/>
      <c r="J622" s="42"/>
      <c r="K622" s="40"/>
      <c r="L622" s="40"/>
      <c r="M622" s="40" t="str">
        <f>IF(B622="","",IF(COUNTIFS(Cobranza!$C$9:$C$1008,B622,Cobranza!$N$9:$N$1008,"Vencida")&gt;0,"Vencida",IF(COUNTIFS(Cobranza!$C$9:$C$1008,B622,Cobranza!$N$9:$N$1008,"Parcial")&gt;0,"Parcial",IF(COUNTIFS(Cobranza!$C$9:$C$1008,B622,Cobranza!$N$9:$N$1008,"Pendiente")&gt;0,"Pendiente",IF(COUNTIFS(Cobranza!$C$9:$C$1008,B622,Cobranza!$N$9:$N$1008,"Pagada")&gt;0,"Pagada","")))))</f>
        <v/>
      </c>
      <c r="N622" s="33" t="str">
        <f t="shared" ca="1" si="9"/>
        <v/>
      </c>
      <c r="O622" s="25"/>
      <c r="P622" s="11" t="str">
        <f ca="1">IF(AND(B622&lt;&gt;"",F622&lt;&gt;"Cerrada",F622&lt;&gt;"Perdida",N622&lt;&gt;"",N622&gt;14),COUNTIFS($F$8:$F622,"&lt;&gt;Cerrada",$F$8:$F622,"&lt;&gt;Perdida",$N$8:$N622,"&gt;14"),"")</f>
        <v/>
      </c>
    </row>
    <row r="623" spans="2:16" ht="21.75" customHeight="1" x14ac:dyDescent="0.25">
      <c r="B623" s="40"/>
      <c r="C623" s="40"/>
      <c r="D623" s="40"/>
      <c r="E623" s="40"/>
      <c r="F623" s="39"/>
      <c r="G623" s="41"/>
      <c r="H623" s="40"/>
      <c r="I623" s="41"/>
      <c r="J623" s="42"/>
      <c r="K623" s="40"/>
      <c r="L623" s="40"/>
      <c r="M623" s="40" t="str">
        <f>IF(B623="","",IF(COUNTIFS(Cobranza!$C$9:$C$1008,B623,Cobranza!$N$9:$N$1008,"Vencida")&gt;0,"Vencida",IF(COUNTIFS(Cobranza!$C$9:$C$1008,B623,Cobranza!$N$9:$N$1008,"Parcial")&gt;0,"Parcial",IF(COUNTIFS(Cobranza!$C$9:$C$1008,B623,Cobranza!$N$9:$N$1008,"Pendiente")&gt;0,"Pendiente",IF(COUNTIFS(Cobranza!$C$9:$C$1008,B623,Cobranza!$N$9:$N$1008,"Pagada")&gt;0,"Pagada","")))))</f>
        <v/>
      </c>
      <c r="N623" s="33" t="str">
        <f t="shared" ca="1" si="9"/>
        <v/>
      </c>
      <c r="O623" s="25"/>
      <c r="P623" s="11" t="str">
        <f ca="1">IF(AND(B623&lt;&gt;"",F623&lt;&gt;"Cerrada",F623&lt;&gt;"Perdida",N623&lt;&gt;"",N623&gt;14),COUNTIFS($F$8:$F623,"&lt;&gt;Cerrada",$F$8:$F623,"&lt;&gt;Perdida",$N$8:$N623,"&gt;14"),"")</f>
        <v/>
      </c>
    </row>
    <row r="624" spans="2:16" ht="21.75" customHeight="1" x14ac:dyDescent="0.25">
      <c r="B624" s="40"/>
      <c r="C624" s="40"/>
      <c r="D624" s="40"/>
      <c r="E624" s="40"/>
      <c r="F624" s="39"/>
      <c r="G624" s="41"/>
      <c r="H624" s="40"/>
      <c r="I624" s="41"/>
      <c r="J624" s="42"/>
      <c r="K624" s="40"/>
      <c r="L624" s="40"/>
      <c r="M624" s="40" t="str">
        <f>IF(B624="","",IF(COUNTIFS(Cobranza!$C$9:$C$1008,B624,Cobranza!$N$9:$N$1008,"Vencida")&gt;0,"Vencida",IF(COUNTIFS(Cobranza!$C$9:$C$1008,B624,Cobranza!$N$9:$N$1008,"Parcial")&gt;0,"Parcial",IF(COUNTIFS(Cobranza!$C$9:$C$1008,B624,Cobranza!$N$9:$N$1008,"Pendiente")&gt;0,"Pendiente",IF(COUNTIFS(Cobranza!$C$9:$C$1008,B624,Cobranza!$N$9:$N$1008,"Pagada")&gt;0,"Pagada","")))))</f>
        <v/>
      </c>
      <c r="N624" s="33" t="str">
        <f t="shared" ca="1" si="9"/>
        <v/>
      </c>
      <c r="O624" s="25"/>
      <c r="P624" s="11" t="str">
        <f ca="1">IF(AND(B624&lt;&gt;"",F624&lt;&gt;"Cerrada",F624&lt;&gt;"Perdida",N624&lt;&gt;"",N624&gt;14),COUNTIFS($F$8:$F624,"&lt;&gt;Cerrada",$F$8:$F624,"&lt;&gt;Perdida",$N$8:$N624,"&gt;14"),"")</f>
        <v/>
      </c>
    </row>
    <row r="625" spans="2:16" ht="21.75" customHeight="1" x14ac:dyDescent="0.25">
      <c r="B625" s="40"/>
      <c r="C625" s="40"/>
      <c r="D625" s="40"/>
      <c r="E625" s="40"/>
      <c r="F625" s="39"/>
      <c r="G625" s="41"/>
      <c r="H625" s="40"/>
      <c r="I625" s="41"/>
      <c r="J625" s="42"/>
      <c r="K625" s="40"/>
      <c r="L625" s="40"/>
      <c r="M625" s="40" t="str">
        <f>IF(B625="","",IF(COUNTIFS(Cobranza!$C$9:$C$1008,B625,Cobranza!$N$9:$N$1008,"Vencida")&gt;0,"Vencida",IF(COUNTIFS(Cobranza!$C$9:$C$1008,B625,Cobranza!$N$9:$N$1008,"Parcial")&gt;0,"Parcial",IF(COUNTIFS(Cobranza!$C$9:$C$1008,B625,Cobranza!$N$9:$N$1008,"Pendiente")&gt;0,"Pendiente",IF(COUNTIFS(Cobranza!$C$9:$C$1008,B625,Cobranza!$N$9:$N$1008,"Pagada")&gt;0,"Pagada","")))))</f>
        <v/>
      </c>
      <c r="N625" s="33" t="str">
        <f t="shared" ca="1" si="9"/>
        <v/>
      </c>
      <c r="O625" s="25"/>
      <c r="P625" s="11" t="str">
        <f ca="1">IF(AND(B625&lt;&gt;"",F625&lt;&gt;"Cerrada",F625&lt;&gt;"Perdida",N625&lt;&gt;"",N625&gt;14),COUNTIFS($F$8:$F625,"&lt;&gt;Cerrada",$F$8:$F625,"&lt;&gt;Perdida",$N$8:$N625,"&gt;14"),"")</f>
        <v/>
      </c>
    </row>
    <row r="626" spans="2:16" ht="21.75" customHeight="1" x14ac:dyDescent="0.25">
      <c r="B626" s="40"/>
      <c r="C626" s="40"/>
      <c r="D626" s="40"/>
      <c r="E626" s="40"/>
      <c r="F626" s="39"/>
      <c r="G626" s="41"/>
      <c r="H626" s="40"/>
      <c r="I626" s="41"/>
      <c r="J626" s="42"/>
      <c r="K626" s="40"/>
      <c r="L626" s="40"/>
      <c r="M626" s="40" t="str">
        <f>IF(B626="","",IF(COUNTIFS(Cobranza!$C$9:$C$1008,B626,Cobranza!$N$9:$N$1008,"Vencida")&gt;0,"Vencida",IF(COUNTIFS(Cobranza!$C$9:$C$1008,B626,Cobranza!$N$9:$N$1008,"Parcial")&gt;0,"Parcial",IF(COUNTIFS(Cobranza!$C$9:$C$1008,B626,Cobranza!$N$9:$N$1008,"Pendiente")&gt;0,"Pendiente",IF(COUNTIFS(Cobranza!$C$9:$C$1008,B626,Cobranza!$N$9:$N$1008,"Pagada")&gt;0,"Pagada","")))))</f>
        <v/>
      </c>
      <c r="N626" s="33" t="str">
        <f t="shared" ca="1" si="9"/>
        <v/>
      </c>
      <c r="O626" s="25"/>
      <c r="P626" s="11" t="str">
        <f ca="1">IF(AND(B626&lt;&gt;"",F626&lt;&gt;"Cerrada",F626&lt;&gt;"Perdida",N626&lt;&gt;"",N626&gt;14),COUNTIFS($F$8:$F626,"&lt;&gt;Cerrada",$F$8:$F626,"&lt;&gt;Perdida",$N$8:$N626,"&gt;14"),"")</f>
        <v/>
      </c>
    </row>
    <row r="627" spans="2:16" ht="21.75" customHeight="1" x14ac:dyDescent="0.25">
      <c r="B627" s="40"/>
      <c r="C627" s="40"/>
      <c r="D627" s="40"/>
      <c r="E627" s="40"/>
      <c r="F627" s="39"/>
      <c r="G627" s="41"/>
      <c r="H627" s="40"/>
      <c r="I627" s="41"/>
      <c r="J627" s="42"/>
      <c r="K627" s="40"/>
      <c r="L627" s="40"/>
      <c r="M627" s="40" t="str">
        <f>IF(B627="","",IF(COUNTIFS(Cobranza!$C$9:$C$1008,B627,Cobranza!$N$9:$N$1008,"Vencida")&gt;0,"Vencida",IF(COUNTIFS(Cobranza!$C$9:$C$1008,B627,Cobranza!$N$9:$N$1008,"Parcial")&gt;0,"Parcial",IF(COUNTIFS(Cobranza!$C$9:$C$1008,B627,Cobranza!$N$9:$N$1008,"Pendiente")&gt;0,"Pendiente",IF(COUNTIFS(Cobranza!$C$9:$C$1008,B627,Cobranza!$N$9:$N$1008,"Pagada")&gt;0,"Pagada","")))))</f>
        <v/>
      </c>
      <c r="N627" s="33" t="str">
        <f t="shared" ca="1" si="9"/>
        <v/>
      </c>
      <c r="O627" s="25"/>
      <c r="P627" s="11" t="str">
        <f ca="1">IF(AND(B627&lt;&gt;"",F627&lt;&gt;"Cerrada",F627&lt;&gt;"Perdida",N627&lt;&gt;"",N627&gt;14),COUNTIFS($F$8:$F627,"&lt;&gt;Cerrada",$F$8:$F627,"&lt;&gt;Perdida",$N$8:$N627,"&gt;14"),"")</f>
        <v/>
      </c>
    </row>
    <row r="628" spans="2:16" ht="21.75" customHeight="1" x14ac:dyDescent="0.25">
      <c r="B628" s="40"/>
      <c r="C628" s="40"/>
      <c r="D628" s="40"/>
      <c r="E628" s="40"/>
      <c r="F628" s="39"/>
      <c r="G628" s="41"/>
      <c r="H628" s="40"/>
      <c r="I628" s="41"/>
      <c r="J628" s="42"/>
      <c r="K628" s="40"/>
      <c r="L628" s="40"/>
      <c r="M628" s="40" t="str">
        <f>IF(B628="","",IF(COUNTIFS(Cobranza!$C$9:$C$1008,B628,Cobranza!$N$9:$N$1008,"Vencida")&gt;0,"Vencida",IF(COUNTIFS(Cobranza!$C$9:$C$1008,B628,Cobranza!$N$9:$N$1008,"Parcial")&gt;0,"Parcial",IF(COUNTIFS(Cobranza!$C$9:$C$1008,B628,Cobranza!$N$9:$N$1008,"Pendiente")&gt;0,"Pendiente",IF(COUNTIFS(Cobranza!$C$9:$C$1008,B628,Cobranza!$N$9:$N$1008,"Pagada")&gt;0,"Pagada","")))))</f>
        <v/>
      </c>
      <c r="N628" s="33" t="str">
        <f t="shared" ca="1" si="9"/>
        <v/>
      </c>
      <c r="O628" s="25"/>
      <c r="P628" s="11" t="str">
        <f ca="1">IF(AND(B628&lt;&gt;"",F628&lt;&gt;"Cerrada",F628&lt;&gt;"Perdida",N628&lt;&gt;"",N628&gt;14),COUNTIFS($F$8:$F628,"&lt;&gt;Cerrada",$F$8:$F628,"&lt;&gt;Perdida",$N$8:$N628,"&gt;14"),"")</f>
        <v/>
      </c>
    </row>
    <row r="629" spans="2:16" ht="21.75" customHeight="1" x14ac:dyDescent="0.25">
      <c r="B629" s="40"/>
      <c r="C629" s="40"/>
      <c r="D629" s="40"/>
      <c r="E629" s="40"/>
      <c r="F629" s="39"/>
      <c r="G629" s="41"/>
      <c r="H629" s="40"/>
      <c r="I629" s="41"/>
      <c r="J629" s="42"/>
      <c r="K629" s="40"/>
      <c r="L629" s="40"/>
      <c r="M629" s="40" t="str">
        <f>IF(B629="","",IF(COUNTIFS(Cobranza!$C$9:$C$1008,B629,Cobranza!$N$9:$N$1008,"Vencida")&gt;0,"Vencida",IF(COUNTIFS(Cobranza!$C$9:$C$1008,B629,Cobranza!$N$9:$N$1008,"Parcial")&gt;0,"Parcial",IF(COUNTIFS(Cobranza!$C$9:$C$1008,B629,Cobranza!$N$9:$N$1008,"Pendiente")&gt;0,"Pendiente",IF(COUNTIFS(Cobranza!$C$9:$C$1008,B629,Cobranza!$N$9:$N$1008,"Pagada")&gt;0,"Pagada","")))))</f>
        <v/>
      </c>
      <c r="N629" s="33" t="str">
        <f t="shared" ca="1" si="9"/>
        <v/>
      </c>
      <c r="O629" s="25"/>
      <c r="P629" s="11" t="str">
        <f ca="1">IF(AND(B629&lt;&gt;"",F629&lt;&gt;"Cerrada",F629&lt;&gt;"Perdida",N629&lt;&gt;"",N629&gt;14),COUNTIFS($F$8:$F629,"&lt;&gt;Cerrada",$F$8:$F629,"&lt;&gt;Perdida",$N$8:$N629,"&gt;14"),"")</f>
        <v/>
      </c>
    </row>
    <row r="630" spans="2:16" ht="21.75" customHeight="1" x14ac:dyDescent="0.25">
      <c r="B630" s="40"/>
      <c r="C630" s="40"/>
      <c r="D630" s="40"/>
      <c r="E630" s="40"/>
      <c r="F630" s="39"/>
      <c r="G630" s="41"/>
      <c r="H630" s="40"/>
      <c r="I630" s="41"/>
      <c r="J630" s="42"/>
      <c r="K630" s="40"/>
      <c r="L630" s="40"/>
      <c r="M630" s="40" t="str">
        <f>IF(B630="","",IF(COUNTIFS(Cobranza!$C$9:$C$1008,B630,Cobranza!$N$9:$N$1008,"Vencida")&gt;0,"Vencida",IF(COUNTIFS(Cobranza!$C$9:$C$1008,B630,Cobranza!$N$9:$N$1008,"Parcial")&gt;0,"Parcial",IF(COUNTIFS(Cobranza!$C$9:$C$1008,B630,Cobranza!$N$9:$N$1008,"Pendiente")&gt;0,"Pendiente",IF(COUNTIFS(Cobranza!$C$9:$C$1008,B630,Cobranza!$N$9:$N$1008,"Pagada")&gt;0,"Pagada","")))))</f>
        <v/>
      </c>
      <c r="N630" s="33" t="str">
        <f t="shared" ca="1" si="9"/>
        <v/>
      </c>
      <c r="O630" s="25"/>
      <c r="P630" s="11" t="str">
        <f ca="1">IF(AND(B630&lt;&gt;"",F630&lt;&gt;"Cerrada",F630&lt;&gt;"Perdida",N630&lt;&gt;"",N630&gt;14),COUNTIFS($F$8:$F630,"&lt;&gt;Cerrada",$F$8:$F630,"&lt;&gt;Perdida",$N$8:$N630,"&gt;14"),"")</f>
        <v/>
      </c>
    </row>
    <row r="631" spans="2:16" ht="21.75" customHeight="1" x14ac:dyDescent="0.25">
      <c r="B631" s="40"/>
      <c r="C631" s="40"/>
      <c r="D631" s="40"/>
      <c r="E631" s="40"/>
      <c r="F631" s="39"/>
      <c r="G631" s="41"/>
      <c r="H631" s="40"/>
      <c r="I631" s="41"/>
      <c r="J631" s="42"/>
      <c r="K631" s="40"/>
      <c r="L631" s="40"/>
      <c r="M631" s="40" t="str">
        <f>IF(B631="","",IF(COUNTIFS(Cobranza!$C$9:$C$1008,B631,Cobranza!$N$9:$N$1008,"Vencida")&gt;0,"Vencida",IF(COUNTIFS(Cobranza!$C$9:$C$1008,B631,Cobranza!$N$9:$N$1008,"Parcial")&gt;0,"Parcial",IF(COUNTIFS(Cobranza!$C$9:$C$1008,B631,Cobranza!$N$9:$N$1008,"Pendiente")&gt;0,"Pendiente",IF(COUNTIFS(Cobranza!$C$9:$C$1008,B631,Cobranza!$N$9:$N$1008,"Pagada")&gt;0,"Pagada","")))))</f>
        <v/>
      </c>
      <c r="N631" s="33" t="str">
        <f t="shared" ca="1" si="9"/>
        <v/>
      </c>
      <c r="O631" s="25"/>
      <c r="P631" s="11" t="str">
        <f ca="1">IF(AND(B631&lt;&gt;"",F631&lt;&gt;"Cerrada",F631&lt;&gt;"Perdida",N631&lt;&gt;"",N631&gt;14),COUNTIFS($F$8:$F631,"&lt;&gt;Cerrada",$F$8:$F631,"&lt;&gt;Perdida",$N$8:$N631,"&gt;14"),"")</f>
        <v/>
      </c>
    </row>
    <row r="632" spans="2:16" ht="21.75" customHeight="1" x14ac:dyDescent="0.25">
      <c r="B632" s="40"/>
      <c r="C632" s="40"/>
      <c r="D632" s="40"/>
      <c r="E632" s="40"/>
      <c r="F632" s="39"/>
      <c r="G632" s="41"/>
      <c r="H632" s="40"/>
      <c r="I632" s="41"/>
      <c r="J632" s="42"/>
      <c r="K632" s="40"/>
      <c r="L632" s="40"/>
      <c r="M632" s="40" t="str">
        <f>IF(B632="","",IF(COUNTIFS(Cobranza!$C$9:$C$1008,B632,Cobranza!$N$9:$N$1008,"Vencida")&gt;0,"Vencida",IF(COUNTIFS(Cobranza!$C$9:$C$1008,B632,Cobranza!$N$9:$N$1008,"Parcial")&gt;0,"Parcial",IF(COUNTIFS(Cobranza!$C$9:$C$1008,B632,Cobranza!$N$9:$N$1008,"Pendiente")&gt;0,"Pendiente",IF(COUNTIFS(Cobranza!$C$9:$C$1008,B632,Cobranza!$N$9:$N$1008,"Pagada")&gt;0,"Pagada","")))))</f>
        <v/>
      </c>
      <c r="N632" s="33" t="str">
        <f t="shared" ca="1" si="9"/>
        <v/>
      </c>
      <c r="O632" s="25"/>
      <c r="P632" s="11" t="str">
        <f ca="1">IF(AND(B632&lt;&gt;"",F632&lt;&gt;"Cerrada",F632&lt;&gt;"Perdida",N632&lt;&gt;"",N632&gt;14),COUNTIFS($F$8:$F632,"&lt;&gt;Cerrada",$F$8:$F632,"&lt;&gt;Perdida",$N$8:$N632,"&gt;14"),"")</f>
        <v/>
      </c>
    </row>
    <row r="633" spans="2:16" ht="21.75" customHeight="1" x14ac:dyDescent="0.25">
      <c r="B633" s="40"/>
      <c r="C633" s="40"/>
      <c r="D633" s="40"/>
      <c r="E633" s="40"/>
      <c r="F633" s="39"/>
      <c r="G633" s="41"/>
      <c r="H633" s="40"/>
      <c r="I633" s="41"/>
      <c r="J633" s="42"/>
      <c r="K633" s="40"/>
      <c r="L633" s="40"/>
      <c r="M633" s="40" t="str">
        <f>IF(B633="","",IF(COUNTIFS(Cobranza!$C$9:$C$1008,B633,Cobranza!$N$9:$N$1008,"Vencida")&gt;0,"Vencida",IF(COUNTIFS(Cobranza!$C$9:$C$1008,B633,Cobranza!$N$9:$N$1008,"Parcial")&gt;0,"Parcial",IF(COUNTIFS(Cobranza!$C$9:$C$1008,B633,Cobranza!$N$9:$N$1008,"Pendiente")&gt;0,"Pendiente",IF(COUNTIFS(Cobranza!$C$9:$C$1008,B633,Cobranza!$N$9:$N$1008,"Pagada")&gt;0,"Pagada","")))))</f>
        <v/>
      </c>
      <c r="N633" s="33" t="str">
        <f t="shared" ca="1" si="9"/>
        <v/>
      </c>
      <c r="O633" s="25"/>
      <c r="P633" s="11" t="str">
        <f ca="1">IF(AND(B633&lt;&gt;"",F633&lt;&gt;"Cerrada",F633&lt;&gt;"Perdida",N633&lt;&gt;"",N633&gt;14),COUNTIFS($F$8:$F633,"&lt;&gt;Cerrada",$F$8:$F633,"&lt;&gt;Perdida",$N$8:$N633,"&gt;14"),"")</f>
        <v/>
      </c>
    </row>
    <row r="634" spans="2:16" ht="21.75" customHeight="1" x14ac:dyDescent="0.25">
      <c r="B634" s="40"/>
      <c r="C634" s="40"/>
      <c r="D634" s="40"/>
      <c r="E634" s="40"/>
      <c r="F634" s="39"/>
      <c r="G634" s="41"/>
      <c r="H634" s="40"/>
      <c r="I634" s="41"/>
      <c r="J634" s="42"/>
      <c r="K634" s="40"/>
      <c r="L634" s="40"/>
      <c r="M634" s="40" t="str">
        <f>IF(B634="","",IF(COUNTIFS(Cobranza!$C$9:$C$1008,B634,Cobranza!$N$9:$N$1008,"Vencida")&gt;0,"Vencida",IF(COUNTIFS(Cobranza!$C$9:$C$1008,B634,Cobranza!$N$9:$N$1008,"Parcial")&gt;0,"Parcial",IF(COUNTIFS(Cobranza!$C$9:$C$1008,B634,Cobranza!$N$9:$N$1008,"Pendiente")&gt;0,"Pendiente",IF(COUNTIFS(Cobranza!$C$9:$C$1008,B634,Cobranza!$N$9:$N$1008,"Pagada")&gt;0,"Pagada","")))))</f>
        <v/>
      </c>
      <c r="N634" s="33" t="str">
        <f t="shared" ca="1" si="9"/>
        <v/>
      </c>
      <c r="O634" s="25"/>
      <c r="P634" s="11" t="str">
        <f ca="1">IF(AND(B634&lt;&gt;"",F634&lt;&gt;"Cerrada",F634&lt;&gt;"Perdida",N634&lt;&gt;"",N634&gt;14),COUNTIFS($F$8:$F634,"&lt;&gt;Cerrada",$F$8:$F634,"&lt;&gt;Perdida",$N$8:$N634,"&gt;14"),"")</f>
        <v/>
      </c>
    </row>
    <row r="635" spans="2:16" ht="21.75" customHeight="1" x14ac:dyDescent="0.25">
      <c r="B635" s="40"/>
      <c r="C635" s="40"/>
      <c r="D635" s="40"/>
      <c r="E635" s="40"/>
      <c r="F635" s="39"/>
      <c r="G635" s="41"/>
      <c r="H635" s="40"/>
      <c r="I635" s="41"/>
      <c r="J635" s="42"/>
      <c r="K635" s="40"/>
      <c r="L635" s="40"/>
      <c r="M635" s="40" t="str">
        <f>IF(B635="","",IF(COUNTIFS(Cobranza!$C$9:$C$1008,B635,Cobranza!$N$9:$N$1008,"Vencida")&gt;0,"Vencida",IF(COUNTIFS(Cobranza!$C$9:$C$1008,B635,Cobranza!$N$9:$N$1008,"Parcial")&gt;0,"Parcial",IF(COUNTIFS(Cobranza!$C$9:$C$1008,B635,Cobranza!$N$9:$N$1008,"Pendiente")&gt;0,"Pendiente",IF(COUNTIFS(Cobranza!$C$9:$C$1008,B635,Cobranza!$N$9:$N$1008,"Pagada")&gt;0,"Pagada","")))))</f>
        <v/>
      </c>
      <c r="N635" s="33" t="str">
        <f t="shared" ca="1" si="9"/>
        <v/>
      </c>
      <c r="O635" s="25"/>
      <c r="P635" s="11" t="str">
        <f ca="1">IF(AND(B635&lt;&gt;"",F635&lt;&gt;"Cerrada",F635&lt;&gt;"Perdida",N635&lt;&gt;"",N635&gt;14),COUNTIFS($F$8:$F635,"&lt;&gt;Cerrada",$F$8:$F635,"&lt;&gt;Perdida",$N$8:$N635,"&gt;14"),"")</f>
        <v/>
      </c>
    </row>
    <row r="636" spans="2:16" ht="21.75" customHeight="1" x14ac:dyDescent="0.25">
      <c r="B636" s="40"/>
      <c r="C636" s="40"/>
      <c r="D636" s="40"/>
      <c r="E636" s="40"/>
      <c r="F636" s="39"/>
      <c r="G636" s="41"/>
      <c r="H636" s="40"/>
      <c r="I636" s="41"/>
      <c r="J636" s="42"/>
      <c r="K636" s="40"/>
      <c r="L636" s="40"/>
      <c r="M636" s="40" t="str">
        <f>IF(B636="","",IF(COUNTIFS(Cobranza!$C$9:$C$1008,B636,Cobranza!$N$9:$N$1008,"Vencida")&gt;0,"Vencida",IF(COUNTIFS(Cobranza!$C$9:$C$1008,B636,Cobranza!$N$9:$N$1008,"Parcial")&gt;0,"Parcial",IF(COUNTIFS(Cobranza!$C$9:$C$1008,B636,Cobranza!$N$9:$N$1008,"Pendiente")&gt;0,"Pendiente",IF(COUNTIFS(Cobranza!$C$9:$C$1008,B636,Cobranza!$N$9:$N$1008,"Pagada")&gt;0,"Pagada","")))))</f>
        <v/>
      </c>
      <c r="N636" s="33" t="str">
        <f t="shared" ca="1" si="9"/>
        <v/>
      </c>
      <c r="O636" s="25"/>
      <c r="P636" s="11" t="str">
        <f ca="1">IF(AND(B636&lt;&gt;"",F636&lt;&gt;"Cerrada",F636&lt;&gt;"Perdida",N636&lt;&gt;"",N636&gt;14),COUNTIFS($F$8:$F636,"&lt;&gt;Cerrada",$F$8:$F636,"&lt;&gt;Perdida",$N$8:$N636,"&gt;14"),"")</f>
        <v/>
      </c>
    </row>
    <row r="637" spans="2:16" ht="21.75" customHeight="1" x14ac:dyDescent="0.25">
      <c r="B637" s="40"/>
      <c r="C637" s="40"/>
      <c r="D637" s="40"/>
      <c r="E637" s="40"/>
      <c r="F637" s="39"/>
      <c r="G637" s="41"/>
      <c r="H637" s="40"/>
      <c r="I637" s="41"/>
      <c r="J637" s="42"/>
      <c r="K637" s="40"/>
      <c r="L637" s="40"/>
      <c r="M637" s="40" t="str">
        <f>IF(B637="","",IF(COUNTIFS(Cobranza!$C$9:$C$1008,B637,Cobranza!$N$9:$N$1008,"Vencida")&gt;0,"Vencida",IF(COUNTIFS(Cobranza!$C$9:$C$1008,B637,Cobranza!$N$9:$N$1008,"Parcial")&gt;0,"Parcial",IF(COUNTIFS(Cobranza!$C$9:$C$1008,B637,Cobranza!$N$9:$N$1008,"Pendiente")&gt;0,"Pendiente",IF(COUNTIFS(Cobranza!$C$9:$C$1008,B637,Cobranza!$N$9:$N$1008,"Pagada")&gt;0,"Pagada","")))))</f>
        <v/>
      </c>
      <c r="N637" s="33" t="str">
        <f t="shared" ca="1" si="9"/>
        <v/>
      </c>
      <c r="O637" s="25"/>
      <c r="P637" s="11" t="str">
        <f ca="1">IF(AND(B637&lt;&gt;"",F637&lt;&gt;"Cerrada",F637&lt;&gt;"Perdida",N637&lt;&gt;"",N637&gt;14),COUNTIFS($F$8:$F637,"&lt;&gt;Cerrada",$F$8:$F637,"&lt;&gt;Perdida",$N$8:$N637,"&gt;14"),"")</f>
        <v/>
      </c>
    </row>
    <row r="638" spans="2:16" ht="21.75" customHeight="1" x14ac:dyDescent="0.25">
      <c r="B638" s="40"/>
      <c r="C638" s="40"/>
      <c r="D638" s="40"/>
      <c r="E638" s="40"/>
      <c r="F638" s="39"/>
      <c r="G638" s="41"/>
      <c r="H638" s="40"/>
      <c r="I638" s="41"/>
      <c r="J638" s="42"/>
      <c r="K638" s="40"/>
      <c r="L638" s="40"/>
      <c r="M638" s="40" t="str">
        <f>IF(B638="","",IF(COUNTIFS(Cobranza!$C$9:$C$1008,B638,Cobranza!$N$9:$N$1008,"Vencida")&gt;0,"Vencida",IF(COUNTIFS(Cobranza!$C$9:$C$1008,B638,Cobranza!$N$9:$N$1008,"Parcial")&gt;0,"Parcial",IF(COUNTIFS(Cobranza!$C$9:$C$1008,B638,Cobranza!$N$9:$N$1008,"Pendiente")&gt;0,"Pendiente",IF(COUNTIFS(Cobranza!$C$9:$C$1008,B638,Cobranza!$N$9:$N$1008,"Pagada")&gt;0,"Pagada","")))))</f>
        <v/>
      </c>
      <c r="N638" s="33" t="str">
        <f t="shared" ca="1" si="9"/>
        <v/>
      </c>
      <c r="O638" s="25"/>
      <c r="P638" s="11" t="str">
        <f ca="1">IF(AND(B638&lt;&gt;"",F638&lt;&gt;"Cerrada",F638&lt;&gt;"Perdida",N638&lt;&gt;"",N638&gt;14),COUNTIFS($F$8:$F638,"&lt;&gt;Cerrada",$F$8:$F638,"&lt;&gt;Perdida",$N$8:$N638,"&gt;14"),"")</f>
        <v/>
      </c>
    </row>
    <row r="639" spans="2:16" ht="21.75" customHeight="1" x14ac:dyDescent="0.25">
      <c r="B639" s="40"/>
      <c r="C639" s="40"/>
      <c r="D639" s="40"/>
      <c r="E639" s="40"/>
      <c r="F639" s="39"/>
      <c r="G639" s="41"/>
      <c r="H639" s="40"/>
      <c r="I639" s="41"/>
      <c r="J639" s="42"/>
      <c r="K639" s="40"/>
      <c r="L639" s="40"/>
      <c r="M639" s="40" t="str">
        <f>IF(B639="","",IF(COUNTIFS(Cobranza!$C$9:$C$1008,B639,Cobranza!$N$9:$N$1008,"Vencida")&gt;0,"Vencida",IF(COUNTIFS(Cobranza!$C$9:$C$1008,B639,Cobranza!$N$9:$N$1008,"Parcial")&gt;0,"Parcial",IF(COUNTIFS(Cobranza!$C$9:$C$1008,B639,Cobranza!$N$9:$N$1008,"Pendiente")&gt;0,"Pendiente",IF(COUNTIFS(Cobranza!$C$9:$C$1008,B639,Cobranza!$N$9:$N$1008,"Pagada")&gt;0,"Pagada","")))))</f>
        <v/>
      </c>
      <c r="N639" s="33" t="str">
        <f t="shared" ca="1" si="9"/>
        <v/>
      </c>
      <c r="O639" s="25"/>
      <c r="P639" s="11" t="str">
        <f ca="1">IF(AND(B639&lt;&gt;"",F639&lt;&gt;"Cerrada",F639&lt;&gt;"Perdida",N639&lt;&gt;"",N639&gt;14),COUNTIFS($F$8:$F639,"&lt;&gt;Cerrada",$F$8:$F639,"&lt;&gt;Perdida",$N$8:$N639,"&gt;14"),"")</f>
        <v/>
      </c>
    </row>
    <row r="640" spans="2:16" ht="21.75" customHeight="1" x14ac:dyDescent="0.25">
      <c r="B640" s="40"/>
      <c r="C640" s="40"/>
      <c r="D640" s="40"/>
      <c r="E640" s="40"/>
      <c r="F640" s="39"/>
      <c r="G640" s="41"/>
      <c r="H640" s="40"/>
      <c r="I640" s="41"/>
      <c r="J640" s="42"/>
      <c r="K640" s="40"/>
      <c r="L640" s="40"/>
      <c r="M640" s="40" t="str">
        <f>IF(B640="","",IF(COUNTIFS(Cobranza!$C$9:$C$1008,B640,Cobranza!$N$9:$N$1008,"Vencida")&gt;0,"Vencida",IF(COUNTIFS(Cobranza!$C$9:$C$1008,B640,Cobranza!$N$9:$N$1008,"Parcial")&gt;0,"Parcial",IF(COUNTIFS(Cobranza!$C$9:$C$1008,B640,Cobranza!$N$9:$N$1008,"Pendiente")&gt;0,"Pendiente",IF(COUNTIFS(Cobranza!$C$9:$C$1008,B640,Cobranza!$N$9:$N$1008,"Pagada")&gt;0,"Pagada","")))))</f>
        <v/>
      </c>
      <c r="N640" s="33" t="str">
        <f t="shared" ca="1" si="9"/>
        <v/>
      </c>
      <c r="O640" s="25"/>
      <c r="P640" s="11" t="str">
        <f ca="1">IF(AND(B640&lt;&gt;"",F640&lt;&gt;"Cerrada",F640&lt;&gt;"Perdida",N640&lt;&gt;"",N640&gt;14),COUNTIFS($F$8:$F640,"&lt;&gt;Cerrada",$F$8:$F640,"&lt;&gt;Perdida",$N$8:$N640,"&gt;14"),"")</f>
        <v/>
      </c>
    </row>
    <row r="641" spans="2:16" ht="21.75" customHeight="1" x14ac:dyDescent="0.25">
      <c r="B641" s="40"/>
      <c r="C641" s="40"/>
      <c r="D641" s="40"/>
      <c r="E641" s="40"/>
      <c r="F641" s="39"/>
      <c r="G641" s="41"/>
      <c r="H641" s="40"/>
      <c r="I641" s="41"/>
      <c r="J641" s="42"/>
      <c r="K641" s="40"/>
      <c r="L641" s="40"/>
      <c r="M641" s="40" t="str">
        <f>IF(B641="","",IF(COUNTIFS(Cobranza!$C$9:$C$1008,B641,Cobranza!$N$9:$N$1008,"Vencida")&gt;0,"Vencida",IF(COUNTIFS(Cobranza!$C$9:$C$1008,B641,Cobranza!$N$9:$N$1008,"Parcial")&gt;0,"Parcial",IF(COUNTIFS(Cobranza!$C$9:$C$1008,B641,Cobranza!$N$9:$N$1008,"Pendiente")&gt;0,"Pendiente",IF(COUNTIFS(Cobranza!$C$9:$C$1008,B641,Cobranza!$N$9:$N$1008,"Pagada")&gt;0,"Pagada","")))))</f>
        <v/>
      </c>
      <c r="N641" s="33" t="str">
        <f t="shared" ca="1" si="9"/>
        <v/>
      </c>
      <c r="O641" s="25"/>
      <c r="P641" s="11" t="str">
        <f ca="1">IF(AND(B641&lt;&gt;"",F641&lt;&gt;"Cerrada",F641&lt;&gt;"Perdida",N641&lt;&gt;"",N641&gt;14),COUNTIFS($F$8:$F641,"&lt;&gt;Cerrada",$F$8:$F641,"&lt;&gt;Perdida",$N$8:$N641,"&gt;14"),"")</f>
        <v/>
      </c>
    </row>
    <row r="642" spans="2:16" ht="21.75" customHeight="1" x14ac:dyDescent="0.25">
      <c r="B642" s="40"/>
      <c r="C642" s="40"/>
      <c r="D642" s="40"/>
      <c r="E642" s="40"/>
      <c r="F642" s="39"/>
      <c r="G642" s="41"/>
      <c r="H642" s="40"/>
      <c r="I642" s="41"/>
      <c r="J642" s="42"/>
      <c r="K642" s="40"/>
      <c r="L642" s="40"/>
      <c r="M642" s="40" t="str">
        <f>IF(B642="","",IF(COUNTIFS(Cobranza!$C$9:$C$1008,B642,Cobranza!$N$9:$N$1008,"Vencida")&gt;0,"Vencida",IF(COUNTIFS(Cobranza!$C$9:$C$1008,B642,Cobranza!$N$9:$N$1008,"Parcial")&gt;0,"Parcial",IF(COUNTIFS(Cobranza!$C$9:$C$1008,B642,Cobranza!$N$9:$N$1008,"Pendiente")&gt;0,"Pendiente",IF(COUNTIFS(Cobranza!$C$9:$C$1008,B642,Cobranza!$N$9:$N$1008,"Pagada")&gt;0,"Pagada","")))))</f>
        <v/>
      </c>
      <c r="N642" s="33" t="str">
        <f t="shared" ca="1" si="9"/>
        <v/>
      </c>
      <c r="O642" s="25"/>
      <c r="P642" s="11" t="str">
        <f ca="1">IF(AND(B642&lt;&gt;"",F642&lt;&gt;"Cerrada",F642&lt;&gt;"Perdida",N642&lt;&gt;"",N642&gt;14),COUNTIFS($F$8:$F642,"&lt;&gt;Cerrada",$F$8:$F642,"&lt;&gt;Perdida",$N$8:$N642,"&gt;14"),"")</f>
        <v/>
      </c>
    </row>
    <row r="643" spans="2:16" ht="21.75" customHeight="1" x14ac:dyDescent="0.25">
      <c r="B643" s="40"/>
      <c r="C643" s="40"/>
      <c r="D643" s="40"/>
      <c r="E643" s="40"/>
      <c r="F643" s="39"/>
      <c r="G643" s="41"/>
      <c r="H643" s="40"/>
      <c r="I643" s="41"/>
      <c r="J643" s="42"/>
      <c r="K643" s="40"/>
      <c r="L643" s="40"/>
      <c r="M643" s="40" t="str">
        <f>IF(B643="","",IF(COUNTIFS(Cobranza!$C$9:$C$1008,B643,Cobranza!$N$9:$N$1008,"Vencida")&gt;0,"Vencida",IF(COUNTIFS(Cobranza!$C$9:$C$1008,B643,Cobranza!$N$9:$N$1008,"Parcial")&gt;0,"Parcial",IF(COUNTIFS(Cobranza!$C$9:$C$1008,B643,Cobranza!$N$9:$N$1008,"Pendiente")&gt;0,"Pendiente",IF(COUNTIFS(Cobranza!$C$9:$C$1008,B643,Cobranza!$N$9:$N$1008,"Pagada")&gt;0,"Pagada","")))))</f>
        <v/>
      </c>
      <c r="N643" s="33" t="str">
        <f t="shared" ca="1" si="9"/>
        <v/>
      </c>
      <c r="O643" s="25"/>
      <c r="P643" s="11" t="str">
        <f ca="1">IF(AND(B643&lt;&gt;"",F643&lt;&gt;"Cerrada",F643&lt;&gt;"Perdida",N643&lt;&gt;"",N643&gt;14),COUNTIFS($F$8:$F643,"&lt;&gt;Cerrada",$F$8:$F643,"&lt;&gt;Perdida",$N$8:$N643,"&gt;14"),"")</f>
        <v/>
      </c>
    </row>
    <row r="644" spans="2:16" ht="21.75" customHeight="1" x14ac:dyDescent="0.25">
      <c r="B644" s="40"/>
      <c r="C644" s="40"/>
      <c r="D644" s="40"/>
      <c r="E644" s="40"/>
      <c r="F644" s="39"/>
      <c r="G644" s="41"/>
      <c r="H644" s="40"/>
      <c r="I644" s="41"/>
      <c r="J644" s="42"/>
      <c r="K644" s="40"/>
      <c r="L644" s="40"/>
      <c r="M644" s="40" t="str">
        <f>IF(B644="","",IF(COUNTIFS(Cobranza!$C$9:$C$1008,B644,Cobranza!$N$9:$N$1008,"Vencida")&gt;0,"Vencida",IF(COUNTIFS(Cobranza!$C$9:$C$1008,B644,Cobranza!$N$9:$N$1008,"Parcial")&gt;0,"Parcial",IF(COUNTIFS(Cobranza!$C$9:$C$1008,B644,Cobranza!$N$9:$N$1008,"Pendiente")&gt;0,"Pendiente",IF(COUNTIFS(Cobranza!$C$9:$C$1008,B644,Cobranza!$N$9:$N$1008,"Pagada")&gt;0,"Pagada","")))))</f>
        <v/>
      </c>
      <c r="N644" s="33" t="str">
        <f t="shared" ca="1" si="9"/>
        <v/>
      </c>
      <c r="O644" s="25"/>
      <c r="P644" s="11" t="str">
        <f ca="1">IF(AND(B644&lt;&gt;"",F644&lt;&gt;"Cerrada",F644&lt;&gt;"Perdida",N644&lt;&gt;"",N644&gt;14),COUNTIFS($F$8:$F644,"&lt;&gt;Cerrada",$F$8:$F644,"&lt;&gt;Perdida",$N$8:$N644,"&gt;14"),"")</f>
        <v/>
      </c>
    </row>
    <row r="645" spans="2:16" ht="21.75" customHeight="1" x14ac:dyDescent="0.25">
      <c r="B645" s="40"/>
      <c r="C645" s="40"/>
      <c r="D645" s="40"/>
      <c r="E645" s="40"/>
      <c r="F645" s="39"/>
      <c r="G645" s="41"/>
      <c r="H645" s="40"/>
      <c r="I645" s="41"/>
      <c r="J645" s="42"/>
      <c r="K645" s="40"/>
      <c r="L645" s="40"/>
      <c r="M645" s="40" t="str">
        <f>IF(B645="","",IF(COUNTIFS(Cobranza!$C$9:$C$1008,B645,Cobranza!$N$9:$N$1008,"Vencida")&gt;0,"Vencida",IF(COUNTIFS(Cobranza!$C$9:$C$1008,B645,Cobranza!$N$9:$N$1008,"Parcial")&gt;0,"Parcial",IF(COUNTIFS(Cobranza!$C$9:$C$1008,B645,Cobranza!$N$9:$N$1008,"Pendiente")&gt;0,"Pendiente",IF(COUNTIFS(Cobranza!$C$9:$C$1008,B645,Cobranza!$N$9:$N$1008,"Pagada")&gt;0,"Pagada","")))))</f>
        <v/>
      </c>
      <c r="N645" s="33" t="str">
        <f t="shared" ca="1" si="9"/>
        <v/>
      </c>
      <c r="O645" s="25"/>
      <c r="P645" s="11" t="str">
        <f ca="1">IF(AND(B645&lt;&gt;"",F645&lt;&gt;"Cerrada",F645&lt;&gt;"Perdida",N645&lt;&gt;"",N645&gt;14),COUNTIFS($F$8:$F645,"&lt;&gt;Cerrada",$F$8:$F645,"&lt;&gt;Perdida",$N$8:$N645,"&gt;14"),"")</f>
        <v/>
      </c>
    </row>
    <row r="646" spans="2:16" ht="21.75" customHeight="1" x14ac:dyDescent="0.25">
      <c r="B646" s="40"/>
      <c r="C646" s="40"/>
      <c r="D646" s="40"/>
      <c r="E646" s="40"/>
      <c r="F646" s="39"/>
      <c r="G646" s="41"/>
      <c r="H646" s="40"/>
      <c r="I646" s="41"/>
      <c r="J646" s="42"/>
      <c r="K646" s="40"/>
      <c r="L646" s="40"/>
      <c r="M646" s="40" t="str">
        <f>IF(B646="","",IF(COUNTIFS(Cobranza!$C$9:$C$1008,B646,Cobranza!$N$9:$N$1008,"Vencida")&gt;0,"Vencida",IF(COUNTIFS(Cobranza!$C$9:$C$1008,B646,Cobranza!$N$9:$N$1008,"Parcial")&gt;0,"Parcial",IF(COUNTIFS(Cobranza!$C$9:$C$1008,B646,Cobranza!$N$9:$N$1008,"Pendiente")&gt;0,"Pendiente",IF(COUNTIFS(Cobranza!$C$9:$C$1008,B646,Cobranza!$N$9:$N$1008,"Pagada")&gt;0,"Pagada","")))))</f>
        <v/>
      </c>
      <c r="N646" s="33" t="str">
        <f t="shared" ca="1" si="9"/>
        <v/>
      </c>
      <c r="O646" s="25"/>
      <c r="P646" s="11" t="str">
        <f ca="1">IF(AND(B646&lt;&gt;"",F646&lt;&gt;"Cerrada",F646&lt;&gt;"Perdida",N646&lt;&gt;"",N646&gt;14),COUNTIFS($F$8:$F646,"&lt;&gt;Cerrada",$F$8:$F646,"&lt;&gt;Perdida",$N$8:$N646,"&gt;14"),"")</f>
        <v/>
      </c>
    </row>
    <row r="647" spans="2:16" ht="21.75" customHeight="1" x14ac:dyDescent="0.25">
      <c r="B647" s="40"/>
      <c r="C647" s="40"/>
      <c r="D647" s="40"/>
      <c r="E647" s="40"/>
      <c r="F647" s="39"/>
      <c r="G647" s="41"/>
      <c r="H647" s="40"/>
      <c r="I647" s="41"/>
      <c r="J647" s="42"/>
      <c r="K647" s="40"/>
      <c r="L647" s="40"/>
      <c r="M647" s="40" t="str">
        <f>IF(B647="","",IF(COUNTIFS(Cobranza!$C$9:$C$1008,B647,Cobranza!$N$9:$N$1008,"Vencida")&gt;0,"Vencida",IF(COUNTIFS(Cobranza!$C$9:$C$1008,B647,Cobranza!$N$9:$N$1008,"Parcial")&gt;0,"Parcial",IF(COUNTIFS(Cobranza!$C$9:$C$1008,B647,Cobranza!$N$9:$N$1008,"Pendiente")&gt;0,"Pendiente",IF(COUNTIFS(Cobranza!$C$9:$C$1008,B647,Cobranza!$N$9:$N$1008,"Pagada")&gt;0,"Pagada","")))))</f>
        <v/>
      </c>
      <c r="N647" s="33" t="str">
        <f t="shared" ca="1" si="9"/>
        <v/>
      </c>
      <c r="O647" s="25"/>
      <c r="P647" s="11" t="str">
        <f ca="1">IF(AND(B647&lt;&gt;"",F647&lt;&gt;"Cerrada",F647&lt;&gt;"Perdida",N647&lt;&gt;"",N647&gt;14),COUNTIFS($F$8:$F647,"&lt;&gt;Cerrada",$F$8:$F647,"&lt;&gt;Perdida",$N$8:$N647,"&gt;14"),"")</f>
        <v/>
      </c>
    </row>
    <row r="648" spans="2:16" ht="21.75" customHeight="1" x14ac:dyDescent="0.25">
      <c r="B648" s="40"/>
      <c r="C648" s="40"/>
      <c r="D648" s="40"/>
      <c r="E648" s="40"/>
      <c r="F648" s="39"/>
      <c r="G648" s="41"/>
      <c r="H648" s="40"/>
      <c r="I648" s="41"/>
      <c r="J648" s="42"/>
      <c r="K648" s="40"/>
      <c r="L648" s="40"/>
      <c r="M648" s="40" t="str">
        <f>IF(B648="","",IF(COUNTIFS(Cobranza!$C$9:$C$1008,B648,Cobranza!$N$9:$N$1008,"Vencida")&gt;0,"Vencida",IF(COUNTIFS(Cobranza!$C$9:$C$1008,B648,Cobranza!$N$9:$N$1008,"Parcial")&gt;0,"Parcial",IF(COUNTIFS(Cobranza!$C$9:$C$1008,B648,Cobranza!$N$9:$N$1008,"Pendiente")&gt;0,"Pendiente",IF(COUNTIFS(Cobranza!$C$9:$C$1008,B648,Cobranza!$N$9:$N$1008,"Pagada")&gt;0,"Pagada","")))))</f>
        <v/>
      </c>
      <c r="N648" s="33" t="str">
        <f t="shared" ref="N648:N711" ca="1" si="10">IF(I648="","",MAX(0,TODAY()-I648))</f>
        <v/>
      </c>
      <c r="O648" s="25"/>
      <c r="P648" s="11" t="str">
        <f ca="1">IF(AND(B648&lt;&gt;"",F648&lt;&gt;"Cerrada",F648&lt;&gt;"Perdida",N648&lt;&gt;"",N648&gt;14),COUNTIFS($F$8:$F648,"&lt;&gt;Cerrada",$F$8:$F648,"&lt;&gt;Perdida",$N$8:$N648,"&gt;14"),"")</f>
        <v/>
      </c>
    </row>
    <row r="649" spans="2:16" ht="21.75" customHeight="1" x14ac:dyDescent="0.25">
      <c r="B649" s="40"/>
      <c r="C649" s="40"/>
      <c r="D649" s="40"/>
      <c r="E649" s="40"/>
      <c r="F649" s="39"/>
      <c r="G649" s="41"/>
      <c r="H649" s="40"/>
      <c r="I649" s="41"/>
      <c r="J649" s="42"/>
      <c r="K649" s="40"/>
      <c r="L649" s="40"/>
      <c r="M649" s="40" t="str">
        <f>IF(B649="","",IF(COUNTIFS(Cobranza!$C$9:$C$1008,B649,Cobranza!$N$9:$N$1008,"Vencida")&gt;0,"Vencida",IF(COUNTIFS(Cobranza!$C$9:$C$1008,B649,Cobranza!$N$9:$N$1008,"Parcial")&gt;0,"Parcial",IF(COUNTIFS(Cobranza!$C$9:$C$1008,B649,Cobranza!$N$9:$N$1008,"Pendiente")&gt;0,"Pendiente",IF(COUNTIFS(Cobranza!$C$9:$C$1008,B649,Cobranza!$N$9:$N$1008,"Pagada")&gt;0,"Pagada","")))))</f>
        <v/>
      </c>
      <c r="N649" s="33" t="str">
        <f t="shared" ca="1" si="10"/>
        <v/>
      </c>
      <c r="O649" s="25"/>
      <c r="P649" s="11" t="str">
        <f ca="1">IF(AND(B649&lt;&gt;"",F649&lt;&gt;"Cerrada",F649&lt;&gt;"Perdida",N649&lt;&gt;"",N649&gt;14),COUNTIFS($F$8:$F649,"&lt;&gt;Cerrada",$F$8:$F649,"&lt;&gt;Perdida",$N$8:$N649,"&gt;14"),"")</f>
        <v/>
      </c>
    </row>
    <row r="650" spans="2:16" ht="21.75" customHeight="1" x14ac:dyDescent="0.25">
      <c r="B650" s="40"/>
      <c r="C650" s="40"/>
      <c r="D650" s="40"/>
      <c r="E650" s="40"/>
      <c r="F650" s="39"/>
      <c r="G650" s="41"/>
      <c r="H650" s="40"/>
      <c r="I650" s="41"/>
      <c r="J650" s="42"/>
      <c r="K650" s="40"/>
      <c r="L650" s="40"/>
      <c r="M650" s="40" t="str">
        <f>IF(B650="","",IF(COUNTIFS(Cobranza!$C$9:$C$1008,B650,Cobranza!$N$9:$N$1008,"Vencida")&gt;0,"Vencida",IF(COUNTIFS(Cobranza!$C$9:$C$1008,B650,Cobranza!$N$9:$N$1008,"Parcial")&gt;0,"Parcial",IF(COUNTIFS(Cobranza!$C$9:$C$1008,B650,Cobranza!$N$9:$N$1008,"Pendiente")&gt;0,"Pendiente",IF(COUNTIFS(Cobranza!$C$9:$C$1008,B650,Cobranza!$N$9:$N$1008,"Pagada")&gt;0,"Pagada","")))))</f>
        <v/>
      </c>
      <c r="N650" s="33" t="str">
        <f t="shared" ca="1" si="10"/>
        <v/>
      </c>
      <c r="O650" s="25"/>
      <c r="P650" s="11" t="str">
        <f ca="1">IF(AND(B650&lt;&gt;"",F650&lt;&gt;"Cerrada",F650&lt;&gt;"Perdida",N650&lt;&gt;"",N650&gt;14),COUNTIFS($F$8:$F650,"&lt;&gt;Cerrada",$F$8:$F650,"&lt;&gt;Perdida",$N$8:$N650,"&gt;14"),"")</f>
        <v/>
      </c>
    </row>
    <row r="651" spans="2:16" ht="21.75" customHeight="1" x14ac:dyDescent="0.25">
      <c r="B651" s="40"/>
      <c r="C651" s="40"/>
      <c r="D651" s="40"/>
      <c r="E651" s="40"/>
      <c r="F651" s="39"/>
      <c r="G651" s="41"/>
      <c r="H651" s="40"/>
      <c r="I651" s="41"/>
      <c r="J651" s="42"/>
      <c r="K651" s="40"/>
      <c r="L651" s="40"/>
      <c r="M651" s="40" t="str">
        <f>IF(B651="","",IF(COUNTIFS(Cobranza!$C$9:$C$1008,B651,Cobranza!$N$9:$N$1008,"Vencida")&gt;0,"Vencida",IF(COUNTIFS(Cobranza!$C$9:$C$1008,B651,Cobranza!$N$9:$N$1008,"Parcial")&gt;0,"Parcial",IF(COUNTIFS(Cobranza!$C$9:$C$1008,B651,Cobranza!$N$9:$N$1008,"Pendiente")&gt;0,"Pendiente",IF(COUNTIFS(Cobranza!$C$9:$C$1008,B651,Cobranza!$N$9:$N$1008,"Pagada")&gt;0,"Pagada","")))))</f>
        <v/>
      </c>
      <c r="N651" s="33" t="str">
        <f t="shared" ca="1" si="10"/>
        <v/>
      </c>
      <c r="O651" s="25"/>
      <c r="P651" s="11" t="str">
        <f ca="1">IF(AND(B651&lt;&gt;"",F651&lt;&gt;"Cerrada",F651&lt;&gt;"Perdida",N651&lt;&gt;"",N651&gt;14),COUNTIFS($F$8:$F651,"&lt;&gt;Cerrada",$F$8:$F651,"&lt;&gt;Perdida",$N$8:$N651,"&gt;14"),"")</f>
        <v/>
      </c>
    </row>
    <row r="652" spans="2:16" ht="21.75" customHeight="1" x14ac:dyDescent="0.25">
      <c r="B652" s="40"/>
      <c r="C652" s="40"/>
      <c r="D652" s="40"/>
      <c r="E652" s="40"/>
      <c r="F652" s="39"/>
      <c r="G652" s="41"/>
      <c r="H652" s="40"/>
      <c r="I652" s="41"/>
      <c r="J652" s="42"/>
      <c r="K652" s="40"/>
      <c r="L652" s="40"/>
      <c r="M652" s="40" t="str">
        <f>IF(B652="","",IF(COUNTIFS(Cobranza!$C$9:$C$1008,B652,Cobranza!$N$9:$N$1008,"Vencida")&gt;0,"Vencida",IF(COUNTIFS(Cobranza!$C$9:$C$1008,B652,Cobranza!$N$9:$N$1008,"Parcial")&gt;0,"Parcial",IF(COUNTIFS(Cobranza!$C$9:$C$1008,B652,Cobranza!$N$9:$N$1008,"Pendiente")&gt;0,"Pendiente",IF(COUNTIFS(Cobranza!$C$9:$C$1008,B652,Cobranza!$N$9:$N$1008,"Pagada")&gt;0,"Pagada","")))))</f>
        <v/>
      </c>
      <c r="N652" s="33" t="str">
        <f t="shared" ca="1" si="10"/>
        <v/>
      </c>
      <c r="O652" s="25"/>
      <c r="P652" s="11" t="str">
        <f ca="1">IF(AND(B652&lt;&gt;"",F652&lt;&gt;"Cerrada",F652&lt;&gt;"Perdida",N652&lt;&gt;"",N652&gt;14),COUNTIFS($F$8:$F652,"&lt;&gt;Cerrada",$F$8:$F652,"&lt;&gt;Perdida",$N$8:$N652,"&gt;14"),"")</f>
        <v/>
      </c>
    </row>
    <row r="653" spans="2:16" ht="21.75" customHeight="1" x14ac:dyDescent="0.25">
      <c r="B653" s="40"/>
      <c r="C653" s="40"/>
      <c r="D653" s="40"/>
      <c r="E653" s="40"/>
      <c r="F653" s="39"/>
      <c r="G653" s="41"/>
      <c r="H653" s="40"/>
      <c r="I653" s="41"/>
      <c r="J653" s="42"/>
      <c r="K653" s="40"/>
      <c r="L653" s="40"/>
      <c r="M653" s="40" t="str">
        <f>IF(B653="","",IF(COUNTIFS(Cobranza!$C$9:$C$1008,B653,Cobranza!$N$9:$N$1008,"Vencida")&gt;0,"Vencida",IF(COUNTIFS(Cobranza!$C$9:$C$1008,B653,Cobranza!$N$9:$N$1008,"Parcial")&gt;0,"Parcial",IF(COUNTIFS(Cobranza!$C$9:$C$1008,B653,Cobranza!$N$9:$N$1008,"Pendiente")&gt;0,"Pendiente",IF(COUNTIFS(Cobranza!$C$9:$C$1008,B653,Cobranza!$N$9:$N$1008,"Pagada")&gt;0,"Pagada","")))))</f>
        <v/>
      </c>
      <c r="N653" s="33" t="str">
        <f t="shared" ca="1" si="10"/>
        <v/>
      </c>
      <c r="O653" s="25"/>
      <c r="P653" s="11" t="str">
        <f ca="1">IF(AND(B653&lt;&gt;"",F653&lt;&gt;"Cerrada",F653&lt;&gt;"Perdida",N653&lt;&gt;"",N653&gt;14),COUNTIFS($F$8:$F653,"&lt;&gt;Cerrada",$F$8:$F653,"&lt;&gt;Perdida",$N$8:$N653,"&gt;14"),"")</f>
        <v/>
      </c>
    </row>
    <row r="654" spans="2:16" ht="21.75" customHeight="1" x14ac:dyDescent="0.25">
      <c r="B654" s="40"/>
      <c r="C654" s="40"/>
      <c r="D654" s="40"/>
      <c r="E654" s="40"/>
      <c r="F654" s="39"/>
      <c r="G654" s="41"/>
      <c r="H654" s="40"/>
      <c r="I654" s="41"/>
      <c r="J654" s="42"/>
      <c r="K654" s="40"/>
      <c r="L654" s="40"/>
      <c r="M654" s="40" t="str">
        <f>IF(B654="","",IF(COUNTIFS(Cobranza!$C$9:$C$1008,B654,Cobranza!$N$9:$N$1008,"Vencida")&gt;0,"Vencida",IF(COUNTIFS(Cobranza!$C$9:$C$1008,B654,Cobranza!$N$9:$N$1008,"Parcial")&gt;0,"Parcial",IF(COUNTIFS(Cobranza!$C$9:$C$1008,B654,Cobranza!$N$9:$N$1008,"Pendiente")&gt;0,"Pendiente",IF(COUNTIFS(Cobranza!$C$9:$C$1008,B654,Cobranza!$N$9:$N$1008,"Pagada")&gt;0,"Pagada","")))))</f>
        <v/>
      </c>
      <c r="N654" s="33" t="str">
        <f t="shared" ca="1" si="10"/>
        <v/>
      </c>
      <c r="O654" s="25"/>
      <c r="P654" s="11" t="str">
        <f ca="1">IF(AND(B654&lt;&gt;"",F654&lt;&gt;"Cerrada",F654&lt;&gt;"Perdida",N654&lt;&gt;"",N654&gt;14),COUNTIFS($F$8:$F654,"&lt;&gt;Cerrada",$F$8:$F654,"&lt;&gt;Perdida",$N$8:$N654,"&gt;14"),"")</f>
        <v/>
      </c>
    </row>
    <row r="655" spans="2:16" ht="21.75" customHeight="1" x14ac:dyDescent="0.25">
      <c r="B655" s="40"/>
      <c r="C655" s="40"/>
      <c r="D655" s="40"/>
      <c r="E655" s="40"/>
      <c r="F655" s="39"/>
      <c r="G655" s="41"/>
      <c r="H655" s="40"/>
      <c r="I655" s="41"/>
      <c r="J655" s="42"/>
      <c r="K655" s="40"/>
      <c r="L655" s="40"/>
      <c r="M655" s="40" t="str">
        <f>IF(B655="","",IF(COUNTIFS(Cobranza!$C$9:$C$1008,B655,Cobranza!$N$9:$N$1008,"Vencida")&gt;0,"Vencida",IF(COUNTIFS(Cobranza!$C$9:$C$1008,B655,Cobranza!$N$9:$N$1008,"Parcial")&gt;0,"Parcial",IF(COUNTIFS(Cobranza!$C$9:$C$1008,B655,Cobranza!$N$9:$N$1008,"Pendiente")&gt;0,"Pendiente",IF(COUNTIFS(Cobranza!$C$9:$C$1008,B655,Cobranza!$N$9:$N$1008,"Pagada")&gt;0,"Pagada","")))))</f>
        <v/>
      </c>
      <c r="N655" s="33" t="str">
        <f t="shared" ca="1" si="10"/>
        <v/>
      </c>
      <c r="O655" s="25"/>
      <c r="P655" s="11" t="str">
        <f ca="1">IF(AND(B655&lt;&gt;"",F655&lt;&gt;"Cerrada",F655&lt;&gt;"Perdida",N655&lt;&gt;"",N655&gt;14),COUNTIFS($F$8:$F655,"&lt;&gt;Cerrada",$F$8:$F655,"&lt;&gt;Perdida",$N$8:$N655,"&gt;14"),"")</f>
        <v/>
      </c>
    </row>
    <row r="656" spans="2:16" ht="21.75" customHeight="1" x14ac:dyDescent="0.25">
      <c r="B656" s="40"/>
      <c r="C656" s="40"/>
      <c r="D656" s="40"/>
      <c r="E656" s="40"/>
      <c r="F656" s="39"/>
      <c r="G656" s="41"/>
      <c r="H656" s="40"/>
      <c r="I656" s="41"/>
      <c r="J656" s="42"/>
      <c r="K656" s="40"/>
      <c r="L656" s="40"/>
      <c r="M656" s="40" t="str">
        <f>IF(B656="","",IF(COUNTIFS(Cobranza!$C$9:$C$1008,B656,Cobranza!$N$9:$N$1008,"Vencida")&gt;0,"Vencida",IF(COUNTIFS(Cobranza!$C$9:$C$1008,B656,Cobranza!$N$9:$N$1008,"Parcial")&gt;0,"Parcial",IF(COUNTIFS(Cobranza!$C$9:$C$1008,B656,Cobranza!$N$9:$N$1008,"Pendiente")&gt;0,"Pendiente",IF(COUNTIFS(Cobranza!$C$9:$C$1008,B656,Cobranza!$N$9:$N$1008,"Pagada")&gt;0,"Pagada","")))))</f>
        <v/>
      </c>
      <c r="N656" s="33" t="str">
        <f t="shared" ca="1" si="10"/>
        <v/>
      </c>
      <c r="O656" s="25"/>
      <c r="P656" s="11" t="str">
        <f ca="1">IF(AND(B656&lt;&gt;"",F656&lt;&gt;"Cerrada",F656&lt;&gt;"Perdida",N656&lt;&gt;"",N656&gt;14),COUNTIFS($F$8:$F656,"&lt;&gt;Cerrada",$F$8:$F656,"&lt;&gt;Perdida",$N$8:$N656,"&gt;14"),"")</f>
        <v/>
      </c>
    </row>
    <row r="657" spans="2:16" ht="21.75" customHeight="1" x14ac:dyDescent="0.25">
      <c r="B657" s="40"/>
      <c r="C657" s="40"/>
      <c r="D657" s="40"/>
      <c r="E657" s="40"/>
      <c r="F657" s="39"/>
      <c r="G657" s="41"/>
      <c r="H657" s="40"/>
      <c r="I657" s="41"/>
      <c r="J657" s="42"/>
      <c r="K657" s="40"/>
      <c r="L657" s="40"/>
      <c r="M657" s="40" t="str">
        <f>IF(B657="","",IF(COUNTIFS(Cobranza!$C$9:$C$1008,B657,Cobranza!$N$9:$N$1008,"Vencida")&gt;0,"Vencida",IF(COUNTIFS(Cobranza!$C$9:$C$1008,B657,Cobranza!$N$9:$N$1008,"Parcial")&gt;0,"Parcial",IF(COUNTIFS(Cobranza!$C$9:$C$1008,B657,Cobranza!$N$9:$N$1008,"Pendiente")&gt;0,"Pendiente",IF(COUNTIFS(Cobranza!$C$9:$C$1008,B657,Cobranza!$N$9:$N$1008,"Pagada")&gt;0,"Pagada","")))))</f>
        <v/>
      </c>
      <c r="N657" s="33" t="str">
        <f t="shared" ca="1" si="10"/>
        <v/>
      </c>
      <c r="O657" s="25"/>
      <c r="P657" s="11" t="str">
        <f ca="1">IF(AND(B657&lt;&gt;"",F657&lt;&gt;"Cerrada",F657&lt;&gt;"Perdida",N657&lt;&gt;"",N657&gt;14),COUNTIFS($F$8:$F657,"&lt;&gt;Cerrada",$F$8:$F657,"&lt;&gt;Perdida",$N$8:$N657,"&gt;14"),"")</f>
        <v/>
      </c>
    </row>
    <row r="658" spans="2:16" ht="21.75" customHeight="1" x14ac:dyDescent="0.25">
      <c r="B658" s="40"/>
      <c r="C658" s="40"/>
      <c r="D658" s="40"/>
      <c r="E658" s="40"/>
      <c r="F658" s="39"/>
      <c r="G658" s="41"/>
      <c r="H658" s="40"/>
      <c r="I658" s="41"/>
      <c r="J658" s="42"/>
      <c r="K658" s="40"/>
      <c r="L658" s="40"/>
      <c r="M658" s="40" t="str">
        <f>IF(B658="","",IF(COUNTIFS(Cobranza!$C$9:$C$1008,B658,Cobranza!$N$9:$N$1008,"Vencida")&gt;0,"Vencida",IF(COUNTIFS(Cobranza!$C$9:$C$1008,B658,Cobranza!$N$9:$N$1008,"Parcial")&gt;0,"Parcial",IF(COUNTIFS(Cobranza!$C$9:$C$1008,B658,Cobranza!$N$9:$N$1008,"Pendiente")&gt;0,"Pendiente",IF(COUNTIFS(Cobranza!$C$9:$C$1008,B658,Cobranza!$N$9:$N$1008,"Pagada")&gt;0,"Pagada","")))))</f>
        <v/>
      </c>
      <c r="N658" s="33" t="str">
        <f t="shared" ca="1" si="10"/>
        <v/>
      </c>
      <c r="O658" s="25"/>
      <c r="P658" s="11" t="str">
        <f ca="1">IF(AND(B658&lt;&gt;"",F658&lt;&gt;"Cerrada",F658&lt;&gt;"Perdida",N658&lt;&gt;"",N658&gt;14),COUNTIFS($F$8:$F658,"&lt;&gt;Cerrada",$F$8:$F658,"&lt;&gt;Perdida",$N$8:$N658,"&gt;14"),"")</f>
        <v/>
      </c>
    </row>
    <row r="659" spans="2:16" ht="21.75" customHeight="1" x14ac:dyDescent="0.25">
      <c r="B659" s="40"/>
      <c r="C659" s="40"/>
      <c r="D659" s="40"/>
      <c r="E659" s="40"/>
      <c r="F659" s="39"/>
      <c r="G659" s="41"/>
      <c r="H659" s="40"/>
      <c r="I659" s="41"/>
      <c r="J659" s="42"/>
      <c r="K659" s="40"/>
      <c r="L659" s="40"/>
      <c r="M659" s="40" t="str">
        <f>IF(B659="","",IF(COUNTIFS(Cobranza!$C$9:$C$1008,B659,Cobranza!$N$9:$N$1008,"Vencida")&gt;0,"Vencida",IF(COUNTIFS(Cobranza!$C$9:$C$1008,B659,Cobranza!$N$9:$N$1008,"Parcial")&gt;0,"Parcial",IF(COUNTIFS(Cobranza!$C$9:$C$1008,B659,Cobranza!$N$9:$N$1008,"Pendiente")&gt;0,"Pendiente",IF(COUNTIFS(Cobranza!$C$9:$C$1008,B659,Cobranza!$N$9:$N$1008,"Pagada")&gt;0,"Pagada","")))))</f>
        <v/>
      </c>
      <c r="N659" s="33" t="str">
        <f t="shared" ca="1" si="10"/>
        <v/>
      </c>
      <c r="O659" s="25"/>
      <c r="P659" s="11" t="str">
        <f ca="1">IF(AND(B659&lt;&gt;"",F659&lt;&gt;"Cerrada",F659&lt;&gt;"Perdida",N659&lt;&gt;"",N659&gt;14),COUNTIFS($F$8:$F659,"&lt;&gt;Cerrada",$F$8:$F659,"&lt;&gt;Perdida",$N$8:$N659,"&gt;14"),"")</f>
        <v/>
      </c>
    </row>
    <row r="660" spans="2:16" ht="21.75" customHeight="1" x14ac:dyDescent="0.25">
      <c r="B660" s="40"/>
      <c r="C660" s="40"/>
      <c r="D660" s="40"/>
      <c r="E660" s="40"/>
      <c r="F660" s="39"/>
      <c r="G660" s="41"/>
      <c r="H660" s="40"/>
      <c r="I660" s="41"/>
      <c r="J660" s="42"/>
      <c r="K660" s="40"/>
      <c r="L660" s="40"/>
      <c r="M660" s="40" t="str">
        <f>IF(B660="","",IF(COUNTIFS(Cobranza!$C$9:$C$1008,B660,Cobranza!$N$9:$N$1008,"Vencida")&gt;0,"Vencida",IF(COUNTIFS(Cobranza!$C$9:$C$1008,B660,Cobranza!$N$9:$N$1008,"Parcial")&gt;0,"Parcial",IF(COUNTIFS(Cobranza!$C$9:$C$1008,B660,Cobranza!$N$9:$N$1008,"Pendiente")&gt;0,"Pendiente",IF(COUNTIFS(Cobranza!$C$9:$C$1008,B660,Cobranza!$N$9:$N$1008,"Pagada")&gt;0,"Pagada","")))))</f>
        <v/>
      </c>
      <c r="N660" s="33" t="str">
        <f t="shared" ca="1" si="10"/>
        <v/>
      </c>
      <c r="O660" s="25"/>
      <c r="P660" s="11" t="str">
        <f ca="1">IF(AND(B660&lt;&gt;"",F660&lt;&gt;"Cerrada",F660&lt;&gt;"Perdida",N660&lt;&gt;"",N660&gt;14),COUNTIFS($F$8:$F660,"&lt;&gt;Cerrada",$F$8:$F660,"&lt;&gt;Perdida",$N$8:$N660,"&gt;14"),"")</f>
        <v/>
      </c>
    </row>
    <row r="661" spans="2:16" ht="21.75" customHeight="1" x14ac:dyDescent="0.25">
      <c r="B661" s="40"/>
      <c r="C661" s="40"/>
      <c r="D661" s="40"/>
      <c r="E661" s="40"/>
      <c r="F661" s="39"/>
      <c r="G661" s="41"/>
      <c r="H661" s="40"/>
      <c r="I661" s="41"/>
      <c r="J661" s="42"/>
      <c r="K661" s="40"/>
      <c r="L661" s="40"/>
      <c r="M661" s="40" t="str">
        <f>IF(B661="","",IF(COUNTIFS(Cobranza!$C$9:$C$1008,B661,Cobranza!$N$9:$N$1008,"Vencida")&gt;0,"Vencida",IF(COUNTIFS(Cobranza!$C$9:$C$1008,B661,Cobranza!$N$9:$N$1008,"Parcial")&gt;0,"Parcial",IF(COUNTIFS(Cobranza!$C$9:$C$1008,B661,Cobranza!$N$9:$N$1008,"Pendiente")&gt;0,"Pendiente",IF(COUNTIFS(Cobranza!$C$9:$C$1008,B661,Cobranza!$N$9:$N$1008,"Pagada")&gt;0,"Pagada","")))))</f>
        <v/>
      </c>
      <c r="N661" s="33" t="str">
        <f t="shared" ca="1" si="10"/>
        <v/>
      </c>
      <c r="O661" s="25"/>
      <c r="P661" s="11" t="str">
        <f ca="1">IF(AND(B661&lt;&gt;"",F661&lt;&gt;"Cerrada",F661&lt;&gt;"Perdida",N661&lt;&gt;"",N661&gt;14),COUNTIFS($F$8:$F661,"&lt;&gt;Cerrada",$F$8:$F661,"&lt;&gt;Perdida",$N$8:$N661,"&gt;14"),"")</f>
        <v/>
      </c>
    </row>
    <row r="662" spans="2:16" ht="21.75" customHeight="1" x14ac:dyDescent="0.25">
      <c r="B662" s="40"/>
      <c r="C662" s="40"/>
      <c r="D662" s="40"/>
      <c r="E662" s="40"/>
      <c r="F662" s="39"/>
      <c r="G662" s="41"/>
      <c r="H662" s="40"/>
      <c r="I662" s="41"/>
      <c r="J662" s="42"/>
      <c r="K662" s="40"/>
      <c r="L662" s="40"/>
      <c r="M662" s="40" t="str">
        <f>IF(B662="","",IF(COUNTIFS(Cobranza!$C$9:$C$1008,B662,Cobranza!$N$9:$N$1008,"Vencida")&gt;0,"Vencida",IF(COUNTIFS(Cobranza!$C$9:$C$1008,B662,Cobranza!$N$9:$N$1008,"Parcial")&gt;0,"Parcial",IF(COUNTIFS(Cobranza!$C$9:$C$1008,B662,Cobranza!$N$9:$N$1008,"Pendiente")&gt;0,"Pendiente",IF(COUNTIFS(Cobranza!$C$9:$C$1008,B662,Cobranza!$N$9:$N$1008,"Pagada")&gt;0,"Pagada","")))))</f>
        <v/>
      </c>
      <c r="N662" s="33" t="str">
        <f t="shared" ca="1" si="10"/>
        <v/>
      </c>
      <c r="O662" s="25"/>
      <c r="P662" s="11" t="str">
        <f ca="1">IF(AND(B662&lt;&gt;"",F662&lt;&gt;"Cerrada",F662&lt;&gt;"Perdida",N662&lt;&gt;"",N662&gt;14),COUNTIFS($F$8:$F662,"&lt;&gt;Cerrada",$F$8:$F662,"&lt;&gt;Perdida",$N$8:$N662,"&gt;14"),"")</f>
        <v/>
      </c>
    </row>
    <row r="663" spans="2:16" ht="21.75" customHeight="1" x14ac:dyDescent="0.25">
      <c r="B663" s="40"/>
      <c r="C663" s="40"/>
      <c r="D663" s="40"/>
      <c r="E663" s="40"/>
      <c r="F663" s="39"/>
      <c r="G663" s="41"/>
      <c r="H663" s="40"/>
      <c r="I663" s="41"/>
      <c r="J663" s="42"/>
      <c r="K663" s="40"/>
      <c r="L663" s="40"/>
      <c r="M663" s="40" t="str">
        <f>IF(B663="","",IF(COUNTIFS(Cobranza!$C$9:$C$1008,B663,Cobranza!$N$9:$N$1008,"Vencida")&gt;0,"Vencida",IF(COUNTIFS(Cobranza!$C$9:$C$1008,B663,Cobranza!$N$9:$N$1008,"Parcial")&gt;0,"Parcial",IF(COUNTIFS(Cobranza!$C$9:$C$1008,B663,Cobranza!$N$9:$N$1008,"Pendiente")&gt;0,"Pendiente",IF(COUNTIFS(Cobranza!$C$9:$C$1008,B663,Cobranza!$N$9:$N$1008,"Pagada")&gt;0,"Pagada","")))))</f>
        <v/>
      </c>
      <c r="N663" s="33" t="str">
        <f t="shared" ca="1" si="10"/>
        <v/>
      </c>
      <c r="O663" s="25"/>
      <c r="P663" s="11" t="str">
        <f ca="1">IF(AND(B663&lt;&gt;"",F663&lt;&gt;"Cerrada",F663&lt;&gt;"Perdida",N663&lt;&gt;"",N663&gt;14),COUNTIFS($F$8:$F663,"&lt;&gt;Cerrada",$F$8:$F663,"&lt;&gt;Perdida",$N$8:$N663,"&gt;14"),"")</f>
        <v/>
      </c>
    </row>
    <row r="664" spans="2:16" ht="21.75" customHeight="1" x14ac:dyDescent="0.25">
      <c r="B664" s="40"/>
      <c r="C664" s="40"/>
      <c r="D664" s="40"/>
      <c r="E664" s="40"/>
      <c r="F664" s="39"/>
      <c r="G664" s="41"/>
      <c r="H664" s="40"/>
      <c r="I664" s="41"/>
      <c r="J664" s="42"/>
      <c r="K664" s="40"/>
      <c r="L664" s="40"/>
      <c r="M664" s="40" t="str">
        <f>IF(B664="","",IF(COUNTIFS(Cobranza!$C$9:$C$1008,B664,Cobranza!$N$9:$N$1008,"Vencida")&gt;0,"Vencida",IF(COUNTIFS(Cobranza!$C$9:$C$1008,B664,Cobranza!$N$9:$N$1008,"Parcial")&gt;0,"Parcial",IF(COUNTIFS(Cobranza!$C$9:$C$1008,B664,Cobranza!$N$9:$N$1008,"Pendiente")&gt;0,"Pendiente",IF(COUNTIFS(Cobranza!$C$9:$C$1008,B664,Cobranza!$N$9:$N$1008,"Pagada")&gt;0,"Pagada","")))))</f>
        <v/>
      </c>
      <c r="N664" s="33" t="str">
        <f t="shared" ca="1" si="10"/>
        <v/>
      </c>
      <c r="O664" s="25"/>
      <c r="P664" s="11" t="str">
        <f ca="1">IF(AND(B664&lt;&gt;"",F664&lt;&gt;"Cerrada",F664&lt;&gt;"Perdida",N664&lt;&gt;"",N664&gt;14),COUNTIFS($F$8:$F664,"&lt;&gt;Cerrada",$F$8:$F664,"&lt;&gt;Perdida",$N$8:$N664,"&gt;14"),"")</f>
        <v/>
      </c>
    </row>
    <row r="665" spans="2:16" ht="21.75" customHeight="1" x14ac:dyDescent="0.25">
      <c r="B665" s="40"/>
      <c r="C665" s="40"/>
      <c r="D665" s="40"/>
      <c r="E665" s="40"/>
      <c r="F665" s="39"/>
      <c r="G665" s="41"/>
      <c r="H665" s="40"/>
      <c r="I665" s="41"/>
      <c r="J665" s="42"/>
      <c r="K665" s="40"/>
      <c r="L665" s="40"/>
      <c r="M665" s="40" t="str">
        <f>IF(B665="","",IF(COUNTIFS(Cobranza!$C$9:$C$1008,B665,Cobranza!$N$9:$N$1008,"Vencida")&gt;0,"Vencida",IF(COUNTIFS(Cobranza!$C$9:$C$1008,B665,Cobranza!$N$9:$N$1008,"Parcial")&gt;0,"Parcial",IF(COUNTIFS(Cobranza!$C$9:$C$1008,B665,Cobranza!$N$9:$N$1008,"Pendiente")&gt;0,"Pendiente",IF(COUNTIFS(Cobranza!$C$9:$C$1008,B665,Cobranza!$N$9:$N$1008,"Pagada")&gt;0,"Pagada","")))))</f>
        <v/>
      </c>
      <c r="N665" s="33" t="str">
        <f t="shared" ca="1" si="10"/>
        <v/>
      </c>
      <c r="O665" s="25"/>
      <c r="P665" s="11" t="str">
        <f ca="1">IF(AND(B665&lt;&gt;"",F665&lt;&gt;"Cerrada",F665&lt;&gt;"Perdida",N665&lt;&gt;"",N665&gt;14),COUNTIFS($F$8:$F665,"&lt;&gt;Cerrada",$F$8:$F665,"&lt;&gt;Perdida",$N$8:$N665,"&gt;14"),"")</f>
        <v/>
      </c>
    </row>
    <row r="666" spans="2:16" ht="21.75" customHeight="1" x14ac:dyDescent="0.25">
      <c r="B666" s="40"/>
      <c r="C666" s="40"/>
      <c r="D666" s="40"/>
      <c r="E666" s="40"/>
      <c r="F666" s="39"/>
      <c r="G666" s="41"/>
      <c r="H666" s="40"/>
      <c r="I666" s="41"/>
      <c r="J666" s="42"/>
      <c r="K666" s="40"/>
      <c r="L666" s="40"/>
      <c r="M666" s="40" t="str">
        <f>IF(B666="","",IF(COUNTIFS(Cobranza!$C$9:$C$1008,B666,Cobranza!$N$9:$N$1008,"Vencida")&gt;0,"Vencida",IF(COUNTIFS(Cobranza!$C$9:$C$1008,B666,Cobranza!$N$9:$N$1008,"Parcial")&gt;0,"Parcial",IF(COUNTIFS(Cobranza!$C$9:$C$1008,B666,Cobranza!$N$9:$N$1008,"Pendiente")&gt;0,"Pendiente",IF(COUNTIFS(Cobranza!$C$9:$C$1008,B666,Cobranza!$N$9:$N$1008,"Pagada")&gt;0,"Pagada","")))))</f>
        <v/>
      </c>
      <c r="N666" s="33" t="str">
        <f t="shared" ca="1" si="10"/>
        <v/>
      </c>
      <c r="O666" s="25"/>
      <c r="P666" s="11" t="str">
        <f ca="1">IF(AND(B666&lt;&gt;"",F666&lt;&gt;"Cerrada",F666&lt;&gt;"Perdida",N666&lt;&gt;"",N666&gt;14),COUNTIFS($F$8:$F666,"&lt;&gt;Cerrada",$F$8:$F666,"&lt;&gt;Perdida",$N$8:$N666,"&gt;14"),"")</f>
        <v/>
      </c>
    </row>
    <row r="667" spans="2:16" ht="21.75" customHeight="1" x14ac:dyDescent="0.25">
      <c r="B667" s="40"/>
      <c r="C667" s="40"/>
      <c r="D667" s="40"/>
      <c r="E667" s="40"/>
      <c r="F667" s="39"/>
      <c r="G667" s="41"/>
      <c r="H667" s="40"/>
      <c r="I667" s="41"/>
      <c r="J667" s="42"/>
      <c r="K667" s="40"/>
      <c r="L667" s="40"/>
      <c r="M667" s="40" t="str">
        <f>IF(B667="","",IF(COUNTIFS(Cobranza!$C$9:$C$1008,B667,Cobranza!$N$9:$N$1008,"Vencida")&gt;0,"Vencida",IF(COUNTIFS(Cobranza!$C$9:$C$1008,B667,Cobranza!$N$9:$N$1008,"Parcial")&gt;0,"Parcial",IF(COUNTIFS(Cobranza!$C$9:$C$1008,B667,Cobranza!$N$9:$N$1008,"Pendiente")&gt;0,"Pendiente",IF(COUNTIFS(Cobranza!$C$9:$C$1008,B667,Cobranza!$N$9:$N$1008,"Pagada")&gt;0,"Pagada","")))))</f>
        <v/>
      </c>
      <c r="N667" s="33" t="str">
        <f t="shared" ca="1" si="10"/>
        <v/>
      </c>
      <c r="O667" s="25"/>
      <c r="P667" s="11" t="str">
        <f ca="1">IF(AND(B667&lt;&gt;"",F667&lt;&gt;"Cerrada",F667&lt;&gt;"Perdida",N667&lt;&gt;"",N667&gt;14),COUNTIFS($F$8:$F667,"&lt;&gt;Cerrada",$F$8:$F667,"&lt;&gt;Perdida",$N$8:$N667,"&gt;14"),"")</f>
        <v/>
      </c>
    </row>
    <row r="668" spans="2:16" ht="21.75" customHeight="1" x14ac:dyDescent="0.25">
      <c r="B668" s="40"/>
      <c r="C668" s="40"/>
      <c r="D668" s="40"/>
      <c r="E668" s="40"/>
      <c r="F668" s="39"/>
      <c r="G668" s="41"/>
      <c r="H668" s="40"/>
      <c r="I668" s="41"/>
      <c r="J668" s="42"/>
      <c r="K668" s="40"/>
      <c r="L668" s="40"/>
      <c r="M668" s="40" t="str">
        <f>IF(B668="","",IF(COUNTIFS(Cobranza!$C$9:$C$1008,B668,Cobranza!$N$9:$N$1008,"Vencida")&gt;0,"Vencida",IF(COUNTIFS(Cobranza!$C$9:$C$1008,B668,Cobranza!$N$9:$N$1008,"Parcial")&gt;0,"Parcial",IF(COUNTIFS(Cobranza!$C$9:$C$1008,B668,Cobranza!$N$9:$N$1008,"Pendiente")&gt;0,"Pendiente",IF(COUNTIFS(Cobranza!$C$9:$C$1008,B668,Cobranza!$N$9:$N$1008,"Pagada")&gt;0,"Pagada","")))))</f>
        <v/>
      </c>
      <c r="N668" s="33" t="str">
        <f t="shared" ca="1" si="10"/>
        <v/>
      </c>
      <c r="O668" s="25"/>
      <c r="P668" s="11" t="str">
        <f ca="1">IF(AND(B668&lt;&gt;"",F668&lt;&gt;"Cerrada",F668&lt;&gt;"Perdida",N668&lt;&gt;"",N668&gt;14),COUNTIFS($F$8:$F668,"&lt;&gt;Cerrada",$F$8:$F668,"&lt;&gt;Perdida",$N$8:$N668,"&gt;14"),"")</f>
        <v/>
      </c>
    </row>
    <row r="669" spans="2:16" ht="21.75" customHeight="1" x14ac:dyDescent="0.25">
      <c r="B669" s="40"/>
      <c r="C669" s="40"/>
      <c r="D669" s="40"/>
      <c r="E669" s="40"/>
      <c r="F669" s="39"/>
      <c r="G669" s="41"/>
      <c r="H669" s="40"/>
      <c r="I669" s="41"/>
      <c r="J669" s="42"/>
      <c r="K669" s="40"/>
      <c r="L669" s="40"/>
      <c r="M669" s="40" t="str">
        <f>IF(B669="","",IF(COUNTIFS(Cobranza!$C$9:$C$1008,B669,Cobranza!$N$9:$N$1008,"Vencida")&gt;0,"Vencida",IF(COUNTIFS(Cobranza!$C$9:$C$1008,B669,Cobranza!$N$9:$N$1008,"Parcial")&gt;0,"Parcial",IF(COUNTIFS(Cobranza!$C$9:$C$1008,B669,Cobranza!$N$9:$N$1008,"Pendiente")&gt;0,"Pendiente",IF(COUNTIFS(Cobranza!$C$9:$C$1008,B669,Cobranza!$N$9:$N$1008,"Pagada")&gt;0,"Pagada","")))))</f>
        <v/>
      </c>
      <c r="N669" s="33" t="str">
        <f t="shared" ca="1" si="10"/>
        <v/>
      </c>
      <c r="O669" s="25"/>
      <c r="P669" s="11" t="str">
        <f ca="1">IF(AND(B669&lt;&gt;"",F669&lt;&gt;"Cerrada",F669&lt;&gt;"Perdida",N669&lt;&gt;"",N669&gt;14),COUNTIFS($F$8:$F669,"&lt;&gt;Cerrada",$F$8:$F669,"&lt;&gt;Perdida",$N$8:$N669,"&gt;14"),"")</f>
        <v/>
      </c>
    </row>
    <row r="670" spans="2:16" ht="21.75" customHeight="1" x14ac:dyDescent="0.25">
      <c r="B670" s="40"/>
      <c r="C670" s="40"/>
      <c r="D670" s="40"/>
      <c r="E670" s="40"/>
      <c r="F670" s="39"/>
      <c r="G670" s="41"/>
      <c r="H670" s="40"/>
      <c r="I670" s="41"/>
      <c r="J670" s="42"/>
      <c r="K670" s="40"/>
      <c r="L670" s="40"/>
      <c r="M670" s="40" t="str">
        <f>IF(B670="","",IF(COUNTIFS(Cobranza!$C$9:$C$1008,B670,Cobranza!$N$9:$N$1008,"Vencida")&gt;0,"Vencida",IF(COUNTIFS(Cobranza!$C$9:$C$1008,B670,Cobranza!$N$9:$N$1008,"Parcial")&gt;0,"Parcial",IF(COUNTIFS(Cobranza!$C$9:$C$1008,B670,Cobranza!$N$9:$N$1008,"Pendiente")&gt;0,"Pendiente",IF(COUNTIFS(Cobranza!$C$9:$C$1008,B670,Cobranza!$N$9:$N$1008,"Pagada")&gt;0,"Pagada","")))))</f>
        <v/>
      </c>
      <c r="N670" s="33" t="str">
        <f t="shared" ca="1" si="10"/>
        <v/>
      </c>
      <c r="O670" s="25"/>
      <c r="P670" s="11" t="str">
        <f ca="1">IF(AND(B670&lt;&gt;"",F670&lt;&gt;"Cerrada",F670&lt;&gt;"Perdida",N670&lt;&gt;"",N670&gt;14),COUNTIFS($F$8:$F670,"&lt;&gt;Cerrada",$F$8:$F670,"&lt;&gt;Perdida",$N$8:$N670,"&gt;14"),"")</f>
        <v/>
      </c>
    </row>
    <row r="671" spans="2:16" ht="21.75" customHeight="1" x14ac:dyDescent="0.25">
      <c r="B671" s="40"/>
      <c r="C671" s="40"/>
      <c r="D671" s="40"/>
      <c r="E671" s="40"/>
      <c r="F671" s="39"/>
      <c r="G671" s="41"/>
      <c r="H671" s="40"/>
      <c r="I671" s="41"/>
      <c r="J671" s="42"/>
      <c r="K671" s="40"/>
      <c r="L671" s="40"/>
      <c r="M671" s="40" t="str">
        <f>IF(B671="","",IF(COUNTIFS(Cobranza!$C$9:$C$1008,B671,Cobranza!$N$9:$N$1008,"Vencida")&gt;0,"Vencida",IF(COUNTIFS(Cobranza!$C$9:$C$1008,B671,Cobranza!$N$9:$N$1008,"Parcial")&gt;0,"Parcial",IF(COUNTIFS(Cobranza!$C$9:$C$1008,B671,Cobranza!$N$9:$N$1008,"Pendiente")&gt;0,"Pendiente",IF(COUNTIFS(Cobranza!$C$9:$C$1008,B671,Cobranza!$N$9:$N$1008,"Pagada")&gt;0,"Pagada","")))))</f>
        <v/>
      </c>
      <c r="N671" s="33" t="str">
        <f t="shared" ca="1" si="10"/>
        <v/>
      </c>
      <c r="O671" s="25"/>
      <c r="P671" s="11" t="str">
        <f ca="1">IF(AND(B671&lt;&gt;"",F671&lt;&gt;"Cerrada",F671&lt;&gt;"Perdida",N671&lt;&gt;"",N671&gt;14),COUNTIFS($F$8:$F671,"&lt;&gt;Cerrada",$F$8:$F671,"&lt;&gt;Perdida",$N$8:$N671,"&gt;14"),"")</f>
        <v/>
      </c>
    </row>
    <row r="672" spans="2:16" ht="21.75" customHeight="1" x14ac:dyDescent="0.25">
      <c r="B672" s="40"/>
      <c r="C672" s="40"/>
      <c r="D672" s="40"/>
      <c r="E672" s="40"/>
      <c r="F672" s="39"/>
      <c r="G672" s="41"/>
      <c r="H672" s="40"/>
      <c r="I672" s="41"/>
      <c r="J672" s="42"/>
      <c r="K672" s="40"/>
      <c r="L672" s="40"/>
      <c r="M672" s="40" t="str">
        <f>IF(B672="","",IF(COUNTIFS(Cobranza!$C$9:$C$1008,B672,Cobranza!$N$9:$N$1008,"Vencida")&gt;0,"Vencida",IF(COUNTIFS(Cobranza!$C$9:$C$1008,B672,Cobranza!$N$9:$N$1008,"Parcial")&gt;0,"Parcial",IF(COUNTIFS(Cobranza!$C$9:$C$1008,B672,Cobranza!$N$9:$N$1008,"Pendiente")&gt;0,"Pendiente",IF(COUNTIFS(Cobranza!$C$9:$C$1008,B672,Cobranza!$N$9:$N$1008,"Pagada")&gt;0,"Pagada","")))))</f>
        <v/>
      </c>
      <c r="N672" s="33" t="str">
        <f t="shared" ca="1" si="10"/>
        <v/>
      </c>
      <c r="O672" s="25"/>
      <c r="P672" s="11" t="str">
        <f ca="1">IF(AND(B672&lt;&gt;"",F672&lt;&gt;"Cerrada",F672&lt;&gt;"Perdida",N672&lt;&gt;"",N672&gt;14),COUNTIFS($F$8:$F672,"&lt;&gt;Cerrada",$F$8:$F672,"&lt;&gt;Perdida",$N$8:$N672,"&gt;14"),"")</f>
        <v/>
      </c>
    </row>
    <row r="673" spans="2:16" ht="21.75" customHeight="1" x14ac:dyDescent="0.25">
      <c r="B673" s="40"/>
      <c r="C673" s="40"/>
      <c r="D673" s="40"/>
      <c r="E673" s="40"/>
      <c r="F673" s="39"/>
      <c r="G673" s="41"/>
      <c r="H673" s="40"/>
      <c r="I673" s="41"/>
      <c r="J673" s="42"/>
      <c r="K673" s="40"/>
      <c r="L673" s="40"/>
      <c r="M673" s="40" t="str">
        <f>IF(B673="","",IF(COUNTIFS(Cobranza!$C$9:$C$1008,B673,Cobranza!$N$9:$N$1008,"Vencida")&gt;0,"Vencida",IF(COUNTIFS(Cobranza!$C$9:$C$1008,B673,Cobranza!$N$9:$N$1008,"Parcial")&gt;0,"Parcial",IF(COUNTIFS(Cobranza!$C$9:$C$1008,B673,Cobranza!$N$9:$N$1008,"Pendiente")&gt;0,"Pendiente",IF(COUNTIFS(Cobranza!$C$9:$C$1008,B673,Cobranza!$N$9:$N$1008,"Pagada")&gt;0,"Pagada","")))))</f>
        <v/>
      </c>
      <c r="N673" s="33" t="str">
        <f t="shared" ca="1" si="10"/>
        <v/>
      </c>
      <c r="O673" s="25"/>
      <c r="P673" s="11" t="str">
        <f ca="1">IF(AND(B673&lt;&gt;"",F673&lt;&gt;"Cerrada",F673&lt;&gt;"Perdida",N673&lt;&gt;"",N673&gt;14),COUNTIFS($F$8:$F673,"&lt;&gt;Cerrada",$F$8:$F673,"&lt;&gt;Perdida",$N$8:$N673,"&gt;14"),"")</f>
        <v/>
      </c>
    </row>
    <row r="674" spans="2:16" ht="21.75" customHeight="1" x14ac:dyDescent="0.25">
      <c r="B674" s="40"/>
      <c r="C674" s="40"/>
      <c r="D674" s="40"/>
      <c r="E674" s="40"/>
      <c r="F674" s="39"/>
      <c r="G674" s="41"/>
      <c r="H674" s="40"/>
      <c r="I674" s="41"/>
      <c r="J674" s="42"/>
      <c r="K674" s="40"/>
      <c r="L674" s="40"/>
      <c r="M674" s="40" t="str">
        <f>IF(B674="","",IF(COUNTIFS(Cobranza!$C$9:$C$1008,B674,Cobranza!$N$9:$N$1008,"Vencida")&gt;0,"Vencida",IF(COUNTIFS(Cobranza!$C$9:$C$1008,B674,Cobranza!$N$9:$N$1008,"Parcial")&gt;0,"Parcial",IF(COUNTIFS(Cobranza!$C$9:$C$1008,B674,Cobranza!$N$9:$N$1008,"Pendiente")&gt;0,"Pendiente",IF(COUNTIFS(Cobranza!$C$9:$C$1008,B674,Cobranza!$N$9:$N$1008,"Pagada")&gt;0,"Pagada","")))))</f>
        <v/>
      </c>
      <c r="N674" s="33" t="str">
        <f t="shared" ca="1" si="10"/>
        <v/>
      </c>
      <c r="O674" s="25"/>
      <c r="P674" s="11" t="str">
        <f ca="1">IF(AND(B674&lt;&gt;"",F674&lt;&gt;"Cerrada",F674&lt;&gt;"Perdida",N674&lt;&gt;"",N674&gt;14),COUNTIFS($F$8:$F674,"&lt;&gt;Cerrada",$F$8:$F674,"&lt;&gt;Perdida",$N$8:$N674,"&gt;14"),"")</f>
        <v/>
      </c>
    </row>
    <row r="675" spans="2:16" ht="21.75" customHeight="1" x14ac:dyDescent="0.25">
      <c r="B675" s="40"/>
      <c r="C675" s="40"/>
      <c r="D675" s="40"/>
      <c r="E675" s="40"/>
      <c r="F675" s="39"/>
      <c r="G675" s="41"/>
      <c r="H675" s="40"/>
      <c r="I675" s="41"/>
      <c r="J675" s="42"/>
      <c r="K675" s="40"/>
      <c r="L675" s="40"/>
      <c r="M675" s="40" t="str">
        <f>IF(B675="","",IF(COUNTIFS(Cobranza!$C$9:$C$1008,B675,Cobranza!$N$9:$N$1008,"Vencida")&gt;0,"Vencida",IF(COUNTIFS(Cobranza!$C$9:$C$1008,B675,Cobranza!$N$9:$N$1008,"Parcial")&gt;0,"Parcial",IF(COUNTIFS(Cobranza!$C$9:$C$1008,B675,Cobranza!$N$9:$N$1008,"Pendiente")&gt;0,"Pendiente",IF(COUNTIFS(Cobranza!$C$9:$C$1008,B675,Cobranza!$N$9:$N$1008,"Pagada")&gt;0,"Pagada","")))))</f>
        <v/>
      </c>
      <c r="N675" s="33" t="str">
        <f t="shared" ca="1" si="10"/>
        <v/>
      </c>
      <c r="O675" s="25"/>
      <c r="P675" s="11" t="str">
        <f ca="1">IF(AND(B675&lt;&gt;"",F675&lt;&gt;"Cerrada",F675&lt;&gt;"Perdida",N675&lt;&gt;"",N675&gt;14),COUNTIFS($F$8:$F675,"&lt;&gt;Cerrada",$F$8:$F675,"&lt;&gt;Perdida",$N$8:$N675,"&gt;14"),"")</f>
        <v/>
      </c>
    </row>
    <row r="676" spans="2:16" ht="21.75" customHeight="1" x14ac:dyDescent="0.25">
      <c r="B676" s="40"/>
      <c r="C676" s="40"/>
      <c r="D676" s="40"/>
      <c r="E676" s="40"/>
      <c r="F676" s="39"/>
      <c r="G676" s="41"/>
      <c r="H676" s="40"/>
      <c r="I676" s="41"/>
      <c r="J676" s="42"/>
      <c r="K676" s="40"/>
      <c r="L676" s="40"/>
      <c r="M676" s="40" t="str">
        <f>IF(B676="","",IF(COUNTIFS(Cobranza!$C$9:$C$1008,B676,Cobranza!$N$9:$N$1008,"Vencida")&gt;0,"Vencida",IF(COUNTIFS(Cobranza!$C$9:$C$1008,B676,Cobranza!$N$9:$N$1008,"Parcial")&gt;0,"Parcial",IF(COUNTIFS(Cobranza!$C$9:$C$1008,B676,Cobranza!$N$9:$N$1008,"Pendiente")&gt;0,"Pendiente",IF(COUNTIFS(Cobranza!$C$9:$C$1008,B676,Cobranza!$N$9:$N$1008,"Pagada")&gt;0,"Pagada","")))))</f>
        <v/>
      </c>
      <c r="N676" s="33" t="str">
        <f t="shared" ca="1" si="10"/>
        <v/>
      </c>
      <c r="O676" s="25"/>
      <c r="P676" s="11" t="str">
        <f ca="1">IF(AND(B676&lt;&gt;"",F676&lt;&gt;"Cerrada",F676&lt;&gt;"Perdida",N676&lt;&gt;"",N676&gt;14),COUNTIFS($F$8:$F676,"&lt;&gt;Cerrada",$F$8:$F676,"&lt;&gt;Perdida",$N$8:$N676,"&gt;14"),"")</f>
        <v/>
      </c>
    </row>
    <row r="677" spans="2:16" ht="21.75" customHeight="1" x14ac:dyDescent="0.25">
      <c r="B677" s="40"/>
      <c r="C677" s="40"/>
      <c r="D677" s="40"/>
      <c r="E677" s="40"/>
      <c r="F677" s="39"/>
      <c r="G677" s="41"/>
      <c r="H677" s="40"/>
      <c r="I677" s="41"/>
      <c r="J677" s="42"/>
      <c r="K677" s="40"/>
      <c r="L677" s="40"/>
      <c r="M677" s="40" t="str">
        <f>IF(B677="","",IF(COUNTIFS(Cobranza!$C$9:$C$1008,B677,Cobranza!$N$9:$N$1008,"Vencida")&gt;0,"Vencida",IF(COUNTIFS(Cobranza!$C$9:$C$1008,B677,Cobranza!$N$9:$N$1008,"Parcial")&gt;0,"Parcial",IF(COUNTIFS(Cobranza!$C$9:$C$1008,B677,Cobranza!$N$9:$N$1008,"Pendiente")&gt;0,"Pendiente",IF(COUNTIFS(Cobranza!$C$9:$C$1008,B677,Cobranza!$N$9:$N$1008,"Pagada")&gt;0,"Pagada","")))))</f>
        <v/>
      </c>
      <c r="N677" s="33" t="str">
        <f t="shared" ca="1" si="10"/>
        <v/>
      </c>
      <c r="O677" s="25"/>
      <c r="P677" s="11" t="str">
        <f ca="1">IF(AND(B677&lt;&gt;"",F677&lt;&gt;"Cerrada",F677&lt;&gt;"Perdida",N677&lt;&gt;"",N677&gt;14),COUNTIFS($F$8:$F677,"&lt;&gt;Cerrada",$F$8:$F677,"&lt;&gt;Perdida",$N$8:$N677,"&gt;14"),"")</f>
        <v/>
      </c>
    </row>
    <row r="678" spans="2:16" ht="21.75" customHeight="1" x14ac:dyDescent="0.25">
      <c r="B678" s="40"/>
      <c r="C678" s="40"/>
      <c r="D678" s="40"/>
      <c r="E678" s="40"/>
      <c r="F678" s="39"/>
      <c r="G678" s="41"/>
      <c r="H678" s="40"/>
      <c r="I678" s="41"/>
      <c r="J678" s="42"/>
      <c r="K678" s="40"/>
      <c r="L678" s="40"/>
      <c r="M678" s="40" t="str">
        <f>IF(B678="","",IF(COUNTIFS(Cobranza!$C$9:$C$1008,B678,Cobranza!$N$9:$N$1008,"Vencida")&gt;0,"Vencida",IF(COUNTIFS(Cobranza!$C$9:$C$1008,B678,Cobranza!$N$9:$N$1008,"Parcial")&gt;0,"Parcial",IF(COUNTIFS(Cobranza!$C$9:$C$1008,B678,Cobranza!$N$9:$N$1008,"Pendiente")&gt;0,"Pendiente",IF(COUNTIFS(Cobranza!$C$9:$C$1008,B678,Cobranza!$N$9:$N$1008,"Pagada")&gt;0,"Pagada","")))))</f>
        <v/>
      </c>
      <c r="N678" s="33" t="str">
        <f t="shared" ca="1" si="10"/>
        <v/>
      </c>
      <c r="O678" s="25"/>
      <c r="P678" s="11" t="str">
        <f ca="1">IF(AND(B678&lt;&gt;"",F678&lt;&gt;"Cerrada",F678&lt;&gt;"Perdida",N678&lt;&gt;"",N678&gt;14),COUNTIFS($F$8:$F678,"&lt;&gt;Cerrada",$F$8:$F678,"&lt;&gt;Perdida",$N$8:$N678,"&gt;14"),"")</f>
        <v/>
      </c>
    </row>
    <row r="679" spans="2:16" ht="21.75" customHeight="1" x14ac:dyDescent="0.25">
      <c r="B679" s="40"/>
      <c r="C679" s="40"/>
      <c r="D679" s="40"/>
      <c r="E679" s="40"/>
      <c r="F679" s="39"/>
      <c r="G679" s="41"/>
      <c r="H679" s="40"/>
      <c r="I679" s="41"/>
      <c r="J679" s="42"/>
      <c r="K679" s="40"/>
      <c r="L679" s="40"/>
      <c r="M679" s="40" t="str">
        <f>IF(B679="","",IF(COUNTIFS(Cobranza!$C$9:$C$1008,B679,Cobranza!$N$9:$N$1008,"Vencida")&gt;0,"Vencida",IF(COUNTIFS(Cobranza!$C$9:$C$1008,B679,Cobranza!$N$9:$N$1008,"Parcial")&gt;0,"Parcial",IF(COUNTIFS(Cobranza!$C$9:$C$1008,B679,Cobranza!$N$9:$N$1008,"Pendiente")&gt;0,"Pendiente",IF(COUNTIFS(Cobranza!$C$9:$C$1008,B679,Cobranza!$N$9:$N$1008,"Pagada")&gt;0,"Pagada","")))))</f>
        <v/>
      </c>
      <c r="N679" s="33" t="str">
        <f t="shared" ca="1" si="10"/>
        <v/>
      </c>
      <c r="O679" s="25"/>
      <c r="P679" s="11" t="str">
        <f ca="1">IF(AND(B679&lt;&gt;"",F679&lt;&gt;"Cerrada",F679&lt;&gt;"Perdida",N679&lt;&gt;"",N679&gt;14),COUNTIFS($F$8:$F679,"&lt;&gt;Cerrada",$F$8:$F679,"&lt;&gt;Perdida",$N$8:$N679,"&gt;14"),"")</f>
        <v/>
      </c>
    </row>
    <row r="680" spans="2:16" ht="21.75" customHeight="1" x14ac:dyDescent="0.25">
      <c r="B680" s="40"/>
      <c r="C680" s="40"/>
      <c r="D680" s="40"/>
      <c r="E680" s="40"/>
      <c r="F680" s="39"/>
      <c r="G680" s="41"/>
      <c r="H680" s="40"/>
      <c r="I680" s="41"/>
      <c r="J680" s="42"/>
      <c r="K680" s="40"/>
      <c r="L680" s="40"/>
      <c r="M680" s="40" t="str">
        <f>IF(B680="","",IF(COUNTIFS(Cobranza!$C$9:$C$1008,B680,Cobranza!$N$9:$N$1008,"Vencida")&gt;0,"Vencida",IF(COUNTIFS(Cobranza!$C$9:$C$1008,B680,Cobranza!$N$9:$N$1008,"Parcial")&gt;0,"Parcial",IF(COUNTIFS(Cobranza!$C$9:$C$1008,B680,Cobranza!$N$9:$N$1008,"Pendiente")&gt;0,"Pendiente",IF(COUNTIFS(Cobranza!$C$9:$C$1008,B680,Cobranza!$N$9:$N$1008,"Pagada")&gt;0,"Pagada","")))))</f>
        <v/>
      </c>
      <c r="N680" s="33" t="str">
        <f t="shared" ca="1" si="10"/>
        <v/>
      </c>
      <c r="O680" s="25"/>
      <c r="P680" s="11" t="str">
        <f ca="1">IF(AND(B680&lt;&gt;"",F680&lt;&gt;"Cerrada",F680&lt;&gt;"Perdida",N680&lt;&gt;"",N680&gt;14),COUNTIFS($F$8:$F680,"&lt;&gt;Cerrada",$F$8:$F680,"&lt;&gt;Perdida",$N$8:$N680,"&gt;14"),"")</f>
        <v/>
      </c>
    </row>
    <row r="681" spans="2:16" ht="21.75" customHeight="1" x14ac:dyDescent="0.25">
      <c r="B681" s="40"/>
      <c r="C681" s="40"/>
      <c r="D681" s="40"/>
      <c r="E681" s="40"/>
      <c r="F681" s="39"/>
      <c r="G681" s="41"/>
      <c r="H681" s="40"/>
      <c r="I681" s="41"/>
      <c r="J681" s="42"/>
      <c r="K681" s="40"/>
      <c r="L681" s="40"/>
      <c r="M681" s="40" t="str">
        <f>IF(B681="","",IF(COUNTIFS(Cobranza!$C$9:$C$1008,B681,Cobranza!$N$9:$N$1008,"Vencida")&gt;0,"Vencida",IF(COUNTIFS(Cobranza!$C$9:$C$1008,B681,Cobranza!$N$9:$N$1008,"Parcial")&gt;0,"Parcial",IF(COUNTIFS(Cobranza!$C$9:$C$1008,B681,Cobranza!$N$9:$N$1008,"Pendiente")&gt;0,"Pendiente",IF(COUNTIFS(Cobranza!$C$9:$C$1008,B681,Cobranza!$N$9:$N$1008,"Pagada")&gt;0,"Pagada","")))))</f>
        <v/>
      </c>
      <c r="N681" s="33" t="str">
        <f t="shared" ca="1" si="10"/>
        <v/>
      </c>
      <c r="O681" s="25"/>
      <c r="P681" s="11" t="str">
        <f ca="1">IF(AND(B681&lt;&gt;"",F681&lt;&gt;"Cerrada",F681&lt;&gt;"Perdida",N681&lt;&gt;"",N681&gt;14),COUNTIFS($F$8:$F681,"&lt;&gt;Cerrada",$F$8:$F681,"&lt;&gt;Perdida",$N$8:$N681,"&gt;14"),"")</f>
        <v/>
      </c>
    </row>
    <row r="682" spans="2:16" ht="21.75" customHeight="1" x14ac:dyDescent="0.25">
      <c r="B682" s="40"/>
      <c r="C682" s="40"/>
      <c r="D682" s="40"/>
      <c r="E682" s="40"/>
      <c r="F682" s="39"/>
      <c r="G682" s="41"/>
      <c r="H682" s="40"/>
      <c r="I682" s="41"/>
      <c r="J682" s="42"/>
      <c r="K682" s="40"/>
      <c r="L682" s="40"/>
      <c r="M682" s="40" t="str">
        <f>IF(B682="","",IF(COUNTIFS(Cobranza!$C$9:$C$1008,B682,Cobranza!$N$9:$N$1008,"Vencida")&gt;0,"Vencida",IF(COUNTIFS(Cobranza!$C$9:$C$1008,B682,Cobranza!$N$9:$N$1008,"Parcial")&gt;0,"Parcial",IF(COUNTIFS(Cobranza!$C$9:$C$1008,B682,Cobranza!$N$9:$N$1008,"Pendiente")&gt;0,"Pendiente",IF(COUNTIFS(Cobranza!$C$9:$C$1008,B682,Cobranza!$N$9:$N$1008,"Pagada")&gt;0,"Pagada","")))))</f>
        <v/>
      </c>
      <c r="N682" s="33" t="str">
        <f t="shared" ca="1" si="10"/>
        <v/>
      </c>
      <c r="O682" s="25"/>
      <c r="P682" s="11" t="str">
        <f ca="1">IF(AND(B682&lt;&gt;"",F682&lt;&gt;"Cerrada",F682&lt;&gt;"Perdida",N682&lt;&gt;"",N682&gt;14),COUNTIFS($F$8:$F682,"&lt;&gt;Cerrada",$F$8:$F682,"&lt;&gt;Perdida",$N$8:$N682,"&gt;14"),"")</f>
        <v/>
      </c>
    </row>
    <row r="683" spans="2:16" ht="21.75" customHeight="1" x14ac:dyDescent="0.25">
      <c r="B683" s="40"/>
      <c r="C683" s="40"/>
      <c r="D683" s="40"/>
      <c r="E683" s="40"/>
      <c r="F683" s="39"/>
      <c r="G683" s="41"/>
      <c r="H683" s="40"/>
      <c r="I683" s="41"/>
      <c r="J683" s="42"/>
      <c r="K683" s="40"/>
      <c r="L683" s="40"/>
      <c r="M683" s="40" t="str">
        <f>IF(B683="","",IF(COUNTIFS(Cobranza!$C$9:$C$1008,B683,Cobranza!$N$9:$N$1008,"Vencida")&gt;0,"Vencida",IF(COUNTIFS(Cobranza!$C$9:$C$1008,B683,Cobranza!$N$9:$N$1008,"Parcial")&gt;0,"Parcial",IF(COUNTIFS(Cobranza!$C$9:$C$1008,B683,Cobranza!$N$9:$N$1008,"Pendiente")&gt;0,"Pendiente",IF(COUNTIFS(Cobranza!$C$9:$C$1008,B683,Cobranza!$N$9:$N$1008,"Pagada")&gt;0,"Pagada","")))))</f>
        <v/>
      </c>
      <c r="N683" s="33" t="str">
        <f t="shared" ca="1" si="10"/>
        <v/>
      </c>
      <c r="O683" s="25"/>
      <c r="P683" s="11" t="str">
        <f ca="1">IF(AND(B683&lt;&gt;"",F683&lt;&gt;"Cerrada",F683&lt;&gt;"Perdida",N683&lt;&gt;"",N683&gt;14),COUNTIFS($F$8:$F683,"&lt;&gt;Cerrada",$F$8:$F683,"&lt;&gt;Perdida",$N$8:$N683,"&gt;14"),"")</f>
        <v/>
      </c>
    </row>
    <row r="684" spans="2:16" ht="21.75" customHeight="1" x14ac:dyDescent="0.25">
      <c r="B684" s="40"/>
      <c r="C684" s="40"/>
      <c r="D684" s="40"/>
      <c r="E684" s="40"/>
      <c r="F684" s="39"/>
      <c r="G684" s="41"/>
      <c r="H684" s="40"/>
      <c r="I684" s="41"/>
      <c r="J684" s="42"/>
      <c r="K684" s="40"/>
      <c r="L684" s="40"/>
      <c r="M684" s="40" t="str">
        <f>IF(B684="","",IF(COUNTIFS(Cobranza!$C$9:$C$1008,B684,Cobranza!$N$9:$N$1008,"Vencida")&gt;0,"Vencida",IF(COUNTIFS(Cobranza!$C$9:$C$1008,B684,Cobranza!$N$9:$N$1008,"Parcial")&gt;0,"Parcial",IF(COUNTIFS(Cobranza!$C$9:$C$1008,B684,Cobranza!$N$9:$N$1008,"Pendiente")&gt;0,"Pendiente",IF(COUNTIFS(Cobranza!$C$9:$C$1008,B684,Cobranza!$N$9:$N$1008,"Pagada")&gt;0,"Pagada","")))))</f>
        <v/>
      </c>
      <c r="N684" s="33" t="str">
        <f t="shared" ca="1" si="10"/>
        <v/>
      </c>
      <c r="O684" s="25"/>
      <c r="P684" s="11" t="str">
        <f ca="1">IF(AND(B684&lt;&gt;"",F684&lt;&gt;"Cerrada",F684&lt;&gt;"Perdida",N684&lt;&gt;"",N684&gt;14),COUNTIFS($F$8:$F684,"&lt;&gt;Cerrada",$F$8:$F684,"&lt;&gt;Perdida",$N$8:$N684,"&gt;14"),"")</f>
        <v/>
      </c>
    </row>
    <row r="685" spans="2:16" ht="21.75" customHeight="1" x14ac:dyDescent="0.25">
      <c r="B685" s="40"/>
      <c r="C685" s="40"/>
      <c r="D685" s="40"/>
      <c r="E685" s="40"/>
      <c r="F685" s="39"/>
      <c r="G685" s="41"/>
      <c r="H685" s="40"/>
      <c r="I685" s="41"/>
      <c r="J685" s="42"/>
      <c r="K685" s="40"/>
      <c r="L685" s="40"/>
      <c r="M685" s="40" t="str">
        <f>IF(B685="","",IF(COUNTIFS(Cobranza!$C$9:$C$1008,B685,Cobranza!$N$9:$N$1008,"Vencida")&gt;0,"Vencida",IF(COUNTIFS(Cobranza!$C$9:$C$1008,B685,Cobranza!$N$9:$N$1008,"Parcial")&gt;0,"Parcial",IF(COUNTIFS(Cobranza!$C$9:$C$1008,B685,Cobranza!$N$9:$N$1008,"Pendiente")&gt;0,"Pendiente",IF(COUNTIFS(Cobranza!$C$9:$C$1008,B685,Cobranza!$N$9:$N$1008,"Pagada")&gt;0,"Pagada","")))))</f>
        <v/>
      </c>
      <c r="N685" s="33" t="str">
        <f t="shared" ca="1" si="10"/>
        <v/>
      </c>
      <c r="O685" s="25"/>
      <c r="P685" s="11" t="str">
        <f ca="1">IF(AND(B685&lt;&gt;"",F685&lt;&gt;"Cerrada",F685&lt;&gt;"Perdida",N685&lt;&gt;"",N685&gt;14),COUNTIFS($F$8:$F685,"&lt;&gt;Cerrada",$F$8:$F685,"&lt;&gt;Perdida",$N$8:$N685,"&gt;14"),"")</f>
        <v/>
      </c>
    </row>
    <row r="686" spans="2:16" ht="21.75" customHeight="1" x14ac:dyDescent="0.25">
      <c r="B686" s="40"/>
      <c r="C686" s="40"/>
      <c r="D686" s="40"/>
      <c r="E686" s="40"/>
      <c r="F686" s="39"/>
      <c r="G686" s="41"/>
      <c r="H686" s="40"/>
      <c r="I686" s="41"/>
      <c r="J686" s="42"/>
      <c r="K686" s="40"/>
      <c r="L686" s="40"/>
      <c r="M686" s="40" t="str">
        <f>IF(B686="","",IF(COUNTIFS(Cobranza!$C$9:$C$1008,B686,Cobranza!$N$9:$N$1008,"Vencida")&gt;0,"Vencida",IF(COUNTIFS(Cobranza!$C$9:$C$1008,B686,Cobranza!$N$9:$N$1008,"Parcial")&gt;0,"Parcial",IF(COUNTIFS(Cobranza!$C$9:$C$1008,B686,Cobranza!$N$9:$N$1008,"Pendiente")&gt;0,"Pendiente",IF(COUNTIFS(Cobranza!$C$9:$C$1008,B686,Cobranza!$N$9:$N$1008,"Pagada")&gt;0,"Pagada","")))))</f>
        <v/>
      </c>
      <c r="N686" s="33" t="str">
        <f t="shared" ca="1" si="10"/>
        <v/>
      </c>
      <c r="O686" s="25"/>
      <c r="P686" s="11" t="str">
        <f ca="1">IF(AND(B686&lt;&gt;"",F686&lt;&gt;"Cerrada",F686&lt;&gt;"Perdida",N686&lt;&gt;"",N686&gt;14),COUNTIFS($F$8:$F686,"&lt;&gt;Cerrada",$F$8:$F686,"&lt;&gt;Perdida",$N$8:$N686,"&gt;14"),"")</f>
        <v/>
      </c>
    </row>
    <row r="687" spans="2:16" ht="21.75" customHeight="1" x14ac:dyDescent="0.25">
      <c r="B687" s="40"/>
      <c r="C687" s="40"/>
      <c r="D687" s="40"/>
      <c r="E687" s="40"/>
      <c r="F687" s="39"/>
      <c r="G687" s="41"/>
      <c r="H687" s="40"/>
      <c r="I687" s="41"/>
      <c r="J687" s="42"/>
      <c r="K687" s="40"/>
      <c r="L687" s="40"/>
      <c r="M687" s="40" t="str">
        <f>IF(B687="","",IF(COUNTIFS(Cobranza!$C$9:$C$1008,B687,Cobranza!$N$9:$N$1008,"Vencida")&gt;0,"Vencida",IF(COUNTIFS(Cobranza!$C$9:$C$1008,B687,Cobranza!$N$9:$N$1008,"Parcial")&gt;0,"Parcial",IF(COUNTIFS(Cobranza!$C$9:$C$1008,B687,Cobranza!$N$9:$N$1008,"Pendiente")&gt;0,"Pendiente",IF(COUNTIFS(Cobranza!$C$9:$C$1008,B687,Cobranza!$N$9:$N$1008,"Pagada")&gt;0,"Pagada","")))))</f>
        <v/>
      </c>
      <c r="N687" s="33" t="str">
        <f t="shared" ca="1" si="10"/>
        <v/>
      </c>
      <c r="O687" s="25"/>
      <c r="P687" s="11" t="str">
        <f ca="1">IF(AND(B687&lt;&gt;"",F687&lt;&gt;"Cerrada",F687&lt;&gt;"Perdida",N687&lt;&gt;"",N687&gt;14),COUNTIFS($F$8:$F687,"&lt;&gt;Cerrada",$F$8:$F687,"&lt;&gt;Perdida",$N$8:$N687,"&gt;14"),"")</f>
        <v/>
      </c>
    </row>
    <row r="688" spans="2:16" ht="21.75" customHeight="1" x14ac:dyDescent="0.25">
      <c r="B688" s="40"/>
      <c r="C688" s="40"/>
      <c r="D688" s="40"/>
      <c r="E688" s="40"/>
      <c r="F688" s="39"/>
      <c r="G688" s="41"/>
      <c r="H688" s="40"/>
      <c r="I688" s="41"/>
      <c r="J688" s="42"/>
      <c r="K688" s="40"/>
      <c r="L688" s="40"/>
      <c r="M688" s="40" t="str">
        <f>IF(B688="","",IF(COUNTIFS(Cobranza!$C$9:$C$1008,B688,Cobranza!$N$9:$N$1008,"Vencida")&gt;0,"Vencida",IF(COUNTIFS(Cobranza!$C$9:$C$1008,B688,Cobranza!$N$9:$N$1008,"Parcial")&gt;0,"Parcial",IF(COUNTIFS(Cobranza!$C$9:$C$1008,B688,Cobranza!$N$9:$N$1008,"Pendiente")&gt;0,"Pendiente",IF(COUNTIFS(Cobranza!$C$9:$C$1008,B688,Cobranza!$N$9:$N$1008,"Pagada")&gt;0,"Pagada","")))))</f>
        <v/>
      </c>
      <c r="N688" s="33" t="str">
        <f t="shared" ca="1" si="10"/>
        <v/>
      </c>
      <c r="O688" s="25"/>
      <c r="P688" s="11" t="str">
        <f ca="1">IF(AND(B688&lt;&gt;"",F688&lt;&gt;"Cerrada",F688&lt;&gt;"Perdida",N688&lt;&gt;"",N688&gt;14),COUNTIFS($F$8:$F688,"&lt;&gt;Cerrada",$F$8:$F688,"&lt;&gt;Perdida",$N$8:$N688,"&gt;14"),"")</f>
        <v/>
      </c>
    </row>
    <row r="689" spans="2:16" ht="21.75" customHeight="1" x14ac:dyDescent="0.25">
      <c r="B689" s="40"/>
      <c r="C689" s="40"/>
      <c r="D689" s="40"/>
      <c r="E689" s="40"/>
      <c r="F689" s="39"/>
      <c r="G689" s="41"/>
      <c r="H689" s="40"/>
      <c r="I689" s="41"/>
      <c r="J689" s="42"/>
      <c r="K689" s="40"/>
      <c r="L689" s="40"/>
      <c r="M689" s="40" t="str">
        <f>IF(B689="","",IF(COUNTIFS(Cobranza!$C$9:$C$1008,B689,Cobranza!$N$9:$N$1008,"Vencida")&gt;0,"Vencida",IF(COUNTIFS(Cobranza!$C$9:$C$1008,B689,Cobranza!$N$9:$N$1008,"Parcial")&gt;0,"Parcial",IF(COUNTIFS(Cobranza!$C$9:$C$1008,B689,Cobranza!$N$9:$N$1008,"Pendiente")&gt;0,"Pendiente",IF(COUNTIFS(Cobranza!$C$9:$C$1008,B689,Cobranza!$N$9:$N$1008,"Pagada")&gt;0,"Pagada","")))))</f>
        <v/>
      </c>
      <c r="N689" s="33" t="str">
        <f t="shared" ca="1" si="10"/>
        <v/>
      </c>
      <c r="O689" s="25"/>
      <c r="P689" s="11" t="str">
        <f ca="1">IF(AND(B689&lt;&gt;"",F689&lt;&gt;"Cerrada",F689&lt;&gt;"Perdida",N689&lt;&gt;"",N689&gt;14),COUNTIFS($F$8:$F689,"&lt;&gt;Cerrada",$F$8:$F689,"&lt;&gt;Perdida",$N$8:$N689,"&gt;14"),"")</f>
        <v/>
      </c>
    </row>
    <row r="690" spans="2:16" ht="21.75" customHeight="1" x14ac:dyDescent="0.25">
      <c r="B690" s="40"/>
      <c r="C690" s="40"/>
      <c r="D690" s="40"/>
      <c r="E690" s="40"/>
      <c r="F690" s="39"/>
      <c r="G690" s="41"/>
      <c r="H690" s="40"/>
      <c r="I690" s="41"/>
      <c r="J690" s="42"/>
      <c r="K690" s="40"/>
      <c r="L690" s="40"/>
      <c r="M690" s="40" t="str">
        <f>IF(B690="","",IF(COUNTIFS(Cobranza!$C$9:$C$1008,B690,Cobranza!$N$9:$N$1008,"Vencida")&gt;0,"Vencida",IF(COUNTIFS(Cobranza!$C$9:$C$1008,B690,Cobranza!$N$9:$N$1008,"Parcial")&gt;0,"Parcial",IF(COUNTIFS(Cobranza!$C$9:$C$1008,B690,Cobranza!$N$9:$N$1008,"Pendiente")&gt;0,"Pendiente",IF(COUNTIFS(Cobranza!$C$9:$C$1008,B690,Cobranza!$N$9:$N$1008,"Pagada")&gt;0,"Pagada","")))))</f>
        <v/>
      </c>
      <c r="N690" s="33" t="str">
        <f t="shared" ca="1" si="10"/>
        <v/>
      </c>
      <c r="O690" s="25"/>
      <c r="P690" s="11" t="str">
        <f ca="1">IF(AND(B690&lt;&gt;"",F690&lt;&gt;"Cerrada",F690&lt;&gt;"Perdida",N690&lt;&gt;"",N690&gt;14),COUNTIFS($F$8:$F690,"&lt;&gt;Cerrada",$F$8:$F690,"&lt;&gt;Perdida",$N$8:$N690,"&gt;14"),"")</f>
        <v/>
      </c>
    </row>
    <row r="691" spans="2:16" ht="21.75" customHeight="1" x14ac:dyDescent="0.25">
      <c r="B691" s="40"/>
      <c r="C691" s="40"/>
      <c r="D691" s="40"/>
      <c r="E691" s="40"/>
      <c r="F691" s="39"/>
      <c r="G691" s="41"/>
      <c r="H691" s="40"/>
      <c r="I691" s="41"/>
      <c r="J691" s="42"/>
      <c r="K691" s="40"/>
      <c r="L691" s="40"/>
      <c r="M691" s="40" t="str">
        <f>IF(B691="","",IF(COUNTIFS(Cobranza!$C$9:$C$1008,B691,Cobranza!$N$9:$N$1008,"Vencida")&gt;0,"Vencida",IF(COUNTIFS(Cobranza!$C$9:$C$1008,B691,Cobranza!$N$9:$N$1008,"Parcial")&gt;0,"Parcial",IF(COUNTIFS(Cobranza!$C$9:$C$1008,B691,Cobranza!$N$9:$N$1008,"Pendiente")&gt;0,"Pendiente",IF(COUNTIFS(Cobranza!$C$9:$C$1008,B691,Cobranza!$N$9:$N$1008,"Pagada")&gt;0,"Pagada","")))))</f>
        <v/>
      </c>
      <c r="N691" s="33" t="str">
        <f t="shared" ca="1" si="10"/>
        <v/>
      </c>
      <c r="O691" s="25"/>
      <c r="P691" s="11" t="str">
        <f ca="1">IF(AND(B691&lt;&gt;"",F691&lt;&gt;"Cerrada",F691&lt;&gt;"Perdida",N691&lt;&gt;"",N691&gt;14),COUNTIFS($F$8:$F691,"&lt;&gt;Cerrada",$F$8:$F691,"&lt;&gt;Perdida",$N$8:$N691,"&gt;14"),"")</f>
        <v/>
      </c>
    </row>
    <row r="692" spans="2:16" ht="21.75" customHeight="1" x14ac:dyDescent="0.25">
      <c r="B692" s="40"/>
      <c r="C692" s="40"/>
      <c r="D692" s="40"/>
      <c r="E692" s="40"/>
      <c r="F692" s="39"/>
      <c r="G692" s="41"/>
      <c r="H692" s="40"/>
      <c r="I692" s="41"/>
      <c r="J692" s="42"/>
      <c r="K692" s="40"/>
      <c r="L692" s="40"/>
      <c r="M692" s="40" t="str">
        <f>IF(B692="","",IF(COUNTIFS(Cobranza!$C$9:$C$1008,B692,Cobranza!$N$9:$N$1008,"Vencida")&gt;0,"Vencida",IF(COUNTIFS(Cobranza!$C$9:$C$1008,B692,Cobranza!$N$9:$N$1008,"Parcial")&gt;0,"Parcial",IF(COUNTIFS(Cobranza!$C$9:$C$1008,B692,Cobranza!$N$9:$N$1008,"Pendiente")&gt;0,"Pendiente",IF(COUNTIFS(Cobranza!$C$9:$C$1008,B692,Cobranza!$N$9:$N$1008,"Pagada")&gt;0,"Pagada","")))))</f>
        <v/>
      </c>
      <c r="N692" s="33" t="str">
        <f t="shared" ca="1" si="10"/>
        <v/>
      </c>
      <c r="O692" s="25"/>
      <c r="P692" s="11" t="str">
        <f ca="1">IF(AND(B692&lt;&gt;"",F692&lt;&gt;"Cerrada",F692&lt;&gt;"Perdida",N692&lt;&gt;"",N692&gt;14),COUNTIFS($F$8:$F692,"&lt;&gt;Cerrada",$F$8:$F692,"&lt;&gt;Perdida",$N$8:$N692,"&gt;14"),"")</f>
        <v/>
      </c>
    </row>
    <row r="693" spans="2:16" ht="21.75" customHeight="1" x14ac:dyDescent="0.25">
      <c r="B693" s="40"/>
      <c r="C693" s="40"/>
      <c r="D693" s="40"/>
      <c r="E693" s="40"/>
      <c r="F693" s="39"/>
      <c r="G693" s="41"/>
      <c r="H693" s="40"/>
      <c r="I693" s="41"/>
      <c r="J693" s="42"/>
      <c r="K693" s="40"/>
      <c r="L693" s="40"/>
      <c r="M693" s="40" t="str">
        <f>IF(B693="","",IF(COUNTIFS(Cobranza!$C$9:$C$1008,B693,Cobranza!$N$9:$N$1008,"Vencida")&gt;0,"Vencida",IF(COUNTIFS(Cobranza!$C$9:$C$1008,B693,Cobranza!$N$9:$N$1008,"Parcial")&gt;0,"Parcial",IF(COUNTIFS(Cobranza!$C$9:$C$1008,B693,Cobranza!$N$9:$N$1008,"Pendiente")&gt;0,"Pendiente",IF(COUNTIFS(Cobranza!$C$9:$C$1008,B693,Cobranza!$N$9:$N$1008,"Pagada")&gt;0,"Pagada","")))))</f>
        <v/>
      </c>
      <c r="N693" s="33" t="str">
        <f t="shared" ca="1" si="10"/>
        <v/>
      </c>
      <c r="O693" s="25"/>
      <c r="P693" s="11" t="str">
        <f ca="1">IF(AND(B693&lt;&gt;"",F693&lt;&gt;"Cerrada",F693&lt;&gt;"Perdida",N693&lt;&gt;"",N693&gt;14),COUNTIFS($F$8:$F693,"&lt;&gt;Cerrada",$F$8:$F693,"&lt;&gt;Perdida",$N$8:$N693,"&gt;14"),"")</f>
        <v/>
      </c>
    </row>
    <row r="694" spans="2:16" ht="21.75" customHeight="1" x14ac:dyDescent="0.25">
      <c r="B694" s="40"/>
      <c r="C694" s="40"/>
      <c r="D694" s="40"/>
      <c r="E694" s="40"/>
      <c r="F694" s="39"/>
      <c r="G694" s="41"/>
      <c r="H694" s="40"/>
      <c r="I694" s="41"/>
      <c r="J694" s="42"/>
      <c r="K694" s="40"/>
      <c r="L694" s="40"/>
      <c r="M694" s="40" t="str">
        <f>IF(B694="","",IF(COUNTIFS(Cobranza!$C$9:$C$1008,B694,Cobranza!$N$9:$N$1008,"Vencida")&gt;0,"Vencida",IF(COUNTIFS(Cobranza!$C$9:$C$1008,B694,Cobranza!$N$9:$N$1008,"Parcial")&gt;0,"Parcial",IF(COUNTIFS(Cobranza!$C$9:$C$1008,B694,Cobranza!$N$9:$N$1008,"Pendiente")&gt;0,"Pendiente",IF(COUNTIFS(Cobranza!$C$9:$C$1008,B694,Cobranza!$N$9:$N$1008,"Pagada")&gt;0,"Pagada","")))))</f>
        <v/>
      </c>
      <c r="N694" s="33" t="str">
        <f t="shared" ca="1" si="10"/>
        <v/>
      </c>
      <c r="O694" s="25"/>
      <c r="P694" s="11" t="str">
        <f ca="1">IF(AND(B694&lt;&gt;"",F694&lt;&gt;"Cerrada",F694&lt;&gt;"Perdida",N694&lt;&gt;"",N694&gt;14),COUNTIFS($F$8:$F694,"&lt;&gt;Cerrada",$F$8:$F694,"&lt;&gt;Perdida",$N$8:$N694,"&gt;14"),"")</f>
        <v/>
      </c>
    </row>
    <row r="695" spans="2:16" ht="21.75" customHeight="1" x14ac:dyDescent="0.25">
      <c r="B695" s="40"/>
      <c r="C695" s="40"/>
      <c r="D695" s="40"/>
      <c r="E695" s="40"/>
      <c r="F695" s="39"/>
      <c r="G695" s="41"/>
      <c r="H695" s="40"/>
      <c r="I695" s="41"/>
      <c r="J695" s="42"/>
      <c r="K695" s="40"/>
      <c r="L695" s="40"/>
      <c r="M695" s="40" t="str">
        <f>IF(B695="","",IF(COUNTIFS(Cobranza!$C$9:$C$1008,B695,Cobranza!$N$9:$N$1008,"Vencida")&gt;0,"Vencida",IF(COUNTIFS(Cobranza!$C$9:$C$1008,B695,Cobranza!$N$9:$N$1008,"Parcial")&gt;0,"Parcial",IF(COUNTIFS(Cobranza!$C$9:$C$1008,B695,Cobranza!$N$9:$N$1008,"Pendiente")&gt;0,"Pendiente",IF(COUNTIFS(Cobranza!$C$9:$C$1008,B695,Cobranza!$N$9:$N$1008,"Pagada")&gt;0,"Pagada","")))))</f>
        <v/>
      </c>
      <c r="N695" s="33" t="str">
        <f t="shared" ca="1" si="10"/>
        <v/>
      </c>
      <c r="O695" s="25"/>
      <c r="P695" s="11" t="str">
        <f ca="1">IF(AND(B695&lt;&gt;"",F695&lt;&gt;"Cerrada",F695&lt;&gt;"Perdida",N695&lt;&gt;"",N695&gt;14),COUNTIFS($F$8:$F695,"&lt;&gt;Cerrada",$F$8:$F695,"&lt;&gt;Perdida",$N$8:$N695,"&gt;14"),"")</f>
        <v/>
      </c>
    </row>
    <row r="696" spans="2:16" ht="21.75" customHeight="1" x14ac:dyDescent="0.25">
      <c r="B696" s="40"/>
      <c r="C696" s="40"/>
      <c r="D696" s="40"/>
      <c r="E696" s="40"/>
      <c r="F696" s="39"/>
      <c r="G696" s="41"/>
      <c r="H696" s="40"/>
      <c r="I696" s="41"/>
      <c r="J696" s="42"/>
      <c r="K696" s="40"/>
      <c r="L696" s="40"/>
      <c r="M696" s="40" t="str">
        <f>IF(B696="","",IF(COUNTIFS(Cobranza!$C$9:$C$1008,B696,Cobranza!$N$9:$N$1008,"Vencida")&gt;0,"Vencida",IF(COUNTIFS(Cobranza!$C$9:$C$1008,B696,Cobranza!$N$9:$N$1008,"Parcial")&gt;0,"Parcial",IF(COUNTIFS(Cobranza!$C$9:$C$1008,B696,Cobranza!$N$9:$N$1008,"Pendiente")&gt;0,"Pendiente",IF(COUNTIFS(Cobranza!$C$9:$C$1008,B696,Cobranza!$N$9:$N$1008,"Pagada")&gt;0,"Pagada","")))))</f>
        <v/>
      </c>
      <c r="N696" s="33" t="str">
        <f t="shared" ca="1" si="10"/>
        <v/>
      </c>
      <c r="O696" s="25"/>
      <c r="P696" s="11" t="str">
        <f ca="1">IF(AND(B696&lt;&gt;"",F696&lt;&gt;"Cerrada",F696&lt;&gt;"Perdida",N696&lt;&gt;"",N696&gt;14),COUNTIFS($F$8:$F696,"&lt;&gt;Cerrada",$F$8:$F696,"&lt;&gt;Perdida",$N$8:$N696,"&gt;14"),"")</f>
        <v/>
      </c>
    </row>
    <row r="697" spans="2:16" ht="21.75" customHeight="1" x14ac:dyDescent="0.25">
      <c r="B697" s="40"/>
      <c r="C697" s="40"/>
      <c r="D697" s="40"/>
      <c r="E697" s="40"/>
      <c r="F697" s="39"/>
      <c r="G697" s="41"/>
      <c r="H697" s="40"/>
      <c r="I697" s="41"/>
      <c r="J697" s="42"/>
      <c r="K697" s="40"/>
      <c r="L697" s="40"/>
      <c r="M697" s="40" t="str">
        <f>IF(B697="","",IF(COUNTIFS(Cobranza!$C$9:$C$1008,B697,Cobranza!$N$9:$N$1008,"Vencida")&gt;0,"Vencida",IF(COUNTIFS(Cobranza!$C$9:$C$1008,B697,Cobranza!$N$9:$N$1008,"Parcial")&gt;0,"Parcial",IF(COUNTIFS(Cobranza!$C$9:$C$1008,B697,Cobranza!$N$9:$N$1008,"Pendiente")&gt;0,"Pendiente",IF(COUNTIFS(Cobranza!$C$9:$C$1008,B697,Cobranza!$N$9:$N$1008,"Pagada")&gt;0,"Pagada","")))))</f>
        <v/>
      </c>
      <c r="N697" s="33" t="str">
        <f t="shared" ca="1" si="10"/>
        <v/>
      </c>
      <c r="O697" s="25"/>
      <c r="P697" s="11" t="str">
        <f ca="1">IF(AND(B697&lt;&gt;"",F697&lt;&gt;"Cerrada",F697&lt;&gt;"Perdida",N697&lt;&gt;"",N697&gt;14),COUNTIFS($F$8:$F697,"&lt;&gt;Cerrada",$F$8:$F697,"&lt;&gt;Perdida",$N$8:$N697,"&gt;14"),"")</f>
        <v/>
      </c>
    </row>
    <row r="698" spans="2:16" ht="21.75" customHeight="1" x14ac:dyDescent="0.25">
      <c r="B698" s="40"/>
      <c r="C698" s="40"/>
      <c r="D698" s="40"/>
      <c r="E698" s="40"/>
      <c r="F698" s="39"/>
      <c r="G698" s="41"/>
      <c r="H698" s="40"/>
      <c r="I698" s="41"/>
      <c r="J698" s="42"/>
      <c r="K698" s="40"/>
      <c r="L698" s="40"/>
      <c r="M698" s="40" t="str">
        <f>IF(B698="","",IF(COUNTIFS(Cobranza!$C$9:$C$1008,B698,Cobranza!$N$9:$N$1008,"Vencida")&gt;0,"Vencida",IF(COUNTIFS(Cobranza!$C$9:$C$1008,B698,Cobranza!$N$9:$N$1008,"Parcial")&gt;0,"Parcial",IF(COUNTIFS(Cobranza!$C$9:$C$1008,B698,Cobranza!$N$9:$N$1008,"Pendiente")&gt;0,"Pendiente",IF(COUNTIFS(Cobranza!$C$9:$C$1008,B698,Cobranza!$N$9:$N$1008,"Pagada")&gt;0,"Pagada","")))))</f>
        <v/>
      </c>
      <c r="N698" s="33" t="str">
        <f t="shared" ca="1" si="10"/>
        <v/>
      </c>
      <c r="O698" s="25"/>
      <c r="P698" s="11" t="str">
        <f ca="1">IF(AND(B698&lt;&gt;"",F698&lt;&gt;"Cerrada",F698&lt;&gt;"Perdida",N698&lt;&gt;"",N698&gt;14),COUNTIFS($F$8:$F698,"&lt;&gt;Cerrada",$F$8:$F698,"&lt;&gt;Perdida",$N$8:$N698,"&gt;14"),"")</f>
        <v/>
      </c>
    </row>
    <row r="699" spans="2:16" ht="21.75" customHeight="1" x14ac:dyDescent="0.25">
      <c r="B699" s="40"/>
      <c r="C699" s="40"/>
      <c r="D699" s="40"/>
      <c r="E699" s="40"/>
      <c r="F699" s="39"/>
      <c r="G699" s="41"/>
      <c r="H699" s="40"/>
      <c r="I699" s="41"/>
      <c r="J699" s="42"/>
      <c r="K699" s="40"/>
      <c r="L699" s="40"/>
      <c r="M699" s="40" t="str">
        <f>IF(B699="","",IF(COUNTIFS(Cobranza!$C$9:$C$1008,B699,Cobranza!$N$9:$N$1008,"Vencida")&gt;0,"Vencida",IF(COUNTIFS(Cobranza!$C$9:$C$1008,B699,Cobranza!$N$9:$N$1008,"Parcial")&gt;0,"Parcial",IF(COUNTIFS(Cobranza!$C$9:$C$1008,B699,Cobranza!$N$9:$N$1008,"Pendiente")&gt;0,"Pendiente",IF(COUNTIFS(Cobranza!$C$9:$C$1008,B699,Cobranza!$N$9:$N$1008,"Pagada")&gt;0,"Pagada","")))))</f>
        <v/>
      </c>
      <c r="N699" s="33" t="str">
        <f t="shared" ca="1" si="10"/>
        <v/>
      </c>
      <c r="O699" s="25"/>
      <c r="P699" s="11" t="str">
        <f ca="1">IF(AND(B699&lt;&gt;"",F699&lt;&gt;"Cerrada",F699&lt;&gt;"Perdida",N699&lt;&gt;"",N699&gt;14),COUNTIFS($F$8:$F699,"&lt;&gt;Cerrada",$F$8:$F699,"&lt;&gt;Perdida",$N$8:$N699,"&gt;14"),"")</f>
        <v/>
      </c>
    </row>
    <row r="700" spans="2:16" ht="21.75" customHeight="1" x14ac:dyDescent="0.25">
      <c r="B700" s="40"/>
      <c r="C700" s="40"/>
      <c r="D700" s="40"/>
      <c r="E700" s="40"/>
      <c r="F700" s="39"/>
      <c r="G700" s="41"/>
      <c r="H700" s="40"/>
      <c r="I700" s="41"/>
      <c r="J700" s="42"/>
      <c r="K700" s="40"/>
      <c r="L700" s="40"/>
      <c r="M700" s="40" t="str">
        <f>IF(B700="","",IF(COUNTIFS(Cobranza!$C$9:$C$1008,B700,Cobranza!$N$9:$N$1008,"Vencida")&gt;0,"Vencida",IF(COUNTIFS(Cobranza!$C$9:$C$1008,B700,Cobranza!$N$9:$N$1008,"Parcial")&gt;0,"Parcial",IF(COUNTIFS(Cobranza!$C$9:$C$1008,B700,Cobranza!$N$9:$N$1008,"Pendiente")&gt;0,"Pendiente",IF(COUNTIFS(Cobranza!$C$9:$C$1008,B700,Cobranza!$N$9:$N$1008,"Pagada")&gt;0,"Pagada","")))))</f>
        <v/>
      </c>
      <c r="N700" s="33" t="str">
        <f t="shared" ca="1" si="10"/>
        <v/>
      </c>
      <c r="O700" s="25"/>
      <c r="P700" s="11" t="str">
        <f ca="1">IF(AND(B700&lt;&gt;"",F700&lt;&gt;"Cerrada",F700&lt;&gt;"Perdida",N700&lt;&gt;"",N700&gt;14),COUNTIFS($F$8:$F700,"&lt;&gt;Cerrada",$F$8:$F700,"&lt;&gt;Perdida",$N$8:$N700,"&gt;14"),"")</f>
        <v/>
      </c>
    </row>
    <row r="701" spans="2:16" ht="21.75" customHeight="1" x14ac:dyDescent="0.25">
      <c r="B701" s="40"/>
      <c r="C701" s="40"/>
      <c r="D701" s="40"/>
      <c r="E701" s="40"/>
      <c r="F701" s="39"/>
      <c r="G701" s="41"/>
      <c r="H701" s="40"/>
      <c r="I701" s="41"/>
      <c r="J701" s="42"/>
      <c r="K701" s="40"/>
      <c r="L701" s="40"/>
      <c r="M701" s="40" t="str">
        <f>IF(B701="","",IF(COUNTIFS(Cobranza!$C$9:$C$1008,B701,Cobranza!$N$9:$N$1008,"Vencida")&gt;0,"Vencida",IF(COUNTIFS(Cobranza!$C$9:$C$1008,B701,Cobranza!$N$9:$N$1008,"Parcial")&gt;0,"Parcial",IF(COUNTIFS(Cobranza!$C$9:$C$1008,B701,Cobranza!$N$9:$N$1008,"Pendiente")&gt;0,"Pendiente",IF(COUNTIFS(Cobranza!$C$9:$C$1008,B701,Cobranza!$N$9:$N$1008,"Pagada")&gt;0,"Pagada","")))))</f>
        <v/>
      </c>
      <c r="N701" s="33" t="str">
        <f t="shared" ca="1" si="10"/>
        <v/>
      </c>
      <c r="O701" s="25"/>
      <c r="P701" s="11" t="str">
        <f ca="1">IF(AND(B701&lt;&gt;"",F701&lt;&gt;"Cerrada",F701&lt;&gt;"Perdida",N701&lt;&gt;"",N701&gt;14),COUNTIFS($F$8:$F701,"&lt;&gt;Cerrada",$F$8:$F701,"&lt;&gt;Perdida",$N$8:$N701,"&gt;14"),"")</f>
        <v/>
      </c>
    </row>
    <row r="702" spans="2:16" ht="21.75" customHeight="1" x14ac:dyDescent="0.25">
      <c r="B702" s="40"/>
      <c r="C702" s="40"/>
      <c r="D702" s="40"/>
      <c r="E702" s="40"/>
      <c r="F702" s="39"/>
      <c r="G702" s="41"/>
      <c r="H702" s="40"/>
      <c r="I702" s="41"/>
      <c r="J702" s="42"/>
      <c r="K702" s="40"/>
      <c r="L702" s="40"/>
      <c r="M702" s="40" t="str">
        <f>IF(B702="","",IF(COUNTIFS(Cobranza!$C$9:$C$1008,B702,Cobranza!$N$9:$N$1008,"Vencida")&gt;0,"Vencida",IF(COUNTIFS(Cobranza!$C$9:$C$1008,B702,Cobranza!$N$9:$N$1008,"Parcial")&gt;0,"Parcial",IF(COUNTIFS(Cobranza!$C$9:$C$1008,B702,Cobranza!$N$9:$N$1008,"Pendiente")&gt;0,"Pendiente",IF(COUNTIFS(Cobranza!$C$9:$C$1008,B702,Cobranza!$N$9:$N$1008,"Pagada")&gt;0,"Pagada","")))))</f>
        <v/>
      </c>
      <c r="N702" s="33" t="str">
        <f t="shared" ca="1" si="10"/>
        <v/>
      </c>
      <c r="O702" s="25"/>
      <c r="P702" s="11" t="str">
        <f ca="1">IF(AND(B702&lt;&gt;"",F702&lt;&gt;"Cerrada",F702&lt;&gt;"Perdida",N702&lt;&gt;"",N702&gt;14),COUNTIFS($F$8:$F702,"&lt;&gt;Cerrada",$F$8:$F702,"&lt;&gt;Perdida",$N$8:$N702,"&gt;14"),"")</f>
        <v/>
      </c>
    </row>
    <row r="703" spans="2:16" ht="21.75" customHeight="1" x14ac:dyDescent="0.25">
      <c r="B703" s="40"/>
      <c r="C703" s="40"/>
      <c r="D703" s="40"/>
      <c r="E703" s="40"/>
      <c r="F703" s="39"/>
      <c r="G703" s="41"/>
      <c r="H703" s="40"/>
      <c r="I703" s="41"/>
      <c r="J703" s="42"/>
      <c r="K703" s="40"/>
      <c r="L703" s="40"/>
      <c r="M703" s="40" t="str">
        <f>IF(B703="","",IF(COUNTIFS(Cobranza!$C$9:$C$1008,B703,Cobranza!$N$9:$N$1008,"Vencida")&gt;0,"Vencida",IF(COUNTIFS(Cobranza!$C$9:$C$1008,B703,Cobranza!$N$9:$N$1008,"Parcial")&gt;0,"Parcial",IF(COUNTIFS(Cobranza!$C$9:$C$1008,B703,Cobranza!$N$9:$N$1008,"Pendiente")&gt;0,"Pendiente",IF(COUNTIFS(Cobranza!$C$9:$C$1008,B703,Cobranza!$N$9:$N$1008,"Pagada")&gt;0,"Pagada","")))))</f>
        <v/>
      </c>
      <c r="N703" s="33" t="str">
        <f t="shared" ca="1" si="10"/>
        <v/>
      </c>
      <c r="O703" s="25"/>
      <c r="P703" s="11" t="str">
        <f ca="1">IF(AND(B703&lt;&gt;"",F703&lt;&gt;"Cerrada",F703&lt;&gt;"Perdida",N703&lt;&gt;"",N703&gt;14),COUNTIFS($F$8:$F703,"&lt;&gt;Cerrada",$F$8:$F703,"&lt;&gt;Perdida",$N$8:$N703,"&gt;14"),"")</f>
        <v/>
      </c>
    </row>
    <row r="704" spans="2:16" ht="21.75" customHeight="1" x14ac:dyDescent="0.25">
      <c r="B704" s="40"/>
      <c r="C704" s="40"/>
      <c r="D704" s="40"/>
      <c r="E704" s="40"/>
      <c r="F704" s="39"/>
      <c r="G704" s="41"/>
      <c r="H704" s="40"/>
      <c r="I704" s="41"/>
      <c r="J704" s="42"/>
      <c r="K704" s="40"/>
      <c r="L704" s="40"/>
      <c r="M704" s="40" t="str">
        <f>IF(B704="","",IF(COUNTIFS(Cobranza!$C$9:$C$1008,B704,Cobranza!$N$9:$N$1008,"Vencida")&gt;0,"Vencida",IF(COUNTIFS(Cobranza!$C$9:$C$1008,B704,Cobranza!$N$9:$N$1008,"Parcial")&gt;0,"Parcial",IF(COUNTIFS(Cobranza!$C$9:$C$1008,B704,Cobranza!$N$9:$N$1008,"Pendiente")&gt;0,"Pendiente",IF(COUNTIFS(Cobranza!$C$9:$C$1008,B704,Cobranza!$N$9:$N$1008,"Pagada")&gt;0,"Pagada","")))))</f>
        <v/>
      </c>
      <c r="N704" s="33" t="str">
        <f t="shared" ca="1" si="10"/>
        <v/>
      </c>
      <c r="O704" s="25"/>
      <c r="P704" s="11" t="str">
        <f ca="1">IF(AND(B704&lt;&gt;"",F704&lt;&gt;"Cerrada",F704&lt;&gt;"Perdida",N704&lt;&gt;"",N704&gt;14),COUNTIFS($F$8:$F704,"&lt;&gt;Cerrada",$F$8:$F704,"&lt;&gt;Perdida",$N$8:$N704,"&gt;14"),"")</f>
        <v/>
      </c>
    </row>
    <row r="705" spans="2:16" ht="21.75" customHeight="1" x14ac:dyDescent="0.25">
      <c r="B705" s="40"/>
      <c r="C705" s="40"/>
      <c r="D705" s="40"/>
      <c r="E705" s="40"/>
      <c r="F705" s="39"/>
      <c r="G705" s="41"/>
      <c r="H705" s="40"/>
      <c r="I705" s="41"/>
      <c r="J705" s="42"/>
      <c r="K705" s="40"/>
      <c r="L705" s="40"/>
      <c r="M705" s="40" t="str">
        <f>IF(B705="","",IF(COUNTIFS(Cobranza!$C$9:$C$1008,B705,Cobranza!$N$9:$N$1008,"Vencida")&gt;0,"Vencida",IF(COUNTIFS(Cobranza!$C$9:$C$1008,B705,Cobranza!$N$9:$N$1008,"Parcial")&gt;0,"Parcial",IF(COUNTIFS(Cobranza!$C$9:$C$1008,B705,Cobranza!$N$9:$N$1008,"Pendiente")&gt;0,"Pendiente",IF(COUNTIFS(Cobranza!$C$9:$C$1008,B705,Cobranza!$N$9:$N$1008,"Pagada")&gt;0,"Pagada","")))))</f>
        <v/>
      </c>
      <c r="N705" s="33" t="str">
        <f t="shared" ca="1" si="10"/>
        <v/>
      </c>
      <c r="O705" s="25"/>
      <c r="P705" s="11" t="str">
        <f ca="1">IF(AND(B705&lt;&gt;"",F705&lt;&gt;"Cerrada",F705&lt;&gt;"Perdida",N705&lt;&gt;"",N705&gt;14),COUNTIFS($F$8:$F705,"&lt;&gt;Cerrada",$F$8:$F705,"&lt;&gt;Perdida",$N$8:$N705,"&gt;14"),"")</f>
        <v/>
      </c>
    </row>
    <row r="706" spans="2:16" ht="21.75" customHeight="1" x14ac:dyDescent="0.25">
      <c r="B706" s="40"/>
      <c r="C706" s="40"/>
      <c r="D706" s="40"/>
      <c r="E706" s="40"/>
      <c r="F706" s="39"/>
      <c r="G706" s="41"/>
      <c r="H706" s="40"/>
      <c r="I706" s="41"/>
      <c r="J706" s="42"/>
      <c r="K706" s="40"/>
      <c r="L706" s="40"/>
      <c r="M706" s="40" t="str">
        <f>IF(B706="","",IF(COUNTIFS(Cobranza!$C$9:$C$1008,B706,Cobranza!$N$9:$N$1008,"Vencida")&gt;0,"Vencida",IF(COUNTIFS(Cobranza!$C$9:$C$1008,B706,Cobranza!$N$9:$N$1008,"Parcial")&gt;0,"Parcial",IF(COUNTIFS(Cobranza!$C$9:$C$1008,B706,Cobranza!$N$9:$N$1008,"Pendiente")&gt;0,"Pendiente",IF(COUNTIFS(Cobranza!$C$9:$C$1008,B706,Cobranza!$N$9:$N$1008,"Pagada")&gt;0,"Pagada","")))))</f>
        <v/>
      </c>
      <c r="N706" s="33" t="str">
        <f t="shared" ca="1" si="10"/>
        <v/>
      </c>
      <c r="O706" s="25"/>
      <c r="P706" s="11" t="str">
        <f ca="1">IF(AND(B706&lt;&gt;"",F706&lt;&gt;"Cerrada",F706&lt;&gt;"Perdida",N706&lt;&gt;"",N706&gt;14),COUNTIFS($F$8:$F706,"&lt;&gt;Cerrada",$F$8:$F706,"&lt;&gt;Perdida",$N$8:$N706,"&gt;14"),"")</f>
        <v/>
      </c>
    </row>
    <row r="707" spans="2:16" ht="21.75" customHeight="1" x14ac:dyDescent="0.25">
      <c r="B707" s="40"/>
      <c r="C707" s="40"/>
      <c r="D707" s="40"/>
      <c r="E707" s="40"/>
      <c r="F707" s="39"/>
      <c r="G707" s="41"/>
      <c r="H707" s="40"/>
      <c r="I707" s="41"/>
      <c r="J707" s="42"/>
      <c r="K707" s="40"/>
      <c r="L707" s="40"/>
      <c r="M707" s="40" t="str">
        <f>IF(B707="","",IF(COUNTIFS(Cobranza!$C$9:$C$1008,B707,Cobranza!$N$9:$N$1008,"Vencida")&gt;0,"Vencida",IF(COUNTIFS(Cobranza!$C$9:$C$1008,B707,Cobranza!$N$9:$N$1008,"Parcial")&gt;0,"Parcial",IF(COUNTIFS(Cobranza!$C$9:$C$1008,B707,Cobranza!$N$9:$N$1008,"Pendiente")&gt;0,"Pendiente",IF(COUNTIFS(Cobranza!$C$9:$C$1008,B707,Cobranza!$N$9:$N$1008,"Pagada")&gt;0,"Pagada","")))))</f>
        <v/>
      </c>
      <c r="N707" s="33" t="str">
        <f t="shared" ca="1" si="10"/>
        <v/>
      </c>
      <c r="O707" s="25"/>
      <c r="P707" s="11" t="str">
        <f ca="1">IF(AND(B707&lt;&gt;"",F707&lt;&gt;"Cerrada",F707&lt;&gt;"Perdida",N707&lt;&gt;"",N707&gt;14),COUNTIFS($F$8:$F707,"&lt;&gt;Cerrada",$F$8:$F707,"&lt;&gt;Perdida",$N$8:$N707,"&gt;14"),"")</f>
        <v/>
      </c>
    </row>
    <row r="708" spans="2:16" ht="21.75" customHeight="1" x14ac:dyDescent="0.25">
      <c r="B708" s="40"/>
      <c r="C708" s="40"/>
      <c r="D708" s="40"/>
      <c r="E708" s="40"/>
      <c r="F708" s="39"/>
      <c r="G708" s="41"/>
      <c r="H708" s="40"/>
      <c r="I708" s="41"/>
      <c r="J708" s="42"/>
      <c r="K708" s="40"/>
      <c r="L708" s="40"/>
      <c r="M708" s="40" t="str">
        <f>IF(B708="","",IF(COUNTIFS(Cobranza!$C$9:$C$1008,B708,Cobranza!$N$9:$N$1008,"Vencida")&gt;0,"Vencida",IF(COUNTIFS(Cobranza!$C$9:$C$1008,B708,Cobranza!$N$9:$N$1008,"Parcial")&gt;0,"Parcial",IF(COUNTIFS(Cobranza!$C$9:$C$1008,B708,Cobranza!$N$9:$N$1008,"Pendiente")&gt;0,"Pendiente",IF(COUNTIFS(Cobranza!$C$9:$C$1008,B708,Cobranza!$N$9:$N$1008,"Pagada")&gt;0,"Pagada","")))))</f>
        <v/>
      </c>
      <c r="N708" s="33" t="str">
        <f t="shared" ca="1" si="10"/>
        <v/>
      </c>
      <c r="O708" s="25"/>
      <c r="P708" s="11" t="str">
        <f ca="1">IF(AND(B708&lt;&gt;"",F708&lt;&gt;"Cerrada",F708&lt;&gt;"Perdida",N708&lt;&gt;"",N708&gt;14),COUNTIFS($F$8:$F708,"&lt;&gt;Cerrada",$F$8:$F708,"&lt;&gt;Perdida",$N$8:$N708,"&gt;14"),"")</f>
        <v/>
      </c>
    </row>
    <row r="709" spans="2:16" ht="21.75" customHeight="1" x14ac:dyDescent="0.25">
      <c r="B709" s="40"/>
      <c r="C709" s="40"/>
      <c r="D709" s="40"/>
      <c r="E709" s="40"/>
      <c r="F709" s="39"/>
      <c r="G709" s="41"/>
      <c r="H709" s="40"/>
      <c r="I709" s="41"/>
      <c r="J709" s="42"/>
      <c r="K709" s="40"/>
      <c r="L709" s="40"/>
      <c r="M709" s="40" t="str">
        <f>IF(B709="","",IF(COUNTIFS(Cobranza!$C$9:$C$1008,B709,Cobranza!$N$9:$N$1008,"Vencida")&gt;0,"Vencida",IF(COUNTIFS(Cobranza!$C$9:$C$1008,B709,Cobranza!$N$9:$N$1008,"Parcial")&gt;0,"Parcial",IF(COUNTIFS(Cobranza!$C$9:$C$1008,B709,Cobranza!$N$9:$N$1008,"Pendiente")&gt;0,"Pendiente",IF(COUNTIFS(Cobranza!$C$9:$C$1008,B709,Cobranza!$N$9:$N$1008,"Pagada")&gt;0,"Pagada","")))))</f>
        <v/>
      </c>
      <c r="N709" s="33" t="str">
        <f t="shared" ca="1" si="10"/>
        <v/>
      </c>
      <c r="O709" s="25"/>
      <c r="P709" s="11" t="str">
        <f ca="1">IF(AND(B709&lt;&gt;"",F709&lt;&gt;"Cerrada",F709&lt;&gt;"Perdida",N709&lt;&gt;"",N709&gt;14),COUNTIFS($F$8:$F709,"&lt;&gt;Cerrada",$F$8:$F709,"&lt;&gt;Perdida",$N$8:$N709,"&gt;14"),"")</f>
        <v/>
      </c>
    </row>
    <row r="710" spans="2:16" ht="21.75" customHeight="1" x14ac:dyDescent="0.25">
      <c r="B710" s="40"/>
      <c r="C710" s="40"/>
      <c r="D710" s="40"/>
      <c r="E710" s="40"/>
      <c r="F710" s="39"/>
      <c r="G710" s="41"/>
      <c r="H710" s="40"/>
      <c r="I710" s="41"/>
      <c r="J710" s="42"/>
      <c r="K710" s="40"/>
      <c r="L710" s="40"/>
      <c r="M710" s="40" t="str">
        <f>IF(B710="","",IF(COUNTIFS(Cobranza!$C$9:$C$1008,B710,Cobranza!$N$9:$N$1008,"Vencida")&gt;0,"Vencida",IF(COUNTIFS(Cobranza!$C$9:$C$1008,B710,Cobranza!$N$9:$N$1008,"Parcial")&gt;0,"Parcial",IF(COUNTIFS(Cobranza!$C$9:$C$1008,B710,Cobranza!$N$9:$N$1008,"Pendiente")&gt;0,"Pendiente",IF(COUNTIFS(Cobranza!$C$9:$C$1008,B710,Cobranza!$N$9:$N$1008,"Pagada")&gt;0,"Pagada","")))))</f>
        <v/>
      </c>
      <c r="N710" s="33" t="str">
        <f t="shared" ca="1" si="10"/>
        <v/>
      </c>
      <c r="O710" s="25"/>
      <c r="P710" s="11" t="str">
        <f ca="1">IF(AND(B710&lt;&gt;"",F710&lt;&gt;"Cerrada",F710&lt;&gt;"Perdida",N710&lt;&gt;"",N710&gt;14),COUNTIFS($F$8:$F710,"&lt;&gt;Cerrada",$F$8:$F710,"&lt;&gt;Perdida",$N$8:$N710,"&gt;14"),"")</f>
        <v/>
      </c>
    </row>
    <row r="711" spans="2:16" ht="21.75" customHeight="1" x14ac:dyDescent="0.25">
      <c r="B711" s="40"/>
      <c r="C711" s="40"/>
      <c r="D711" s="40"/>
      <c r="E711" s="40"/>
      <c r="F711" s="39"/>
      <c r="G711" s="41"/>
      <c r="H711" s="40"/>
      <c r="I711" s="41"/>
      <c r="J711" s="42"/>
      <c r="K711" s="40"/>
      <c r="L711" s="40"/>
      <c r="M711" s="40" t="str">
        <f>IF(B711="","",IF(COUNTIFS(Cobranza!$C$9:$C$1008,B711,Cobranza!$N$9:$N$1008,"Vencida")&gt;0,"Vencida",IF(COUNTIFS(Cobranza!$C$9:$C$1008,B711,Cobranza!$N$9:$N$1008,"Parcial")&gt;0,"Parcial",IF(COUNTIFS(Cobranza!$C$9:$C$1008,B711,Cobranza!$N$9:$N$1008,"Pendiente")&gt;0,"Pendiente",IF(COUNTIFS(Cobranza!$C$9:$C$1008,B711,Cobranza!$N$9:$N$1008,"Pagada")&gt;0,"Pagada","")))))</f>
        <v/>
      </c>
      <c r="N711" s="33" t="str">
        <f t="shared" ca="1" si="10"/>
        <v/>
      </c>
      <c r="O711" s="25"/>
      <c r="P711" s="11" t="str">
        <f ca="1">IF(AND(B711&lt;&gt;"",F711&lt;&gt;"Cerrada",F711&lt;&gt;"Perdida",N711&lt;&gt;"",N711&gt;14),COUNTIFS($F$8:$F711,"&lt;&gt;Cerrada",$F$8:$F711,"&lt;&gt;Perdida",$N$8:$N711,"&gt;14"),"")</f>
        <v/>
      </c>
    </row>
    <row r="712" spans="2:16" ht="21.75" customHeight="1" x14ac:dyDescent="0.25">
      <c r="B712" s="40"/>
      <c r="C712" s="40"/>
      <c r="D712" s="40"/>
      <c r="E712" s="40"/>
      <c r="F712" s="39"/>
      <c r="G712" s="41"/>
      <c r="H712" s="40"/>
      <c r="I712" s="41"/>
      <c r="J712" s="42"/>
      <c r="K712" s="40"/>
      <c r="L712" s="40"/>
      <c r="M712" s="40" t="str">
        <f>IF(B712="","",IF(COUNTIFS(Cobranza!$C$9:$C$1008,B712,Cobranza!$N$9:$N$1008,"Vencida")&gt;0,"Vencida",IF(COUNTIFS(Cobranza!$C$9:$C$1008,B712,Cobranza!$N$9:$N$1008,"Parcial")&gt;0,"Parcial",IF(COUNTIFS(Cobranza!$C$9:$C$1008,B712,Cobranza!$N$9:$N$1008,"Pendiente")&gt;0,"Pendiente",IF(COUNTIFS(Cobranza!$C$9:$C$1008,B712,Cobranza!$N$9:$N$1008,"Pagada")&gt;0,"Pagada","")))))</f>
        <v/>
      </c>
      <c r="N712" s="33" t="str">
        <f t="shared" ref="N712:N775" ca="1" si="11">IF(I712="","",MAX(0,TODAY()-I712))</f>
        <v/>
      </c>
      <c r="O712" s="25"/>
      <c r="P712" s="11" t="str">
        <f ca="1">IF(AND(B712&lt;&gt;"",F712&lt;&gt;"Cerrada",F712&lt;&gt;"Perdida",N712&lt;&gt;"",N712&gt;14),COUNTIFS($F$8:$F712,"&lt;&gt;Cerrada",$F$8:$F712,"&lt;&gt;Perdida",$N$8:$N712,"&gt;14"),"")</f>
        <v/>
      </c>
    </row>
    <row r="713" spans="2:16" ht="21.75" customHeight="1" x14ac:dyDescent="0.25">
      <c r="B713" s="40"/>
      <c r="C713" s="40"/>
      <c r="D713" s="40"/>
      <c r="E713" s="40"/>
      <c r="F713" s="39"/>
      <c r="G713" s="41"/>
      <c r="H713" s="40"/>
      <c r="I713" s="41"/>
      <c r="J713" s="42"/>
      <c r="K713" s="40"/>
      <c r="L713" s="40"/>
      <c r="M713" s="40" t="str">
        <f>IF(B713="","",IF(COUNTIFS(Cobranza!$C$9:$C$1008,B713,Cobranza!$N$9:$N$1008,"Vencida")&gt;0,"Vencida",IF(COUNTIFS(Cobranza!$C$9:$C$1008,B713,Cobranza!$N$9:$N$1008,"Parcial")&gt;0,"Parcial",IF(COUNTIFS(Cobranza!$C$9:$C$1008,B713,Cobranza!$N$9:$N$1008,"Pendiente")&gt;0,"Pendiente",IF(COUNTIFS(Cobranza!$C$9:$C$1008,B713,Cobranza!$N$9:$N$1008,"Pagada")&gt;0,"Pagada","")))))</f>
        <v/>
      </c>
      <c r="N713" s="33" t="str">
        <f t="shared" ca="1" si="11"/>
        <v/>
      </c>
      <c r="O713" s="25"/>
      <c r="P713" s="11" t="str">
        <f ca="1">IF(AND(B713&lt;&gt;"",F713&lt;&gt;"Cerrada",F713&lt;&gt;"Perdida",N713&lt;&gt;"",N713&gt;14),COUNTIFS($F$8:$F713,"&lt;&gt;Cerrada",$F$8:$F713,"&lt;&gt;Perdida",$N$8:$N713,"&gt;14"),"")</f>
        <v/>
      </c>
    </row>
    <row r="714" spans="2:16" ht="21.75" customHeight="1" x14ac:dyDescent="0.25">
      <c r="B714" s="40"/>
      <c r="C714" s="40"/>
      <c r="D714" s="40"/>
      <c r="E714" s="40"/>
      <c r="F714" s="39"/>
      <c r="G714" s="41"/>
      <c r="H714" s="40"/>
      <c r="I714" s="41"/>
      <c r="J714" s="42"/>
      <c r="K714" s="40"/>
      <c r="L714" s="40"/>
      <c r="M714" s="40" t="str">
        <f>IF(B714="","",IF(COUNTIFS(Cobranza!$C$9:$C$1008,B714,Cobranza!$N$9:$N$1008,"Vencida")&gt;0,"Vencida",IF(COUNTIFS(Cobranza!$C$9:$C$1008,B714,Cobranza!$N$9:$N$1008,"Parcial")&gt;0,"Parcial",IF(COUNTIFS(Cobranza!$C$9:$C$1008,B714,Cobranza!$N$9:$N$1008,"Pendiente")&gt;0,"Pendiente",IF(COUNTIFS(Cobranza!$C$9:$C$1008,B714,Cobranza!$N$9:$N$1008,"Pagada")&gt;0,"Pagada","")))))</f>
        <v/>
      </c>
      <c r="N714" s="33" t="str">
        <f t="shared" ca="1" si="11"/>
        <v/>
      </c>
      <c r="O714" s="25"/>
      <c r="P714" s="11" t="str">
        <f ca="1">IF(AND(B714&lt;&gt;"",F714&lt;&gt;"Cerrada",F714&lt;&gt;"Perdida",N714&lt;&gt;"",N714&gt;14),COUNTIFS($F$8:$F714,"&lt;&gt;Cerrada",$F$8:$F714,"&lt;&gt;Perdida",$N$8:$N714,"&gt;14"),"")</f>
        <v/>
      </c>
    </row>
    <row r="715" spans="2:16" ht="21.75" customHeight="1" x14ac:dyDescent="0.25">
      <c r="B715" s="40"/>
      <c r="C715" s="40"/>
      <c r="D715" s="40"/>
      <c r="E715" s="40"/>
      <c r="F715" s="39"/>
      <c r="G715" s="41"/>
      <c r="H715" s="40"/>
      <c r="I715" s="41"/>
      <c r="J715" s="42"/>
      <c r="K715" s="40"/>
      <c r="L715" s="40"/>
      <c r="M715" s="40" t="str">
        <f>IF(B715="","",IF(COUNTIFS(Cobranza!$C$9:$C$1008,B715,Cobranza!$N$9:$N$1008,"Vencida")&gt;0,"Vencida",IF(COUNTIFS(Cobranza!$C$9:$C$1008,B715,Cobranza!$N$9:$N$1008,"Parcial")&gt;0,"Parcial",IF(COUNTIFS(Cobranza!$C$9:$C$1008,B715,Cobranza!$N$9:$N$1008,"Pendiente")&gt;0,"Pendiente",IF(COUNTIFS(Cobranza!$C$9:$C$1008,B715,Cobranza!$N$9:$N$1008,"Pagada")&gt;0,"Pagada","")))))</f>
        <v/>
      </c>
      <c r="N715" s="33" t="str">
        <f t="shared" ca="1" si="11"/>
        <v/>
      </c>
      <c r="O715" s="25"/>
      <c r="P715" s="11" t="str">
        <f ca="1">IF(AND(B715&lt;&gt;"",F715&lt;&gt;"Cerrada",F715&lt;&gt;"Perdida",N715&lt;&gt;"",N715&gt;14),COUNTIFS($F$8:$F715,"&lt;&gt;Cerrada",$F$8:$F715,"&lt;&gt;Perdida",$N$8:$N715,"&gt;14"),"")</f>
        <v/>
      </c>
    </row>
    <row r="716" spans="2:16" ht="21.75" customHeight="1" x14ac:dyDescent="0.25">
      <c r="B716" s="40"/>
      <c r="C716" s="40"/>
      <c r="D716" s="40"/>
      <c r="E716" s="40"/>
      <c r="F716" s="39"/>
      <c r="G716" s="41"/>
      <c r="H716" s="40"/>
      <c r="I716" s="41"/>
      <c r="J716" s="42"/>
      <c r="K716" s="40"/>
      <c r="L716" s="40"/>
      <c r="M716" s="40" t="str">
        <f>IF(B716="","",IF(COUNTIFS(Cobranza!$C$9:$C$1008,B716,Cobranza!$N$9:$N$1008,"Vencida")&gt;0,"Vencida",IF(COUNTIFS(Cobranza!$C$9:$C$1008,B716,Cobranza!$N$9:$N$1008,"Parcial")&gt;0,"Parcial",IF(COUNTIFS(Cobranza!$C$9:$C$1008,B716,Cobranza!$N$9:$N$1008,"Pendiente")&gt;0,"Pendiente",IF(COUNTIFS(Cobranza!$C$9:$C$1008,B716,Cobranza!$N$9:$N$1008,"Pagada")&gt;0,"Pagada","")))))</f>
        <v/>
      </c>
      <c r="N716" s="33" t="str">
        <f t="shared" ca="1" si="11"/>
        <v/>
      </c>
      <c r="O716" s="25"/>
      <c r="P716" s="11" t="str">
        <f ca="1">IF(AND(B716&lt;&gt;"",F716&lt;&gt;"Cerrada",F716&lt;&gt;"Perdida",N716&lt;&gt;"",N716&gt;14),COUNTIFS($F$8:$F716,"&lt;&gt;Cerrada",$F$8:$F716,"&lt;&gt;Perdida",$N$8:$N716,"&gt;14"),"")</f>
        <v/>
      </c>
    </row>
    <row r="717" spans="2:16" ht="21.75" customHeight="1" x14ac:dyDescent="0.25">
      <c r="B717" s="40"/>
      <c r="C717" s="40"/>
      <c r="D717" s="40"/>
      <c r="E717" s="40"/>
      <c r="F717" s="39"/>
      <c r="G717" s="41"/>
      <c r="H717" s="40"/>
      <c r="I717" s="41"/>
      <c r="J717" s="42"/>
      <c r="K717" s="40"/>
      <c r="L717" s="40"/>
      <c r="M717" s="40" t="str">
        <f>IF(B717="","",IF(COUNTIFS(Cobranza!$C$9:$C$1008,B717,Cobranza!$N$9:$N$1008,"Vencida")&gt;0,"Vencida",IF(COUNTIFS(Cobranza!$C$9:$C$1008,B717,Cobranza!$N$9:$N$1008,"Parcial")&gt;0,"Parcial",IF(COUNTIFS(Cobranza!$C$9:$C$1008,B717,Cobranza!$N$9:$N$1008,"Pendiente")&gt;0,"Pendiente",IF(COUNTIFS(Cobranza!$C$9:$C$1008,B717,Cobranza!$N$9:$N$1008,"Pagada")&gt;0,"Pagada","")))))</f>
        <v/>
      </c>
      <c r="N717" s="33" t="str">
        <f t="shared" ca="1" si="11"/>
        <v/>
      </c>
      <c r="O717" s="25"/>
      <c r="P717" s="11" t="str">
        <f ca="1">IF(AND(B717&lt;&gt;"",F717&lt;&gt;"Cerrada",F717&lt;&gt;"Perdida",N717&lt;&gt;"",N717&gt;14),COUNTIFS($F$8:$F717,"&lt;&gt;Cerrada",$F$8:$F717,"&lt;&gt;Perdida",$N$8:$N717,"&gt;14"),"")</f>
        <v/>
      </c>
    </row>
    <row r="718" spans="2:16" ht="21.75" customHeight="1" x14ac:dyDescent="0.25">
      <c r="B718" s="40"/>
      <c r="C718" s="40"/>
      <c r="D718" s="40"/>
      <c r="E718" s="40"/>
      <c r="F718" s="39"/>
      <c r="G718" s="41"/>
      <c r="H718" s="40"/>
      <c r="I718" s="41"/>
      <c r="J718" s="42"/>
      <c r="K718" s="40"/>
      <c r="L718" s="40"/>
      <c r="M718" s="40" t="str">
        <f>IF(B718="","",IF(COUNTIFS(Cobranza!$C$9:$C$1008,B718,Cobranza!$N$9:$N$1008,"Vencida")&gt;0,"Vencida",IF(COUNTIFS(Cobranza!$C$9:$C$1008,B718,Cobranza!$N$9:$N$1008,"Parcial")&gt;0,"Parcial",IF(COUNTIFS(Cobranza!$C$9:$C$1008,B718,Cobranza!$N$9:$N$1008,"Pendiente")&gt;0,"Pendiente",IF(COUNTIFS(Cobranza!$C$9:$C$1008,B718,Cobranza!$N$9:$N$1008,"Pagada")&gt;0,"Pagada","")))))</f>
        <v/>
      </c>
      <c r="N718" s="33" t="str">
        <f t="shared" ca="1" si="11"/>
        <v/>
      </c>
      <c r="O718" s="25"/>
      <c r="P718" s="11" t="str">
        <f ca="1">IF(AND(B718&lt;&gt;"",F718&lt;&gt;"Cerrada",F718&lt;&gt;"Perdida",N718&lt;&gt;"",N718&gt;14),COUNTIFS($F$8:$F718,"&lt;&gt;Cerrada",$F$8:$F718,"&lt;&gt;Perdida",$N$8:$N718,"&gt;14"),"")</f>
        <v/>
      </c>
    </row>
    <row r="719" spans="2:16" ht="21.75" customHeight="1" x14ac:dyDescent="0.25">
      <c r="B719" s="40"/>
      <c r="C719" s="40"/>
      <c r="D719" s="40"/>
      <c r="E719" s="40"/>
      <c r="F719" s="39"/>
      <c r="G719" s="41"/>
      <c r="H719" s="40"/>
      <c r="I719" s="41"/>
      <c r="J719" s="42"/>
      <c r="K719" s="40"/>
      <c r="L719" s="40"/>
      <c r="M719" s="40" t="str">
        <f>IF(B719="","",IF(COUNTIFS(Cobranza!$C$9:$C$1008,B719,Cobranza!$N$9:$N$1008,"Vencida")&gt;0,"Vencida",IF(COUNTIFS(Cobranza!$C$9:$C$1008,B719,Cobranza!$N$9:$N$1008,"Parcial")&gt;0,"Parcial",IF(COUNTIFS(Cobranza!$C$9:$C$1008,B719,Cobranza!$N$9:$N$1008,"Pendiente")&gt;0,"Pendiente",IF(COUNTIFS(Cobranza!$C$9:$C$1008,B719,Cobranza!$N$9:$N$1008,"Pagada")&gt;0,"Pagada","")))))</f>
        <v/>
      </c>
      <c r="N719" s="33" t="str">
        <f t="shared" ca="1" si="11"/>
        <v/>
      </c>
      <c r="O719" s="25"/>
      <c r="P719" s="11" t="str">
        <f ca="1">IF(AND(B719&lt;&gt;"",F719&lt;&gt;"Cerrada",F719&lt;&gt;"Perdida",N719&lt;&gt;"",N719&gt;14),COUNTIFS($F$8:$F719,"&lt;&gt;Cerrada",$F$8:$F719,"&lt;&gt;Perdida",$N$8:$N719,"&gt;14"),"")</f>
        <v/>
      </c>
    </row>
    <row r="720" spans="2:16" ht="21.75" customHeight="1" x14ac:dyDescent="0.25">
      <c r="B720" s="40"/>
      <c r="C720" s="40"/>
      <c r="D720" s="40"/>
      <c r="E720" s="40"/>
      <c r="F720" s="39"/>
      <c r="G720" s="41"/>
      <c r="H720" s="40"/>
      <c r="I720" s="41"/>
      <c r="J720" s="42"/>
      <c r="K720" s="40"/>
      <c r="L720" s="40"/>
      <c r="M720" s="40" t="str">
        <f>IF(B720="","",IF(COUNTIFS(Cobranza!$C$9:$C$1008,B720,Cobranza!$N$9:$N$1008,"Vencida")&gt;0,"Vencida",IF(COUNTIFS(Cobranza!$C$9:$C$1008,B720,Cobranza!$N$9:$N$1008,"Parcial")&gt;0,"Parcial",IF(COUNTIFS(Cobranza!$C$9:$C$1008,B720,Cobranza!$N$9:$N$1008,"Pendiente")&gt;0,"Pendiente",IF(COUNTIFS(Cobranza!$C$9:$C$1008,B720,Cobranza!$N$9:$N$1008,"Pagada")&gt;0,"Pagada","")))))</f>
        <v/>
      </c>
      <c r="N720" s="33" t="str">
        <f t="shared" ca="1" si="11"/>
        <v/>
      </c>
      <c r="O720" s="25"/>
      <c r="P720" s="11" t="str">
        <f ca="1">IF(AND(B720&lt;&gt;"",F720&lt;&gt;"Cerrada",F720&lt;&gt;"Perdida",N720&lt;&gt;"",N720&gt;14),COUNTIFS($F$8:$F720,"&lt;&gt;Cerrada",$F$8:$F720,"&lt;&gt;Perdida",$N$8:$N720,"&gt;14"),"")</f>
        <v/>
      </c>
    </row>
    <row r="721" spans="2:16" ht="21.75" customHeight="1" x14ac:dyDescent="0.25">
      <c r="B721" s="40"/>
      <c r="C721" s="40"/>
      <c r="D721" s="40"/>
      <c r="E721" s="40"/>
      <c r="F721" s="39"/>
      <c r="G721" s="41"/>
      <c r="H721" s="40"/>
      <c r="I721" s="41"/>
      <c r="J721" s="42"/>
      <c r="K721" s="40"/>
      <c r="L721" s="40"/>
      <c r="M721" s="40" t="str">
        <f>IF(B721="","",IF(COUNTIFS(Cobranza!$C$9:$C$1008,B721,Cobranza!$N$9:$N$1008,"Vencida")&gt;0,"Vencida",IF(COUNTIFS(Cobranza!$C$9:$C$1008,B721,Cobranza!$N$9:$N$1008,"Parcial")&gt;0,"Parcial",IF(COUNTIFS(Cobranza!$C$9:$C$1008,B721,Cobranza!$N$9:$N$1008,"Pendiente")&gt;0,"Pendiente",IF(COUNTIFS(Cobranza!$C$9:$C$1008,B721,Cobranza!$N$9:$N$1008,"Pagada")&gt;0,"Pagada","")))))</f>
        <v/>
      </c>
      <c r="N721" s="33" t="str">
        <f t="shared" ca="1" si="11"/>
        <v/>
      </c>
      <c r="O721" s="25"/>
      <c r="P721" s="11" t="str">
        <f ca="1">IF(AND(B721&lt;&gt;"",F721&lt;&gt;"Cerrada",F721&lt;&gt;"Perdida",N721&lt;&gt;"",N721&gt;14),COUNTIFS($F$8:$F721,"&lt;&gt;Cerrada",$F$8:$F721,"&lt;&gt;Perdida",$N$8:$N721,"&gt;14"),"")</f>
        <v/>
      </c>
    </row>
    <row r="722" spans="2:16" ht="21.75" customHeight="1" x14ac:dyDescent="0.25">
      <c r="B722" s="40"/>
      <c r="C722" s="40"/>
      <c r="D722" s="40"/>
      <c r="E722" s="40"/>
      <c r="F722" s="39"/>
      <c r="G722" s="41"/>
      <c r="H722" s="40"/>
      <c r="I722" s="41"/>
      <c r="J722" s="42"/>
      <c r="K722" s="40"/>
      <c r="L722" s="40"/>
      <c r="M722" s="40" t="str">
        <f>IF(B722="","",IF(COUNTIFS(Cobranza!$C$9:$C$1008,B722,Cobranza!$N$9:$N$1008,"Vencida")&gt;0,"Vencida",IF(COUNTIFS(Cobranza!$C$9:$C$1008,B722,Cobranza!$N$9:$N$1008,"Parcial")&gt;0,"Parcial",IF(COUNTIFS(Cobranza!$C$9:$C$1008,B722,Cobranza!$N$9:$N$1008,"Pendiente")&gt;0,"Pendiente",IF(COUNTIFS(Cobranza!$C$9:$C$1008,B722,Cobranza!$N$9:$N$1008,"Pagada")&gt;0,"Pagada","")))))</f>
        <v/>
      </c>
      <c r="N722" s="33" t="str">
        <f t="shared" ca="1" si="11"/>
        <v/>
      </c>
      <c r="O722" s="25"/>
      <c r="P722" s="11" t="str">
        <f ca="1">IF(AND(B722&lt;&gt;"",F722&lt;&gt;"Cerrada",F722&lt;&gt;"Perdida",N722&lt;&gt;"",N722&gt;14),COUNTIFS($F$8:$F722,"&lt;&gt;Cerrada",$F$8:$F722,"&lt;&gt;Perdida",$N$8:$N722,"&gt;14"),"")</f>
        <v/>
      </c>
    </row>
    <row r="723" spans="2:16" ht="21.75" customHeight="1" x14ac:dyDescent="0.25">
      <c r="B723" s="40"/>
      <c r="C723" s="40"/>
      <c r="D723" s="40"/>
      <c r="E723" s="40"/>
      <c r="F723" s="39"/>
      <c r="G723" s="41"/>
      <c r="H723" s="40"/>
      <c r="I723" s="41"/>
      <c r="J723" s="42"/>
      <c r="K723" s="40"/>
      <c r="L723" s="40"/>
      <c r="M723" s="40" t="str">
        <f>IF(B723="","",IF(COUNTIFS(Cobranza!$C$9:$C$1008,B723,Cobranza!$N$9:$N$1008,"Vencida")&gt;0,"Vencida",IF(COUNTIFS(Cobranza!$C$9:$C$1008,B723,Cobranza!$N$9:$N$1008,"Parcial")&gt;0,"Parcial",IF(COUNTIFS(Cobranza!$C$9:$C$1008,B723,Cobranza!$N$9:$N$1008,"Pendiente")&gt;0,"Pendiente",IF(COUNTIFS(Cobranza!$C$9:$C$1008,B723,Cobranza!$N$9:$N$1008,"Pagada")&gt;0,"Pagada","")))))</f>
        <v/>
      </c>
      <c r="N723" s="33" t="str">
        <f t="shared" ca="1" si="11"/>
        <v/>
      </c>
      <c r="O723" s="25"/>
      <c r="P723" s="11" t="str">
        <f ca="1">IF(AND(B723&lt;&gt;"",F723&lt;&gt;"Cerrada",F723&lt;&gt;"Perdida",N723&lt;&gt;"",N723&gt;14),COUNTIFS($F$8:$F723,"&lt;&gt;Cerrada",$F$8:$F723,"&lt;&gt;Perdida",$N$8:$N723,"&gt;14"),"")</f>
        <v/>
      </c>
    </row>
    <row r="724" spans="2:16" ht="21.75" customHeight="1" x14ac:dyDescent="0.25">
      <c r="B724" s="40"/>
      <c r="C724" s="40"/>
      <c r="D724" s="40"/>
      <c r="E724" s="40"/>
      <c r="F724" s="39"/>
      <c r="G724" s="41"/>
      <c r="H724" s="40"/>
      <c r="I724" s="41"/>
      <c r="J724" s="42"/>
      <c r="K724" s="40"/>
      <c r="L724" s="40"/>
      <c r="M724" s="40" t="str">
        <f>IF(B724="","",IF(COUNTIFS(Cobranza!$C$9:$C$1008,B724,Cobranza!$N$9:$N$1008,"Vencida")&gt;0,"Vencida",IF(COUNTIFS(Cobranza!$C$9:$C$1008,B724,Cobranza!$N$9:$N$1008,"Parcial")&gt;0,"Parcial",IF(COUNTIFS(Cobranza!$C$9:$C$1008,B724,Cobranza!$N$9:$N$1008,"Pendiente")&gt;0,"Pendiente",IF(COUNTIFS(Cobranza!$C$9:$C$1008,B724,Cobranza!$N$9:$N$1008,"Pagada")&gt;0,"Pagada","")))))</f>
        <v/>
      </c>
      <c r="N724" s="33" t="str">
        <f t="shared" ca="1" si="11"/>
        <v/>
      </c>
      <c r="O724" s="25"/>
      <c r="P724" s="11" t="str">
        <f ca="1">IF(AND(B724&lt;&gt;"",F724&lt;&gt;"Cerrada",F724&lt;&gt;"Perdida",N724&lt;&gt;"",N724&gt;14),COUNTIFS($F$8:$F724,"&lt;&gt;Cerrada",$F$8:$F724,"&lt;&gt;Perdida",$N$8:$N724,"&gt;14"),"")</f>
        <v/>
      </c>
    </row>
    <row r="725" spans="2:16" ht="21.75" customHeight="1" x14ac:dyDescent="0.25">
      <c r="B725" s="40"/>
      <c r="C725" s="40"/>
      <c r="D725" s="40"/>
      <c r="E725" s="40"/>
      <c r="F725" s="39"/>
      <c r="G725" s="41"/>
      <c r="H725" s="40"/>
      <c r="I725" s="41"/>
      <c r="J725" s="42"/>
      <c r="K725" s="40"/>
      <c r="L725" s="40"/>
      <c r="M725" s="40" t="str">
        <f>IF(B725="","",IF(COUNTIFS(Cobranza!$C$9:$C$1008,B725,Cobranza!$N$9:$N$1008,"Vencida")&gt;0,"Vencida",IF(COUNTIFS(Cobranza!$C$9:$C$1008,B725,Cobranza!$N$9:$N$1008,"Parcial")&gt;0,"Parcial",IF(COUNTIFS(Cobranza!$C$9:$C$1008,B725,Cobranza!$N$9:$N$1008,"Pendiente")&gt;0,"Pendiente",IF(COUNTIFS(Cobranza!$C$9:$C$1008,B725,Cobranza!$N$9:$N$1008,"Pagada")&gt;0,"Pagada","")))))</f>
        <v/>
      </c>
      <c r="N725" s="33" t="str">
        <f t="shared" ca="1" si="11"/>
        <v/>
      </c>
      <c r="O725" s="25"/>
      <c r="P725" s="11" t="str">
        <f ca="1">IF(AND(B725&lt;&gt;"",F725&lt;&gt;"Cerrada",F725&lt;&gt;"Perdida",N725&lt;&gt;"",N725&gt;14),COUNTIFS($F$8:$F725,"&lt;&gt;Cerrada",$F$8:$F725,"&lt;&gt;Perdida",$N$8:$N725,"&gt;14"),"")</f>
        <v/>
      </c>
    </row>
    <row r="726" spans="2:16" ht="21.75" customHeight="1" x14ac:dyDescent="0.25">
      <c r="B726" s="40"/>
      <c r="C726" s="40"/>
      <c r="D726" s="40"/>
      <c r="E726" s="40"/>
      <c r="F726" s="39"/>
      <c r="G726" s="41"/>
      <c r="H726" s="40"/>
      <c r="I726" s="41"/>
      <c r="J726" s="42"/>
      <c r="K726" s="40"/>
      <c r="L726" s="40"/>
      <c r="M726" s="40" t="str">
        <f>IF(B726="","",IF(COUNTIFS(Cobranza!$C$9:$C$1008,B726,Cobranza!$N$9:$N$1008,"Vencida")&gt;0,"Vencida",IF(COUNTIFS(Cobranza!$C$9:$C$1008,B726,Cobranza!$N$9:$N$1008,"Parcial")&gt;0,"Parcial",IF(COUNTIFS(Cobranza!$C$9:$C$1008,B726,Cobranza!$N$9:$N$1008,"Pendiente")&gt;0,"Pendiente",IF(COUNTIFS(Cobranza!$C$9:$C$1008,B726,Cobranza!$N$9:$N$1008,"Pagada")&gt;0,"Pagada","")))))</f>
        <v/>
      </c>
      <c r="N726" s="33" t="str">
        <f t="shared" ca="1" si="11"/>
        <v/>
      </c>
      <c r="O726" s="25"/>
      <c r="P726" s="11" t="str">
        <f ca="1">IF(AND(B726&lt;&gt;"",F726&lt;&gt;"Cerrada",F726&lt;&gt;"Perdida",N726&lt;&gt;"",N726&gt;14),COUNTIFS($F$8:$F726,"&lt;&gt;Cerrada",$F$8:$F726,"&lt;&gt;Perdida",$N$8:$N726,"&gt;14"),"")</f>
        <v/>
      </c>
    </row>
    <row r="727" spans="2:16" ht="21.75" customHeight="1" x14ac:dyDescent="0.25">
      <c r="B727" s="40"/>
      <c r="C727" s="40"/>
      <c r="D727" s="40"/>
      <c r="E727" s="40"/>
      <c r="F727" s="39"/>
      <c r="G727" s="41"/>
      <c r="H727" s="40"/>
      <c r="I727" s="41"/>
      <c r="J727" s="42"/>
      <c r="K727" s="40"/>
      <c r="L727" s="40"/>
      <c r="M727" s="40" t="str">
        <f>IF(B727="","",IF(COUNTIFS(Cobranza!$C$9:$C$1008,B727,Cobranza!$N$9:$N$1008,"Vencida")&gt;0,"Vencida",IF(COUNTIFS(Cobranza!$C$9:$C$1008,B727,Cobranza!$N$9:$N$1008,"Parcial")&gt;0,"Parcial",IF(COUNTIFS(Cobranza!$C$9:$C$1008,B727,Cobranza!$N$9:$N$1008,"Pendiente")&gt;0,"Pendiente",IF(COUNTIFS(Cobranza!$C$9:$C$1008,B727,Cobranza!$N$9:$N$1008,"Pagada")&gt;0,"Pagada","")))))</f>
        <v/>
      </c>
      <c r="N727" s="33" t="str">
        <f t="shared" ca="1" si="11"/>
        <v/>
      </c>
      <c r="O727" s="25"/>
      <c r="P727" s="11" t="str">
        <f ca="1">IF(AND(B727&lt;&gt;"",F727&lt;&gt;"Cerrada",F727&lt;&gt;"Perdida",N727&lt;&gt;"",N727&gt;14),COUNTIFS($F$8:$F727,"&lt;&gt;Cerrada",$F$8:$F727,"&lt;&gt;Perdida",$N$8:$N727,"&gt;14"),"")</f>
        <v/>
      </c>
    </row>
    <row r="728" spans="2:16" ht="21.75" customHeight="1" x14ac:dyDescent="0.25">
      <c r="B728" s="40"/>
      <c r="C728" s="40"/>
      <c r="D728" s="40"/>
      <c r="E728" s="40"/>
      <c r="F728" s="39"/>
      <c r="G728" s="41"/>
      <c r="H728" s="40"/>
      <c r="I728" s="41"/>
      <c r="J728" s="42"/>
      <c r="K728" s="40"/>
      <c r="L728" s="40"/>
      <c r="M728" s="40" t="str">
        <f>IF(B728="","",IF(COUNTIFS(Cobranza!$C$9:$C$1008,B728,Cobranza!$N$9:$N$1008,"Vencida")&gt;0,"Vencida",IF(COUNTIFS(Cobranza!$C$9:$C$1008,B728,Cobranza!$N$9:$N$1008,"Parcial")&gt;0,"Parcial",IF(COUNTIFS(Cobranza!$C$9:$C$1008,B728,Cobranza!$N$9:$N$1008,"Pendiente")&gt;0,"Pendiente",IF(COUNTIFS(Cobranza!$C$9:$C$1008,B728,Cobranza!$N$9:$N$1008,"Pagada")&gt;0,"Pagada","")))))</f>
        <v/>
      </c>
      <c r="N728" s="33" t="str">
        <f t="shared" ca="1" si="11"/>
        <v/>
      </c>
      <c r="O728" s="25"/>
      <c r="P728" s="11" t="str">
        <f ca="1">IF(AND(B728&lt;&gt;"",F728&lt;&gt;"Cerrada",F728&lt;&gt;"Perdida",N728&lt;&gt;"",N728&gt;14),COUNTIFS($F$8:$F728,"&lt;&gt;Cerrada",$F$8:$F728,"&lt;&gt;Perdida",$N$8:$N728,"&gt;14"),"")</f>
        <v/>
      </c>
    </row>
    <row r="729" spans="2:16" ht="21.75" customHeight="1" x14ac:dyDescent="0.25">
      <c r="B729" s="40"/>
      <c r="C729" s="40"/>
      <c r="D729" s="40"/>
      <c r="E729" s="40"/>
      <c r="F729" s="39"/>
      <c r="G729" s="41"/>
      <c r="H729" s="40"/>
      <c r="I729" s="41"/>
      <c r="J729" s="42"/>
      <c r="K729" s="40"/>
      <c r="L729" s="40"/>
      <c r="M729" s="40" t="str">
        <f>IF(B729="","",IF(COUNTIFS(Cobranza!$C$9:$C$1008,B729,Cobranza!$N$9:$N$1008,"Vencida")&gt;0,"Vencida",IF(COUNTIFS(Cobranza!$C$9:$C$1008,B729,Cobranza!$N$9:$N$1008,"Parcial")&gt;0,"Parcial",IF(COUNTIFS(Cobranza!$C$9:$C$1008,B729,Cobranza!$N$9:$N$1008,"Pendiente")&gt;0,"Pendiente",IF(COUNTIFS(Cobranza!$C$9:$C$1008,B729,Cobranza!$N$9:$N$1008,"Pagada")&gt;0,"Pagada","")))))</f>
        <v/>
      </c>
      <c r="N729" s="33" t="str">
        <f t="shared" ca="1" si="11"/>
        <v/>
      </c>
      <c r="O729" s="25"/>
      <c r="P729" s="11" t="str">
        <f ca="1">IF(AND(B729&lt;&gt;"",F729&lt;&gt;"Cerrada",F729&lt;&gt;"Perdida",N729&lt;&gt;"",N729&gt;14),COUNTIFS($F$8:$F729,"&lt;&gt;Cerrada",$F$8:$F729,"&lt;&gt;Perdida",$N$8:$N729,"&gt;14"),"")</f>
        <v/>
      </c>
    </row>
    <row r="730" spans="2:16" ht="21.75" customHeight="1" x14ac:dyDescent="0.25">
      <c r="B730" s="40"/>
      <c r="C730" s="40"/>
      <c r="D730" s="40"/>
      <c r="E730" s="40"/>
      <c r="F730" s="39"/>
      <c r="G730" s="41"/>
      <c r="H730" s="40"/>
      <c r="I730" s="41"/>
      <c r="J730" s="42"/>
      <c r="K730" s="40"/>
      <c r="L730" s="40"/>
      <c r="M730" s="40" t="str">
        <f>IF(B730="","",IF(COUNTIFS(Cobranza!$C$9:$C$1008,B730,Cobranza!$N$9:$N$1008,"Vencida")&gt;0,"Vencida",IF(COUNTIFS(Cobranza!$C$9:$C$1008,B730,Cobranza!$N$9:$N$1008,"Parcial")&gt;0,"Parcial",IF(COUNTIFS(Cobranza!$C$9:$C$1008,B730,Cobranza!$N$9:$N$1008,"Pendiente")&gt;0,"Pendiente",IF(COUNTIFS(Cobranza!$C$9:$C$1008,B730,Cobranza!$N$9:$N$1008,"Pagada")&gt;0,"Pagada","")))))</f>
        <v/>
      </c>
      <c r="N730" s="33" t="str">
        <f t="shared" ca="1" si="11"/>
        <v/>
      </c>
      <c r="O730" s="25"/>
      <c r="P730" s="11" t="str">
        <f ca="1">IF(AND(B730&lt;&gt;"",F730&lt;&gt;"Cerrada",F730&lt;&gt;"Perdida",N730&lt;&gt;"",N730&gt;14),COUNTIFS($F$8:$F730,"&lt;&gt;Cerrada",$F$8:$F730,"&lt;&gt;Perdida",$N$8:$N730,"&gt;14"),"")</f>
        <v/>
      </c>
    </row>
    <row r="731" spans="2:16" ht="21.75" customHeight="1" x14ac:dyDescent="0.25">
      <c r="B731" s="40"/>
      <c r="C731" s="40"/>
      <c r="D731" s="40"/>
      <c r="E731" s="40"/>
      <c r="F731" s="39"/>
      <c r="G731" s="41"/>
      <c r="H731" s="40"/>
      <c r="I731" s="41"/>
      <c r="J731" s="42"/>
      <c r="K731" s="40"/>
      <c r="L731" s="40"/>
      <c r="M731" s="40" t="str">
        <f>IF(B731="","",IF(COUNTIFS(Cobranza!$C$9:$C$1008,B731,Cobranza!$N$9:$N$1008,"Vencida")&gt;0,"Vencida",IF(COUNTIFS(Cobranza!$C$9:$C$1008,B731,Cobranza!$N$9:$N$1008,"Parcial")&gt;0,"Parcial",IF(COUNTIFS(Cobranza!$C$9:$C$1008,B731,Cobranza!$N$9:$N$1008,"Pendiente")&gt;0,"Pendiente",IF(COUNTIFS(Cobranza!$C$9:$C$1008,B731,Cobranza!$N$9:$N$1008,"Pagada")&gt;0,"Pagada","")))))</f>
        <v/>
      </c>
      <c r="N731" s="33" t="str">
        <f t="shared" ca="1" si="11"/>
        <v/>
      </c>
      <c r="O731" s="25"/>
      <c r="P731" s="11" t="str">
        <f ca="1">IF(AND(B731&lt;&gt;"",F731&lt;&gt;"Cerrada",F731&lt;&gt;"Perdida",N731&lt;&gt;"",N731&gt;14),COUNTIFS($F$8:$F731,"&lt;&gt;Cerrada",$F$8:$F731,"&lt;&gt;Perdida",$N$8:$N731,"&gt;14"),"")</f>
        <v/>
      </c>
    </row>
    <row r="732" spans="2:16" ht="21.75" customHeight="1" x14ac:dyDescent="0.25">
      <c r="B732" s="40"/>
      <c r="C732" s="40"/>
      <c r="D732" s="40"/>
      <c r="E732" s="40"/>
      <c r="F732" s="39"/>
      <c r="G732" s="41"/>
      <c r="H732" s="40"/>
      <c r="I732" s="41"/>
      <c r="J732" s="42"/>
      <c r="K732" s="40"/>
      <c r="L732" s="40"/>
      <c r="M732" s="40" t="str">
        <f>IF(B732="","",IF(COUNTIFS(Cobranza!$C$9:$C$1008,B732,Cobranza!$N$9:$N$1008,"Vencida")&gt;0,"Vencida",IF(COUNTIFS(Cobranza!$C$9:$C$1008,B732,Cobranza!$N$9:$N$1008,"Parcial")&gt;0,"Parcial",IF(COUNTIFS(Cobranza!$C$9:$C$1008,B732,Cobranza!$N$9:$N$1008,"Pendiente")&gt;0,"Pendiente",IF(COUNTIFS(Cobranza!$C$9:$C$1008,B732,Cobranza!$N$9:$N$1008,"Pagada")&gt;0,"Pagada","")))))</f>
        <v/>
      </c>
      <c r="N732" s="33" t="str">
        <f t="shared" ca="1" si="11"/>
        <v/>
      </c>
      <c r="O732" s="25"/>
      <c r="P732" s="11" t="str">
        <f ca="1">IF(AND(B732&lt;&gt;"",F732&lt;&gt;"Cerrada",F732&lt;&gt;"Perdida",N732&lt;&gt;"",N732&gt;14),COUNTIFS($F$8:$F732,"&lt;&gt;Cerrada",$F$8:$F732,"&lt;&gt;Perdida",$N$8:$N732,"&gt;14"),"")</f>
        <v/>
      </c>
    </row>
    <row r="733" spans="2:16" ht="21.75" customHeight="1" x14ac:dyDescent="0.25">
      <c r="B733" s="40"/>
      <c r="C733" s="40"/>
      <c r="D733" s="40"/>
      <c r="E733" s="40"/>
      <c r="F733" s="39"/>
      <c r="G733" s="41"/>
      <c r="H733" s="40"/>
      <c r="I733" s="41"/>
      <c r="J733" s="42"/>
      <c r="K733" s="40"/>
      <c r="L733" s="40"/>
      <c r="M733" s="40" t="str">
        <f>IF(B733="","",IF(COUNTIFS(Cobranza!$C$9:$C$1008,B733,Cobranza!$N$9:$N$1008,"Vencida")&gt;0,"Vencida",IF(COUNTIFS(Cobranza!$C$9:$C$1008,B733,Cobranza!$N$9:$N$1008,"Parcial")&gt;0,"Parcial",IF(COUNTIFS(Cobranza!$C$9:$C$1008,B733,Cobranza!$N$9:$N$1008,"Pendiente")&gt;0,"Pendiente",IF(COUNTIFS(Cobranza!$C$9:$C$1008,B733,Cobranza!$N$9:$N$1008,"Pagada")&gt;0,"Pagada","")))))</f>
        <v/>
      </c>
      <c r="N733" s="33" t="str">
        <f t="shared" ca="1" si="11"/>
        <v/>
      </c>
      <c r="O733" s="25"/>
      <c r="P733" s="11" t="str">
        <f ca="1">IF(AND(B733&lt;&gt;"",F733&lt;&gt;"Cerrada",F733&lt;&gt;"Perdida",N733&lt;&gt;"",N733&gt;14),COUNTIFS($F$8:$F733,"&lt;&gt;Cerrada",$F$8:$F733,"&lt;&gt;Perdida",$N$8:$N733,"&gt;14"),"")</f>
        <v/>
      </c>
    </row>
    <row r="734" spans="2:16" ht="21.75" customHeight="1" x14ac:dyDescent="0.25">
      <c r="B734" s="40"/>
      <c r="C734" s="40"/>
      <c r="D734" s="40"/>
      <c r="E734" s="40"/>
      <c r="F734" s="39"/>
      <c r="G734" s="41"/>
      <c r="H734" s="40"/>
      <c r="I734" s="41"/>
      <c r="J734" s="42"/>
      <c r="K734" s="40"/>
      <c r="L734" s="40"/>
      <c r="M734" s="40" t="str">
        <f>IF(B734="","",IF(COUNTIFS(Cobranza!$C$9:$C$1008,B734,Cobranza!$N$9:$N$1008,"Vencida")&gt;0,"Vencida",IF(COUNTIFS(Cobranza!$C$9:$C$1008,B734,Cobranza!$N$9:$N$1008,"Parcial")&gt;0,"Parcial",IF(COUNTIFS(Cobranza!$C$9:$C$1008,B734,Cobranza!$N$9:$N$1008,"Pendiente")&gt;0,"Pendiente",IF(COUNTIFS(Cobranza!$C$9:$C$1008,B734,Cobranza!$N$9:$N$1008,"Pagada")&gt;0,"Pagada","")))))</f>
        <v/>
      </c>
      <c r="N734" s="33" t="str">
        <f t="shared" ca="1" si="11"/>
        <v/>
      </c>
      <c r="O734" s="25"/>
      <c r="P734" s="11" t="str">
        <f ca="1">IF(AND(B734&lt;&gt;"",F734&lt;&gt;"Cerrada",F734&lt;&gt;"Perdida",N734&lt;&gt;"",N734&gt;14),COUNTIFS($F$8:$F734,"&lt;&gt;Cerrada",$F$8:$F734,"&lt;&gt;Perdida",$N$8:$N734,"&gt;14"),"")</f>
        <v/>
      </c>
    </row>
    <row r="735" spans="2:16" ht="21.75" customHeight="1" x14ac:dyDescent="0.25">
      <c r="B735" s="40"/>
      <c r="C735" s="40"/>
      <c r="D735" s="40"/>
      <c r="E735" s="40"/>
      <c r="F735" s="39"/>
      <c r="G735" s="41"/>
      <c r="H735" s="40"/>
      <c r="I735" s="41"/>
      <c r="J735" s="42"/>
      <c r="K735" s="40"/>
      <c r="L735" s="40"/>
      <c r="M735" s="40" t="str">
        <f>IF(B735="","",IF(COUNTIFS(Cobranza!$C$9:$C$1008,B735,Cobranza!$N$9:$N$1008,"Vencida")&gt;0,"Vencida",IF(COUNTIFS(Cobranza!$C$9:$C$1008,B735,Cobranza!$N$9:$N$1008,"Parcial")&gt;0,"Parcial",IF(COUNTIFS(Cobranza!$C$9:$C$1008,B735,Cobranza!$N$9:$N$1008,"Pendiente")&gt;0,"Pendiente",IF(COUNTIFS(Cobranza!$C$9:$C$1008,B735,Cobranza!$N$9:$N$1008,"Pagada")&gt;0,"Pagada","")))))</f>
        <v/>
      </c>
      <c r="N735" s="33" t="str">
        <f t="shared" ca="1" si="11"/>
        <v/>
      </c>
      <c r="O735" s="25"/>
      <c r="P735" s="11" t="str">
        <f ca="1">IF(AND(B735&lt;&gt;"",F735&lt;&gt;"Cerrada",F735&lt;&gt;"Perdida",N735&lt;&gt;"",N735&gt;14),COUNTIFS($F$8:$F735,"&lt;&gt;Cerrada",$F$8:$F735,"&lt;&gt;Perdida",$N$8:$N735,"&gt;14"),"")</f>
        <v/>
      </c>
    </row>
    <row r="736" spans="2:16" ht="21.75" customHeight="1" x14ac:dyDescent="0.25">
      <c r="B736" s="40"/>
      <c r="C736" s="40"/>
      <c r="D736" s="40"/>
      <c r="E736" s="40"/>
      <c r="F736" s="39"/>
      <c r="G736" s="41"/>
      <c r="H736" s="40"/>
      <c r="I736" s="41"/>
      <c r="J736" s="42"/>
      <c r="K736" s="40"/>
      <c r="L736" s="40"/>
      <c r="M736" s="40" t="str">
        <f>IF(B736="","",IF(COUNTIFS(Cobranza!$C$9:$C$1008,B736,Cobranza!$N$9:$N$1008,"Vencida")&gt;0,"Vencida",IF(COUNTIFS(Cobranza!$C$9:$C$1008,B736,Cobranza!$N$9:$N$1008,"Parcial")&gt;0,"Parcial",IF(COUNTIFS(Cobranza!$C$9:$C$1008,B736,Cobranza!$N$9:$N$1008,"Pendiente")&gt;0,"Pendiente",IF(COUNTIFS(Cobranza!$C$9:$C$1008,B736,Cobranza!$N$9:$N$1008,"Pagada")&gt;0,"Pagada","")))))</f>
        <v/>
      </c>
      <c r="N736" s="33" t="str">
        <f t="shared" ca="1" si="11"/>
        <v/>
      </c>
      <c r="O736" s="25"/>
      <c r="P736" s="11" t="str">
        <f ca="1">IF(AND(B736&lt;&gt;"",F736&lt;&gt;"Cerrada",F736&lt;&gt;"Perdida",N736&lt;&gt;"",N736&gt;14),COUNTIFS($F$8:$F736,"&lt;&gt;Cerrada",$F$8:$F736,"&lt;&gt;Perdida",$N$8:$N736,"&gt;14"),"")</f>
        <v/>
      </c>
    </row>
    <row r="737" spans="2:16" ht="21.75" customHeight="1" x14ac:dyDescent="0.25">
      <c r="B737" s="40"/>
      <c r="C737" s="40"/>
      <c r="D737" s="40"/>
      <c r="E737" s="40"/>
      <c r="F737" s="39"/>
      <c r="G737" s="41"/>
      <c r="H737" s="40"/>
      <c r="I737" s="41"/>
      <c r="J737" s="42"/>
      <c r="K737" s="40"/>
      <c r="L737" s="40"/>
      <c r="M737" s="40" t="str">
        <f>IF(B737="","",IF(COUNTIFS(Cobranza!$C$9:$C$1008,B737,Cobranza!$N$9:$N$1008,"Vencida")&gt;0,"Vencida",IF(COUNTIFS(Cobranza!$C$9:$C$1008,B737,Cobranza!$N$9:$N$1008,"Parcial")&gt;0,"Parcial",IF(COUNTIFS(Cobranza!$C$9:$C$1008,B737,Cobranza!$N$9:$N$1008,"Pendiente")&gt;0,"Pendiente",IF(COUNTIFS(Cobranza!$C$9:$C$1008,B737,Cobranza!$N$9:$N$1008,"Pagada")&gt;0,"Pagada","")))))</f>
        <v/>
      </c>
      <c r="N737" s="33" t="str">
        <f t="shared" ca="1" si="11"/>
        <v/>
      </c>
      <c r="O737" s="25"/>
      <c r="P737" s="11" t="str">
        <f ca="1">IF(AND(B737&lt;&gt;"",F737&lt;&gt;"Cerrada",F737&lt;&gt;"Perdida",N737&lt;&gt;"",N737&gt;14),COUNTIFS($F$8:$F737,"&lt;&gt;Cerrada",$F$8:$F737,"&lt;&gt;Perdida",$N$8:$N737,"&gt;14"),"")</f>
        <v/>
      </c>
    </row>
    <row r="738" spans="2:16" ht="21.75" customHeight="1" x14ac:dyDescent="0.25">
      <c r="B738" s="40"/>
      <c r="C738" s="40"/>
      <c r="D738" s="40"/>
      <c r="E738" s="40"/>
      <c r="F738" s="39"/>
      <c r="G738" s="41"/>
      <c r="H738" s="40"/>
      <c r="I738" s="41"/>
      <c r="J738" s="42"/>
      <c r="K738" s="40"/>
      <c r="L738" s="40"/>
      <c r="M738" s="40" t="str">
        <f>IF(B738="","",IF(COUNTIFS(Cobranza!$C$9:$C$1008,B738,Cobranza!$N$9:$N$1008,"Vencida")&gt;0,"Vencida",IF(COUNTIFS(Cobranza!$C$9:$C$1008,B738,Cobranza!$N$9:$N$1008,"Parcial")&gt;0,"Parcial",IF(COUNTIFS(Cobranza!$C$9:$C$1008,B738,Cobranza!$N$9:$N$1008,"Pendiente")&gt;0,"Pendiente",IF(COUNTIFS(Cobranza!$C$9:$C$1008,B738,Cobranza!$N$9:$N$1008,"Pagada")&gt;0,"Pagada","")))))</f>
        <v/>
      </c>
      <c r="N738" s="33" t="str">
        <f t="shared" ca="1" si="11"/>
        <v/>
      </c>
      <c r="O738" s="25"/>
      <c r="P738" s="11" t="str">
        <f ca="1">IF(AND(B738&lt;&gt;"",F738&lt;&gt;"Cerrada",F738&lt;&gt;"Perdida",N738&lt;&gt;"",N738&gt;14),COUNTIFS($F$8:$F738,"&lt;&gt;Cerrada",$F$8:$F738,"&lt;&gt;Perdida",$N$8:$N738,"&gt;14"),"")</f>
        <v/>
      </c>
    </row>
    <row r="739" spans="2:16" ht="21.75" customHeight="1" x14ac:dyDescent="0.25">
      <c r="B739" s="40"/>
      <c r="C739" s="40"/>
      <c r="D739" s="40"/>
      <c r="E739" s="40"/>
      <c r="F739" s="39"/>
      <c r="G739" s="41"/>
      <c r="H739" s="40"/>
      <c r="I739" s="41"/>
      <c r="J739" s="42"/>
      <c r="K739" s="40"/>
      <c r="L739" s="40"/>
      <c r="M739" s="40" t="str">
        <f>IF(B739="","",IF(COUNTIFS(Cobranza!$C$9:$C$1008,B739,Cobranza!$N$9:$N$1008,"Vencida")&gt;0,"Vencida",IF(COUNTIFS(Cobranza!$C$9:$C$1008,B739,Cobranza!$N$9:$N$1008,"Parcial")&gt;0,"Parcial",IF(COUNTIFS(Cobranza!$C$9:$C$1008,B739,Cobranza!$N$9:$N$1008,"Pendiente")&gt;0,"Pendiente",IF(COUNTIFS(Cobranza!$C$9:$C$1008,B739,Cobranza!$N$9:$N$1008,"Pagada")&gt;0,"Pagada","")))))</f>
        <v/>
      </c>
      <c r="N739" s="33" t="str">
        <f t="shared" ca="1" si="11"/>
        <v/>
      </c>
      <c r="O739" s="25"/>
      <c r="P739" s="11" t="str">
        <f ca="1">IF(AND(B739&lt;&gt;"",F739&lt;&gt;"Cerrada",F739&lt;&gt;"Perdida",N739&lt;&gt;"",N739&gt;14),COUNTIFS($F$8:$F739,"&lt;&gt;Cerrada",$F$8:$F739,"&lt;&gt;Perdida",$N$8:$N739,"&gt;14"),"")</f>
        <v/>
      </c>
    </row>
    <row r="740" spans="2:16" ht="21.75" customHeight="1" x14ac:dyDescent="0.25">
      <c r="B740" s="40"/>
      <c r="C740" s="40"/>
      <c r="D740" s="40"/>
      <c r="E740" s="40"/>
      <c r="F740" s="39"/>
      <c r="G740" s="41"/>
      <c r="H740" s="40"/>
      <c r="I740" s="41"/>
      <c r="J740" s="42"/>
      <c r="K740" s="40"/>
      <c r="L740" s="40"/>
      <c r="M740" s="40" t="str">
        <f>IF(B740="","",IF(COUNTIFS(Cobranza!$C$9:$C$1008,B740,Cobranza!$N$9:$N$1008,"Vencida")&gt;0,"Vencida",IF(COUNTIFS(Cobranza!$C$9:$C$1008,B740,Cobranza!$N$9:$N$1008,"Parcial")&gt;0,"Parcial",IF(COUNTIFS(Cobranza!$C$9:$C$1008,B740,Cobranza!$N$9:$N$1008,"Pendiente")&gt;0,"Pendiente",IF(COUNTIFS(Cobranza!$C$9:$C$1008,B740,Cobranza!$N$9:$N$1008,"Pagada")&gt;0,"Pagada","")))))</f>
        <v/>
      </c>
      <c r="N740" s="33" t="str">
        <f t="shared" ca="1" si="11"/>
        <v/>
      </c>
      <c r="O740" s="25"/>
      <c r="P740" s="11" t="str">
        <f ca="1">IF(AND(B740&lt;&gt;"",F740&lt;&gt;"Cerrada",F740&lt;&gt;"Perdida",N740&lt;&gt;"",N740&gt;14),COUNTIFS($F$8:$F740,"&lt;&gt;Cerrada",$F$8:$F740,"&lt;&gt;Perdida",$N$8:$N740,"&gt;14"),"")</f>
        <v/>
      </c>
    </row>
    <row r="741" spans="2:16" ht="21.75" customHeight="1" x14ac:dyDescent="0.25">
      <c r="B741" s="40"/>
      <c r="C741" s="40"/>
      <c r="D741" s="40"/>
      <c r="E741" s="40"/>
      <c r="F741" s="39"/>
      <c r="G741" s="41"/>
      <c r="H741" s="40"/>
      <c r="I741" s="41"/>
      <c r="J741" s="42"/>
      <c r="K741" s="40"/>
      <c r="L741" s="40"/>
      <c r="M741" s="40" t="str">
        <f>IF(B741="","",IF(COUNTIFS(Cobranza!$C$9:$C$1008,B741,Cobranza!$N$9:$N$1008,"Vencida")&gt;0,"Vencida",IF(COUNTIFS(Cobranza!$C$9:$C$1008,B741,Cobranza!$N$9:$N$1008,"Parcial")&gt;0,"Parcial",IF(COUNTIFS(Cobranza!$C$9:$C$1008,B741,Cobranza!$N$9:$N$1008,"Pendiente")&gt;0,"Pendiente",IF(COUNTIFS(Cobranza!$C$9:$C$1008,B741,Cobranza!$N$9:$N$1008,"Pagada")&gt;0,"Pagada","")))))</f>
        <v/>
      </c>
      <c r="N741" s="33" t="str">
        <f t="shared" ca="1" si="11"/>
        <v/>
      </c>
      <c r="O741" s="25"/>
      <c r="P741" s="11" t="str">
        <f ca="1">IF(AND(B741&lt;&gt;"",F741&lt;&gt;"Cerrada",F741&lt;&gt;"Perdida",N741&lt;&gt;"",N741&gt;14),COUNTIFS($F$8:$F741,"&lt;&gt;Cerrada",$F$8:$F741,"&lt;&gt;Perdida",$N$8:$N741,"&gt;14"),"")</f>
        <v/>
      </c>
    </row>
    <row r="742" spans="2:16" ht="21.75" customHeight="1" x14ac:dyDescent="0.25">
      <c r="B742" s="40"/>
      <c r="C742" s="40"/>
      <c r="D742" s="40"/>
      <c r="E742" s="40"/>
      <c r="F742" s="39"/>
      <c r="G742" s="41"/>
      <c r="H742" s="40"/>
      <c r="I742" s="41"/>
      <c r="J742" s="42"/>
      <c r="K742" s="40"/>
      <c r="L742" s="40"/>
      <c r="M742" s="40" t="str">
        <f>IF(B742="","",IF(COUNTIFS(Cobranza!$C$9:$C$1008,B742,Cobranza!$N$9:$N$1008,"Vencida")&gt;0,"Vencida",IF(COUNTIFS(Cobranza!$C$9:$C$1008,B742,Cobranza!$N$9:$N$1008,"Parcial")&gt;0,"Parcial",IF(COUNTIFS(Cobranza!$C$9:$C$1008,B742,Cobranza!$N$9:$N$1008,"Pendiente")&gt;0,"Pendiente",IF(COUNTIFS(Cobranza!$C$9:$C$1008,B742,Cobranza!$N$9:$N$1008,"Pagada")&gt;0,"Pagada","")))))</f>
        <v/>
      </c>
      <c r="N742" s="33" t="str">
        <f t="shared" ca="1" si="11"/>
        <v/>
      </c>
      <c r="O742" s="25"/>
      <c r="P742" s="11" t="str">
        <f ca="1">IF(AND(B742&lt;&gt;"",F742&lt;&gt;"Cerrada",F742&lt;&gt;"Perdida",N742&lt;&gt;"",N742&gt;14),COUNTIFS($F$8:$F742,"&lt;&gt;Cerrada",$F$8:$F742,"&lt;&gt;Perdida",$N$8:$N742,"&gt;14"),"")</f>
        <v/>
      </c>
    </row>
    <row r="743" spans="2:16" ht="21.75" customHeight="1" x14ac:dyDescent="0.25">
      <c r="B743" s="40"/>
      <c r="C743" s="40"/>
      <c r="D743" s="40"/>
      <c r="E743" s="40"/>
      <c r="F743" s="39"/>
      <c r="G743" s="41"/>
      <c r="H743" s="40"/>
      <c r="I743" s="41"/>
      <c r="J743" s="42"/>
      <c r="K743" s="40"/>
      <c r="L743" s="40"/>
      <c r="M743" s="40" t="str">
        <f>IF(B743="","",IF(COUNTIFS(Cobranza!$C$9:$C$1008,B743,Cobranza!$N$9:$N$1008,"Vencida")&gt;0,"Vencida",IF(COUNTIFS(Cobranza!$C$9:$C$1008,B743,Cobranza!$N$9:$N$1008,"Parcial")&gt;0,"Parcial",IF(COUNTIFS(Cobranza!$C$9:$C$1008,B743,Cobranza!$N$9:$N$1008,"Pendiente")&gt;0,"Pendiente",IF(COUNTIFS(Cobranza!$C$9:$C$1008,B743,Cobranza!$N$9:$N$1008,"Pagada")&gt;0,"Pagada","")))))</f>
        <v/>
      </c>
      <c r="N743" s="33" t="str">
        <f t="shared" ca="1" si="11"/>
        <v/>
      </c>
      <c r="O743" s="25"/>
      <c r="P743" s="11" t="str">
        <f ca="1">IF(AND(B743&lt;&gt;"",F743&lt;&gt;"Cerrada",F743&lt;&gt;"Perdida",N743&lt;&gt;"",N743&gt;14),COUNTIFS($F$8:$F743,"&lt;&gt;Cerrada",$F$8:$F743,"&lt;&gt;Perdida",$N$8:$N743,"&gt;14"),"")</f>
        <v/>
      </c>
    </row>
    <row r="744" spans="2:16" ht="21.75" customHeight="1" x14ac:dyDescent="0.25">
      <c r="B744" s="40"/>
      <c r="C744" s="40"/>
      <c r="D744" s="40"/>
      <c r="E744" s="40"/>
      <c r="F744" s="39"/>
      <c r="G744" s="41"/>
      <c r="H744" s="40"/>
      <c r="I744" s="41"/>
      <c r="J744" s="42"/>
      <c r="K744" s="40"/>
      <c r="L744" s="40"/>
      <c r="M744" s="40" t="str">
        <f>IF(B744="","",IF(COUNTIFS(Cobranza!$C$9:$C$1008,B744,Cobranza!$N$9:$N$1008,"Vencida")&gt;0,"Vencida",IF(COUNTIFS(Cobranza!$C$9:$C$1008,B744,Cobranza!$N$9:$N$1008,"Parcial")&gt;0,"Parcial",IF(COUNTIFS(Cobranza!$C$9:$C$1008,B744,Cobranza!$N$9:$N$1008,"Pendiente")&gt;0,"Pendiente",IF(COUNTIFS(Cobranza!$C$9:$C$1008,B744,Cobranza!$N$9:$N$1008,"Pagada")&gt;0,"Pagada","")))))</f>
        <v/>
      </c>
      <c r="N744" s="33" t="str">
        <f t="shared" ca="1" si="11"/>
        <v/>
      </c>
      <c r="O744" s="25"/>
      <c r="P744" s="11" t="str">
        <f ca="1">IF(AND(B744&lt;&gt;"",F744&lt;&gt;"Cerrada",F744&lt;&gt;"Perdida",N744&lt;&gt;"",N744&gt;14),COUNTIFS($F$8:$F744,"&lt;&gt;Cerrada",$F$8:$F744,"&lt;&gt;Perdida",$N$8:$N744,"&gt;14"),"")</f>
        <v/>
      </c>
    </row>
    <row r="745" spans="2:16" ht="21.75" customHeight="1" x14ac:dyDescent="0.25">
      <c r="B745" s="40"/>
      <c r="C745" s="40"/>
      <c r="D745" s="40"/>
      <c r="E745" s="40"/>
      <c r="F745" s="39"/>
      <c r="G745" s="41"/>
      <c r="H745" s="40"/>
      <c r="I745" s="41"/>
      <c r="J745" s="42"/>
      <c r="K745" s="40"/>
      <c r="L745" s="40"/>
      <c r="M745" s="40" t="str">
        <f>IF(B745="","",IF(COUNTIFS(Cobranza!$C$9:$C$1008,B745,Cobranza!$N$9:$N$1008,"Vencida")&gt;0,"Vencida",IF(COUNTIFS(Cobranza!$C$9:$C$1008,B745,Cobranza!$N$9:$N$1008,"Parcial")&gt;0,"Parcial",IF(COUNTIFS(Cobranza!$C$9:$C$1008,B745,Cobranza!$N$9:$N$1008,"Pendiente")&gt;0,"Pendiente",IF(COUNTIFS(Cobranza!$C$9:$C$1008,B745,Cobranza!$N$9:$N$1008,"Pagada")&gt;0,"Pagada","")))))</f>
        <v/>
      </c>
      <c r="N745" s="33" t="str">
        <f t="shared" ca="1" si="11"/>
        <v/>
      </c>
      <c r="O745" s="25"/>
      <c r="P745" s="11" t="str">
        <f ca="1">IF(AND(B745&lt;&gt;"",F745&lt;&gt;"Cerrada",F745&lt;&gt;"Perdida",N745&lt;&gt;"",N745&gt;14),COUNTIFS($F$8:$F745,"&lt;&gt;Cerrada",$F$8:$F745,"&lt;&gt;Perdida",$N$8:$N745,"&gt;14"),"")</f>
        <v/>
      </c>
    </row>
    <row r="746" spans="2:16" ht="21.75" customHeight="1" x14ac:dyDescent="0.25">
      <c r="B746" s="40"/>
      <c r="C746" s="40"/>
      <c r="D746" s="40"/>
      <c r="E746" s="40"/>
      <c r="F746" s="39"/>
      <c r="G746" s="41"/>
      <c r="H746" s="40"/>
      <c r="I746" s="41"/>
      <c r="J746" s="42"/>
      <c r="K746" s="40"/>
      <c r="L746" s="40"/>
      <c r="M746" s="40" t="str">
        <f>IF(B746="","",IF(COUNTIFS(Cobranza!$C$9:$C$1008,B746,Cobranza!$N$9:$N$1008,"Vencida")&gt;0,"Vencida",IF(COUNTIFS(Cobranza!$C$9:$C$1008,B746,Cobranza!$N$9:$N$1008,"Parcial")&gt;0,"Parcial",IF(COUNTIFS(Cobranza!$C$9:$C$1008,B746,Cobranza!$N$9:$N$1008,"Pendiente")&gt;0,"Pendiente",IF(COUNTIFS(Cobranza!$C$9:$C$1008,B746,Cobranza!$N$9:$N$1008,"Pagada")&gt;0,"Pagada","")))))</f>
        <v/>
      </c>
      <c r="N746" s="33" t="str">
        <f t="shared" ca="1" si="11"/>
        <v/>
      </c>
      <c r="O746" s="25"/>
      <c r="P746" s="11" t="str">
        <f ca="1">IF(AND(B746&lt;&gt;"",F746&lt;&gt;"Cerrada",F746&lt;&gt;"Perdida",N746&lt;&gt;"",N746&gt;14),COUNTIFS($F$8:$F746,"&lt;&gt;Cerrada",$F$8:$F746,"&lt;&gt;Perdida",$N$8:$N746,"&gt;14"),"")</f>
        <v/>
      </c>
    </row>
    <row r="747" spans="2:16" ht="21.75" customHeight="1" x14ac:dyDescent="0.25">
      <c r="B747" s="40"/>
      <c r="C747" s="40"/>
      <c r="D747" s="40"/>
      <c r="E747" s="40"/>
      <c r="F747" s="39"/>
      <c r="G747" s="41"/>
      <c r="H747" s="40"/>
      <c r="I747" s="41"/>
      <c r="J747" s="42"/>
      <c r="K747" s="40"/>
      <c r="L747" s="40"/>
      <c r="M747" s="40" t="str">
        <f>IF(B747="","",IF(COUNTIFS(Cobranza!$C$9:$C$1008,B747,Cobranza!$N$9:$N$1008,"Vencida")&gt;0,"Vencida",IF(COUNTIFS(Cobranza!$C$9:$C$1008,B747,Cobranza!$N$9:$N$1008,"Parcial")&gt;0,"Parcial",IF(COUNTIFS(Cobranza!$C$9:$C$1008,B747,Cobranza!$N$9:$N$1008,"Pendiente")&gt;0,"Pendiente",IF(COUNTIFS(Cobranza!$C$9:$C$1008,B747,Cobranza!$N$9:$N$1008,"Pagada")&gt;0,"Pagada","")))))</f>
        <v/>
      </c>
      <c r="N747" s="33" t="str">
        <f t="shared" ca="1" si="11"/>
        <v/>
      </c>
      <c r="O747" s="25"/>
      <c r="P747" s="11" t="str">
        <f ca="1">IF(AND(B747&lt;&gt;"",F747&lt;&gt;"Cerrada",F747&lt;&gt;"Perdida",N747&lt;&gt;"",N747&gt;14),COUNTIFS($F$8:$F747,"&lt;&gt;Cerrada",$F$8:$F747,"&lt;&gt;Perdida",$N$8:$N747,"&gt;14"),"")</f>
        <v/>
      </c>
    </row>
    <row r="748" spans="2:16" ht="21.75" customHeight="1" x14ac:dyDescent="0.25">
      <c r="B748" s="40"/>
      <c r="C748" s="40"/>
      <c r="D748" s="40"/>
      <c r="E748" s="40"/>
      <c r="F748" s="39"/>
      <c r="G748" s="41"/>
      <c r="H748" s="40"/>
      <c r="I748" s="41"/>
      <c r="J748" s="42"/>
      <c r="K748" s="40"/>
      <c r="L748" s="40"/>
      <c r="M748" s="40" t="str">
        <f>IF(B748="","",IF(COUNTIFS(Cobranza!$C$9:$C$1008,B748,Cobranza!$N$9:$N$1008,"Vencida")&gt;0,"Vencida",IF(COUNTIFS(Cobranza!$C$9:$C$1008,B748,Cobranza!$N$9:$N$1008,"Parcial")&gt;0,"Parcial",IF(COUNTIFS(Cobranza!$C$9:$C$1008,B748,Cobranza!$N$9:$N$1008,"Pendiente")&gt;0,"Pendiente",IF(COUNTIFS(Cobranza!$C$9:$C$1008,B748,Cobranza!$N$9:$N$1008,"Pagada")&gt;0,"Pagada","")))))</f>
        <v/>
      </c>
      <c r="N748" s="33" t="str">
        <f t="shared" ca="1" si="11"/>
        <v/>
      </c>
      <c r="O748" s="25"/>
      <c r="P748" s="11" t="str">
        <f ca="1">IF(AND(B748&lt;&gt;"",F748&lt;&gt;"Cerrada",F748&lt;&gt;"Perdida",N748&lt;&gt;"",N748&gt;14),COUNTIFS($F$8:$F748,"&lt;&gt;Cerrada",$F$8:$F748,"&lt;&gt;Perdida",$N$8:$N748,"&gt;14"),"")</f>
        <v/>
      </c>
    </row>
    <row r="749" spans="2:16" ht="21.75" customHeight="1" x14ac:dyDescent="0.25">
      <c r="B749" s="40"/>
      <c r="C749" s="40"/>
      <c r="D749" s="40"/>
      <c r="E749" s="40"/>
      <c r="F749" s="39"/>
      <c r="G749" s="41"/>
      <c r="H749" s="40"/>
      <c r="I749" s="41"/>
      <c r="J749" s="42"/>
      <c r="K749" s="40"/>
      <c r="L749" s="40"/>
      <c r="M749" s="40" t="str">
        <f>IF(B749="","",IF(COUNTIFS(Cobranza!$C$9:$C$1008,B749,Cobranza!$N$9:$N$1008,"Vencida")&gt;0,"Vencida",IF(COUNTIFS(Cobranza!$C$9:$C$1008,B749,Cobranza!$N$9:$N$1008,"Parcial")&gt;0,"Parcial",IF(COUNTIFS(Cobranza!$C$9:$C$1008,B749,Cobranza!$N$9:$N$1008,"Pendiente")&gt;0,"Pendiente",IF(COUNTIFS(Cobranza!$C$9:$C$1008,B749,Cobranza!$N$9:$N$1008,"Pagada")&gt;0,"Pagada","")))))</f>
        <v/>
      </c>
      <c r="N749" s="33" t="str">
        <f t="shared" ca="1" si="11"/>
        <v/>
      </c>
      <c r="O749" s="25"/>
      <c r="P749" s="11" t="str">
        <f ca="1">IF(AND(B749&lt;&gt;"",F749&lt;&gt;"Cerrada",F749&lt;&gt;"Perdida",N749&lt;&gt;"",N749&gt;14),COUNTIFS($F$8:$F749,"&lt;&gt;Cerrada",$F$8:$F749,"&lt;&gt;Perdida",$N$8:$N749,"&gt;14"),"")</f>
        <v/>
      </c>
    </row>
    <row r="750" spans="2:16" ht="21.75" customHeight="1" x14ac:dyDescent="0.25">
      <c r="B750" s="40"/>
      <c r="C750" s="40"/>
      <c r="D750" s="40"/>
      <c r="E750" s="40"/>
      <c r="F750" s="39"/>
      <c r="G750" s="41"/>
      <c r="H750" s="40"/>
      <c r="I750" s="41"/>
      <c r="J750" s="42"/>
      <c r="K750" s="40"/>
      <c r="L750" s="40"/>
      <c r="M750" s="40" t="str">
        <f>IF(B750="","",IF(COUNTIFS(Cobranza!$C$9:$C$1008,B750,Cobranza!$N$9:$N$1008,"Vencida")&gt;0,"Vencida",IF(COUNTIFS(Cobranza!$C$9:$C$1008,B750,Cobranza!$N$9:$N$1008,"Parcial")&gt;0,"Parcial",IF(COUNTIFS(Cobranza!$C$9:$C$1008,B750,Cobranza!$N$9:$N$1008,"Pendiente")&gt;0,"Pendiente",IF(COUNTIFS(Cobranza!$C$9:$C$1008,B750,Cobranza!$N$9:$N$1008,"Pagada")&gt;0,"Pagada","")))))</f>
        <v/>
      </c>
      <c r="N750" s="33" t="str">
        <f t="shared" ca="1" si="11"/>
        <v/>
      </c>
      <c r="O750" s="25"/>
      <c r="P750" s="11" t="str">
        <f ca="1">IF(AND(B750&lt;&gt;"",F750&lt;&gt;"Cerrada",F750&lt;&gt;"Perdida",N750&lt;&gt;"",N750&gt;14),COUNTIFS($F$8:$F750,"&lt;&gt;Cerrada",$F$8:$F750,"&lt;&gt;Perdida",$N$8:$N750,"&gt;14"),"")</f>
        <v/>
      </c>
    </row>
    <row r="751" spans="2:16" ht="21.75" customHeight="1" x14ac:dyDescent="0.25">
      <c r="B751" s="40"/>
      <c r="C751" s="40"/>
      <c r="D751" s="40"/>
      <c r="E751" s="40"/>
      <c r="F751" s="39"/>
      <c r="G751" s="41"/>
      <c r="H751" s="40"/>
      <c r="I751" s="41"/>
      <c r="J751" s="42"/>
      <c r="K751" s="40"/>
      <c r="L751" s="40"/>
      <c r="M751" s="40" t="str">
        <f>IF(B751="","",IF(COUNTIFS(Cobranza!$C$9:$C$1008,B751,Cobranza!$N$9:$N$1008,"Vencida")&gt;0,"Vencida",IF(COUNTIFS(Cobranza!$C$9:$C$1008,B751,Cobranza!$N$9:$N$1008,"Parcial")&gt;0,"Parcial",IF(COUNTIFS(Cobranza!$C$9:$C$1008,B751,Cobranza!$N$9:$N$1008,"Pendiente")&gt;0,"Pendiente",IF(COUNTIFS(Cobranza!$C$9:$C$1008,B751,Cobranza!$N$9:$N$1008,"Pagada")&gt;0,"Pagada","")))))</f>
        <v/>
      </c>
      <c r="N751" s="33" t="str">
        <f t="shared" ca="1" si="11"/>
        <v/>
      </c>
      <c r="O751" s="25"/>
      <c r="P751" s="11" t="str">
        <f ca="1">IF(AND(B751&lt;&gt;"",F751&lt;&gt;"Cerrada",F751&lt;&gt;"Perdida",N751&lt;&gt;"",N751&gt;14),COUNTIFS($F$8:$F751,"&lt;&gt;Cerrada",$F$8:$F751,"&lt;&gt;Perdida",$N$8:$N751,"&gt;14"),"")</f>
        <v/>
      </c>
    </row>
    <row r="752" spans="2:16" ht="21.75" customHeight="1" x14ac:dyDescent="0.25">
      <c r="B752" s="40"/>
      <c r="C752" s="40"/>
      <c r="D752" s="40"/>
      <c r="E752" s="40"/>
      <c r="F752" s="39"/>
      <c r="G752" s="41"/>
      <c r="H752" s="40"/>
      <c r="I752" s="41"/>
      <c r="J752" s="42"/>
      <c r="K752" s="40"/>
      <c r="L752" s="40"/>
      <c r="M752" s="40" t="str">
        <f>IF(B752="","",IF(COUNTIFS(Cobranza!$C$9:$C$1008,B752,Cobranza!$N$9:$N$1008,"Vencida")&gt;0,"Vencida",IF(COUNTIFS(Cobranza!$C$9:$C$1008,B752,Cobranza!$N$9:$N$1008,"Parcial")&gt;0,"Parcial",IF(COUNTIFS(Cobranza!$C$9:$C$1008,B752,Cobranza!$N$9:$N$1008,"Pendiente")&gt;0,"Pendiente",IF(COUNTIFS(Cobranza!$C$9:$C$1008,B752,Cobranza!$N$9:$N$1008,"Pagada")&gt;0,"Pagada","")))))</f>
        <v/>
      </c>
      <c r="N752" s="33" t="str">
        <f t="shared" ca="1" si="11"/>
        <v/>
      </c>
      <c r="O752" s="25"/>
      <c r="P752" s="11" t="str">
        <f ca="1">IF(AND(B752&lt;&gt;"",F752&lt;&gt;"Cerrada",F752&lt;&gt;"Perdida",N752&lt;&gt;"",N752&gt;14),COUNTIFS($F$8:$F752,"&lt;&gt;Cerrada",$F$8:$F752,"&lt;&gt;Perdida",$N$8:$N752,"&gt;14"),"")</f>
        <v/>
      </c>
    </row>
    <row r="753" spans="2:16" ht="21.75" customHeight="1" x14ac:dyDescent="0.25">
      <c r="B753" s="40"/>
      <c r="C753" s="40"/>
      <c r="D753" s="40"/>
      <c r="E753" s="40"/>
      <c r="F753" s="39"/>
      <c r="G753" s="41"/>
      <c r="H753" s="40"/>
      <c r="I753" s="41"/>
      <c r="J753" s="42"/>
      <c r="K753" s="40"/>
      <c r="L753" s="40"/>
      <c r="M753" s="40" t="str">
        <f>IF(B753="","",IF(COUNTIFS(Cobranza!$C$9:$C$1008,B753,Cobranza!$N$9:$N$1008,"Vencida")&gt;0,"Vencida",IF(COUNTIFS(Cobranza!$C$9:$C$1008,B753,Cobranza!$N$9:$N$1008,"Parcial")&gt;0,"Parcial",IF(COUNTIFS(Cobranza!$C$9:$C$1008,B753,Cobranza!$N$9:$N$1008,"Pendiente")&gt;0,"Pendiente",IF(COUNTIFS(Cobranza!$C$9:$C$1008,B753,Cobranza!$N$9:$N$1008,"Pagada")&gt;0,"Pagada","")))))</f>
        <v/>
      </c>
      <c r="N753" s="33" t="str">
        <f t="shared" ca="1" si="11"/>
        <v/>
      </c>
      <c r="O753" s="25"/>
      <c r="P753" s="11" t="str">
        <f ca="1">IF(AND(B753&lt;&gt;"",F753&lt;&gt;"Cerrada",F753&lt;&gt;"Perdida",N753&lt;&gt;"",N753&gt;14),COUNTIFS($F$8:$F753,"&lt;&gt;Cerrada",$F$8:$F753,"&lt;&gt;Perdida",$N$8:$N753,"&gt;14"),"")</f>
        <v/>
      </c>
    </row>
    <row r="754" spans="2:16" ht="21.75" customHeight="1" x14ac:dyDescent="0.25">
      <c r="B754" s="40"/>
      <c r="C754" s="40"/>
      <c r="D754" s="40"/>
      <c r="E754" s="40"/>
      <c r="F754" s="39"/>
      <c r="G754" s="41"/>
      <c r="H754" s="40"/>
      <c r="I754" s="41"/>
      <c r="J754" s="42"/>
      <c r="K754" s="40"/>
      <c r="L754" s="40"/>
      <c r="M754" s="40" t="str">
        <f>IF(B754="","",IF(COUNTIFS(Cobranza!$C$9:$C$1008,B754,Cobranza!$N$9:$N$1008,"Vencida")&gt;0,"Vencida",IF(COUNTIFS(Cobranza!$C$9:$C$1008,B754,Cobranza!$N$9:$N$1008,"Parcial")&gt;0,"Parcial",IF(COUNTIFS(Cobranza!$C$9:$C$1008,B754,Cobranza!$N$9:$N$1008,"Pendiente")&gt;0,"Pendiente",IF(COUNTIFS(Cobranza!$C$9:$C$1008,B754,Cobranza!$N$9:$N$1008,"Pagada")&gt;0,"Pagada","")))))</f>
        <v/>
      </c>
      <c r="N754" s="33" t="str">
        <f t="shared" ca="1" si="11"/>
        <v/>
      </c>
      <c r="O754" s="25"/>
      <c r="P754" s="11" t="str">
        <f ca="1">IF(AND(B754&lt;&gt;"",F754&lt;&gt;"Cerrada",F754&lt;&gt;"Perdida",N754&lt;&gt;"",N754&gt;14),COUNTIFS($F$8:$F754,"&lt;&gt;Cerrada",$F$8:$F754,"&lt;&gt;Perdida",$N$8:$N754,"&gt;14"),"")</f>
        <v/>
      </c>
    </row>
    <row r="755" spans="2:16" ht="21.75" customHeight="1" x14ac:dyDescent="0.25">
      <c r="B755" s="40"/>
      <c r="C755" s="40"/>
      <c r="D755" s="40"/>
      <c r="E755" s="40"/>
      <c r="F755" s="39"/>
      <c r="G755" s="41"/>
      <c r="H755" s="40"/>
      <c r="I755" s="41"/>
      <c r="J755" s="42"/>
      <c r="K755" s="40"/>
      <c r="L755" s="40"/>
      <c r="M755" s="40" t="str">
        <f>IF(B755="","",IF(COUNTIFS(Cobranza!$C$9:$C$1008,B755,Cobranza!$N$9:$N$1008,"Vencida")&gt;0,"Vencida",IF(COUNTIFS(Cobranza!$C$9:$C$1008,B755,Cobranza!$N$9:$N$1008,"Parcial")&gt;0,"Parcial",IF(COUNTIFS(Cobranza!$C$9:$C$1008,B755,Cobranza!$N$9:$N$1008,"Pendiente")&gt;0,"Pendiente",IF(COUNTIFS(Cobranza!$C$9:$C$1008,B755,Cobranza!$N$9:$N$1008,"Pagada")&gt;0,"Pagada","")))))</f>
        <v/>
      </c>
      <c r="N755" s="33" t="str">
        <f t="shared" ca="1" si="11"/>
        <v/>
      </c>
      <c r="O755" s="25"/>
      <c r="P755" s="11" t="str">
        <f ca="1">IF(AND(B755&lt;&gt;"",F755&lt;&gt;"Cerrada",F755&lt;&gt;"Perdida",N755&lt;&gt;"",N755&gt;14),COUNTIFS($F$8:$F755,"&lt;&gt;Cerrada",$F$8:$F755,"&lt;&gt;Perdida",$N$8:$N755,"&gt;14"),"")</f>
        <v/>
      </c>
    </row>
    <row r="756" spans="2:16" ht="21.75" customHeight="1" x14ac:dyDescent="0.25">
      <c r="B756" s="40"/>
      <c r="C756" s="40"/>
      <c r="D756" s="40"/>
      <c r="E756" s="40"/>
      <c r="F756" s="39"/>
      <c r="G756" s="41"/>
      <c r="H756" s="40"/>
      <c r="I756" s="41"/>
      <c r="J756" s="42"/>
      <c r="K756" s="40"/>
      <c r="L756" s="40"/>
      <c r="M756" s="40" t="str">
        <f>IF(B756="","",IF(COUNTIFS(Cobranza!$C$9:$C$1008,B756,Cobranza!$N$9:$N$1008,"Vencida")&gt;0,"Vencida",IF(COUNTIFS(Cobranza!$C$9:$C$1008,B756,Cobranza!$N$9:$N$1008,"Parcial")&gt;0,"Parcial",IF(COUNTIFS(Cobranza!$C$9:$C$1008,B756,Cobranza!$N$9:$N$1008,"Pendiente")&gt;0,"Pendiente",IF(COUNTIFS(Cobranza!$C$9:$C$1008,B756,Cobranza!$N$9:$N$1008,"Pagada")&gt;0,"Pagada","")))))</f>
        <v/>
      </c>
      <c r="N756" s="33" t="str">
        <f t="shared" ca="1" si="11"/>
        <v/>
      </c>
      <c r="O756" s="25"/>
      <c r="P756" s="11" t="str">
        <f ca="1">IF(AND(B756&lt;&gt;"",F756&lt;&gt;"Cerrada",F756&lt;&gt;"Perdida",N756&lt;&gt;"",N756&gt;14),COUNTIFS($F$8:$F756,"&lt;&gt;Cerrada",$F$8:$F756,"&lt;&gt;Perdida",$N$8:$N756,"&gt;14"),"")</f>
        <v/>
      </c>
    </row>
    <row r="757" spans="2:16" ht="21.75" customHeight="1" x14ac:dyDescent="0.25">
      <c r="B757" s="40"/>
      <c r="C757" s="40"/>
      <c r="D757" s="40"/>
      <c r="E757" s="40"/>
      <c r="F757" s="39"/>
      <c r="G757" s="41"/>
      <c r="H757" s="40"/>
      <c r="I757" s="41"/>
      <c r="J757" s="42"/>
      <c r="K757" s="40"/>
      <c r="L757" s="40"/>
      <c r="M757" s="40" t="str">
        <f>IF(B757="","",IF(COUNTIFS(Cobranza!$C$9:$C$1008,B757,Cobranza!$N$9:$N$1008,"Vencida")&gt;0,"Vencida",IF(COUNTIFS(Cobranza!$C$9:$C$1008,B757,Cobranza!$N$9:$N$1008,"Parcial")&gt;0,"Parcial",IF(COUNTIFS(Cobranza!$C$9:$C$1008,B757,Cobranza!$N$9:$N$1008,"Pendiente")&gt;0,"Pendiente",IF(COUNTIFS(Cobranza!$C$9:$C$1008,B757,Cobranza!$N$9:$N$1008,"Pagada")&gt;0,"Pagada","")))))</f>
        <v/>
      </c>
      <c r="N757" s="33" t="str">
        <f t="shared" ca="1" si="11"/>
        <v/>
      </c>
      <c r="O757" s="25"/>
      <c r="P757" s="11" t="str">
        <f ca="1">IF(AND(B757&lt;&gt;"",F757&lt;&gt;"Cerrada",F757&lt;&gt;"Perdida",N757&lt;&gt;"",N757&gt;14),COUNTIFS($F$8:$F757,"&lt;&gt;Cerrada",$F$8:$F757,"&lt;&gt;Perdida",$N$8:$N757,"&gt;14"),"")</f>
        <v/>
      </c>
    </row>
    <row r="758" spans="2:16" ht="21.75" customHeight="1" x14ac:dyDescent="0.25">
      <c r="B758" s="40"/>
      <c r="C758" s="40"/>
      <c r="D758" s="40"/>
      <c r="E758" s="40"/>
      <c r="F758" s="39"/>
      <c r="G758" s="41"/>
      <c r="H758" s="40"/>
      <c r="I758" s="41"/>
      <c r="J758" s="42"/>
      <c r="K758" s="40"/>
      <c r="L758" s="40"/>
      <c r="M758" s="40" t="str">
        <f>IF(B758="","",IF(COUNTIFS(Cobranza!$C$9:$C$1008,B758,Cobranza!$N$9:$N$1008,"Vencida")&gt;0,"Vencida",IF(COUNTIFS(Cobranza!$C$9:$C$1008,B758,Cobranza!$N$9:$N$1008,"Parcial")&gt;0,"Parcial",IF(COUNTIFS(Cobranza!$C$9:$C$1008,B758,Cobranza!$N$9:$N$1008,"Pendiente")&gt;0,"Pendiente",IF(COUNTIFS(Cobranza!$C$9:$C$1008,B758,Cobranza!$N$9:$N$1008,"Pagada")&gt;0,"Pagada","")))))</f>
        <v/>
      </c>
      <c r="N758" s="33" t="str">
        <f t="shared" ca="1" si="11"/>
        <v/>
      </c>
      <c r="O758" s="25"/>
      <c r="P758" s="11" t="str">
        <f ca="1">IF(AND(B758&lt;&gt;"",F758&lt;&gt;"Cerrada",F758&lt;&gt;"Perdida",N758&lt;&gt;"",N758&gt;14),COUNTIFS($F$8:$F758,"&lt;&gt;Cerrada",$F$8:$F758,"&lt;&gt;Perdida",$N$8:$N758,"&gt;14"),"")</f>
        <v/>
      </c>
    </row>
    <row r="759" spans="2:16" ht="21.75" customHeight="1" x14ac:dyDescent="0.25">
      <c r="B759" s="40"/>
      <c r="C759" s="40"/>
      <c r="D759" s="40"/>
      <c r="E759" s="40"/>
      <c r="F759" s="39"/>
      <c r="G759" s="41"/>
      <c r="H759" s="40"/>
      <c r="I759" s="41"/>
      <c r="J759" s="42"/>
      <c r="K759" s="40"/>
      <c r="L759" s="40"/>
      <c r="M759" s="40" t="str">
        <f>IF(B759="","",IF(COUNTIFS(Cobranza!$C$9:$C$1008,B759,Cobranza!$N$9:$N$1008,"Vencida")&gt;0,"Vencida",IF(COUNTIFS(Cobranza!$C$9:$C$1008,B759,Cobranza!$N$9:$N$1008,"Parcial")&gt;0,"Parcial",IF(COUNTIFS(Cobranza!$C$9:$C$1008,B759,Cobranza!$N$9:$N$1008,"Pendiente")&gt;0,"Pendiente",IF(COUNTIFS(Cobranza!$C$9:$C$1008,B759,Cobranza!$N$9:$N$1008,"Pagada")&gt;0,"Pagada","")))))</f>
        <v/>
      </c>
      <c r="N759" s="33" t="str">
        <f t="shared" ca="1" si="11"/>
        <v/>
      </c>
      <c r="O759" s="25"/>
      <c r="P759" s="11" t="str">
        <f ca="1">IF(AND(B759&lt;&gt;"",F759&lt;&gt;"Cerrada",F759&lt;&gt;"Perdida",N759&lt;&gt;"",N759&gt;14),COUNTIFS($F$8:$F759,"&lt;&gt;Cerrada",$F$8:$F759,"&lt;&gt;Perdida",$N$8:$N759,"&gt;14"),"")</f>
        <v/>
      </c>
    </row>
    <row r="760" spans="2:16" ht="21.75" customHeight="1" x14ac:dyDescent="0.25">
      <c r="B760" s="40"/>
      <c r="C760" s="40"/>
      <c r="D760" s="40"/>
      <c r="E760" s="40"/>
      <c r="F760" s="39"/>
      <c r="G760" s="41"/>
      <c r="H760" s="40"/>
      <c r="I760" s="41"/>
      <c r="J760" s="42"/>
      <c r="K760" s="40"/>
      <c r="L760" s="40"/>
      <c r="M760" s="40" t="str">
        <f>IF(B760="","",IF(COUNTIFS(Cobranza!$C$9:$C$1008,B760,Cobranza!$N$9:$N$1008,"Vencida")&gt;0,"Vencida",IF(COUNTIFS(Cobranza!$C$9:$C$1008,B760,Cobranza!$N$9:$N$1008,"Parcial")&gt;0,"Parcial",IF(COUNTIFS(Cobranza!$C$9:$C$1008,B760,Cobranza!$N$9:$N$1008,"Pendiente")&gt;0,"Pendiente",IF(COUNTIFS(Cobranza!$C$9:$C$1008,B760,Cobranza!$N$9:$N$1008,"Pagada")&gt;0,"Pagada","")))))</f>
        <v/>
      </c>
      <c r="N760" s="33" t="str">
        <f t="shared" ca="1" si="11"/>
        <v/>
      </c>
      <c r="O760" s="25"/>
      <c r="P760" s="11" t="str">
        <f ca="1">IF(AND(B760&lt;&gt;"",F760&lt;&gt;"Cerrada",F760&lt;&gt;"Perdida",N760&lt;&gt;"",N760&gt;14),COUNTIFS($F$8:$F760,"&lt;&gt;Cerrada",$F$8:$F760,"&lt;&gt;Perdida",$N$8:$N760,"&gt;14"),"")</f>
        <v/>
      </c>
    </row>
    <row r="761" spans="2:16" ht="21.75" customHeight="1" x14ac:dyDescent="0.25">
      <c r="B761" s="40"/>
      <c r="C761" s="40"/>
      <c r="D761" s="40"/>
      <c r="E761" s="40"/>
      <c r="F761" s="39"/>
      <c r="G761" s="41"/>
      <c r="H761" s="40"/>
      <c r="I761" s="41"/>
      <c r="J761" s="42"/>
      <c r="K761" s="40"/>
      <c r="L761" s="40"/>
      <c r="M761" s="40" t="str">
        <f>IF(B761="","",IF(COUNTIFS(Cobranza!$C$9:$C$1008,B761,Cobranza!$N$9:$N$1008,"Vencida")&gt;0,"Vencida",IF(COUNTIFS(Cobranza!$C$9:$C$1008,B761,Cobranza!$N$9:$N$1008,"Parcial")&gt;0,"Parcial",IF(COUNTIFS(Cobranza!$C$9:$C$1008,B761,Cobranza!$N$9:$N$1008,"Pendiente")&gt;0,"Pendiente",IF(COUNTIFS(Cobranza!$C$9:$C$1008,B761,Cobranza!$N$9:$N$1008,"Pagada")&gt;0,"Pagada","")))))</f>
        <v/>
      </c>
      <c r="N761" s="33" t="str">
        <f t="shared" ca="1" si="11"/>
        <v/>
      </c>
      <c r="O761" s="25"/>
      <c r="P761" s="11" t="str">
        <f ca="1">IF(AND(B761&lt;&gt;"",F761&lt;&gt;"Cerrada",F761&lt;&gt;"Perdida",N761&lt;&gt;"",N761&gt;14),COUNTIFS($F$8:$F761,"&lt;&gt;Cerrada",$F$8:$F761,"&lt;&gt;Perdida",$N$8:$N761,"&gt;14"),"")</f>
        <v/>
      </c>
    </row>
    <row r="762" spans="2:16" ht="21.75" customHeight="1" x14ac:dyDescent="0.25">
      <c r="B762" s="40"/>
      <c r="C762" s="40"/>
      <c r="D762" s="40"/>
      <c r="E762" s="40"/>
      <c r="F762" s="39"/>
      <c r="G762" s="41"/>
      <c r="H762" s="40"/>
      <c r="I762" s="41"/>
      <c r="J762" s="42"/>
      <c r="K762" s="40"/>
      <c r="L762" s="40"/>
      <c r="M762" s="40" t="str">
        <f>IF(B762="","",IF(COUNTIFS(Cobranza!$C$9:$C$1008,B762,Cobranza!$N$9:$N$1008,"Vencida")&gt;0,"Vencida",IF(COUNTIFS(Cobranza!$C$9:$C$1008,B762,Cobranza!$N$9:$N$1008,"Parcial")&gt;0,"Parcial",IF(COUNTIFS(Cobranza!$C$9:$C$1008,B762,Cobranza!$N$9:$N$1008,"Pendiente")&gt;0,"Pendiente",IF(COUNTIFS(Cobranza!$C$9:$C$1008,B762,Cobranza!$N$9:$N$1008,"Pagada")&gt;0,"Pagada","")))))</f>
        <v/>
      </c>
      <c r="N762" s="33" t="str">
        <f t="shared" ca="1" si="11"/>
        <v/>
      </c>
      <c r="O762" s="25"/>
      <c r="P762" s="11" t="str">
        <f ca="1">IF(AND(B762&lt;&gt;"",F762&lt;&gt;"Cerrada",F762&lt;&gt;"Perdida",N762&lt;&gt;"",N762&gt;14),COUNTIFS($F$8:$F762,"&lt;&gt;Cerrada",$F$8:$F762,"&lt;&gt;Perdida",$N$8:$N762,"&gt;14"),"")</f>
        <v/>
      </c>
    </row>
    <row r="763" spans="2:16" ht="21.75" customHeight="1" x14ac:dyDescent="0.25">
      <c r="B763" s="40"/>
      <c r="C763" s="40"/>
      <c r="D763" s="40"/>
      <c r="E763" s="40"/>
      <c r="F763" s="39"/>
      <c r="G763" s="41"/>
      <c r="H763" s="40"/>
      <c r="I763" s="41"/>
      <c r="J763" s="42"/>
      <c r="K763" s="40"/>
      <c r="L763" s="40"/>
      <c r="M763" s="40" t="str">
        <f>IF(B763="","",IF(COUNTIFS(Cobranza!$C$9:$C$1008,B763,Cobranza!$N$9:$N$1008,"Vencida")&gt;0,"Vencida",IF(COUNTIFS(Cobranza!$C$9:$C$1008,B763,Cobranza!$N$9:$N$1008,"Parcial")&gt;0,"Parcial",IF(COUNTIFS(Cobranza!$C$9:$C$1008,B763,Cobranza!$N$9:$N$1008,"Pendiente")&gt;0,"Pendiente",IF(COUNTIFS(Cobranza!$C$9:$C$1008,B763,Cobranza!$N$9:$N$1008,"Pagada")&gt;0,"Pagada","")))))</f>
        <v/>
      </c>
      <c r="N763" s="33" t="str">
        <f t="shared" ca="1" si="11"/>
        <v/>
      </c>
      <c r="O763" s="25"/>
      <c r="P763" s="11" t="str">
        <f ca="1">IF(AND(B763&lt;&gt;"",F763&lt;&gt;"Cerrada",F763&lt;&gt;"Perdida",N763&lt;&gt;"",N763&gt;14),COUNTIFS($F$8:$F763,"&lt;&gt;Cerrada",$F$8:$F763,"&lt;&gt;Perdida",$N$8:$N763,"&gt;14"),"")</f>
        <v/>
      </c>
    </row>
    <row r="764" spans="2:16" ht="21.75" customHeight="1" x14ac:dyDescent="0.25">
      <c r="B764" s="40"/>
      <c r="C764" s="40"/>
      <c r="D764" s="40"/>
      <c r="E764" s="40"/>
      <c r="F764" s="39"/>
      <c r="G764" s="41"/>
      <c r="H764" s="40"/>
      <c r="I764" s="41"/>
      <c r="J764" s="42"/>
      <c r="K764" s="40"/>
      <c r="L764" s="40"/>
      <c r="M764" s="40" t="str">
        <f>IF(B764="","",IF(COUNTIFS(Cobranza!$C$9:$C$1008,B764,Cobranza!$N$9:$N$1008,"Vencida")&gt;0,"Vencida",IF(COUNTIFS(Cobranza!$C$9:$C$1008,B764,Cobranza!$N$9:$N$1008,"Parcial")&gt;0,"Parcial",IF(COUNTIFS(Cobranza!$C$9:$C$1008,B764,Cobranza!$N$9:$N$1008,"Pendiente")&gt;0,"Pendiente",IF(COUNTIFS(Cobranza!$C$9:$C$1008,B764,Cobranza!$N$9:$N$1008,"Pagada")&gt;0,"Pagada","")))))</f>
        <v/>
      </c>
      <c r="N764" s="33" t="str">
        <f t="shared" ca="1" si="11"/>
        <v/>
      </c>
      <c r="O764" s="25"/>
      <c r="P764" s="11" t="str">
        <f ca="1">IF(AND(B764&lt;&gt;"",F764&lt;&gt;"Cerrada",F764&lt;&gt;"Perdida",N764&lt;&gt;"",N764&gt;14),COUNTIFS($F$8:$F764,"&lt;&gt;Cerrada",$F$8:$F764,"&lt;&gt;Perdida",$N$8:$N764,"&gt;14"),"")</f>
        <v/>
      </c>
    </row>
    <row r="765" spans="2:16" ht="21.75" customHeight="1" x14ac:dyDescent="0.25">
      <c r="B765" s="40"/>
      <c r="C765" s="40"/>
      <c r="D765" s="40"/>
      <c r="E765" s="40"/>
      <c r="F765" s="39"/>
      <c r="G765" s="41"/>
      <c r="H765" s="40"/>
      <c r="I765" s="41"/>
      <c r="J765" s="42"/>
      <c r="K765" s="40"/>
      <c r="L765" s="40"/>
      <c r="M765" s="40" t="str">
        <f>IF(B765="","",IF(COUNTIFS(Cobranza!$C$9:$C$1008,B765,Cobranza!$N$9:$N$1008,"Vencida")&gt;0,"Vencida",IF(COUNTIFS(Cobranza!$C$9:$C$1008,B765,Cobranza!$N$9:$N$1008,"Parcial")&gt;0,"Parcial",IF(COUNTIFS(Cobranza!$C$9:$C$1008,B765,Cobranza!$N$9:$N$1008,"Pendiente")&gt;0,"Pendiente",IF(COUNTIFS(Cobranza!$C$9:$C$1008,B765,Cobranza!$N$9:$N$1008,"Pagada")&gt;0,"Pagada","")))))</f>
        <v/>
      </c>
      <c r="N765" s="33" t="str">
        <f t="shared" ca="1" si="11"/>
        <v/>
      </c>
      <c r="O765" s="25"/>
      <c r="P765" s="11" t="str">
        <f ca="1">IF(AND(B765&lt;&gt;"",F765&lt;&gt;"Cerrada",F765&lt;&gt;"Perdida",N765&lt;&gt;"",N765&gt;14),COUNTIFS($F$8:$F765,"&lt;&gt;Cerrada",$F$8:$F765,"&lt;&gt;Perdida",$N$8:$N765,"&gt;14"),"")</f>
        <v/>
      </c>
    </row>
    <row r="766" spans="2:16" ht="21.75" customHeight="1" x14ac:dyDescent="0.25">
      <c r="B766" s="40"/>
      <c r="C766" s="40"/>
      <c r="D766" s="40"/>
      <c r="E766" s="40"/>
      <c r="F766" s="39"/>
      <c r="G766" s="41"/>
      <c r="H766" s="40"/>
      <c r="I766" s="41"/>
      <c r="J766" s="42"/>
      <c r="K766" s="40"/>
      <c r="L766" s="40"/>
      <c r="M766" s="40" t="str">
        <f>IF(B766="","",IF(COUNTIFS(Cobranza!$C$9:$C$1008,B766,Cobranza!$N$9:$N$1008,"Vencida")&gt;0,"Vencida",IF(COUNTIFS(Cobranza!$C$9:$C$1008,B766,Cobranza!$N$9:$N$1008,"Parcial")&gt;0,"Parcial",IF(COUNTIFS(Cobranza!$C$9:$C$1008,B766,Cobranza!$N$9:$N$1008,"Pendiente")&gt;0,"Pendiente",IF(COUNTIFS(Cobranza!$C$9:$C$1008,B766,Cobranza!$N$9:$N$1008,"Pagada")&gt;0,"Pagada","")))))</f>
        <v/>
      </c>
      <c r="N766" s="33" t="str">
        <f t="shared" ca="1" si="11"/>
        <v/>
      </c>
      <c r="O766" s="25"/>
      <c r="P766" s="11" t="str">
        <f ca="1">IF(AND(B766&lt;&gt;"",F766&lt;&gt;"Cerrada",F766&lt;&gt;"Perdida",N766&lt;&gt;"",N766&gt;14),COUNTIFS($F$8:$F766,"&lt;&gt;Cerrada",$F$8:$F766,"&lt;&gt;Perdida",$N$8:$N766,"&gt;14"),"")</f>
        <v/>
      </c>
    </row>
    <row r="767" spans="2:16" ht="21.75" customHeight="1" x14ac:dyDescent="0.25">
      <c r="B767" s="40"/>
      <c r="C767" s="40"/>
      <c r="D767" s="40"/>
      <c r="E767" s="40"/>
      <c r="F767" s="39"/>
      <c r="G767" s="41"/>
      <c r="H767" s="40"/>
      <c r="I767" s="41"/>
      <c r="J767" s="42"/>
      <c r="K767" s="40"/>
      <c r="L767" s="40"/>
      <c r="M767" s="40" t="str">
        <f>IF(B767="","",IF(COUNTIFS(Cobranza!$C$9:$C$1008,B767,Cobranza!$N$9:$N$1008,"Vencida")&gt;0,"Vencida",IF(COUNTIFS(Cobranza!$C$9:$C$1008,B767,Cobranza!$N$9:$N$1008,"Parcial")&gt;0,"Parcial",IF(COUNTIFS(Cobranza!$C$9:$C$1008,B767,Cobranza!$N$9:$N$1008,"Pendiente")&gt;0,"Pendiente",IF(COUNTIFS(Cobranza!$C$9:$C$1008,B767,Cobranza!$N$9:$N$1008,"Pagada")&gt;0,"Pagada","")))))</f>
        <v/>
      </c>
      <c r="N767" s="33" t="str">
        <f t="shared" ca="1" si="11"/>
        <v/>
      </c>
      <c r="O767" s="25"/>
      <c r="P767" s="11" t="str">
        <f ca="1">IF(AND(B767&lt;&gt;"",F767&lt;&gt;"Cerrada",F767&lt;&gt;"Perdida",N767&lt;&gt;"",N767&gt;14),COUNTIFS($F$8:$F767,"&lt;&gt;Cerrada",$F$8:$F767,"&lt;&gt;Perdida",$N$8:$N767,"&gt;14"),"")</f>
        <v/>
      </c>
    </row>
    <row r="768" spans="2:16" ht="21.75" customHeight="1" x14ac:dyDescent="0.25">
      <c r="B768" s="40"/>
      <c r="C768" s="40"/>
      <c r="D768" s="40"/>
      <c r="E768" s="40"/>
      <c r="F768" s="39"/>
      <c r="G768" s="41"/>
      <c r="H768" s="40"/>
      <c r="I768" s="41"/>
      <c r="J768" s="42"/>
      <c r="K768" s="40"/>
      <c r="L768" s="40"/>
      <c r="M768" s="40" t="str">
        <f>IF(B768="","",IF(COUNTIFS(Cobranza!$C$9:$C$1008,B768,Cobranza!$N$9:$N$1008,"Vencida")&gt;0,"Vencida",IF(COUNTIFS(Cobranza!$C$9:$C$1008,B768,Cobranza!$N$9:$N$1008,"Parcial")&gt;0,"Parcial",IF(COUNTIFS(Cobranza!$C$9:$C$1008,B768,Cobranza!$N$9:$N$1008,"Pendiente")&gt;0,"Pendiente",IF(COUNTIFS(Cobranza!$C$9:$C$1008,B768,Cobranza!$N$9:$N$1008,"Pagada")&gt;0,"Pagada","")))))</f>
        <v/>
      </c>
      <c r="N768" s="33" t="str">
        <f t="shared" ca="1" si="11"/>
        <v/>
      </c>
      <c r="O768" s="25"/>
      <c r="P768" s="11" t="str">
        <f ca="1">IF(AND(B768&lt;&gt;"",F768&lt;&gt;"Cerrada",F768&lt;&gt;"Perdida",N768&lt;&gt;"",N768&gt;14),COUNTIFS($F$8:$F768,"&lt;&gt;Cerrada",$F$8:$F768,"&lt;&gt;Perdida",$N$8:$N768,"&gt;14"),"")</f>
        <v/>
      </c>
    </row>
    <row r="769" spans="2:16" ht="21.75" customHeight="1" x14ac:dyDescent="0.25">
      <c r="B769" s="40"/>
      <c r="C769" s="40"/>
      <c r="D769" s="40"/>
      <c r="E769" s="40"/>
      <c r="F769" s="39"/>
      <c r="G769" s="41"/>
      <c r="H769" s="40"/>
      <c r="I769" s="41"/>
      <c r="J769" s="42"/>
      <c r="K769" s="40"/>
      <c r="L769" s="40"/>
      <c r="M769" s="40" t="str">
        <f>IF(B769="","",IF(COUNTIFS(Cobranza!$C$9:$C$1008,B769,Cobranza!$N$9:$N$1008,"Vencida")&gt;0,"Vencida",IF(COUNTIFS(Cobranza!$C$9:$C$1008,B769,Cobranza!$N$9:$N$1008,"Parcial")&gt;0,"Parcial",IF(COUNTIFS(Cobranza!$C$9:$C$1008,B769,Cobranza!$N$9:$N$1008,"Pendiente")&gt;0,"Pendiente",IF(COUNTIFS(Cobranza!$C$9:$C$1008,B769,Cobranza!$N$9:$N$1008,"Pagada")&gt;0,"Pagada","")))))</f>
        <v/>
      </c>
      <c r="N769" s="33" t="str">
        <f t="shared" ca="1" si="11"/>
        <v/>
      </c>
      <c r="O769" s="25"/>
      <c r="P769" s="11" t="str">
        <f ca="1">IF(AND(B769&lt;&gt;"",F769&lt;&gt;"Cerrada",F769&lt;&gt;"Perdida",N769&lt;&gt;"",N769&gt;14),COUNTIFS($F$8:$F769,"&lt;&gt;Cerrada",$F$8:$F769,"&lt;&gt;Perdida",$N$8:$N769,"&gt;14"),"")</f>
        <v/>
      </c>
    </row>
    <row r="770" spans="2:16" ht="21.75" customHeight="1" x14ac:dyDescent="0.25">
      <c r="B770" s="40"/>
      <c r="C770" s="40"/>
      <c r="D770" s="40"/>
      <c r="E770" s="40"/>
      <c r="F770" s="39"/>
      <c r="G770" s="41"/>
      <c r="H770" s="40"/>
      <c r="I770" s="41"/>
      <c r="J770" s="42"/>
      <c r="K770" s="40"/>
      <c r="L770" s="40"/>
      <c r="M770" s="40" t="str">
        <f>IF(B770="","",IF(COUNTIFS(Cobranza!$C$9:$C$1008,B770,Cobranza!$N$9:$N$1008,"Vencida")&gt;0,"Vencida",IF(COUNTIFS(Cobranza!$C$9:$C$1008,B770,Cobranza!$N$9:$N$1008,"Parcial")&gt;0,"Parcial",IF(COUNTIFS(Cobranza!$C$9:$C$1008,B770,Cobranza!$N$9:$N$1008,"Pendiente")&gt;0,"Pendiente",IF(COUNTIFS(Cobranza!$C$9:$C$1008,B770,Cobranza!$N$9:$N$1008,"Pagada")&gt;0,"Pagada","")))))</f>
        <v/>
      </c>
      <c r="N770" s="33" t="str">
        <f t="shared" ca="1" si="11"/>
        <v/>
      </c>
      <c r="O770" s="25"/>
      <c r="P770" s="11" t="str">
        <f ca="1">IF(AND(B770&lt;&gt;"",F770&lt;&gt;"Cerrada",F770&lt;&gt;"Perdida",N770&lt;&gt;"",N770&gt;14),COUNTIFS($F$8:$F770,"&lt;&gt;Cerrada",$F$8:$F770,"&lt;&gt;Perdida",$N$8:$N770,"&gt;14"),"")</f>
        <v/>
      </c>
    </row>
    <row r="771" spans="2:16" ht="21.75" customHeight="1" x14ac:dyDescent="0.25">
      <c r="B771" s="40"/>
      <c r="C771" s="40"/>
      <c r="D771" s="40"/>
      <c r="E771" s="40"/>
      <c r="F771" s="39"/>
      <c r="G771" s="41"/>
      <c r="H771" s="40"/>
      <c r="I771" s="41"/>
      <c r="J771" s="42"/>
      <c r="K771" s="40"/>
      <c r="L771" s="40"/>
      <c r="M771" s="40" t="str">
        <f>IF(B771="","",IF(COUNTIFS(Cobranza!$C$9:$C$1008,B771,Cobranza!$N$9:$N$1008,"Vencida")&gt;0,"Vencida",IF(COUNTIFS(Cobranza!$C$9:$C$1008,B771,Cobranza!$N$9:$N$1008,"Parcial")&gt;0,"Parcial",IF(COUNTIFS(Cobranza!$C$9:$C$1008,B771,Cobranza!$N$9:$N$1008,"Pendiente")&gt;0,"Pendiente",IF(COUNTIFS(Cobranza!$C$9:$C$1008,B771,Cobranza!$N$9:$N$1008,"Pagada")&gt;0,"Pagada","")))))</f>
        <v/>
      </c>
      <c r="N771" s="33" t="str">
        <f t="shared" ca="1" si="11"/>
        <v/>
      </c>
      <c r="O771" s="25"/>
      <c r="P771" s="11" t="str">
        <f ca="1">IF(AND(B771&lt;&gt;"",F771&lt;&gt;"Cerrada",F771&lt;&gt;"Perdida",N771&lt;&gt;"",N771&gt;14),COUNTIFS($F$8:$F771,"&lt;&gt;Cerrada",$F$8:$F771,"&lt;&gt;Perdida",$N$8:$N771,"&gt;14"),"")</f>
        <v/>
      </c>
    </row>
    <row r="772" spans="2:16" ht="21.75" customHeight="1" x14ac:dyDescent="0.25">
      <c r="B772" s="40"/>
      <c r="C772" s="40"/>
      <c r="D772" s="40"/>
      <c r="E772" s="40"/>
      <c r="F772" s="39"/>
      <c r="G772" s="41"/>
      <c r="H772" s="40"/>
      <c r="I772" s="41"/>
      <c r="J772" s="42"/>
      <c r="K772" s="40"/>
      <c r="L772" s="40"/>
      <c r="M772" s="40" t="str">
        <f>IF(B772="","",IF(COUNTIFS(Cobranza!$C$9:$C$1008,B772,Cobranza!$N$9:$N$1008,"Vencida")&gt;0,"Vencida",IF(COUNTIFS(Cobranza!$C$9:$C$1008,B772,Cobranza!$N$9:$N$1008,"Parcial")&gt;0,"Parcial",IF(COUNTIFS(Cobranza!$C$9:$C$1008,B772,Cobranza!$N$9:$N$1008,"Pendiente")&gt;0,"Pendiente",IF(COUNTIFS(Cobranza!$C$9:$C$1008,B772,Cobranza!$N$9:$N$1008,"Pagada")&gt;0,"Pagada","")))))</f>
        <v/>
      </c>
      <c r="N772" s="33" t="str">
        <f t="shared" ca="1" si="11"/>
        <v/>
      </c>
      <c r="O772" s="25"/>
      <c r="P772" s="11" t="str">
        <f ca="1">IF(AND(B772&lt;&gt;"",F772&lt;&gt;"Cerrada",F772&lt;&gt;"Perdida",N772&lt;&gt;"",N772&gt;14),COUNTIFS($F$8:$F772,"&lt;&gt;Cerrada",$F$8:$F772,"&lt;&gt;Perdida",$N$8:$N772,"&gt;14"),"")</f>
        <v/>
      </c>
    </row>
    <row r="773" spans="2:16" ht="21.75" customHeight="1" x14ac:dyDescent="0.25">
      <c r="B773" s="40"/>
      <c r="C773" s="40"/>
      <c r="D773" s="40"/>
      <c r="E773" s="40"/>
      <c r="F773" s="39"/>
      <c r="G773" s="41"/>
      <c r="H773" s="40"/>
      <c r="I773" s="41"/>
      <c r="J773" s="42"/>
      <c r="K773" s="40"/>
      <c r="L773" s="40"/>
      <c r="M773" s="40" t="str">
        <f>IF(B773="","",IF(COUNTIFS(Cobranza!$C$9:$C$1008,B773,Cobranza!$N$9:$N$1008,"Vencida")&gt;0,"Vencida",IF(COUNTIFS(Cobranza!$C$9:$C$1008,B773,Cobranza!$N$9:$N$1008,"Parcial")&gt;0,"Parcial",IF(COUNTIFS(Cobranza!$C$9:$C$1008,B773,Cobranza!$N$9:$N$1008,"Pendiente")&gt;0,"Pendiente",IF(COUNTIFS(Cobranza!$C$9:$C$1008,B773,Cobranza!$N$9:$N$1008,"Pagada")&gt;0,"Pagada","")))))</f>
        <v/>
      </c>
      <c r="N773" s="33" t="str">
        <f t="shared" ca="1" si="11"/>
        <v/>
      </c>
      <c r="O773" s="25"/>
      <c r="P773" s="11" t="str">
        <f ca="1">IF(AND(B773&lt;&gt;"",F773&lt;&gt;"Cerrada",F773&lt;&gt;"Perdida",N773&lt;&gt;"",N773&gt;14),COUNTIFS($F$8:$F773,"&lt;&gt;Cerrada",$F$8:$F773,"&lt;&gt;Perdida",$N$8:$N773,"&gt;14"),"")</f>
        <v/>
      </c>
    </row>
    <row r="774" spans="2:16" ht="21.75" customHeight="1" x14ac:dyDescent="0.25">
      <c r="B774" s="40"/>
      <c r="C774" s="40"/>
      <c r="D774" s="40"/>
      <c r="E774" s="40"/>
      <c r="F774" s="39"/>
      <c r="G774" s="41"/>
      <c r="H774" s="40"/>
      <c r="I774" s="41"/>
      <c r="J774" s="42"/>
      <c r="K774" s="40"/>
      <c r="L774" s="40"/>
      <c r="M774" s="40" t="str">
        <f>IF(B774="","",IF(COUNTIFS(Cobranza!$C$9:$C$1008,B774,Cobranza!$N$9:$N$1008,"Vencida")&gt;0,"Vencida",IF(COUNTIFS(Cobranza!$C$9:$C$1008,B774,Cobranza!$N$9:$N$1008,"Parcial")&gt;0,"Parcial",IF(COUNTIFS(Cobranza!$C$9:$C$1008,B774,Cobranza!$N$9:$N$1008,"Pendiente")&gt;0,"Pendiente",IF(COUNTIFS(Cobranza!$C$9:$C$1008,B774,Cobranza!$N$9:$N$1008,"Pagada")&gt;0,"Pagada","")))))</f>
        <v/>
      </c>
      <c r="N774" s="33" t="str">
        <f t="shared" ca="1" si="11"/>
        <v/>
      </c>
      <c r="O774" s="25"/>
      <c r="P774" s="11" t="str">
        <f ca="1">IF(AND(B774&lt;&gt;"",F774&lt;&gt;"Cerrada",F774&lt;&gt;"Perdida",N774&lt;&gt;"",N774&gt;14),COUNTIFS($F$8:$F774,"&lt;&gt;Cerrada",$F$8:$F774,"&lt;&gt;Perdida",$N$8:$N774,"&gt;14"),"")</f>
        <v/>
      </c>
    </row>
    <row r="775" spans="2:16" ht="21.75" customHeight="1" x14ac:dyDescent="0.25">
      <c r="B775" s="40"/>
      <c r="C775" s="40"/>
      <c r="D775" s="40"/>
      <c r="E775" s="40"/>
      <c r="F775" s="39"/>
      <c r="G775" s="41"/>
      <c r="H775" s="40"/>
      <c r="I775" s="41"/>
      <c r="J775" s="42"/>
      <c r="K775" s="40"/>
      <c r="L775" s="40"/>
      <c r="M775" s="40" t="str">
        <f>IF(B775="","",IF(COUNTIFS(Cobranza!$C$9:$C$1008,B775,Cobranza!$N$9:$N$1008,"Vencida")&gt;0,"Vencida",IF(COUNTIFS(Cobranza!$C$9:$C$1008,B775,Cobranza!$N$9:$N$1008,"Parcial")&gt;0,"Parcial",IF(COUNTIFS(Cobranza!$C$9:$C$1008,B775,Cobranza!$N$9:$N$1008,"Pendiente")&gt;0,"Pendiente",IF(COUNTIFS(Cobranza!$C$9:$C$1008,B775,Cobranza!$N$9:$N$1008,"Pagada")&gt;0,"Pagada","")))))</f>
        <v/>
      </c>
      <c r="N775" s="33" t="str">
        <f t="shared" ca="1" si="11"/>
        <v/>
      </c>
      <c r="O775" s="25"/>
      <c r="P775" s="11" t="str">
        <f ca="1">IF(AND(B775&lt;&gt;"",F775&lt;&gt;"Cerrada",F775&lt;&gt;"Perdida",N775&lt;&gt;"",N775&gt;14),COUNTIFS($F$8:$F775,"&lt;&gt;Cerrada",$F$8:$F775,"&lt;&gt;Perdida",$N$8:$N775,"&gt;14"),"")</f>
        <v/>
      </c>
    </row>
    <row r="776" spans="2:16" ht="21.75" customHeight="1" x14ac:dyDescent="0.25">
      <c r="B776" s="40"/>
      <c r="C776" s="40"/>
      <c r="D776" s="40"/>
      <c r="E776" s="40"/>
      <c r="F776" s="39"/>
      <c r="G776" s="41"/>
      <c r="H776" s="40"/>
      <c r="I776" s="41"/>
      <c r="J776" s="42"/>
      <c r="K776" s="40"/>
      <c r="L776" s="40"/>
      <c r="M776" s="40" t="str">
        <f>IF(B776="","",IF(COUNTIFS(Cobranza!$C$9:$C$1008,B776,Cobranza!$N$9:$N$1008,"Vencida")&gt;0,"Vencida",IF(COUNTIFS(Cobranza!$C$9:$C$1008,B776,Cobranza!$N$9:$N$1008,"Parcial")&gt;0,"Parcial",IF(COUNTIFS(Cobranza!$C$9:$C$1008,B776,Cobranza!$N$9:$N$1008,"Pendiente")&gt;0,"Pendiente",IF(COUNTIFS(Cobranza!$C$9:$C$1008,B776,Cobranza!$N$9:$N$1008,"Pagada")&gt;0,"Pagada","")))))</f>
        <v/>
      </c>
      <c r="N776" s="33" t="str">
        <f t="shared" ref="N776:N839" ca="1" si="12">IF(I776="","",MAX(0,TODAY()-I776))</f>
        <v/>
      </c>
      <c r="O776" s="25"/>
      <c r="P776" s="11" t="str">
        <f ca="1">IF(AND(B776&lt;&gt;"",F776&lt;&gt;"Cerrada",F776&lt;&gt;"Perdida",N776&lt;&gt;"",N776&gt;14),COUNTIFS($F$8:$F776,"&lt;&gt;Cerrada",$F$8:$F776,"&lt;&gt;Perdida",$N$8:$N776,"&gt;14"),"")</f>
        <v/>
      </c>
    </row>
    <row r="777" spans="2:16" ht="21.75" customHeight="1" x14ac:dyDescent="0.25">
      <c r="B777" s="40"/>
      <c r="C777" s="40"/>
      <c r="D777" s="40"/>
      <c r="E777" s="40"/>
      <c r="F777" s="39"/>
      <c r="G777" s="41"/>
      <c r="H777" s="40"/>
      <c r="I777" s="41"/>
      <c r="J777" s="42"/>
      <c r="K777" s="40"/>
      <c r="L777" s="40"/>
      <c r="M777" s="40" t="str">
        <f>IF(B777="","",IF(COUNTIFS(Cobranza!$C$9:$C$1008,B777,Cobranza!$N$9:$N$1008,"Vencida")&gt;0,"Vencida",IF(COUNTIFS(Cobranza!$C$9:$C$1008,B777,Cobranza!$N$9:$N$1008,"Parcial")&gt;0,"Parcial",IF(COUNTIFS(Cobranza!$C$9:$C$1008,B777,Cobranza!$N$9:$N$1008,"Pendiente")&gt;0,"Pendiente",IF(COUNTIFS(Cobranza!$C$9:$C$1008,B777,Cobranza!$N$9:$N$1008,"Pagada")&gt;0,"Pagada","")))))</f>
        <v/>
      </c>
      <c r="N777" s="33" t="str">
        <f t="shared" ca="1" si="12"/>
        <v/>
      </c>
      <c r="O777" s="25"/>
      <c r="P777" s="11" t="str">
        <f ca="1">IF(AND(B777&lt;&gt;"",F777&lt;&gt;"Cerrada",F777&lt;&gt;"Perdida",N777&lt;&gt;"",N777&gt;14),COUNTIFS($F$8:$F777,"&lt;&gt;Cerrada",$F$8:$F777,"&lt;&gt;Perdida",$N$8:$N777,"&gt;14"),"")</f>
        <v/>
      </c>
    </row>
    <row r="778" spans="2:16" ht="21.75" customHeight="1" x14ac:dyDescent="0.25">
      <c r="B778" s="40"/>
      <c r="C778" s="40"/>
      <c r="D778" s="40"/>
      <c r="E778" s="40"/>
      <c r="F778" s="39"/>
      <c r="G778" s="41"/>
      <c r="H778" s="40"/>
      <c r="I778" s="41"/>
      <c r="J778" s="42"/>
      <c r="K778" s="40"/>
      <c r="L778" s="40"/>
      <c r="M778" s="40" t="str">
        <f>IF(B778="","",IF(COUNTIFS(Cobranza!$C$9:$C$1008,B778,Cobranza!$N$9:$N$1008,"Vencida")&gt;0,"Vencida",IF(COUNTIFS(Cobranza!$C$9:$C$1008,B778,Cobranza!$N$9:$N$1008,"Parcial")&gt;0,"Parcial",IF(COUNTIFS(Cobranza!$C$9:$C$1008,B778,Cobranza!$N$9:$N$1008,"Pendiente")&gt;0,"Pendiente",IF(COUNTIFS(Cobranza!$C$9:$C$1008,B778,Cobranza!$N$9:$N$1008,"Pagada")&gt;0,"Pagada","")))))</f>
        <v/>
      </c>
      <c r="N778" s="33" t="str">
        <f t="shared" ca="1" si="12"/>
        <v/>
      </c>
      <c r="O778" s="25"/>
      <c r="P778" s="11" t="str">
        <f ca="1">IF(AND(B778&lt;&gt;"",F778&lt;&gt;"Cerrada",F778&lt;&gt;"Perdida",N778&lt;&gt;"",N778&gt;14),COUNTIFS($F$8:$F778,"&lt;&gt;Cerrada",$F$8:$F778,"&lt;&gt;Perdida",$N$8:$N778,"&gt;14"),"")</f>
        <v/>
      </c>
    </row>
    <row r="779" spans="2:16" ht="21.75" customHeight="1" x14ac:dyDescent="0.25">
      <c r="B779" s="40"/>
      <c r="C779" s="40"/>
      <c r="D779" s="40"/>
      <c r="E779" s="40"/>
      <c r="F779" s="39"/>
      <c r="G779" s="41"/>
      <c r="H779" s="40"/>
      <c r="I779" s="41"/>
      <c r="J779" s="42"/>
      <c r="K779" s="40"/>
      <c r="L779" s="40"/>
      <c r="M779" s="40" t="str">
        <f>IF(B779="","",IF(COUNTIFS(Cobranza!$C$9:$C$1008,B779,Cobranza!$N$9:$N$1008,"Vencida")&gt;0,"Vencida",IF(COUNTIFS(Cobranza!$C$9:$C$1008,B779,Cobranza!$N$9:$N$1008,"Parcial")&gt;0,"Parcial",IF(COUNTIFS(Cobranza!$C$9:$C$1008,B779,Cobranza!$N$9:$N$1008,"Pendiente")&gt;0,"Pendiente",IF(COUNTIFS(Cobranza!$C$9:$C$1008,B779,Cobranza!$N$9:$N$1008,"Pagada")&gt;0,"Pagada","")))))</f>
        <v/>
      </c>
      <c r="N779" s="33" t="str">
        <f t="shared" ca="1" si="12"/>
        <v/>
      </c>
      <c r="O779" s="25"/>
      <c r="P779" s="11" t="str">
        <f ca="1">IF(AND(B779&lt;&gt;"",F779&lt;&gt;"Cerrada",F779&lt;&gt;"Perdida",N779&lt;&gt;"",N779&gt;14),COUNTIFS($F$8:$F779,"&lt;&gt;Cerrada",$F$8:$F779,"&lt;&gt;Perdida",$N$8:$N779,"&gt;14"),"")</f>
        <v/>
      </c>
    </row>
    <row r="780" spans="2:16" ht="21.75" customHeight="1" x14ac:dyDescent="0.25">
      <c r="B780" s="40"/>
      <c r="C780" s="40"/>
      <c r="D780" s="40"/>
      <c r="E780" s="40"/>
      <c r="F780" s="39"/>
      <c r="G780" s="41"/>
      <c r="H780" s="40"/>
      <c r="I780" s="41"/>
      <c r="J780" s="42"/>
      <c r="K780" s="40"/>
      <c r="L780" s="40"/>
      <c r="M780" s="40" t="str">
        <f>IF(B780="","",IF(COUNTIFS(Cobranza!$C$9:$C$1008,B780,Cobranza!$N$9:$N$1008,"Vencida")&gt;0,"Vencida",IF(COUNTIFS(Cobranza!$C$9:$C$1008,B780,Cobranza!$N$9:$N$1008,"Parcial")&gt;0,"Parcial",IF(COUNTIFS(Cobranza!$C$9:$C$1008,B780,Cobranza!$N$9:$N$1008,"Pendiente")&gt;0,"Pendiente",IF(COUNTIFS(Cobranza!$C$9:$C$1008,B780,Cobranza!$N$9:$N$1008,"Pagada")&gt;0,"Pagada","")))))</f>
        <v/>
      </c>
      <c r="N780" s="33" t="str">
        <f t="shared" ca="1" si="12"/>
        <v/>
      </c>
      <c r="O780" s="25"/>
      <c r="P780" s="11" t="str">
        <f ca="1">IF(AND(B780&lt;&gt;"",F780&lt;&gt;"Cerrada",F780&lt;&gt;"Perdida",N780&lt;&gt;"",N780&gt;14),COUNTIFS($F$8:$F780,"&lt;&gt;Cerrada",$F$8:$F780,"&lt;&gt;Perdida",$N$8:$N780,"&gt;14"),"")</f>
        <v/>
      </c>
    </row>
    <row r="781" spans="2:16" ht="21.75" customHeight="1" x14ac:dyDescent="0.25">
      <c r="B781" s="40"/>
      <c r="C781" s="40"/>
      <c r="D781" s="40"/>
      <c r="E781" s="40"/>
      <c r="F781" s="39"/>
      <c r="G781" s="41"/>
      <c r="H781" s="40"/>
      <c r="I781" s="41"/>
      <c r="J781" s="42"/>
      <c r="K781" s="40"/>
      <c r="L781" s="40"/>
      <c r="M781" s="40" t="str">
        <f>IF(B781="","",IF(COUNTIFS(Cobranza!$C$9:$C$1008,B781,Cobranza!$N$9:$N$1008,"Vencida")&gt;0,"Vencida",IF(COUNTIFS(Cobranza!$C$9:$C$1008,B781,Cobranza!$N$9:$N$1008,"Parcial")&gt;0,"Parcial",IF(COUNTIFS(Cobranza!$C$9:$C$1008,B781,Cobranza!$N$9:$N$1008,"Pendiente")&gt;0,"Pendiente",IF(COUNTIFS(Cobranza!$C$9:$C$1008,B781,Cobranza!$N$9:$N$1008,"Pagada")&gt;0,"Pagada","")))))</f>
        <v/>
      </c>
      <c r="N781" s="33" t="str">
        <f t="shared" ca="1" si="12"/>
        <v/>
      </c>
      <c r="O781" s="25"/>
      <c r="P781" s="11" t="str">
        <f ca="1">IF(AND(B781&lt;&gt;"",F781&lt;&gt;"Cerrada",F781&lt;&gt;"Perdida",N781&lt;&gt;"",N781&gt;14),COUNTIFS($F$8:$F781,"&lt;&gt;Cerrada",$F$8:$F781,"&lt;&gt;Perdida",$N$8:$N781,"&gt;14"),"")</f>
        <v/>
      </c>
    </row>
    <row r="782" spans="2:16" ht="21.75" customHeight="1" x14ac:dyDescent="0.25">
      <c r="B782" s="40"/>
      <c r="C782" s="40"/>
      <c r="D782" s="40"/>
      <c r="E782" s="40"/>
      <c r="F782" s="39"/>
      <c r="G782" s="41"/>
      <c r="H782" s="40"/>
      <c r="I782" s="41"/>
      <c r="J782" s="42"/>
      <c r="K782" s="40"/>
      <c r="L782" s="40"/>
      <c r="M782" s="40" t="str">
        <f>IF(B782="","",IF(COUNTIFS(Cobranza!$C$9:$C$1008,B782,Cobranza!$N$9:$N$1008,"Vencida")&gt;0,"Vencida",IF(COUNTIFS(Cobranza!$C$9:$C$1008,B782,Cobranza!$N$9:$N$1008,"Parcial")&gt;0,"Parcial",IF(COUNTIFS(Cobranza!$C$9:$C$1008,B782,Cobranza!$N$9:$N$1008,"Pendiente")&gt;0,"Pendiente",IF(COUNTIFS(Cobranza!$C$9:$C$1008,B782,Cobranza!$N$9:$N$1008,"Pagada")&gt;0,"Pagada","")))))</f>
        <v/>
      </c>
      <c r="N782" s="33" t="str">
        <f t="shared" ca="1" si="12"/>
        <v/>
      </c>
      <c r="O782" s="25"/>
      <c r="P782" s="11" t="str">
        <f ca="1">IF(AND(B782&lt;&gt;"",F782&lt;&gt;"Cerrada",F782&lt;&gt;"Perdida",N782&lt;&gt;"",N782&gt;14),COUNTIFS($F$8:$F782,"&lt;&gt;Cerrada",$F$8:$F782,"&lt;&gt;Perdida",$N$8:$N782,"&gt;14"),"")</f>
        <v/>
      </c>
    </row>
    <row r="783" spans="2:16" ht="21.75" customHeight="1" x14ac:dyDescent="0.25">
      <c r="B783" s="40"/>
      <c r="C783" s="40"/>
      <c r="D783" s="40"/>
      <c r="E783" s="40"/>
      <c r="F783" s="39"/>
      <c r="G783" s="41"/>
      <c r="H783" s="40"/>
      <c r="I783" s="41"/>
      <c r="J783" s="42"/>
      <c r="K783" s="40"/>
      <c r="L783" s="40"/>
      <c r="M783" s="40" t="str">
        <f>IF(B783="","",IF(COUNTIFS(Cobranza!$C$9:$C$1008,B783,Cobranza!$N$9:$N$1008,"Vencida")&gt;0,"Vencida",IF(COUNTIFS(Cobranza!$C$9:$C$1008,B783,Cobranza!$N$9:$N$1008,"Parcial")&gt;0,"Parcial",IF(COUNTIFS(Cobranza!$C$9:$C$1008,B783,Cobranza!$N$9:$N$1008,"Pendiente")&gt;0,"Pendiente",IF(COUNTIFS(Cobranza!$C$9:$C$1008,B783,Cobranza!$N$9:$N$1008,"Pagada")&gt;0,"Pagada","")))))</f>
        <v/>
      </c>
      <c r="N783" s="33" t="str">
        <f t="shared" ca="1" si="12"/>
        <v/>
      </c>
      <c r="O783" s="25"/>
      <c r="P783" s="11" t="str">
        <f ca="1">IF(AND(B783&lt;&gt;"",F783&lt;&gt;"Cerrada",F783&lt;&gt;"Perdida",N783&lt;&gt;"",N783&gt;14),COUNTIFS($F$8:$F783,"&lt;&gt;Cerrada",$F$8:$F783,"&lt;&gt;Perdida",$N$8:$N783,"&gt;14"),"")</f>
        <v/>
      </c>
    </row>
    <row r="784" spans="2:16" ht="21.75" customHeight="1" x14ac:dyDescent="0.25">
      <c r="B784" s="40"/>
      <c r="C784" s="40"/>
      <c r="D784" s="40"/>
      <c r="E784" s="40"/>
      <c r="F784" s="39"/>
      <c r="G784" s="41"/>
      <c r="H784" s="40"/>
      <c r="I784" s="41"/>
      <c r="J784" s="42"/>
      <c r="K784" s="40"/>
      <c r="L784" s="40"/>
      <c r="M784" s="40" t="str">
        <f>IF(B784="","",IF(COUNTIFS(Cobranza!$C$9:$C$1008,B784,Cobranza!$N$9:$N$1008,"Vencida")&gt;0,"Vencida",IF(COUNTIFS(Cobranza!$C$9:$C$1008,B784,Cobranza!$N$9:$N$1008,"Parcial")&gt;0,"Parcial",IF(COUNTIFS(Cobranza!$C$9:$C$1008,B784,Cobranza!$N$9:$N$1008,"Pendiente")&gt;0,"Pendiente",IF(COUNTIFS(Cobranza!$C$9:$C$1008,B784,Cobranza!$N$9:$N$1008,"Pagada")&gt;0,"Pagada","")))))</f>
        <v/>
      </c>
      <c r="N784" s="33" t="str">
        <f t="shared" ca="1" si="12"/>
        <v/>
      </c>
      <c r="O784" s="25"/>
      <c r="P784" s="11" t="str">
        <f ca="1">IF(AND(B784&lt;&gt;"",F784&lt;&gt;"Cerrada",F784&lt;&gt;"Perdida",N784&lt;&gt;"",N784&gt;14),COUNTIFS($F$8:$F784,"&lt;&gt;Cerrada",$F$8:$F784,"&lt;&gt;Perdida",$N$8:$N784,"&gt;14"),"")</f>
        <v/>
      </c>
    </row>
    <row r="785" spans="2:16" ht="21.75" customHeight="1" x14ac:dyDescent="0.25">
      <c r="B785" s="40"/>
      <c r="C785" s="40"/>
      <c r="D785" s="40"/>
      <c r="E785" s="40"/>
      <c r="F785" s="39"/>
      <c r="G785" s="41"/>
      <c r="H785" s="40"/>
      <c r="I785" s="41"/>
      <c r="J785" s="42"/>
      <c r="K785" s="40"/>
      <c r="L785" s="40"/>
      <c r="M785" s="40" t="str">
        <f>IF(B785="","",IF(COUNTIFS(Cobranza!$C$9:$C$1008,B785,Cobranza!$N$9:$N$1008,"Vencida")&gt;0,"Vencida",IF(COUNTIFS(Cobranza!$C$9:$C$1008,B785,Cobranza!$N$9:$N$1008,"Parcial")&gt;0,"Parcial",IF(COUNTIFS(Cobranza!$C$9:$C$1008,B785,Cobranza!$N$9:$N$1008,"Pendiente")&gt;0,"Pendiente",IF(COUNTIFS(Cobranza!$C$9:$C$1008,B785,Cobranza!$N$9:$N$1008,"Pagada")&gt;0,"Pagada","")))))</f>
        <v/>
      </c>
      <c r="N785" s="33" t="str">
        <f t="shared" ca="1" si="12"/>
        <v/>
      </c>
      <c r="O785" s="25"/>
      <c r="P785" s="11" t="str">
        <f ca="1">IF(AND(B785&lt;&gt;"",F785&lt;&gt;"Cerrada",F785&lt;&gt;"Perdida",N785&lt;&gt;"",N785&gt;14),COUNTIFS($F$8:$F785,"&lt;&gt;Cerrada",$F$8:$F785,"&lt;&gt;Perdida",$N$8:$N785,"&gt;14"),"")</f>
        <v/>
      </c>
    </row>
    <row r="786" spans="2:16" ht="21.75" customHeight="1" x14ac:dyDescent="0.25">
      <c r="B786" s="40"/>
      <c r="C786" s="40"/>
      <c r="D786" s="40"/>
      <c r="E786" s="40"/>
      <c r="F786" s="39"/>
      <c r="G786" s="41"/>
      <c r="H786" s="40"/>
      <c r="I786" s="41"/>
      <c r="J786" s="42"/>
      <c r="K786" s="40"/>
      <c r="L786" s="40"/>
      <c r="M786" s="40" t="str">
        <f>IF(B786="","",IF(COUNTIFS(Cobranza!$C$9:$C$1008,B786,Cobranza!$N$9:$N$1008,"Vencida")&gt;0,"Vencida",IF(COUNTIFS(Cobranza!$C$9:$C$1008,B786,Cobranza!$N$9:$N$1008,"Parcial")&gt;0,"Parcial",IF(COUNTIFS(Cobranza!$C$9:$C$1008,B786,Cobranza!$N$9:$N$1008,"Pendiente")&gt;0,"Pendiente",IF(COUNTIFS(Cobranza!$C$9:$C$1008,B786,Cobranza!$N$9:$N$1008,"Pagada")&gt;0,"Pagada","")))))</f>
        <v/>
      </c>
      <c r="N786" s="33" t="str">
        <f t="shared" ca="1" si="12"/>
        <v/>
      </c>
      <c r="O786" s="25"/>
      <c r="P786" s="11" t="str">
        <f ca="1">IF(AND(B786&lt;&gt;"",F786&lt;&gt;"Cerrada",F786&lt;&gt;"Perdida",N786&lt;&gt;"",N786&gt;14),COUNTIFS($F$8:$F786,"&lt;&gt;Cerrada",$F$8:$F786,"&lt;&gt;Perdida",$N$8:$N786,"&gt;14"),"")</f>
        <v/>
      </c>
    </row>
    <row r="787" spans="2:16" ht="21.75" customHeight="1" x14ac:dyDescent="0.25">
      <c r="B787" s="40"/>
      <c r="C787" s="40"/>
      <c r="D787" s="40"/>
      <c r="E787" s="40"/>
      <c r="F787" s="39"/>
      <c r="G787" s="41"/>
      <c r="H787" s="40"/>
      <c r="I787" s="41"/>
      <c r="J787" s="42"/>
      <c r="K787" s="40"/>
      <c r="L787" s="40"/>
      <c r="M787" s="40" t="str">
        <f>IF(B787="","",IF(COUNTIFS(Cobranza!$C$9:$C$1008,B787,Cobranza!$N$9:$N$1008,"Vencida")&gt;0,"Vencida",IF(COUNTIFS(Cobranza!$C$9:$C$1008,B787,Cobranza!$N$9:$N$1008,"Parcial")&gt;0,"Parcial",IF(COUNTIFS(Cobranza!$C$9:$C$1008,B787,Cobranza!$N$9:$N$1008,"Pendiente")&gt;0,"Pendiente",IF(COUNTIFS(Cobranza!$C$9:$C$1008,B787,Cobranza!$N$9:$N$1008,"Pagada")&gt;0,"Pagada","")))))</f>
        <v/>
      </c>
      <c r="N787" s="33" t="str">
        <f t="shared" ca="1" si="12"/>
        <v/>
      </c>
      <c r="O787" s="25"/>
      <c r="P787" s="11" t="str">
        <f ca="1">IF(AND(B787&lt;&gt;"",F787&lt;&gt;"Cerrada",F787&lt;&gt;"Perdida",N787&lt;&gt;"",N787&gt;14),COUNTIFS($F$8:$F787,"&lt;&gt;Cerrada",$F$8:$F787,"&lt;&gt;Perdida",$N$8:$N787,"&gt;14"),"")</f>
        <v/>
      </c>
    </row>
    <row r="788" spans="2:16" ht="21.75" customHeight="1" x14ac:dyDescent="0.25">
      <c r="B788" s="40"/>
      <c r="C788" s="40"/>
      <c r="D788" s="40"/>
      <c r="E788" s="40"/>
      <c r="F788" s="39"/>
      <c r="G788" s="41"/>
      <c r="H788" s="40"/>
      <c r="I788" s="41"/>
      <c r="J788" s="42"/>
      <c r="K788" s="40"/>
      <c r="L788" s="40"/>
      <c r="M788" s="40" t="str">
        <f>IF(B788="","",IF(COUNTIFS(Cobranza!$C$9:$C$1008,B788,Cobranza!$N$9:$N$1008,"Vencida")&gt;0,"Vencida",IF(COUNTIFS(Cobranza!$C$9:$C$1008,B788,Cobranza!$N$9:$N$1008,"Parcial")&gt;0,"Parcial",IF(COUNTIFS(Cobranza!$C$9:$C$1008,B788,Cobranza!$N$9:$N$1008,"Pendiente")&gt;0,"Pendiente",IF(COUNTIFS(Cobranza!$C$9:$C$1008,B788,Cobranza!$N$9:$N$1008,"Pagada")&gt;0,"Pagada","")))))</f>
        <v/>
      </c>
      <c r="N788" s="33" t="str">
        <f t="shared" ca="1" si="12"/>
        <v/>
      </c>
      <c r="O788" s="25"/>
      <c r="P788" s="11" t="str">
        <f ca="1">IF(AND(B788&lt;&gt;"",F788&lt;&gt;"Cerrada",F788&lt;&gt;"Perdida",N788&lt;&gt;"",N788&gt;14),COUNTIFS($F$8:$F788,"&lt;&gt;Cerrada",$F$8:$F788,"&lt;&gt;Perdida",$N$8:$N788,"&gt;14"),"")</f>
        <v/>
      </c>
    </row>
    <row r="789" spans="2:16" ht="21.75" customHeight="1" x14ac:dyDescent="0.25">
      <c r="B789" s="40"/>
      <c r="C789" s="40"/>
      <c r="D789" s="40"/>
      <c r="E789" s="40"/>
      <c r="F789" s="39"/>
      <c r="G789" s="41"/>
      <c r="H789" s="40"/>
      <c r="I789" s="41"/>
      <c r="J789" s="42"/>
      <c r="K789" s="40"/>
      <c r="L789" s="40"/>
      <c r="M789" s="40" t="str">
        <f>IF(B789="","",IF(COUNTIFS(Cobranza!$C$9:$C$1008,B789,Cobranza!$N$9:$N$1008,"Vencida")&gt;0,"Vencida",IF(COUNTIFS(Cobranza!$C$9:$C$1008,B789,Cobranza!$N$9:$N$1008,"Parcial")&gt;0,"Parcial",IF(COUNTIFS(Cobranza!$C$9:$C$1008,B789,Cobranza!$N$9:$N$1008,"Pendiente")&gt;0,"Pendiente",IF(COUNTIFS(Cobranza!$C$9:$C$1008,B789,Cobranza!$N$9:$N$1008,"Pagada")&gt;0,"Pagada","")))))</f>
        <v/>
      </c>
      <c r="N789" s="33" t="str">
        <f t="shared" ca="1" si="12"/>
        <v/>
      </c>
      <c r="O789" s="25"/>
      <c r="P789" s="11" t="str">
        <f ca="1">IF(AND(B789&lt;&gt;"",F789&lt;&gt;"Cerrada",F789&lt;&gt;"Perdida",N789&lt;&gt;"",N789&gt;14),COUNTIFS($F$8:$F789,"&lt;&gt;Cerrada",$F$8:$F789,"&lt;&gt;Perdida",$N$8:$N789,"&gt;14"),"")</f>
        <v/>
      </c>
    </row>
    <row r="790" spans="2:16" ht="21.75" customHeight="1" x14ac:dyDescent="0.25">
      <c r="B790" s="40"/>
      <c r="C790" s="40"/>
      <c r="D790" s="40"/>
      <c r="E790" s="40"/>
      <c r="F790" s="39"/>
      <c r="G790" s="41"/>
      <c r="H790" s="40"/>
      <c r="I790" s="41"/>
      <c r="J790" s="42"/>
      <c r="K790" s="40"/>
      <c r="L790" s="40"/>
      <c r="M790" s="40" t="str">
        <f>IF(B790="","",IF(COUNTIFS(Cobranza!$C$9:$C$1008,B790,Cobranza!$N$9:$N$1008,"Vencida")&gt;0,"Vencida",IF(COUNTIFS(Cobranza!$C$9:$C$1008,B790,Cobranza!$N$9:$N$1008,"Parcial")&gt;0,"Parcial",IF(COUNTIFS(Cobranza!$C$9:$C$1008,B790,Cobranza!$N$9:$N$1008,"Pendiente")&gt;0,"Pendiente",IF(COUNTIFS(Cobranza!$C$9:$C$1008,B790,Cobranza!$N$9:$N$1008,"Pagada")&gt;0,"Pagada","")))))</f>
        <v/>
      </c>
      <c r="N790" s="33" t="str">
        <f t="shared" ca="1" si="12"/>
        <v/>
      </c>
      <c r="O790" s="25"/>
      <c r="P790" s="11" t="str">
        <f ca="1">IF(AND(B790&lt;&gt;"",F790&lt;&gt;"Cerrada",F790&lt;&gt;"Perdida",N790&lt;&gt;"",N790&gt;14),COUNTIFS($F$8:$F790,"&lt;&gt;Cerrada",$F$8:$F790,"&lt;&gt;Perdida",$N$8:$N790,"&gt;14"),"")</f>
        <v/>
      </c>
    </row>
    <row r="791" spans="2:16" ht="21.75" customHeight="1" x14ac:dyDescent="0.25">
      <c r="B791" s="40"/>
      <c r="C791" s="40"/>
      <c r="D791" s="40"/>
      <c r="E791" s="40"/>
      <c r="F791" s="39"/>
      <c r="G791" s="41"/>
      <c r="H791" s="40"/>
      <c r="I791" s="41"/>
      <c r="J791" s="42"/>
      <c r="K791" s="40"/>
      <c r="L791" s="40"/>
      <c r="M791" s="40" t="str">
        <f>IF(B791="","",IF(COUNTIFS(Cobranza!$C$9:$C$1008,B791,Cobranza!$N$9:$N$1008,"Vencida")&gt;0,"Vencida",IF(COUNTIFS(Cobranza!$C$9:$C$1008,B791,Cobranza!$N$9:$N$1008,"Parcial")&gt;0,"Parcial",IF(COUNTIFS(Cobranza!$C$9:$C$1008,B791,Cobranza!$N$9:$N$1008,"Pendiente")&gt;0,"Pendiente",IF(COUNTIFS(Cobranza!$C$9:$C$1008,B791,Cobranza!$N$9:$N$1008,"Pagada")&gt;0,"Pagada","")))))</f>
        <v/>
      </c>
      <c r="N791" s="33" t="str">
        <f t="shared" ca="1" si="12"/>
        <v/>
      </c>
      <c r="O791" s="25"/>
      <c r="P791" s="11" t="str">
        <f ca="1">IF(AND(B791&lt;&gt;"",F791&lt;&gt;"Cerrada",F791&lt;&gt;"Perdida",N791&lt;&gt;"",N791&gt;14),COUNTIFS($F$8:$F791,"&lt;&gt;Cerrada",$F$8:$F791,"&lt;&gt;Perdida",$N$8:$N791,"&gt;14"),"")</f>
        <v/>
      </c>
    </row>
    <row r="792" spans="2:16" ht="21.75" customHeight="1" x14ac:dyDescent="0.25">
      <c r="B792" s="40"/>
      <c r="C792" s="40"/>
      <c r="D792" s="40"/>
      <c r="E792" s="40"/>
      <c r="F792" s="39"/>
      <c r="G792" s="41"/>
      <c r="H792" s="40"/>
      <c r="I792" s="41"/>
      <c r="J792" s="42"/>
      <c r="K792" s="40"/>
      <c r="L792" s="40"/>
      <c r="M792" s="40" t="str">
        <f>IF(B792="","",IF(COUNTIFS(Cobranza!$C$9:$C$1008,B792,Cobranza!$N$9:$N$1008,"Vencida")&gt;0,"Vencida",IF(COUNTIFS(Cobranza!$C$9:$C$1008,B792,Cobranza!$N$9:$N$1008,"Parcial")&gt;0,"Parcial",IF(COUNTIFS(Cobranza!$C$9:$C$1008,B792,Cobranza!$N$9:$N$1008,"Pendiente")&gt;0,"Pendiente",IF(COUNTIFS(Cobranza!$C$9:$C$1008,B792,Cobranza!$N$9:$N$1008,"Pagada")&gt;0,"Pagada","")))))</f>
        <v/>
      </c>
      <c r="N792" s="33" t="str">
        <f t="shared" ca="1" si="12"/>
        <v/>
      </c>
      <c r="O792" s="25"/>
      <c r="P792" s="11" t="str">
        <f ca="1">IF(AND(B792&lt;&gt;"",F792&lt;&gt;"Cerrada",F792&lt;&gt;"Perdida",N792&lt;&gt;"",N792&gt;14),COUNTIFS($F$8:$F792,"&lt;&gt;Cerrada",$F$8:$F792,"&lt;&gt;Perdida",$N$8:$N792,"&gt;14"),"")</f>
        <v/>
      </c>
    </row>
    <row r="793" spans="2:16" ht="21.75" customHeight="1" x14ac:dyDescent="0.25">
      <c r="B793" s="40"/>
      <c r="C793" s="40"/>
      <c r="D793" s="40"/>
      <c r="E793" s="40"/>
      <c r="F793" s="39"/>
      <c r="G793" s="41"/>
      <c r="H793" s="40"/>
      <c r="I793" s="41"/>
      <c r="J793" s="42"/>
      <c r="K793" s="40"/>
      <c r="L793" s="40"/>
      <c r="M793" s="40" t="str">
        <f>IF(B793="","",IF(COUNTIFS(Cobranza!$C$9:$C$1008,B793,Cobranza!$N$9:$N$1008,"Vencida")&gt;0,"Vencida",IF(COUNTIFS(Cobranza!$C$9:$C$1008,B793,Cobranza!$N$9:$N$1008,"Parcial")&gt;0,"Parcial",IF(COUNTIFS(Cobranza!$C$9:$C$1008,B793,Cobranza!$N$9:$N$1008,"Pendiente")&gt;0,"Pendiente",IF(COUNTIFS(Cobranza!$C$9:$C$1008,B793,Cobranza!$N$9:$N$1008,"Pagada")&gt;0,"Pagada","")))))</f>
        <v/>
      </c>
      <c r="N793" s="33" t="str">
        <f t="shared" ca="1" si="12"/>
        <v/>
      </c>
      <c r="O793" s="25"/>
      <c r="P793" s="11" t="str">
        <f ca="1">IF(AND(B793&lt;&gt;"",F793&lt;&gt;"Cerrada",F793&lt;&gt;"Perdida",N793&lt;&gt;"",N793&gt;14),COUNTIFS($F$8:$F793,"&lt;&gt;Cerrada",$F$8:$F793,"&lt;&gt;Perdida",$N$8:$N793,"&gt;14"),"")</f>
        <v/>
      </c>
    </row>
    <row r="794" spans="2:16" ht="21.75" customHeight="1" x14ac:dyDescent="0.25">
      <c r="B794" s="40"/>
      <c r="C794" s="40"/>
      <c r="D794" s="40"/>
      <c r="E794" s="40"/>
      <c r="F794" s="39"/>
      <c r="G794" s="41"/>
      <c r="H794" s="40"/>
      <c r="I794" s="41"/>
      <c r="J794" s="42"/>
      <c r="K794" s="40"/>
      <c r="L794" s="40"/>
      <c r="M794" s="40" t="str">
        <f>IF(B794="","",IF(COUNTIFS(Cobranza!$C$9:$C$1008,B794,Cobranza!$N$9:$N$1008,"Vencida")&gt;0,"Vencida",IF(COUNTIFS(Cobranza!$C$9:$C$1008,B794,Cobranza!$N$9:$N$1008,"Parcial")&gt;0,"Parcial",IF(COUNTIFS(Cobranza!$C$9:$C$1008,B794,Cobranza!$N$9:$N$1008,"Pendiente")&gt;0,"Pendiente",IF(COUNTIFS(Cobranza!$C$9:$C$1008,B794,Cobranza!$N$9:$N$1008,"Pagada")&gt;0,"Pagada","")))))</f>
        <v/>
      </c>
      <c r="N794" s="33" t="str">
        <f t="shared" ca="1" si="12"/>
        <v/>
      </c>
      <c r="O794" s="25"/>
      <c r="P794" s="11" t="str">
        <f ca="1">IF(AND(B794&lt;&gt;"",F794&lt;&gt;"Cerrada",F794&lt;&gt;"Perdida",N794&lt;&gt;"",N794&gt;14),COUNTIFS($F$8:$F794,"&lt;&gt;Cerrada",$F$8:$F794,"&lt;&gt;Perdida",$N$8:$N794,"&gt;14"),"")</f>
        <v/>
      </c>
    </row>
    <row r="795" spans="2:16" ht="21.75" customHeight="1" x14ac:dyDescent="0.25">
      <c r="B795" s="40"/>
      <c r="C795" s="40"/>
      <c r="D795" s="40"/>
      <c r="E795" s="40"/>
      <c r="F795" s="39"/>
      <c r="G795" s="41"/>
      <c r="H795" s="40"/>
      <c r="I795" s="41"/>
      <c r="J795" s="42"/>
      <c r="K795" s="40"/>
      <c r="L795" s="40"/>
      <c r="M795" s="40" t="str">
        <f>IF(B795="","",IF(COUNTIFS(Cobranza!$C$9:$C$1008,B795,Cobranza!$N$9:$N$1008,"Vencida")&gt;0,"Vencida",IF(COUNTIFS(Cobranza!$C$9:$C$1008,B795,Cobranza!$N$9:$N$1008,"Parcial")&gt;0,"Parcial",IF(COUNTIFS(Cobranza!$C$9:$C$1008,B795,Cobranza!$N$9:$N$1008,"Pendiente")&gt;0,"Pendiente",IF(COUNTIFS(Cobranza!$C$9:$C$1008,B795,Cobranza!$N$9:$N$1008,"Pagada")&gt;0,"Pagada","")))))</f>
        <v/>
      </c>
      <c r="N795" s="33" t="str">
        <f t="shared" ca="1" si="12"/>
        <v/>
      </c>
      <c r="O795" s="25"/>
      <c r="P795" s="11" t="str">
        <f ca="1">IF(AND(B795&lt;&gt;"",F795&lt;&gt;"Cerrada",F795&lt;&gt;"Perdida",N795&lt;&gt;"",N795&gt;14),COUNTIFS($F$8:$F795,"&lt;&gt;Cerrada",$F$8:$F795,"&lt;&gt;Perdida",$N$8:$N795,"&gt;14"),"")</f>
        <v/>
      </c>
    </row>
    <row r="796" spans="2:16" ht="21.75" customHeight="1" x14ac:dyDescent="0.25">
      <c r="B796" s="40"/>
      <c r="C796" s="40"/>
      <c r="D796" s="40"/>
      <c r="E796" s="40"/>
      <c r="F796" s="39"/>
      <c r="G796" s="41"/>
      <c r="H796" s="40"/>
      <c r="I796" s="41"/>
      <c r="J796" s="42"/>
      <c r="K796" s="40"/>
      <c r="L796" s="40"/>
      <c r="M796" s="40" t="str">
        <f>IF(B796="","",IF(COUNTIFS(Cobranza!$C$9:$C$1008,B796,Cobranza!$N$9:$N$1008,"Vencida")&gt;0,"Vencida",IF(COUNTIFS(Cobranza!$C$9:$C$1008,B796,Cobranza!$N$9:$N$1008,"Parcial")&gt;0,"Parcial",IF(COUNTIFS(Cobranza!$C$9:$C$1008,B796,Cobranza!$N$9:$N$1008,"Pendiente")&gt;0,"Pendiente",IF(COUNTIFS(Cobranza!$C$9:$C$1008,B796,Cobranza!$N$9:$N$1008,"Pagada")&gt;0,"Pagada","")))))</f>
        <v/>
      </c>
      <c r="N796" s="33" t="str">
        <f t="shared" ca="1" si="12"/>
        <v/>
      </c>
      <c r="O796" s="25"/>
      <c r="P796" s="11" t="str">
        <f ca="1">IF(AND(B796&lt;&gt;"",F796&lt;&gt;"Cerrada",F796&lt;&gt;"Perdida",N796&lt;&gt;"",N796&gt;14),COUNTIFS($F$8:$F796,"&lt;&gt;Cerrada",$F$8:$F796,"&lt;&gt;Perdida",$N$8:$N796,"&gt;14"),"")</f>
        <v/>
      </c>
    </row>
    <row r="797" spans="2:16" ht="21.75" customHeight="1" x14ac:dyDescent="0.25">
      <c r="B797" s="40"/>
      <c r="C797" s="40"/>
      <c r="D797" s="40"/>
      <c r="E797" s="40"/>
      <c r="F797" s="39"/>
      <c r="G797" s="41"/>
      <c r="H797" s="40"/>
      <c r="I797" s="41"/>
      <c r="J797" s="42"/>
      <c r="K797" s="40"/>
      <c r="L797" s="40"/>
      <c r="M797" s="40" t="str">
        <f>IF(B797="","",IF(COUNTIFS(Cobranza!$C$9:$C$1008,B797,Cobranza!$N$9:$N$1008,"Vencida")&gt;0,"Vencida",IF(COUNTIFS(Cobranza!$C$9:$C$1008,B797,Cobranza!$N$9:$N$1008,"Parcial")&gt;0,"Parcial",IF(COUNTIFS(Cobranza!$C$9:$C$1008,B797,Cobranza!$N$9:$N$1008,"Pendiente")&gt;0,"Pendiente",IF(COUNTIFS(Cobranza!$C$9:$C$1008,B797,Cobranza!$N$9:$N$1008,"Pagada")&gt;0,"Pagada","")))))</f>
        <v/>
      </c>
      <c r="N797" s="33" t="str">
        <f t="shared" ca="1" si="12"/>
        <v/>
      </c>
      <c r="O797" s="25"/>
      <c r="P797" s="11" t="str">
        <f ca="1">IF(AND(B797&lt;&gt;"",F797&lt;&gt;"Cerrada",F797&lt;&gt;"Perdida",N797&lt;&gt;"",N797&gt;14),COUNTIFS($F$8:$F797,"&lt;&gt;Cerrada",$F$8:$F797,"&lt;&gt;Perdida",$N$8:$N797,"&gt;14"),"")</f>
        <v/>
      </c>
    </row>
    <row r="798" spans="2:16" ht="21.75" customHeight="1" x14ac:dyDescent="0.25">
      <c r="B798" s="40"/>
      <c r="C798" s="40"/>
      <c r="D798" s="40"/>
      <c r="E798" s="40"/>
      <c r="F798" s="39"/>
      <c r="G798" s="41"/>
      <c r="H798" s="40"/>
      <c r="I798" s="41"/>
      <c r="J798" s="42"/>
      <c r="K798" s="40"/>
      <c r="L798" s="40"/>
      <c r="M798" s="40" t="str">
        <f>IF(B798="","",IF(COUNTIFS(Cobranza!$C$9:$C$1008,B798,Cobranza!$N$9:$N$1008,"Vencida")&gt;0,"Vencida",IF(COUNTIFS(Cobranza!$C$9:$C$1008,B798,Cobranza!$N$9:$N$1008,"Parcial")&gt;0,"Parcial",IF(COUNTIFS(Cobranza!$C$9:$C$1008,B798,Cobranza!$N$9:$N$1008,"Pendiente")&gt;0,"Pendiente",IF(COUNTIFS(Cobranza!$C$9:$C$1008,B798,Cobranza!$N$9:$N$1008,"Pagada")&gt;0,"Pagada","")))))</f>
        <v/>
      </c>
      <c r="N798" s="33" t="str">
        <f t="shared" ca="1" si="12"/>
        <v/>
      </c>
      <c r="O798" s="25"/>
      <c r="P798" s="11" t="str">
        <f ca="1">IF(AND(B798&lt;&gt;"",F798&lt;&gt;"Cerrada",F798&lt;&gt;"Perdida",N798&lt;&gt;"",N798&gt;14),COUNTIFS($F$8:$F798,"&lt;&gt;Cerrada",$F$8:$F798,"&lt;&gt;Perdida",$N$8:$N798,"&gt;14"),"")</f>
        <v/>
      </c>
    </row>
    <row r="799" spans="2:16" ht="21.75" customHeight="1" x14ac:dyDescent="0.25">
      <c r="B799" s="40"/>
      <c r="C799" s="40"/>
      <c r="D799" s="40"/>
      <c r="E799" s="40"/>
      <c r="F799" s="39"/>
      <c r="G799" s="41"/>
      <c r="H799" s="40"/>
      <c r="I799" s="41"/>
      <c r="J799" s="42"/>
      <c r="K799" s="40"/>
      <c r="L799" s="40"/>
      <c r="M799" s="40" t="str">
        <f>IF(B799="","",IF(COUNTIFS(Cobranza!$C$9:$C$1008,B799,Cobranza!$N$9:$N$1008,"Vencida")&gt;0,"Vencida",IF(COUNTIFS(Cobranza!$C$9:$C$1008,B799,Cobranza!$N$9:$N$1008,"Parcial")&gt;0,"Parcial",IF(COUNTIFS(Cobranza!$C$9:$C$1008,B799,Cobranza!$N$9:$N$1008,"Pendiente")&gt;0,"Pendiente",IF(COUNTIFS(Cobranza!$C$9:$C$1008,B799,Cobranza!$N$9:$N$1008,"Pagada")&gt;0,"Pagada","")))))</f>
        <v/>
      </c>
      <c r="N799" s="33" t="str">
        <f t="shared" ca="1" si="12"/>
        <v/>
      </c>
      <c r="O799" s="25"/>
      <c r="P799" s="11" t="str">
        <f ca="1">IF(AND(B799&lt;&gt;"",F799&lt;&gt;"Cerrada",F799&lt;&gt;"Perdida",N799&lt;&gt;"",N799&gt;14),COUNTIFS($F$8:$F799,"&lt;&gt;Cerrada",$F$8:$F799,"&lt;&gt;Perdida",$N$8:$N799,"&gt;14"),"")</f>
        <v/>
      </c>
    </row>
    <row r="800" spans="2:16" ht="21.75" customHeight="1" x14ac:dyDescent="0.25">
      <c r="B800" s="40"/>
      <c r="C800" s="40"/>
      <c r="D800" s="40"/>
      <c r="E800" s="40"/>
      <c r="F800" s="39"/>
      <c r="G800" s="41"/>
      <c r="H800" s="40"/>
      <c r="I800" s="41"/>
      <c r="J800" s="42"/>
      <c r="K800" s="40"/>
      <c r="L800" s="40"/>
      <c r="M800" s="40" t="str">
        <f>IF(B800="","",IF(COUNTIFS(Cobranza!$C$9:$C$1008,B800,Cobranza!$N$9:$N$1008,"Vencida")&gt;0,"Vencida",IF(COUNTIFS(Cobranza!$C$9:$C$1008,B800,Cobranza!$N$9:$N$1008,"Parcial")&gt;0,"Parcial",IF(COUNTIFS(Cobranza!$C$9:$C$1008,B800,Cobranza!$N$9:$N$1008,"Pendiente")&gt;0,"Pendiente",IF(COUNTIFS(Cobranza!$C$9:$C$1008,B800,Cobranza!$N$9:$N$1008,"Pagada")&gt;0,"Pagada","")))))</f>
        <v/>
      </c>
      <c r="N800" s="33" t="str">
        <f t="shared" ca="1" si="12"/>
        <v/>
      </c>
      <c r="O800" s="25"/>
      <c r="P800" s="11" t="str">
        <f ca="1">IF(AND(B800&lt;&gt;"",F800&lt;&gt;"Cerrada",F800&lt;&gt;"Perdida",N800&lt;&gt;"",N800&gt;14),COUNTIFS($F$8:$F800,"&lt;&gt;Cerrada",$F$8:$F800,"&lt;&gt;Perdida",$N$8:$N800,"&gt;14"),"")</f>
        <v/>
      </c>
    </row>
    <row r="801" spans="2:16" ht="21.75" customHeight="1" x14ac:dyDescent="0.25">
      <c r="B801" s="40"/>
      <c r="C801" s="40"/>
      <c r="D801" s="40"/>
      <c r="E801" s="40"/>
      <c r="F801" s="39"/>
      <c r="G801" s="41"/>
      <c r="H801" s="40"/>
      <c r="I801" s="41"/>
      <c r="J801" s="42"/>
      <c r="K801" s="40"/>
      <c r="L801" s="40"/>
      <c r="M801" s="40" t="str">
        <f>IF(B801="","",IF(COUNTIFS(Cobranza!$C$9:$C$1008,B801,Cobranza!$N$9:$N$1008,"Vencida")&gt;0,"Vencida",IF(COUNTIFS(Cobranza!$C$9:$C$1008,B801,Cobranza!$N$9:$N$1008,"Parcial")&gt;0,"Parcial",IF(COUNTIFS(Cobranza!$C$9:$C$1008,B801,Cobranza!$N$9:$N$1008,"Pendiente")&gt;0,"Pendiente",IF(COUNTIFS(Cobranza!$C$9:$C$1008,B801,Cobranza!$N$9:$N$1008,"Pagada")&gt;0,"Pagada","")))))</f>
        <v/>
      </c>
      <c r="N801" s="33" t="str">
        <f t="shared" ca="1" si="12"/>
        <v/>
      </c>
      <c r="O801" s="25"/>
      <c r="P801" s="11" t="str">
        <f ca="1">IF(AND(B801&lt;&gt;"",F801&lt;&gt;"Cerrada",F801&lt;&gt;"Perdida",N801&lt;&gt;"",N801&gt;14),COUNTIFS($F$8:$F801,"&lt;&gt;Cerrada",$F$8:$F801,"&lt;&gt;Perdida",$N$8:$N801,"&gt;14"),"")</f>
        <v/>
      </c>
    </row>
    <row r="802" spans="2:16" ht="21.75" customHeight="1" x14ac:dyDescent="0.25">
      <c r="B802" s="40"/>
      <c r="C802" s="40"/>
      <c r="D802" s="40"/>
      <c r="E802" s="40"/>
      <c r="F802" s="39"/>
      <c r="G802" s="41"/>
      <c r="H802" s="40"/>
      <c r="I802" s="41"/>
      <c r="J802" s="42"/>
      <c r="K802" s="40"/>
      <c r="L802" s="40"/>
      <c r="M802" s="40" t="str">
        <f>IF(B802="","",IF(COUNTIFS(Cobranza!$C$9:$C$1008,B802,Cobranza!$N$9:$N$1008,"Vencida")&gt;0,"Vencida",IF(COUNTIFS(Cobranza!$C$9:$C$1008,B802,Cobranza!$N$9:$N$1008,"Parcial")&gt;0,"Parcial",IF(COUNTIFS(Cobranza!$C$9:$C$1008,B802,Cobranza!$N$9:$N$1008,"Pendiente")&gt;0,"Pendiente",IF(COUNTIFS(Cobranza!$C$9:$C$1008,B802,Cobranza!$N$9:$N$1008,"Pagada")&gt;0,"Pagada","")))))</f>
        <v/>
      </c>
      <c r="N802" s="33" t="str">
        <f t="shared" ca="1" si="12"/>
        <v/>
      </c>
      <c r="O802" s="25"/>
      <c r="P802" s="11" t="str">
        <f ca="1">IF(AND(B802&lt;&gt;"",F802&lt;&gt;"Cerrada",F802&lt;&gt;"Perdida",N802&lt;&gt;"",N802&gt;14),COUNTIFS($F$8:$F802,"&lt;&gt;Cerrada",$F$8:$F802,"&lt;&gt;Perdida",$N$8:$N802,"&gt;14"),"")</f>
        <v/>
      </c>
    </row>
    <row r="803" spans="2:16" ht="21.75" customHeight="1" x14ac:dyDescent="0.25">
      <c r="B803" s="40"/>
      <c r="C803" s="40"/>
      <c r="D803" s="40"/>
      <c r="E803" s="40"/>
      <c r="F803" s="39"/>
      <c r="G803" s="41"/>
      <c r="H803" s="40"/>
      <c r="I803" s="41"/>
      <c r="J803" s="42"/>
      <c r="K803" s="40"/>
      <c r="L803" s="40"/>
      <c r="M803" s="40" t="str">
        <f>IF(B803="","",IF(COUNTIFS(Cobranza!$C$9:$C$1008,B803,Cobranza!$N$9:$N$1008,"Vencida")&gt;0,"Vencida",IF(COUNTIFS(Cobranza!$C$9:$C$1008,B803,Cobranza!$N$9:$N$1008,"Parcial")&gt;0,"Parcial",IF(COUNTIFS(Cobranza!$C$9:$C$1008,B803,Cobranza!$N$9:$N$1008,"Pendiente")&gt;0,"Pendiente",IF(COUNTIFS(Cobranza!$C$9:$C$1008,B803,Cobranza!$N$9:$N$1008,"Pagada")&gt;0,"Pagada","")))))</f>
        <v/>
      </c>
      <c r="N803" s="33" t="str">
        <f t="shared" ca="1" si="12"/>
        <v/>
      </c>
      <c r="O803" s="25"/>
      <c r="P803" s="11" t="str">
        <f ca="1">IF(AND(B803&lt;&gt;"",F803&lt;&gt;"Cerrada",F803&lt;&gt;"Perdida",N803&lt;&gt;"",N803&gt;14),COUNTIFS($F$8:$F803,"&lt;&gt;Cerrada",$F$8:$F803,"&lt;&gt;Perdida",$N$8:$N803,"&gt;14"),"")</f>
        <v/>
      </c>
    </row>
    <row r="804" spans="2:16" ht="21.75" customHeight="1" x14ac:dyDescent="0.25">
      <c r="B804" s="40"/>
      <c r="C804" s="40"/>
      <c r="D804" s="40"/>
      <c r="E804" s="40"/>
      <c r="F804" s="39"/>
      <c r="G804" s="41"/>
      <c r="H804" s="40"/>
      <c r="I804" s="41"/>
      <c r="J804" s="42"/>
      <c r="K804" s="40"/>
      <c r="L804" s="40"/>
      <c r="M804" s="40" t="str">
        <f>IF(B804="","",IF(COUNTIFS(Cobranza!$C$9:$C$1008,B804,Cobranza!$N$9:$N$1008,"Vencida")&gt;0,"Vencida",IF(COUNTIFS(Cobranza!$C$9:$C$1008,B804,Cobranza!$N$9:$N$1008,"Parcial")&gt;0,"Parcial",IF(COUNTIFS(Cobranza!$C$9:$C$1008,B804,Cobranza!$N$9:$N$1008,"Pendiente")&gt;0,"Pendiente",IF(COUNTIFS(Cobranza!$C$9:$C$1008,B804,Cobranza!$N$9:$N$1008,"Pagada")&gt;0,"Pagada","")))))</f>
        <v/>
      </c>
      <c r="N804" s="33" t="str">
        <f t="shared" ca="1" si="12"/>
        <v/>
      </c>
      <c r="O804" s="25"/>
      <c r="P804" s="11" t="str">
        <f ca="1">IF(AND(B804&lt;&gt;"",F804&lt;&gt;"Cerrada",F804&lt;&gt;"Perdida",N804&lt;&gt;"",N804&gt;14),COUNTIFS($F$8:$F804,"&lt;&gt;Cerrada",$F$8:$F804,"&lt;&gt;Perdida",$N$8:$N804,"&gt;14"),"")</f>
        <v/>
      </c>
    </row>
    <row r="805" spans="2:16" ht="21.75" customHeight="1" x14ac:dyDescent="0.25">
      <c r="B805" s="40"/>
      <c r="C805" s="40"/>
      <c r="D805" s="40"/>
      <c r="E805" s="40"/>
      <c r="F805" s="39"/>
      <c r="G805" s="41"/>
      <c r="H805" s="40"/>
      <c r="I805" s="41"/>
      <c r="J805" s="42"/>
      <c r="K805" s="40"/>
      <c r="L805" s="40"/>
      <c r="M805" s="40" t="str">
        <f>IF(B805="","",IF(COUNTIFS(Cobranza!$C$9:$C$1008,B805,Cobranza!$N$9:$N$1008,"Vencida")&gt;0,"Vencida",IF(COUNTIFS(Cobranza!$C$9:$C$1008,B805,Cobranza!$N$9:$N$1008,"Parcial")&gt;0,"Parcial",IF(COUNTIFS(Cobranza!$C$9:$C$1008,B805,Cobranza!$N$9:$N$1008,"Pendiente")&gt;0,"Pendiente",IF(COUNTIFS(Cobranza!$C$9:$C$1008,B805,Cobranza!$N$9:$N$1008,"Pagada")&gt;0,"Pagada","")))))</f>
        <v/>
      </c>
      <c r="N805" s="33" t="str">
        <f t="shared" ca="1" si="12"/>
        <v/>
      </c>
      <c r="O805" s="25"/>
      <c r="P805" s="11" t="str">
        <f ca="1">IF(AND(B805&lt;&gt;"",F805&lt;&gt;"Cerrada",F805&lt;&gt;"Perdida",N805&lt;&gt;"",N805&gt;14),COUNTIFS($F$8:$F805,"&lt;&gt;Cerrada",$F$8:$F805,"&lt;&gt;Perdida",$N$8:$N805,"&gt;14"),"")</f>
        <v/>
      </c>
    </row>
    <row r="806" spans="2:16" ht="21.75" customHeight="1" x14ac:dyDescent="0.25">
      <c r="B806" s="40"/>
      <c r="C806" s="40"/>
      <c r="D806" s="40"/>
      <c r="E806" s="40"/>
      <c r="F806" s="39"/>
      <c r="G806" s="41"/>
      <c r="H806" s="40"/>
      <c r="I806" s="41"/>
      <c r="J806" s="42"/>
      <c r="K806" s="40"/>
      <c r="L806" s="40"/>
      <c r="M806" s="40" t="str">
        <f>IF(B806="","",IF(COUNTIFS(Cobranza!$C$9:$C$1008,B806,Cobranza!$N$9:$N$1008,"Vencida")&gt;0,"Vencida",IF(COUNTIFS(Cobranza!$C$9:$C$1008,B806,Cobranza!$N$9:$N$1008,"Parcial")&gt;0,"Parcial",IF(COUNTIFS(Cobranza!$C$9:$C$1008,B806,Cobranza!$N$9:$N$1008,"Pendiente")&gt;0,"Pendiente",IF(COUNTIFS(Cobranza!$C$9:$C$1008,B806,Cobranza!$N$9:$N$1008,"Pagada")&gt;0,"Pagada","")))))</f>
        <v/>
      </c>
      <c r="N806" s="33" t="str">
        <f t="shared" ca="1" si="12"/>
        <v/>
      </c>
      <c r="O806" s="25"/>
      <c r="P806" s="11" t="str">
        <f ca="1">IF(AND(B806&lt;&gt;"",F806&lt;&gt;"Cerrada",F806&lt;&gt;"Perdida",N806&lt;&gt;"",N806&gt;14),COUNTIFS($F$8:$F806,"&lt;&gt;Cerrada",$F$8:$F806,"&lt;&gt;Perdida",$N$8:$N806,"&gt;14"),"")</f>
        <v/>
      </c>
    </row>
    <row r="807" spans="2:16" ht="21.75" customHeight="1" x14ac:dyDescent="0.25">
      <c r="B807" s="40"/>
      <c r="C807" s="40"/>
      <c r="D807" s="40"/>
      <c r="E807" s="40"/>
      <c r="F807" s="39"/>
      <c r="G807" s="41"/>
      <c r="H807" s="40"/>
      <c r="I807" s="41"/>
      <c r="J807" s="42"/>
      <c r="K807" s="40"/>
      <c r="L807" s="40"/>
      <c r="M807" s="40" t="str">
        <f>IF(B807="","",IF(COUNTIFS(Cobranza!$C$9:$C$1008,B807,Cobranza!$N$9:$N$1008,"Vencida")&gt;0,"Vencida",IF(COUNTIFS(Cobranza!$C$9:$C$1008,B807,Cobranza!$N$9:$N$1008,"Parcial")&gt;0,"Parcial",IF(COUNTIFS(Cobranza!$C$9:$C$1008,B807,Cobranza!$N$9:$N$1008,"Pendiente")&gt;0,"Pendiente",IF(COUNTIFS(Cobranza!$C$9:$C$1008,B807,Cobranza!$N$9:$N$1008,"Pagada")&gt;0,"Pagada","")))))</f>
        <v/>
      </c>
      <c r="N807" s="33" t="str">
        <f t="shared" ca="1" si="12"/>
        <v/>
      </c>
      <c r="O807" s="25"/>
      <c r="P807" s="11" t="str">
        <f ca="1">IF(AND(B807&lt;&gt;"",F807&lt;&gt;"Cerrada",F807&lt;&gt;"Perdida",N807&lt;&gt;"",N807&gt;14),COUNTIFS($F$8:$F807,"&lt;&gt;Cerrada",$F$8:$F807,"&lt;&gt;Perdida",$N$8:$N807,"&gt;14"),"")</f>
        <v/>
      </c>
    </row>
    <row r="808" spans="2:16" ht="21.75" customHeight="1" x14ac:dyDescent="0.25">
      <c r="B808" s="40"/>
      <c r="C808" s="40"/>
      <c r="D808" s="40"/>
      <c r="E808" s="40"/>
      <c r="F808" s="39"/>
      <c r="G808" s="41"/>
      <c r="H808" s="40"/>
      <c r="I808" s="41"/>
      <c r="J808" s="42"/>
      <c r="K808" s="40"/>
      <c r="L808" s="40"/>
      <c r="M808" s="40" t="str">
        <f>IF(B808="","",IF(COUNTIFS(Cobranza!$C$9:$C$1008,B808,Cobranza!$N$9:$N$1008,"Vencida")&gt;0,"Vencida",IF(COUNTIFS(Cobranza!$C$9:$C$1008,B808,Cobranza!$N$9:$N$1008,"Parcial")&gt;0,"Parcial",IF(COUNTIFS(Cobranza!$C$9:$C$1008,B808,Cobranza!$N$9:$N$1008,"Pendiente")&gt;0,"Pendiente",IF(COUNTIFS(Cobranza!$C$9:$C$1008,B808,Cobranza!$N$9:$N$1008,"Pagada")&gt;0,"Pagada","")))))</f>
        <v/>
      </c>
      <c r="N808" s="33" t="str">
        <f t="shared" ca="1" si="12"/>
        <v/>
      </c>
      <c r="O808" s="25"/>
      <c r="P808" s="11" t="str">
        <f ca="1">IF(AND(B808&lt;&gt;"",F808&lt;&gt;"Cerrada",F808&lt;&gt;"Perdida",N808&lt;&gt;"",N808&gt;14),COUNTIFS($F$8:$F808,"&lt;&gt;Cerrada",$F$8:$F808,"&lt;&gt;Perdida",$N$8:$N808,"&gt;14"),"")</f>
        <v/>
      </c>
    </row>
    <row r="809" spans="2:16" ht="21.75" customHeight="1" x14ac:dyDescent="0.25">
      <c r="B809" s="40"/>
      <c r="C809" s="40"/>
      <c r="D809" s="40"/>
      <c r="E809" s="40"/>
      <c r="F809" s="39"/>
      <c r="G809" s="41"/>
      <c r="H809" s="40"/>
      <c r="I809" s="41"/>
      <c r="J809" s="42"/>
      <c r="K809" s="40"/>
      <c r="L809" s="40"/>
      <c r="M809" s="40" t="str">
        <f>IF(B809="","",IF(COUNTIFS(Cobranza!$C$9:$C$1008,B809,Cobranza!$N$9:$N$1008,"Vencida")&gt;0,"Vencida",IF(COUNTIFS(Cobranza!$C$9:$C$1008,B809,Cobranza!$N$9:$N$1008,"Parcial")&gt;0,"Parcial",IF(COUNTIFS(Cobranza!$C$9:$C$1008,B809,Cobranza!$N$9:$N$1008,"Pendiente")&gt;0,"Pendiente",IF(COUNTIFS(Cobranza!$C$9:$C$1008,B809,Cobranza!$N$9:$N$1008,"Pagada")&gt;0,"Pagada","")))))</f>
        <v/>
      </c>
      <c r="N809" s="33" t="str">
        <f t="shared" ca="1" si="12"/>
        <v/>
      </c>
      <c r="O809" s="25"/>
      <c r="P809" s="11" t="str">
        <f ca="1">IF(AND(B809&lt;&gt;"",F809&lt;&gt;"Cerrada",F809&lt;&gt;"Perdida",N809&lt;&gt;"",N809&gt;14),COUNTIFS($F$8:$F809,"&lt;&gt;Cerrada",$F$8:$F809,"&lt;&gt;Perdida",$N$8:$N809,"&gt;14"),"")</f>
        <v/>
      </c>
    </row>
    <row r="810" spans="2:16" ht="21.75" customHeight="1" x14ac:dyDescent="0.25">
      <c r="B810" s="40"/>
      <c r="C810" s="40"/>
      <c r="D810" s="40"/>
      <c r="E810" s="40"/>
      <c r="F810" s="39"/>
      <c r="G810" s="41"/>
      <c r="H810" s="40"/>
      <c r="I810" s="41"/>
      <c r="J810" s="42"/>
      <c r="K810" s="40"/>
      <c r="L810" s="40"/>
      <c r="M810" s="40" t="str">
        <f>IF(B810="","",IF(COUNTIFS(Cobranza!$C$9:$C$1008,B810,Cobranza!$N$9:$N$1008,"Vencida")&gt;0,"Vencida",IF(COUNTIFS(Cobranza!$C$9:$C$1008,B810,Cobranza!$N$9:$N$1008,"Parcial")&gt;0,"Parcial",IF(COUNTIFS(Cobranza!$C$9:$C$1008,B810,Cobranza!$N$9:$N$1008,"Pendiente")&gt;0,"Pendiente",IF(COUNTIFS(Cobranza!$C$9:$C$1008,B810,Cobranza!$N$9:$N$1008,"Pagada")&gt;0,"Pagada","")))))</f>
        <v/>
      </c>
      <c r="N810" s="33" t="str">
        <f t="shared" ca="1" si="12"/>
        <v/>
      </c>
      <c r="O810" s="25"/>
      <c r="P810" s="11" t="str">
        <f ca="1">IF(AND(B810&lt;&gt;"",F810&lt;&gt;"Cerrada",F810&lt;&gt;"Perdida",N810&lt;&gt;"",N810&gt;14),COUNTIFS($F$8:$F810,"&lt;&gt;Cerrada",$F$8:$F810,"&lt;&gt;Perdida",$N$8:$N810,"&gt;14"),"")</f>
        <v/>
      </c>
    </row>
    <row r="811" spans="2:16" ht="21.75" customHeight="1" x14ac:dyDescent="0.25">
      <c r="B811" s="40"/>
      <c r="C811" s="40"/>
      <c r="D811" s="40"/>
      <c r="E811" s="40"/>
      <c r="F811" s="39"/>
      <c r="G811" s="41"/>
      <c r="H811" s="40"/>
      <c r="I811" s="41"/>
      <c r="J811" s="42"/>
      <c r="K811" s="40"/>
      <c r="L811" s="40"/>
      <c r="M811" s="40" t="str">
        <f>IF(B811="","",IF(COUNTIFS(Cobranza!$C$9:$C$1008,B811,Cobranza!$N$9:$N$1008,"Vencida")&gt;0,"Vencida",IF(COUNTIFS(Cobranza!$C$9:$C$1008,B811,Cobranza!$N$9:$N$1008,"Parcial")&gt;0,"Parcial",IF(COUNTIFS(Cobranza!$C$9:$C$1008,B811,Cobranza!$N$9:$N$1008,"Pendiente")&gt;0,"Pendiente",IF(COUNTIFS(Cobranza!$C$9:$C$1008,B811,Cobranza!$N$9:$N$1008,"Pagada")&gt;0,"Pagada","")))))</f>
        <v/>
      </c>
      <c r="N811" s="33" t="str">
        <f t="shared" ca="1" si="12"/>
        <v/>
      </c>
      <c r="O811" s="25"/>
      <c r="P811" s="11" t="str">
        <f ca="1">IF(AND(B811&lt;&gt;"",F811&lt;&gt;"Cerrada",F811&lt;&gt;"Perdida",N811&lt;&gt;"",N811&gt;14),COUNTIFS($F$8:$F811,"&lt;&gt;Cerrada",$F$8:$F811,"&lt;&gt;Perdida",$N$8:$N811,"&gt;14"),"")</f>
        <v/>
      </c>
    </row>
    <row r="812" spans="2:16" ht="21.75" customHeight="1" x14ac:dyDescent="0.25">
      <c r="B812" s="40"/>
      <c r="C812" s="40"/>
      <c r="D812" s="40"/>
      <c r="E812" s="40"/>
      <c r="F812" s="39"/>
      <c r="G812" s="41"/>
      <c r="H812" s="40"/>
      <c r="I812" s="41"/>
      <c r="J812" s="42"/>
      <c r="K812" s="40"/>
      <c r="L812" s="40"/>
      <c r="M812" s="40" t="str">
        <f>IF(B812="","",IF(COUNTIFS(Cobranza!$C$9:$C$1008,B812,Cobranza!$N$9:$N$1008,"Vencida")&gt;0,"Vencida",IF(COUNTIFS(Cobranza!$C$9:$C$1008,B812,Cobranza!$N$9:$N$1008,"Parcial")&gt;0,"Parcial",IF(COUNTIFS(Cobranza!$C$9:$C$1008,B812,Cobranza!$N$9:$N$1008,"Pendiente")&gt;0,"Pendiente",IF(COUNTIFS(Cobranza!$C$9:$C$1008,B812,Cobranza!$N$9:$N$1008,"Pagada")&gt;0,"Pagada","")))))</f>
        <v/>
      </c>
      <c r="N812" s="33" t="str">
        <f t="shared" ca="1" si="12"/>
        <v/>
      </c>
      <c r="O812" s="25"/>
      <c r="P812" s="11" t="str">
        <f ca="1">IF(AND(B812&lt;&gt;"",F812&lt;&gt;"Cerrada",F812&lt;&gt;"Perdida",N812&lt;&gt;"",N812&gt;14),COUNTIFS($F$8:$F812,"&lt;&gt;Cerrada",$F$8:$F812,"&lt;&gt;Perdida",$N$8:$N812,"&gt;14"),"")</f>
        <v/>
      </c>
    </row>
    <row r="813" spans="2:16" ht="21.75" customHeight="1" x14ac:dyDescent="0.25">
      <c r="B813" s="40"/>
      <c r="C813" s="40"/>
      <c r="D813" s="40"/>
      <c r="E813" s="40"/>
      <c r="F813" s="39"/>
      <c r="G813" s="41"/>
      <c r="H813" s="40"/>
      <c r="I813" s="41"/>
      <c r="J813" s="42"/>
      <c r="K813" s="40"/>
      <c r="L813" s="40"/>
      <c r="M813" s="40" t="str">
        <f>IF(B813="","",IF(COUNTIFS(Cobranza!$C$9:$C$1008,B813,Cobranza!$N$9:$N$1008,"Vencida")&gt;0,"Vencida",IF(COUNTIFS(Cobranza!$C$9:$C$1008,B813,Cobranza!$N$9:$N$1008,"Parcial")&gt;0,"Parcial",IF(COUNTIFS(Cobranza!$C$9:$C$1008,B813,Cobranza!$N$9:$N$1008,"Pendiente")&gt;0,"Pendiente",IF(COUNTIFS(Cobranza!$C$9:$C$1008,B813,Cobranza!$N$9:$N$1008,"Pagada")&gt;0,"Pagada","")))))</f>
        <v/>
      </c>
      <c r="N813" s="33" t="str">
        <f t="shared" ca="1" si="12"/>
        <v/>
      </c>
      <c r="O813" s="25"/>
      <c r="P813" s="11" t="str">
        <f ca="1">IF(AND(B813&lt;&gt;"",F813&lt;&gt;"Cerrada",F813&lt;&gt;"Perdida",N813&lt;&gt;"",N813&gt;14),COUNTIFS($F$8:$F813,"&lt;&gt;Cerrada",$F$8:$F813,"&lt;&gt;Perdida",$N$8:$N813,"&gt;14"),"")</f>
        <v/>
      </c>
    </row>
    <row r="814" spans="2:16" ht="21.75" customHeight="1" x14ac:dyDescent="0.25">
      <c r="B814" s="40"/>
      <c r="C814" s="40"/>
      <c r="D814" s="40"/>
      <c r="E814" s="40"/>
      <c r="F814" s="39"/>
      <c r="G814" s="41"/>
      <c r="H814" s="40"/>
      <c r="I814" s="41"/>
      <c r="J814" s="42"/>
      <c r="K814" s="40"/>
      <c r="L814" s="40"/>
      <c r="M814" s="40" t="str">
        <f>IF(B814="","",IF(COUNTIFS(Cobranza!$C$9:$C$1008,B814,Cobranza!$N$9:$N$1008,"Vencida")&gt;0,"Vencida",IF(COUNTIFS(Cobranza!$C$9:$C$1008,B814,Cobranza!$N$9:$N$1008,"Parcial")&gt;0,"Parcial",IF(COUNTIFS(Cobranza!$C$9:$C$1008,B814,Cobranza!$N$9:$N$1008,"Pendiente")&gt;0,"Pendiente",IF(COUNTIFS(Cobranza!$C$9:$C$1008,B814,Cobranza!$N$9:$N$1008,"Pagada")&gt;0,"Pagada","")))))</f>
        <v/>
      </c>
      <c r="N814" s="33" t="str">
        <f t="shared" ca="1" si="12"/>
        <v/>
      </c>
      <c r="O814" s="25"/>
      <c r="P814" s="11" t="str">
        <f ca="1">IF(AND(B814&lt;&gt;"",F814&lt;&gt;"Cerrada",F814&lt;&gt;"Perdida",N814&lt;&gt;"",N814&gt;14),COUNTIFS($F$8:$F814,"&lt;&gt;Cerrada",$F$8:$F814,"&lt;&gt;Perdida",$N$8:$N814,"&gt;14"),"")</f>
        <v/>
      </c>
    </row>
    <row r="815" spans="2:16" ht="21.75" customHeight="1" x14ac:dyDescent="0.25">
      <c r="B815" s="40"/>
      <c r="C815" s="40"/>
      <c r="D815" s="40"/>
      <c r="E815" s="40"/>
      <c r="F815" s="39"/>
      <c r="G815" s="41"/>
      <c r="H815" s="40"/>
      <c r="I815" s="41"/>
      <c r="J815" s="42"/>
      <c r="K815" s="40"/>
      <c r="L815" s="40"/>
      <c r="M815" s="40" t="str">
        <f>IF(B815="","",IF(COUNTIFS(Cobranza!$C$9:$C$1008,B815,Cobranza!$N$9:$N$1008,"Vencida")&gt;0,"Vencida",IF(COUNTIFS(Cobranza!$C$9:$C$1008,B815,Cobranza!$N$9:$N$1008,"Parcial")&gt;0,"Parcial",IF(COUNTIFS(Cobranza!$C$9:$C$1008,B815,Cobranza!$N$9:$N$1008,"Pendiente")&gt;0,"Pendiente",IF(COUNTIFS(Cobranza!$C$9:$C$1008,B815,Cobranza!$N$9:$N$1008,"Pagada")&gt;0,"Pagada","")))))</f>
        <v/>
      </c>
      <c r="N815" s="33" t="str">
        <f t="shared" ca="1" si="12"/>
        <v/>
      </c>
      <c r="O815" s="25"/>
      <c r="P815" s="11" t="str">
        <f ca="1">IF(AND(B815&lt;&gt;"",F815&lt;&gt;"Cerrada",F815&lt;&gt;"Perdida",N815&lt;&gt;"",N815&gt;14),COUNTIFS($F$8:$F815,"&lt;&gt;Cerrada",$F$8:$F815,"&lt;&gt;Perdida",$N$8:$N815,"&gt;14"),"")</f>
        <v/>
      </c>
    </row>
    <row r="816" spans="2:16" ht="21.75" customHeight="1" x14ac:dyDescent="0.25">
      <c r="B816" s="40"/>
      <c r="C816" s="40"/>
      <c r="D816" s="40"/>
      <c r="E816" s="40"/>
      <c r="F816" s="39"/>
      <c r="G816" s="41"/>
      <c r="H816" s="40"/>
      <c r="I816" s="41"/>
      <c r="J816" s="42"/>
      <c r="K816" s="40"/>
      <c r="L816" s="40"/>
      <c r="M816" s="40" t="str">
        <f>IF(B816="","",IF(COUNTIFS(Cobranza!$C$9:$C$1008,B816,Cobranza!$N$9:$N$1008,"Vencida")&gt;0,"Vencida",IF(COUNTIFS(Cobranza!$C$9:$C$1008,B816,Cobranza!$N$9:$N$1008,"Parcial")&gt;0,"Parcial",IF(COUNTIFS(Cobranza!$C$9:$C$1008,B816,Cobranza!$N$9:$N$1008,"Pendiente")&gt;0,"Pendiente",IF(COUNTIFS(Cobranza!$C$9:$C$1008,B816,Cobranza!$N$9:$N$1008,"Pagada")&gt;0,"Pagada","")))))</f>
        <v/>
      </c>
      <c r="N816" s="33" t="str">
        <f t="shared" ca="1" si="12"/>
        <v/>
      </c>
      <c r="O816" s="25"/>
      <c r="P816" s="11" t="str">
        <f ca="1">IF(AND(B816&lt;&gt;"",F816&lt;&gt;"Cerrada",F816&lt;&gt;"Perdida",N816&lt;&gt;"",N816&gt;14),COUNTIFS($F$8:$F816,"&lt;&gt;Cerrada",$F$8:$F816,"&lt;&gt;Perdida",$N$8:$N816,"&gt;14"),"")</f>
        <v/>
      </c>
    </row>
    <row r="817" spans="2:16" ht="21.75" customHeight="1" x14ac:dyDescent="0.25">
      <c r="B817" s="40"/>
      <c r="C817" s="40"/>
      <c r="D817" s="40"/>
      <c r="E817" s="40"/>
      <c r="F817" s="39"/>
      <c r="G817" s="41"/>
      <c r="H817" s="40"/>
      <c r="I817" s="41"/>
      <c r="J817" s="42"/>
      <c r="K817" s="40"/>
      <c r="L817" s="40"/>
      <c r="M817" s="40" t="str">
        <f>IF(B817="","",IF(COUNTIFS(Cobranza!$C$9:$C$1008,B817,Cobranza!$N$9:$N$1008,"Vencida")&gt;0,"Vencida",IF(COUNTIFS(Cobranza!$C$9:$C$1008,B817,Cobranza!$N$9:$N$1008,"Parcial")&gt;0,"Parcial",IF(COUNTIFS(Cobranza!$C$9:$C$1008,B817,Cobranza!$N$9:$N$1008,"Pendiente")&gt;0,"Pendiente",IF(COUNTIFS(Cobranza!$C$9:$C$1008,B817,Cobranza!$N$9:$N$1008,"Pagada")&gt;0,"Pagada","")))))</f>
        <v/>
      </c>
      <c r="N817" s="33" t="str">
        <f t="shared" ca="1" si="12"/>
        <v/>
      </c>
      <c r="O817" s="25"/>
      <c r="P817" s="11" t="str">
        <f ca="1">IF(AND(B817&lt;&gt;"",F817&lt;&gt;"Cerrada",F817&lt;&gt;"Perdida",N817&lt;&gt;"",N817&gt;14),COUNTIFS($F$8:$F817,"&lt;&gt;Cerrada",$F$8:$F817,"&lt;&gt;Perdida",$N$8:$N817,"&gt;14"),"")</f>
        <v/>
      </c>
    </row>
    <row r="818" spans="2:16" ht="21.75" customHeight="1" x14ac:dyDescent="0.25">
      <c r="B818" s="40"/>
      <c r="C818" s="40"/>
      <c r="D818" s="40"/>
      <c r="E818" s="40"/>
      <c r="F818" s="39"/>
      <c r="G818" s="41"/>
      <c r="H818" s="40"/>
      <c r="I818" s="41"/>
      <c r="J818" s="42"/>
      <c r="K818" s="40"/>
      <c r="L818" s="40"/>
      <c r="M818" s="40" t="str">
        <f>IF(B818="","",IF(COUNTIFS(Cobranza!$C$9:$C$1008,B818,Cobranza!$N$9:$N$1008,"Vencida")&gt;0,"Vencida",IF(COUNTIFS(Cobranza!$C$9:$C$1008,B818,Cobranza!$N$9:$N$1008,"Parcial")&gt;0,"Parcial",IF(COUNTIFS(Cobranza!$C$9:$C$1008,B818,Cobranza!$N$9:$N$1008,"Pendiente")&gt;0,"Pendiente",IF(COUNTIFS(Cobranza!$C$9:$C$1008,B818,Cobranza!$N$9:$N$1008,"Pagada")&gt;0,"Pagada","")))))</f>
        <v/>
      </c>
      <c r="N818" s="33" t="str">
        <f t="shared" ca="1" si="12"/>
        <v/>
      </c>
      <c r="O818" s="25"/>
      <c r="P818" s="11" t="str">
        <f ca="1">IF(AND(B818&lt;&gt;"",F818&lt;&gt;"Cerrada",F818&lt;&gt;"Perdida",N818&lt;&gt;"",N818&gt;14),COUNTIFS($F$8:$F818,"&lt;&gt;Cerrada",$F$8:$F818,"&lt;&gt;Perdida",$N$8:$N818,"&gt;14"),"")</f>
        <v/>
      </c>
    </row>
    <row r="819" spans="2:16" ht="21.75" customHeight="1" x14ac:dyDescent="0.25">
      <c r="B819" s="40"/>
      <c r="C819" s="40"/>
      <c r="D819" s="40"/>
      <c r="E819" s="40"/>
      <c r="F819" s="39"/>
      <c r="G819" s="41"/>
      <c r="H819" s="40"/>
      <c r="I819" s="41"/>
      <c r="J819" s="42"/>
      <c r="K819" s="40"/>
      <c r="L819" s="40"/>
      <c r="M819" s="40" t="str">
        <f>IF(B819="","",IF(COUNTIFS(Cobranza!$C$9:$C$1008,B819,Cobranza!$N$9:$N$1008,"Vencida")&gt;0,"Vencida",IF(COUNTIFS(Cobranza!$C$9:$C$1008,B819,Cobranza!$N$9:$N$1008,"Parcial")&gt;0,"Parcial",IF(COUNTIFS(Cobranza!$C$9:$C$1008,B819,Cobranza!$N$9:$N$1008,"Pendiente")&gt;0,"Pendiente",IF(COUNTIFS(Cobranza!$C$9:$C$1008,B819,Cobranza!$N$9:$N$1008,"Pagada")&gt;0,"Pagada","")))))</f>
        <v/>
      </c>
      <c r="N819" s="33" t="str">
        <f t="shared" ca="1" si="12"/>
        <v/>
      </c>
      <c r="O819" s="25"/>
      <c r="P819" s="11" t="str">
        <f ca="1">IF(AND(B819&lt;&gt;"",F819&lt;&gt;"Cerrada",F819&lt;&gt;"Perdida",N819&lt;&gt;"",N819&gt;14),COUNTIFS($F$8:$F819,"&lt;&gt;Cerrada",$F$8:$F819,"&lt;&gt;Perdida",$N$8:$N819,"&gt;14"),"")</f>
        <v/>
      </c>
    </row>
    <row r="820" spans="2:16" ht="21.75" customHeight="1" x14ac:dyDescent="0.25">
      <c r="B820" s="40"/>
      <c r="C820" s="40"/>
      <c r="D820" s="40"/>
      <c r="E820" s="40"/>
      <c r="F820" s="39"/>
      <c r="G820" s="41"/>
      <c r="H820" s="40"/>
      <c r="I820" s="41"/>
      <c r="J820" s="42"/>
      <c r="K820" s="40"/>
      <c r="L820" s="40"/>
      <c r="M820" s="40" t="str">
        <f>IF(B820="","",IF(COUNTIFS(Cobranza!$C$9:$C$1008,B820,Cobranza!$N$9:$N$1008,"Vencida")&gt;0,"Vencida",IF(COUNTIFS(Cobranza!$C$9:$C$1008,B820,Cobranza!$N$9:$N$1008,"Parcial")&gt;0,"Parcial",IF(COUNTIFS(Cobranza!$C$9:$C$1008,B820,Cobranza!$N$9:$N$1008,"Pendiente")&gt;0,"Pendiente",IF(COUNTIFS(Cobranza!$C$9:$C$1008,B820,Cobranza!$N$9:$N$1008,"Pagada")&gt;0,"Pagada","")))))</f>
        <v/>
      </c>
      <c r="N820" s="33" t="str">
        <f t="shared" ca="1" si="12"/>
        <v/>
      </c>
      <c r="O820" s="25"/>
      <c r="P820" s="11" t="str">
        <f ca="1">IF(AND(B820&lt;&gt;"",F820&lt;&gt;"Cerrada",F820&lt;&gt;"Perdida",N820&lt;&gt;"",N820&gt;14),COUNTIFS($F$8:$F820,"&lt;&gt;Cerrada",$F$8:$F820,"&lt;&gt;Perdida",$N$8:$N820,"&gt;14"),"")</f>
        <v/>
      </c>
    </row>
    <row r="821" spans="2:16" ht="21.75" customHeight="1" x14ac:dyDescent="0.25">
      <c r="B821" s="40"/>
      <c r="C821" s="40"/>
      <c r="D821" s="40"/>
      <c r="E821" s="40"/>
      <c r="F821" s="39"/>
      <c r="G821" s="41"/>
      <c r="H821" s="40"/>
      <c r="I821" s="41"/>
      <c r="J821" s="42"/>
      <c r="K821" s="40"/>
      <c r="L821" s="40"/>
      <c r="M821" s="40" t="str">
        <f>IF(B821="","",IF(COUNTIFS(Cobranza!$C$9:$C$1008,B821,Cobranza!$N$9:$N$1008,"Vencida")&gt;0,"Vencida",IF(COUNTIFS(Cobranza!$C$9:$C$1008,B821,Cobranza!$N$9:$N$1008,"Parcial")&gt;0,"Parcial",IF(COUNTIFS(Cobranza!$C$9:$C$1008,B821,Cobranza!$N$9:$N$1008,"Pendiente")&gt;0,"Pendiente",IF(COUNTIFS(Cobranza!$C$9:$C$1008,B821,Cobranza!$N$9:$N$1008,"Pagada")&gt;0,"Pagada","")))))</f>
        <v/>
      </c>
      <c r="N821" s="33" t="str">
        <f t="shared" ca="1" si="12"/>
        <v/>
      </c>
      <c r="O821" s="25"/>
      <c r="P821" s="11" t="str">
        <f ca="1">IF(AND(B821&lt;&gt;"",F821&lt;&gt;"Cerrada",F821&lt;&gt;"Perdida",N821&lt;&gt;"",N821&gt;14),COUNTIFS($F$8:$F821,"&lt;&gt;Cerrada",$F$8:$F821,"&lt;&gt;Perdida",$N$8:$N821,"&gt;14"),"")</f>
        <v/>
      </c>
    </row>
    <row r="822" spans="2:16" ht="21.75" customHeight="1" x14ac:dyDescent="0.25">
      <c r="B822" s="40"/>
      <c r="C822" s="40"/>
      <c r="D822" s="40"/>
      <c r="E822" s="40"/>
      <c r="F822" s="39"/>
      <c r="G822" s="41"/>
      <c r="H822" s="40"/>
      <c r="I822" s="41"/>
      <c r="J822" s="42"/>
      <c r="K822" s="40"/>
      <c r="L822" s="40"/>
      <c r="M822" s="40" t="str">
        <f>IF(B822="","",IF(COUNTIFS(Cobranza!$C$9:$C$1008,B822,Cobranza!$N$9:$N$1008,"Vencida")&gt;0,"Vencida",IF(COUNTIFS(Cobranza!$C$9:$C$1008,B822,Cobranza!$N$9:$N$1008,"Parcial")&gt;0,"Parcial",IF(COUNTIFS(Cobranza!$C$9:$C$1008,B822,Cobranza!$N$9:$N$1008,"Pendiente")&gt;0,"Pendiente",IF(COUNTIFS(Cobranza!$C$9:$C$1008,B822,Cobranza!$N$9:$N$1008,"Pagada")&gt;0,"Pagada","")))))</f>
        <v/>
      </c>
      <c r="N822" s="33" t="str">
        <f t="shared" ca="1" si="12"/>
        <v/>
      </c>
      <c r="O822" s="25"/>
      <c r="P822" s="11" t="str">
        <f ca="1">IF(AND(B822&lt;&gt;"",F822&lt;&gt;"Cerrada",F822&lt;&gt;"Perdida",N822&lt;&gt;"",N822&gt;14),COUNTIFS($F$8:$F822,"&lt;&gt;Cerrada",$F$8:$F822,"&lt;&gt;Perdida",$N$8:$N822,"&gt;14"),"")</f>
        <v/>
      </c>
    </row>
    <row r="823" spans="2:16" ht="21.75" customHeight="1" x14ac:dyDescent="0.25">
      <c r="B823" s="40"/>
      <c r="C823" s="40"/>
      <c r="D823" s="40"/>
      <c r="E823" s="40"/>
      <c r="F823" s="39"/>
      <c r="G823" s="41"/>
      <c r="H823" s="40"/>
      <c r="I823" s="41"/>
      <c r="J823" s="42"/>
      <c r="K823" s="40"/>
      <c r="L823" s="40"/>
      <c r="M823" s="40" t="str">
        <f>IF(B823="","",IF(COUNTIFS(Cobranza!$C$9:$C$1008,B823,Cobranza!$N$9:$N$1008,"Vencida")&gt;0,"Vencida",IF(COUNTIFS(Cobranza!$C$9:$C$1008,B823,Cobranza!$N$9:$N$1008,"Parcial")&gt;0,"Parcial",IF(COUNTIFS(Cobranza!$C$9:$C$1008,B823,Cobranza!$N$9:$N$1008,"Pendiente")&gt;0,"Pendiente",IF(COUNTIFS(Cobranza!$C$9:$C$1008,B823,Cobranza!$N$9:$N$1008,"Pagada")&gt;0,"Pagada","")))))</f>
        <v/>
      </c>
      <c r="N823" s="33" t="str">
        <f t="shared" ca="1" si="12"/>
        <v/>
      </c>
      <c r="O823" s="25"/>
      <c r="P823" s="11" t="str">
        <f ca="1">IF(AND(B823&lt;&gt;"",F823&lt;&gt;"Cerrada",F823&lt;&gt;"Perdida",N823&lt;&gt;"",N823&gt;14),COUNTIFS($F$8:$F823,"&lt;&gt;Cerrada",$F$8:$F823,"&lt;&gt;Perdida",$N$8:$N823,"&gt;14"),"")</f>
        <v/>
      </c>
    </row>
    <row r="824" spans="2:16" ht="21.75" customHeight="1" x14ac:dyDescent="0.25">
      <c r="B824" s="40"/>
      <c r="C824" s="40"/>
      <c r="D824" s="40"/>
      <c r="E824" s="40"/>
      <c r="F824" s="39"/>
      <c r="G824" s="41"/>
      <c r="H824" s="40"/>
      <c r="I824" s="41"/>
      <c r="J824" s="42"/>
      <c r="K824" s="40"/>
      <c r="L824" s="40"/>
      <c r="M824" s="40" t="str">
        <f>IF(B824="","",IF(COUNTIFS(Cobranza!$C$9:$C$1008,B824,Cobranza!$N$9:$N$1008,"Vencida")&gt;0,"Vencida",IF(COUNTIFS(Cobranza!$C$9:$C$1008,B824,Cobranza!$N$9:$N$1008,"Parcial")&gt;0,"Parcial",IF(COUNTIFS(Cobranza!$C$9:$C$1008,B824,Cobranza!$N$9:$N$1008,"Pendiente")&gt;0,"Pendiente",IF(COUNTIFS(Cobranza!$C$9:$C$1008,B824,Cobranza!$N$9:$N$1008,"Pagada")&gt;0,"Pagada","")))))</f>
        <v/>
      </c>
      <c r="N824" s="33" t="str">
        <f t="shared" ca="1" si="12"/>
        <v/>
      </c>
      <c r="O824" s="25"/>
      <c r="P824" s="11" t="str">
        <f ca="1">IF(AND(B824&lt;&gt;"",F824&lt;&gt;"Cerrada",F824&lt;&gt;"Perdida",N824&lt;&gt;"",N824&gt;14),COUNTIFS($F$8:$F824,"&lt;&gt;Cerrada",$F$8:$F824,"&lt;&gt;Perdida",$N$8:$N824,"&gt;14"),"")</f>
        <v/>
      </c>
    </row>
    <row r="825" spans="2:16" ht="21.75" customHeight="1" x14ac:dyDescent="0.25">
      <c r="B825" s="40"/>
      <c r="C825" s="40"/>
      <c r="D825" s="40"/>
      <c r="E825" s="40"/>
      <c r="F825" s="39"/>
      <c r="G825" s="41"/>
      <c r="H825" s="40"/>
      <c r="I825" s="41"/>
      <c r="J825" s="42"/>
      <c r="K825" s="40"/>
      <c r="L825" s="40"/>
      <c r="M825" s="40" t="str">
        <f>IF(B825="","",IF(COUNTIFS(Cobranza!$C$9:$C$1008,B825,Cobranza!$N$9:$N$1008,"Vencida")&gt;0,"Vencida",IF(COUNTIFS(Cobranza!$C$9:$C$1008,B825,Cobranza!$N$9:$N$1008,"Parcial")&gt;0,"Parcial",IF(COUNTIFS(Cobranza!$C$9:$C$1008,B825,Cobranza!$N$9:$N$1008,"Pendiente")&gt;0,"Pendiente",IF(COUNTIFS(Cobranza!$C$9:$C$1008,B825,Cobranza!$N$9:$N$1008,"Pagada")&gt;0,"Pagada","")))))</f>
        <v/>
      </c>
      <c r="N825" s="33" t="str">
        <f t="shared" ca="1" si="12"/>
        <v/>
      </c>
      <c r="O825" s="25"/>
      <c r="P825" s="11" t="str">
        <f ca="1">IF(AND(B825&lt;&gt;"",F825&lt;&gt;"Cerrada",F825&lt;&gt;"Perdida",N825&lt;&gt;"",N825&gt;14),COUNTIFS($F$8:$F825,"&lt;&gt;Cerrada",$F$8:$F825,"&lt;&gt;Perdida",$N$8:$N825,"&gt;14"),"")</f>
        <v/>
      </c>
    </row>
    <row r="826" spans="2:16" ht="21.75" customHeight="1" x14ac:dyDescent="0.25">
      <c r="B826" s="40"/>
      <c r="C826" s="40"/>
      <c r="D826" s="40"/>
      <c r="E826" s="40"/>
      <c r="F826" s="39"/>
      <c r="G826" s="41"/>
      <c r="H826" s="40"/>
      <c r="I826" s="41"/>
      <c r="J826" s="42"/>
      <c r="K826" s="40"/>
      <c r="L826" s="40"/>
      <c r="M826" s="40" t="str">
        <f>IF(B826="","",IF(COUNTIFS(Cobranza!$C$9:$C$1008,B826,Cobranza!$N$9:$N$1008,"Vencida")&gt;0,"Vencida",IF(COUNTIFS(Cobranza!$C$9:$C$1008,B826,Cobranza!$N$9:$N$1008,"Parcial")&gt;0,"Parcial",IF(COUNTIFS(Cobranza!$C$9:$C$1008,B826,Cobranza!$N$9:$N$1008,"Pendiente")&gt;0,"Pendiente",IF(COUNTIFS(Cobranza!$C$9:$C$1008,B826,Cobranza!$N$9:$N$1008,"Pagada")&gt;0,"Pagada","")))))</f>
        <v/>
      </c>
      <c r="N826" s="33" t="str">
        <f t="shared" ca="1" si="12"/>
        <v/>
      </c>
      <c r="O826" s="25"/>
      <c r="P826" s="11" t="str">
        <f ca="1">IF(AND(B826&lt;&gt;"",F826&lt;&gt;"Cerrada",F826&lt;&gt;"Perdida",N826&lt;&gt;"",N826&gt;14),COUNTIFS($F$8:$F826,"&lt;&gt;Cerrada",$F$8:$F826,"&lt;&gt;Perdida",$N$8:$N826,"&gt;14"),"")</f>
        <v/>
      </c>
    </row>
    <row r="827" spans="2:16" ht="21.75" customHeight="1" x14ac:dyDescent="0.25">
      <c r="B827" s="40"/>
      <c r="C827" s="40"/>
      <c r="D827" s="40"/>
      <c r="E827" s="40"/>
      <c r="F827" s="39"/>
      <c r="G827" s="41"/>
      <c r="H827" s="40"/>
      <c r="I827" s="41"/>
      <c r="J827" s="42"/>
      <c r="K827" s="40"/>
      <c r="L827" s="40"/>
      <c r="M827" s="40" t="str">
        <f>IF(B827="","",IF(COUNTIFS(Cobranza!$C$9:$C$1008,B827,Cobranza!$N$9:$N$1008,"Vencida")&gt;0,"Vencida",IF(COUNTIFS(Cobranza!$C$9:$C$1008,B827,Cobranza!$N$9:$N$1008,"Parcial")&gt;0,"Parcial",IF(COUNTIFS(Cobranza!$C$9:$C$1008,B827,Cobranza!$N$9:$N$1008,"Pendiente")&gt;0,"Pendiente",IF(COUNTIFS(Cobranza!$C$9:$C$1008,B827,Cobranza!$N$9:$N$1008,"Pagada")&gt;0,"Pagada","")))))</f>
        <v/>
      </c>
      <c r="N827" s="33" t="str">
        <f t="shared" ca="1" si="12"/>
        <v/>
      </c>
      <c r="O827" s="25"/>
      <c r="P827" s="11" t="str">
        <f ca="1">IF(AND(B827&lt;&gt;"",F827&lt;&gt;"Cerrada",F827&lt;&gt;"Perdida",N827&lt;&gt;"",N827&gt;14),COUNTIFS($F$8:$F827,"&lt;&gt;Cerrada",$F$8:$F827,"&lt;&gt;Perdida",$N$8:$N827,"&gt;14"),"")</f>
        <v/>
      </c>
    </row>
    <row r="828" spans="2:16" ht="21.75" customHeight="1" x14ac:dyDescent="0.25">
      <c r="B828" s="40"/>
      <c r="C828" s="40"/>
      <c r="D828" s="40"/>
      <c r="E828" s="40"/>
      <c r="F828" s="39"/>
      <c r="G828" s="41"/>
      <c r="H828" s="40"/>
      <c r="I828" s="41"/>
      <c r="J828" s="42"/>
      <c r="K828" s="40"/>
      <c r="L828" s="40"/>
      <c r="M828" s="40" t="str">
        <f>IF(B828="","",IF(COUNTIFS(Cobranza!$C$9:$C$1008,B828,Cobranza!$N$9:$N$1008,"Vencida")&gt;0,"Vencida",IF(COUNTIFS(Cobranza!$C$9:$C$1008,B828,Cobranza!$N$9:$N$1008,"Parcial")&gt;0,"Parcial",IF(COUNTIFS(Cobranza!$C$9:$C$1008,B828,Cobranza!$N$9:$N$1008,"Pendiente")&gt;0,"Pendiente",IF(COUNTIFS(Cobranza!$C$9:$C$1008,B828,Cobranza!$N$9:$N$1008,"Pagada")&gt;0,"Pagada","")))))</f>
        <v/>
      </c>
      <c r="N828" s="33" t="str">
        <f t="shared" ca="1" si="12"/>
        <v/>
      </c>
      <c r="O828" s="25"/>
      <c r="P828" s="11" t="str">
        <f ca="1">IF(AND(B828&lt;&gt;"",F828&lt;&gt;"Cerrada",F828&lt;&gt;"Perdida",N828&lt;&gt;"",N828&gt;14),COUNTIFS($F$8:$F828,"&lt;&gt;Cerrada",$F$8:$F828,"&lt;&gt;Perdida",$N$8:$N828,"&gt;14"),"")</f>
        <v/>
      </c>
    </row>
    <row r="829" spans="2:16" ht="21.75" customHeight="1" x14ac:dyDescent="0.25">
      <c r="B829" s="40"/>
      <c r="C829" s="40"/>
      <c r="D829" s="40"/>
      <c r="E829" s="40"/>
      <c r="F829" s="39"/>
      <c r="G829" s="41"/>
      <c r="H829" s="40"/>
      <c r="I829" s="41"/>
      <c r="J829" s="42"/>
      <c r="K829" s="40"/>
      <c r="L829" s="40"/>
      <c r="M829" s="40" t="str">
        <f>IF(B829="","",IF(COUNTIFS(Cobranza!$C$9:$C$1008,B829,Cobranza!$N$9:$N$1008,"Vencida")&gt;0,"Vencida",IF(COUNTIFS(Cobranza!$C$9:$C$1008,B829,Cobranza!$N$9:$N$1008,"Parcial")&gt;0,"Parcial",IF(COUNTIFS(Cobranza!$C$9:$C$1008,B829,Cobranza!$N$9:$N$1008,"Pendiente")&gt;0,"Pendiente",IF(COUNTIFS(Cobranza!$C$9:$C$1008,B829,Cobranza!$N$9:$N$1008,"Pagada")&gt;0,"Pagada","")))))</f>
        <v/>
      </c>
      <c r="N829" s="33" t="str">
        <f t="shared" ca="1" si="12"/>
        <v/>
      </c>
      <c r="O829" s="25"/>
      <c r="P829" s="11" t="str">
        <f ca="1">IF(AND(B829&lt;&gt;"",F829&lt;&gt;"Cerrada",F829&lt;&gt;"Perdida",N829&lt;&gt;"",N829&gt;14),COUNTIFS($F$8:$F829,"&lt;&gt;Cerrada",$F$8:$F829,"&lt;&gt;Perdida",$N$8:$N829,"&gt;14"),"")</f>
        <v/>
      </c>
    </row>
    <row r="830" spans="2:16" ht="21.75" customHeight="1" x14ac:dyDescent="0.25">
      <c r="B830" s="40"/>
      <c r="C830" s="40"/>
      <c r="D830" s="40"/>
      <c r="E830" s="40"/>
      <c r="F830" s="39"/>
      <c r="G830" s="41"/>
      <c r="H830" s="40"/>
      <c r="I830" s="41"/>
      <c r="J830" s="42"/>
      <c r="K830" s="40"/>
      <c r="L830" s="40"/>
      <c r="M830" s="40" t="str">
        <f>IF(B830="","",IF(COUNTIFS(Cobranza!$C$9:$C$1008,B830,Cobranza!$N$9:$N$1008,"Vencida")&gt;0,"Vencida",IF(COUNTIFS(Cobranza!$C$9:$C$1008,B830,Cobranza!$N$9:$N$1008,"Parcial")&gt;0,"Parcial",IF(COUNTIFS(Cobranza!$C$9:$C$1008,B830,Cobranza!$N$9:$N$1008,"Pendiente")&gt;0,"Pendiente",IF(COUNTIFS(Cobranza!$C$9:$C$1008,B830,Cobranza!$N$9:$N$1008,"Pagada")&gt;0,"Pagada","")))))</f>
        <v/>
      </c>
      <c r="N830" s="33" t="str">
        <f t="shared" ca="1" si="12"/>
        <v/>
      </c>
      <c r="O830" s="25"/>
      <c r="P830" s="11" t="str">
        <f ca="1">IF(AND(B830&lt;&gt;"",F830&lt;&gt;"Cerrada",F830&lt;&gt;"Perdida",N830&lt;&gt;"",N830&gt;14),COUNTIFS($F$8:$F830,"&lt;&gt;Cerrada",$F$8:$F830,"&lt;&gt;Perdida",$N$8:$N830,"&gt;14"),"")</f>
        <v/>
      </c>
    </row>
    <row r="831" spans="2:16" ht="21.75" customHeight="1" x14ac:dyDescent="0.25">
      <c r="B831" s="40"/>
      <c r="C831" s="40"/>
      <c r="D831" s="40"/>
      <c r="E831" s="40"/>
      <c r="F831" s="39"/>
      <c r="G831" s="41"/>
      <c r="H831" s="40"/>
      <c r="I831" s="41"/>
      <c r="J831" s="42"/>
      <c r="K831" s="40"/>
      <c r="L831" s="40"/>
      <c r="M831" s="40" t="str">
        <f>IF(B831="","",IF(COUNTIFS(Cobranza!$C$9:$C$1008,B831,Cobranza!$N$9:$N$1008,"Vencida")&gt;0,"Vencida",IF(COUNTIFS(Cobranza!$C$9:$C$1008,B831,Cobranza!$N$9:$N$1008,"Parcial")&gt;0,"Parcial",IF(COUNTIFS(Cobranza!$C$9:$C$1008,B831,Cobranza!$N$9:$N$1008,"Pendiente")&gt;0,"Pendiente",IF(COUNTIFS(Cobranza!$C$9:$C$1008,B831,Cobranza!$N$9:$N$1008,"Pagada")&gt;0,"Pagada","")))))</f>
        <v/>
      </c>
      <c r="N831" s="33" t="str">
        <f t="shared" ca="1" si="12"/>
        <v/>
      </c>
      <c r="O831" s="25"/>
      <c r="P831" s="11" t="str">
        <f ca="1">IF(AND(B831&lt;&gt;"",F831&lt;&gt;"Cerrada",F831&lt;&gt;"Perdida",N831&lt;&gt;"",N831&gt;14),COUNTIFS($F$8:$F831,"&lt;&gt;Cerrada",$F$8:$F831,"&lt;&gt;Perdida",$N$8:$N831,"&gt;14"),"")</f>
        <v/>
      </c>
    </row>
    <row r="832" spans="2:16" ht="21.75" customHeight="1" x14ac:dyDescent="0.25">
      <c r="B832" s="40"/>
      <c r="C832" s="40"/>
      <c r="D832" s="40"/>
      <c r="E832" s="40"/>
      <c r="F832" s="39"/>
      <c r="G832" s="41"/>
      <c r="H832" s="40"/>
      <c r="I832" s="41"/>
      <c r="J832" s="42"/>
      <c r="K832" s="40"/>
      <c r="L832" s="40"/>
      <c r="M832" s="40" t="str">
        <f>IF(B832="","",IF(COUNTIFS(Cobranza!$C$9:$C$1008,B832,Cobranza!$N$9:$N$1008,"Vencida")&gt;0,"Vencida",IF(COUNTIFS(Cobranza!$C$9:$C$1008,B832,Cobranza!$N$9:$N$1008,"Parcial")&gt;0,"Parcial",IF(COUNTIFS(Cobranza!$C$9:$C$1008,B832,Cobranza!$N$9:$N$1008,"Pendiente")&gt;0,"Pendiente",IF(COUNTIFS(Cobranza!$C$9:$C$1008,B832,Cobranza!$N$9:$N$1008,"Pagada")&gt;0,"Pagada","")))))</f>
        <v/>
      </c>
      <c r="N832" s="33" t="str">
        <f t="shared" ca="1" si="12"/>
        <v/>
      </c>
      <c r="O832" s="25"/>
      <c r="P832" s="11" t="str">
        <f ca="1">IF(AND(B832&lt;&gt;"",F832&lt;&gt;"Cerrada",F832&lt;&gt;"Perdida",N832&lt;&gt;"",N832&gt;14),COUNTIFS($F$8:$F832,"&lt;&gt;Cerrada",$F$8:$F832,"&lt;&gt;Perdida",$N$8:$N832,"&gt;14"),"")</f>
        <v/>
      </c>
    </row>
    <row r="833" spans="2:16" ht="21.75" customHeight="1" x14ac:dyDescent="0.25">
      <c r="B833" s="40"/>
      <c r="C833" s="40"/>
      <c r="D833" s="40"/>
      <c r="E833" s="40"/>
      <c r="F833" s="39"/>
      <c r="G833" s="41"/>
      <c r="H833" s="40"/>
      <c r="I833" s="41"/>
      <c r="J833" s="42"/>
      <c r="K833" s="40"/>
      <c r="L833" s="40"/>
      <c r="M833" s="40" t="str">
        <f>IF(B833="","",IF(COUNTIFS(Cobranza!$C$9:$C$1008,B833,Cobranza!$N$9:$N$1008,"Vencida")&gt;0,"Vencida",IF(COUNTIFS(Cobranza!$C$9:$C$1008,B833,Cobranza!$N$9:$N$1008,"Parcial")&gt;0,"Parcial",IF(COUNTIFS(Cobranza!$C$9:$C$1008,B833,Cobranza!$N$9:$N$1008,"Pendiente")&gt;0,"Pendiente",IF(COUNTIFS(Cobranza!$C$9:$C$1008,B833,Cobranza!$N$9:$N$1008,"Pagada")&gt;0,"Pagada","")))))</f>
        <v/>
      </c>
      <c r="N833" s="33" t="str">
        <f t="shared" ca="1" si="12"/>
        <v/>
      </c>
      <c r="O833" s="25"/>
      <c r="P833" s="11" t="str">
        <f ca="1">IF(AND(B833&lt;&gt;"",F833&lt;&gt;"Cerrada",F833&lt;&gt;"Perdida",N833&lt;&gt;"",N833&gt;14),COUNTIFS($F$8:$F833,"&lt;&gt;Cerrada",$F$8:$F833,"&lt;&gt;Perdida",$N$8:$N833,"&gt;14"),"")</f>
        <v/>
      </c>
    </row>
    <row r="834" spans="2:16" ht="21.75" customHeight="1" x14ac:dyDescent="0.25">
      <c r="B834" s="40"/>
      <c r="C834" s="40"/>
      <c r="D834" s="40"/>
      <c r="E834" s="40"/>
      <c r="F834" s="39"/>
      <c r="G834" s="41"/>
      <c r="H834" s="40"/>
      <c r="I834" s="41"/>
      <c r="J834" s="42"/>
      <c r="K834" s="40"/>
      <c r="L834" s="40"/>
      <c r="M834" s="40" t="str">
        <f>IF(B834="","",IF(COUNTIFS(Cobranza!$C$9:$C$1008,B834,Cobranza!$N$9:$N$1008,"Vencida")&gt;0,"Vencida",IF(COUNTIFS(Cobranza!$C$9:$C$1008,B834,Cobranza!$N$9:$N$1008,"Parcial")&gt;0,"Parcial",IF(COUNTIFS(Cobranza!$C$9:$C$1008,B834,Cobranza!$N$9:$N$1008,"Pendiente")&gt;0,"Pendiente",IF(COUNTIFS(Cobranza!$C$9:$C$1008,B834,Cobranza!$N$9:$N$1008,"Pagada")&gt;0,"Pagada","")))))</f>
        <v/>
      </c>
      <c r="N834" s="33" t="str">
        <f t="shared" ca="1" si="12"/>
        <v/>
      </c>
      <c r="O834" s="25"/>
      <c r="P834" s="11" t="str">
        <f ca="1">IF(AND(B834&lt;&gt;"",F834&lt;&gt;"Cerrada",F834&lt;&gt;"Perdida",N834&lt;&gt;"",N834&gt;14),COUNTIFS($F$8:$F834,"&lt;&gt;Cerrada",$F$8:$F834,"&lt;&gt;Perdida",$N$8:$N834,"&gt;14"),"")</f>
        <v/>
      </c>
    </row>
    <row r="835" spans="2:16" ht="21.75" customHeight="1" x14ac:dyDescent="0.25">
      <c r="B835" s="40"/>
      <c r="C835" s="40"/>
      <c r="D835" s="40"/>
      <c r="E835" s="40"/>
      <c r="F835" s="39"/>
      <c r="G835" s="41"/>
      <c r="H835" s="40"/>
      <c r="I835" s="41"/>
      <c r="J835" s="42"/>
      <c r="K835" s="40"/>
      <c r="L835" s="40"/>
      <c r="M835" s="40" t="str">
        <f>IF(B835="","",IF(COUNTIFS(Cobranza!$C$9:$C$1008,B835,Cobranza!$N$9:$N$1008,"Vencida")&gt;0,"Vencida",IF(COUNTIFS(Cobranza!$C$9:$C$1008,B835,Cobranza!$N$9:$N$1008,"Parcial")&gt;0,"Parcial",IF(COUNTIFS(Cobranza!$C$9:$C$1008,B835,Cobranza!$N$9:$N$1008,"Pendiente")&gt;0,"Pendiente",IF(COUNTIFS(Cobranza!$C$9:$C$1008,B835,Cobranza!$N$9:$N$1008,"Pagada")&gt;0,"Pagada","")))))</f>
        <v/>
      </c>
      <c r="N835" s="33" t="str">
        <f t="shared" ca="1" si="12"/>
        <v/>
      </c>
      <c r="O835" s="25"/>
      <c r="P835" s="11" t="str">
        <f ca="1">IF(AND(B835&lt;&gt;"",F835&lt;&gt;"Cerrada",F835&lt;&gt;"Perdida",N835&lt;&gt;"",N835&gt;14),COUNTIFS($F$8:$F835,"&lt;&gt;Cerrada",$F$8:$F835,"&lt;&gt;Perdida",$N$8:$N835,"&gt;14"),"")</f>
        <v/>
      </c>
    </row>
    <row r="836" spans="2:16" ht="21.75" customHeight="1" x14ac:dyDescent="0.25">
      <c r="B836" s="40"/>
      <c r="C836" s="40"/>
      <c r="D836" s="40"/>
      <c r="E836" s="40"/>
      <c r="F836" s="39"/>
      <c r="G836" s="41"/>
      <c r="H836" s="40"/>
      <c r="I836" s="41"/>
      <c r="J836" s="42"/>
      <c r="K836" s="40"/>
      <c r="L836" s="40"/>
      <c r="M836" s="40" t="str">
        <f>IF(B836="","",IF(COUNTIFS(Cobranza!$C$9:$C$1008,B836,Cobranza!$N$9:$N$1008,"Vencida")&gt;0,"Vencida",IF(COUNTIFS(Cobranza!$C$9:$C$1008,B836,Cobranza!$N$9:$N$1008,"Parcial")&gt;0,"Parcial",IF(COUNTIFS(Cobranza!$C$9:$C$1008,B836,Cobranza!$N$9:$N$1008,"Pendiente")&gt;0,"Pendiente",IF(COUNTIFS(Cobranza!$C$9:$C$1008,B836,Cobranza!$N$9:$N$1008,"Pagada")&gt;0,"Pagada","")))))</f>
        <v/>
      </c>
      <c r="N836" s="33" t="str">
        <f t="shared" ca="1" si="12"/>
        <v/>
      </c>
      <c r="O836" s="25"/>
      <c r="P836" s="11" t="str">
        <f ca="1">IF(AND(B836&lt;&gt;"",F836&lt;&gt;"Cerrada",F836&lt;&gt;"Perdida",N836&lt;&gt;"",N836&gt;14),COUNTIFS($F$8:$F836,"&lt;&gt;Cerrada",$F$8:$F836,"&lt;&gt;Perdida",$N$8:$N836,"&gt;14"),"")</f>
        <v/>
      </c>
    </row>
    <row r="837" spans="2:16" ht="21.75" customHeight="1" x14ac:dyDescent="0.25">
      <c r="B837" s="40"/>
      <c r="C837" s="40"/>
      <c r="D837" s="40"/>
      <c r="E837" s="40"/>
      <c r="F837" s="39"/>
      <c r="G837" s="41"/>
      <c r="H837" s="40"/>
      <c r="I837" s="41"/>
      <c r="J837" s="42"/>
      <c r="K837" s="40"/>
      <c r="L837" s="40"/>
      <c r="M837" s="40" t="str">
        <f>IF(B837="","",IF(COUNTIFS(Cobranza!$C$9:$C$1008,B837,Cobranza!$N$9:$N$1008,"Vencida")&gt;0,"Vencida",IF(COUNTIFS(Cobranza!$C$9:$C$1008,B837,Cobranza!$N$9:$N$1008,"Parcial")&gt;0,"Parcial",IF(COUNTIFS(Cobranza!$C$9:$C$1008,B837,Cobranza!$N$9:$N$1008,"Pendiente")&gt;0,"Pendiente",IF(COUNTIFS(Cobranza!$C$9:$C$1008,B837,Cobranza!$N$9:$N$1008,"Pagada")&gt;0,"Pagada","")))))</f>
        <v/>
      </c>
      <c r="N837" s="33" t="str">
        <f t="shared" ca="1" si="12"/>
        <v/>
      </c>
      <c r="O837" s="25"/>
      <c r="P837" s="11" t="str">
        <f ca="1">IF(AND(B837&lt;&gt;"",F837&lt;&gt;"Cerrada",F837&lt;&gt;"Perdida",N837&lt;&gt;"",N837&gt;14),COUNTIFS($F$8:$F837,"&lt;&gt;Cerrada",$F$8:$F837,"&lt;&gt;Perdida",$N$8:$N837,"&gt;14"),"")</f>
        <v/>
      </c>
    </row>
    <row r="838" spans="2:16" ht="21.75" customHeight="1" x14ac:dyDescent="0.25">
      <c r="B838" s="40"/>
      <c r="C838" s="40"/>
      <c r="D838" s="40"/>
      <c r="E838" s="40"/>
      <c r="F838" s="39"/>
      <c r="G838" s="41"/>
      <c r="H838" s="40"/>
      <c r="I838" s="41"/>
      <c r="J838" s="42"/>
      <c r="K838" s="40"/>
      <c r="L838" s="40"/>
      <c r="M838" s="40" t="str">
        <f>IF(B838="","",IF(COUNTIFS(Cobranza!$C$9:$C$1008,B838,Cobranza!$N$9:$N$1008,"Vencida")&gt;0,"Vencida",IF(COUNTIFS(Cobranza!$C$9:$C$1008,B838,Cobranza!$N$9:$N$1008,"Parcial")&gt;0,"Parcial",IF(COUNTIFS(Cobranza!$C$9:$C$1008,B838,Cobranza!$N$9:$N$1008,"Pendiente")&gt;0,"Pendiente",IF(COUNTIFS(Cobranza!$C$9:$C$1008,B838,Cobranza!$N$9:$N$1008,"Pagada")&gt;0,"Pagada","")))))</f>
        <v/>
      </c>
      <c r="N838" s="33" t="str">
        <f t="shared" ca="1" si="12"/>
        <v/>
      </c>
      <c r="O838" s="25"/>
      <c r="P838" s="11" t="str">
        <f ca="1">IF(AND(B838&lt;&gt;"",F838&lt;&gt;"Cerrada",F838&lt;&gt;"Perdida",N838&lt;&gt;"",N838&gt;14),COUNTIFS($F$8:$F838,"&lt;&gt;Cerrada",$F$8:$F838,"&lt;&gt;Perdida",$N$8:$N838,"&gt;14"),"")</f>
        <v/>
      </c>
    </row>
    <row r="839" spans="2:16" ht="21.75" customHeight="1" x14ac:dyDescent="0.25">
      <c r="B839" s="40"/>
      <c r="C839" s="40"/>
      <c r="D839" s="40"/>
      <c r="E839" s="40"/>
      <c r="F839" s="39"/>
      <c r="G839" s="41"/>
      <c r="H839" s="40"/>
      <c r="I839" s="41"/>
      <c r="J839" s="42"/>
      <c r="K839" s="40"/>
      <c r="L839" s="40"/>
      <c r="M839" s="40" t="str">
        <f>IF(B839="","",IF(COUNTIFS(Cobranza!$C$9:$C$1008,B839,Cobranza!$N$9:$N$1008,"Vencida")&gt;0,"Vencida",IF(COUNTIFS(Cobranza!$C$9:$C$1008,B839,Cobranza!$N$9:$N$1008,"Parcial")&gt;0,"Parcial",IF(COUNTIFS(Cobranza!$C$9:$C$1008,B839,Cobranza!$N$9:$N$1008,"Pendiente")&gt;0,"Pendiente",IF(COUNTIFS(Cobranza!$C$9:$C$1008,B839,Cobranza!$N$9:$N$1008,"Pagada")&gt;0,"Pagada","")))))</f>
        <v/>
      </c>
      <c r="N839" s="33" t="str">
        <f t="shared" ca="1" si="12"/>
        <v/>
      </c>
      <c r="O839" s="25"/>
      <c r="P839" s="11" t="str">
        <f ca="1">IF(AND(B839&lt;&gt;"",F839&lt;&gt;"Cerrada",F839&lt;&gt;"Perdida",N839&lt;&gt;"",N839&gt;14),COUNTIFS($F$8:$F839,"&lt;&gt;Cerrada",$F$8:$F839,"&lt;&gt;Perdida",$N$8:$N839,"&gt;14"),"")</f>
        <v/>
      </c>
    </row>
    <row r="840" spans="2:16" ht="21.75" customHeight="1" x14ac:dyDescent="0.25">
      <c r="B840" s="40"/>
      <c r="C840" s="40"/>
      <c r="D840" s="40"/>
      <c r="E840" s="40"/>
      <c r="F840" s="39"/>
      <c r="G840" s="41"/>
      <c r="H840" s="40"/>
      <c r="I840" s="41"/>
      <c r="J840" s="42"/>
      <c r="K840" s="40"/>
      <c r="L840" s="40"/>
      <c r="M840" s="40" t="str">
        <f>IF(B840="","",IF(COUNTIFS(Cobranza!$C$9:$C$1008,B840,Cobranza!$N$9:$N$1008,"Vencida")&gt;0,"Vencida",IF(COUNTIFS(Cobranza!$C$9:$C$1008,B840,Cobranza!$N$9:$N$1008,"Parcial")&gt;0,"Parcial",IF(COUNTIFS(Cobranza!$C$9:$C$1008,B840,Cobranza!$N$9:$N$1008,"Pendiente")&gt;0,"Pendiente",IF(COUNTIFS(Cobranza!$C$9:$C$1008,B840,Cobranza!$N$9:$N$1008,"Pagada")&gt;0,"Pagada","")))))</f>
        <v/>
      </c>
      <c r="N840" s="33" t="str">
        <f t="shared" ref="N840:N903" ca="1" si="13">IF(I840="","",MAX(0,TODAY()-I840))</f>
        <v/>
      </c>
      <c r="O840" s="25"/>
      <c r="P840" s="11" t="str">
        <f ca="1">IF(AND(B840&lt;&gt;"",F840&lt;&gt;"Cerrada",F840&lt;&gt;"Perdida",N840&lt;&gt;"",N840&gt;14),COUNTIFS($F$8:$F840,"&lt;&gt;Cerrada",$F$8:$F840,"&lt;&gt;Perdida",$N$8:$N840,"&gt;14"),"")</f>
        <v/>
      </c>
    </row>
    <row r="841" spans="2:16" ht="21.75" customHeight="1" x14ac:dyDescent="0.25">
      <c r="B841" s="40"/>
      <c r="C841" s="40"/>
      <c r="D841" s="40"/>
      <c r="E841" s="40"/>
      <c r="F841" s="39"/>
      <c r="G841" s="41"/>
      <c r="H841" s="40"/>
      <c r="I841" s="41"/>
      <c r="J841" s="42"/>
      <c r="K841" s="40"/>
      <c r="L841" s="40"/>
      <c r="M841" s="40" t="str">
        <f>IF(B841="","",IF(COUNTIFS(Cobranza!$C$9:$C$1008,B841,Cobranza!$N$9:$N$1008,"Vencida")&gt;0,"Vencida",IF(COUNTIFS(Cobranza!$C$9:$C$1008,B841,Cobranza!$N$9:$N$1008,"Parcial")&gt;0,"Parcial",IF(COUNTIFS(Cobranza!$C$9:$C$1008,B841,Cobranza!$N$9:$N$1008,"Pendiente")&gt;0,"Pendiente",IF(COUNTIFS(Cobranza!$C$9:$C$1008,B841,Cobranza!$N$9:$N$1008,"Pagada")&gt;0,"Pagada","")))))</f>
        <v/>
      </c>
      <c r="N841" s="33" t="str">
        <f t="shared" ca="1" si="13"/>
        <v/>
      </c>
      <c r="O841" s="25"/>
      <c r="P841" s="11" t="str">
        <f ca="1">IF(AND(B841&lt;&gt;"",F841&lt;&gt;"Cerrada",F841&lt;&gt;"Perdida",N841&lt;&gt;"",N841&gt;14),COUNTIFS($F$8:$F841,"&lt;&gt;Cerrada",$F$8:$F841,"&lt;&gt;Perdida",$N$8:$N841,"&gt;14"),"")</f>
        <v/>
      </c>
    </row>
    <row r="842" spans="2:16" ht="21.75" customHeight="1" x14ac:dyDescent="0.25">
      <c r="B842" s="40"/>
      <c r="C842" s="40"/>
      <c r="D842" s="40"/>
      <c r="E842" s="40"/>
      <c r="F842" s="39"/>
      <c r="G842" s="41"/>
      <c r="H842" s="40"/>
      <c r="I842" s="41"/>
      <c r="J842" s="42"/>
      <c r="K842" s="40"/>
      <c r="L842" s="40"/>
      <c r="M842" s="40" t="str">
        <f>IF(B842="","",IF(COUNTIFS(Cobranza!$C$9:$C$1008,B842,Cobranza!$N$9:$N$1008,"Vencida")&gt;0,"Vencida",IF(COUNTIFS(Cobranza!$C$9:$C$1008,B842,Cobranza!$N$9:$N$1008,"Parcial")&gt;0,"Parcial",IF(COUNTIFS(Cobranza!$C$9:$C$1008,B842,Cobranza!$N$9:$N$1008,"Pendiente")&gt;0,"Pendiente",IF(COUNTIFS(Cobranza!$C$9:$C$1008,B842,Cobranza!$N$9:$N$1008,"Pagada")&gt;0,"Pagada","")))))</f>
        <v/>
      </c>
      <c r="N842" s="33" t="str">
        <f t="shared" ca="1" si="13"/>
        <v/>
      </c>
      <c r="O842" s="25"/>
      <c r="P842" s="11" t="str">
        <f ca="1">IF(AND(B842&lt;&gt;"",F842&lt;&gt;"Cerrada",F842&lt;&gt;"Perdida",N842&lt;&gt;"",N842&gt;14),COUNTIFS($F$8:$F842,"&lt;&gt;Cerrada",$F$8:$F842,"&lt;&gt;Perdida",$N$8:$N842,"&gt;14"),"")</f>
        <v/>
      </c>
    </row>
    <row r="843" spans="2:16" ht="21.75" customHeight="1" x14ac:dyDescent="0.25">
      <c r="B843" s="40"/>
      <c r="C843" s="40"/>
      <c r="D843" s="40"/>
      <c r="E843" s="40"/>
      <c r="F843" s="39"/>
      <c r="G843" s="41"/>
      <c r="H843" s="40"/>
      <c r="I843" s="41"/>
      <c r="J843" s="42"/>
      <c r="K843" s="40"/>
      <c r="L843" s="40"/>
      <c r="M843" s="40" t="str">
        <f>IF(B843="","",IF(COUNTIFS(Cobranza!$C$9:$C$1008,B843,Cobranza!$N$9:$N$1008,"Vencida")&gt;0,"Vencida",IF(COUNTIFS(Cobranza!$C$9:$C$1008,B843,Cobranza!$N$9:$N$1008,"Parcial")&gt;0,"Parcial",IF(COUNTIFS(Cobranza!$C$9:$C$1008,B843,Cobranza!$N$9:$N$1008,"Pendiente")&gt;0,"Pendiente",IF(COUNTIFS(Cobranza!$C$9:$C$1008,B843,Cobranza!$N$9:$N$1008,"Pagada")&gt;0,"Pagada","")))))</f>
        <v/>
      </c>
      <c r="N843" s="33" t="str">
        <f t="shared" ca="1" si="13"/>
        <v/>
      </c>
      <c r="O843" s="25"/>
      <c r="P843" s="11" t="str">
        <f ca="1">IF(AND(B843&lt;&gt;"",F843&lt;&gt;"Cerrada",F843&lt;&gt;"Perdida",N843&lt;&gt;"",N843&gt;14),COUNTIFS($F$8:$F843,"&lt;&gt;Cerrada",$F$8:$F843,"&lt;&gt;Perdida",$N$8:$N843,"&gt;14"),"")</f>
        <v/>
      </c>
    </row>
    <row r="844" spans="2:16" ht="21.75" customHeight="1" x14ac:dyDescent="0.25">
      <c r="B844" s="40"/>
      <c r="C844" s="40"/>
      <c r="D844" s="40"/>
      <c r="E844" s="40"/>
      <c r="F844" s="39"/>
      <c r="G844" s="41"/>
      <c r="H844" s="40"/>
      <c r="I844" s="41"/>
      <c r="J844" s="42"/>
      <c r="K844" s="40"/>
      <c r="L844" s="40"/>
      <c r="M844" s="40" t="str">
        <f>IF(B844="","",IF(COUNTIFS(Cobranza!$C$9:$C$1008,B844,Cobranza!$N$9:$N$1008,"Vencida")&gt;0,"Vencida",IF(COUNTIFS(Cobranza!$C$9:$C$1008,B844,Cobranza!$N$9:$N$1008,"Parcial")&gt;0,"Parcial",IF(COUNTIFS(Cobranza!$C$9:$C$1008,B844,Cobranza!$N$9:$N$1008,"Pendiente")&gt;0,"Pendiente",IF(COUNTIFS(Cobranza!$C$9:$C$1008,B844,Cobranza!$N$9:$N$1008,"Pagada")&gt;0,"Pagada","")))))</f>
        <v/>
      </c>
      <c r="N844" s="33" t="str">
        <f t="shared" ca="1" si="13"/>
        <v/>
      </c>
      <c r="O844" s="25"/>
      <c r="P844" s="11" t="str">
        <f ca="1">IF(AND(B844&lt;&gt;"",F844&lt;&gt;"Cerrada",F844&lt;&gt;"Perdida",N844&lt;&gt;"",N844&gt;14),COUNTIFS($F$8:$F844,"&lt;&gt;Cerrada",$F$8:$F844,"&lt;&gt;Perdida",$N$8:$N844,"&gt;14"),"")</f>
        <v/>
      </c>
    </row>
    <row r="845" spans="2:16" ht="21.75" customHeight="1" x14ac:dyDescent="0.25">
      <c r="B845" s="40"/>
      <c r="C845" s="40"/>
      <c r="D845" s="40"/>
      <c r="E845" s="40"/>
      <c r="F845" s="39"/>
      <c r="G845" s="41"/>
      <c r="H845" s="40"/>
      <c r="I845" s="41"/>
      <c r="J845" s="42"/>
      <c r="K845" s="40"/>
      <c r="L845" s="40"/>
      <c r="M845" s="40" t="str">
        <f>IF(B845="","",IF(COUNTIFS(Cobranza!$C$9:$C$1008,B845,Cobranza!$N$9:$N$1008,"Vencida")&gt;0,"Vencida",IF(COUNTIFS(Cobranza!$C$9:$C$1008,B845,Cobranza!$N$9:$N$1008,"Parcial")&gt;0,"Parcial",IF(COUNTIFS(Cobranza!$C$9:$C$1008,B845,Cobranza!$N$9:$N$1008,"Pendiente")&gt;0,"Pendiente",IF(COUNTIFS(Cobranza!$C$9:$C$1008,B845,Cobranza!$N$9:$N$1008,"Pagada")&gt;0,"Pagada","")))))</f>
        <v/>
      </c>
      <c r="N845" s="33" t="str">
        <f t="shared" ca="1" si="13"/>
        <v/>
      </c>
      <c r="O845" s="25"/>
      <c r="P845" s="11" t="str">
        <f ca="1">IF(AND(B845&lt;&gt;"",F845&lt;&gt;"Cerrada",F845&lt;&gt;"Perdida",N845&lt;&gt;"",N845&gt;14),COUNTIFS($F$8:$F845,"&lt;&gt;Cerrada",$F$8:$F845,"&lt;&gt;Perdida",$N$8:$N845,"&gt;14"),"")</f>
        <v/>
      </c>
    </row>
    <row r="846" spans="2:16" ht="21.75" customHeight="1" x14ac:dyDescent="0.25">
      <c r="B846" s="40"/>
      <c r="C846" s="40"/>
      <c r="D846" s="40"/>
      <c r="E846" s="40"/>
      <c r="F846" s="39"/>
      <c r="G846" s="41"/>
      <c r="H846" s="40"/>
      <c r="I846" s="41"/>
      <c r="J846" s="42"/>
      <c r="K846" s="40"/>
      <c r="L846" s="40"/>
      <c r="M846" s="40" t="str">
        <f>IF(B846="","",IF(COUNTIFS(Cobranza!$C$9:$C$1008,B846,Cobranza!$N$9:$N$1008,"Vencida")&gt;0,"Vencida",IF(COUNTIFS(Cobranza!$C$9:$C$1008,B846,Cobranza!$N$9:$N$1008,"Parcial")&gt;0,"Parcial",IF(COUNTIFS(Cobranza!$C$9:$C$1008,B846,Cobranza!$N$9:$N$1008,"Pendiente")&gt;0,"Pendiente",IF(COUNTIFS(Cobranza!$C$9:$C$1008,B846,Cobranza!$N$9:$N$1008,"Pagada")&gt;0,"Pagada","")))))</f>
        <v/>
      </c>
      <c r="N846" s="33" t="str">
        <f t="shared" ca="1" si="13"/>
        <v/>
      </c>
      <c r="O846" s="25"/>
      <c r="P846" s="11" t="str">
        <f ca="1">IF(AND(B846&lt;&gt;"",F846&lt;&gt;"Cerrada",F846&lt;&gt;"Perdida",N846&lt;&gt;"",N846&gt;14),COUNTIFS($F$8:$F846,"&lt;&gt;Cerrada",$F$8:$F846,"&lt;&gt;Perdida",$N$8:$N846,"&gt;14"),"")</f>
        <v/>
      </c>
    </row>
    <row r="847" spans="2:16" ht="21.75" customHeight="1" x14ac:dyDescent="0.25">
      <c r="B847" s="40"/>
      <c r="C847" s="40"/>
      <c r="D847" s="40"/>
      <c r="E847" s="40"/>
      <c r="F847" s="39"/>
      <c r="G847" s="41"/>
      <c r="H847" s="40"/>
      <c r="I847" s="41"/>
      <c r="J847" s="42"/>
      <c r="K847" s="40"/>
      <c r="L847" s="40"/>
      <c r="M847" s="40" t="str">
        <f>IF(B847="","",IF(COUNTIFS(Cobranza!$C$9:$C$1008,B847,Cobranza!$N$9:$N$1008,"Vencida")&gt;0,"Vencida",IF(COUNTIFS(Cobranza!$C$9:$C$1008,B847,Cobranza!$N$9:$N$1008,"Parcial")&gt;0,"Parcial",IF(COUNTIFS(Cobranza!$C$9:$C$1008,B847,Cobranza!$N$9:$N$1008,"Pendiente")&gt;0,"Pendiente",IF(COUNTIFS(Cobranza!$C$9:$C$1008,B847,Cobranza!$N$9:$N$1008,"Pagada")&gt;0,"Pagada","")))))</f>
        <v/>
      </c>
      <c r="N847" s="33" t="str">
        <f t="shared" ca="1" si="13"/>
        <v/>
      </c>
      <c r="O847" s="25"/>
      <c r="P847" s="11" t="str">
        <f ca="1">IF(AND(B847&lt;&gt;"",F847&lt;&gt;"Cerrada",F847&lt;&gt;"Perdida",N847&lt;&gt;"",N847&gt;14),COUNTIFS($F$8:$F847,"&lt;&gt;Cerrada",$F$8:$F847,"&lt;&gt;Perdida",$N$8:$N847,"&gt;14"),"")</f>
        <v/>
      </c>
    </row>
    <row r="848" spans="2:16" ht="21.75" customHeight="1" x14ac:dyDescent="0.25">
      <c r="B848" s="40"/>
      <c r="C848" s="40"/>
      <c r="D848" s="40"/>
      <c r="E848" s="40"/>
      <c r="F848" s="39"/>
      <c r="G848" s="41"/>
      <c r="H848" s="40"/>
      <c r="I848" s="41"/>
      <c r="J848" s="42"/>
      <c r="K848" s="40"/>
      <c r="L848" s="40"/>
      <c r="M848" s="40" t="str">
        <f>IF(B848="","",IF(COUNTIFS(Cobranza!$C$9:$C$1008,B848,Cobranza!$N$9:$N$1008,"Vencida")&gt;0,"Vencida",IF(COUNTIFS(Cobranza!$C$9:$C$1008,B848,Cobranza!$N$9:$N$1008,"Parcial")&gt;0,"Parcial",IF(COUNTIFS(Cobranza!$C$9:$C$1008,B848,Cobranza!$N$9:$N$1008,"Pendiente")&gt;0,"Pendiente",IF(COUNTIFS(Cobranza!$C$9:$C$1008,B848,Cobranza!$N$9:$N$1008,"Pagada")&gt;0,"Pagada","")))))</f>
        <v/>
      </c>
      <c r="N848" s="33" t="str">
        <f t="shared" ca="1" si="13"/>
        <v/>
      </c>
      <c r="O848" s="25"/>
      <c r="P848" s="11" t="str">
        <f ca="1">IF(AND(B848&lt;&gt;"",F848&lt;&gt;"Cerrada",F848&lt;&gt;"Perdida",N848&lt;&gt;"",N848&gt;14),COUNTIFS($F$8:$F848,"&lt;&gt;Cerrada",$F$8:$F848,"&lt;&gt;Perdida",$N$8:$N848,"&gt;14"),"")</f>
        <v/>
      </c>
    </row>
    <row r="849" spans="2:16" ht="21.75" customHeight="1" x14ac:dyDescent="0.25">
      <c r="B849" s="40"/>
      <c r="C849" s="40"/>
      <c r="D849" s="40"/>
      <c r="E849" s="40"/>
      <c r="F849" s="39"/>
      <c r="G849" s="41"/>
      <c r="H849" s="40"/>
      <c r="I849" s="41"/>
      <c r="J849" s="42"/>
      <c r="K849" s="40"/>
      <c r="L849" s="40"/>
      <c r="M849" s="40" t="str">
        <f>IF(B849="","",IF(COUNTIFS(Cobranza!$C$9:$C$1008,B849,Cobranza!$N$9:$N$1008,"Vencida")&gt;0,"Vencida",IF(COUNTIFS(Cobranza!$C$9:$C$1008,B849,Cobranza!$N$9:$N$1008,"Parcial")&gt;0,"Parcial",IF(COUNTIFS(Cobranza!$C$9:$C$1008,B849,Cobranza!$N$9:$N$1008,"Pendiente")&gt;0,"Pendiente",IF(COUNTIFS(Cobranza!$C$9:$C$1008,B849,Cobranza!$N$9:$N$1008,"Pagada")&gt;0,"Pagada","")))))</f>
        <v/>
      </c>
      <c r="N849" s="33" t="str">
        <f t="shared" ca="1" si="13"/>
        <v/>
      </c>
      <c r="O849" s="25"/>
      <c r="P849" s="11" t="str">
        <f ca="1">IF(AND(B849&lt;&gt;"",F849&lt;&gt;"Cerrada",F849&lt;&gt;"Perdida",N849&lt;&gt;"",N849&gt;14),COUNTIFS($F$8:$F849,"&lt;&gt;Cerrada",$F$8:$F849,"&lt;&gt;Perdida",$N$8:$N849,"&gt;14"),"")</f>
        <v/>
      </c>
    </row>
    <row r="850" spans="2:16" ht="21.75" customHeight="1" x14ac:dyDescent="0.25">
      <c r="B850" s="40"/>
      <c r="C850" s="40"/>
      <c r="D850" s="40"/>
      <c r="E850" s="40"/>
      <c r="F850" s="39"/>
      <c r="G850" s="41"/>
      <c r="H850" s="40"/>
      <c r="I850" s="41"/>
      <c r="J850" s="42"/>
      <c r="K850" s="40"/>
      <c r="L850" s="40"/>
      <c r="M850" s="40" t="str">
        <f>IF(B850="","",IF(COUNTIFS(Cobranza!$C$9:$C$1008,B850,Cobranza!$N$9:$N$1008,"Vencida")&gt;0,"Vencida",IF(COUNTIFS(Cobranza!$C$9:$C$1008,B850,Cobranza!$N$9:$N$1008,"Parcial")&gt;0,"Parcial",IF(COUNTIFS(Cobranza!$C$9:$C$1008,B850,Cobranza!$N$9:$N$1008,"Pendiente")&gt;0,"Pendiente",IF(COUNTIFS(Cobranza!$C$9:$C$1008,B850,Cobranza!$N$9:$N$1008,"Pagada")&gt;0,"Pagada","")))))</f>
        <v/>
      </c>
      <c r="N850" s="33" t="str">
        <f t="shared" ca="1" si="13"/>
        <v/>
      </c>
      <c r="O850" s="25"/>
      <c r="P850" s="11" t="str">
        <f ca="1">IF(AND(B850&lt;&gt;"",F850&lt;&gt;"Cerrada",F850&lt;&gt;"Perdida",N850&lt;&gt;"",N850&gt;14),COUNTIFS($F$8:$F850,"&lt;&gt;Cerrada",$F$8:$F850,"&lt;&gt;Perdida",$N$8:$N850,"&gt;14"),"")</f>
        <v/>
      </c>
    </row>
    <row r="851" spans="2:16" ht="21.75" customHeight="1" x14ac:dyDescent="0.25">
      <c r="B851" s="40"/>
      <c r="C851" s="40"/>
      <c r="D851" s="40"/>
      <c r="E851" s="40"/>
      <c r="F851" s="39"/>
      <c r="G851" s="41"/>
      <c r="H851" s="40"/>
      <c r="I851" s="41"/>
      <c r="J851" s="42"/>
      <c r="K851" s="40"/>
      <c r="L851" s="40"/>
      <c r="M851" s="40" t="str">
        <f>IF(B851="","",IF(COUNTIFS(Cobranza!$C$9:$C$1008,B851,Cobranza!$N$9:$N$1008,"Vencida")&gt;0,"Vencida",IF(COUNTIFS(Cobranza!$C$9:$C$1008,B851,Cobranza!$N$9:$N$1008,"Parcial")&gt;0,"Parcial",IF(COUNTIFS(Cobranza!$C$9:$C$1008,B851,Cobranza!$N$9:$N$1008,"Pendiente")&gt;0,"Pendiente",IF(COUNTIFS(Cobranza!$C$9:$C$1008,B851,Cobranza!$N$9:$N$1008,"Pagada")&gt;0,"Pagada","")))))</f>
        <v/>
      </c>
      <c r="N851" s="33" t="str">
        <f t="shared" ca="1" si="13"/>
        <v/>
      </c>
      <c r="O851" s="25"/>
      <c r="P851" s="11" t="str">
        <f ca="1">IF(AND(B851&lt;&gt;"",F851&lt;&gt;"Cerrada",F851&lt;&gt;"Perdida",N851&lt;&gt;"",N851&gt;14),COUNTIFS($F$8:$F851,"&lt;&gt;Cerrada",$F$8:$F851,"&lt;&gt;Perdida",$N$8:$N851,"&gt;14"),"")</f>
        <v/>
      </c>
    </row>
    <row r="852" spans="2:16" ht="21.75" customHeight="1" x14ac:dyDescent="0.25">
      <c r="B852" s="40"/>
      <c r="C852" s="40"/>
      <c r="D852" s="40"/>
      <c r="E852" s="40"/>
      <c r="F852" s="39"/>
      <c r="G852" s="41"/>
      <c r="H852" s="40"/>
      <c r="I852" s="41"/>
      <c r="J852" s="42"/>
      <c r="K852" s="40"/>
      <c r="L852" s="40"/>
      <c r="M852" s="40" t="str">
        <f>IF(B852="","",IF(COUNTIFS(Cobranza!$C$9:$C$1008,B852,Cobranza!$N$9:$N$1008,"Vencida")&gt;0,"Vencida",IF(COUNTIFS(Cobranza!$C$9:$C$1008,B852,Cobranza!$N$9:$N$1008,"Parcial")&gt;0,"Parcial",IF(COUNTIFS(Cobranza!$C$9:$C$1008,B852,Cobranza!$N$9:$N$1008,"Pendiente")&gt;0,"Pendiente",IF(COUNTIFS(Cobranza!$C$9:$C$1008,B852,Cobranza!$N$9:$N$1008,"Pagada")&gt;0,"Pagada","")))))</f>
        <v/>
      </c>
      <c r="N852" s="33" t="str">
        <f t="shared" ca="1" si="13"/>
        <v/>
      </c>
      <c r="O852" s="25"/>
      <c r="P852" s="11" t="str">
        <f ca="1">IF(AND(B852&lt;&gt;"",F852&lt;&gt;"Cerrada",F852&lt;&gt;"Perdida",N852&lt;&gt;"",N852&gt;14),COUNTIFS($F$8:$F852,"&lt;&gt;Cerrada",$F$8:$F852,"&lt;&gt;Perdida",$N$8:$N852,"&gt;14"),"")</f>
        <v/>
      </c>
    </row>
    <row r="853" spans="2:16" ht="21.75" customHeight="1" x14ac:dyDescent="0.25">
      <c r="B853" s="40"/>
      <c r="C853" s="40"/>
      <c r="D853" s="40"/>
      <c r="E853" s="40"/>
      <c r="F853" s="39"/>
      <c r="G853" s="41"/>
      <c r="H853" s="40"/>
      <c r="I853" s="41"/>
      <c r="J853" s="42"/>
      <c r="K853" s="40"/>
      <c r="L853" s="40"/>
      <c r="M853" s="40" t="str">
        <f>IF(B853="","",IF(COUNTIFS(Cobranza!$C$9:$C$1008,B853,Cobranza!$N$9:$N$1008,"Vencida")&gt;0,"Vencida",IF(COUNTIFS(Cobranza!$C$9:$C$1008,B853,Cobranza!$N$9:$N$1008,"Parcial")&gt;0,"Parcial",IF(COUNTIFS(Cobranza!$C$9:$C$1008,B853,Cobranza!$N$9:$N$1008,"Pendiente")&gt;0,"Pendiente",IF(COUNTIFS(Cobranza!$C$9:$C$1008,B853,Cobranza!$N$9:$N$1008,"Pagada")&gt;0,"Pagada","")))))</f>
        <v/>
      </c>
      <c r="N853" s="33" t="str">
        <f t="shared" ca="1" si="13"/>
        <v/>
      </c>
      <c r="O853" s="25"/>
      <c r="P853" s="11" t="str">
        <f ca="1">IF(AND(B853&lt;&gt;"",F853&lt;&gt;"Cerrada",F853&lt;&gt;"Perdida",N853&lt;&gt;"",N853&gt;14),COUNTIFS($F$8:$F853,"&lt;&gt;Cerrada",$F$8:$F853,"&lt;&gt;Perdida",$N$8:$N853,"&gt;14"),"")</f>
        <v/>
      </c>
    </row>
    <row r="854" spans="2:16" ht="21.75" customHeight="1" x14ac:dyDescent="0.25">
      <c r="B854" s="40"/>
      <c r="C854" s="40"/>
      <c r="D854" s="40"/>
      <c r="E854" s="40"/>
      <c r="F854" s="39"/>
      <c r="G854" s="41"/>
      <c r="H854" s="40"/>
      <c r="I854" s="41"/>
      <c r="J854" s="42"/>
      <c r="K854" s="40"/>
      <c r="L854" s="40"/>
      <c r="M854" s="40" t="str">
        <f>IF(B854="","",IF(COUNTIFS(Cobranza!$C$9:$C$1008,B854,Cobranza!$N$9:$N$1008,"Vencida")&gt;0,"Vencida",IF(COUNTIFS(Cobranza!$C$9:$C$1008,B854,Cobranza!$N$9:$N$1008,"Parcial")&gt;0,"Parcial",IF(COUNTIFS(Cobranza!$C$9:$C$1008,B854,Cobranza!$N$9:$N$1008,"Pendiente")&gt;0,"Pendiente",IF(COUNTIFS(Cobranza!$C$9:$C$1008,B854,Cobranza!$N$9:$N$1008,"Pagada")&gt;0,"Pagada","")))))</f>
        <v/>
      </c>
      <c r="N854" s="33" t="str">
        <f t="shared" ca="1" si="13"/>
        <v/>
      </c>
      <c r="O854" s="25"/>
      <c r="P854" s="11" t="str">
        <f ca="1">IF(AND(B854&lt;&gt;"",F854&lt;&gt;"Cerrada",F854&lt;&gt;"Perdida",N854&lt;&gt;"",N854&gt;14),COUNTIFS($F$8:$F854,"&lt;&gt;Cerrada",$F$8:$F854,"&lt;&gt;Perdida",$N$8:$N854,"&gt;14"),"")</f>
        <v/>
      </c>
    </row>
    <row r="855" spans="2:16" ht="21.75" customHeight="1" x14ac:dyDescent="0.25">
      <c r="B855" s="40"/>
      <c r="C855" s="40"/>
      <c r="D855" s="40"/>
      <c r="E855" s="40"/>
      <c r="F855" s="39"/>
      <c r="G855" s="41"/>
      <c r="H855" s="40"/>
      <c r="I855" s="41"/>
      <c r="J855" s="42"/>
      <c r="K855" s="40"/>
      <c r="L855" s="40"/>
      <c r="M855" s="40" t="str">
        <f>IF(B855="","",IF(COUNTIFS(Cobranza!$C$9:$C$1008,B855,Cobranza!$N$9:$N$1008,"Vencida")&gt;0,"Vencida",IF(COUNTIFS(Cobranza!$C$9:$C$1008,B855,Cobranza!$N$9:$N$1008,"Parcial")&gt;0,"Parcial",IF(COUNTIFS(Cobranza!$C$9:$C$1008,B855,Cobranza!$N$9:$N$1008,"Pendiente")&gt;0,"Pendiente",IF(COUNTIFS(Cobranza!$C$9:$C$1008,B855,Cobranza!$N$9:$N$1008,"Pagada")&gt;0,"Pagada","")))))</f>
        <v/>
      </c>
      <c r="N855" s="33" t="str">
        <f t="shared" ca="1" si="13"/>
        <v/>
      </c>
      <c r="O855" s="25"/>
      <c r="P855" s="11" t="str">
        <f ca="1">IF(AND(B855&lt;&gt;"",F855&lt;&gt;"Cerrada",F855&lt;&gt;"Perdida",N855&lt;&gt;"",N855&gt;14),COUNTIFS($F$8:$F855,"&lt;&gt;Cerrada",$F$8:$F855,"&lt;&gt;Perdida",$N$8:$N855,"&gt;14"),"")</f>
        <v/>
      </c>
    </row>
    <row r="856" spans="2:16" ht="21.75" customHeight="1" x14ac:dyDescent="0.25">
      <c r="B856" s="40"/>
      <c r="C856" s="40"/>
      <c r="D856" s="40"/>
      <c r="E856" s="40"/>
      <c r="F856" s="39"/>
      <c r="G856" s="41"/>
      <c r="H856" s="40"/>
      <c r="I856" s="41"/>
      <c r="J856" s="42"/>
      <c r="K856" s="40"/>
      <c r="L856" s="40"/>
      <c r="M856" s="40" t="str">
        <f>IF(B856="","",IF(COUNTIFS(Cobranza!$C$9:$C$1008,B856,Cobranza!$N$9:$N$1008,"Vencida")&gt;0,"Vencida",IF(COUNTIFS(Cobranza!$C$9:$C$1008,B856,Cobranza!$N$9:$N$1008,"Parcial")&gt;0,"Parcial",IF(COUNTIFS(Cobranza!$C$9:$C$1008,B856,Cobranza!$N$9:$N$1008,"Pendiente")&gt;0,"Pendiente",IF(COUNTIFS(Cobranza!$C$9:$C$1008,B856,Cobranza!$N$9:$N$1008,"Pagada")&gt;0,"Pagada","")))))</f>
        <v/>
      </c>
      <c r="N856" s="33" t="str">
        <f t="shared" ca="1" si="13"/>
        <v/>
      </c>
      <c r="O856" s="25"/>
      <c r="P856" s="11" t="str">
        <f ca="1">IF(AND(B856&lt;&gt;"",F856&lt;&gt;"Cerrada",F856&lt;&gt;"Perdida",N856&lt;&gt;"",N856&gt;14),COUNTIFS($F$8:$F856,"&lt;&gt;Cerrada",$F$8:$F856,"&lt;&gt;Perdida",$N$8:$N856,"&gt;14"),"")</f>
        <v/>
      </c>
    </row>
    <row r="857" spans="2:16" ht="21.75" customHeight="1" x14ac:dyDescent="0.25">
      <c r="B857" s="40"/>
      <c r="C857" s="40"/>
      <c r="D857" s="40"/>
      <c r="E857" s="40"/>
      <c r="F857" s="39"/>
      <c r="G857" s="41"/>
      <c r="H857" s="40"/>
      <c r="I857" s="41"/>
      <c r="J857" s="42"/>
      <c r="K857" s="40"/>
      <c r="L857" s="40"/>
      <c r="M857" s="40" t="str">
        <f>IF(B857="","",IF(COUNTIFS(Cobranza!$C$9:$C$1008,B857,Cobranza!$N$9:$N$1008,"Vencida")&gt;0,"Vencida",IF(COUNTIFS(Cobranza!$C$9:$C$1008,B857,Cobranza!$N$9:$N$1008,"Parcial")&gt;0,"Parcial",IF(COUNTIFS(Cobranza!$C$9:$C$1008,B857,Cobranza!$N$9:$N$1008,"Pendiente")&gt;0,"Pendiente",IF(COUNTIFS(Cobranza!$C$9:$C$1008,B857,Cobranza!$N$9:$N$1008,"Pagada")&gt;0,"Pagada","")))))</f>
        <v/>
      </c>
      <c r="N857" s="33" t="str">
        <f t="shared" ca="1" si="13"/>
        <v/>
      </c>
      <c r="O857" s="25"/>
      <c r="P857" s="11" t="str">
        <f ca="1">IF(AND(B857&lt;&gt;"",F857&lt;&gt;"Cerrada",F857&lt;&gt;"Perdida",N857&lt;&gt;"",N857&gt;14),COUNTIFS($F$8:$F857,"&lt;&gt;Cerrada",$F$8:$F857,"&lt;&gt;Perdida",$N$8:$N857,"&gt;14"),"")</f>
        <v/>
      </c>
    </row>
    <row r="858" spans="2:16" ht="21.75" customHeight="1" x14ac:dyDescent="0.25">
      <c r="B858" s="40"/>
      <c r="C858" s="40"/>
      <c r="D858" s="40"/>
      <c r="E858" s="40"/>
      <c r="F858" s="39"/>
      <c r="G858" s="41"/>
      <c r="H858" s="40"/>
      <c r="I858" s="41"/>
      <c r="J858" s="42"/>
      <c r="K858" s="40"/>
      <c r="L858" s="40"/>
      <c r="M858" s="40" t="str">
        <f>IF(B858="","",IF(COUNTIFS(Cobranza!$C$9:$C$1008,B858,Cobranza!$N$9:$N$1008,"Vencida")&gt;0,"Vencida",IF(COUNTIFS(Cobranza!$C$9:$C$1008,B858,Cobranza!$N$9:$N$1008,"Parcial")&gt;0,"Parcial",IF(COUNTIFS(Cobranza!$C$9:$C$1008,B858,Cobranza!$N$9:$N$1008,"Pendiente")&gt;0,"Pendiente",IF(COUNTIFS(Cobranza!$C$9:$C$1008,B858,Cobranza!$N$9:$N$1008,"Pagada")&gt;0,"Pagada","")))))</f>
        <v/>
      </c>
      <c r="N858" s="33" t="str">
        <f t="shared" ca="1" si="13"/>
        <v/>
      </c>
      <c r="O858" s="25"/>
      <c r="P858" s="11" t="str">
        <f ca="1">IF(AND(B858&lt;&gt;"",F858&lt;&gt;"Cerrada",F858&lt;&gt;"Perdida",N858&lt;&gt;"",N858&gt;14),COUNTIFS($F$8:$F858,"&lt;&gt;Cerrada",$F$8:$F858,"&lt;&gt;Perdida",$N$8:$N858,"&gt;14"),"")</f>
        <v/>
      </c>
    </row>
    <row r="859" spans="2:16" ht="21.75" customHeight="1" x14ac:dyDescent="0.25">
      <c r="B859" s="40"/>
      <c r="C859" s="40"/>
      <c r="D859" s="40"/>
      <c r="E859" s="40"/>
      <c r="F859" s="39"/>
      <c r="G859" s="41"/>
      <c r="H859" s="40"/>
      <c r="I859" s="41"/>
      <c r="J859" s="42"/>
      <c r="K859" s="40"/>
      <c r="L859" s="40"/>
      <c r="M859" s="40" t="str">
        <f>IF(B859="","",IF(COUNTIFS(Cobranza!$C$9:$C$1008,B859,Cobranza!$N$9:$N$1008,"Vencida")&gt;0,"Vencida",IF(COUNTIFS(Cobranza!$C$9:$C$1008,B859,Cobranza!$N$9:$N$1008,"Parcial")&gt;0,"Parcial",IF(COUNTIFS(Cobranza!$C$9:$C$1008,B859,Cobranza!$N$9:$N$1008,"Pendiente")&gt;0,"Pendiente",IF(COUNTIFS(Cobranza!$C$9:$C$1008,B859,Cobranza!$N$9:$N$1008,"Pagada")&gt;0,"Pagada","")))))</f>
        <v/>
      </c>
      <c r="N859" s="33" t="str">
        <f t="shared" ca="1" si="13"/>
        <v/>
      </c>
      <c r="O859" s="25"/>
      <c r="P859" s="11" t="str">
        <f ca="1">IF(AND(B859&lt;&gt;"",F859&lt;&gt;"Cerrada",F859&lt;&gt;"Perdida",N859&lt;&gt;"",N859&gt;14),COUNTIFS($F$8:$F859,"&lt;&gt;Cerrada",$F$8:$F859,"&lt;&gt;Perdida",$N$8:$N859,"&gt;14"),"")</f>
        <v/>
      </c>
    </row>
    <row r="860" spans="2:16" ht="21.75" customHeight="1" x14ac:dyDescent="0.25">
      <c r="B860" s="40"/>
      <c r="C860" s="40"/>
      <c r="D860" s="40"/>
      <c r="E860" s="40"/>
      <c r="F860" s="39"/>
      <c r="G860" s="41"/>
      <c r="H860" s="40"/>
      <c r="I860" s="41"/>
      <c r="J860" s="42"/>
      <c r="K860" s="40"/>
      <c r="L860" s="40"/>
      <c r="M860" s="40" t="str">
        <f>IF(B860="","",IF(COUNTIFS(Cobranza!$C$9:$C$1008,B860,Cobranza!$N$9:$N$1008,"Vencida")&gt;0,"Vencida",IF(COUNTIFS(Cobranza!$C$9:$C$1008,B860,Cobranza!$N$9:$N$1008,"Parcial")&gt;0,"Parcial",IF(COUNTIFS(Cobranza!$C$9:$C$1008,B860,Cobranza!$N$9:$N$1008,"Pendiente")&gt;0,"Pendiente",IF(COUNTIFS(Cobranza!$C$9:$C$1008,B860,Cobranza!$N$9:$N$1008,"Pagada")&gt;0,"Pagada","")))))</f>
        <v/>
      </c>
      <c r="N860" s="33" t="str">
        <f t="shared" ca="1" si="13"/>
        <v/>
      </c>
      <c r="O860" s="25"/>
      <c r="P860" s="11" t="str">
        <f ca="1">IF(AND(B860&lt;&gt;"",F860&lt;&gt;"Cerrada",F860&lt;&gt;"Perdida",N860&lt;&gt;"",N860&gt;14),COUNTIFS($F$8:$F860,"&lt;&gt;Cerrada",$F$8:$F860,"&lt;&gt;Perdida",$N$8:$N860,"&gt;14"),"")</f>
        <v/>
      </c>
    </row>
    <row r="861" spans="2:16" ht="21.75" customHeight="1" x14ac:dyDescent="0.25">
      <c r="B861" s="40"/>
      <c r="C861" s="40"/>
      <c r="D861" s="40"/>
      <c r="E861" s="40"/>
      <c r="F861" s="39"/>
      <c r="G861" s="41"/>
      <c r="H861" s="40"/>
      <c r="I861" s="41"/>
      <c r="J861" s="42"/>
      <c r="K861" s="40"/>
      <c r="L861" s="40"/>
      <c r="M861" s="40" t="str">
        <f>IF(B861="","",IF(COUNTIFS(Cobranza!$C$9:$C$1008,B861,Cobranza!$N$9:$N$1008,"Vencida")&gt;0,"Vencida",IF(COUNTIFS(Cobranza!$C$9:$C$1008,B861,Cobranza!$N$9:$N$1008,"Parcial")&gt;0,"Parcial",IF(COUNTIFS(Cobranza!$C$9:$C$1008,B861,Cobranza!$N$9:$N$1008,"Pendiente")&gt;0,"Pendiente",IF(COUNTIFS(Cobranza!$C$9:$C$1008,B861,Cobranza!$N$9:$N$1008,"Pagada")&gt;0,"Pagada","")))))</f>
        <v/>
      </c>
      <c r="N861" s="33" t="str">
        <f t="shared" ca="1" si="13"/>
        <v/>
      </c>
      <c r="O861" s="25"/>
      <c r="P861" s="11" t="str">
        <f ca="1">IF(AND(B861&lt;&gt;"",F861&lt;&gt;"Cerrada",F861&lt;&gt;"Perdida",N861&lt;&gt;"",N861&gt;14),COUNTIFS($F$8:$F861,"&lt;&gt;Cerrada",$F$8:$F861,"&lt;&gt;Perdida",$N$8:$N861,"&gt;14"),"")</f>
        <v/>
      </c>
    </row>
    <row r="862" spans="2:16" ht="21.75" customHeight="1" x14ac:dyDescent="0.25">
      <c r="B862" s="40"/>
      <c r="C862" s="40"/>
      <c r="D862" s="40"/>
      <c r="E862" s="40"/>
      <c r="F862" s="39"/>
      <c r="G862" s="41"/>
      <c r="H862" s="40"/>
      <c r="I862" s="41"/>
      <c r="J862" s="42"/>
      <c r="K862" s="40"/>
      <c r="L862" s="40"/>
      <c r="M862" s="40" t="str">
        <f>IF(B862="","",IF(COUNTIFS(Cobranza!$C$9:$C$1008,B862,Cobranza!$N$9:$N$1008,"Vencida")&gt;0,"Vencida",IF(COUNTIFS(Cobranza!$C$9:$C$1008,B862,Cobranza!$N$9:$N$1008,"Parcial")&gt;0,"Parcial",IF(COUNTIFS(Cobranza!$C$9:$C$1008,B862,Cobranza!$N$9:$N$1008,"Pendiente")&gt;0,"Pendiente",IF(COUNTIFS(Cobranza!$C$9:$C$1008,B862,Cobranza!$N$9:$N$1008,"Pagada")&gt;0,"Pagada","")))))</f>
        <v/>
      </c>
      <c r="N862" s="33" t="str">
        <f t="shared" ca="1" si="13"/>
        <v/>
      </c>
      <c r="O862" s="25"/>
      <c r="P862" s="11" t="str">
        <f ca="1">IF(AND(B862&lt;&gt;"",F862&lt;&gt;"Cerrada",F862&lt;&gt;"Perdida",N862&lt;&gt;"",N862&gt;14),COUNTIFS($F$8:$F862,"&lt;&gt;Cerrada",$F$8:$F862,"&lt;&gt;Perdida",$N$8:$N862,"&gt;14"),"")</f>
        <v/>
      </c>
    </row>
    <row r="863" spans="2:16" ht="21.75" customHeight="1" x14ac:dyDescent="0.25">
      <c r="B863" s="40"/>
      <c r="C863" s="40"/>
      <c r="D863" s="40"/>
      <c r="E863" s="40"/>
      <c r="F863" s="39"/>
      <c r="G863" s="41"/>
      <c r="H863" s="40"/>
      <c r="I863" s="41"/>
      <c r="J863" s="42"/>
      <c r="K863" s="40"/>
      <c r="L863" s="40"/>
      <c r="M863" s="40" t="str">
        <f>IF(B863="","",IF(COUNTIFS(Cobranza!$C$9:$C$1008,B863,Cobranza!$N$9:$N$1008,"Vencida")&gt;0,"Vencida",IF(COUNTIFS(Cobranza!$C$9:$C$1008,B863,Cobranza!$N$9:$N$1008,"Parcial")&gt;0,"Parcial",IF(COUNTIFS(Cobranza!$C$9:$C$1008,B863,Cobranza!$N$9:$N$1008,"Pendiente")&gt;0,"Pendiente",IF(COUNTIFS(Cobranza!$C$9:$C$1008,B863,Cobranza!$N$9:$N$1008,"Pagada")&gt;0,"Pagada","")))))</f>
        <v/>
      </c>
      <c r="N863" s="33" t="str">
        <f t="shared" ca="1" si="13"/>
        <v/>
      </c>
      <c r="O863" s="25"/>
      <c r="P863" s="11" t="str">
        <f ca="1">IF(AND(B863&lt;&gt;"",F863&lt;&gt;"Cerrada",F863&lt;&gt;"Perdida",N863&lt;&gt;"",N863&gt;14),COUNTIFS($F$8:$F863,"&lt;&gt;Cerrada",$F$8:$F863,"&lt;&gt;Perdida",$N$8:$N863,"&gt;14"),"")</f>
        <v/>
      </c>
    </row>
    <row r="864" spans="2:16" x14ac:dyDescent="0.25">
      <c r="B864" s="40"/>
      <c r="C864" s="40"/>
      <c r="D864" s="40"/>
      <c r="E864" s="40"/>
      <c r="F864" s="39"/>
      <c r="G864" s="41"/>
      <c r="H864" s="40"/>
      <c r="I864" s="41"/>
      <c r="J864" s="42"/>
      <c r="K864" s="40"/>
      <c r="L864" s="40"/>
      <c r="M864" s="40" t="str">
        <f>IF(B864="","",IF(COUNTIFS(Cobranza!$C$9:$C$1008,B864,Cobranza!$N$9:$N$1008,"Vencida")&gt;0,"Vencida",IF(COUNTIFS(Cobranza!$C$9:$C$1008,B864,Cobranza!$N$9:$N$1008,"Parcial")&gt;0,"Parcial",IF(COUNTIFS(Cobranza!$C$9:$C$1008,B864,Cobranza!$N$9:$N$1008,"Pendiente")&gt;0,"Pendiente",IF(COUNTIFS(Cobranza!$C$9:$C$1008,B864,Cobranza!$N$9:$N$1008,"Pagada")&gt;0,"Pagada","")))))</f>
        <v/>
      </c>
      <c r="N864" s="33" t="str">
        <f t="shared" ca="1" si="13"/>
        <v/>
      </c>
      <c r="O864" s="25"/>
      <c r="P864" s="11" t="str">
        <f ca="1">IF(AND(B864&lt;&gt;"",F864&lt;&gt;"Cerrada",F864&lt;&gt;"Perdida",N864&lt;&gt;"",N864&gt;14),COUNTIFS($F$8:$F864,"&lt;&gt;Cerrada",$F$8:$F864,"&lt;&gt;Perdida",$N$8:$N864,"&gt;14"),"")</f>
        <v/>
      </c>
    </row>
    <row r="865" spans="2:16" x14ac:dyDescent="0.25">
      <c r="B865" s="40"/>
      <c r="C865" s="40"/>
      <c r="D865" s="40"/>
      <c r="E865" s="40"/>
      <c r="F865" s="39"/>
      <c r="G865" s="41"/>
      <c r="H865" s="40"/>
      <c r="I865" s="41"/>
      <c r="J865" s="42"/>
      <c r="K865" s="40"/>
      <c r="L865" s="40"/>
      <c r="M865" s="40" t="str">
        <f>IF(B865="","",IF(COUNTIFS(Cobranza!$C$9:$C$1008,B865,Cobranza!$N$9:$N$1008,"Vencida")&gt;0,"Vencida",IF(COUNTIFS(Cobranza!$C$9:$C$1008,B865,Cobranza!$N$9:$N$1008,"Parcial")&gt;0,"Parcial",IF(COUNTIFS(Cobranza!$C$9:$C$1008,B865,Cobranza!$N$9:$N$1008,"Pendiente")&gt;0,"Pendiente",IF(COUNTIFS(Cobranza!$C$9:$C$1008,B865,Cobranza!$N$9:$N$1008,"Pagada")&gt;0,"Pagada","")))))</f>
        <v/>
      </c>
      <c r="N865" s="33" t="str">
        <f t="shared" ca="1" si="13"/>
        <v/>
      </c>
      <c r="O865" s="25"/>
      <c r="P865" s="11" t="str">
        <f ca="1">IF(AND(B865&lt;&gt;"",F865&lt;&gt;"Cerrada",F865&lt;&gt;"Perdida",N865&lt;&gt;"",N865&gt;14),COUNTIFS($F$8:$F865,"&lt;&gt;Cerrada",$F$8:$F865,"&lt;&gt;Perdida",$N$8:$N865,"&gt;14"),"")</f>
        <v/>
      </c>
    </row>
    <row r="866" spans="2:16" x14ac:dyDescent="0.25">
      <c r="B866" s="40"/>
      <c r="C866" s="40"/>
      <c r="D866" s="40"/>
      <c r="E866" s="40"/>
      <c r="F866" s="39"/>
      <c r="G866" s="41"/>
      <c r="H866" s="40"/>
      <c r="I866" s="41"/>
      <c r="J866" s="42"/>
      <c r="K866" s="40"/>
      <c r="L866" s="40"/>
      <c r="M866" s="40" t="str">
        <f>IF(B866="","",IF(COUNTIFS(Cobranza!$C$9:$C$1008,B866,Cobranza!$N$9:$N$1008,"Vencida")&gt;0,"Vencida",IF(COUNTIFS(Cobranza!$C$9:$C$1008,B866,Cobranza!$N$9:$N$1008,"Parcial")&gt;0,"Parcial",IF(COUNTIFS(Cobranza!$C$9:$C$1008,B866,Cobranza!$N$9:$N$1008,"Pendiente")&gt;0,"Pendiente",IF(COUNTIFS(Cobranza!$C$9:$C$1008,B866,Cobranza!$N$9:$N$1008,"Pagada")&gt;0,"Pagada","")))))</f>
        <v/>
      </c>
      <c r="N866" s="33" t="str">
        <f t="shared" ca="1" si="13"/>
        <v/>
      </c>
      <c r="O866" s="25"/>
      <c r="P866" s="11" t="str">
        <f ca="1">IF(AND(B866&lt;&gt;"",F866&lt;&gt;"Cerrada",F866&lt;&gt;"Perdida",N866&lt;&gt;"",N866&gt;14),COUNTIFS($F$8:$F866,"&lt;&gt;Cerrada",$F$8:$F866,"&lt;&gt;Perdida",$N$8:$N866,"&gt;14"),"")</f>
        <v/>
      </c>
    </row>
    <row r="867" spans="2:16" x14ac:dyDescent="0.25">
      <c r="B867" s="40"/>
      <c r="C867" s="40"/>
      <c r="D867" s="40"/>
      <c r="E867" s="40"/>
      <c r="F867" s="39"/>
      <c r="G867" s="41"/>
      <c r="H867" s="40"/>
      <c r="I867" s="41"/>
      <c r="J867" s="42"/>
      <c r="K867" s="40"/>
      <c r="L867" s="40"/>
      <c r="M867" s="40" t="str">
        <f>IF(B867="","",IF(COUNTIFS(Cobranza!$C$9:$C$1008,B867,Cobranza!$N$9:$N$1008,"Vencida")&gt;0,"Vencida",IF(COUNTIFS(Cobranza!$C$9:$C$1008,B867,Cobranza!$N$9:$N$1008,"Parcial")&gt;0,"Parcial",IF(COUNTIFS(Cobranza!$C$9:$C$1008,B867,Cobranza!$N$9:$N$1008,"Pendiente")&gt;0,"Pendiente",IF(COUNTIFS(Cobranza!$C$9:$C$1008,B867,Cobranza!$N$9:$N$1008,"Pagada")&gt;0,"Pagada","")))))</f>
        <v/>
      </c>
      <c r="N867" s="33" t="str">
        <f t="shared" ca="1" si="13"/>
        <v/>
      </c>
      <c r="O867" s="25"/>
      <c r="P867" s="11" t="str">
        <f ca="1">IF(AND(B867&lt;&gt;"",F867&lt;&gt;"Cerrada",F867&lt;&gt;"Perdida",N867&lt;&gt;"",N867&gt;14),COUNTIFS($F$8:$F867,"&lt;&gt;Cerrada",$F$8:$F867,"&lt;&gt;Perdida",$N$8:$N867,"&gt;14"),"")</f>
        <v/>
      </c>
    </row>
    <row r="868" spans="2:16" x14ac:dyDescent="0.25">
      <c r="B868" s="40"/>
      <c r="C868" s="40"/>
      <c r="D868" s="40"/>
      <c r="E868" s="40"/>
      <c r="F868" s="39"/>
      <c r="G868" s="41"/>
      <c r="H868" s="40"/>
      <c r="I868" s="41"/>
      <c r="J868" s="42"/>
      <c r="K868" s="40"/>
      <c r="L868" s="40"/>
      <c r="M868" s="40" t="str">
        <f>IF(B868="","",IF(COUNTIFS(Cobranza!$C$9:$C$1008,B868,Cobranza!$N$9:$N$1008,"Vencida")&gt;0,"Vencida",IF(COUNTIFS(Cobranza!$C$9:$C$1008,B868,Cobranza!$N$9:$N$1008,"Parcial")&gt;0,"Parcial",IF(COUNTIFS(Cobranza!$C$9:$C$1008,B868,Cobranza!$N$9:$N$1008,"Pendiente")&gt;0,"Pendiente",IF(COUNTIFS(Cobranza!$C$9:$C$1008,B868,Cobranza!$N$9:$N$1008,"Pagada")&gt;0,"Pagada","")))))</f>
        <v/>
      </c>
      <c r="N868" s="33" t="str">
        <f t="shared" ca="1" si="13"/>
        <v/>
      </c>
      <c r="O868" s="25"/>
      <c r="P868" s="11" t="str">
        <f ca="1">IF(AND(B868&lt;&gt;"",F868&lt;&gt;"Cerrada",F868&lt;&gt;"Perdida",N868&lt;&gt;"",N868&gt;14),COUNTIFS($F$8:$F868,"&lt;&gt;Cerrada",$F$8:$F868,"&lt;&gt;Perdida",$N$8:$N868,"&gt;14"),"")</f>
        <v/>
      </c>
    </row>
    <row r="869" spans="2:16" x14ac:dyDescent="0.25">
      <c r="B869" s="40"/>
      <c r="C869" s="40"/>
      <c r="D869" s="40"/>
      <c r="E869" s="40"/>
      <c r="F869" s="39"/>
      <c r="G869" s="41"/>
      <c r="H869" s="40"/>
      <c r="I869" s="41"/>
      <c r="J869" s="42"/>
      <c r="K869" s="40"/>
      <c r="L869" s="40"/>
      <c r="M869" s="40" t="str">
        <f>IF(B869="","",IF(COUNTIFS(Cobranza!$C$9:$C$1008,B869,Cobranza!$N$9:$N$1008,"Vencida")&gt;0,"Vencida",IF(COUNTIFS(Cobranza!$C$9:$C$1008,B869,Cobranza!$N$9:$N$1008,"Parcial")&gt;0,"Parcial",IF(COUNTIFS(Cobranza!$C$9:$C$1008,B869,Cobranza!$N$9:$N$1008,"Pendiente")&gt;0,"Pendiente",IF(COUNTIFS(Cobranza!$C$9:$C$1008,B869,Cobranza!$N$9:$N$1008,"Pagada")&gt;0,"Pagada","")))))</f>
        <v/>
      </c>
      <c r="N869" s="33" t="str">
        <f t="shared" ca="1" si="13"/>
        <v/>
      </c>
      <c r="O869" s="25"/>
      <c r="P869" s="11" t="str">
        <f ca="1">IF(AND(B869&lt;&gt;"",F869&lt;&gt;"Cerrada",F869&lt;&gt;"Perdida",N869&lt;&gt;"",N869&gt;14),COUNTIFS($F$8:$F869,"&lt;&gt;Cerrada",$F$8:$F869,"&lt;&gt;Perdida",$N$8:$N869,"&gt;14"),"")</f>
        <v/>
      </c>
    </row>
    <row r="870" spans="2:16" x14ac:dyDescent="0.25">
      <c r="B870" s="40"/>
      <c r="C870" s="40"/>
      <c r="D870" s="40"/>
      <c r="E870" s="40"/>
      <c r="F870" s="39"/>
      <c r="G870" s="41"/>
      <c r="H870" s="40"/>
      <c r="I870" s="41"/>
      <c r="J870" s="42"/>
      <c r="K870" s="40"/>
      <c r="L870" s="40"/>
      <c r="M870" s="40" t="str">
        <f>IF(B870="","",IF(COUNTIFS(Cobranza!$C$9:$C$1008,B870,Cobranza!$N$9:$N$1008,"Vencida")&gt;0,"Vencida",IF(COUNTIFS(Cobranza!$C$9:$C$1008,B870,Cobranza!$N$9:$N$1008,"Parcial")&gt;0,"Parcial",IF(COUNTIFS(Cobranza!$C$9:$C$1008,B870,Cobranza!$N$9:$N$1008,"Pendiente")&gt;0,"Pendiente",IF(COUNTIFS(Cobranza!$C$9:$C$1008,B870,Cobranza!$N$9:$N$1008,"Pagada")&gt;0,"Pagada","")))))</f>
        <v/>
      </c>
      <c r="N870" s="33" t="str">
        <f t="shared" ca="1" si="13"/>
        <v/>
      </c>
      <c r="O870" s="25"/>
      <c r="P870" s="11" t="str">
        <f ca="1">IF(AND(B870&lt;&gt;"",F870&lt;&gt;"Cerrada",F870&lt;&gt;"Perdida",N870&lt;&gt;"",N870&gt;14),COUNTIFS($F$8:$F870,"&lt;&gt;Cerrada",$F$8:$F870,"&lt;&gt;Perdida",$N$8:$N870,"&gt;14"),"")</f>
        <v/>
      </c>
    </row>
    <row r="871" spans="2:16" x14ac:dyDescent="0.25">
      <c r="B871" s="40"/>
      <c r="C871" s="40"/>
      <c r="D871" s="40"/>
      <c r="E871" s="40"/>
      <c r="F871" s="39"/>
      <c r="G871" s="41"/>
      <c r="H871" s="40"/>
      <c r="I871" s="41"/>
      <c r="J871" s="42"/>
      <c r="K871" s="40"/>
      <c r="L871" s="40"/>
      <c r="M871" s="40" t="str">
        <f>IF(B871="","",IF(COUNTIFS(Cobranza!$C$9:$C$1008,B871,Cobranza!$N$9:$N$1008,"Vencida")&gt;0,"Vencida",IF(COUNTIFS(Cobranza!$C$9:$C$1008,B871,Cobranza!$N$9:$N$1008,"Parcial")&gt;0,"Parcial",IF(COUNTIFS(Cobranza!$C$9:$C$1008,B871,Cobranza!$N$9:$N$1008,"Pendiente")&gt;0,"Pendiente",IF(COUNTIFS(Cobranza!$C$9:$C$1008,B871,Cobranza!$N$9:$N$1008,"Pagada")&gt;0,"Pagada","")))))</f>
        <v/>
      </c>
      <c r="N871" s="33" t="str">
        <f t="shared" ca="1" si="13"/>
        <v/>
      </c>
      <c r="O871" s="25"/>
      <c r="P871" s="11" t="str">
        <f ca="1">IF(AND(B871&lt;&gt;"",F871&lt;&gt;"Cerrada",F871&lt;&gt;"Perdida",N871&lt;&gt;"",N871&gt;14),COUNTIFS($F$8:$F871,"&lt;&gt;Cerrada",$F$8:$F871,"&lt;&gt;Perdida",$N$8:$N871,"&gt;14"),"")</f>
        <v/>
      </c>
    </row>
    <row r="872" spans="2:16" x14ac:dyDescent="0.25">
      <c r="B872" s="40"/>
      <c r="C872" s="40"/>
      <c r="D872" s="40"/>
      <c r="E872" s="40"/>
      <c r="F872" s="39"/>
      <c r="G872" s="41"/>
      <c r="H872" s="40"/>
      <c r="I872" s="41"/>
      <c r="J872" s="42"/>
      <c r="K872" s="40"/>
      <c r="L872" s="40"/>
      <c r="M872" s="40" t="str">
        <f>IF(B872="","",IF(COUNTIFS(Cobranza!$C$9:$C$1008,B872,Cobranza!$N$9:$N$1008,"Vencida")&gt;0,"Vencida",IF(COUNTIFS(Cobranza!$C$9:$C$1008,B872,Cobranza!$N$9:$N$1008,"Parcial")&gt;0,"Parcial",IF(COUNTIFS(Cobranza!$C$9:$C$1008,B872,Cobranza!$N$9:$N$1008,"Pendiente")&gt;0,"Pendiente",IF(COUNTIFS(Cobranza!$C$9:$C$1008,B872,Cobranza!$N$9:$N$1008,"Pagada")&gt;0,"Pagada","")))))</f>
        <v/>
      </c>
      <c r="N872" s="33" t="str">
        <f t="shared" ca="1" si="13"/>
        <v/>
      </c>
      <c r="O872" s="25"/>
      <c r="P872" s="11" t="str">
        <f ca="1">IF(AND(B872&lt;&gt;"",F872&lt;&gt;"Cerrada",F872&lt;&gt;"Perdida",N872&lt;&gt;"",N872&gt;14),COUNTIFS($F$8:$F872,"&lt;&gt;Cerrada",$F$8:$F872,"&lt;&gt;Perdida",$N$8:$N872,"&gt;14"),"")</f>
        <v/>
      </c>
    </row>
    <row r="873" spans="2:16" x14ac:dyDescent="0.25">
      <c r="B873" s="40"/>
      <c r="C873" s="40"/>
      <c r="D873" s="40"/>
      <c r="E873" s="40"/>
      <c r="F873" s="39"/>
      <c r="G873" s="41"/>
      <c r="H873" s="40"/>
      <c r="I873" s="41"/>
      <c r="J873" s="42"/>
      <c r="K873" s="40"/>
      <c r="L873" s="40"/>
      <c r="M873" s="40" t="str">
        <f>IF(B873="","",IF(COUNTIFS(Cobranza!$C$9:$C$1008,B873,Cobranza!$N$9:$N$1008,"Vencida")&gt;0,"Vencida",IF(COUNTIFS(Cobranza!$C$9:$C$1008,B873,Cobranza!$N$9:$N$1008,"Parcial")&gt;0,"Parcial",IF(COUNTIFS(Cobranza!$C$9:$C$1008,B873,Cobranza!$N$9:$N$1008,"Pendiente")&gt;0,"Pendiente",IF(COUNTIFS(Cobranza!$C$9:$C$1008,B873,Cobranza!$N$9:$N$1008,"Pagada")&gt;0,"Pagada","")))))</f>
        <v/>
      </c>
      <c r="N873" s="33" t="str">
        <f t="shared" ca="1" si="13"/>
        <v/>
      </c>
      <c r="O873" s="25"/>
      <c r="P873" s="11" t="str">
        <f ca="1">IF(AND(B873&lt;&gt;"",F873&lt;&gt;"Cerrada",F873&lt;&gt;"Perdida",N873&lt;&gt;"",N873&gt;14),COUNTIFS($F$8:$F873,"&lt;&gt;Cerrada",$F$8:$F873,"&lt;&gt;Perdida",$N$8:$N873,"&gt;14"),"")</f>
        <v/>
      </c>
    </row>
    <row r="874" spans="2:16" x14ac:dyDescent="0.25">
      <c r="B874" s="40"/>
      <c r="C874" s="40"/>
      <c r="D874" s="40"/>
      <c r="E874" s="40"/>
      <c r="F874" s="39"/>
      <c r="G874" s="41"/>
      <c r="H874" s="40"/>
      <c r="I874" s="41"/>
      <c r="J874" s="42"/>
      <c r="K874" s="40"/>
      <c r="L874" s="40"/>
      <c r="M874" s="40" t="str">
        <f>IF(B874="","",IF(COUNTIFS(Cobranza!$C$9:$C$1008,B874,Cobranza!$N$9:$N$1008,"Vencida")&gt;0,"Vencida",IF(COUNTIFS(Cobranza!$C$9:$C$1008,B874,Cobranza!$N$9:$N$1008,"Parcial")&gt;0,"Parcial",IF(COUNTIFS(Cobranza!$C$9:$C$1008,B874,Cobranza!$N$9:$N$1008,"Pendiente")&gt;0,"Pendiente",IF(COUNTIFS(Cobranza!$C$9:$C$1008,B874,Cobranza!$N$9:$N$1008,"Pagada")&gt;0,"Pagada","")))))</f>
        <v/>
      </c>
      <c r="N874" s="33" t="str">
        <f t="shared" ca="1" si="13"/>
        <v/>
      </c>
      <c r="O874" s="25"/>
      <c r="P874" s="11" t="str">
        <f ca="1">IF(AND(B874&lt;&gt;"",F874&lt;&gt;"Cerrada",F874&lt;&gt;"Perdida",N874&lt;&gt;"",N874&gt;14),COUNTIFS($F$8:$F874,"&lt;&gt;Cerrada",$F$8:$F874,"&lt;&gt;Perdida",$N$8:$N874,"&gt;14"),"")</f>
        <v/>
      </c>
    </row>
    <row r="875" spans="2:16" x14ac:dyDescent="0.25">
      <c r="B875" s="40"/>
      <c r="C875" s="40"/>
      <c r="D875" s="40"/>
      <c r="E875" s="40"/>
      <c r="F875" s="39"/>
      <c r="G875" s="41"/>
      <c r="H875" s="40"/>
      <c r="I875" s="41"/>
      <c r="J875" s="42"/>
      <c r="K875" s="40"/>
      <c r="L875" s="40"/>
      <c r="M875" s="40" t="str">
        <f>IF(B875="","",IF(COUNTIFS(Cobranza!$C$9:$C$1008,B875,Cobranza!$N$9:$N$1008,"Vencida")&gt;0,"Vencida",IF(COUNTIFS(Cobranza!$C$9:$C$1008,B875,Cobranza!$N$9:$N$1008,"Parcial")&gt;0,"Parcial",IF(COUNTIFS(Cobranza!$C$9:$C$1008,B875,Cobranza!$N$9:$N$1008,"Pendiente")&gt;0,"Pendiente",IF(COUNTIFS(Cobranza!$C$9:$C$1008,B875,Cobranza!$N$9:$N$1008,"Pagada")&gt;0,"Pagada","")))))</f>
        <v/>
      </c>
      <c r="N875" s="33" t="str">
        <f t="shared" ca="1" si="13"/>
        <v/>
      </c>
      <c r="O875" s="25"/>
      <c r="P875" s="11" t="str">
        <f ca="1">IF(AND(B875&lt;&gt;"",F875&lt;&gt;"Cerrada",F875&lt;&gt;"Perdida",N875&lt;&gt;"",N875&gt;14),COUNTIFS($F$8:$F875,"&lt;&gt;Cerrada",$F$8:$F875,"&lt;&gt;Perdida",$N$8:$N875,"&gt;14"),"")</f>
        <v/>
      </c>
    </row>
    <row r="876" spans="2:16" x14ac:dyDescent="0.25">
      <c r="B876" s="40"/>
      <c r="C876" s="40"/>
      <c r="D876" s="40"/>
      <c r="E876" s="40"/>
      <c r="F876" s="39"/>
      <c r="G876" s="41"/>
      <c r="H876" s="40"/>
      <c r="I876" s="41"/>
      <c r="J876" s="42"/>
      <c r="K876" s="40"/>
      <c r="L876" s="40"/>
      <c r="M876" s="40" t="str">
        <f>IF(B876="","",IF(COUNTIFS(Cobranza!$C$9:$C$1008,B876,Cobranza!$N$9:$N$1008,"Vencida")&gt;0,"Vencida",IF(COUNTIFS(Cobranza!$C$9:$C$1008,B876,Cobranza!$N$9:$N$1008,"Parcial")&gt;0,"Parcial",IF(COUNTIFS(Cobranza!$C$9:$C$1008,B876,Cobranza!$N$9:$N$1008,"Pendiente")&gt;0,"Pendiente",IF(COUNTIFS(Cobranza!$C$9:$C$1008,B876,Cobranza!$N$9:$N$1008,"Pagada")&gt;0,"Pagada","")))))</f>
        <v/>
      </c>
      <c r="N876" s="33" t="str">
        <f t="shared" ca="1" si="13"/>
        <v/>
      </c>
      <c r="O876" s="25"/>
      <c r="P876" s="11" t="str">
        <f ca="1">IF(AND(B876&lt;&gt;"",F876&lt;&gt;"Cerrada",F876&lt;&gt;"Perdida",N876&lt;&gt;"",N876&gt;14),COUNTIFS($F$8:$F876,"&lt;&gt;Cerrada",$F$8:$F876,"&lt;&gt;Perdida",$N$8:$N876,"&gt;14"),"")</f>
        <v/>
      </c>
    </row>
    <row r="877" spans="2:16" x14ac:dyDescent="0.25">
      <c r="B877" s="40"/>
      <c r="C877" s="40"/>
      <c r="D877" s="40"/>
      <c r="E877" s="40"/>
      <c r="F877" s="39"/>
      <c r="G877" s="41"/>
      <c r="H877" s="40"/>
      <c r="I877" s="41"/>
      <c r="J877" s="42"/>
      <c r="K877" s="40"/>
      <c r="L877" s="40"/>
      <c r="M877" s="40" t="str">
        <f>IF(B877="","",IF(COUNTIFS(Cobranza!$C$9:$C$1008,B877,Cobranza!$N$9:$N$1008,"Vencida")&gt;0,"Vencida",IF(COUNTIFS(Cobranza!$C$9:$C$1008,B877,Cobranza!$N$9:$N$1008,"Parcial")&gt;0,"Parcial",IF(COUNTIFS(Cobranza!$C$9:$C$1008,B877,Cobranza!$N$9:$N$1008,"Pendiente")&gt;0,"Pendiente",IF(COUNTIFS(Cobranza!$C$9:$C$1008,B877,Cobranza!$N$9:$N$1008,"Pagada")&gt;0,"Pagada","")))))</f>
        <v/>
      </c>
      <c r="N877" s="33" t="str">
        <f t="shared" ca="1" si="13"/>
        <v/>
      </c>
      <c r="O877" s="25"/>
      <c r="P877" s="11" t="str">
        <f ca="1">IF(AND(B877&lt;&gt;"",F877&lt;&gt;"Cerrada",F877&lt;&gt;"Perdida",N877&lt;&gt;"",N877&gt;14),COUNTIFS($F$8:$F877,"&lt;&gt;Cerrada",$F$8:$F877,"&lt;&gt;Perdida",$N$8:$N877,"&gt;14"),"")</f>
        <v/>
      </c>
    </row>
    <row r="878" spans="2:16" x14ac:dyDescent="0.25">
      <c r="B878" s="40"/>
      <c r="C878" s="40"/>
      <c r="D878" s="40"/>
      <c r="E878" s="40"/>
      <c r="F878" s="39"/>
      <c r="G878" s="41"/>
      <c r="H878" s="40"/>
      <c r="I878" s="41"/>
      <c r="J878" s="42"/>
      <c r="K878" s="40"/>
      <c r="L878" s="40"/>
      <c r="M878" s="40" t="str">
        <f>IF(B878="","",IF(COUNTIFS(Cobranza!$C$9:$C$1008,B878,Cobranza!$N$9:$N$1008,"Vencida")&gt;0,"Vencida",IF(COUNTIFS(Cobranza!$C$9:$C$1008,B878,Cobranza!$N$9:$N$1008,"Parcial")&gt;0,"Parcial",IF(COUNTIFS(Cobranza!$C$9:$C$1008,B878,Cobranza!$N$9:$N$1008,"Pendiente")&gt;0,"Pendiente",IF(COUNTIFS(Cobranza!$C$9:$C$1008,B878,Cobranza!$N$9:$N$1008,"Pagada")&gt;0,"Pagada","")))))</f>
        <v/>
      </c>
      <c r="N878" s="33" t="str">
        <f t="shared" ca="1" si="13"/>
        <v/>
      </c>
      <c r="O878" s="25"/>
      <c r="P878" s="11" t="str">
        <f ca="1">IF(AND(B878&lt;&gt;"",F878&lt;&gt;"Cerrada",F878&lt;&gt;"Perdida",N878&lt;&gt;"",N878&gt;14),COUNTIFS($F$8:$F878,"&lt;&gt;Cerrada",$F$8:$F878,"&lt;&gt;Perdida",$N$8:$N878,"&gt;14"),"")</f>
        <v/>
      </c>
    </row>
    <row r="879" spans="2:16" x14ac:dyDescent="0.25">
      <c r="B879" s="40"/>
      <c r="C879" s="40"/>
      <c r="D879" s="40"/>
      <c r="E879" s="40"/>
      <c r="F879" s="39"/>
      <c r="G879" s="41"/>
      <c r="H879" s="40"/>
      <c r="I879" s="41"/>
      <c r="J879" s="42"/>
      <c r="K879" s="40"/>
      <c r="L879" s="40"/>
      <c r="M879" s="40" t="str">
        <f>IF(B879="","",IF(COUNTIFS(Cobranza!$C$9:$C$1008,B879,Cobranza!$N$9:$N$1008,"Vencida")&gt;0,"Vencida",IF(COUNTIFS(Cobranza!$C$9:$C$1008,B879,Cobranza!$N$9:$N$1008,"Parcial")&gt;0,"Parcial",IF(COUNTIFS(Cobranza!$C$9:$C$1008,B879,Cobranza!$N$9:$N$1008,"Pendiente")&gt;0,"Pendiente",IF(COUNTIFS(Cobranza!$C$9:$C$1008,B879,Cobranza!$N$9:$N$1008,"Pagada")&gt;0,"Pagada","")))))</f>
        <v/>
      </c>
      <c r="N879" s="33" t="str">
        <f t="shared" ca="1" si="13"/>
        <v/>
      </c>
      <c r="O879" s="25"/>
      <c r="P879" s="11" t="str">
        <f ca="1">IF(AND(B879&lt;&gt;"",F879&lt;&gt;"Cerrada",F879&lt;&gt;"Perdida",N879&lt;&gt;"",N879&gt;14),COUNTIFS($F$8:$F879,"&lt;&gt;Cerrada",$F$8:$F879,"&lt;&gt;Perdida",$N$8:$N879,"&gt;14"),"")</f>
        <v/>
      </c>
    </row>
    <row r="880" spans="2:16" x14ac:dyDescent="0.25">
      <c r="B880" s="40"/>
      <c r="C880" s="40"/>
      <c r="D880" s="40"/>
      <c r="E880" s="40"/>
      <c r="F880" s="39"/>
      <c r="G880" s="41"/>
      <c r="H880" s="40"/>
      <c r="I880" s="41"/>
      <c r="J880" s="42"/>
      <c r="K880" s="40"/>
      <c r="L880" s="40"/>
      <c r="M880" s="40" t="str">
        <f>IF(B880="","",IF(COUNTIFS(Cobranza!$C$9:$C$1008,B880,Cobranza!$N$9:$N$1008,"Vencida")&gt;0,"Vencida",IF(COUNTIFS(Cobranza!$C$9:$C$1008,B880,Cobranza!$N$9:$N$1008,"Parcial")&gt;0,"Parcial",IF(COUNTIFS(Cobranza!$C$9:$C$1008,B880,Cobranza!$N$9:$N$1008,"Pendiente")&gt;0,"Pendiente",IF(COUNTIFS(Cobranza!$C$9:$C$1008,B880,Cobranza!$N$9:$N$1008,"Pagada")&gt;0,"Pagada","")))))</f>
        <v/>
      </c>
      <c r="N880" s="33" t="str">
        <f t="shared" ca="1" si="13"/>
        <v/>
      </c>
      <c r="O880" s="25"/>
      <c r="P880" s="11" t="str">
        <f ca="1">IF(AND(B880&lt;&gt;"",F880&lt;&gt;"Cerrada",F880&lt;&gt;"Perdida",N880&lt;&gt;"",N880&gt;14),COUNTIFS($F$8:$F880,"&lt;&gt;Cerrada",$F$8:$F880,"&lt;&gt;Perdida",$N$8:$N880,"&gt;14"),"")</f>
        <v/>
      </c>
    </row>
    <row r="881" spans="2:16" x14ac:dyDescent="0.25">
      <c r="B881" s="40"/>
      <c r="C881" s="40"/>
      <c r="D881" s="40"/>
      <c r="E881" s="40"/>
      <c r="F881" s="39"/>
      <c r="G881" s="41"/>
      <c r="H881" s="40"/>
      <c r="I881" s="41"/>
      <c r="J881" s="42"/>
      <c r="K881" s="40"/>
      <c r="L881" s="40"/>
      <c r="M881" s="40" t="str">
        <f>IF(B881="","",IF(COUNTIFS(Cobranza!$C$9:$C$1008,B881,Cobranza!$N$9:$N$1008,"Vencida")&gt;0,"Vencida",IF(COUNTIFS(Cobranza!$C$9:$C$1008,B881,Cobranza!$N$9:$N$1008,"Parcial")&gt;0,"Parcial",IF(COUNTIFS(Cobranza!$C$9:$C$1008,B881,Cobranza!$N$9:$N$1008,"Pendiente")&gt;0,"Pendiente",IF(COUNTIFS(Cobranza!$C$9:$C$1008,B881,Cobranza!$N$9:$N$1008,"Pagada")&gt;0,"Pagada","")))))</f>
        <v/>
      </c>
      <c r="N881" s="33" t="str">
        <f t="shared" ca="1" si="13"/>
        <v/>
      </c>
      <c r="O881" s="25"/>
      <c r="P881" s="11" t="str">
        <f ca="1">IF(AND(B881&lt;&gt;"",F881&lt;&gt;"Cerrada",F881&lt;&gt;"Perdida",N881&lt;&gt;"",N881&gt;14),COUNTIFS($F$8:$F881,"&lt;&gt;Cerrada",$F$8:$F881,"&lt;&gt;Perdida",$N$8:$N881,"&gt;14"),"")</f>
        <v/>
      </c>
    </row>
    <row r="882" spans="2:16" x14ac:dyDescent="0.25">
      <c r="B882" s="40"/>
      <c r="C882" s="40"/>
      <c r="D882" s="40"/>
      <c r="E882" s="40"/>
      <c r="F882" s="39"/>
      <c r="G882" s="41"/>
      <c r="H882" s="40"/>
      <c r="I882" s="41"/>
      <c r="J882" s="42"/>
      <c r="K882" s="40"/>
      <c r="L882" s="40"/>
      <c r="M882" s="40" t="str">
        <f>IF(B882="","",IF(COUNTIFS(Cobranza!$C$9:$C$1008,B882,Cobranza!$N$9:$N$1008,"Vencida")&gt;0,"Vencida",IF(COUNTIFS(Cobranza!$C$9:$C$1008,B882,Cobranza!$N$9:$N$1008,"Parcial")&gt;0,"Parcial",IF(COUNTIFS(Cobranza!$C$9:$C$1008,B882,Cobranza!$N$9:$N$1008,"Pendiente")&gt;0,"Pendiente",IF(COUNTIFS(Cobranza!$C$9:$C$1008,B882,Cobranza!$N$9:$N$1008,"Pagada")&gt;0,"Pagada","")))))</f>
        <v/>
      </c>
      <c r="N882" s="33" t="str">
        <f t="shared" ca="1" si="13"/>
        <v/>
      </c>
      <c r="O882" s="25"/>
      <c r="P882" s="11" t="str">
        <f ca="1">IF(AND(B882&lt;&gt;"",F882&lt;&gt;"Cerrada",F882&lt;&gt;"Perdida",N882&lt;&gt;"",N882&gt;14),COUNTIFS($F$8:$F882,"&lt;&gt;Cerrada",$F$8:$F882,"&lt;&gt;Perdida",$N$8:$N882,"&gt;14"),"")</f>
        <v/>
      </c>
    </row>
    <row r="883" spans="2:16" x14ac:dyDescent="0.25">
      <c r="B883" s="40"/>
      <c r="C883" s="40"/>
      <c r="D883" s="40"/>
      <c r="E883" s="40"/>
      <c r="F883" s="39"/>
      <c r="G883" s="41"/>
      <c r="H883" s="40"/>
      <c r="I883" s="41"/>
      <c r="J883" s="42"/>
      <c r="K883" s="40"/>
      <c r="L883" s="40"/>
      <c r="M883" s="40" t="str">
        <f>IF(B883="","",IF(COUNTIFS(Cobranza!$C$9:$C$1008,B883,Cobranza!$N$9:$N$1008,"Vencida")&gt;0,"Vencida",IF(COUNTIFS(Cobranza!$C$9:$C$1008,B883,Cobranza!$N$9:$N$1008,"Parcial")&gt;0,"Parcial",IF(COUNTIFS(Cobranza!$C$9:$C$1008,B883,Cobranza!$N$9:$N$1008,"Pendiente")&gt;0,"Pendiente",IF(COUNTIFS(Cobranza!$C$9:$C$1008,B883,Cobranza!$N$9:$N$1008,"Pagada")&gt;0,"Pagada","")))))</f>
        <v/>
      </c>
      <c r="N883" s="33" t="str">
        <f t="shared" ca="1" si="13"/>
        <v/>
      </c>
      <c r="O883" s="25"/>
      <c r="P883" s="11" t="str">
        <f ca="1">IF(AND(B883&lt;&gt;"",F883&lt;&gt;"Cerrada",F883&lt;&gt;"Perdida",N883&lt;&gt;"",N883&gt;14),COUNTIFS($F$8:$F883,"&lt;&gt;Cerrada",$F$8:$F883,"&lt;&gt;Perdida",$N$8:$N883,"&gt;14"),"")</f>
        <v/>
      </c>
    </row>
    <row r="884" spans="2:16" x14ac:dyDescent="0.25">
      <c r="B884" s="40"/>
      <c r="C884" s="40"/>
      <c r="D884" s="40"/>
      <c r="E884" s="40"/>
      <c r="F884" s="39"/>
      <c r="G884" s="41"/>
      <c r="H884" s="40"/>
      <c r="I884" s="41"/>
      <c r="J884" s="42"/>
      <c r="K884" s="40"/>
      <c r="L884" s="40"/>
      <c r="M884" s="40" t="str">
        <f>IF(B884="","",IF(COUNTIFS(Cobranza!$C$9:$C$1008,B884,Cobranza!$N$9:$N$1008,"Vencida")&gt;0,"Vencida",IF(COUNTIFS(Cobranza!$C$9:$C$1008,B884,Cobranza!$N$9:$N$1008,"Parcial")&gt;0,"Parcial",IF(COUNTIFS(Cobranza!$C$9:$C$1008,B884,Cobranza!$N$9:$N$1008,"Pendiente")&gt;0,"Pendiente",IF(COUNTIFS(Cobranza!$C$9:$C$1008,B884,Cobranza!$N$9:$N$1008,"Pagada")&gt;0,"Pagada","")))))</f>
        <v/>
      </c>
      <c r="N884" s="33" t="str">
        <f t="shared" ca="1" si="13"/>
        <v/>
      </c>
      <c r="O884" s="25"/>
      <c r="P884" s="11" t="str">
        <f ca="1">IF(AND(B884&lt;&gt;"",F884&lt;&gt;"Cerrada",F884&lt;&gt;"Perdida",N884&lt;&gt;"",N884&gt;14),COUNTIFS($F$8:$F884,"&lt;&gt;Cerrada",$F$8:$F884,"&lt;&gt;Perdida",$N$8:$N884,"&gt;14"),"")</f>
        <v/>
      </c>
    </row>
    <row r="885" spans="2:16" x14ac:dyDescent="0.25">
      <c r="B885" s="40"/>
      <c r="C885" s="40"/>
      <c r="D885" s="40"/>
      <c r="E885" s="40"/>
      <c r="F885" s="39"/>
      <c r="G885" s="41"/>
      <c r="H885" s="40"/>
      <c r="I885" s="41"/>
      <c r="J885" s="42"/>
      <c r="K885" s="40"/>
      <c r="L885" s="40"/>
      <c r="M885" s="40" t="str">
        <f>IF(B885="","",IF(COUNTIFS(Cobranza!$C$9:$C$1008,B885,Cobranza!$N$9:$N$1008,"Vencida")&gt;0,"Vencida",IF(COUNTIFS(Cobranza!$C$9:$C$1008,B885,Cobranza!$N$9:$N$1008,"Parcial")&gt;0,"Parcial",IF(COUNTIFS(Cobranza!$C$9:$C$1008,B885,Cobranza!$N$9:$N$1008,"Pendiente")&gt;0,"Pendiente",IF(COUNTIFS(Cobranza!$C$9:$C$1008,B885,Cobranza!$N$9:$N$1008,"Pagada")&gt;0,"Pagada","")))))</f>
        <v/>
      </c>
      <c r="N885" s="33" t="str">
        <f t="shared" ca="1" si="13"/>
        <v/>
      </c>
      <c r="O885" s="25"/>
      <c r="P885" s="11" t="str">
        <f ca="1">IF(AND(B885&lt;&gt;"",F885&lt;&gt;"Cerrada",F885&lt;&gt;"Perdida",N885&lt;&gt;"",N885&gt;14),COUNTIFS($F$8:$F885,"&lt;&gt;Cerrada",$F$8:$F885,"&lt;&gt;Perdida",$N$8:$N885,"&gt;14"),"")</f>
        <v/>
      </c>
    </row>
    <row r="886" spans="2:16" x14ac:dyDescent="0.25">
      <c r="B886" s="40"/>
      <c r="C886" s="40"/>
      <c r="D886" s="40"/>
      <c r="E886" s="40"/>
      <c r="F886" s="39"/>
      <c r="G886" s="41"/>
      <c r="H886" s="40"/>
      <c r="I886" s="41"/>
      <c r="J886" s="42"/>
      <c r="K886" s="40"/>
      <c r="L886" s="40"/>
      <c r="M886" s="40" t="str">
        <f>IF(B886="","",IF(COUNTIFS(Cobranza!$C$9:$C$1008,B886,Cobranza!$N$9:$N$1008,"Vencida")&gt;0,"Vencida",IF(COUNTIFS(Cobranza!$C$9:$C$1008,B886,Cobranza!$N$9:$N$1008,"Parcial")&gt;0,"Parcial",IF(COUNTIFS(Cobranza!$C$9:$C$1008,B886,Cobranza!$N$9:$N$1008,"Pendiente")&gt;0,"Pendiente",IF(COUNTIFS(Cobranza!$C$9:$C$1008,B886,Cobranza!$N$9:$N$1008,"Pagada")&gt;0,"Pagada","")))))</f>
        <v/>
      </c>
      <c r="N886" s="33" t="str">
        <f t="shared" ca="1" si="13"/>
        <v/>
      </c>
      <c r="O886" s="25"/>
      <c r="P886" s="11" t="str">
        <f ca="1">IF(AND(B886&lt;&gt;"",F886&lt;&gt;"Cerrada",F886&lt;&gt;"Perdida",N886&lt;&gt;"",N886&gt;14),COUNTIFS($F$8:$F886,"&lt;&gt;Cerrada",$F$8:$F886,"&lt;&gt;Perdida",$N$8:$N886,"&gt;14"),"")</f>
        <v/>
      </c>
    </row>
    <row r="887" spans="2:16" x14ac:dyDescent="0.25">
      <c r="B887" s="40"/>
      <c r="C887" s="40"/>
      <c r="D887" s="40"/>
      <c r="E887" s="40"/>
      <c r="F887" s="39"/>
      <c r="G887" s="41"/>
      <c r="H887" s="40"/>
      <c r="I887" s="41"/>
      <c r="J887" s="42"/>
      <c r="K887" s="40"/>
      <c r="L887" s="40"/>
      <c r="M887" s="40" t="str">
        <f>IF(B887="","",IF(COUNTIFS(Cobranza!$C$9:$C$1008,B887,Cobranza!$N$9:$N$1008,"Vencida")&gt;0,"Vencida",IF(COUNTIFS(Cobranza!$C$9:$C$1008,B887,Cobranza!$N$9:$N$1008,"Parcial")&gt;0,"Parcial",IF(COUNTIFS(Cobranza!$C$9:$C$1008,B887,Cobranza!$N$9:$N$1008,"Pendiente")&gt;0,"Pendiente",IF(COUNTIFS(Cobranza!$C$9:$C$1008,B887,Cobranza!$N$9:$N$1008,"Pagada")&gt;0,"Pagada","")))))</f>
        <v/>
      </c>
      <c r="N887" s="33" t="str">
        <f t="shared" ca="1" si="13"/>
        <v/>
      </c>
      <c r="O887" s="25"/>
      <c r="P887" s="11" t="str">
        <f ca="1">IF(AND(B887&lt;&gt;"",F887&lt;&gt;"Cerrada",F887&lt;&gt;"Perdida",N887&lt;&gt;"",N887&gt;14),COUNTIFS($F$8:$F887,"&lt;&gt;Cerrada",$F$8:$F887,"&lt;&gt;Perdida",$N$8:$N887,"&gt;14"),"")</f>
        <v/>
      </c>
    </row>
    <row r="888" spans="2:16" x14ac:dyDescent="0.25">
      <c r="B888" s="40"/>
      <c r="C888" s="40"/>
      <c r="D888" s="40"/>
      <c r="E888" s="40"/>
      <c r="F888" s="39"/>
      <c r="G888" s="41"/>
      <c r="H888" s="40"/>
      <c r="I888" s="41"/>
      <c r="J888" s="42"/>
      <c r="K888" s="40"/>
      <c r="L888" s="40"/>
      <c r="M888" s="40" t="str">
        <f>IF(B888="","",IF(COUNTIFS(Cobranza!$C$9:$C$1008,B888,Cobranza!$N$9:$N$1008,"Vencida")&gt;0,"Vencida",IF(COUNTIFS(Cobranza!$C$9:$C$1008,B888,Cobranza!$N$9:$N$1008,"Parcial")&gt;0,"Parcial",IF(COUNTIFS(Cobranza!$C$9:$C$1008,B888,Cobranza!$N$9:$N$1008,"Pendiente")&gt;0,"Pendiente",IF(COUNTIFS(Cobranza!$C$9:$C$1008,B888,Cobranza!$N$9:$N$1008,"Pagada")&gt;0,"Pagada","")))))</f>
        <v/>
      </c>
      <c r="N888" s="33" t="str">
        <f t="shared" ca="1" si="13"/>
        <v/>
      </c>
      <c r="O888" s="25"/>
      <c r="P888" s="11" t="str">
        <f ca="1">IF(AND(B888&lt;&gt;"",F888&lt;&gt;"Cerrada",F888&lt;&gt;"Perdida",N888&lt;&gt;"",N888&gt;14),COUNTIFS($F$8:$F888,"&lt;&gt;Cerrada",$F$8:$F888,"&lt;&gt;Perdida",$N$8:$N888,"&gt;14"),"")</f>
        <v/>
      </c>
    </row>
    <row r="889" spans="2:16" x14ac:dyDescent="0.25">
      <c r="B889" s="40"/>
      <c r="C889" s="40"/>
      <c r="D889" s="40"/>
      <c r="E889" s="40"/>
      <c r="F889" s="39"/>
      <c r="G889" s="41"/>
      <c r="H889" s="40"/>
      <c r="I889" s="41"/>
      <c r="J889" s="42"/>
      <c r="K889" s="40"/>
      <c r="L889" s="40"/>
      <c r="M889" s="40" t="str">
        <f>IF(B889="","",IF(COUNTIFS(Cobranza!$C$9:$C$1008,B889,Cobranza!$N$9:$N$1008,"Vencida")&gt;0,"Vencida",IF(COUNTIFS(Cobranza!$C$9:$C$1008,B889,Cobranza!$N$9:$N$1008,"Parcial")&gt;0,"Parcial",IF(COUNTIFS(Cobranza!$C$9:$C$1008,B889,Cobranza!$N$9:$N$1008,"Pendiente")&gt;0,"Pendiente",IF(COUNTIFS(Cobranza!$C$9:$C$1008,B889,Cobranza!$N$9:$N$1008,"Pagada")&gt;0,"Pagada","")))))</f>
        <v/>
      </c>
      <c r="N889" s="33" t="str">
        <f t="shared" ca="1" si="13"/>
        <v/>
      </c>
      <c r="O889" s="25"/>
      <c r="P889" s="11" t="str">
        <f ca="1">IF(AND(B889&lt;&gt;"",F889&lt;&gt;"Cerrada",F889&lt;&gt;"Perdida",N889&lt;&gt;"",N889&gt;14),COUNTIFS($F$8:$F889,"&lt;&gt;Cerrada",$F$8:$F889,"&lt;&gt;Perdida",$N$8:$N889,"&gt;14"),"")</f>
        <v/>
      </c>
    </row>
    <row r="890" spans="2:16" x14ac:dyDescent="0.25">
      <c r="B890" s="40"/>
      <c r="C890" s="40"/>
      <c r="D890" s="40"/>
      <c r="E890" s="40"/>
      <c r="F890" s="39"/>
      <c r="G890" s="41"/>
      <c r="H890" s="40"/>
      <c r="I890" s="41"/>
      <c r="J890" s="42"/>
      <c r="K890" s="40"/>
      <c r="L890" s="40"/>
      <c r="M890" s="40" t="str">
        <f>IF(B890="","",IF(COUNTIFS(Cobranza!$C$9:$C$1008,B890,Cobranza!$N$9:$N$1008,"Vencida")&gt;0,"Vencida",IF(COUNTIFS(Cobranza!$C$9:$C$1008,B890,Cobranza!$N$9:$N$1008,"Parcial")&gt;0,"Parcial",IF(COUNTIFS(Cobranza!$C$9:$C$1008,B890,Cobranza!$N$9:$N$1008,"Pendiente")&gt;0,"Pendiente",IF(COUNTIFS(Cobranza!$C$9:$C$1008,B890,Cobranza!$N$9:$N$1008,"Pagada")&gt;0,"Pagada","")))))</f>
        <v/>
      </c>
      <c r="N890" s="33" t="str">
        <f t="shared" ca="1" si="13"/>
        <v/>
      </c>
      <c r="O890" s="25"/>
      <c r="P890" s="11" t="str">
        <f ca="1">IF(AND(B890&lt;&gt;"",F890&lt;&gt;"Cerrada",F890&lt;&gt;"Perdida",N890&lt;&gt;"",N890&gt;14),COUNTIFS($F$8:$F890,"&lt;&gt;Cerrada",$F$8:$F890,"&lt;&gt;Perdida",$N$8:$N890,"&gt;14"),"")</f>
        <v/>
      </c>
    </row>
    <row r="891" spans="2:16" x14ac:dyDescent="0.25">
      <c r="B891" s="40"/>
      <c r="C891" s="40"/>
      <c r="D891" s="40"/>
      <c r="E891" s="40"/>
      <c r="F891" s="39"/>
      <c r="G891" s="41"/>
      <c r="H891" s="40"/>
      <c r="I891" s="41"/>
      <c r="J891" s="42"/>
      <c r="K891" s="40"/>
      <c r="L891" s="40"/>
      <c r="M891" s="40" t="str">
        <f>IF(B891="","",IF(COUNTIFS(Cobranza!$C$9:$C$1008,B891,Cobranza!$N$9:$N$1008,"Vencida")&gt;0,"Vencida",IF(COUNTIFS(Cobranza!$C$9:$C$1008,B891,Cobranza!$N$9:$N$1008,"Parcial")&gt;0,"Parcial",IF(COUNTIFS(Cobranza!$C$9:$C$1008,B891,Cobranza!$N$9:$N$1008,"Pendiente")&gt;0,"Pendiente",IF(COUNTIFS(Cobranza!$C$9:$C$1008,B891,Cobranza!$N$9:$N$1008,"Pagada")&gt;0,"Pagada","")))))</f>
        <v/>
      </c>
      <c r="N891" s="33" t="str">
        <f t="shared" ca="1" si="13"/>
        <v/>
      </c>
      <c r="O891" s="25"/>
      <c r="P891" s="11" t="str">
        <f ca="1">IF(AND(B891&lt;&gt;"",F891&lt;&gt;"Cerrada",F891&lt;&gt;"Perdida",N891&lt;&gt;"",N891&gt;14),COUNTIFS($F$8:$F891,"&lt;&gt;Cerrada",$F$8:$F891,"&lt;&gt;Perdida",$N$8:$N891,"&gt;14"),"")</f>
        <v/>
      </c>
    </row>
    <row r="892" spans="2:16" x14ac:dyDescent="0.25">
      <c r="B892" s="40"/>
      <c r="C892" s="40"/>
      <c r="D892" s="40"/>
      <c r="E892" s="40"/>
      <c r="F892" s="39"/>
      <c r="G892" s="41"/>
      <c r="H892" s="40"/>
      <c r="I892" s="41"/>
      <c r="J892" s="42"/>
      <c r="K892" s="40"/>
      <c r="L892" s="40"/>
      <c r="M892" s="40" t="str">
        <f>IF(B892="","",IF(COUNTIFS(Cobranza!$C$9:$C$1008,B892,Cobranza!$N$9:$N$1008,"Vencida")&gt;0,"Vencida",IF(COUNTIFS(Cobranza!$C$9:$C$1008,B892,Cobranza!$N$9:$N$1008,"Parcial")&gt;0,"Parcial",IF(COUNTIFS(Cobranza!$C$9:$C$1008,B892,Cobranza!$N$9:$N$1008,"Pendiente")&gt;0,"Pendiente",IF(COUNTIFS(Cobranza!$C$9:$C$1008,B892,Cobranza!$N$9:$N$1008,"Pagada")&gt;0,"Pagada","")))))</f>
        <v/>
      </c>
      <c r="N892" s="33" t="str">
        <f t="shared" ca="1" si="13"/>
        <v/>
      </c>
      <c r="O892" s="25"/>
      <c r="P892" s="11" t="str">
        <f ca="1">IF(AND(B892&lt;&gt;"",F892&lt;&gt;"Cerrada",F892&lt;&gt;"Perdida",N892&lt;&gt;"",N892&gt;14),COUNTIFS($F$8:$F892,"&lt;&gt;Cerrada",$F$8:$F892,"&lt;&gt;Perdida",$N$8:$N892,"&gt;14"),"")</f>
        <v/>
      </c>
    </row>
    <row r="893" spans="2:16" x14ac:dyDescent="0.25">
      <c r="B893" s="40"/>
      <c r="C893" s="40"/>
      <c r="D893" s="40"/>
      <c r="E893" s="40"/>
      <c r="F893" s="39"/>
      <c r="G893" s="41"/>
      <c r="H893" s="40"/>
      <c r="I893" s="41"/>
      <c r="J893" s="42"/>
      <c r="K893" s="40"/>
      <c r="L893" s="40"/>
      <c r="M893" s="40" t="str">
        <f>IF(B893="","",IF(COUNTIFS(Cobranza!$C$9:$C$1008,B893,Cobranza!$N$9:$N$1008,"Vencida")&gt;0,"Vencida",IF(COUNTIFS(Cobranza!$C$9:$C$1008,B893,Cobranza!$N$9:$N$1008,"Parcial")&gt;0,"Parcial",IF(COUNTIFS(Cobranza!$C$9:$C$1008,B893,Cobranza!$N$9:$N$1008,"Pendiente")&gt;0,"Pendiente",IF(COUNTIFS(Cobranza!$C$9:$C$1008,B893,Cobranza!$N$9:$N$1008,"Pagada")&gt;0,"Pagada","")))))</f>
        <v/>
      </c>
      <c r="N893" s="33" t="str">
        <f t="shared" ca="1" si="13"/>
        <v/>
      </c>
      <c r="O893" s="25"/>
      <c r="P893" s="11" t="str">
        <f ca="1">IF(AND(B893&lt;&gt;"",F893&lt;&gt;"Cerrada",F893&lt;&gt;"Perdida",N893&lt;&gt;"",N893&gt;14),COUNTIFS($F$8:$F893,"&lt;&gt;Cerrada",$F$8:$F893,"&lt;&gt;Perdida",$N$8:$N893,"&gt;14"),"")</f>
        <v/>
      </c>
    </row>
    <row r="894" spans="2:16" x14ac:dyDescent="0.25">
      <c r="B894" s="40"/>
      <c r="C894" s="40"/>
      <c r="D894" s="40"/>
      <c r="E894" s="40"/>
      <c r="F894" s="39"/>
      <c r="G894" s="41"/>
      <c r="H894" s="40"/>
      <c r="I894" s="41"/>
      <c r="J894" s="42"/>
      <c r="K894" s="40"/>
      <c r="L894" s="40"/>
      <c r="M894" s="40" t="str">
        <f>IF(B894="","",IF(COUNTIFS(Cobranza!$C$9:$C$1008,B894,Cobranza!$N$9:$N$1008,"Vencida")&gt;0,"Vencida",IF(COUNTIFS(Cobranza!$C$9:$C$1008,B894,Cobranza!$N$9:$N$1008,"Parcial")&gt;0,"Parcial",IF(COUNTIFS(Cobranza!$C$9:$C$1008,B894,Cobranza!$N$9:$N$1008,"Pendiente")&gt;0,"Pendiente",IF(COUNTIFS(Cobranza!$C$9:$C$1008,B894,Cobranza!$N$9:$N$1008,"Pagada")&gt;0,"Pagada","")))))</f>
        <v/>
      </c>
      <c r="N894" s="33" t="str">
        <f t="shared" ca="1" si="13"/>
        <v/>
      </c>
      <c r="O894" s="25"/>
      <c r="P894" s="11" t="str">
        <f ca="1">IF(AND(B894&lt;&gt;"",F894&lt;&gt;"Cerrada",F894&lt;&gt;"Perdida",N894&lt;&gt;"",N894&gt;14),COUNTIFS($F$8:$F894,"&lt;&gt;Cerrada",$F$8:$F894,"&lt;&gt;Perdida",$N$8:$N894,"&gt;14"),"")</f>
        <v/>
      </c>
    </row>
    <row r="895" spans="2:16" x14ac:dyDescent="0.25">
      <c r="B895" s="40"/>
      <c r="C895" s="40"/>
      <c r="D895" s="40"/>
      <c r="E895" s="40"/>
      <c r="F895" s="39"/>
      <c r="G895" s="41"/>
      <c r="H895" s="40"/>
      <c r="I895" s="41"/>
      <c r="J895" s="42"/>
      <c r="K895" s="40"/>
      <c r="L895" s="40"/>
      <c r="M895" s="40" t="str">
        <f>IF(B895="","",IF(COUNTIFS(Cobranza!$C$9:$C$1008,B895,Cobranza!$N$9:$N$1008,"Vencida")&gt;0,"Vencida",IF(COUNTIFS(Cobranza!$C$9:$C$1008,B895,Cobranza!$N$9:$N$1008,"Parcial")&gt;0,"Parcial",IF(COUNTIFS(Cobranza!$C$9:$C$1008,B895,Cobranza!$N$9:$N$1008,"Pendiente")&gt;0,"Pendiente",IF(COUNTIFS(Cobranza!$C$9:$C$1008,B895,Cobranza!$N$9:$N$1008,"Pagada")&gt;0,"Pagada","")))))</f>
        <v/>
      </c>
      <c r="N895" s="33" t="str">
        <f t="shared" ca="1" si="13"/>
        <v/>
      </c>
      <c r="O895" s="25"/>
      <c r="P895" s="11" t="str">
        <f ca="1">IF(AND(B895&lt;&gt;"",F895&lt;&gt;"Cerrada",F895&lt;&gt;"Perdida",N895&lt;&gt;"",N895&gt;14),COUNTIFS($F$8:$F895,"&lt;&gt;Cerrada",$F$8:$F895,"&lt;&gt;Perdida",$N$8:$N895,"&gt;14"),"")</f>
        <v/>
      </c>
    </row>
    <row r="896" spans="2:16" x14ac:dyDescent="0.25">
      <c r="B896" s="40"/>
      <c r="C896" s="40"/>
      <c r="D896" s="40"/>
      <c r="E896" s="40"/>
      <c r="F896" s="39"/>
      <c r="G896" s="41"/>
      <c r="H896" s="40"/>
      <c r="I896" s="41"/>
      <c r="J896" s="42"/>
      <c r="K896" s="40"/>
      <c r="L896" s="40"/>
      <c r="M896" s="40" t="str">
        <f>IF(B896="","",IF(COUNTIFS(Cobranza!$C$9:$C$1008,B896,Cobranza!$N$9:$N$1008,"Vencida")&gt;0,"Vencida",IF(COUNTIFS(Cobranza!$C$9:$C$1008,B896,Cobranza!$N$9:$N$1008,"Parcial")&gt;0,"Parcial",IF(COUNTIFS(Cobranza!$C$9:$C$1008,B896,Cobranza!$N$9:$N$1008,"Pendiente")&gt;0,"Pendiente",IF(COUNTIFS(Cobranza!$C$9:$C$1008,B896,Cobranza!$N$9:$N$1008,"Pagada")&gt;0,"Pagada","")))))</f>
        <v/>
      </c>
      <c r="N896" s="33" t="str">
        <f t="shared" ca="1" si="13"/>
        <v/>
      </c>
      <c r="O896" s="25"/>
      <c r="P896" s="11" t="str">
        <f ca="1">IF(AND(B896&lt;&gt;"",F896&lt;&gt;"Cerrada",F896&lt;&gt;"Perdida",N896&lt;&gt;"",N896&gt;14),COUNTIFS($F$8:$F896,"&lt;&gt;Cerrada",$F$8:$F896,"&lt;&gt;Perdida",$N$8:$N896,"&gt;14"),"")</f>
        <v/>
      </c>
    </row>
    <row r="897" spans="2:16" x14ac:dyDescent="0.25">
      <c r="B897" s="40"/>
      <c r="C897" s="40"/>
      <c r="D897" s="40"/>
      <c r="E897" s="40"/>
      <c r="F897" s="39"/>
      <c r="G897" s="41"/>
      <c r="H897" s="40"/>
      <c r="I897" s="41"/>
      <c r="J897" s="42"/>
      <c r="K897" s="40"/>
      <c r="L897" s="40"/>
      <c r="M897" s="40" t="str">
        <f>IF(B897="","",IF(COUNTIFS(Cobranza!$C$9:$C$1008,B897,Cobranza!$N$9:$N$1008,"Vencida")&gt;0,"Vencida",IF(COUNTIFS(Cobranza!$C$9:$C$1008,B897,Cobranza!$N$9:$N$1008,"Parcial")&gt;0,"Parcial",IF(COUNTIFS(Cobranza!$C$9:$C$1008,B897,Cobranza!$N$9:$N$1008,"Pendiente")&gt;0,"Pendiente",IF(COUNTIFS(Cobranza!$C$9:$C$1008,B897,Cobranza!$N$9:$N$1008,"Pagada")&gt;0,"Pagada","")))))</f>
        <v/>
      </c>
      <c r="N897" s="33" t="str">
        <f t="shared" ca="1" si="13"/>
        <v/>
      </c>
      <c r="O897" s="25"/>
      <c r="P897" s="11" t="str">
        <f ca="1">IF(AND(B897&lt;&gt;"",F897&lt;&gt;"Cerrada",F897&lt;&gt;"Perdida",N897&lt;&gt;"",N897&gt;14),COUNTIFS($F$8:$F897,"&lt;&gt;Cerrada",$F$8:$F897,"&lt;&gt;Perdida",$N$8:$N897,"&gt;14"),"")</f>
        <v/>
      </c>
    </row>
    <row r="898" spans="2:16" x14ac:dyDescent="0.25">
      <c r="B898" s="40"/>
      <c r="C898" s="40"/>
      <c r="D898" s="40"/>
      <c r="E898" s="40"/>
      <c r="F898" s="39"/>
      <c r="G898" s="41"/>
      <c r="H898" s="40"/>
      <c r="I898" s="41"/>
      <c r="J898" s="42"/>
      <c r="K898" s="40"/>
      <c r="L898" s="40"/>
      <c r="M898" s="40" t="str">
        <f>IF(B898="","",IF(COUNTIFS(Cobranza!$C$9:$C$1008,B898,Cobranza!$N$9:$N$1008,"Vencida")&gt;0,"Vencida",IF(COUNTIFS(Cobranza!$C$9:$C$1008,B898,Cobranza!$N$9:$N$1008,"Parcial")&gt;0,"Parcial",IF(COUNTIFS(Cobranza!$C$9:$C$1008,B898,Cobranza!$N$9:$N$1008,"Pendiente")&gt;0,"Pendiente",IF(COUNTIFS(Cobranza!$C$9:$C$1008,B898,Cobranza!$N$9:$N$1008,"Pagada")&gt;0,"Pagada","")))))</f>
        <v/>
      </c>
      <c r="N898" s="33" t="str">
        <f t="shared" ca="1" si="13"/>
        <v/>
      </c>
      <c r="O898" s="25"/>
      <c r="P898" s="11" t="str">
        <f ca="1">IF(AND(B898&lt;&gt;"",F898&lt;&gt;"Cerrada",F898&lt;&gt;"Perdida",N898&lt;&gt;"",N898&gt;14),COUNTIFS($F$8:$F898,"&lt;&gt;Cerrada",$F$8:$F898,"&lt;&gt;Perdida",$N$8:$N898,"&gt;14"),"")</f>
        <v/>
      </c>
    </row>
    <row r="899" spans="2:16" x14ac:dyDescent="0.25">
      <c r="B899" s="40"/>
      <c r="C899" s="40"/>
      <c r="D899" s="40"/>
      <c r="E899" s="40"/>
      <c r="F899" s="39"/>
      <c r="G899" s="41"/>
      <c r="H899" s="40"/>
      <c r="I899" s="41"/>
      <c r="J899" s="42"/>
      <c r="K899" s="40"/>
      <c r="L899" s="40"/>
      <c r="M899" s="40" t="str">
        <f>IF(B899="","",IF(COUNTIFS(Cobranza!$C$9:$C$1008,B899,Cobranza!$N$9:$N$1008,"Vencida")&gt;0,"Vencida",IF(COUNTIFS(Cobranza!$C$9:$C$1008,B899,Cobranza!$N$9:$N$1008,"Parcial")&gt;0,"Parcial",IF(COUNTIFS(Cobranza!$C$9:$C$1008,B899,Cobranza!$N$9:$N$1008,"Pendiente")&gt;0,"Pendiente",IF(COUNTIFS(Cobranza!$C$9:$C$1008,B899,Cobranza!$N$9:$N$1008,"Pagada")&gt;0,"Pagada","")))))</f>
        <v/>
      </c>
      <c r="N899" s="33" t="str">
        <f t="shared" ca="1" si="13"/>
        <v/>
      </c>
      <c r="O899" s="25"/>
      <c r="P899" s="11" t="str">
        <f ca="1">IF(AND(B899&lt;&gt;"",F899&lt;&gt;"Cerrada",F899&lt;&gt;"Perdida",N899&lt;&gt;"",N899&gt;14),COUNTIFS($F$8:$F899,"&lt;&gt;Cerrada",$F$8:$F899,"&lt;&gt;Perdida",$N$8:$N899,"&gt;14"),"")</f>
        <v/>
      </c>
    </row>
    <row r="900" spans="2:16" x14ac:dyDescent="0.25">
      <c r="B900" s="40"/>
      <c r="C900" s="40"/>
      <c r="D900" s="40"/>
      <c r="E900" s="40"/>
      <c r="F900" s="39"/>
      <c r="G900" s="41"/>
      <c r="H900" s="40"/>
      <c r="I900" s="41"/>
      <c r="J900" s="42"/>
      <c r="K900" s="40"/>
      <c r="L900" s="40"/>
      <c r="M900" s="40" t="str">
        <f>IF(B900="","",IF(COUNTIFS(Cobranza!$C$9:$C$1008,B900,Cobranza!$N$9:$N$1008,"Vencida")&gt;0,"Vencida",IF(COUNTIFS(Cobranza!$C$9:$C$1008,B900,Cobranza!$N$9:$N$1008,"Parcial")&gt;0,"Parcial",IF(COUNTIFS(Cobranza!$C$9:$C$1008,B900,Cobranza!$N$9:$N$1008,"Pendiente")&gt;0,"Pendiente",IF(COUNTIFS(Cobranza!$C$9:$C$1008,B900,Cobranza!$N$9:$N$1008,"Pagada")&gt;0,"Pagada","")))))</f>
        <v/>
      </c>
      <c r="N900" s="33" t="str">
        <f t="shared" ca="1" si="13"/>
        <v/>
      </c>
      <c r="O900" s="25"/>
      <c r="P900" s="11" t="str">
        <f ca="1">IF(AND(B900&lt;&gt;"",F900&lt;&gt;"Cerrada",F900&lt;&gt;"Perdida",N900&lt;&gt;"",N900&gt;14),COUNTIFS($F$8:$F900,"&lt;&gt;Cerrada",$F$8:$F900,"&lt;&gt;Perdida",$N$8:$N900,"&gt;14"),"")</f>
        <v/>
      </c>
    </row>
    <row r="901" spans="2:16" x14ac:dyDescent="0.25">
      <c r="B901" s="40"/>
      <c r="C901" s="40"/>
      <c r="D901" s="40"/>
      <c r="E901" s="40"/>
      <c r="F901" s="39"/>
      <c r="G901" s="41"/>
      <c r="H901" s="40"/>
      <c r="I901" s="41"/>
      <c r="J901" s="42"/>
      <c r="K901" s="40"/>
      <c r="L901" s="40"/>
      <c r="M901" s="40" t="str">
        <f>IF(B901="","",IF(COUNTIFS(Cobranza!$C$9:$C$1008,B901,Cobranza!$N$9:$N$1008,"Vencida")&gt;0,"Vencida",IF(COUNTIFS(Cobranza!$C$9:$C$1008,B901,Cobranza!$N$9:$N$1008,"Parcial")&gt;0,"Parcial",IF(COUNTIFS(Cobranza!$C$9:$C$1008,B901,Cobranza!$N$9:$N$1008,"Pendiente")&gt;0,"Pendiente",IF(COUNTIFS(Cobranza!$C$9:$C$1008,B901,Cobranza!$N$9:$N$1008,"Pagada")&gt;0,"Pagada","")))))</f>
        <v/>
      </c>
      <c r="N901" s="33" t="str">
        <f t="shared" ca="1" si="13"/>
        <v/>
      </c>
      <c r="O901" s="25"/>
      <c r="P901" s="11" t="str">
        <f ca="1">IF(AND(B901&lt;&gt;"",F901&lt;&gt;"Cerrada",F901&lt;&gt;"Perdida",N901&lt;&gt;"",N901&gt;14),COUNTIFS($F$8:$F901,"&lt;&gt;Cerrada",$F$8:$F901,"&lt;&gt;Perdida",$N$8:$N901,"&gt;14"),"")</f>
        <v/>
      </c>
    </row>
    <row r="902" spans="2:16" x14ac:dyDescent="0.25">
      <c r="B902" s="40"/>
      <c r="C902" s="40"/>
      <c r="D902" s="40"/>
      <c r="E902" s="40"/>
      <c r="F902" s="39"/>
      <c r="G902" s="41"/>
      <c r="H902" s="40"/>
      <c r="I902" s="41"/>
      <c r="J902" s="42"/>
      <c r="K902" s="40"/>
      <c r="L902" s="40"/>
      <c r="M902" s="40" t="str">
        <f>IF(B902="","",IF(COUNTIFS(Cobranza!$C$9:$C$1008,B902,Cobranza!$N$9:$N$1008,"Vencida")&gt;0,"Vencida",IF(COUNTIFS(Cobranza!$C$9:$C$1008,B902,Cobranza!$N$9:$N$1008,"Parcial")&gt;0,"Parcial",IF(COUNTIFS(Cobranza!$C$9:$C$1008,B902,Cobranza!$N$9:$N$1008,"Pendiente")&gt;0,"Pendiente",IF(COUNTIFS(Cobranza!$C$9:$C$1008,B902,Cobranza!$N$9:$N$1008,"Pagada")&gt;0,"Pagada","")))))</f>
        <v/>
      </c>
      <c r="N902" s="33" t="str">
        <f t="shared" ca="1" si="13"/>
        <v/>
      </c>
      <c r="O902" s="25"/>
      <c r="P902" s="11" t="str">
        <f ca="1">IF(AND(B902&lt;&gt;"",F902&lt;&gt;"Cerrada",F902&lt;&gt;"Perdida",N902&lt;&gt;"",N902&gt;14),COUNTIFS($F$8:$F902,"&lt;&gt;Cerrada",$F$8:$F902,"&lt;&gt;Perdida",$N$8:$N902,"&gt;14"),"")</f>
        <v/>
      </c>
    </row>
    <row r="903" spans="2:16" x14ac:dyDescent="0.25">
      <c r="B903" s="40"/>
      <c r="C903" s="40"/>
      <c r="D903" s="40"/>
      <c r="E903" s="40"/>
      <c r="F903" s="39"/>
      <c r="G903" s="41"/>
      <c r="H903" s="40"/>
      <c r="I903" s="41"/>
      <c r="J903" s="42"/>
      <c r="K903" s="40"/>
      <c r="L903" s="40"/>
      <c r="M903" s="40" t="str">
        <f>IF(B903="","",IF(COUNTIFS(Cobranza!$C$9:$C$1008,B903,Cobranza!$N$9:$N$1008,"Vencida")&gt;0,"Vencida",IF(COUNTIFS(Cobranza!$C$9:$C$1008,B903,Cobranza!$N$9:$N$1008,"Parcial")&gt;0,"Parcial",IF(COUNTIFS(Cobranza!$C$9:$C$1008,B903,Cobranza!$N$9:$N$1008,"Pendiente")&gt;0,"Pendiente",IF(COUNTIFS(Cobranza!$C$9:$C$1008,B903,Cobranza!$N$9:$N$1008,"Pagada")&gt;0,"Pagada","")))))</f>
        <v/>
      </c>
      <c r="N903" s="33" t="str">
        <f t="shared" ca="1" si="13"/>
        <v/>
      </c>
      <c r="O903" s="25"/>
      <c r="P903" s="11" t="str">
        <f ca="1">IF(AND(B903&lt;&gt;"",F903&lt;&gt;"Cerrada",F903&lt;&gt;"Perdida",N903&lt;&gt;"",N903&gt;14),COUNTIFS($F$8:$F903,"&lt;&gt;Cerrada",$F$8:$F903,"&lt;&gt;Perdida",$N$8:$N903,"&gt;14"),"")</f>
        <v/>
      </c>
    </row>
    <row r="904" spans="2:16" x14ac:dyDescent="0.25">
      <c r="B904" s="40"/>
      <c r="C904" s="40"/>
      <c r="D904" s="40"/>
      <c r="E904" s="40"/>
      <c r="F904" s="39"/>
      <c r="G904" s="41"/>
      <c r="H904" s="40"/>
      <c r="I904" s="41"/>
      <c r="J904" s="42"/>
      <c r="K904" s="40"/>
      <c r="L904" s="40"/>
      <c r="M904" s="40" t="str">
        <f>IF(B904="","",IF(COUNTIFS(Cobranza!$C$9:$C$1008,B904,Cobranza!$N$9:$N$1008,"Vencida")&gt;0,"Vencida",IF(COUNTIFS(Cobranza!$C$9:$C$1008,B904,Cobranza!$N$9:$N$1008,"Parcial")&gt;0,"Parcial",IF(COUNTIFS(Cobranza!$C$9:$C$1008,B904,Cobranza!$N$9:$N$1008,"Pendiente")&gt;0,"Pendiente",IF(COUNTIFS(Cobranza!$C$9:$C$1008,B904,Cobranza!$N$9:$N$1008,"Pagada")&gt;0,"Pagada","")))))</f>
        <v/>
      </c>
      <c r="N904" s="33" t="str">
        <f t="shared" ref="N904:N967" ca="1" si="14">IF(I904="","",MAX(0,TODAY()-I904))</f>
        <v/>
      </c>
      <c r="O904" s="25"/>
      <c r="P904" s="11" t="str">
        <f ca="1">IF(AND(B904&lt;&gt;"",F904&lt;&gt;"Cerrada",F904&lt;&gt;"Perdida",N904&lt;&gt;"",N904&gt;14),COUNTIFS($F$8:$F904,"&lt;&gt;Cerrada",$F$8:$F904,"&lt;&gt;Perdida",$N$8:$N904,"&gt;14"),"")</f>
        <v/>
      </c>
    </row>
    <row r="905" spans="2:16" x14ac:dyDescent="0.25">
      <c r="B905" s="40"/>
      <c r="C905" s="40"/>
      <c r="D905" s="40"/>
      <c r="E905" s="40"/>
      <c r="F905" s="39"/>
      <c r="G905" s="41"/>
      <c r="H905" s="40"/>
      <c r="I905" s="41"/>
      <c r="J905" s="42"/>
      <c r="K905" s="40"/>
      <c r="L905" s="40"/>
      <c r="M905" s="40" t="str">
        <f>IF(B905="","",IF(COUNTIFS(Cobranza!$C$9:$C$1008,B905,Cobranza!$N$9:$N$1008,"Vencida")&gt;0,"Vencida",IF(COUNTIFS(Cobranza!$C$9:$C$1008,B905,Cobranza!$N$9:$N$1008,"Parcial")&gt;0,"Parcial",IF(COUNTIFS(Cobranza!$C$9:$C$1008,B905,Cobranza!$N$9:$N$1008,"Pendiente")&gt;0,"Pendiente",IF(COUNTIFS(Cobranza!$C$9:$C$1008,B905,Cobranza!$N$9:$N$1008,"Pagada")&gt;0,"Pagada","")))))</f>
        <v/>
      </c>
      <c r="N905" s="33" t="str">
        <f t="shared" ca="1" si="14"/>
        <v/>
      </c>
      <c r="O905" s="25"/>
      <c r="P905" s="11" t="str">
        <f ca="1">IF(AND(B905&lt;&gt;"",F905&lt;&gt;"Cerrada",F905&lt;&gt;"Perdida",N905&lt;&gt;"",N905&gt;14),COUNTIFS($F$8:$F905,"&lt;&gt;Cerrada",$F$8:$F905,"&lt;&gt;Perdida",$N$8:$N905,"&gt;14"),"")</f>
        <v/>
      </c>
    </row>
    <row r="906" spans="2:16" x14ac:dyDescent="0.25">
      <c r="B906" s="40"/>
      <c r="C906" s="40"/>
      <c r="D906" s="40"/>
      <c r="E906" s="40"/>
      <c r="F906" s="39"/>
      <c r="G906" s="41"/>
      <c r="H906" s="40"/>
      <c r="I906" s="41"/>
      <c r="J906" s="42"/>
      <c r="K906" s="40"/>
      <c r="L906" s="40"/>
      <c r="M906" s="40" t="str">
        <f>IF(B906="","",IF(COUNTIFS(Cobranza!$C$9:$C$1008,B906,Cobranza!$N$9:$N$1008,"Vencida")&gt;0,"Vencida",IF(COUNTIFS(Cobranza!$C$9:$C$1008,B906,Cobranza!$N$9:$N$1008,"Parcial")&gt;0,"Parcial",IF(COUNTIFS(Cobranza!$C$9:$C$1008,B906,Cobranza!$N$9:$N$1008,"Pendiente")&gt;0,"Pendiente",IF(COUNTIFS(Cobranza!$C$9:$C$1008,B906,Cobranza!$N$9:$N$1008,"Pagada")&gt;0,"Pagada","")))))</f>
        <v/>
      </c>
      <c r="N906" s="33" t="str">
        <f t="shared" ca="1" si="14"/>
        <v/>
      </c>
      <c r="O906" s="25"/>
      <c r="P906" s="11" t="str">
        <f ca="1">IF(AND(B906&lt;&gt;"",F906&lt;&gt;"Cerrada",F906&lt;&gt;"Perdida",N906&lt;&gt;"",N906&gt;14),COUNTIFS($F$8:$F906,"&lt;&gt;Cerrada",$F$8:$F906,"&lt;&gt;Perdida",$N$8:$N906,"&gt;14"),"")</f>
        <v/>
      </c>
    </row>
    <row r="907" spans="2:16" x14ac:dyDescent="0.25">
      <c r="B907" s="40"/>
      <c r="C907" s="40"/>
      <c r="D907" s="40"/>
      <c r="E907" s="40"/>
      <c r="F907" s="39"/>
      <c r="G907" s="41"/>
      <c r="H907" s="40"/>
      <c r="I907" s="41"/>
      <c r="J907" s="42"/>
      <c r="K907" s="40"/>
      <c r="L907" s="40"/>
      <c r="M907" s="40" t="str">
        <f>IF(B907="","",IF(COUNTIFS(Cobranza!$C$9:$C$1008,B907,Cobranza!$N$9:$N$1008,"Vencida")&gt;0,"Vencida",IF(COUNTIFS(Cobranza!$C$9:$C$1008,B907,Cobranza!$N$9:$N$1008,"Parcial")&gt;0,"Parcial",IF(COUNTIFS(Cobranza!$C$9:$C$1008,B907,Cobranza!$N$9:$N$1008,"Pendiente")&gt;0,"Pendiente",IF(COUNTIFS(Cobranza!$C$9:$C$1008,B907,Cobranza!$N$9:$N$1008,"Pagada")&gt;0,"Pagada","")))))</f>
        <v/>
      </c>
      <c r="N907" s="33" t="str">
        <f t="shared" ca="1" si="14"/>
        <v/>
      </c>
      <c r="O907" s="25"/>
      <c r="P907" s="11" t="str">
        <f ca="1">IF(AND(B907&lt;&gt;"",F907&lt;&gt;"Cerrada",F907&lt;&gt;"Perdida",N907&lt;&gt;"",N907&gt;14),COUNTIFS($F$8:$F907,"&lt;&gt;Cerrada",$F$8:$F907,"&lt;&gt;Perdida",$N$8:$N907,"&gt;14"),"")</f>
        <v/>
      </c>
    </row>
    <row r="908" spans="2:16" x14ac:dyDescent="0.25">
      <c r="B908" s="40"/>
      <c r="C908" s="40"/>
      <c r="D908" s="40"/>
      <c r="E908" s="40"/>
      <c r="F908" s="39"/>
      <c r="G908" s="41"/>
      <c r="H908" s="40"/>
      <c r="I908" s="41"/>
      <c r="J908" s="42"/>
      <c r="K908" s="40"/>
      <c r="L908" s="40"/>
      <c r="M908" s="40" t="str">
        <f>IF(B908="","",IF(COUNTIFS(Cobranza!$C$9:$C$1008,B908,Cobranza!$N$9:$N$1008,"Vencida")&gt;0,"Vencida",IF(COUNTIFS(Cobranza!$C$9:$C$1008,B908,Cobranza!$N$9:$N$1008,"Parcial")&gt;0,"Parcial",IF(COUNTIFS(Cobranza!$C$9:$C$1008,B908,Cobranza!$N$9:$N$1008,"Pendiente")&gt;0,"Pendiente",IF(COUNTIFS(Cobranza!$C$9:$C$1008,B908,Cobranza!$N$9:$N$1008,"Pagada")&gt;0,"Pagada","")))))</f>
        <v/>
      </c>
      <c r="N908" s="33" t="str">
        <f t="shared" ca="1" si="14"/>
        <v/>
      </c>
      <c r="O908" s="25"/>
      <c r="P908" s="11" t="str">
        <f ca="1">IF(AND(B908&lt;&gt;"",F908&lt;&gt;"Cerrada",F908&lt;&gt;"Perdida",N908&lt;&gt;"",N908&gt;14),COUNTIFS($F$8:$F908,"&lt;&gt;Cerrada",$F$8:$F908,"&lt;&gt;Perdida",$N$8:$N908,"&gt;14"),"")</f>
        <v/>
      </c>
    </row>
    <row r="909" spans="2:16" x14ac:dyDescent="0.25">
      <c r="B909" s="40"/>
      <c r="C909" s="40"/>
      <c r="D909" s="40"/>
      <c r="E909" s="40"/>
      <c r="F909" s="39"/>
      <c r="G909" s="41"/>
      <c r="H909" s="40"/>
      <c r="I909" s="41"/>
      <c r="J909" s="42"/>
      <c r="K909" s="40"/>
      <c r="L909" s="40"/>
      <c r="M909" s="40" t="str">
        <f>IF(B909="","",IF(COUNTIFS(Cobranza!$C$9:$C$1008,B909,Cobranza!$N$9:$N$1008,"Vencida")&gt;0,"Vencida",IF(COUNTIFS(Cobranza!$C$9:$C$1008,B909,Cobranza!$N$9:$N$1008,"Parcial")&gt;0,"Parcial",IF(COUNTIFS(Cobranza!$C$9:$C$1008,B909,Cobranza!$N$9:$N$1008,"Pendiente")&gt;0,"Pendiente",IF(COUNTIFS(Cobranza!$C$9:$C$1008,B909,Cobranza!$N$9:$N$1008,"Pagada")&gt;0,"Pagada","")))))</f>
        <v/>
      </c>
      <c r="N909" s="33" t="str">
        <f t="shared" ca="1" si="14"/>
        <v/>
      </c>
      <c r="O909" s="25"/>
      <c r="P909" s="11" t="str">
        <f ca="1">IF(AND(B909&lt;&gt;"",F909&lt;&gt;"Cerrada",F909&lt;&gt;"Perdida",N909&lt;&gt;"",N909&gt;14),COUNTIFS($F$8:$F909,"&lt;&gt;Cerrada",$F$8:$F909,"&lt;&gt;Perdida",$N$8:$N909,"&gt;14"),"")</f>
        <v/>
      </c>
    </row>
    <row r="910" spans="2:16" x14ac:dyDescent="0.25">
      <c r="B910" s="40"/>
      <c r="C910" s="40"/>
      <c r="D910" s="40"/>
      <c r="E910" s="40"/>
      <c r="F910" s="39"/>
      <c r="G910" s="41"/>
      <c r="H910" s="40"/>
      <c r="I910" s="41"/>
      <c r="J910" s="42"/>
      <c r="K910" s="40"/>
      <c r="L910" s="40"/>
      <c r="M910" s="40" t="str">
        <f>IF(B910="","",IF(COUNTIFS(Cobranza!$C$9:$C$1008,B910,Cobranza!$N$9:$N$1008,"Vencida")&gt;0,"Vencida",IF(COUNTIFS(Cobranza!$C$9:$C$1008,B910,Cobranza!$N$9:$N$1008,"Parcial")&gt;0,"Parcial",IF(COUNTIFS(Cobranza!$C$9:$C$1008,B910,Cobranza!$N$9:$N$1008,"Pendiente")&gt;0,"Pendiente",IF(COUNTIFS(Cobranza!$C$9:$C$1008,B910,Cobranza!$N$9:$N$1008,"Pagada")&gt;0,"Pagada","")))))</f>
        <v/>
      </c>
      <c r="N910" s="33" t="str">
        <f t="shared" ca="1" si="14"/>
        <v/>
      </c>
      <c r="O910" s="25"/>
      <c r="P910" s="11" t="str">
        <f ca="1">IF(AND(B910&lt;&gt;"",F910&lt;&gt;"Cerrada",F910&lt;&gt;"Perdida",N910&lt;&gt;"",N910&gt;14),COUNTIFS($F$8:$F910,"&lt;&gt;Cerrada",$F$8:$F910,"&lt;&gt;Perdida",$N$8:$N910,"&gt;14"),"")</f>
        <v/>
      </c>
    </row>
    <row r="911" spans="2:16" x14ac:dyDescent="0.25">
      <c r="B911" s="40"/>
      <c r="C911" s="40"/>
      <c r="D911" s="40"/>
      <c r="E911" s="40"/>
      <c r="F911" s="39"/>
      <c r="G911" s="41"/>
      <c r="H911" s="40"/>
      <c r="I911" s="41"/>
      <c r="J911" s="42"/>
      <c r="K911" s="40"/>
      <c r="L911" s="40"/>
      <c r="M911" s="40" t="str">
        <f>IF(B911="","",IF(COUNTIFS(Cobranza!$C$9:$C$1008,B911,Cobranza!$N$9:$N$1008,"Vencida")&gt;0,"Vencida",IF(COUNTIFS(Cobranza!$C$9:$C$1008,B911,Cobranza!$N$9:$N$1008,"Parcial")&gt;0,"Parcial",IF(COUNTIFS(Cobranza!$C$9:$C$1008,B911,Cobranza!$N$9:$N$1008,"Pendiente")&gt;0,"Pendiente",IF(COUNTIFS(Cobranza!$C$9:$C$1008,B911,Cobranza!$N$9:$N$1008,"Pagada")&gt;0,"Pagada","")))))</f>
        <v/>
      </c>
      <c r="N911" s="33" t="str">
        <f t="shared" ca="1" si="14"/>
        <v/>
      </c>
      <c r="O911" s="25"/>
      <c r="P911" s="11" t="str">
        <f ca="1">IF(AND(B911&lt;&gt;"",F911&lt;&gt;"Cerrada",F911&lt;&gt;"Perdida",N911&lt;&gt;"",N911&gt;14),COUNTIFS($F$8:$F911,"&lt;&gt;Cerrada",$F$8:$F911,"&lt;&gt;Perdida",$N$8:$N911,"&gt;14"),"")</f>
        <v/>
      </c>
    </row>
    <row r="912" spans="2:16" x14ac:dyDescent="0.25">
      <c r="B912" s="40"/>
      <c r="C912" s="40"/>
      <c r="D912" s="40"/>
      <c r="E912" s="40"/>
      <c r="F912" s="39"/>
      <c r="G912" s="41"/>
      <c r="H912" s="40"/>
      <c r="I912" s="41"/>
      <c r="J912" s="42"/>
      <c r="K912" s="40"/>
      <c r="L912" s="40"/>
      <c r="M912" s="40" t="str">
        <f>IF(B912="","",IF(COUNTIFS(Cobranza!$C$9:$C$1008,B912,Cobranza!$N$9:$N$1008,"Vencida")&gt;0,"Vencida",IF(COUNTIFS(Cobranza!$C$9:$C$1008,B912,Cobranza!$N$9:$N$1008,"Parcial")&gt;0,"Parcial",IF(COUNTIFS(Cobranza!$C$9:$C$1008,B912,Cobranza!$N$9:$N$1008,"Pendiente")&gt;0,"Pendiente",IF(COUNTIFS(Cobranza!$C$9:$C$1008,B912,Cobranza!$N$9:$N$1008,"Pagada")&gt;0,"Pagada","")))))</f>
        <v/>
      </c>
      <c r="N912" s="33" t="str">
        <f t="shared" ca="1" si="14"/>
        <v/>
      </c>
      <c r="O912" s="25"/>
      <c r="P912" s="11" t="str">
        <f ca="1">IF(AND(B912&lt;&gt;"",F912&lt;&gt;"Cerrada",F912&lt;&gt;"Perdida",N912&lt;&gt;"",N912&gt;14),COUNTIFS($F$8:$F912,"&lt;&gt;Cerrada",$F$8:$F912,"&lt;&gt;Perdida",$N$8:$N912,"&gt;14"),"")</f>
        <v/>
      </c>
    </row>
    <row r="913" spans="2:16" x14ac:dyDescent="0.25">
      <c r="B913" s="40"/>
      <c r="C913" s="40"/>
      <c r="D913" s="40"/>
      <c r="E913" s="40"/>
      <c r="F913" s="39"/>
      <c r="G913" s="41"/>
      <c r="H913" s="40"/>
      <c r="I913" s="41"/>
      <c r="J913" s="42"/>
      <c r="K913" s="40"/>
      <c r="L913" s="40"/>
      <c r="M913" s="40" t="str">
        <f>IF(B913="","",IF(COUNTIFS(Cobranza!$C$9:$C$1008,B913,Cobranza!$N$9:$N$1008,"Vencida")&gt;0,"Vencida",IF(COUNTIFS(Cobranza!$C$9:$C$1008,B913,Cobranza!$N$9:$N$1008,"Parcial")&gt;0,"Parcial",IF(COUNTIFS(Cobranza!$C$9:$C$1008,B913,Cobranza!$N$9:$N$1008,"Pendiente")&gt;0,"Pendiente",IF(COUNTIFS(Cobranza!$C$9:$C$1008,B913,Cobranza!$N$9:$N$1008,"Pagada")&gt;0,"Pagada","")))))</f>
        <v/>
      </c>
      <c r="N913" s="33" t="str">
        <f t="shared" ca="1" si="14"/>
        <v/>
      </c>
      <c r="O913" s="25"/>
      <c r="P913" s="11" t="str">
        <f ca="1">IF(AND(B913&lt;&gt;"",F913&lt;&gt;"Cerrada",F913&lt;&gt;"Perdida",N913&lt;&gt;"",N913&gt;14),COUNTIFS($F$8:$F913,"&lt;&gt;Cerrada",$F$8:$F913,"&lt;&gt;Perdida",$N$8:$N913,"&gt;14"),"")</f>
        <v/>
      </c>
    </row>
    <row r="914" spans="2:16" x14ac:dyDescent="0.25">
      <c r="B914" s="40"/>
      <c r="C914" s="40"/>
      <c r="D914" s="40"/>
      <c r="E914" s="40"/>
      <c r="F914" s="39"/>
      <c r="G914" s="41"/>
      <c r="H914" s="40"/>
      <c r="I914" s="41"/>
      <c r="J914" s="42"/>
      <c r="K914" s="40"/>
      <c r="L914" s="40"/>
      <c r="M914" s="40" t="str">
        <f>IF(B914="","",IF(COUNTIFS(Cobranza!$C$9:$C$1008,B914,Cobranza!$N$9:$N$1008,"Vencida")&gt;0,"Vencida",IF(COUNTIFS(Cobranza!$C$9:$C$1008,B914,Cobranza!$N$9:$N$1008,"Parcial")&gt;0,"Parcial",IF(COUNTIFS(Cobranza!$C$9:$C$1008,B914,Cobranza!$N$9:$N$1008,"Pendiente")&gt;0,"Pendiente",IF(COUNTIFS(Cobranza!$C$9:$C$1008,B914,Cobranza!$N$9:$N$1008,"Pagada")&gt;0,"Pagada","")))))</f>
        <v/>
      </c>
      <c r="N914" s="33" t="str">
        <f t="shared" ca="1" si="14"/>
        <v/>
      </c>
      <c r="O914" s="25"/>
      <c r="P914" s="11" t="str">
        <f ca="1">IF(AND(B914&lt;&gt;"",F914&lt;&gt;"Cerrada",F914&lt;&gt;"Perdida",N914&lt;&gt;"",N914&gt;14),COUNTIFS($F$8:$F914,"&lt;&gt;Cerrada",$F$8:$F914,"&lt;&gt;Perdida",$N$8:$N914,"&gt;14"),"")</f>
        <v/>
      </c>
    </row>
    <row r="915" spans="2:16" x14ac:dyDescent="0.25">
      <c r="B915" s="40"/>
      <c r="C915" s="40"/>
      <c r="D915" s="40"/>
      <c r="E915" s="40"/>
      <c r="F915" s="39"/>
      <c r="G915" s="41"/>
      <c r="H915" s="40"/>
      <c r="I915" s="41"/>
      <c r="J915" s="42"/>
      <c r="K915" s="40"/>
      <c r="L915" s="40"/>
      <c r="M915" s="40" t="str">
        <f>IF(B915="","",IF(COUNTIFS(Cobranza!$C$9:$C$1008,B915,Cobranza!$N$9:$N$1008,"Vencida")&gt;0,"Vencida",IF(COUNTIFS(Cobranza!$C$9:$C$1008,B915,Cobranza!$N$9:$N$1008,"Parcial")&gt;0,"Parcial",IF(COUNTIFS(Cobranza!$C$9:$C$1008,B915,Cobranza!$N$9:$N$1008,"Pendiente")&gt;0,"Pendiente",IF(COUNTIFS(Cobranza!$C$9:$C$1008,B915,Cobranza!$N$9:$N$1008,"Pagada")&gt;0,"Pagada","")))))</f>
        <v/>
      </c>
      <c r="N915" s="33" t="str">
        <f t="shared" ca="1" si="14"/>
        <v/>
      </c>
      <c r="O915" s="25"/>
      <c r="P915" s="11" t="str">
        <f ca="1">IF(AND(B915&lt;&gt;"",F915&lt;&gt;"Cerrada",F915&lt;&gt;"Perdida",N915&lt;&gt;"",N915&gt;14),COUNTIFS($F$8:$F915,"&lt;&gt;Cerrada",$F$8:$F915,"&lt;&gt;Perdida",$N$8:$N915,"&gt;14"),"")</f>
        <v/>
      </c>
    </row>
    <row r="916" spans="2:16" x14ac:dyDescent="0.25">
      <c r="B916" s="40"/>
      <c r="C916" s="40"/>
      <c r="D916" s="40"/>
      <c r="E916" s="40"/>
      <c r="F916" s="39"/>
      <c r="G916" s="41"/>
      <c r="H916" s="40"/>
      <c r="I916" s="41"/>
      <c r="J916" s="42"/>
      <c r="K916" s="40"/>
      <c r="L916" s="40"/>
      <c r="M916" s="40" t="str">
        <f>IF(B916="","",IF(COUNTIFS(Cobranza!$C$9:$C$1008,B916,Cobranza!$N$9:$N$1008,"Vencida")&gt;0,"Vencida",IF(COUNTIFS(Cobranza!$C$9:$C$1008,B916,Cobranza!$N$9:$N$1008,"Parcial")&gt;0,"Parcial",IF(COUNTIFS(Cobranza!$C$9:$C$1008,B916,Cobranza!$N$9:$N$1008,"Pendiente")&gt;0,"Pendiente",IF(COUNTIFS(Cobranza!$C$9:$C$1008,B916,Cobranza!$N$9:$N$1008,"Pagada")&gt;0,"Pagada","")))))</f>
        <v/>
      </c>
      <c r="N916" s="33" t="str">
        <f t="shared" ca="1" si="14"/>
        <v/>
      </c>
      <c r="O916" s="25"/>
      <c r="P916" s="11" t="str">
        <f ca="1">IF(AND(B916&lt;&gt;"",F916&lt;&gt;"Cerrada",F916&lt;&gt;"Perdida",N916&lt;&gt;"",N916&gt;14),COUNTIFS($F$8:$F916,"&lt;&gt;Cerrada",$F$8:$F916,"&lt;&gt;Perdida",$N$8:$N916,"&gt;14"),"")</f>
        <v/>
      </c>
    </row>
    <row r="917" spans="2:16" x14ac:dyDescent="0.25">
      <c r="B917" s="40"/>
      <c r="C917" s="40"/>
      <c r="D917" s="40"/>
      <c r="E917" s="40"/>
      <c r="F917" s="39"/>
      <c r="G917" s="41"/>
      <c r="H917" s="40"/>
      <c r="I917" s="41"/>
      <c r="J917" s="42"/>
      <c r="K917" s="40"/>
      <c r="L917" s="40"/>
      <c r="M917" s="40" t="str">
        <f>IF(B917="","",IF(COUNTIFS(Cobranza!$C$9:$C$1008,B917,Cobranza!$N$9:$N$1008,"Vencida")&gt;0,"Vencida",IF(COUNTIFS(Cobranza!$C$9:$C$1008,B917,Cobranza!$N$9:$N$1008,"Parcial")&gt;0,"Parcial",IF(COUNTIFS(Cobranza!$C$9:$C$1008,B917,Cobranza!$N$9:$N$1008,"Pendiente")&gt;0,"Pendiente",IF(COUNTIFS(Cobranza!$C$9:$C$1008,B917,Cobranza!$N$9:$N$1008,"Pagada")&gt;0,"Pagada","")))))</f>
        <v/>
      </c>
      <c r="N917" s="33" t="str">
        <f t="shared" ca="1" si="14"/>
        <v/>
      </c>
      <c r="O917" s="25"/>
      <c r="P917" s="11" t="str">
        <f ca="1">IF(AND(B917&lt;&gt;"",F917&lt;&gt;"Cerrada",F917&lt;&gt;"Perdida",N917&lt;&gt;"",N917&gt;14),COUNTIFS($F$8:$F917,"&lt;&gt;Cerrada",$F$8:$F917,"&lt;&gt;Perdida",$N$8:$N917,"&gt;14"),"")</f>
        <v/>
      </c>
    </row>
    <row r="918" spans="2:16" x14ac:dyDescent="0.25">
      <c r="B918" s="40"/>
      <c r="C918" s="40"/>
      <c r="D918" s="40"/>
      <c r="E918" s="40"/>
      <c r="F918" s="39"/>
      <c r="G918" s="41"/>
      <c r="H918" s="40"/>
      <c r="I918" s="41"/>
      <c r="J918" s="42"/>
      <c r="K918" s="40"/>
      <c r="L918" s="40"/>
      <c r="M918" s="40" t="str">
        <f>IF(B918="","",IF(COUNTIFS(Cobranza!$C$9:$C$1008,B918,Cobranza!$N$9:$N$1008,"Vencida")&gt;0,"Vencida",IF(COUNTIFS(Cobranza!$C$9:$C$1008,B918,Cobranza!$N$9:$N$1008,"Parcial")&gt;0,"Parcial",IF(COUNTIFS(Cobranza!$C$9:$C$1008,B918,Cobranza!$N$9:$N$1008,"Pendiente")&gt;0,"Pendiente",IF(COUNTIFS(Cobranza!$C$9:$C$1008,B918,Cobranza!$N$9:$N$1008,"Pagada")&gt;0,"Pagada","")))))</f>
        <v/>
      </c>
      <c r="N918" s="33" t="str">
        <f t="shared" ca="1" si="14"/>
        <v/>
      </c>
      <c r="O918" s="25"/>
      <c r="P918" s="11" t="str">
        <f ca="1">IF(AND(B918&lt;&gt;"",F918&lt;&gt;"Cerrada",F918&lt;&gt;"Perdida",N918&lt;&gt;"",N918&gt;14),COUNTIFS($F$8:$F918,"&lt;&gt;Cerrada",$F$8:$F918,"&lt;&gt;Perdida",$N$8:$N918,"&gt;14"),"")</f>
        <v/>
      </c>
    </row>
    <row r="919" spans="2:16" x14ac:dyDescent="0.25">
      <c r="B919" s="40"/>
      <c r="C919" s="40"/>
      <c r="D919" s="40"/>
      <c r="E919" s="40"/>
      <c r="F919" s="39"/>
      <c r="G919" s="41"/>
      <c r="H919" s="40"/>
      <c r="I919" s="41"/>
      <c r="J919" s="42"/>
      <c r="K919" s="40"/>
      <c r="L919" s="40"/>
      <c r="M919" s="40" t="str">
        <f>IF(B919="","",IF(COUNTIFS(Cobranza!$C$9:$C$1008,B919,Cobranza!$N$9:$N$1008,"Vencida")&gt;0,"Vencida",IF(COUNTIFS(Cobranza!$C$9:$C$1008,B919,Cobranza!$N$9:$N$1008,"Parcial")&gt;0,"Parcial",IF(COUNTIFS(Cobranza!$C$9:$C$1008,B919,Cobranza!$N$9:$N$1008,"Pendiente")&gt;0,"Pendiente",IF(COUNTIFS(Cobranza!$C$9:$C$1008,B919,Cobranza!$N$9:$N$1008,"Pagada")&gt;0,"Pagada","")))))</f>
        <v/>
      </c>
      <c r="N919" s="33" t="str">
        <f t="shared" ca="1" si="14"/>
        <v/>
      </c>
      <c r="O919" s="25"/>
      <c r="P919" s="11" t="str">
        <f ca="1">IF(AND(B919&lt;&gt;"",F919&lt;&gt;"Cerrada",F919&lt;&gt;"Perdida",N919&lt;&gt;"",N919&gt;14),COUNTIFS($F$8:$F919,"&lt;&gt;Cerrada",$F$8:$F919,"&lt;&gt;Perdida",$N$8:$N919,"&gt;14"),"")</f>
        <v/>
      </c>
    </row>
    <row r="920" spans="2:16" x14ac:dyDescent="0.25">
      <c r="B920" s="40"/>
      <c r="C920" s="40"/>
      <c r="D920" s="40"/>
      <c r="E920" s="40"/>
      <c r="F920" s="39"/>
      <c r="G920" s="41"/>
      <c r="H920" s="40"/>
      <c r="I920" s="41"/>
      <c r="J920" s="42"/>
      <c r="K920" s="40"/>
      <c r="L920" s="40"/>
      <c r="M920" s="40" t="str">
        <f>IF(B920="","",IF(COUNTIFS(Cobranza!$C$9:$C$1008,B920,Cobranza!$N$9:$N$1008,"Vencida")&gt;0,"Vencida",IF(COUNTIFS(Cobranza!$C$9:$C$1008,B920,Cobranza!$N$9:$N$1008,"Parcial")&gt;0,"Parcial",IF(COUNTIFS(Cobranza!$C$9:$C$1008,B920,Cobranza!$N$9:$N$1008,"Pendiente")&gt;0,"Pendiente",IF(COUNTIFS(Cobranza!$C$9:$C$1008,B920,Cobranza!$N$9:$N$1008,"Pagada")&gt;0,"Pagada","")))))</f>
        <v/>
      </c>
      <c r="N920" s="33" t="str">
        <f t="shared" ca="1" si="14"/>
        <v/>
      </c>
      <c r="O920" s="25"/>
      <c r="P920" s="11" t="str">
        <f ca="1">IF(AND(B920&lt;&gt;"",F920&lt;&gt;"Cerrada",F920&lt;&gt;"Perdida",N920&lt;&gt;"",N920&gt;14),COUNTIFS($F$8:$F920,"&lt;&gt;Cerrada",$F$8:$F920,"&lt;&gt;Perdida",$N$8:$N920,"&gt;14"),"")</f>
        <v/>
      </c>
    </row>
    <row r="921" spans="2:16" x14ac:dyDescent="0.25">
      <c r="B921" s="40"/>
      <c r="C921" s="40"/>
      <c r="D921" s="40"/>
      <c r="E921" s="40"/>
      <c r="F921" s="39"/>
      <c r="G921" s="41"/>
      <c r="H921" s="40"/>
      <c r="I921" s="41"/>
      <c r="J921" s="42"/>
      <c r="K921" s="40"/>
      <c r="L921" s="40"/>
      <c r="M921" s="40" t="str">
        <f>IF(B921="","",IF(COUNTIFS(Cobranza!$C$9:$C$1008,B921,Cobranza!$N$9:$N$1008,"Vencida")&gt;0,"Vencida",IF(COUNTIFS(Cobranza!$C$9:$C$1008,B921,Cobranza!$N$9:$N$1008,"Parcial")&gt;0,"Parcial",IF(COUNTIFS(Cobranza!$C$9:$C$1008,B921,Cobranza!$N$9:$N$1008,"Pendiente")&gt;0,"Pendiente",IF(COUNTIFS(Cobranza!$C$9:$C$1008,B921,Cobranza!$N$9:$N$1008,"Pagada")&gt;0,"Pagada","")))))</f>
        <v/>
      </c>
      <c r="N921" s="33" t="str">
        <f t="shared" ca="1" si="14"/>
        <v/>
      </c>
      <c r="O921" s="25"/>
      <c r="P921" s="11" t="str">
        <f ca="1">IF(AND(B921&lt;&gt;"",F921&lt;&gt;"Cerrada",F921&lt;&gt;"Perdida",N921&lt;&gt;"",N921&gt;14),COUNTIFS($F$8:$F921,"&lt;&gt;Cerrada",$F$8:$F921,"&lt;&gt;Perdida",$N$8:$N921,"&gt;14"),"")</f>
        <v/>
      </c>
    </row>
    <row r="922" spans="2:16" x14ac:dyDescent="0.25">
      <c r="B922" s="40"/>
      <c r="C922" s="40"/>
      <c r="D922" s="40"/>
      <c r="E922" s="40"/>
      <c r="F922" s="39"/>
      <c r="G922" s="41"/>
      <c r="H922" s="40"/>
      <c r="I922" s="41"/>
      <c r="J922" s="42"/>
      <c r="K922" s="40"/>
      <c r="L922" s="40"/>
      <c r="M922" s="40" t="str">
        <f>IF(B922="","",IF(COUNTIFS(Cobranza!$C$9:$C$1008,B922,Cobranza!$N$9:$N$1008,"Vencida")&gt;0,"Vencida",IF(COUNTIFS(Cobranza!$C$9:$C$1008,B922,Cobranza!$N$9:$N$1008,"Parcial")&gt;0,"Parcial",IF(COUNTIFS(Cobranza!$C$9:$C$1008,B922,Cobranza!$N$9:$N$1008,"Pendiente")&gt;0,"Pendiente",IF(COUNTIFS(Cobranza!$C$9:$C$1008,B922,Cobranza!$N$9:$N$1008,"Pagada")&gt;0,"Pagada","")))))</f>
        <v/>
      </c>
      <c r="N922" s="33" t="str">
        <f t="shared" ca="1" si="14"/>
        <v/>
      </c>
      <c r="O922" s="25"/>
      <c r="P922" s="11" t="str">
        <f ca="1">IF(AND(B922&lt;&gt;"",F922&lt;&gt;"Cerrada",F922&lt;&gt;"Perdida",N922&lt;&gt;"",N922&gt;14),COUNTIFS($F$8:$F922,"&lt;&gt;Cerrada",$F$8:$F922,"&lt;&gt;Perdida",$N$8:$N922,"&gt;14"),"")</f>
        <v/>
      </c>
    </row>
    <row r="923" spans="2:16" x14ac:dyDescent="0.25">
      <c r="B923" s="40"/>
      <c r="C923" s="40"/>
      <c r="D923" s="40"/>
      <c r="E923" s="40"/>
      <c r="F923" s="39"/>
      <c r="G923" s="41"/>
      <c r="H923" s="40"/>
      <c r="I923" s="41"/>
      <c r="J923" s="42"/>
      <c r="K923" s="40"/>
      <c r="L923" s="40"/>
      <c r="M923" s="40" t="str">
        <f>IF(B923="","",IF(COUNTIFS(Cobranza!$C$9:$C$1008,B923,Cobranza!$N$9:$N$1008,"Vencida")&gt;0,"Vencida",IF(COUNTIFS(Cobranza!$C$9:$C$1008,B923,Cobranza!$N$9:$N$1008,"Parcial")&gt;0,"Parcial",IF(COUNTIFS(Cobranza!$C$9:$C$1008,B923,Cobranza!$N$9:$N$1008,"Pendiente")&gt;0,"Pendiente",IF(COUNTIFS(Cobranza!$C$9:$C$1008,B923,Cobranza!$N$9:$N$1008,"Pagada")&gt;0,"Pagada","")))))</f>
        <v/>
      </c>
      <c r="N923" s="33" t="str">
        <f t="shared" ca="1" si="14"/>
        <v/>
      </c>
      <c r="O923" s="25"/>
      <c r="P923" s="11" t="str">
        <f ca="1">IF(AND(B923&lt;&gt;"",F923&lt;&gt;"Cerrada",F923&lt;&gt;"Perdida",N923&lt;&gt;"",N923&gt;14),COUNTIFS($F$8:$F923,"&lt;&gt;Cerrada",$F$8:$F923,"&lt;&gt;Perdida",$N$8:$N923,"&gt;14"),"")</f>
        <v/>
      </c>
    </row>
    <row r="924" spans="2:16" x14ac:dyDescent="0.25">
      <c r="B924" s="40"/>
      <c r="C924" s="40"/>
      <c r="D924" s="40"/>
      <c r="E924" s="40"/>
      <c r="F924" s="39"/>
      <c r="G924" s="41"/>
      <c r="H924" s="40"/>
      <c r="I924" s="41"/>
      <c r="J924" s="42"/>
      <c r="K924" s="40"/>
      <c r="L924" s="40"/>
      <c r="M924" s="40" t="str">
        <f>IF(B924="","",IF(COUNTIFS(Cobranza!$C$9:$C$1008,B924,Cobranza!$N$9:$N$1008,"Vencida")&gt;0,"Vencida",IF(COUNTIFS(Cobranza!$C$9:$C$1008,B924,Cobranza!$N$9:$N$1008,"Parcial")&gt;0,"Parcial",IF(COUNTIFS(Cobranza!$C$9:$C$1008,B924,Cobranza!$N$9:$N$1008,"Pendiente")&gt;0,"Pendiente",IF(COUNTIFS(Cobranza!$C$9:$C$1008,B924,Cobranza!$N$9:$N$1008,"Pagada")&gt;0,"Pagada","")))))</f>
        <v/>
      </c>
      <c r="N924" s="33" t="str">
        <f t="shared" ca="1" si="14"/>
        <v/>
      </c>
      <c r="O924" s="25"/>
      <c r="P924" s="11" t="str">
        <f ca="1">IF(AND(B924&lt;&gt;"",F924&lt;&gt;"Cerrada",F924&lt;&gt;"Perdida",N924&lt;&gt;"",N924&gt;14),COUNTIFS($F$8:$F924,"&lt;&gt;Cerrada",$F$8:$F924,"&lt;&gt;Perdida",$N$8:$N924,"&gt;14"),"")</f>
        <v/>
      </c>
    </row>
    <row r="925" spans="2:16" x14ac:dyDescent="0.25">
      <c r="B925" s="40"/>
      <c r="C925" s="40"/>
      <c r="D925" s="40"/>
      <c r="E925" s="40"/>
      <c r="F925" s="39"/>
      <c r="G925" s="41"/>
      <c r="H925" s="40"/>
      <c r="I925" s="41"/>
      <c r="J925" s="42"/>
      <c r="K925" s="40"/>
      <c r="L925" s="40"/>
      <c r="M925" s="40" t="str">
        <f>IF(B925="","",IF(COUNTIFS(Cobranza!$C$9:$C$1008,B925,Cobranza!$N$9:$N$1008,"Vencida")&gt;0,"Vencida",IF(COUNTIFS(Cobranza!$C$9:$C$1008,B925,Cobranza!$N$9:$N$1008,"Parcial")&gt;0,"Parcial",IF(COUNTIFS(Cobranza!$C$9:$C$1008,B925,Cobranza!$N$9:$N$1008,"Pendiente")&gt;0,"Pendiente",IF(COUNTIFS(Cobranza!$C$9:$C$1008,B925,Cobranza!$N$9:$N$1008,"Pagada")&gt;0,"Pagada","")))))</f>
        <v/>
      </c>
      <c r="N925" s="33" t="str">
        <f t="shared" ca="1" si="14"/>
        <v/>
      </c>
      <c r="O925" s="25"/>
      <c r="P925" s="11" t="str">
        <f ca="1">IF(AND(B925&lt;&gt;"",F925&lt;&gt;"Cerrada",F925&lt;&gt;"Perdida",N925&lt;&gt;"",N925&gt;14),COUNTIFS($F$8:$F925,"&lt;&gt;Cerrada",$F$8:$F925,"&lt;&gt;Perdida",$N$8:$N925,"&gt;14"),"")</f>
        <v/>
      </c>
    </row>
    <row r="926" spans="2:16" x14ac:dyDescent="0.25">
      <c r="B926" s="40"/>
      <c r="C926" s="40"/>
      <c r="D926" s="40"/>
      <c r="E926" s="40"/>
      <c r="F926" s="39"/>
      <c r="G926" s="41"/>
      <c r="H926" s="40"/>
      <c r="I926" s="41"/>
      <c r="J926" s="42"/>
      <c r="K926" s="40"/>
      <c r="L926" s="40"/>
      <c r="M926" s="40" t="str">
        <f>IF(B926="","",IF(COUNTIFS(Cobranza!$C$9:$C$1008,B926,Cobranza!$N$9:$N$1008,"Vencida")&gt;0,"Vencida",IF(COUNTIFS(Cobranza!$C$9:$C$1008,B926,Cobranza!$N$9:$N$1008,"Parcial")&gt;0,"Parcial",IF(COUNTIFS(Cobranza!$C$9:$C$1008,B926,Cobranza!$N$9:$N$1008,"Pendiente")&gt;0,"Pendiente",IF(COUNTIFS(Cobranza!$C$9:$C$1008,B926,Cobranza!$N$9:$N$1008,"Pagada")&gt;0,"Pagada","")))))</f>
        <v/>
      </c>
      <c r="N926" s="33" t="str">
        <f t="shared" ca="1" si="14"/>
        <v/>
      </c>
      <c r="O926" s="25"/>
      <c r="P926" s="11" t="str">
        <f ca="1">IF(AND(B926&lt;&gt;"",F926&lt;&gt;"Cerrada",F926&lt;&gt;"Perdida",N926&lt;&gt;"",N926&gt;14),COUNTIFS($F$8:$F926,"&lt;&gt;Cerrada",$F$8:$F926,"&lt;&gt;Perdida",$N$8:$N926,"&gt;14"),"")</f>
        <v/>
      </c>
    </row>
    <row r="927" spans="2:16" x14ac:dyDescent="0.25">
      <c r="B927" s="40"/>
      <c r="C927" s="40"/>
      <c r="D927" s="40"/>
      <c r="E927" s="40"/>
      <c r="F927" s="39"/>
      <c r="G927" s="41"/>
      <c r="H927" s="40"/>
      <c r="I927" s="41"/>
      <c r="J927" s="42"/>
      <c r="K927" s="40"/>
      <c r="L927" s="40"/>
      <c r="M927" s="40" t="str">
        <f>IF(B927="","",IF(COUNTIFS(Cobranza!$C$9:$C$1008,B927,Cobranza!$N$9:$N$1008,"Vencida")&gt;0,"Vencida",IF(COUNTIFS(Cobranza!$C$9:$C$1008,B927,Cobranza!$N$9:$N$1008,"Parcial")&gt;0,"Parcial",IF(COUNTIFS(Cobranza!$C$9:$C$1008,B927,Cobranza!$N$9:$N$1008,"Pendiente")&gt;0,"Pendiente",IF(COUNTIFS(Cobranza!$C$9:$C$1008,B927,Cobranza!$N$9:$N$1008,"Pagada")&gt;0,"Pagada","")))))</f>
        <v/>
      </c>
      <c r="N927" s="33" t="str">
        <f t="shared" ca="1" si="14"/>
        <v/>
      </c>
      <c r="O927" s="25"/>
      <c r="P927" s="11" t="str">
        <f ca="1">IF(AND(B927&lt;&gt;"",F927&lt;&gt;"Cerrada",F927&lt;&gt;"Perdida",N927&lt;&gt;"",N927&gt;14),COUNTIFS($F$8:$F927,"&lt;&gt;Cerrada",$F$8:$F927,"&lt;&gt;Perdida",$N$8:$N927,"&gt;14"),"")</f>
        <v/>
      </c>
    </row>
    <row r="928" spans="2:16" x14ac:dyDescent="0.25">
      <c r="B928" s="40"/>
      <c r="C928" s="40"/>
      <c r="D928" s="40"/>
      <c r="E928" s="40"/>
      <c r="F928" s="39"/>
      <c r="G928" s="41"/>
      <c r="H928" s="40"/>
      <c r="I928" s="41"/>
      <c r="J928" s="42"/>
      <c r="K928" s="40"/>
      <c r="L928" s="40"/>
      <c r="M928" s="40" t="str">
        <f>IF(B928="","",IF(COUNTIFS(Cobranza!$C$9:$C$1008,B928,Cobranza!$N$9:$N$1008,"Vencida")&gt;0,"Vencida",IF(COUNTIFS(Cobranza!$C$9:$C$1008,B928,Cobranza!$N$9:$N$1008,"Parcial")&gt;0,"Parcial",IF(COUNTIFS(Cobranza!$C$9:$C$1008,B928,Cobranza!$N$9:$N$1008,"Pendiente")&gt;0,"Pendiente",IF(COUNTIFS(Cobranza!$C$9:$C$1008,B928,Cobranza!$N$9:$N$1008,"Pagada")&gt;0,"Pagada","")))))</f>
        <v/>
      </c>
      <c r="N928" s="33" t="str">
        <f t="shared" ca="1" si="14"/>
        <v/>
      </c>
      <c r="O928" s="25"/>
      <c r="P928" s="11" t="str">
        <f ca="1">IF(AND(B928&lt;&gt;"",F928&lt;&gt;"Cerrada",F928&lt;&gt;"Perdida",N928&lt;&gt;"",N928&gt;14),COUNTIFS($F$8:$F928,"&lt;&gt;Cerrada",$F$8:$F928,"&lt;&gt;Perdida",$N$8:$N928,"&gt;14"),"")</f>
        <v/>
      </c>
    </row>
    <row r="929" spans="2:16" x14ac:dyDescent="0.25">
      <c r="B929" s="40"/>
      <c r="C929" s="40"/>
      <c r="D929" s="40"/>
      <c r="E929" s="40"/>
      <c r="F929" s="39"/>
      <c r="G929" s="41"/>
      <c r="H929" s="40"/>
      <c r="I929" s="41"/>
      <c r="J929" s="42"/>
      <c r="K929" s="40"/>
      <c r="L929" s="40"/>
      <c r="M929" s="40" t="str">
        <f>IF(B929="","",IF(COUNTIFS(Cobranza!$C$9:$C$1008,B929,Cobranza!$N$9:$N$1008,"Vencida")&gt;0,"Vencida",IF(COUNTIFS(Cobranza!$C$9:$C$1008,B929,Cobranza!$N$9:$N$1008,"Parcial")&gt;0,"Parcial",IF(COUNTIFS(Cobranza!$C$9:$C$1008,B929,Cobranza!$N$9:$N$1008,"Pendiente")&gt;0,"Pendiente",IF(COUNTIFS(Cobranza!$C$9:$C$1008,B929,Cobranza!$N$9:$N$1008,"Pagada")&gt;0,"Pagada","")))))</f>
        <v/>
      </c>
      <c r="N929" s="33" t="str">
        <f t="shared" ca="1" si="14"/>
        <v/>
      </c>
      <c r="O929" s="25"/>
      <c r="P929" s="11" t="str">
        <f ca="1">IF(AND(B929&lt;&gt;"",F929&lt;&gt;"Cerrada",F929&lt;&gt;"Perdida",N929&lt;&gt;"",N929&gt;14),COUNTIFS($F$8:$F929,"&lt;&gt;Cerrada",$F$8:$F929,"&lt;&gt;Perdida",$N$8:$N929,"&gt;14"),"")</f>
        <v/>
      </c>
    </row>
    <row r="930" spans="2:16" x14ac:dyDescent="0.25">
      <c r="B930" s="40"/>
      <c r="C930" s="40"/>
      <c r="D930" s="40"/>
      <c r="E930" s="40"/>
      <c r="F930" s="39"/>
      <c r="G930" s="41"/>
      <c r="H930" s="40"/>
      <c r="I930" s="41"/>
      <c r="J930" s="42"/>
      <c r="K930" s="40"/>
      <c r="L930" s="40"/>
      <c r="M930" s="40" t="str">
        <f>IF(B930="","",IF(COUNTIFS(Cobranza!$C$9:$C$1008,B930,Cobranza!$N$9:$N$1008,"Vencida")&gt;0,"Vencida",IF(COUNTIFS(Cobranza!$C$9:$C$1008,B930,Cobranza!$N$9:$N$1008,"Parcial")&gt;0,"Parcial",IF(COUNTIFS(Cobranza!$C$9:$C$1008,B930,Cobranza!$N$9:$N$1008,"Pendiente")&gt;0,"Pendiente",IF(COUNTIFS(Cobranza!$C$9:$C$1008,B930,Cobranza!$N$9:$N$1008,"Pagada")&gt;0,"Pagada","")))))</f>
        <v/>
      </c>
      <c r="N930" s="33" t="str">
        <f t="shared" ca="1" si="14"/>
        <v/>
      </c>
      <c r="O930" s="25"/>
      <c r="P930" s="11" t="str">
        <f ca="1">IF(AND(B930&lt;&gt;"",F930&lt;&gt;"Cerrada",F930&lt;&gt;"Perdida",N930&lt;&gt;"",N930&gt;14),COUNTIFS($F$8:$F930,"&lt;&gt;Cerrada",$F$8:$F930,"&lt;&gt;Perdida",$N$8:$N930,"&gt;14"),"")</f>
        <v/>
      </c>
    </row>
    <row r="931" spans="2:16" x14ac:dyDescent="0.25">
      <c r="B931" s="40"/>
      <c r="C931" s="40"/>
      <c r="D931" s="40"/>
      <c r="E931" s="40"/>
      <c r="F931" s="39"/>
      <c r="G931" s="41"/>
      <c r="H931" s="40"/>
      <c r="I931" s="41"/>
      <c r="J931" s="42"/>
      <c r="K931" s="40"/>
      <c r="L931" s="40"/>
      <c r="M931" s="40" t="str">
        <f>IF(B931="","",IF(COUNTIFS(Cobranza!$C$9:$C$1008,B931,Cobranza!$N$9:$N$1008,"Vencida")&gt;0,"Vencida",IF(COUNTIFS(Cobranza!$C$9:$C$1008,B931,Cobranza!$N$9:$N$1008,"Parcial")&gt;0,"Parcial",IF(COUNTIFS(Cobranza!$C$9:$C$1008,B931,Cobranza!$N$9:$N$1008,"Pendiente")&gt;0,"Pendiente",IF(COUNTIFS(Cobranza!$C$9:$C$1008,B931,Cobranza!$N$9:$N$1008,"Pagada")&gt;0,"Pagada","")))))</f>
        <v/>
      </c>
      <c r="N931" s="33" t="str">
        <f t="shared" ca="1" si="14"/>
        <v/>
      </c>
      <c r="O931" s="25"/>
      <c r="P931" s="11" t="str">
        <f ca="1">IF(AND(B931&lt;&gt;"",F931&lt;&gt;"Cerrada",F931&lt;&gt;"Perdida",N931&lt;&gt;"",N931&gt;14),COUNTIFS($F$8:$F931,"&lt;&gt;Cerrada",$F$8:$F931,"&lt;&gt;Perdida",$N$8:$N931,"&gt;14"),"")</f>
        <v/>
      </c>
    </row>
    <row r="932" spans="2:16" x14ac:dyDescent="0.25">
      <c r="B932" s="40"/>
      <c r="C932" s="40"/>
      <c r="D932" s="40"/>
      <c r="E932" s="40"/>
      <c r="F932" s="39"/>
      <c r="G932" s="41"/>
      <c r="H932" s="40"/>
      <c r="I932" s="41"/>
      <c r="J932" s="42"/>
      <c r="K932" s="40"/>
      <c r="L932" s="40"/>
      <c r="M932" s="40" t="str">
        <f>IF(B932="","",IF(COUNTIFS(Cobranza!$C$9:$C$1008,B932,Cobranza!$N$9:$N$1008,"Vencida")&gt;0,"Vencida",IF(COUNTIFS(Cobranza!$C$9:$C$1008,B932,Cobranza!$N$9:$N$1008,"Parcial")&gt;0,"Parcial",IF(COUNTIFS(Cobranza!$C$9:$C$1008,B932,Cobranza!$N$9:$N$1008,"Pendiente")&gt;0,"Pendiente",IF(COUNTIFS(Cobranza!$C$9:$C$1008,B932,Cobranza!$N$9:$N$1008,"Pagada")&gt;0,"Pagada","")))))</f>
        <v/>
      </c>
      <c r="N932" s="33" t="str">
        <f t="shared" ca="1" si="14"/>
        <v/>
      </c>
      <c r="O932" s="25"/>
      <c r="P932" s="11" t="str">
        <f ca="1">IF(AND(B932&lt;&gt;"",F932&lt;&gt;"Cerrada",F932&lt;&gt;"Perdida",N932&lt;&gt;"",N932&gt;14),COUNTIFS($F$8:$F932,"&lt;&gt;Cerrada",$F$8:$F932,"&lt;&gt;Perdida",$N$8:$N932,"&gt;14"),"")</f>
        <v/>
      </c>
    </row>
    <row r="933" spans="2:16" x14ac:dyDescent="0.25">
      <c r="B933" s="40"/>
      <c r="C933" s="40"/>
      <c r="D933" s="40"/>
      <c r="E933" s="40"/>
      <c r="F933" s="39"/>
      <c r="G933" s="41"/>
      <c r="H933" s="40"/>
      <c r="I933" s="41"/>
      <c r="J933" s="42"/>
      <c r="K933" s="40"/>
      <c r="L933" s="40"/>
      <c r="M933" s="40" t="str">
        <f>IF(B933="","",IF(COUNTIFS(Cobranza!$C$9:$C$1008,B933,Cobranza!$N$9:$N$1008,"Vencida")&gt;0,"Vencida",IF(COUNTIFS(Cobranza!$C$9:$C$1008,B933,Cobranza!$N$9:$N$1008,"Parcial")&gt;0,"Parcial",IF(COUNTIFS(Cobranza!$C$9:$C$1008,B933,Cobranza!$N$9:$N$1008,"Pendiente")&gt;0,"Pendiente",IF(COUNTIFS(Cobranza!$C$9:$C$1008,B933,Cobranza!$N$9:$N$1008,"Pagada")&gt;0,"Pagada","")))))</f>
        <v/>
      </c>
      <c r="N933" s="33" t="str">
        <f t="shared" ca="1" si="14"/>
        <v/>
      </c>
      <c r="O933" s="25"/>
      <c r="P933" s="11" t="str">
        <f ca="1">IF(AND(B933&lt;&gt;"",F933&lt;&gt;"Cerrada",F933&lt;&gt;"Perdida",N933&lt;&gt;"",N933&gt;14),COUNTIFS($F$8:$F933,"&lt;&gt;Cerrada",$F$8:$F933,"&lt;&gt;Perdida",$N$8:$N933,"&gt;14"),"")</f>
        <v/>
      </c>
    </row>
    <row r="934" spans="2:16" x14ac:dyDescent="0.25">
      <c r="B934" s="40"/>
      <c r="C934" s="40"/>
      <c r="D934" s="40"/>
      <c r="E934" s="40"/>
      <c r="F934" s="39"/>
      <c r="G934" s="41"/>
      <c r="H934" s="40"/>
      <c r="I934" s="41"/>
      <c r="J934" s="42"/>
      <c r="K934" s="40"/>
      <c r="L934" s="40"/>
      <c r="M934" s="40" t="str">
        <f>IF(B934="","",IF(COUNTIFS(Cobranza!$C$9:$C$1008,B934,Cobranza!$N$9:$N$1008,"Vencida")&gt;0,"Vencida",IF(COUNTIFS(Cobranza!$C$9:$C$1008,B934,Cobranza!$N$9:$N$1008,"Parcial")&gt;0,"Parcial",IF(COUNTIFS(Cobranza!$C$9:$C$1008,B934,Cobranza!$N$9:$N$1008,"Pendiente")&gt;0,"Pendiente",IF(COUNTIFS(Cobranza!$C$9:$C$1008,B934,Cobranza!$N$9:$N$1008,"Pagada")&gt;0,"Pagada","")))))</f>
        <v/>
      </c>
      <c r="N934" s="33" t="str">
        <f t="shared" ca="1" si="14"/>
        <v/>
      </c>
      <c r="O934" s="25"/>
      <c r="P934" s="11" t="str">
        <f ca="1">IF(AND(B934&lt;&gt;"",F934&lt;&gt;"Cerrada",F934&lt;&gt;"Perdida",N934&lt;&gt;"",N934&gt;14),COUNTIFS($F$8:$F934,"&lt;&gt;Cerrada",$F$8:$F934,"&lt;&gt;Perdida",$N$8:$N934,"&gt;14"),"")</f>
        <v/>
      </c>
    </row>
    <row r="935" spans="2:16" x14ac:dyDescent="0.25">
      <c r="B935" s="40"/>
      <c r="C935" s="40"/>
      <c r="D935" s="40"/>
      <c r="E935" s="40"/>
      <c r="F935" s="39"/>
      <c r="G935" s="41"/>
      <c r="H935" s="40"/>
      <c r="I935" s="41"/>
      <c r="J935" s="42"/>
      <c r="K935" s="40"/>
      <c r="L935" s="40"/>
      <c r="M935" s="40" t="str">
        <f>IF(B935="","",IF(COUNTIFS(Cobranza!$C$9:$C$1008,B935,Cobranza!$N$9:$N$1008,"Vencida")&gt;0,"Vencida",IF(COUNTIFS(Cobranza!$C$9:$C$1008,B935,Cobranza!$N$9:$N$1008,"Parcial")&gt;0,"Parcial",IF(COUNTIFS(Cobranza!$C$9:$C$1008,B935,Cobranza!$N$9:$N$1008,"Pendiente")&gt;0,"Pendiente",IF(COUNTIFS(Cobranza!$C$9:$C$1008,B935,Cobranza!$N$9:$N$1008,"Pagada")&gt;0,"Pagada","")))))</f>
        <v/>
      </c>
      <c r="N935" s="33" t="str">
        <f t="shared" ca="1" si="14"/>
        <v/>
      </c>
      <c r="O935" s="25"/>
      <c r="P935" s="11" t="str">
        <f ca="1">IF(AND(B935&lt;&gt;"",F935&lt;&gt;"Cerrada",F935&lt;&gt;"Perdida",N935&lt;&gt;"",N935&gt;14),COUNTIFS($F$8:$F935,"&lt;&gt;Cerrada",$F$8:$F935,"&lt;&gt;Perdida",$N$8:$N935,"&gt;14"),"")</f>
        <v/>
      </c>
    </row>
    <row r="936" spans="2:16" x14ac:dyDescent="0.25">
      <c r="B936" s="40"/>
      <c r="C936" s="40"/>
      <c r="D936" s="40"/>
      <c r="E936" s="40"/>
      <c r="F936" s="39"/>
      <c r="G936" s="41"/>
      <c r="H936" s="40"/>
      <c r="I936" s="41"/>
      <c r="J936" s="42"/>
      <c r="K936" s="40"/>
      <c r="L936" s="40"/>
      <c r="M936" s="40" t="str">
        <f>IF(B936="","",IF(COUNTIFS(Cobranza!$C$9:$C$1008,B936,Cobranza!$N$9:$N$1008,"Vencida")&gt;0,"Vencida",IF(COUNTIFS(Cobranza!$C$9:$C$1008,B936,Cobranza!$N$9:$N$1008,"Parcial")&gt;0,"Parcial",IF(COUNTIFS(Cobranza!$C$9:$C$1008,B936,Cobranza!$N$9:$N$1008,"Pendiente")&gt;0,"Pendiente",IF(COUNTIFS(Cobranza!$C$9:$C$1008,B936,Cobranza!$N$9:$N$1008,"Pagada")&gt;0,"Pagada","")))))</f>
        <v/>
      </c>
      <c r="N936" s="33" t="str">
        <f t="shared" ca="1" si="14"/>
        <v/>
      </c>
      <c r="O936" s="25"/>
      <c r="P936" s="11" t="str">
        <f ca="1">IF(AND(B936&lt;&gt;"",F936&lt;&gt;"Cerrada",F936&lt;&gt;"Perdida",N936&lt;&gt;"",N936&gt;14),COUNTIFS($F$8:$F936,"&lt;&gt;Cerrada",$F$8:$F936,"&lt;&gt;Perdida",$N$8:$N936,"&gt;14"),"")</f>
        <v/>
      </c>
    </row>
    <row r="937" spans="2:16" x14ac:dyDescent="0.25">
      <c r="B937" s="40"/>
      <c r="C937" s="40"/>
      <c r="D937" s="40"/>
      <c r="E937" s="40"/>
      <c r="F937" s="39"/>
      <c r="G937" s="41"/>
      <c r="H937" s="40"/>
      <c r="I937" s="41"/>
      <c r="J937" s="42"/>
      <c r="K937" s="40"/>
      <c r="L937" s="40"/>
      <c r="M937" s="40" t="str">
        <f>IF(B937="","",IF(COUNTIFS(Cobranza!$C$9:$C$1008,B937,Cobranza!$N$9:$N$1008,"Vencida")&gt;0,"Vencida",IF(COUNTIFS(Cobranza!$C$9:$C$1008,B937,Cobranza!$N$9:$N$1008,"Parcial")&gt;0,"Parcial",IF(COUNTIFS(Cobranza!$C$9:$C$1008,B937,Cobranza!$N$9:$N$1008,"Pendiente")&gt;0,"Pendiente",IF(COUNTIFS(Cobranza!$C$9:$C$1008,B937,Cobranza!$N$9:$N$1008,"Pagada")&gt;0,"Pagada","")))))</f>
        <v/>
      </c>
      <c r="N937" s="33" t="str">
        <f t="shared" ca="1" si="14"/>
        <v/>
      </c>
      <c r="O937" s="25"/>
      <c r="P937" s="11" t="str">
        <f ca="1">IF(AND(B937&lt;&gt;"",F937&lt;&gt;"Cerrada",F937&lt;&gt;"Perdida",N937&lt;&gt;"",N937&gt;14),COUNTIFS($F$8:$F937,"&lt;&gt;Cerrada",$F$8:$F937,"&lt;&gt;Perdida",$N$8:$N937,"&gt;14"),"")</f>
        <v/>
      </c>
    </row>
    <row r="938" spans="2:16" x14ac:dyDescent="0.25">
      <c r="B938" s="40"/>
      <c r="C938" s="40"/>
      <c r="D938" s="40"/>
      <c r="E938" s="40"/>
      <c r="F938" s="39"/>
      <c r="G938" s="41"/>
      <c r="H938" s="40"/>
      <c r="I938" s="41"/>
      <c r="J938" s="42"/>
      <c r="K938" s="40"/>
      <c r="L938" s="40"/>
      <c r="M938" s="40" t="str">
        <f>IF(B938="","",IF(COUNTIFS(Cobranza!$C$9:$C$1008,B938,Cobranza!$N$9:$N$1008,"Vencida")&gt;0,"Vencida",IF(COUNTIFS(Cobranza!$C$9:$C$1008,B938,Cobranza!$N$9:$N$1008,"Parcial")&gt;0,"Parcial",IF(COUNTIFS(Cobranza!$C$9:$C$1008,B938,Cobranza!$N$9:$N$1008,"Pendiente")&gt;0,"Pendiente",IF(COUNTIFS(Cobranza!$C$9:$C$1008,B938,Cobranza!$N$9:$N$1008,"Pagada")&gt;0,"Pagada","")))))</f>
        <v/>
      </c>
      <c r="N938" s="33" t="str">
        <f t="shared" ca="1" si="14"/>
        <v/>
      </c>
      <c r="O938" s="25"/>
      <c r="P938" s="11" t="str">
        <f ca="1">IF(AND(B938&lt;&gt;"",F938&lt;&gt;"Cerrada",F938&lt;&gt;"Perdida",N938&lt;&gt;"",N938&gt;14),COUNTIFS($F$8:$F938,"&lt;&gt;Cerrada",$F$8:$F938,"&lt;&gt;Perdida",$N$8:$N938,"&gt;14"),"")</f>
        <v/>
      </c>
    </row>
    <row r="939" spans="2:16" x14ac:dyDescent="0.25">
      <c r="B939" s="40"/>
      <c r="C939" s="40"/>
      <c r="D939" s="40"/>
      <c r="E939" s="40"/>
      <c r="F939" s="39"/>
      <c r="G939" s="41"/>
      <c r="H939" s="40"/>
      <c r="I939" s="41"/>
      <c r="J939" s="42"/>
      <c r="K939" s="40"/>
      <c r="L939" s="40"/>
      <c r="M939" s="40" t="str">
        <f>IF(B939="","",IF(COUNTIFS(Cobranza!$C$9:$C$1008,B939,Cobranza!$N$9:$N$1008,"Vencida")&gt;0,"Vencida",IF(COUNTIFS(Cobranza!$C$9:$C$1008,B939,Cobranza!$N$9:$N$1008,"Parcial")&gt;0,"Parcial",IF(COUNTIFS(Cobranza!$C$9:$C$1008,B939,Cobranza!$N$9:$N$1008,"Pendiente")&gt;0,"Pendiente",IF(COUNTIFS(Cobranza!$C$9:$C$1008,B939,Cobranza!$N$9:$N$1008,"Pagada")&gt;0,"Pagada","")))))</f>
        <v/>
      </c>
      <c r="N939" s="33" t="str">
        <f t="shared" ca="1" si="14"/>
        <v/>
      </c>
      <c r="O939" s="25"/>
      <c r="P939" s="11" t="str">
        <f ca="1">IF(AND(B939&lt;&gt;"",F939&lt;&gt;"Cerrada",F939&lt;&gt;"Perdida",N939&lt;&gt;"",N939&gt;14),COUNTIFS($F$8:$F939,"&lt;&gt;Cerrada",$F$8:$F939,"&lt;&gt;Perdida",$N$8:$N939,"&gt;14"),"")</f>
        <v/>
      </c>
    </row>
    <row r="940" spans="2:16" x14ac:dyDescent="0.25">
      <c r="B940" s="40"/>
      <c r="C940" s="40"/>
      <c r="D940" s="40"/>
      <c r="E940" s="40"/>
      <c r="F940" s="39"/>
      <c r="G940" s="41"/>
      <c r="H940" s="40"/>
      <c r="I940" s="41"/>
      <c r="J940" s="42"/>
      <c r="K940" s="40"/>
      <c r="L940" s="40"/>
      <c r="M940" s="40" t="str">
        <f>IF(B940="","",IF(COUNTIFS(Cobranza!$C$9:$C$1008,B940,Cobranza!$N$9:$N$1008,"Vencida")&gt;0,"Vencida",IF(COUNTIFS(Cobranza!$C$9:$C$1008,B940,Cobranza!$N$9:$N$1008,"Parcial")&gt;0,"Parcial",IF(COUNTIFS(Cobranza!$C$9:$C$1008,B940,Cobranza!$N$9:$N$1008,"Pendiente")&gt;0,"Pendiente",IF(COUNTIFS(Cobranza!$C$9:$C$1008,B940,Cobranza!$N$9:$N$1008,"Pagada")&gt;0,"Pagada","")))))</f>
        <v/>
      </c>
      <c r="N940" s="33" t="str">
        <f t="shared" ca="1" si="14"/>
        <v/>
      </c>
      <c r="O940" s="25"/>
      <c r="P940" s="11" t="str">
        <f ca="1">IF(AND(B940&lt;&gt;"",F940&lt;&gt;"Cerrada",F940&lt;&gt;"Perdida",N940&lt;&gt;"",N940&gt;14),COUNTIFS($F$8:$F940,"&lt;&gt;Cerrada",$F$8:$F940,"&lt;&gt;Perdida",$N$8:$N940,"&gt;14"),"")</f>
        <v/>
      </c>
    </row>
    <row r="941" spans="2:16" x14ac:dyDescent="0.25">
      <c r="B941" s="40"/>
      <c r="C941" s="40"/>
      <c r="D941" s="40"/>
      <c r="E941" s="40"/>
      <c r="F941" s="39"/>
      <c r="G941" s="41"/>
      <c r="H941" s="40"/>
      <c r="I941" s="41"/>
      <c r="J941" s="42"/>
      <c r="K941" s="40"/>
      <c r="L941" s="40"/>
      <c r="M941" s="40" t="str">
        <f>IF(B941="","",IF(COUNTIFS(Cobranza!$C$9:$C$1008,B941,Cobranza!$N$9:$N$1008,"Vencida")&gt;0,"Vencida",IF(COUNTIFS(Cobranza!$C$9:$C$1008,B941,Cobranza!$N$9:$N$1008,"Parcial")&gt;0,"Parcial",IF(COUNTIFS(Cobranza!$C$9:$C$1008,B941,Cobranza!$N$9:$N$1008,"Pendiente")&gt;0,"Pendiente",IF(COUNTIFS(Cobranza!$C$9:$C$1008,B941,Cobranza!$N$9:$N$1008,"Pagada")&gt;0,"Pagada","")))))</f>
        <v/>
      </c>
      <c r="N941" s="33" t="str">
        <f t="shared" ca="1" si="14"/>
        <v/>
      </c>
      <c r="O941" s="25"/>
      <c r="P941" s="11" t="str">
        <f ca="1">IF(AND(B941&lt;&gt;"",F941&lt;&gt;"Cerrada",F941&lt;&gt;"Perdida",N941&lt;&gt;"",N941&gt;14),COUNTIFS($F$8:$F941,"&lt;&gt;Cerrada",$F$8:$F941,"&lt;&gt;Perdida",$N$8:$N941,"&gt;14"),"")</f>
        <v/>
      </c>
    </row>
    <row r="942" spans="2:16" x14ac:dyDescent="0.25">
      <c r="B942" s="40"/>
      <c r="C942" s="40"/>
      <c r="D942" s="40"/>
      <c r="E942" s="40"/>
      <c r="F942" s="39"/>
      <c r="G942" s="41"/>
      <c r="H942" s="40"/>
      <c r="I942" s="41"/>
      <c r="J942" s="42"/>
      <c r="K942" s="40"/>
      <c r="L942" s="40"/>
      <c r="M942" s="40" t="str">
        <f>IF(B942="","",IF(COUNTIFS(Cobranza!$C$9:$C$1008,B942,Cobranza!$N$9:$N$1008,"Vencida")&gt;0,"Vencida",IF(COUNTIFS(Cobranza!$C$9:$C$1008,B942,Cobranza!$N$9:$N$1008,"Parcial")&gt;0,"Parcial",IF(COUNTIFS(Cobranza!$C$9:$C$1008,B942,Cobranza!$N$9:$N$1008,"Pendiente")&gt;0,"Pendiente",IF(COUNTIFS(Cobranza!$C$9:$C$1008,B942,Cobranza!$N$9:$N$1008,"Pagada")&gt;0,"Pagada","")))))</f>
        <v/>
      </c>
      <c r="N942" s="33" t="str">
        <f t="shared" ca="1" si="14"/>
        <v/>
      </c>
      <c r="O942" s="25"/>
      <c r="P942" s="11" t="str">
        <f ca="1">IF(AND(B942&lt;&gt;"",F942&lt;&gt;"Cerrada",F942&lt;&gt;"Perdida",N942&lt;&gt;"",N942&gt;14),COUNTIFS($F$8:$F942,"&lt;&gt;Cerrada",$F$8:$F942,"&lt;&gt;Perdida",$N$8:$N942,"&gt;14"),"")</f>
        <v/>
      </c>
    </row>
    <row r="943" spans="2:16" x14ac:dyDescent="0.25">
      <c r="B943" s="40"/>
      <c r="C943" s="40"/>
      <c r="D943" s="40"/>
      <c r="E943" s="40"/>
      <c r="F943" s="39"/>
      <c r="G943" s="41"/>
      <c r="H943" s="40"/>
      <c r="I943" s="41"/>
      <c r="J943" s="42"/>
      <c r="K943" s="40"/>
      <c r="L943" s="40"/>
      <c r="M943" s="40" t="str">
        <f>IF(B943="","",IF(COUNTIFS(Cobranza!$C$9:$C$1008,B943,Cobranza!$N$9:$N$1008,"Vencida")&gt;0,"Vencida",IF(COUNTIFS(Cobranza!$C$9:$C$1008,B943,Cobranza!$N$9:$N$1008,"Parcial")&gt;0,"Parcial",IF(COUNTIFS(Cobranza!$C$9:$C$1008,B943,Cobranza!$N$9:$N$1008,"Pendiente")&gt;0,"Pendiente",IF(COUNTIFS(Cobranza!$C$9:$C$1008,B943,Cobranza!$N$9:$N$1008,"Pagada")&gt;0,"Pagada","")))))</f>
        <v/>
      </c>
      <c r="N943" s="33" t="str">
        <f t="shared" ca="1" si="14"/>
        <v/>
      </c>
      <c r="O943" s="25"/>
      <c r="P943" s="11" t="str">
        <f ca="1">IF(AND(B943&lt;&gt;"",F943&lt;&gt;"Cerrada",F943&lt;&gt;"Perdida",N943&lt;&gt;"",N943&gt;14),COUNTIFS($F$8:$F943,"&lt;&gt;Cerrada",$F$8:$F943,"&lt;&gt;Perdida",$N$8:$N943,"&gt;14"),"")</f>
        <v/>
      </c>
    </row>
    <row r="944" spans="2:16" x14ac:dyDescent="0.25">
      <c r="B944" s="40"/>
      <c r="C944" s="40"/>
      <c r="D944" s="40"/>
      <c r="E944" s="40"/>
      <c r="F944" s="39"/>
      <c r="G944" s="41"/>
      <c r="H944" s="40"/>
      <c r="I944" s="41"/>
      <c r="J944" s="42"/>
      <c r="K944" s="40"/>
      <c r="L944" s="40"/>
      <c r="M944" s="40" t="str">
        <f>IF(B944="","",IF(COUNTIFS(Cobranza!$C$9:$C$1008,B944,Cobranza!$N$9:$N$1008,"Vencida")&gt;0,"Vencida",IF(COUNTIFS(Cobranza!$C$9:$C$1008,B944,Cobranza!$N$9:$N$1008,"Parcial")&gt;0,"Parcial",IF(COUNTIFS(Cobranza!$C$9:$C$1008,B944,Cobranza!$N$9:$N$1008,"Pendiente")&gt;0,"Pendiente",IF(COUNTIFS(Cobranza!$C$9:$C$1008,B944,Cobranza!$N$9:$N$1008,"Pagada")&gt;0,"Pagada","")))))</f>
        <v/>
      </c>
      <c r="N944" s="33" t="str">
        <f t="shared" ca="1" si="14"/>
        <v/>
      </c>
      <c r="O944" s="25"/>
      <c r="P944" s="11" t="str">
        <f ca="1">IF(AND(B944&lt;&gt;"",F944&lt;&gt;"Cerrada",F944&lt;&gt;"Perdida",N944&lt;&gt;"",N944&gt;14),COUNTIFS($F$8:$F944,"&lt;&gt;Cerrada",$F$8:$F944,"&lt;&gt;Perdida",$N$8:$N944,"&gt;14"),"")</f>
        <v/>
      </c>
    </row>
    <row r="945" spans="2:16" x14ac:dyDescent="0.25">
      <c r="B945" s="40"/>
      <c r="C945" s="40"/>
      <c r="D945" s="40"/>
      <c r="E945" s="40"/>
      <c r="F945" s="39"/>
      <c r="G945" s="41"/>
      <c r="H945" s="40"/>
      <c r="I945" s="41"/>
      <c r="J945" s="42"/>
      <c r="K945" s="40"/>
      <c r="L945" s="40"/>
      <c r="M945" s="40" t="str">
        <f>IF(B945="","",IF(COUNTIFS(Cobranza!$C$9:$C$1008,B945,Cobranza!$N$9:$N$1008,"Vencida")&gt;0,"Vencida",IF(COUNTIFS(Cobranza!$C$9:$C$1008,B945,Cobranza!$N$9:$N$1008,"Parcial")&gt;0,"Parcial",IF(COUNTIFS(Cobranza!$C$9:$C$1008,B945,Cobranza!$N$9:$N$1008,"Pendiente")&gt;0,"Pendiente",IF(COUNTIFS(Cobranza!$C$9:$C$1008,B945,Cobranza!$N$9:$N$1008,"Pagada")&gt;0,"Pagada","")))))</f>
        <v/>
      </c>
      <c r="N945" s="33" t="str">
        <f t="shared" ca="1" si="14"/>
        <v/>
      </c>
      <c r="O945" s="25"/>
      <c r="P945" s="11" t="str">
        <f ca="1">IF(AND(B945&lt;&gt;"",F945&lt;&gt;"Cerrada",F945&lt;&gt;"Perdida",N945&lt;&gt;"",N945&gt;14),COUNTIFS($F$8:$F945,"&lt;&gt;Cerrada",$F$8:$F945,"&lt;&gt;Perdida",$N$8:$N945,"&gt;14"),"")</f>
        <v/>
      </c>
    </row>
    <row r="946" spans="2:16" x14ac:dyDescent="0.25">
      <c r="B946" s="40"/>
      <c r="C946" s="40"/>
      <c r="D946" s="40"/>
      <c r="E946" s="40"/>
      <c r="F946" s="39"/>
      <c r="G946" s="41"/>
      <c r="H946" s="40"/>
      <c r="I946" s="41"/>
      <c r="J946" s="42"/>
      <c r="K946" s="40"/>
      <c r="L946" s="40"/>
      <c r="M946" s="40" t="str">
        <f>IF(B946="","",IF(COUNTIFS(Cobranza!$C$9:$C$1008,B946,Cobranza!$N$9:$N$1008,"Vencida")&gt;0,"Vencida",IF(COUNTIFS(Cobranza!$C$9:$C$1008,B946,Cobranza!$N$9:$N$1008,"Parcial")&gt;0,"Parcial",IF(COUNTIFS(Cobranza!$C$9:$C$1008,B946,Cobranza!$N$9:$N$1008,"Pendiente")&gt;0,"Pendiente",IF(COUNTIFS(Cobranza!$C$9:$C$1008,B946,Cobranza!$N$9:$N$1008,"Pagada")&gt;0,"Pagada","")))))</f>
        <v/>
      </c>
      <c r="N946" s="33" t="str">
        <f t="shared" ca="1" si="14"/>
        <v/>
      </c>
      <c r="O946" s="25"/>
      <c r="P946" s="11" t="str">
        <f ca="1">IF(AND(B946&lt;&gt;"",F946&lt;&gt;"Cerrada",F946&lt;&gt;"Perdida",N946&lt;&gt;"",N946&gt;14),COUNTIFS($F$8:$F946,"&lt;&gt;Cerrada",$F$8:$F946,"&lt;&gt;Perdida",$N$8:$N946,"&gt;14"),"")</f>
        <v/>
      </c>
    </row>
    <row r="947" spans="2:16" x14ac:dyDescent="0.25">
      <c r="B947" s="40"/>
      <c r="C947" s="40"/>
      <c r="D947" s="40"/>
      <c r="E947" s="40"/>
      <c r="F947" s="39"/>
      <c r="G947" s="41"/>
      <c r="H947" s="40"/>
      <c r="I947" s="41"/>
      <c r="J947" s="42"/>
      <c r="K947" s="40"/>
      <c r="L947" s="40"/>
      <c r="M947" s="40" t="str">
        <f>IF(B947="","",IF(COUNTIFS(Cobranza!$C$9:$C$1008,B947,Cobranza!$N$9:$N$1008,"Vencida")&gt;0,"Vencida",IF(COUNTIFS(Cobranza!$C$9:$C$1008,B947,Cobranza!$N$9:$N$1008,"Parcial")&gt;0,"Parcial",IF(COUNTIFS(Cobranza!$C$9:$C$1008,B947,Cobranza!$N$9:$N$1008,"Pendiente")&gt;0,"Pendiente",IF(COUNTIFS(Cobranza!$C$9:$C$1008,B947,Cobranza!$N$9:$N$1008,"Pagada")&gt;0,"Pagada","")))))</f>
        <v/>
      </c>
      <c r="N947" s="33" t="str">
        <f t="shared" ca="1" si="14"/>
        <v/>
      </c>
      <c r="O947" s="25"/>
      <c r="P947" s="11" t="str">
        <f ca="1">IF(AND(B947&lt;&gt;"",F947&lt;&gt;"Cerrada",F947&lt;&gt;"Perdida",N947&lt;&gt;"",N947&gt;14),COUNTIFS($F$8:$F947,"&lt;&gt;Cerrada",$F$8:$F947,"&lt;&gt;Perdida",$N$8:$N947,"&gt;14"),"")</f>
        <v/>
      </c>
    </row>
    <row r="948" spans="2:16" x14ac:dyDescent="0.25">
      <c r="B948" s="40"/>
      <c r="C948" s="40"/>
      <c r="D948" s="40"/>
      <c r="E948" s="40"/>
      <c r="F948" s="39"/>
      <c r="G948" s="41"/>
      <c r="H948" s="40"/>
      <c r="I948" s="41"/>
      <c r="J948" s="42"/>
      <c r="K948" s="40"/>
      <c r="L948" s="40"/>
      <c r="M948" s="40" t="str">
        <f>IF(B948="","",IF(COUNTIFS(Cobranza!$C$9:$C$1008,B948,Cobranza!$N$9:$N$1008,"Vencida")&gt;0,"Vencida",IF(COUNTIFS(Cobranza!$C$9:$C$1008,B948,Cobranza!$N$9:$N$1008,"Parcial")&gt;0,"Parcial",IF(COUNTIFS(Cobranza!$C$9:$C$1008,B948,Cobranza!$N$9:$N$1008,"Pendiente")&gt;0,"Pendiente",IF(COUNTIFS(Cobranza!$C$9:$C$1008,B948,Cobranza!$N$9:$N$1008,"Pagada")&gt;0,"Pagada","")))))</f>
        <v/>
      </c>
      <c r="N948" s="33" t="str">
        <f t="shared" ca="1" si="14"/>
        <v/>
      </c>
      <c r="O948" s="25"/>
      <c r="P948" s="11" t="str">
        <f ca="1">IF(AND(B948&lt;&gt;"",F948&lt;&gt;"Cerrada",F948&lt;&gt;"Perdida",N948&lt;&gt;"",N948&gt;14),COUNTIFS($F$8:$F948,"&lt;&gt;Cerrada",$F$8:$F948,"&lt;&gt;Perdida",$N$8:$N948,"&gt;14"),"")</f>
        <v/>
      </c>
    </row>
    <row r="949" spans="2:16" x14ac:dyDescent="0.25">
      <c r="B949" s="40"/>
      <c r="C949" s="40"/>
      <c r="D949" s="40"/>
      <c r="E949" s="40"/>
      <c r="F949" s="39"/>
      <c r="G949" s="41"/>
      <c r="H949" s="40"/>
      <c r="I949" s="41"/>
      <c r="J949" s="42"/>
      <c r="K949" s="40"/>
      <c r="L949" s="40"/>
      <c r="M949" s="40" t="str">
        <f>IF(B949="","",IF(COUNTIFS(Cobranza!$C$9:$C$1008,B949,Cobranza!$N$9:$N$1008,"Vencida")&gt;0,"Vencida",IF(COUNTIFS(Cobranza!$C$9:$C$1008,B949,Cobranza!$N$9:$N$1008,"Parcial")&gt;0,"Parcial",IF(COUNTIFS(Cobranza!$C$9:$C$1008,B949,Cobranza!$N$9:$N$1008,"Pendiente")&gt;0,"Pendiente",IF(COUNTIFS(Cobranza!$C$9:$C$1008,B949,Cobranza!$N$9:$N$1008,"Pagada")&gt;0,"Pagada","")))))</f>
        <v/>
      </c>
      <c r="N949" s="33" t="str">
        <f t="shared" ca="1" si="14"/>
        <v/>
      </c>
      <c r="O949" s="25"/>
      <c r="P949" s="11" t="str">
        <f ca="1">IF(AND(B949&lt;&gt;"",F949&lt;&gt;"Cerrada",F949&lt;&gt;"Perdida",N949&lt;&gt;"",N949&gt;14),COUNTIFS($F$8:$F949,"&lt;&gt;Cerrada",$F$8:$F949,"&lt;&gt;Perdida",$N$8:$N949,"&gt;14"),"")</f>
        <v/>
      </c>
    </row>
    <row r="950" spans="2:16" x14ac:dyDescent="0.25">
      <c r="B950" s="40"/>
      <c r="C950" s="40"/>
      <c r="D950" s="40"/>
      <c r="E950" s="40"/>
      <c r="F950" s="39"/>
      <c r="G950" s="41"/>
      <c r="H950" s="40"/>
      <c r="I950" s="41"/>
      <c r="J950" s="42"/>
      <c r="K950" s="40"/>
      <c r="L950" s="40"/>
      <c r="M950" s="40" t="str">
        <f>IF(B950="","",IF(COUNTIFS(Cobranza!$C$9:$C$1008,B950,Cobranza!$N$9:$N$1008,"Vencida")&gt;0,"Vencida",IF(COUNTIFS(Cobranza!$C$9:$C$1008,B950,Cobranza!$N$9:$N$1008,"Parcial")&gt;0,"Parcial",IF(COUNTIFS(Cobranza!$C$9:$C$1008,B950,Cobranza!$N$9:$N$1008,"Pendiente")&gt;0,"Pendiente",IF(COUNTIFS(Cobranza!$C$9:$C$1008,B950,Cobranza!$N$9:$N$1008,"Pagada")&gt;0,"Pagada","")))))</f>
        <v/>
      </c>
      <c r="N950" s="33" t="str">
        <f t="shared" ca="1" si="14"/>
        <v/>
      </c>
      <c r="O950" s="25"/>
      <c r="P950" s="11" t="str">
        <f ca="1">IF(AND(B950&lt;&gt;"",F950&lt;&gt;"Cerrada",F950&lt;&gt;"Perdida",N950&lt;&gt;"",N950&gt;14),COUNTIFS($F$8:$F950,"&lt;&gt;Cerrada",$F$8:$F950,"&lt;&gt;Perdida",$N$8:$N950,"&gt;14"),"")</f>
        <v/>
      </c>
    </row>
    <row r="951" spans="2:16" x14ac:dyDescent="0.25">
      <c r="B951" s="40"/>
      <c r="C951" s="40"/>
      <c r="D951" s="40"/>
      <c r="E951" s="40"/>
      <c r="F951" s="39"/>
      <c r="G951" s="41"/>
      <c r="H951" s="40"/>
      <c r="I951" s="41"/>
      <c r="J951" s="42"/>
      <c r="K951" s="40"/>
      <c r="L951" s="40"/>
      <c r="M951" s="40" t="str">
        <f>IF(B951="","",IF(COUNTIFS(Cobranza!$C$9:$C$1008,B951,Cobranza!$N$9:$N$1008,"Vencida")&gt;0,"Vencida",IF(COUNTIFS(Cobranza!$C$9:$C$1008,B951,Cobranza!$N$9:$N$1008,"Parcial")&gt;0,"Parcial",IF(COUNTIFS(Cobranza!$C$9:$C$1008,B951,Cobranza!$N$9:$N$1008,"Pendiente")&gt;0,"Pendiente",IF(COUNTIFS(Cobranza!$C$9:$C$1008,B951,Cobranza!$N$9:$N$1008,"Pagada")&gt;0,"Pagada","")))))</f>
        <v/>
      </c>
      <c r="N951" s="33" t="str">
        <f t="shared" ca="1" si="14"/>
        <v/>
      </c>
      <c r="O951" s="25"/>
      <c r="P951" s="11" t="str">
        <f ca="1">IF(AND(B951&lt;&gt;"",F951&lt;&gt;"Cerrada",F951&lt;&gt;"Perdida",N951&lt;&gt;"",N951&gt;14),COUNTIFS($F$8:$F951,"&lt;&gt;Cerrada",$F$8:$F951,"&lt;&gt;Perdida",$N$8:$N951,"&gt;14"),"")</f>
        <v/>
      </c>
    </row>
    <row r="952" spans="2:16" x14ac:dyDescent="0.25">
      <c r="B952" s="40"/>
      <c r="C952" s="40"/>
      <c r="D952" s="40"/>
      <c r="E952" s="40"/>
      <c r="F952" s="39"/>
      <c r="G952" s="41"/>
      <c r="H952" s="40"/>
      <c r="I952" s="41"/>
      <c r="J952" s="42"/>
      <c r="K952" s="40"/>
      <c r="L952" s="40"/>
      <c r="M952" s="40" t="str">
        <f>IF(B952="","",IF(COUNTIFS(Cobranza!$C$9:$C$1008,B952,Cobranza!$N$9:$N$1008,"Vencida")&gt;0,"Vencida",IF(COUNTIFS(Cobranza!$C$9:$C$1008,B952,Cobranza!$N$9:$N$1008,"Parcial")&gt;0,"Parcial",IF(COUNTIFS(Cobranza!$C$9:$C$1008,B952,Cobranza!$N$9:$N$1008,"Pendiente")&gt;0,"Pendiente",IF(COUNTIFS(Cobranza!$C$9:$C$1008,B952,Cobranza!$N$9:$N$1008,"Pagada")&gt;0,"Pagada","")))))</f>
        <v/>
      </c>
      <c r="N952" s="33" t="str">
        <f t="shared" ca="1" si="14"/>
        <v/>
      </c>
      <c r="O952" s="25"/>
      <c r="P952" s="11" t="str">
        <f ca="1">IF(AND(B952&lt;&gt;"",F952&lt;&gt;"Cerrada",F952&lt;&gt;"Perdida",N952&lt;&gt;"",N952&gt;14),COUNTIFS($F$8:$F952,"&lt;&gt;Cerrada",$F$8:$F952,"&lt;&gt;Perdida",$N$8:$N952,"&gt;14"),"")</f>
        <v/>
      </c>
    </row>
    <row r="953" spans="2:16" x14ac:dyDescent="0.25">
      <c r="B953" s="40"/>
      <c r="C953" s="40"/>
      <c r="D953" s="40"/>
      <c r="E953" s="40"/>
      <c r="F953" s="39"/>
      <c r="G953" s="41"/>
      <c r="H953" s="40"/>
      <c r="I953" s="41"/>
      <c r="J953" s="42"/>
      <c r="K953" s="40"/>
      <c r="L953" s="40"/>
      <c r="M953" s="40" t="str">
        <f>IF(B953="","",IF(COUNTIFS(Cobranza!$C$9:$C$1008,B953,Cobranza!$N$9:$N$1008,"Vencida")&gt;0,"Vencida",IF(COUNTIFS(Cobranza!$C$9:$C$1008,B953,Cobranza!$N$9:$N$1008,"Parcial")&gt;0,"Parcial",IF(COUNTIFS(Cobranza!$C$9:$C$1008,B953,Cobranza!$N$9:$N$1008,"Pendiente")&gt;0,"Pendiente",IF(COUNTIFS(Cobranza!$C$9:$C$1008,B953,Cobranza!$N$9:$N$1008,"Pagada")&gt;0,"Pagada","")))))</f>
        <v/>
      </c>
      <c r="N953" s="33" t="str">
        <f t="shared" ca="1" si="14"/>
        <v/>
      </c>
      <c r="O953" s="25"/>
      <c r="P953" s="11" t="str">
        <f ca="1">IF(AND(B953&lt;&gt;"",F953&lt;&gt;"Cerrada",F953&lt;&gt;"Perdida",N953&lt;&gt;"",N953&gt;14),COUNTIFS($F$8:$F953,"&lt;&gt;Cerrada",$F$8:$F953,"&lt;&gt;Perdida",$N$8:$N953,"&gt;14"),"")</f>
        <v/>
      </c>
    </row>
    <row r="954" spans="2:16" x14ac:dyDescent="0.25">
      <c r="B954" s="40"/>
      <c r="C954" s="40"/>
      <c r="D954" s="40"/>
      <c r="E954" s="40"/>
      <c r="F954" s="39"/>
      <c r="G954" s="41"/>
      <c r="H954" s="40"/>
      <c r="I954" s="41"/>
      <c r="J954" s="42"/>
      <c r="K954" s="40"/>
      <c r="L954" s="40"/>
      <c r="M954" s="40" t="str">
        <f>IF(B954="","",IF(COUNTIFS(Cobranza!$C$9:$C$1008,B954,Cobranza!$N$9:$N$1008,"Vencida")&gt;0,"Vencida",IF(COUNTIFS(Cobranza!$C$9:$C$1008,B954,Cobranza!$N$9:$N$1008,"Parcial")&gt;0,"Parcial",IF(COUNTIFS(Cobranza!$C$9:$C$1008,B954,Cobranza!$N$9:$N$1008,"Pendiente")&gt;0,"Pendiente",IF(COUNTIFS(Cobranza!$C$9:$C$1008,B954,Cobranza!$N$9:$N$1008,"Pagada")&gt;0,"Pagada","")))))</f>
        <v/>
      </c>
      <c r="N954" s="33" t="str">
        <f t="shared" ca="1" si="14"/>
        <v/>
      </c>
      <c r="O954" s="25"/>
      <c r="P954" s="11" t="str">
        <f ca="1">IF(AND(B954&lt;&gt;"",F954&lt;&gt;"Cerrada",F954&lt;&gt;"Perdida",N954&lt;&gt;"",N954&gt;14),COUNTIFS($F$8:$F954,"&lt;&gt;Cerrada",$F$8:$F954,"&lt;&gt;Perdida",$N$8:$N954,"&gt;14"),"")</f>
        <v/>
      </c>
    </row>
    <row r="955" spans="2:16" x14ac:dyDescent="0.25">
      <c r="B955" s="40"/>
      <c r="C955" s="40"/>
      <c r="D955" s="40"/>
      <c r="E955" s="40"/>
      <c r="F955" s="39"/>
      <c r="G955" s="41"/>
      <c r="H955" s="40"/>
      <c r="I955" s="41"/>
      <c r="J955" s="42"/>
      <c r="K955" s="40"/>
      <c r="L955" s="40"/>
      <c r="M955" s="40" t="str">
        <f>IF(B955="","",IF(COUNTIFS(Cobranza!$C$9:$C$1008,B955,Cobranza!$N$9:$N$1008,"Vencida")&gt;0,"Vencida",IF(COUNTIFS(Cobranza!$C$9:$C$1008,B955,Cobranza!$N$9:$N$1008,"Parcial")&gt;0,"Parcial",IF(COUNTIFS(Cobranza!$C$9:$C$1008,B955,Cobranza!$N$9:$N$1008,"Pendiente")&gt;0,"Pendiente",IF(COUNTIFS(Cobranza!$C$9:$C$1008,B955,Cobranza!$N$9:$N$1008,"Pagada")&gt;0,"Pagada","")))))</f>
        <v/>
      </c>
      <c r="N955" s="33" t="str">
        <f t="shared" ca="1" si="14"/>
        <v/>
      </c>
      <c r="O955" s="25"/>
      <c r="P955" s="11" t="str">
        <f ca="1">IF(AND(B955&lt;&gt;"",F955&lt;&gt;"Cerrada",F955&lt;&gt;"Perdida",N955&lt;&gt;"",N955&gt;14),COUNTIFS($F$8:$F955,"&lt;&gt;Cerrada",$F$8:$F955,"&lt;&gt;Perdida",$N$8:$N955,"&gt;14"),"")</f>
        <v/>
      </c>
    </row>
    <row r="956" spans="2:16" x14ac:dyDescent="0.25">
      <c r="B956" s="40"/>
      <c r="C956" s="40"/>
      <c r="D956" s="40"/>
      <c r="E956" s="40"/>
      <c r="F956" s="39"/>
      <c r="G956" s="41"/>
      <c r="H956" s="40"/>
      <c r="I956" s="41"/>
      <c r="J956" s="42"/>
      <c r="K956" s="40"/>
      <c r="L956" s="40"/>
      <c r="M956" s="40" t="str">
        <f>IF(B956="","",IF(COUNTIFS(Cobranza!$C$9:$C$1008,B956,Cobranza!$N$9:$N$1008,"Vencida")&gt;0,"Vencida",IF(COUNTIFS(Cobranza!$C$9:$C$1008,B956,Cobranza!$N$9:$N$1008,"Parcial")&gt;0,"Parcial",IF(COUNTIFS(Cobranza!$C$9:$C$1008,B956,Cobranza!$N$9:$N$1008,"Pendiente")&gt;0,"Pendiente",IF(COUNTIFS(Cobranza!$C$9:$C$1008,B956,Cobranza!$N$9:$N$1008,"Pagada")&gt;0,"Pagada","")))))</f>
        <v/>
      </c>
      <c r="N956" s="33" t="str">
        <f t="shared" ca="1" si="14"/>
        <v/>
      </c>
      <c r="O956" s="25"/>
      <c r="P956" s="11" t="str">
        <f ca="1">IF(AND(B956&lt;&gt;"",F956&lt;&gt;"Cerrada",F956&lt;&gt;"Perdida",N956&lt;&gt;"",N956&gt;14),COUNTIFS($F$8:$F956,"&lt;&gt;Cerrada",$F$8:$F956,"&lt;&gt;Perdida",$N$8:$N956,"&gt;14"),"")</f>
        <v/>
      </c>
    </row>
    <row r="957" spans="2:16" x14ac:dyDescent="0.25">
      <c r="B957" s="40"/>
      <c r="C957" s="40"/>
      <c r="D957" s="40"/>
      <c r="E957" s="40"/>
      <c r="F957" s="39"/>
      <c r="G957" s="41"/>
      <c r="H957" s="40"/>
      <c r="I957" s="41"/>
      <c r="J957" s="42"/>
      <c r="K957" s="40"/>
      <c r="L957" s="40"/>
      <c r="M957" s="40" t="str">
        <f>IF(B957="","",IF(COUNTIFS(Cobranza!$C$9:$C$1008,B957,Cobranza!$N$9:$N$1008,"Vencida")&gt;0,"Vencida",IF(COUNTIFS(Cobranza!$C$9:$C$1008,B957,Cobranza!$N$9:$N$1008,"Parcial")&gt;0,"Parcial",IF(COUNTIFS(Cobranza!$C$9:$C$1008,B957,Cobranza!$N$9:$N$1008,"Pendiente")&gt;0,"Pendiente",IF(COUNTIFS(Cobranza!$C$9:$C$1008,B957,Cobranza!$N$9:$N$1008,"Pagada")&gt;0,"Pagada","")))))</f>
        <v/>
      </c>
      <c r="N957" s="33" t="str">
        <f t="shared" ca="1" si="14"/>
        <v/>
      </c>
      <c r="O957" s="25"/>
      <c r="P957" s="11" t="str">
        <f ca="1">IF(AND(B957&lt;&gt;"",F957&lt;&gt;"Cerrada",F957&lt;&gt;"Perdida",N957&lt;&gt;"",N957&gt;14),COUNTIFS($F$8:$F957,"&lt;&gt;Cerrada",$F$8:$F957,"&lt;&gt;Perdida",$N$8:$N957,"&gt;14"),"")</f>
        <v/>
      </c>
    </row>
    <row r="958" spans="2:16" x14ac:dyDescent="0.25">
      <c r="B958" s="40"/>
      <c r="C958" s="40"/>
      <c r="D958" s="40"/>
      <c r="E958" s="40"/>
      <c r="F958" s="39"/>
      <c r="G958" s="41"/>
      <c r="H958" s="40"/>
      <c r="I958" s="41"/>
      <c r="J958" s="42"/>
      <c r="K958" s="40"/>
      <c r="L958" s="40"/>
      <c r="M958" s="40" t="str">
        <f>IF(B958="","",IF(COUNTIFS(Cobranza!$C$9:$C$1008,B958,Cobranza!$N$9:$N$1008,"Vencida")&gt;0,"Vencida",IF(COUNTIFS(Cobranza!$C$9:$C$1008,B958,Cobranza!$N$9:$N$1008,"Parcial")&gt;0,"Parcial",IF(COUNTIFS(Cobranza!$C$9:$C$1008,B958,Cobranza!$N$9:$N$1008,"Pendiente")&gt;0,"Pendiente",IF(COUNTIFS(Cobranza!$C$9:$C$1008,B958,Cobranza!$N$9:$N$1008,"Pagada")&gt;0,"Pagada","")))))</f>
        <v/>
      </c>
      <c r="N958" s="33" t="str">
        <f t="shared" ca="1" si="14"/>
        <v/>
      </c>
      <c r="O958" s="25"/>
      <c r="P958" s="11" t="str">
        <f ca="1">IF(AND(B958&lt;&gt;"",F958&lt;&gt;"Cerrada",F958&lt;&gt;"Perdida",N958&lt;&gt;"",N958&gt;14),COUNTIFS($F$8:$F958,"&lt;&gt;Cerrada",$F$8:$F958,"&lt;&gt;Perdida",$N$8:$N958,"&gt;14"),"")</f>
        <v/>
      </c>
    </row>
    <row r="959" spans="2:16" x14ac:dyDescent="0.25">
      <c r="B959" s="40"/>
      <c r="C959" s="40"/>
      <c r="D959" s="40"/>
      <c r="E959" s="40"/>
      <c r="F959" s="39"/>
      <c r="G959" s="41"/>
      <c r="H959" s="40"/>
      <c r="I959" s="41"/>
      <c r="J959" s="42"/>
      <c r="K959" s="40"/>
      <c r="L959" s="40"/>
      <c r="M959" s="40" t="str">
        <f>IF(B959="","",IF(COUNTIFS(Cobranza!$C$9:$C$1008,B959,Cobranza!$N$9:$N$1008,"Vencida")&gt;0,"Vencida",IF(COUNTIFS(Cobranza!$C$9:$C$1008,B959,Cobranza!$N$9:$N$1008,"Parcial")&gt;0,"Parcial",IF(COUNTIFS(Cobranza!$C$9:$C$1008,B959,Cobranza!$N$9:$N$1008,"Pendiente")&gt;0,"Pendiente",IF(COUNTIFS(Cobranza!$C$9:$C$1008,B959,Cobranza!$N$9:$N$1008,"Pagada")&gt;0,"Pagada","")))))</f>
        <v/>
      </c>
      <c r="N959" s="33" t="str">
        <f t="shared" ca="1" si="14"/>
        <v/>
      </c>
      <c r="O959" s="25"/>
      <c r="P959" s="11" t="str">
        <f ca="1">IF(AND(B959&lt;&gt;"",F959&lt;&gt;"Cerrada",F959&lt;&gt;"Perdida",N959&lt;&gt;"",N959&gt;14),COUNTIFS($F$8:$F959,"&lt;&gt;Cerrada",$F$8:$F959,"&lt;&gt;Perdida",$N$8:$N959,"&gt;14"),"")</f>
        <v/>
      </c>
    </row>
    <row r="960" spans="2:16" x14ac:dyDescent="0.25">
      <c r="B960" s="40"/>
      <c r="C960" s="40"/>
      <c r="D960" s="40"/>
      <c r="E960" s="40"/>
      <c r="F960" s="39"/>
      <c r="G960" s="41"/>
      <c r="H960" s="40"/>
      <c r="I960" s="41"/>
      <c r="J960" s="42"/>
      <c r="K960" s="40"/>
      <c r="L960" s="40"/>
      <c r="M960" s="40" t="str">
        <f>IF(B960="","",IF(COUNTIFS(Cobranza!$C$9:$C$1008,B960,Cobranza!$N$9:$N$1008,"Vencida")&gt;0,"Vencida",IF(COUNTIFS(Cobranza!$C$9:$C$1008,B960,Cobranza!$N$9:$N$1008,"Parcial")&gt;0,"Parcial",IF(COUNTIFS(Cobranza!$C$9:$C$1008,B960,Cobranza!$N$9:$N$1008,"Pendiente")&gt;0,"Pendiente",IF(COUNTIFS(Cobranza!$C$9:$C$1008,B960,Cobranza!$N$9:$N$1008,"Pagada")&gt;0,"Pagada","")))))</f>
        <v/>
      </c>
      <c r="N960" s="33" t="str">
        <f t="shared" ca="1" si="14"/>
        <v/>
      </c>
      <c r="O960" s="25"/>
      <c r="P960" s="11" t="str">
        <f ca="1">IF(AND(B960&lt;&gt;"",F960&lt;&gt;"Cerrada",F960&lt;&gt;"Perdida",N960&lt;&gt;"",N960&gt;14),COUNTIFS($F$8:$F960,"&lt;&gt;Cerrada",$F$8:$F960,"&lt;&gt;Perdida",$N$8:$N960,"&gt;14"),"")</f>
        <v/>
      </c>
    </row>
    <row r="961" spans="2:16" x14ac:dyDescent="0.25">
      <c r="B961" s="40"/>
      <c r="C961" s="40"/>
      <c r="D961" s="40"/>
      <c r="E961" s="40"/>
      <c r="F961" s="39"/>
      <c r="G961" s="41"/>
      <c r="H961" s="40"/>
      <c r="I961" s="41"/>
      <c r="J961" s="42"/>
      <c r="K961" s="40"/>
      <c r="L961" s="40"/>
      <c r="M961" s="40" t="str">
        <f>IF(B961="","",IF(COUNTIFS(Cobranza!$C$9:$C$1008,B961,Cobranza!$N$9:$N$1008,"Vencida")&gt;0,"Vencida",IF(COUNTIFS(Cobranza!$C$9:$C$1008,B961,Cobranza!$N$9:$N$1008,"Parcial")&gt;0,"Parcial",IF(COUNTIFS(Cobranza!$C$9:$C$1008,B961,Cobranza!$N$9:$N$1008,"Pendiente")&gt;0,"Pendiente",IF(COUNTIFS(Cobranza!$C$9:$C$1008,B961,Cobranza!$N$9:$N$1008,"Pagada")&gt;0,"Pagada","")))))</f>
        <v/>
      </c>
      <c r="N961" s="33" t="str">
        <f t="shared" ca="1" si="14"/>
        <v/>
      </c>
      <c r="O961" s="25"/>
      <c r="P961" s="11" t="str">
        <f ca="1">IF(AND(B961&lt;&gt;"",F961&lt;&gt;"Cerrada",F961&lt;&gt;"Perdida",N961&lt;&gt;"",N961&gt;14),COUNTIFS($F$8:$F961,"&lt;&gt;Cerrada",$F$8:$F961,"&lt;&gt;Perdida",$N$8:$N961,"&gt;14"),"")</f>
        <v/>
      </c>
    </row>
    <row r="962" spans="2:16" x14ac:dyDescent="0.25">
      <c r="B962" s="40"/>
      <c r="C962" s="40"/>
      <c r="D962" s="40"/>
      <c r="E962" s="40"/>
      <c r="F962" s="39"/>
      <c r="G962" s="41"/>
      <c r="H962" s="40"/>
      <c r="I962" s="41"/>
      <c r="J962" s="42"/>
      <c r="K962" s="40"/>
      <c r="L962" s="40"/>
      <c r="M962" s="40" t="str">
        <f>IF(B962="","",IF(COUNTIFS(Cobranza!$C$9:$C$1008,B962,Cobranza!$N$9:$N$1008,"Vencida")&gt;0,"Vencida",IF(COUNTIFS(Cobranza!$C$9:$C$1008,B962,Cobranza!$N$9:$N$1008,"Parcial")&gt;0,"Parcial",IF(COUNTIFS(Cobranza!$C$9:$C$1008,B962,Cobranza!$N$9:$N$1008,"Pendiente")&gt;0,"Pendiente",IF(COUNTIFS(Cobranza!$C$9:$C$1008,B962,Cobranza!$N$9:$N$1008,"Pagada")&gt;0,"Pagada","")))))</f>
        <v/>
      </c>
      <c r="N962" s="33" t="str">
        <f t="shared" ca="1" si="14"/>
        <v/>
      </c>
      <c r="O962" s="25"/>
      <c r="P962" s="11" t="str">
        <f ca="1">IF(AND(B962&lt;&gt;"",F962&lt;&gt;"Cerrada",F962&lt;&gt;"Perdida",N962&lt;&gt;"",N962&gt;14),COUNTIFS($F$8:$F962,"&lt;&gt;Cerrada",$F$8:$F962,"&lt;&gt;Perdida",$N$8:$N962,"&gt;14"),"")</f>
        <v/>
      </c>
    </row>
    <row r="963" spans="2:16" x14ac:dyDescent="0.25">
      <c r="B963" s="40"/>
      <c r="C963" s="40"/>
      <c r="D963" s="40"/>
      <c r="E963" s="40"/>
      <c r="F963" s="39"/>
      <c r="G963" s="41"/>
      <c r="H963" s="40"/>
      <c r="I963" s="41"/>
      <c r="J963" s="42"/>
      <c r="K963" s="40"/>
      <c r="L963" s="40"/>
      <c r="M963" s="40" t="str">
        <f>IF(B963="","",IF(COUNTIFS(Cobranza!$C$9:$C$1008,B963,Cobranza!$N$9:$N$1008,"Vencida")&gt;0,"Vencida",IF(COUNTIFS(Cobranza!$C$9:$C$1008,B963,Cobranza!$N$9:$N$1008,"Parcial")&gt;0,"Parcial",IF(COUNTIFS(Cobranza!$C$9:$C$1008,B963,Cobranza!$N$9:$N$1008,"Pendiente")&gt;0,"Pendiente",IF(COUNTIFS(Cobranza!$C$9:$C$1008,B963,Cobranza!$N$9:$N$1008,"Pagada")&gt;0,"Pagada","")))))</f>
        <v/>
      </c>
      <c r="N963" s="33" t="str">
        <f t="shared" ca="1" si="14"/>
        <v/>
      </c>
      <c r="O963" s="25"/>
      <c r="P963" s="11" t="str">
        <f ca="1">IF(AND(B963&lt;&gt;"",F963&lt;&gt;"Cerrada",F963&lt;&gt;"Perdida",N963&lt;&gt;"",N963&gt;14),COUNTIFS($F$8:$F963,"&lt;&gt;Cerrada",$F$8:$F963,"&lt;&gt;Perdida",$N$8:$N963,"&gt;14"),"")</f>
        <v/>
      </c>
    </row>
    <row r="964" spans="2:16" x14ac:dyDescent="0.25">
      <c r="B964" s="40"/>
      <c r="C964" s="40"/>
      <c r="D964" s="40"/>
      <c r="E964" s="40"/>
      <c r="F964" s="39"/>
      <c r="G964" s="41"/>
      <c r="H964" s="40"/>
      <c r="I964" s="41"/>
      <c r="J964" s="42"/>
      <c r="K964" s="40"/>
      <c r="L964" s="40"/>
      <c r="M964" s="40" t="str">
        <f>IF(B964="","",IF(COUNTIFS(Cobranza!$C$9:$C$1008,B964,Cobranza!$N$9:$N$1008,"Vencida")&gt;0,"Vencida",IF(COUNTIFS(Cobranza!$C$9:$C$1008,B964,Cobranza!$N$9:$N$1008,"Parcial")&gt;0,"Parcial",IF(COUNTIFS(Cobranza!$C$9:$C$1008,B964,Cobranza!$N$9:$N$1008,"Pendiente")&gt;0,"Pendiente",IF(COUNTIFS(Cobranza!$C$9:$C$1008,B964,Cobranza!$N$9:$N$1008,"Pagada")&gt;0,"Pagada","")))))</f>
        <v/>
      </c>
      <c r="N964" s="33" t="str">
        <f t="shared" ca="1" si="14"/>
        <v/>
      </c>
      <c r="O964" s="25"/>
      <c r="P964" s="11" t="str">
        <f ca="1">IF(AND(B964&lt;&gt;"",F964&lt;&gt;"Cerrada",F964&lt;&gt;"Perdida",N964&lt;&gt;"",N964&gt;14),COUNTIFS($F$8:$F964,"&lt;&gt;Cerrada",$F$8:$F964,"&lt;&gt;Perdida",$N$8:$N964,"&gt;14"),"")</f>
        <v/>
      </c>
    </row>
    <row r="965" spans="2:16" x14ac:dyDescent="0.25">
      <c r="B965" s="40"/>
      <c r="C965" s="40"/>
      <c r="D965" s="40"/>
      <c r="E965" s="40"/>
      <c r="F965" s="39"/>
      <c r="G965" s="41"/>
      <c r="H965" s="40"/>
      <c r="I965" s="41"/>
      <c r="J965" s="42"/>
      <c r="K965" s="40"/>
      <c r="L965" s="40"/>
      <c r="M965" s="40" t="str">
        <f>IF(B965="","",IF(COUNTIFS(Cobranza!$C$9:$C$1008,B965,Cobranza!$N$9:$N$1008,"Vencida")&gt;0,"Vencida",IF(COUNTIFS(Cobranza!$C$9:$C$1008,B965,Cobranza!$N$9:$N$1008,"Parcial")&gt;0,"Parcial",IF(COUNTIFS(Cobranza!$C$9:$C$1008,B965,Cobranza!$N$9:$N$1008,"Pendiente")&gt;0,"Pendiente",IF(COUNTIFS(Cobranza!$C$9:$C$1008,B965,Cobranza!$N$9:$N$1008,"Pagada")&gt;0,"Pagada","")))))</f>
        <v/>
      </c>
      <c r="N965" s="33" t="str">
        <f t="shared" ca="1" si="14"/>
        <v/>
      </c>
      <c r="O965" s="25"/>
      <c r="P965" s="11" t="str">
        <f ca="1">IF(AND(B965&lt;&gt;"",F965&lt;&gt;"Cerrada",F965&lt;&gt;"Perdida",N965&lt;&gt;"",N965&gt;14),COUNTIFS($F$8:$F965,"&lt;&gt;Cerrada",$F$8:$F965,"&lt;&gt;Perdida",$N$8:$N965,"&gt;14"),"")</f>
        <v/>
      </c>
    </row>
    <row r="966" spans="2:16" x14ac:dyDescent="0.25">
      <c r="B966" s="40"/>
      <c r="C966" s="40"/>
      <c r="D966" s="40"/>
      <c r="E966" s="40"/>
      <c r="F966" s="39"/>
      <c r="G966" s="41"/>
      <c r="H966" s="40"/>
      <c r="I966" s="41"/>
      <c r="J966" s="42"/>
      <c r="K966" s="40"/>
      <c r="L966" s="40"/>
      <c r="M966" s="40" t="str">
        <f>IF(B966="","",IF(COUNTIFS(Cobranza!$C$9:$C$1008,B966,Cobranza!$N$9:$N$1008,"Vencida")&gt;0,"Vencida",IF(COUNTIFS(Cobranza!$C$9:$C$1008,B966,Cobranza!$N$9:$N$1008,"Parcial")&gt;0,"Parcial",IF(COUNTIFS(Cobranza!$C$9:$C$1008,B966,Cobranza!$N$9:$N$1008,"Pendiente")&gt;0,"Pendiente",IF(COUNTIFS(Cobranza!$C$9:$C$1008,B966,Cobranza!$N$9:$N$1008,"Pagada")&gt;0,"Pagada","")))))</f>
        <v/>
      </c>
      <c r="N966" s="33" t="str">
        <f t="shared" ca="1" si="14"/>
        <v/>
      </c>
      <c r="O966" s="25"/>
      <c r="P966" s="11" t="str">
        <f ca="1">IF(AND(B966&lt;&gt;"",F966&lt;&gt;"Cerrada",F966&lt;&gt;"Perdida",N966&lt;&gt;"",N966&gt;14),COUNTIFS($F$8:$F966,"&lt;&gt;Cerrada",$F$8:$F966,"&lt;&gt;Perdida",$N$8:$N966,"&gt;14"),"")</f>
        <v/>
      </c>
    </row>
    <row r="967" spans="2:16" x14ac:dyDescent="0.25">
      <c r="B967" s="40"/>
      <c r="C967" s="40"/>
      <c r="D967" s="40"/>
      <c r="E967" s="40"/>
      <c r="F967" s="39"/>
      <c r="G967" s="41"/>
      <c r="H967" s="40"/>
      <c r="I967" s="41"/>
      <c r="J967" s="42"/>
      <c r="K967" s="40"/>
      <c r="L967" s="40"/>
      <c r="M967" s="40" t="str">
        <f>IF(B967="","",IF(COUNTIFS(Cobranza!$C$9:$C$1008,B967,Cobranza!$N$9:$N$1008,"Vencida")&gt;0,"Vencida",IF(COUNTIFS(Cobranza!$C$9:$C$1008,B967,Cobranza!$N$9:$N$1008,"Parcial")&gt;0,"Parcial",IF(COUNTIFS(Cobranza!$C$9:$C$1008,B967,Cobranza!$N$9:$N$1008,"Pendiente")&gt;0,"Pendiente",IF(COUNTIFS(Cobranza!$C$9:$C$1008,B967,Cobranza!$N$9:$N$1008,"Pagada")&gt;0,"Pagada","")))))</f>
        <v/>
      </c>
      <c r="N967" s="33" t="str">
        <f t="shared" ca="1" si="14"/>
        <v/>
      </c>
      <c r="O967" s="25"/>
      <c r="P967" s="11" t="str">
        <f ca="1">IF(AND(B967&lt;&gt;"",F967&lt;&gt;"Cerrada",F967&lt;&gt;"Perdida",N967&lt;&gt;"",N967&gt;14),COUNTIFS($F$8:$F967,"&lt;&gt;Cerrada",$F$8:$F967,"&lt;&gt;Perdida",$N$8:$N967,"&gt;14"),"")</f>
        <v/>
      </c>
    </row>
    <row r="968" spans="2:16" x14ac:dyDescent="0.25">
      <c r="B968" s="40"/>
      <c r="C968" s="40"/>
      <c r="D968" s="40"/>
      <c r="E968" s="40"/>
      <c r="F968" s="39"/>
      <c r="G968" s="41"/>
      <c r="H968" s="40"/>
      <c r="I968" s="41"/>
      <c r="J968" s="42"/>
      <c r="K968" s="40"/>
      <c r="L968" s="40"/>
      <c r="M968" s="40" t="str">
        <f>IF(B968="","",IF(COUNTIFS(Cobranza!$C$9:$C$1008,B968,Cobranza!$N$9:$N$1008,"Vencida")&gt;0,"Vencida",IF(COUNTIFS(Cobranza!$C$9:$C$1008,B968,Cobranza!$N$9:$N$1008,"Parcial")&gt;0,"Parcial",IF(COUNTIFS(Cobranza!$C$9:$C$1008,B968,Cobranza!$N$9:$N$1008,"Pendiente")&gt;0,"Pendiente",IF(COUNTIFS(Cobranza!$C$9:$C$1008,B968,Cobranza!$N$9:$N$1008,"Pagada")&gt;0,"Pagada","")))))</f>
        <v/>
      </c>
      <c r="N968" s="33" t="str">
        <f t="shared" ref="N968:N1007" ca="1" si="15">IF(I968="","",MAX(0,TODAY()-I968))</f>
        <v/>
      </c>
      <c r="O968" s="25"/>
      <c r="P968" s="11" t="str">
        <f ca="1">IF(AND(B968&lt;&gt;"",F968&lt;&gt;"Cerrada",F968&lt;&gt;"Perdida",N968&lt;&gt;"",N968&gt;14),COUNTIFS($F$8:$F968,"&lt;&gt;Cerrada",$F$8:$F968,"&lt;&gt;Perdida",$N$8:$N968,"&gt;14"),"")</f>
        <v/>
      </c>
    </row>
    <row r="969" spans="2:16" x14ac:dyDescent="0.25">
      <c r="B969" s="40"/>
      <c r="C969" s="40"/>
      <c r="D969" s="40"/>
      <c r="E969" s="40"/>
      <c r="F969" s="39"/>
      <c r="G969" s="41"/>
      <c r="H969" s="40"/>
      <c r="I969" s="41"/>
      <c r="J969" s="42"/>
      <c r="K969" s="40"/>
      <c r="L969" s="40"/>
      <c r="M969" s="40" t="str">
        <f>IF(B969="","",IF(COUNTIFS(Cobranza!$C$9:$C$1008,B969,Cobranza!$N$9:$N$1008,"Vencida")&gt;0,"Vencida",IF(COUNTIFS(Cobranza!$C$9:$C$1008,B969,Cobranza!$N$9:$N$1008,"Parcial")&gt;0,"Parcial",IF(COUNTIFS(Cobranza!$C$9:$C$1008,B969,Cobranza!$N$9:$N$1008,"Pendiente")&gt;0,"Pendiente",IF(COUNTIFS(Cobranza!$C$9:$C$1008,B969,Cobranza!$N$9:$N$1008,"Pagada")&gt;0,"Pagada","")))))</f>
        <v/>
      </c>
      <c r="N969" s="33" t="str">
        <f t="shared" ca="1" si="15"/>
        <v/>
      </c>
      <c r="O969" s="25"/>
      <c r="P969" s="11" t="str">
        <f ca="1">IF(AND(B969&lt;&gt;"",F969&lt;&gt;"Cerrada",F969&lt;&gt;"Perdida",N969&lt;&gt;"",N969&gt;14),COUNTIFS($F$8:$F969,"&lt;&gt;Cerrada",$F$8:$F969,"&lt;&gt;Perdida",$N$8:$N969,"&gt;14"),"")</f>
        <v/>
      </c>
    </row>
    <row r="970" spans="2:16" x14ac:dyDescent="0.25">
      <c r="B970" s="40"/>
      <c r="C970" s="40"/>
      <c r="D970" s="40"/>
      <c r="E970" s="40"/>
      <c r="F970" s="39"/>
      <c r="G970" s="41"/>
      <c r="H970" s="40"/>
      <c r="I970" s="41"/>
      <c r="J970" s="42"/>
      <c r="K970" s="40"/>
      <c r="L970" s="40"/>
      <c r="M970" s="40" t="str">
        <f>IF(B970="","",IF(COUNTIFS(Cobranza!$C$9:$C$1008,B970,Cobranza!$N$9:$N$1008,"Vencida")&gt;0,"Vencida",IF(COUNTIFS(Cobranza!$C$9:$C$1008,B970,Cobranza!$N$9:$N$1008,"Parcial")&gt;0,"Parcial",IF(COUNTIFS(Cobranza!$C$9:$C$1008,B970,Cobranza!$N$9:$N$1008,"Pendiente")&gt;0,"Pendiente",IF(COUNTIFS(Cobranza!$C$9:$C$1008,B970,Cobranza!$N$9:$N$1008,"Pagada")&gt;0,"Pagada","")))))</f>
        <v/>
      </c>
      <c r="N970" s="33" t="str">
        <f t="shared" ca="1" si="15"/>
        <v/>
      </c>
      <c r="O970" s="25"/>
      <c r="P970" s="11" t="str">
        <f ca="1">IF(AND(B970&lt;&gt;"",F970&lt;&gt;"Cerrada",F970&lt;&gt;"Perdida",N970&lt;&gt;"",N970&gt;14),COUNTIFS($F$8:$F970,"&lt;&gt;Cerrada",$F$8:$F970,"&lt;&gt;Perdida",$N$8:$N970,"&gt;14"),"")</f>
        <v/>
      </c>
    </row>
    <row r="971" spans="2:16" x14ac:dyDescent="0.25">
      <c r="B971" s="40"/>
      <c r="C971" s="40"/>
      <c r="D971" s="40"/>
      <c r="E971" s="40"/>
      <c r="F971" s="39"/>
      <c r="G971" s="41"/>
      <c r="H971" s="40"/>
      <c r="I971" s="41"/>
      <c r="J971" s="42"/>
      <c r="K971" s="40"/>
      <c r="L971" s="40"/>
      <c r="M971" s="40" t="str">
        <f>IF(B971="","",IF(COUNTIFS(Cobranza!$C$9:$C$1008,B971,Cobranza!$N$9:$N$1008,"Vencida")&gt;0,"Vencida",IF(COUNTIFS(Cobranza!$C$9:$C$1008,B971,Cobranza!$N$9:$N$1008,"Parcial")&gt;0,"Parcial",IF(COUNTIFS(Cobranza!$C$9:$C$1008,B971,Cobranza!$N$9:$N$1008,"Pendiente")&gt;0,"Pendiente",IF(COUNTIFS(Cobranza!$C$9:$C$1008,B971,Cobranza!$N$9:$N$1008,"Pagada")&gt;0,"Pagada","")))))</f>
        <v/>
      </c>
      <c r="N971" s="33" t="str">
        <f t="shared" ca="1" si="15"/>
        <v/>
      </c>
      <c r="O971" s="25"/>
      <c r="P971" s="11" t="str">
        <f ca="1">IF(AND(B971&lt;&gt;"",F971&lt;&gt;"Cerrada",F971&lt;&gt;"Perdida",N971&lt;&gt;"",N971&gt;14),COUNTIFS($F$8:$F971,"&lt;&gt;Cerrada",$F$8:$F971,"&lt;&gt;Perdida",$N$8:$N971,"&gt;14"),"")</f>
        <v/>
      </c>
    </row>
    <row r="972" spans="2:16" x14ac:dyDescent="0.25">
      <c r="B972" s="40"/>
      <c r="C972" s="40"/>
      <c r="D972" s="40"/>
      <c r="E972" s="40"/>
      <c r="F972" s="39"/>
      <c r="G972" s="41"/>
      <c r="H972" s="40"/>
      <c r="I972" s="41"/>
      <c r="J972" s="42"/>
      <c r="K972" s="40"/>
      <c r="L972" s="40"/>
      <c r="M972" s="40" t="str">
        <f>IF(B972="","",IF(COUNTIFS(Cobranza!$C$9:$C$1008,B972,Cobranza!$N$9:$N$1008,"Vencida")&gt;0,"Vencida",IF(COUNTIFS(Cobranza!$C$9:$C$1008,B972,Cobranza!$N$9:$N$1008,"Parcial")&gt;0,"Parcial",IF(COUNTIFS(Cobranza!$C$9:$C$1008,B972,Cobranza!$N$9:$N$1008,"Pendiente")&gt;0,"Pendiente",IF(COUNTIFS(Cobranza!$C$9:$C$1008,B972,Cobranza!$N$9:$N$1008,"Pagada")&gt;0,"Pagada","")))))</f>
        <v/>
      </c>
      <c r="N972" s="33" t="str">
        <f t="shared" ca="1" si="15"/>
        <v/>
      </c>
      <c r="O972" s="25"/>
      <c r="P972" s="11" t="str">
        <f ca="1">IF(AND(B972&lt;&gt;"",F972&lt;&gt;"Cerrada",F972&lt;&gt;"Perdida",N972&lt;&gt;"",N972&gt;14),COUNTIFS($F$8:$F972,"&lt;&gt;Cerrada",$F$8:$F972,"&lt;&gt;Perdida",$N$8:$N972,"&gt;14"),"")</f>
        <v/>
      </c>
    </row>
    <row r="973" spans="2:16" x14ac:dyDescent="0.25">
      <c r="B973" s="40"/>
      <c r="C973" s="40"/>
      <c r="D973" s="40"/>
      <c r="E973" s="40"/>
      <c r="F973" s="39"/>
      <c r="G973" s="41"/>
      <c r="H973" s="40"/>
      <c r="I973" s="41"/>
      <c r="J973" s="42"/>
      <c r="K973" s="40"/>
      <c r="L973" s="40"/>
      <c r="M973" s="40" t="str">
        <f>IF(B973="","",IF(COUNTIFS(Cobranza!$C$9:$C$1008,B973,Cobranza!$N$9:$N$1008,"Vencida")&gt;0,"Vencida",IF(COUNTIFS(Cobranza!$C$9:$C$1008,B973,Cobranza!$N$9:$N$1008,"Parcial")&gt;0,"Parcial",IF(COUNTIFS(Cobranza!$C$9:$C$1008,B973,Cobranza!$N$9:$N$1008,"Pendiente")&gt;0,"Pendiente",IF(COUNTIFS(Cobranza!$C$9:$C$1008,B973,Cobranza!$N$9:$N$1008,"Pagada")&gt;0,"Pagada","")))))</f>
        <v/>
      </c>
      <c r="N973" s="33" t="str">
        <f t="shared" ca="1" si="15"/>
        <v/>
      </c>
      <c r="O973" s="25"/>
      <c r="P973" s="11" t="str">
        <f ca="1">IF(AND(B973&lt;&gt;"",F973&lt;&gt;"Cerrada",F973&lt;&gt;"Perdida",N973&lt;&gt;"",N973&gt;14),COUNTIFS($F$8:$F973,"&lt;&gt;Cerrada",$F$8:$F973,"&lt;&gt;Perdida",$N$8:$N973,"&gt;14"),"")</f>
        <v/>
      </c>
    </row>
    <row r="974" spans="2:16" x14ac:dyDescent="0.25">
      <c r="B974" s="40"/>
      <c r="C974" s="40"/>
      <c r="D974" s="40"/>
      <c r="E974" s="40"/>
      <c r="F974" s="39"/>
      <c r="G974" s="41"/>
      <c r="H974" s="40"/>
      <c r="I974" s="41"/>
      <c r="J974" s="42"/>
      <c r="K974" s="40"/>
      <c r="L974" s="40"/>
      <c r="M974" s="40" t="str">
        <f>IF(B974="","",IF(COUNTIFS(Cobranza!$C$9:$C$1008,B974,Cobranza!$N$9:$N$1008,"Vencida")&gt;0,"Vencida",IF(COUNTIFS(Cobranza!$C$9:$C$1008,B974,Cobranza!$N$9:$N$1008,"Parcial")&gt;0,"Parcial",IF(COUNTIFS(Cobranza!$C$9:$C$1008,B974,Cobranza!$N$9:$N$1008,"Pendiente")&gt;0,"Pendiente",IF(COUNTIFS(Cobranza!$C$9:$C$1008,B974,Cobranza!$N$9:$N$1008,"Pagada")&gt;0,"Pagada","")))))</f>
        <v/>
      </c>
      <c r="N974" s="33" t="str">
        <f t="shared" ca="1" si="15"/>
        <v/>
      </c>
      <c r="O974" s="25"/>
      <c r="P974" s="11" t="str">
        <f ca="1">IF(AND(B974&lt;&gt;"",F974&lt;&gt;"Cerrada",F974&lt;&gt;"Perdida",N974&lt;&gt;"",N974&gt;14),COUNTIFS($F$8:$F974,"&lt;&gt;Cerrada",$F$8:$F974,"&lt;&gt;Perdida",$N$8:$N974,"&gt;14"),"")</f>
        <v/>
      </c>
    </row>
    <row r="975" spans="2:16" x14ac:dyDescent="0.25">
      <c r="B975" s="40"/>
      <c r="C975" s="40"/>
      <c r="D975" s="40"/>
      <c r="E975" s="40"/>
      <c r="F975" s="39"/>
      <c r="G975" s="41"/>
      <c r="H975" s="40"/>
      <c r="I975" s="41"/>
      <c r="J975" s="42"/>
      <c r="K975" s="40"/>
      <c r="L975" s="40"/>
      <c r="M975" s="40" t="str">
        <f>IF(B975="","",IF(COUNTIFS(Cobranza!$C$9:$C$1008,B975,Cobranza!$N$9:$N$1008,"Vencida")&gt;0,"Vencida",IF(COUNTIFS(Cobranza!$C$9:$C$1008,B975,Cobranza!$N$9:$N$1008,"Parcial")&gt;0,"Parcial",IF(COUNTIFS(Cobranza!$C$9:$C$1008,B975,Cobranza!$N$9:$N$1008,"Pendiente")&gt;0,"Pendiente",IF(COUNTIFS(Cobranza!$C$9:$C$1008,B975,Cobranza!$N$9:$N$1008,"Pagada")&gt;0,"Pagada","")))))</f>
        <v/>
      </c>
      <c r="N975" s="33" t="str">
        <f t="shared" ca="1" si="15"/>
        <v/>
      </c>
      <c r="O975" s="25"/>
      <c r="P975" s="11" t="str">
        <f ca="1">IF(AND(B975&lt;&gt;"",F975&lt;&gt;"Cerrada",F975&lt;&gt;"Perdida",N975&lt;&gt;"",N975&gt;14),COUNTIFS($F$8:$F975,"&lt;&gt;Cerrada",$F$8:$F975,"&lt;&gt;Perdida",$N$8:$N975,"&gt;14"),"")</f>
        <v/>
      </c>
    </row>
    <row r="976" spans="2:16" x14ac:dyDescent="0.25">
      <c r="B976" s="40"/>
      <c r="C976" s="40"/>
      <c r="D976" s="40"/>
      <c r="E976" s="40"/>
      <c r="F976" s="39"/>
      <c r="G976" s="41"/>
      <c r="H976" s="40"/>
      <c r="I976" s="41"/>
      <c r="J976" s="42"/>
      <c r="K976" s="40"/>
      <c r="L976" s="40"/>
      <c r="M976" s="40" t="str">
        <f>IF(B976="","",IF(COUNTIFS(Cobranza!$C$9:$C$1008,B976,Cobranza!$N$9:$N$1008,"Vencida")&gt;0,"Vencida",IF(COUNTIFS(Cobranza!$C$9:$C$1008,B976,Cobranza!$N$9:$N$1008,"Parcial")&gt;0,"Parcial",IF(COUNTIFS(Cobranza!$C$9:$C$1008,B976,Cobranza!$N$9:$N$1008,"Pendiente")&gt;0,"Pendiente",IF(COUNTIFS(Cobranza!$C$9:$C$1008,B976,Cobranza!$N$9:$N$1008,"Pagada")&gt;0,"Pagada","")))))</f>
        <v/>
      </c>
      <c r="N976" s="33" t="str">
        <f t="shared" ca="1" si="15"/>
        <v/>
      </c>
      <c r="O976" s="25"/>
      <c r="P976" s="11" t="str">
        <f ca="1">IF(AND(B976&lt;&gt;"",F976&lt;&gt;"Cerrada",F976&lt;&gt;"Perdida",N976&lt;&gt;"",N976&gt;14),COUNTIFS($F$8:$F976,"&lt;&gt;Cerrada",$F$8:$F976,"&lt;&gt;Perdida",$N$8:$N976,"&gt;14"),"")</f>
        <v/>
      </c>
    </row>
    <row r="977" spans="2:16" x14ac:dyDescent="0.25">
      <c r="B977" s="40"/>
      <c r="C977" s="40"/>
      <c r="D977" s="40"/>
      <c r="E977" s="40"/>
      <c r="F977" s="39"/>
      <c r="G977" s="41"/>
      <c r="H977" s="40"/>
      <c r="I977" s="41"/>
      <c r="J977" s="42"/>
      <c r="K977" s="40"/>
      <c r="L977" s="40"/>
      <c r="M977" s="40" t="str">
        <f>IF(B977="","",IF(COUNTIFS(Cobranza!$C$9:$C$1008,B977,Cobranza!$N$9:$N$1008,"Vencida")&gt;0,"Vencida",IF(COUNTIFS(Cobranza!$C$9:$C$1008,B977,Cobranza!$N$9:$N$1008,"Parcial")&gt;0,"Parcial",IF(COUNTIFS(Cobranza!$C$9:$C$1008,B977,Cobranza!$N$9:$N$1008,"Pendiente")&gt;0,"Pendiente",IF(COUNTIFS(Cobranza!$C$9:$C$1008,B977,Cobranza!$N$9:$N$1008,"Pagada")&gt;0,"Pagada","")))))</f>
        <v/>
      </c>
      <c r="N977" s="33" t="str">
        <f t="shared" ca="1" si="15"/>
        <v/>
      </c>
      <c r="O977" s="25"/>
      <c r="P977" s="11" t="str">
        <f ca="1">IF(AND(B977&lt;&gt;"",F977&lt;&gt;"Cerrada",F977&lt;&gt;"Perdida",N977&lt;&gt;"",N977&gt;14),COUNTIFS($F$8:$F977,"&lt;&gt;Cerrada",$F$8:$F977,"&lt;&gt;Perdida",$N$8:$N977,"&gt;14"),"")</f>
        <v/>
      </c>
    </row>
    <row r="978" spans="2:16" x14ac:dyDescent="0.25">
      <c r="B978" s="40"/>
      <c r="C978" s="40"/>
      <c r="D978" s="40"/>
      <c r="E978" s="40"/>
      <c r="F978" s="39"/>
      <c r="G978" s="41"/>
      <c r="H978" s="40"/>
      <c r="I978" s="41"/>
      <c r="J978" s="42"/>
      <c r="K978" s="40"/>
      <c r="L978" s="40"/>
      <c r="M978" s="40" t="str">
        <f>IF(B978="","",IF(COUNTIFS(Cobranza!$C$9:$C$1008,B978,Cobranza!$N$9:$N$1008,"Vencida")&gt;0,"Vencida",IF(COUNTIFS(Cobranza!$C$9:$C$1008,B978,Cobranza!$N$9:$N$1008,"Parcial")&gt;0,"Parcial",IF(COUNTIFS(Cobranza!$C$9:$C$1008,B978,Cobranza!$N$9:$N$1008,"Pendiente")&gt;0,"Pendiente",IF(COUNTIFS(Cobranza!$C$9:$C$1008,B978,Cobranza!$N$9:$N$1008,"Pagada")&gt;0,"Pagada","")))))</f>
        <v/>
      </c>
      <c r="N978" s="33" t="str">
        <f t="shared" ca="1" si="15"/>
        <v/>
      </c>
      <c r="O978" s="25"/>
      <c r="P978" s="11" t="str">
        <f ca="1">IF(AND(B978&lt;&gt;"",F978&lt;&gt;"Cerrada",F978&lt;&gt;"Perdida",N978&lt;&gt;"",N978&gt;14),COUNTIFS($F$8:$F978,"&lt;&gt;Cerrada",$F$8:$F978,"&lt;&gt;Perdida",$N$8:$N978,"&gt;14"),"")</f>
        <v/>
      </c>
    </row>
    <row r="979" spans="2:16" x14ac:dyDescent="0.25">
      <c r="B979" s="40"/>
      <c r="C979" s="40"/>
      <c r="D979" s="40"/>
      <c r="E979" s="40"/>
      <c r="F979" s="39"/>
      <c r="G979" s="41"/>
      <c r="H979" s="40"/>
      <c r="I979" s="41"/>
      <c r="J979" s="42"/>
      <c r="K979" s="40"/>
      <c r="L979" s="40"/>
      <c r="M979" s="40" t="str">
        <f>IF(B979="","",IF(COUNTIFS(Cobranza!$C$9:$C$1008,B979,Cobranza!$N$9:$N$1008,"Vencida")&gt;0,"Vencida",IF(COUNTIFS(Cobranza!$C$9:$C$1008,B979,Cobranza!$N$9:$N$1008,"Parcial")&gt;0,"Parcial",IF(COUNTIFS(Cobranza!$C$9:$C$1008,B979,Cobranza!$N$9:$N$1008,"Pendiente")&gt;0,"Pendiente",IF(COUNTIFS(Cobranza!$C$9:$C$1008,B979,Cobranza!$N$9:$N$1008,"Pagada")&gt;0,"Pagada","")))))</f>
        <v/>
      </c>
      <c r="N979" s="33" t="str">
        <f t="shared" ca="1" si="15"/>
        <v/>
      </c>
      <c r="O979" s="25"/>
      <c r="P979" s="11" t="str">
        <f ca="1">IF(AND(B979&lt;&gt;"",F979&lt;&gt;"Cerrada",F979&lt;&gt;"Perdida",N979&lt;&gt;"",N979&gt;14),COUNTIFS($F$8:$F979,"&lt;&gt;Cerrada",$F$8:$F979,"&lt;&gt;Perdida",$N$8:$N979,"&gt;14"),"")</f>
        <v/>
      </c>
    </row>
    <row r="980" spans="2:16" x14ac:dyDescent="0.25">
      <c r="B980" s="40"/>
      <c r="C980" s="40"/>
      <c r="D980" s="40"/>
      <c r="E980" s="40"/>
      <c r="F980" s="39"/>
      <c r="G980" s="41"/>
      <c r="H980" s="40"/>
      <c r="I980" s="41"/>
      <c r="J980" s="42"/>
      <c r="K980" s="40"/>
      <c r="L980" s="40"/>
      <c r="M980" s="40" t="str">
        <f>IF(B980="","",IF(COUNTIFS(Cobranza!$C$9:$C$1008,B980,Cobranza!$N$9:$N$1008,"Vencida")&gt;0,"Vencida",IF(COUNTIFS(Cobranza!$C$9:$C$1008,B980,Cobranza!$N$9:$N$1008,"Parcial")&gt;0,"Parcial",IF(COUNTIFS(Cobranza!$C$9:$C$1008,B980,Cobranza!$N$9:$N$1008,"Pendiente")&gt;0,"Pendiente",IF(COUNTIFS(Cobranza!$C$9:$C$1008,B980,Cobranza!$N$9:$N$1008,"Pagada")&gt;0,"Pagada","")))))</f>
        <v/>
      </c>
      <c r="N980" s="33" t="str">
        <f t="shared" ca="1" si="15"/>
        <v/>
      </c>
      <c r="O980" s="25"/>
      <c r="P980" s="11" t="str">
        <f ca="1">IF(AND(B980&lt;&gt;"",F980&lt;&gt;"Cerrada",F980&lt;&gt;"Perdida",N980&lt;&gt;"",N980&gt;14),COUNTIFS($F$8:$F980,"&lt;&gt;Cerrada",$F$8:$F980,"&lt;&gt;Perdida",$N$8:$N980,"&gt;14"),"")</f>
        <v/>
      </c>
    </row>
    <row r="981" spans="2:16" x14ac:dyDescent="0.25">
      <c r="B981" s="40"/>
      <c r="C981" s="40"/>
      <c r="D981" s="40"/>
      <c r="E981" s="40"/>
      <c r="F981" s="39"/>
      <c r="G981" s="41"/>
      <c r="H981" s="40"/>
      <c r="I981" s="41"/>
      <c r="J981" s="42"/>
      <c r="K981" s="40"/>
      <c r="L981" s="40"/>
      <c r="M981" s="40" t="str">
        <f>IF(B981="","",IF(COUNTIFS(Cobranza!$C$9:$C$1008,B981,Cobranza!$N$9:$N$1008,"Vencida")&gt;0,"Vencida",IF(COUNTIFS(Cobranza!$C$9:$C$1008,B981,Cobranza!$N$9:$N$1008,"Parcial")&gt;0,"Parcial",IF(COUNTIFS(Cobranza!$C$9:$C$1008,B981,Cobranza!$N$9:$N$1008,"Pendiente")&gt;0,"Pendiente",IF(COUNTIFS(Cobranza!$C$9:$C$1008,B981,Cobranza!$N$9:$N$1008,"Pagada")&gt;0,"Pagada","")))))</f>
        <v/>
      </c>
      <c r="N981" s="33" t="str">
        <f t="shared" ca="1" si="15"/>
        <v/>
      </c>
      <c r="O981" s="25"/>
      <c r="P981" s="11" t="str">
        <f ca="1">IF(AND(B981&lt;&gt;"",F981&lt;&gt;"Cerrada",F981&lt;&gt;"Perdida",N981&lt;&gt;"",N981&gt;14),COUNTIFS($F$8:$F981,"&lt;&gt;Cerrada",$F$8:$F981,"&lt;&gt;Perdida",$N$8:$N981,"&gt;14"),"")</f>
        <v/>
      </c>
    </row>
    <row r="982" spans="2:16" x14ac:dyDescent="0.25">
      <c r="B982" s="40"/>
      <c r="C982" s="40"/>
      <c r="D982" s="40"/>
      <c r="E982" s="40"/>
      <c r="F982" s="39"/>
      <c r="G982" s="41"/>
      <c r="H982" s="40"/>
      <c r="I982" s="41"/>
      <c r="J982" s="42"/>
      <c r="K982" s="40"/>
      <c r="L982" s="40"/>
      <c r="M982" s="40" t="str">
        <f>IF(B982="","",IF(COUNTIFS(Cobranza!$C$9:$C$1008,B982,Cobranza!$N$9:$N$1008,"Vencida")&gt;0,"Vencida",IF(COUNTIFS(Cobranza!$C$9:$C$1008,B982,Cobranza!$N$9:$N$1008,"Parcial")&gt;0,"Parcial",IF(COUNTIFS(Cobranza!$C$9:$C$1008,B982,Cobranza!$N$9:$N$1008,"Pendiente")&gt;0,"Pendiente",IF(COUNTIFS(Cobranza!$C$9:$C$1008,B982,Cobranza!$N$9:$N$1008,"Pagada")&gt;0,"Pagada","")))))</f>
        <v/>
      </c>
      <c r="N982" s="33" t="str">
        <f t="shared" ca="1" si="15"/>
        <v/>
      </c>
      <c r="O982" s="25"/>
      <c r="P982" s="11" t="str">
        <f ca="1">IF(AND(B982&lt;&gt;"",F982&lt;&gt;"Cerrada",F982&lt;&gt;"Perdida",N982&lt;&gt;"",N982&gt;14),COUNTIFS($F$8:$F982,"&lt;&gt;Cerrada",$F$8:$F982,"&lt;&gt;Perdida",$N$8:$N982,"&gt;14"),"")</f>
        <v/>
      </c>
    </row>
    <row r="983" spans="2:16" x14ac:dyDescent="0.25">
      <c r="B983" s="40"/>
      <c r="C983" s="40"/>
      <c r="D983" s="40"/>
      <c r="E983" s="40"/>
      <c r="F983" s="39"/>
      <c r="G983" s="41"/>
      <c r="H983" s="40"/>
      <c r="I983" s="41"/>
      <c r="J983" s="42"/>
      <c r="K983" s="40"/>
      <c r="L983" s="40"/>
      <c r="M983" s="40" t="str">
        <f>IF(B983="","",IF(COUNTIFS(Cobranza!$C$9:$C$1008,B983,Cobranza!$N$9:$N$1008,"Vencida")&gt;0,"Vencida",IF(COUNTIFS(Cobranza!$C$9:$C$1008,B983,Cobranza!$N$9:$N$1008,"Parcial")&gt;0,"Parcial",IF(COUNTIFS(Cobranza!$C$9:$C$1008,B983,Cobranza!$N$9:$N$1008,"Pendiente")&gt;0,"Pendiente",IF(COUNTIFS(Cobranza!$C$9:$C$1008,B983,Cobranza!$N$9:$N$1008,"Pagada")&gt;0,"Pagada","")))))</f>
        <v/>
      </c>
      <c r="N983" s="33" t="str">
        <f t="shared" ca="1" si="15"/>
        <v/>
      </c>
      <c r="O983" s="25"/>
      <c r="P983" s="11" t="str">
        <f ca="1">IF(AND(B983&lt;&gt;"",F983&lt;&gt;"Cerrada",F983&lt;&gt;"Perdida",N983&lt;&gt;"",N983&gt;14),COUNTIFS($F$8:$F983,"&lt;&gt;Cerrada",$F$8:$F983,"&lt;&gt;Perdida",$N$8:$N983,"&gt;14"),"")</f>
        <v/>
      </c>
    </row>
    <row r="984" spans="2:16" x14ac:dyDescent="0.25">
      <c r="B984" s="40"/>
      <c r="C984" s="40"/>
      <c r="D984" s="40"/>
      <c r="E984" s="40"/>
      <c r="F984" s="39"/>
      <c r="G984" s="41"/>
      <c r="H984" s="40"/>
      <c r="I984" s="41"/>
      <c r="J984" s="42"/>
      <c r="K984" s="40"/>
      <c r="L984" s="40"/>
      <c r="M984" s="40" t="str">
        <f>IF(B984="","",IF(COUNTIFS(Cobranza!$C$9:$C$1008,B984,Cobranza!$N$9:$N$1008,"Vencida")&gt;0,"Vencida",IF(COUNTIFS(Cobranza!$C$9:$C$1008,B984,Cobranza!$N$9:$N$1008,"Parcial")&gt;0,"Parcial",IF(COUNTIFS(Cobranza!$C$9:$C$1008,B984,Cobranza!$N$9:$N$1008,"Pendiente")&gt;0,"Pendiente",IF(COUNTIFS(Cobranza!$C$9:$C$1008,B984,Cobranza!$N$9:$N$1008,"Pagada")&gt;0,"Pagada","")))))</f>
        <v/>
      </c>
      <c r="N984" s="33" t="str">
        <f t="shared" ca="1" si="15"/>
        <v/>
      </c>
      <c r="O984" s="25"/>
      <c r="P984" s="11" t="str">
        <f ca="1">IF(AND(B984&lt;&gt;"",F984&lt;&gt;"Cerrada",F984&lt;&gt;"Perdida",N984&lt;&gt;"",N984&gt;14),COUNTIFS($F$8:$F984,"&lt;&gt;Cerrada",$F$8:$F984,"&lt;&gt;Perdida",$N$8:$N984,"&gt;14"),"")</f>
        <v/>
      </c>
    </row>
    <row r="985" spans="2:16" x14ac:dyDescent="0.25">
      <c r="B985" s="40"/>
      <c r="C985" s="40"/>
      <c r="D985" s="40"/>
      <c r="E985" s="40"/>
      <c r="F985" s="39"/>
      <c r="G985" s="41"/>
      <c r="H985" s="40"/>
      <c r="I985" s="41"/>
      <c r="J985" s="42"/>
      <c r="K985" s="40"/>
      <c r="L985" s="40"/>
      <c r="M985" s="40" t="str">
        <f>IF(B985="","",IF(COUNTIFS(Cobranza!$C$9:$C$1008,B985,Cobranza!$N$9:$N$1008,"Vencida")&gt;0,"Vencida",IF(COUNTIFS(Cobranza!$C$9:$C$1008,B985,Cobranza!$N$9:$N$1008,"Parcial")&gt;0,"Parcial",IF(COUNTIFS(Cobranza!$C$9:$C$1008,B985,Cobranza!$N$9:$N$1008,"Pendiente")&gt;0,"Pendiente",IF(COUNTIFS(Cobranza!$C$9:$C$1008,B985,Cobranza!$N$9:$N$1008,"Pagada")&gt;0,"Pagada","")))))</f>
        <v/>
      </c>
      <c r="N985" s="33" t="str">
        <f t="shared" ca="1" si="15"/>
        <v/>
      </c>
      <c r="O985" s="25"/>
      <c r="P985" s="11" t="str">
        <f ca="1">IF(AND(B985&lt;&gt;"",F985&lt;&gt;"Cerrada",F985&lt;&gt;"Perdida",N985&lt;&gt;"",N985&gt;14),COUNTIFS($F$8:$F985,"&lt;&gt;Cerrada",$F$8:$F985,"&lt;&gt;Perdida",$N$8:$N985,"&gt;14"),"")</f>
        <v/>
      </c>
    </row>
    <row r="986" spans="2:16" x14ac:dyDescent="0.25">
      <c r="B986" s="40"/>
      <c r="C986" s="40"/>
      <c r="D986" s="40"/>
      <c r="E986" s="40"/>
      <c r="F986" s="39"/>
      <c r="G986" s="41"/>
      <c r="H986" s="40"/>
      <c r="I986" s="41"/>
      <c r="J986" s="42"/>
      <c r="K986" s="40"/>
      <c r="L986" s="40"/>
      <c r="M986" s="40" t="str">
        <f>IF(B986="","",IF(COUNTIFS(Cobranza!$C$9:$C$1008,B986,Cobranza!$N$9:$N$1008,"Vencida")&gt;0,"Vencida",IF(COUNTIFS(Cobranza!$C$9:$C$1008,B986,Cobranza!$N$9:$N$1008,"Parcial")&gt;0,"Parcial",IF(COUNTIFS(Cobranza!$C$9:$C$1008,B986,Cobranza!$N$9:$N$1008,"Pendiente")&gt;0,"Pendiente",IF(COUNTIFS(Cobranza!$C$9:$C$1008,B986,Cobranza!$N$9:$N$1008,"Pagada")&gt;0,"Pagada","")))))</f>
        <v/>
      </c>
      <c r="N986" s="33" t="str">
        <f t="shared" ca="1" si="15"/>
        <v/>
      </c>
      <c r="O986" s="25"/>
      <c r="P986" s="11" t="str">
        <f ca="1">IF(AND(B986&lt;&gt;"",F986&lt;&gt;"Cerrada",F986&lt;&gt;"Perdida",N986&lt;&gt;"",N986&gt;14),COUNTIFS($F$8:$F986,"&lt;&gt;Cerrada",$F$8:$F986,"&lt;&gt;Perdida",$N$8:$N986,"&gt;14"),"")</f>
        <v/>
      </c>
    </row>
    <row r="987" spans="2:16" x14ac:dyDescent="0.25">
      <c r="B987" s="40"/>
      <c r="C987" s="40"/>
      <c r="D987" s="40"/>
      <c r="E987" s="40"/>
      <c r="F987" s="39"/>
      <c r="G987" s="41"/>
      <c r="H987" s="40"/>
      <c r="I987" s="41"/>
      <c r="J987" s="42"/>
      <c r="K987" s="40"/>
      <c r="L987" s="40"/>
      <c r="M987" s="40" t="str">
        <f>IF(B987="","",IF(COUNTIFS(Cobranza!$C$9:$C$1008,B987,Cobranza!$N$9:$N$1008,"Vencida")&gt;0,"Vencida",IF(COUNTIFS(Cobranza!$C$9:$C$1008,B987,Cobranza!$N$9:$N$1008,"Parcial")&gt;0,"Parcial",IF(COUNTIFS(Cobranza!$C$9:$C$1008,B987,Cobranza!$N$9:$N$1008,"Pendiente")&gt;0,"Pendiente",IF(COUNTIFS(Cobranza!$C$9:$C$1008,B987,Cobranza!$N$9:$N$1008,"Pagada")&gt;0,"Pagada","")))))</f>
        <v/>
      </c>
      <c r="N987" s="33" t="str">
        <f t="shared" ca="1" si="15"/>
        <v/>
      </c>
      <c r="O987" s="25"/>
      <c r="P987" s="11" t="str">
        <f ca="1">IF(AND(B987&lt;&gt;"",F987&lt;&gt;"Cerrada",F987&lt;&gt;"Perdida",N987&lt;&gt;"",N987&gt;14),COUNTIFS($F$8:$F987,"&lt;&gt;Cerrada",$F$8:$F987,"&lt;&gt;Perdida",$N$8:$N987,"&gt;14"),"")</f>
        <v/>
      </c>
    </row>
    <row r="988" spans="2:16" x14ac:dyDescent="0.25">
      <c r="B988" s="40"/>
      <c r="C988" s="40"/>
      <c r="D988" s="40"/>
      <c r="E988" s="40"/>
      <c r="F988" s="39"/>
      <c r="G988" s="41"/>
      <c r="H988" s="40"/>
      <c r="I988" s="41"/>
      <c r="J988" s="42"/>
      <c r="K988" s="40"/>
      <c r="L988" s="40"/>
      <c r="M988" s="40" t="str">
        <f>IF(B988="","",IF(COUNTIFS(Cobranza!$C$9:$C$1008,B988,Cobranza!$N$9:$N$1008,"Vencida")&gt;0,"Vencida",IF(COUNTIFS(Cobranza!$C$9:$C$1008,B988,Cobranza!$N$9:$N$1008,"Parcial")&gt;0,"Parcial",IF(COUNTIFS(Cobranza!$C$9:$C$1008,B988,Cobranza!$N$9:$N$1008,"Pendiente")&gt;0,"Pendiente",IF(COUNTIFS(Cobranza!$C$9:$C$1008,B988,Cobranza!$N$9:$N$1008,"Pagada")&gt;0,"Pagada","")))))</f>
        <v/>
      </c>
      <c r="N988" s="33" t="str">
        <f t="shared" ca="1" si="15"/>
        <v/>
      </c>
      <c r="O988" s="25"/>
      <c r="P988" s="11" t="str">
        <f ca="1">IF(AND(B988&lt;&gt;"",F988&lt;&gt;"Cerrada",F988&lt;&gt;"Perdida",N988&lt;&gt;"",N988&gt;14),COUNTIFS($F$8:$F988,"&lt;&gt;Cerrada",$F$8:$F988,"&lt;&gt;Perdida",$N$8:$N988,"&gt;14"),"")</f>
        <v/>
      </c>
    </row>
    <row r="989" spans="2:16" x14ac:dyDescent="0.25">
      <c r="B989" s="40"/>
      <c r="C989" s="40"/>
      <c r="D989" s="40"/>
      <c r="E989" s="40"/>
      <c r="F989" s="39"/>
      <c r="G989" s="41"/>
      <c r="H989" s="40"/>
      <c r="I989" s="41"/>
      <c r="J989" s="42"/>
      <c r="K989" s="40"/>
      <c r="L989" s="40"/>
      <c r="M989" s="40" t="str">
        <f>IF(B989="","",IF(COUNTIFS(Cobranza!$C$9:$C$1008,B989,Cobranza!$N$9:$N$1008,"Vencida")&gt;0,"Vencida",IF(COUNTIFS(Cobranza!$C$9:$C$1008,B989,Cobranza!$N$9:$N$1008,"Parcial")&gt;0,"Parcial",IF(COUNTIFS(Cobranza!$C$9:$C$1008,B989,Cobranza!$N$9:$N$1008,"Pendiente")&gt;0,"Pendiente",IF(COUNTIFS(Cobranza!$C$9:$C$1008,B989,Cobranza!$N$9:$N$1008,"Pagada")&gt;0,"Pagada","")))))</f>
        <v/>
      </c>
      <c r="N989" s="33" t="str">
        <f t="shared" ca="1" si="15"/>
        <v/>
      </c>
      <c r="O989" s="25"/>
      <c r="P989" s="11" t="str">
        <f ca="1">IF(AND(B989&lt;&gt;"",F989&lt;&gt;"Cerrada",F989&lt;&gt;"Perdida",N989&lt;&gt;"",N989&gt;14),COUNTIFS($F$8:$F989,"&lt;&gt;Cerrada",$F$8:$F989,"&lt;&gt;Perdida",$N$8:$N989,"&gt;14"),"")</f>
        <v/>
      </c>
    </row>
    <row r="990" spans="2:16" x14ac:dyDescent="0.25">
      <c r="B990" s="40"/>
      <c r="C990" s="40"/>
      <c r="D990" s="40"/>
      <c r="E990" s="40"/>
      <c r="F990" s="39"/>
      <c r="G990" s="41"/>
      <c r="H990" s="40"/>
      <c r="I990" s="41"/>
      <c r="J990" s="42"/>
      <c r="K990" s="40"/>
      <c r="L990" s="40"/>
      <c r="M990" s="40" t="str">
        <f>IF(B990="","",IF(COUNTIFS(Cobranza!$C$9:$C$1008,B990,Cobranza!$N$9:$N$1008,"Vencida")&gt;0,"Vencida",IF(COUNTIFS(Cobranza!$C$9:$C$1008,B990,Cobranza!$N$9:$N$1008,"Parcial")&gt;0,"Parcial",IF(COUNTIFS(Cobranza!$C$9:$C$1008,B990,Cobranza!$N$9:$N$1008,"Pendiente")&gt;0,"Pendiente",IF(COUNTIFS(Cobranza!$C$9:$C$1008,B990,Cobranza!$N$9:$N$1008,"Pagada")&gt;0,"Pagada","")))))</f>
        <v/>
      </c>
      <c r="N990" s="33" t="str">
        <f t="shared" ca="1" si="15"/>
        <v/>
      </c>
      <c r="O990" s="25"/>
      <c r="P990" s="11" t="str">
        <f ca="1">IF(AND(B990&lt;&gt;"",F990&lt;&gt;"Cerrada",F990&lt;&gt;"Perdida",N990&lt;&gt;"",N990&gt;14),COUNTIFS($F$8:$F990,"&lt;&gt;Cerrada",$F$8:$F990,"&lt;&gt;Perdida",$N$8:$N990,"&gt;14"),"")</f>
        <v/>
      </c>
    </row>
    <row r="991" spans="2:16" x14ac:dyDescent="0.25">
      <c r="B991" s="40"/>
      <c r="C991" s="40"/>
      <c r="D991" s="40"/>
      <c r="E991" s="40"/>
      <c r="F991" s="39"/>
      <c r="G991" s="41"/>
      <c r="H991" s="40"/>
      <c r="I991" s="41"/>
      <c r="J991" s="42"/>
      <c r="K991" s="40"/>
      <c r="L991" s="40"/>
      <c r="M991" s="40" t="str">
        <f>IF(B991="","",IF(COUNTIFS(Cobranza!$C$9:$C$1008,B991,Cobranza!$N$9:$N$1008,"Vencida")&gt;0,"Vencida",IF(COUNTIFS(Cobranza!$C$9:$C$1008,B991,Cobranza!$N$9:$N$1008,"Parcial")&gt;0,"Parcial",IF(COUNTIFS(Cobranza!$C$9:$C$1008,B991,Cobranza!$N$9:$N$1008,"Pendiente")&gt;0,"Pendiente",IF(COUNTIFS(Cobranza!$C$9:$C$1008,B991,Cobranza!$N$9:$N$1008,"Pagada")&gt;0,"Pagada","")))))</f>
        <v/>
      </c>
      <c r="N991" s="33" t="str">
        <f t="shared" ca="1" si="15"/>
        <v/>
      </c>
      <c r="O991" s="25"/>
      <c r="P991" s="11" t="str">
        <f ca="1">IF(AND(B991&lt;&gt;"",F991&lt;&gt;"Cerrada",F991&lt;&gt;"Perdida",N991&lt;&gt;"",N991&gt;14),COUNTIFS($F$8:$F991,"&lt;&gt;Cerrada",$F$8:$F991,"&lt;&gt;Perdida",$N$8:$N991,"&gt;14"),"")</f>
        <v/>
      </c>
    </row>
    <row r="992" spans="2:16" x14ac:dyDescent="0.25">
      <c r="B992" s="40"/>
      <c r="C992" s="40"/>
      <c r="D992" s="40"/>
      <c r="E992" s="40"/>
      <c r="F992" s="39"/>
      <c r="G992" s="41"/>
      <c r="H992" s="40"/>
      <c r="I992" s="41"/>
      <c r="J992" s="42"/>
      <c r="K992" s="40"/>
      <c r="L992" s="40"/>
      <c r="M992" s="40" t="str">
        <f>IF(B992="","",IF(COUNTIFS(Cobranza!$C$9:$C$1008,B992,Cobranza!$N$9:$N$1008,"Vencida")&gt;0,"Vencida",IF(COUNTIFS(Cobranza!$C$9:$C$1008,B992,Cobranza!$N$9:$N$1008,"Parcial")&gt;0,"Parcial",IF(COUNTIFS(Cobranza!$C$9:$C$1008,B992,Cobranza!$N$9:$N$1008,"Pendiente")&gt;0,"Pendiente",IF(COUNTIFS(Cobranza!$C$9:$C$1008,B992,Cobranza!$N$9:$N$1008,"Pagada")&gt;0,"Pagada","")))))</f>
        <v/>
      </c>
      <c r="N992" s="33" t="str">
        <f t="shared" ca="1" si="15"/>
        <v/>
      </c>
      <c r="O992" s="25"/>
      <c r="P992" s="11" t="str">
        <f ca="1">IF(AND(B992&lt;&gt;"",F992&lt;&gt;"Cerrada",F992&lt;&gt;"Perdida",N992&lt;&gt;"",N992&gt;14),COUNTIFS($F$8:$F992,"&lt;&gt;Cerrada",$F$8:$F992,"&lt;&gt;Perdida",$N$8:$N992,"&gt;14"),"")</f>
        <v/>
      </c>
    </row>
    <row r="993" spans="2:16" x14ac:dyDescent="0.25">
      <c r="B993" s="40"/>
      <c r="C993" s="40"/>
      <c r="D993" s="40"/>
      <c r="E993" s="40"/>
      <c r="F993" s="39"/>
      <c r="G993" s="41"/>
      <c r="H993" s="40"/>
      <c r="I993" s="41"/>
      <c r="J993" s="42"/>
      <c r="K993" s="40"/>
      <c r="L993" s="40"/>
      <c r="M993" s="40" t="str">
        <f>IF(B993="","",IF(COUNTIFS(Cobranza!$C$9:$C$1008,B993,Cobranza!$N$9:$N$1008,"Vencida")&gt;0,"Vencida",IF(COUNTIFS(Cobranza!$C$9:$C$1008,B993,Cobranza!$N$9:$N$1008,"Parcial")&gt;0,"Parcial",IF(COUNTIFS(Cobranza!$C$9:$C$1008,B993,Cobranza!$N$9:$N$1008,"Pendiente")&gt;0,"Pendiente",IF(COUNTIFS(Cobranza!$C$9:$C$1008,B993,Cobranza!$N$9:$N$1008,"Pagada")&gt;0,"Pagada","")))))</f>
        <v/>
      </c>
      <c r="N993" s="33" t="str">
        <f t="shared" ca="1" si="15"/>
        <v/>
      </c>
      <c r="O993" s="25"/>
      <c r="P993" s="11" t="str">
        <f ca="1">IF(AND(B993&lt;&gt;"",F993&lt;&gt;"Cerrada",F993&lt;&gt;"Perdida",N993&lt;&gt;"",N993&gt;14),COUNTIFS($F$8:$F993,"&lt;&gt;Cerrada",$F$8:$F993,"&lt;&gt;Perdida",$N$8:$N993,"&gt;14"),"")</f>
        <v/>
      </c>
    </row>
    <row r="994" spans="2:16" x14ac:dyDescent="0.25">
      <c r="B994" s="40"/>
      <c r="C994" s="40"/>
      <c r="D994" s="40"/>
      <c r="E994" s="40"/>
      <c r="F994" s="39"/>
      <c r="G994" s="41"/>
      <c r="H994" s="40"/>
      <c r="I994" s="41"/>
      <c r="J994" s="42"/>
      <c r="K994" s="40"/>
      <c r="L994" s="40"/>
      <c r="M994" s="40" t="str">
        <f>IF(B994="","",IF(COUNTIFS(Cobranza!$C$9:$C$1008,B994,Cobranza!$N$9:$N$1008,"Vencida")&gt;0,"Vencida",IF(COUNTIFS(Cobranza!$C$9:$C$1008,B994,Cobranza!$N$9:$N$1008,"Parcial")&gt;0,"Parcial",IF(COUNTIFS(Cobranza!$C$9:$C$1008,B994,Cobranza!$N$9:$N$1008,"Pendiente")&gt;0,"Pendiente",IF(COUNTIFS(Cobranza!$C$9:$C$1008,B994,Cobranza!$N$9:$N$1008,"Pagada")&gt;0,"Pagada","")))))</f>
        <v/>
      </c>
      <c r="N994" s="33" t="str">
        <f t="shared" ca="1" si="15"/>
        <v/>
      </c>
      <c r="O994" s="25"/>
      <c r="P994" s="11" t="str">
        <f ca="1">IF(AND(B994&lt;&gt;"",F994&lt;&gt;"Cerrada",F994&lt;&gt;"Perdida",N994&lt;&gt;"",N994&gt;14),COUNTIFS($F$8:$F994,"&lt;&gt;Cerrada",$F$8:$F994,"&lt;&gt;Perdida",$N$8:$N994,"&gt;14"),"")</f>
        <v/>
      </c>
    </row>
    <row r="995" spans="2:16" x14ac:dyDescent="0.25">
      <c r="B995" s="40"/>
      <c r="C995" s="40"/>
      <c r="D995" s="40"/>
      <c r="E995" s="40"/>
      <c r="F995" s="39"/>
      <c r="G995" s="41"/>
      <c r="H995" s="40"/>
      <c r="I995" s="41"/>
      <c r="J995" s="42"/>
      <c r="K995" s="40"/>
      <c r="L995" s="40"/>
      <c r="M995" s="40" t="str">
        <f>IF(B995="","",IF(COUNTIFS(Cobranza!$C$9:$C$1008,B995,Cobranza!$N$9:$N$1008,"Vencida")&gt;0,"Vencida",IF(COUNTIFS(Cobranza!$C$9:$C$1008,B995,Cobranza!$N$9:$N$1008,"Parcial")&gt;0,"Parcial",IF(COUNTIFS(Cobranza!$C$9:$C$1008,B995,Cobranza!$N$9:$N$1008,"Pendiente")&gt;0,"Pendiente",IF(COUNTIFS(Cobranza!$C$9:$C$1008,B995,Cobranza!$N$9:$N$1008,"Pagada")&gt;0,"Pagada","")))))</f>
        <v/>
      </c>
      <c r="N995" s="33" t="str">
        <f t="shared" ca="1" si="15"/>
        <v/>
      </c>
      <c r="O995" s="25"/>
      <c r="P995" s="11" t="str">
        <f ca="1">IF(AND(B995&lt;&gt;"",F995&lt;&gt;"Cerrada",F995&lt;&gt;"Perdida",N995&lt;&gt;"",N995&gt;14),COUNTIFS($F$8:$F995,"&lt;&gt;Cerrada",$F$8:$F995,"&lt;&gt;Perdida",$N$8:$N995,"&gt;14"),"")</f>
        <v/>
      </c>
    </row>
    <row r="996" spans="2:16" x14ac:dyDescent="0.25">
      <c r="B996" s="40"/>
      <c r="C996" s="40"/>
      <c r="D996" s="40"/>
      <c r="E996" s="40"/>
      <c r="F996" s="39"/>
      <c r="G996" s="41"/>
      <c r="H996" s="40"/>
      <c r="I996" s="41"/>
      <c r="J996" s="42"/>
      <c r="K996" s="40"/>
      <c r="L996" s="40"/>
      <c r="M996" s="40" t="str">
        <f>IF(B996="","",IF(COUNTIFS(Cobranza!$C$9:$C$1008,B996,Cobranza!$N$9:$N$1008,"Vencida")&gt;0,"Vencida",IF(COUNTIFS(Cobranza!$C$9:$C$1008,B996,Cobranza!$N$9:$N$1008,"Parcial")&gt;0,"Parcial",IF(COUNTIFS(Cobranza!$C$9:$C$1008,B996,Cobranza!$N$9:$N$1008,"Pendiente")&gt;0,"Pendiente",IF(COUNTIFS(Cobranza!$C$9:$C$1008,B996,Cobranza!$N$9:$N$1008,"Pagada")&gt;0,"Pagada","")))))</f>
        <v/>
      </c>
      <c r="N996" s="33" t="str">
        <f t="shared" ca="1" si="15"/>
        <v/>
      </c>
      <c r="O996" s="25"/>
      <c r="P996" s="11" t="str">
        <f ca="1">IF(AND(B996&lt;&gt;"",F996&lt;&gt;"Cerrada",F996&lt;&gt;"Perdida",N996&lt;&gt;"",N996&gt;14),COUNTIFS($F$8:$F996,"&lt;&gt;Cerrada",$F$8:$F996,"&lt;&gt;Perdida",$N$8:$N996,"&gt;14"),"")</f>
        <v/>
      </c>
    </row>
    <row r="997" spans="2:16" x14ac:dyDescent="0.25">
      <c r="B997" s="40"/>
      <c r="C997" s="40"/>
      <c r="D997" s="40"/>
      <c r="E997" s="40"/>
      <c r="F997" s="39"/>
      <c r="G997" s="41"/>
      <c r="H997" s="40"/>
      <c r="I997" s="41"/>
      <c r="J997" s="42"/>
      <c r="K997" s="40"/>
      <c r="L997" s="40"/>
      <c r="M997" s="40" t="str">
        <f>IF(B997="","",IF(COUNTIFS(Cobranza!$C$9:$C$1008,B997,Cobranza!$N$9:$N$1008,"Vencida")&gt;0,"Vencida",IF(COUNTIFS(Cobranza!$C$9:$C$1008,B997,Cobranza!$N$9:$N$1008,"Parcial")&gt;0,"Parcial",IF(COUNTIFS(Cobranza!$C$9:$C$1008,B997,Cobranza!$N$9:$N$1008,"Pendiente")&gt;0,"Pendiente",IF(COUNTIFS(Cobranza!$C$9:$C$1008,B997,Cobranza!$N$9:$N$1008,"Pagada")&gt;0,"Pagada","")))))</f>
        <v/>
      </c>
      <c r="N997" s="33" t="str">
        <f t="shared" ca="1" si="15"/>
        <v/>
      </c>
      <c r="O997" s="25"/>
      <c r="P997" s="11" t="str">
        <f ca="1">IF(AND(B997&lt;&gt;"",F997&lt;&gt;"Cerrada",F997&lt;&gt;"Perdida",N997&lt;&gt;"",N997&gt;14),COUNTIFS($F$8:$F997,"&lt;&gt;Cerrada",$F$8:$F997,"&lt;&gt;Perdida",$N$8:$N997,"&gt;14"),"")</f>
        <v/>
      </c>
    </row>
    <row r="998" spans="2:16" x14ac:dyDescent="0.25">
      <c r="B998" s="40"/>
      <c r="C998" s="40"/>
      <c r="D998" s="40"/>
      <c r="E998" s="40"/>
      <c r="F998" s="39"/>
      <c r="G998" s="41"/>
      <c r="H998" s="40"/>
      <c r="I998" s="41"/>
      <c r="J998" s="42"/>
      <c r="K998" s="40"/>
      <c r="L998" s="40"/>
      <c r="M998" s="40" t="str">
        <f>IF(B998="","",IF(COUNTIFS(Cobranza!$C$9:$C$1008,B998,Cobranza!$N$9:$N$1008,"Vencida")&gt;0,"Vencida",IF(COUNTIFS(Cobranza!$C$9:$C$1008,B998,Cobranza!$N$9:$N$1008,"Parcial")&gt;0,"Parcial",IF(COUNTIFS(Cobranza!$C$9:$C$1008,B998,Cobranza!$N$9:$N$1008,"Pendiente")&gt;0,"Pendiente",IF(COUNTIFS(Cobranza!$C$9:$C$1008,B998,Cobranza!$N$9:$N$1008,"Pagada")&gt;0,"Pagada","")))))</f>
        <v/>
      </c>
      <c r="N998" s="33" t="str">
        <f t="shared" ca="1" si="15"/>
        <v/>
      </c>
      <c r="O998" s="25"/>
      <c r="P998" s="11" t="str">
        <f ca="1">IF(AND(B998&lt;&gt;"",F998&lt;&gt;"Cerrada",F998&lt;&gt;"Perdida",N998&lt;&gt;"",N998&gt;14),COUNTIFS($F$8:$F998,"&lt;&gt;Cerrada",$F$8:$F998,"&lt;&gt;Perdida",$N$8:$N998,"&gt;14"),"")</f>
        <v/>
      </c>
    </row>
    <row r="999" spans="2:16" x14ac:dyDescent="0.25">
      <c r="B999" s="40"/>
      <c r="C999" s="40"/>
      <c r="D999" s="40"/>
      <c r="E999" s="40"/>
      <c r="F999" s="39"/>
      <c r="G999" s="41"/>
      <c r="H999" s="40"/>
      <c r="I999" s="41"/>
      <c r="J999" s="42"/>
      <c r="K999" s="40"/>
      <c r="L999" s="40"/>
      <c r="M999" s="40" t="str">
        <f>IF(B999="","",IF(COUNTIFS(Cobranza!$C$9:$C$1008,B999,Cobranza!$N$9:$N$1008,"Vencida")&gt;0,"Vencida",IF(COUNTIFS(Cobranza!$C$9:$C$1008,B999,Cobranza!$N$9:$N$1008,"Parcial")&gt;0,"Parcial",IF(COUNTIFS(Cobranza!$C$9:$C$1008,B999,Cobranza!$N$9:$N$1008,"Pendiente")&gt;0,"Pendiente",IF(COUNTIFS(Cobranza!$C$9:$C$1008,B999,Cobranza!$N$9:$N$1008,"Pagada")&gt;0,"Pagada","")))))</f>
        <v/>
      </c>
      <c r="N999" s="33" t="str">
        <f t="shared" ca="1" si="15"/>
        <v/>
      </c>
      <c r="O999" s="25"/>
      <c r="P999" s="11" t="str">
        <f ca="1">IF(AND(B999&lt;&gt;"",F999&lt;&gt;"Cerrada",F999&lt;&gt;"Perdida",N999&lt;&gt;"",N999&gt;14),COUNTIFS($F$8:$F999,"&lt;&gt;Cerrada",$F$8:$F999,"&lt;&gt;Perdida",$N$8:$N999,"&gt;14"),"")</f>
        <v/>
      </c>
    </row>
    <row r="1000" spans="2:16" x14ac:dyDescent="0.25">
      <c r="B1000" s="40"/>
      <c r="C1000" s="40"/>
      <c r="D1000" s="40"/>
      <c r="E1000" s="40"/>
      <c r="F1000" s="39"/>
      <c r="G1000" s="41"/>
      <c r="H1000" s="40"/>
      <c r="I1000" s="41"/>
      <c r="J1000" s="42"/>
      <c r="K1000" s="40"/>
      <c r="L1000" s="40"/>
      <c r="M1000" s="40" t="str">
        <f>IF(B1000="","",IF(COUNTIFS(Cobranza!$C$9:$C$1008,B1000,Cobranza!$N$9:$N$1008,"Vencida")&gt;0,"Vencida",IF(COUNTIFS(Cobranza!$C$9:$C$1008,B1000,Cobranza!$N$9:$N$1008,"Parcial")&gt;0,"Parcial",IF(COUNTIFS(Cobranza!$C$9:$C$1008,B1000,Cobranza!$N$9:$N$1008,"Pendiente")&gt;0,"Pendiente",IF(COUNTIFS(Cobranza!$C$9:$C$1008,B1000,Cobranza!$N$9:$N$1008,"Pagada")&gt;0,"Pagada","")))))</f>
        <v/>
      </c>
      <c r="N1000" s="33" t="str">
        <f t="shared" ca="1" si="15"/>
        <v/>
      </c>
      <c r="O1000" s="25"/>
      <c r="P1000" s="11" t="str">
        <f ca="1">IF(AND(B1000&lt;&gt;"",F1000&lt;&gt;"Cerrada",F1000&lt;&gt;"Perdida",N1000&lt;&gt;"",N1000&gt;14),COUNTIFS($F$8:$F1000,"&lt;&gt;Cerrada",$F$8:$F1000,"&lt;&gt;Perdida",$N$8:$N1000,"&gt;14"),"")</f>
        <v/>
      </c>
    </row>
    <row r="1001" spans="2:16" x14ac:dyDescent="0.25">
      <c r="B1001" s="40"/>
      <c r="C1001" s="40"/>
      <c r="D1001" s="40"/>
      <c r="E1001" s="40"/>
      <c r="F1001" s="39"/>
      <c r="G1001" s="41"/>
      <c r="H1001" s="40"/>
      <c r="I1001" s="41"/>
      <c r="J1001" s="42"/>
      <c r="K1001" s="40"/>
      <c r="L1001" s="40"/>
      <c r="M1001" s="40" t="str">
        <f>IF(B1001="","",IF(COUNTIFS(Cobranza!$C$9:$C$1008,B1001,Cobranza!$N$9:$N$1008,"Vencida")&gt;0,"Vencida",IF(COUNTIFS(Cobranza!$C$9:$C$1008,B1001,Cobranza!$N$9:$N$1008,"Parcial")&gt;0,"Parcial",IF(COUNTIFS(Cobranza!$C$9:$C$1008,B1001,Cobranza!$N$9:$N$1008,"Pendiente")&gt;0,"Pendiente",IF(COUNTIFS(Cobranza!$C$9:$C$1008,B1001,Cobranza!$N$9:$N$1008,"Pagada")&gt;0,"Pagada","")))))</f>
        <v/>
      </c>
      <c r="N1001" s="33" t="str">
        <f t="shared" ca="1" si="15"/>
        <v/>
      </c>
      <c r="O1001" s="25"/>
      <c r="P1001" s="11" t="str">
        <f ca="1">IF(AND(B1001&lt;&gt;"",F1001&lt;&gt;"Cerrada",F1001&lt;&gt;"Perdida",N1001&lt;&gt;"",N1001&gt;14),COUNTIFS($F$8:$F1001,"&lt;&gt;Cerrada",$F$8:$F1001,"&lt;&gt;Perdida",$N$8:$N1001,"&gt;14"),"")</f>
        <v/>
      </c>
    </row>
    <row r="1002" spans="2:16" x14ac:dyDescent="0.25">
      <c r="B1002" s="40"/>
      <c r="C1002" s="40"/>
      <c r="D1002" s="40"/>
      <c r="E1002" s="40"/>
      <c r="F1002" s="39"/>
      <c r="G1002" s="41"/>
      <c r="H1002" s="40"/>
      <c r="I1002" s="41"/>
      <c r="J1002" s="42"/>
      <c r="K1002" s="40"/>
      <c r="L1002" s="40"/>
      <c r="M1002" s="40" t="str">
        <f>IF(B1002="","",IF(COUNTIFS(Cobranza!$C$9:$C$1008,B1002,Cobranza!$N$9:$N$1008,"Vencida")&gt;0,"Vencida",IF(COUNTIFS(Cobranza!$C$9:$C$1008,B1002,Cobranza!$N$9:$N$1008,"Parcial")&gt;0,"Parcial",IF(COUNTIFS(Cobranza!$C$9:$C$1008,B1002,Cobranza!$N$9:$N$1008,"Pendiente")&gt;0,"Pendiente",IF(COUNTIFS(Cobranza!$C$9:$C$1008,B1002,Cobranza!$N$9:$N$1008,"Pagada")&gt;0,"Pagada","")))))</f>
        <v/>
      </c>
      <c r="N1002" s="33" t="str">
        <f t="shared" ca="1" si="15"/>
        <v/>
      </c>
      <c r="O1002" s="25"/>
      <c r="P1002" s="11" t="str">
        <f ca="1">IF(AND(B1002&lt;&gt;"",F1002&lt;&gt;"Cerrada",F1002&lt;&gt;"Perdida",N1002&lt;&gt;"",N1002&gt;14),COUNTIFS($F$8:$F1002,"&lt;&gt;Cerrada",$F$8:$F1002,"&lt;&gt;Perdida",$N$8:$N1002,"&gt;14"),"")</f>
        <v/>
      </c>
    </row>
    <row r="1003" spans="2:16" x14ac:dyDescent="0.25">
      <c r="B1003" s="40"/>
      <c r="C1003" s="40"/>
      <c r="D1003" s="40"/>
      <c r="E1003" s="40"/>
      <c r="F1003" s="39"/>
      <c r="G1003" s="41"/>
      <c r="H1003" s="40"/>
      <c r="I1003" s="41"/>
      <c r="J1003" s="42"/>
      <c r="K1003" s="40"/>
      <c r="L1003" s="40"/>
      <c r="M1003" s="40" t="str">
        <f>IF(B1003="","",IF(COUNTIFS(Cobranza!$C$9:$C$1008,B1003,Cobranza!$N$9:$N$1008,"Vencida")&gt;0,"Vencida",IF(COUNTIFS(Cobranza!$C$9:$C$1008,B1003,Cobranza!$N$9:$N$1008,"Parcial")&gt;0,"Parcial",IF(COUNTIFS(Cobranza!$C$9:$C$1008,B1003,Cobranza!$N$9:$N$1008,"Pendiente")&gt;0,"Pendiente",IF(COUNTIFS(Cobranza!$C$9:$C$1008,B1003,Cobranza!$N$9:$N$1008,"Pagada")&gt;0,"Pagada","")))))</f>
        <v/>
      </c>
      <c r="N1003" s="33" t="str">
        <f t="shared" ca="1" si="15"/>
        <v/>
      </c>
      <c r="O1003" s="25"/>
      <c r="P1003" s="11" t="str">
        <f ca="1">IF(AND(B1003&lt;&gt;"",F1003&lt;&gt;"Cerrada",F1003&lt;&gt;"Perdida",N1003&lt;&gt;"",N1003&gt;14),COUNTIFS($F$8:$F1003,"&lt;&gt;Cerrada",$F$8:$F1003,"&lt;&gt;Perdida",$N$8:$N1003,"&gt;14"),"")</f>
        <v/>
      </c>
    </row>
    <row r="1004" spans="2:16" x14ac:dyDescent="0.25">
      <c r="B1004" s="40"/>
      <c r="C1004" s="40"/>
      <c r="D1004" s="40"/>
      <c r="E1004" s="40"/>
      <c r="F1004" s="39"/>
      <c r="G1004" s="41"/>
      <c r="H1004" s="40"/>
      <c r="I1004" s="41"/>
      <c r="J1004" s="42"/>
      <c r="K1004" s="40"/>
      <c r="L1004" s="40"/>
      <c r="M1004" s="40" t="str">
        <f>IF(B1004="","",IF(COUNTIFS(Cobranza!$C$9:$C$1008,B1004,Cobranza!$N$9:$N$1008,"Vencida")&gt;0,"Vencida",IF(COUNTIFS(Cobranza!$C$9:$C$1008,B1004,Cobranza!$N$9:$N$1008,"Parcial")&gt;0,"Parcial",IF(COUNTIFS(Cobranza!$C$9:$C$1008,B1004,Cobranza!$N$9:$N$1008,"Pendiente")&gt;0,"Pendiente",IF(COUNTIFS(Cobranza!$C$9:$C$1008,B1004,Cobranza!$N$9:$N$1008,"Pagada")&gt;0,"Pagada","")))))</f>
        <v/>
      </c>
      <c r="N1004" s="33" t="str">
        <f t="shared" ca="1" si="15"/>
        <v/>
      </c>
      <c r="O1004" s="25"/>
      <c r="P1004" s="11" t="str">
        <f ca="1">IF(AND(B1004&lt;&gt;"",F1004&lt;&gt;"Cerrada",F1004&lt;&gt;"Perdida",N1004&lt;&gt;"",N1004&gt;14),COUNTIFS($F$8:$F1004,"&lt;&gt;Cerrada",$F$8:$F1004,"&lt;&gt;Perdida",$N$8:$N1004,"&gt;14"),"")</f>
        <v/>
      </c>
    </row>
    <row r="1005" spans="2:16" x14ac:dyDescent="0.25">
      <c r="B1005" s="40"/>
      <c r="C1005" s="40"/>
      <c r="D1005" s="40"/>
      <c r="E1005" s="40"/>
      <c r="F1005" s="39"/>
      <c r="G1005" s="41"/>
      <c r="H1005" s="40"/>
      <c r="I1005" s="41"/>
      <c r="J1005" s="42"/>
      <c r="K1005" s="40"/>
      <c r="L1005" s="40"/>
      <c r="M1005" s="40" t="str">
        <f>IF(B1005="","",IF(COUNTIFS(Cobranza!$C$9:$C$1008,B1005,Cobranza!$N$9:$N$1008,"Vencida")&gt;0,"Vencida",IF(COUNTIFS(Cobranza!$C$9:$C$1008,B1005,Cobranza!$N$9:$N$1008,"Parcial")&gt;0,"Parcial",IF(COUNTIFS(Cobranza!$C$9:$C$1008,B1005,Cobranza!$N$9:$N$1008,"Pendiente")&gt;0,"Pendiente",IF(COUNTIFS(Cobranza!$C$9:$C$1008,B1005,Cobranza!$N$9:$N$1008,"Pagada")&gt;0,"Pagada","")))))</f>
        <v/>
      </c>
      <c r="N1005" s="33" t="str">
        <f t="shared" ca="1" si="15"/>
        <v/>
      </c>
      <c r="O1005" s="25"/>
      <c r="P1005" s="11" t="str">
        <f ca="1">IF(AND(B1005&lt;&gt;"",F1005&lt;&gt;"Cerrada",F1005&lt;&gt;"Perdida",N1005&lt;&gt;"",N1005&gt;14),COUNTIFS($F$8:$F1005,"&lt;&gt;Cerrada",$F$8:$F1005,"&lt;&gt;Perdida",$N$8:$N1005,"&gt;14"),"")</f>
        <v/>
      </c>
    </row>
    <row r="1006" spans="2:16" x14ac:dyDescent="0.25">
      <c r="B1006" s="40"/>
      <c r="C1006" s="40"/>
      <c r="D1006" s="40"/>
      <c r="E1006" s="40"/>
      <c r="F1006" s="39"/>
      <c r="G1006" s="41"/>
      <c r="H1006" s="40"/>
      <c r="I1006" s="41"/>
      <c r="J1006" s="42"/>
      <c r="K1006" s="40"/>
      <c r="L1006" s="40"/>
      <c r="M1006" s="40" t="str">
        <f>IF(B1006="","",IF(COUNTIFS(Cobranza!$C$9:$C$1008,B1006,Cobranza!$N$9:$N$1008,"Vencida")&gt;0,"Vencida",IF(COUNTIFS(Cobranza!$C$9:$C$1008,B1006,Cobranza!$N$9:$N$1008,"Parcial")&gt;0,"Parcial",IF(COUNTIFS(Cobranza!$C$9:$C$1008,B1006,Cobranza!$N$9:$N$1008,"Pendiente")&gt;0,"Pendiente",IF(COUNTIFS(Cobranza!$C$9:$C$1008,B1006,Cobranza!$N$9:$N$1008,"Pagada")&gt;0,"Pagada","")))))</f>
        <v/>
      </c>
      <c r="N1006" s="33" t="str">
        <f t="shared" ca="1" si="15"/>
        <v/>
      </c>
      <c r="O1006" s="25"/>
      <c r="P1006" s="11" t="str">
        <f ca="1">IF(AND(B1006&lt;&gt;"",F1006&lt;&gt;"Cerrada",F1006&lt;&gt;"Perdida",N1006&lt;&gt;"",N1006&gt;14),COUNTIFS($F$8:$F1006,"&lt;&gt;Cerrada",$F$8:$F1006,"&lt;&gt;Perdida",$N$8:$N1006,"&gt;14"),"")</f>
        <v/>
      </c>
    </row>
    <row r="1007" spans="2:16" x14ac:dyDescent="0.25">
      <c r="B1007" s="40"/>
      <c r="C1007" s="40"/>
      <c r="D1007" s="40"/>
      <c r="E1007" s="40"/>
      <c r="F1007" s="39"/>
      <c r="G1007" s="41"/>
      <c r="H1007" s="40"/>
      <c r="I1007" s="41"/>
      <c r="J1007" s="42"/>
      <c r="K1007" s="40"/>
      <c r="L1007" s="40"/>
      <c r="M1007" s="40" t="str">
        <f>IF(B1007="","",IF(COUNTIFS(Cobranza!$C$9:$C$1008,B1007,Cobranza!$N$9:$N$1008,"Vencida")&gt;0,"Vencida",IF(COUNTIFS(Cobranza!$C$9:$C$1008,B1007,Cobranza!$N$9:$N$1008,"Parcial")&gt;0,"Parcial",IF(COUNTIFS(Cobranza!$C$9:$C$1008,B1007,Cobranza!$N$9:$N$1008,"Pendiente")&gt;0,"Pendiente",IF(COUNTIFS(Cobranza!$C$9:$C$1008,B1007,Cobranza!$N$9:$N$1008,"Pagada")&gt;0,"Pagada","")))))</f>
        <v/>
      </c>
      <c r="N1007" s="33" t="str">
        <f t="shared" ca="1" si="15"/>
        <v/>
      </c>
      <c r="O1007" s="25"/>
      <c r="P1007" s="11" t="str">
        <f ca="1">IF(AND(B1007&lt;&gt;"",F1007&lt;&gt;"Cerrada",F1007&lt;&gt;"Perdida",N1007&lt;&gt;"",N1007&gt;14),COUNTIFS($F$8:$F1007,"&lt;&gt;Cerrada",$F$8:$F1007,"&lt;&gt;Perdida",$N$8:$N1007,"&gt;14"),"")</f>
        <v/>
      </c>
    </row>
  </sheetData>
  <mergeCells count="12">
    <mergeCell ref="B1:S1"/>
    <mergeCell ref="B2:S2"/>
    <mergeCell ref="B4:D4"/>
    <mergeCell ref="E4:G4"/>
    <mergeCell ref="H4:J4"/>
    <mergeCell ref="K4:M4"/>
    <mergeCell ref="N4:P4"/>
    <mergeCell ref="B5:D5"/>
    <mergeCell ref="E5:G5"/>
    <mergeCell ref="H5:J5"/>
    <mergeCell ref="K5:M5"/>
    <mergeCell ref="N5:P5"/>
  </mergeCells>
  <conditionalFormatting sqref="F8:F607">
    <cfRule type="expression" dxfId="24" priority="2">
      <formula>F8="Prospecto"</formula>
    </cfRule>
    <cfRule type="expression" dxfId="23" priority="3">
      <formula>F8="En negociación"</formula>
    </cfRule>
    <cfRule type="expression" dxfId="22" priority="4">
      <formula>F8="Cerrada"</formula>
    </cfRule>
    <cfRule type="expression" dxfId="21" priority="5">
      <formula>F8="Perdida"</formula>
    </cfRule>
  </conditionalFormatting>
  <conditionalFormatting sqref="Q8:Q607">
    <cfRule type="expression" dxfId="20" priority="7">
      <formula>Q8="Vencida"</formula>
    </cfRule>
    <cfRule type="expression" dxfId="19" priority="8">
      <formula>Q8="Pagada"</formula>
    </cfRule>
  </conditionalFormatting>
  <conditionalFormatting sqref="R8:R607">
    <cfRule type="cellIs" dxfId="18" priority="6" operator="greaterThan">
      <formula>14</formula>
    </cfRule>
  </conditionalFormatting>
  <dataValidations count="4">
    <dataValidation type="list" allowBlank="1" sqref="F8:F1007" xr:uid="{00000000-0002-0000-0300-000000000000}">
      <formula1>Lista_EstadoVenta</formula1>
      <formula2>0</formula2>
    </dataValidation>
    <dataValidation type="list" allowBlank="1" sqref="H8:H1007" xr:uid="{00000000-0002-0000-0300-000001000000}">
      <formula1>Lista_ProximaAccion</formula1>
      <formula2>0</formula2>
    </dataValidation>
    <dataValidation type="list" allowBlank="1" sqref="K8:K1007" xr:uid="{00000000-0002-0000-0300-000002000000}">
      <formula1>Lista_Responsable</formula1>
      <formula2>0</formula2>
    </dataValidation>
    <dataValidation type="list" allowBlank="1" sqref="L8:L1007" xr:uid="{00000000-0002-0000-0300-000003000000}">
      <formula1>Lista_Canal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9"/>
  <sheetViews>
    <sheetView showGridLines="0" zoomScale="80" zoomScaleNormal="80" workbookViewId="0">
      <pane ySplit="8" topLeftCell="A9" activePane="bottomLeft" state="frozen"/>
      <selection pane="bottomLeft" activeCell="H22" sqref="H22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12" customWidth="1"/>
    <col min="4" max="4" width="24" customWidth="1"/>
    <col min="5" max="5" width="18" customWidth="1"/>
    <col min="6" max="8" width="16" customWidth="1"/>
    <col min="9" max="9" width="18" customWidth="1"/>
    <col min="10" max="14" width="16" customWidth="1"/>
    <col min="15" max="15" width="18" customWidth="1"/>
    <col min="16" max="16" width="28" customWidth="1"/>
  </cols>
  <sheetData>
    <row r="1" spans="1:16" ht="21.75" customHeight="1" x14ac:dyDescent="0.25">
      <c r="A1" s="12" t="s">
        <v>137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1.75" customHeight="1" x14ac:dyDescent="0.25">
      <c r="A2" s="13" t="s">
        <v>138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1.75" customHeight="1" x14ac:dyDescent="0.25"/>
    <row r="4" spans="1:16" ht="21.75" customHeight="1" x14ac:dyDescent="0.25">
      <c r="A4" s="14" t="s">
        <v>139</v>
      </c>
      <c r="B4" s="14"/>
      <c r="C4" s="14"/>
      <c r="D4" s="14" t="s">
        <v>140</v>
      </c>
      <c r="E4" s="14"/>
      <c r="F4" s="14"/>
      <c r="G4" s="14" t="s">
        <v>141</v>
      </c>
      <c r="H4" s="14"/>
      <c r="I4" s="14"/>
      <c r="J4" s="14" t="s">
        <v>31</v>
      </c>
      <c r="K4" s="14"/>
      <c r="L4" s="14"/>
    </row>
    <row r="5" spans="1:16" ht="21.75" customHeight="1" x14ac:dyDescent="0.25">
      <c r="A5" s="15">
        <f>SUM(G9:G1008)</f>
        <v>6700000</v>
      </c>
      <c r="B5" s="15"/>
      <c r="C5" s="15"/>
      <c r="D5" s="15">
        <f>SUM(I9:I1008)+SUM(K9:K1008)</f>
        <v>3200000</v>
      </c>
      <c r="E5" s="15"/>
      <c r="F5" s="15"/>
      <c r="G5" s="15">
        <f>SUM(L9:L1008)</f>
        <v>3500000</v>
      </c>
      <c r="H5" s="15"/>
      <c r="I5" s="15"/>
      <c r="J5" s="15">
        <f ca="1">SUMIFS(L9:L1008,N9:N1008,"Vencida")</f>
        <v>1100000</v>
      </c>
      <c r="K5" s="15"/>
      <c r="L5" s="15"/>
    </row>
    <row r="6" spans="1:16" ht="21.75" customHeight="1" x14ac:dyDescent="0.25"/>
    <row r="7" spans="1:16" ht="21.75" customHeight="1" x14ac:dyDescent="0.25"/>
    <row r="8" spans="1:16" ht="29.25" customHeight="1" x14ac:dyDescent="0.25">
      <c r="A8" s="4" t="s">
        <v>142</v>
      </c>
      <c r="B8" s="4" t="s">
        <v>143</v>
      </c>
      <c r="C8" s="4" t="s">
        <v>144</v>
      </c>
      <c r="D8" s="4" t="s">
        <v>56</v>
      </c>
      <c r="E8" s="4" t="s">
        <v>145</v>
      </c>
      <c r="F8" s="4" t="s">
        <v>146</v>
      </c>
      <c r="G8" s="4" t="s">
        <v>147</v>
      </c>
      <c r="H8" s="4" t="s">
        <v>148</v>
      </c>
      <c r="I8" s="4" t="s">
        <v>149</v>
      </c>
      <c r="J8" s="4" t="s">
        <v>150</v>
      </c>
      <c r="K8" s="4" t="s">
        <v>151</v>
      </c>
      <c r="L8" s="4" t="s">
        <v>141</v>
      </c>
      <c r="M8" s="4" t="s">
        <v>152</v>
      </c>
      <c r="N8" s="4" t="s">
        <v>36</v>
      </c>
      <c r="O8" s="4" t="s">
        <v>48</v>
      </c>
      <c r="P8" s="4" t="s">
        <v>60</v>
      </c>
    </row>
    <row r="9" spans="1:16" ht="21.75" customHeight="1" x14ac:dyDescent="0.25">
      <c r="A9" s="24" t="s">
        <v>153</v>
      </c>
      <c r="B9" s="24">
        <v>46113</v>
      </c>
      <c r="C9" s="24">
        <v>3</v>
      </c>
      <c r="D9" s="35" t="str">
        <f>IF(C9="","",IFERROR(VLOOKUP(C9,CRM!$B$8:$O$1007,2,FALSE()),"Revisar ID"))</f>
        <v>Carlos García</v>
      </c>
      <c r="E9" s="24" t="s">
        <v>81</v>
      </c>
      <c r="F9" s="36">
        <f t="shared" ref="F9:F72" si="0">IF(B9="","",B9+IF(E9="Contado",0,IF(E9="7 días",7,IF(E9="15 días",15,IF(E9="30 días",30,IF(E9="45 días",45,IF(E9="60 días",60,0)))))))</f>
        <v>46143</v>
      </c>
      <c r="G9" s="26">
        <v>800000</v>
      </c>
      <c r="H9" s="27">
        <v>46140</v>
      </c>
      <c r="I9" s="26">
        <v>800000</v>
      </c>
      <c r="J9" s="27"/>
      <c r="K9" s="26"/>
      <c r="L9" s="30">
        <f t="shared" ref="L9:L72" si="1">IF(G9="","",MAX(0,G9-SUM(I9,K9)))</f>
        <v>0</v>
      </c>
      <c r="M9" s="31">
        <f t="shared" ref="M9:M72" ca="1" si="2">IF(G9="","",IF(L9=0,0,MAX(0,TODAY()-F9)))</f>
        <v>0</v>
      </c>
      <c r="N9" s="35" t="str">
        <f t="shared" ref="N9:N72" si="3">IF(G9="","",IF(L9=0,"Pagada",IF(M9&gt;0,"Vencida",IF(SUM(I9,K9)&gt;0,"Parcial","Pendiente"))))</f>
        <v>Pagada</v>
      </c>
      <c r="O9" s="24" t="s">
        <v>50</v>
      </c>
      <c r="P9" s="24" t="s">
        <v>43</v>
      </c>
    </row>
    <row r="10" spans="1:16" ht="21.75" customHeight="1" x14ac:dyDescent="0.25">
      <c r="A10" s="24" t="s">
        <v>154</v>
      </c>
      <c r="B10" s="24">
        <v>46152</v>
      </c>
      <c r="C10" s="24">
        <v>8</v>
      </c>
      <c r="D10" s="35" t="str">
        <f>IF(C10="","",IFERROR(VLOOKUP(C10,CRM!$B$8:$O$1007,2,FALSE()),"Revisar ID"))</f>
        <v>Sofía Castro</v>
      </c>
      <c r="E10" s="24" t="s">
        <v>81</v>
      </c>
      <c r="F10" s="36">
        <f t="shared" si="0"/>
        <v>46182</v>
      </c>
      <c r="G10" s="26">
        <v>1100000</v>
      </c>
      <c r="H10" s="27"/>
      <c r="I10" s="26"/>
      <c r="J10" s="27"/>
      <c r="K10" s="26"/>
      <c r="L10" s="30">
        <f t="shared" si="1"/>
        <v>1100000</v>
      </c>
      <c r="M10" s="31">
        <f t="shared" ca="1" si="2"/>
        <v>10</v>
      </c>
      <c r="N10" s="35" t="str">
        <f t="shared" ca="1" si="3"/>
        <v>Vencida</v>
      </c>
      <c r="O10" s="24" t="s">
        <v>52</v>
      </c>
      <c r="P10" s="24" t="s">
        <v>155</v>
      </c>
    </row>
    <row r="11" spans="1:16" ht="21.75" customHeight="1" x14ac:dyDescent="0.25">
      <c r="A11" s="24" t="s">
        <v>156</v>
      </c>
      <c r="B11" s="24">
        <v>46178</v>
      </c>
      <c r="C11" s="24">
        <v>7</v>
      </c>
      <c r="D11" s="35" t="str">
        <f>IF(C11="","",IFERROR(VLOOKUP(C11,CRM!$B$8:$O$1007,2,FALSE()),"Revisar ID"))</f>
        <v>Diego Ramírez</v>
      </c>
      <c r="E11" s="24" t="s">
        <v>79</v>
      </c>
      <c r="F11" s="36">
        <f t="shared" si="0"/>
        <v>46193</v>
      </c>
      <c r="G11" s="26">
        <v>1800000</v>
      </c>
      <c r="H11" s="27">
        <v>46183</v>
      </c>
      <c r="I11" s="26">
        <v>700000</v>
      </c>
      <c r="J11" s="27"/>
      <c r="K11" s="26"/>
      <c r="L11" s="30">
        <f t="shared" si="1"/>
        <v>1100000</v>
      </c>
      <c r="M11" s="31">
        <f t="shared" ca="1" si="2"/>
        <v>0</v>
      </c>
      <c r="N11" s="35" t="str">
        <f t="shared" ca="1" si="3"/>
        <v>Parcial</v>
      </c>
      <c r="O11" s="24" t="s">
        <v>50</v>
      </c>
      <c r="P11" s="24" t="s">
        <v>157</v>
      </c>
    </row>
    <row r="12" spans="1:16" ht="21.75" customHeight="1" x14ac:dyDescent="0.25">
      <c r="A12" s="24" t="s">
        <v>158</v>
      </c>
      <c r="B12" s="24">
        <v>46183</v>
      </c>
      <c r="C12" s="24">
        <v>10</v>
      </c>
      <c r="D12" s="35" t="str">
        <f>IF(C12="","",IFERROR(VLOOKUP(C12,CRM!$B$8:$O$1007,2,FALSE()),"Revisar ID"))</f>
        <v>Valentina Gómez</v>
      </c>
      <c r="E12" s="24" t="s">
        <v>81</v>
      </c>
      <c r="F12" s="36">
        <f t="shared" si="0"/>
        <v>46213</v>
      </c>
      <c r="G12" s="26">
        <v>1300000</v>
      </c>
      <c r="H12" s="27"/>
      <c r="I12" s="26"/>
      <c r="J12" s="27"/>
      <c r="K12" s="26"/>
      <c r="L12" s="30">
        <f t="shared" si="1"/>
        <v>1300000</v>
      </c>
      <c r="M12" s="31">
        <f t="shared" ca="1" si="2"/>
        <v>0</v>
      </c>
      <c r="N12" s="35" t="str">
        <f t="shared" ca="1" si="3"/>
        <v>Pendiente</v>
      </c>
      <c r="O12" s="24" t="s">
        <v>51</v>
      </c>
      <c r="P12" s="24" t="s">
        <v>159</v>
      </c>
    </row>
    <row r="13" spans="1:16" ht="21.75" customHeight="1" x14ac:dyDescent="0.25">
      <c r="A13" s="24" t="s">
        <v>160</v>
      </c>
      <c r="B13" s="24">
        <v>46127</v>
      </c>
      <c r="C13" s="24">
        <v>2</v>
      </c>
      <c r="D13" s="35" t="str">
        <f>IF(C13="","",IFERROR(VLOOKUP(C13,CRM!$B$8:$O$1007,2,FALSE()),"Revisar ID"))</f>
        <v>Andrea Morales</v>
      </c>
      <c r="E13" s="24" t="s">
        <v>79</v>
      </c>
      <c r="F13" s="36">
        <f t="shared" si="0"/>
        <v>46142</v>
      </c>
      <c r="G13" s="26">
        <v>1200000</v>
      </c>
      <c r="H13" s="27">
        <v>46137</v>
      </c>
      <c r="I13" s="26">
        <v>1200000</v>
      </c>
      <c r="J13" s="27"/>
      <c r="K13" s="26"/>
      <c r="L13" s="30">
        <f t="shared" si="1"/>
        <v>0</v>
      </c>
      <c r="M13" s="31">
        <f t="shared" ca="1" si="2"/>
        <v>0</v>
      </c>
      <c r="N13" s="35" t="str">
        <f t="shared" si="3"/>
        <v>Pagada</v>
      </c>
      <c r="O13" s="24" t="s">
        <v>51</v>
      </c>
      <c r="P13" s="24" t="s">
        <v>43</v>
      </c>
    </row>
    <row r="14" spans="1:16" ht="21.75" customHeight="1" x14ac:dyDescent="0.25">
      <c r="A14" s="24" t="s">
        <v>161</v>
      </c>
      <c r="B14" s="24">
        <v>46082</v>
      </c>
      <c r="C14" s="24">
        <v>8</v>
      </c>
      <c r="D14" s="35" t="str">
        <f>IF(C14="","",IFERROR(VLOOKUP(C14,CRM!$B$8:$O$1007,2,FALSE()),"Revisar ID"))</f>
        <v>Sofía Castro</v>
      </c>
      <c r="E14" s="24" t="s">
        <v>81</v>
      </c>
      <c r="F14" s="36">
        <f t="shared" si="0"/>
        <v>46112</v>
      </c>
      <c r="G14" s="26">
        <v>500000</v>
      </c>
      <c r="H14" s="27">
        <v>46101</v>
      </c>
      <c r="I14" s="26">
        <v>500000</v>
      </c>
      <c r="J14" s="27"/>
      <c r="K14" s="26"/>
      <c r="L14" s="30">
        <f t="shared" si="1"/>
        <v>0</v>
      </c>
      <c r="M14" s="31">
        <f t="shared" ca="1" si="2"/>
        <v>0</v>
      </c>
      <c r="N14" s="35" t="str">
        <f t="shared" si="3"/>
        <v>Pagada</v>
      </c>
      <c r="O14" s="24" t="s">
        <v>52</v>
      </c>
      <c r="P14" s="24" t="s">
        <v>43</v>
      </c>
    </row>
    <row r="15" spans="1:16" ht="21.75" customHeight="1" x14ac:dyDescent="0.25">
      <c r="A15" s="24"/>
      <c r="B15" s="24"/>
      <c r="C15" s="24"/>
      <c r="D15" s="34" t="str">
        <f>IF(C15="","",IFERROR(VLOOKUP(C15,CRM!$B$8:$O$1007,2,FALSE()),"Revisar ID"))</f>
        <v/>
      </c>
      <c r="E15" s="23"/>
      <c r="F15" s="37" t="str">
        <f t="shared" si="0"/>
        <v/>
      </c>
      <c r="G15" s="28"/>
      <c r="H15" s="29"/>
      <c r="I15" s="28"/>
      <c r="J15" s="29"/>
      <c r="K15" s="28"/>
      <c r="L15" s="32" t="str">
        <f t="shared" si="1"/>
        <v/>
      </c>
      <c r="M15" s="33" t="str">
        <f t="shared" ca="1" si="2"/>
        <v/>
      </c>
      <c r="N15" s="34" t="str">
        <f t="shared" si="3"/>
        <v/>
      </c>
      <c r="O15" s="23"/>
      <c r="P15" s="23"/>
    </row>
    <row r="16" spans="1:16" ht="21.75" customHeight="1" x14ac:dyDescent="0.25">
      <c r="A16" s="24"/>
      <c r="B16" s="24"/>
      <c r="C16" s="24"/>
      <c r="D16" s="34" t="str">
        <f>IF(C16="","",IFERROR(VLOOKUP(C16,CRM!$B$8:$O$1007,2,FALSE()),"Revisar ID"))</f>
        <v/>
      </c>
      <c r="E16" s="23"/>
      <c r="F16" s="37" t="str">
        <f t="shared" si="0"/>
        <v/>
      </c>
      <c r="G16" s="28"/>
      <c r="H16" s="29"/>
      <c r="I16" s="28"/>
      <c r="J16" s="29"/>
      <c r="K16" s="28"/>
      <c r="L16" s="32" t="str">
        <f t="shared" si="1"/>
        <v/>
      </c>
      <c r="M16" s="33" t="str">
        <f t="shared" ca="1" si="2"/>
        <v/>
      </c>
      <c r="N16" s="34" t="str">
        <f t="shared" si="3"/>
        <v/>
      </c>
      <c r="O16" s="23"/>
      <c r="P16" s="23"/>
    </row>
    <row r="17" spans="1:16" ht="21.75" customHeight="1" x14ac:dyDescent="0.25">
      <c r="A17" s="24"/>
      <c r="B17" s="24"/>
      <c r="C17" s="24"/>
      <c r="D17" s="34" t="str">
        <f>IF(C17="","",IFERROR(VLOOKUP(C17,CRM!$B$8:$O$1007,2,FALSE()),"Revisar ID"))</f>
        <v/>
      </c>
      <c r="E17" s="23"/>
      <c r="F17" s="37" t="str">
        <f t="shared" si="0"/>
        <v/>
      </c>
      <c r="G17" s="28"/>
      <c r="H17" s="29"/>
      <c r="I17" s="28"/>
      <c r="J17" s="29"/>
      <c r="K17" s="28"/>
      <c r="L17" s="32" t="str">
        <f t="shared" si="1"/>
        <v/>
      </c>
      <c r="M17" s="33" t="str">
        <f t="shared" ca="1" si="2"/>
        <v/>
      </c>
      <c r="N17" s="34" t="str">
        <f t="shared" si="3"/>
        <v/>
      </c>
      <c r="O17" s="23"/>
      <c r="P17" s="23"/>
    </row>
    <row r="18" spans="1:16" ht="21.75" customHeight="1" x14ac:dyDescent="0.25">
      <c r="A18" s="24"/>
      <c r="B18" s="24"/>
      <c r="C18" s="24"/>
      <c r="D18" s="34" t="str">
        <f>IF(C18="","",IFERROR(VLOOKUP(C18,CRM!$B$8:$O$1007,2,FALSE()),"Revisar ID"))</f>
        <v/>
      </c>
      <c r="E18" s="23"/>
      <c r="F18" s="37" t="str">
        <f t="shared" si="0"/>
        <v/>
      </c>
      <c r="G18" s="28"/>
      <c r="H18" s="29"/>
      <c r="I18" s="28"/>
      <c r="J18" s="29"/>
      <c r="K18" s="28"/>
      <c r="L18" s="32" t="str">
        <f t="shared" si="1"/>
        <v/>
      </c>
      <c r="M18" s="33" t="str">
        <f t="shared" ca="1" si="2"/>
        <v/>
      </c>
      <c r="N18" s="34" t="str">
        <f t="shared" si="3"/>
        <v/>
      </c>
      <c r="O18" s="23"/>
      <c r="P18" s="23"/>
    </row>
    <row r="19" spans="1:16" ht="21.75" customHeight="1" x14ac:dyDescent="0.25">
      <c r="A19" s="24"/>
      <c r="B19" s="24"/>
      <c r="C19" s="24"/>
      <c r="D19" s="34" t="str">
        <f>IF(C19="","",IFERROR(VLOOKUP(C19,CRM!$B$8:$O$1007,2,FALSE()),"Revisar ID"))</f>
        <v/>
      </c>
      <c r="E19" s="23"/>
      <c r="F19" s="37" t="str">
        <f t="shared" si="0"/>
        <v/>
      </c>
      <c r="G19" s="28"/>
      <c r="H19" s="29"/>
      <c r="I19" s="28"/>
      <c r="J19" s="29"/>
      <c r="K19" s="28"/>
      <c r="L19" s="32" t="str">
        <f t="shared" si="1"/>
        <v/>
      </c>
      <c r="M19" s="33" t="str">
        <f t="shared" ca="1" si="2"/>
        <v/>
      </c>
      <c r="N19" s="34" t="str">
        <f t="shared" si="3"/>
        <v/>
      </c>
      <c r="O19" s="23"/>
      <c r="P19" s="23"/>
    </row>
    <row r="20" spans="1:16" ht="21.75" customHeight="1" x14ac:dyDescent="0.25">
      <c r="A20" s="24"/>
      <c r="B20" s="24"/>
      <c r="C20" s="24"/>
      <c r="D20" s="34" t="str">
        <f>IF(C20="","",IFERROR(VLOOKUP(C20,CRM!$B$8:$O$1007,2,FALSE()),"Revisar ID"))</f>
        <v/>
      </c>
      <c r="E20" s="23"/>
      <c r="F20" s="37" t="str">
        <f t="shared" si="0"/>
        <v/>
      </c>
      <c r="G20" s="28"/>
      <c r="H20" s="29"/>
      <c r="I20" s="28"/>
      <c r="J20" s="29"/>
      <c r="K20" s="28"/>
      <c r="L20" s="32" t="str">
        <f t="shared" si="1"/>
        <v/>
      </c>
      <c r="M20" s="33" t="str">
        <f t="shared" ca="1" si="2"/>
        <v/>
      </c>
      <c r="N20" s="34" t="str">
        <f t="shared" si="3"/>
        <v/>
      </c>
      <c r="O20" s="23"/>
      <c r="P20" s="23"/>
    </row>
    <row r="21" spans="1:16" ht="21.75" customHeight="1" x14ac:dyDescent="0.25">
      <c r="A21" s="24"/>
      <c r="B21" s="24"/>
      <c r="C21" s="24"/>
      <c r="D21" s="34" t="str">
        <f>IF(C21="","",IFERROR(VLOOKUP(C21,CRM!$B$8:$O$1007,2,FALSE()),"Revisar ID"))</f>
        <v/>
      </c>
      <c r="E21" s="23"/>
      <c r="F21" s="37" t="str">
        <f t="shared" si="0"/>
        <v/>
      </c>
      <c r="G21" s="28"/>
      <c r="H21" s="29"/>
      <c r="I21" s="28"/>
      <c r="J21" s="29"/>
      <c r="K21" s="28"/>
      <c r="L21" s="32" t="str">
        <f t="shared" si="1"/>
        <v/>
      </c>
      <c r="M21" s="33" t="str">
        <f t="shared" ca="1" si="2"/>
        <v/>
      </c>
      <c r="N21" s="34" t="str">
        <f t="shared" si="3"/>
        <v/>
      </c>
      <c r="O21" s="23"/>
      <c r="P21" s="23"/>
    </row>
    <row r="22" spans="1:16" ht="21.75" customHeight="1" x14ac:dyDescent="0.25">
      <c r="A22" s="24"/>
      <c r="B22" s="24"/>
      <c r="C22" s="24"/>
      <c r="D22" s="34" t="str">
        <f>IF(C22="","",IFERROR(VLOOKUP(C22,CRM!$B$8:$O$1007,2,FALSE()),"Revisar ID"))</f>
        <v/>
      </c>
      <c r="E22" s="23"/>
      <c r="F22" s="37" t="str">
        <f t="shared" si="0"/>
        <v/>
      </c>
      <c r="G22" s="28"/>
      <c r="H22" s="29"/>
      <c r="I22" s="28"/>
      <c r="J22" s="29"/>
      <c r="K22" s="28"/>
      <c r="L22" s="32" t="str">
        <f t="shared" si="1"/>
        <v/>
      </c>
      <c r="M22" s="33" t="str">
        <f t="shared" ca="1" si="2"/>
        <v/>
      </c>
      <c r="N22" s="34" t="str">
        <f t="shared" si="3"/>
        <v/>
      </c>
      <c r="O22" s="23"/>
      <c r="P22" s="23"/>
    </row>
    <row r="23" spans="1:16" ht="21.75" customHeight="1" x14ac:dyDescent="0.25">
      <c r="A23" s="24"/>
      <c r="B23" s="24"/>
      <c r="C23" s="24"/>
      <c r="D23" s="34" t="str">
        <f>IF(C23="","",IFERROR(VLOOKUP(C23,CRM!$B$8:$O$1007,2,FALSE()),"Revisar ID"))</f>
        <v/>
      </c>
      <c r="E23" s="23"/>
      <c r="F23" s="37" t="str">
        <f t="shared" si="0"/>
        <v/>
      </c>
      <c r="G23" s="28"/>
      <c r="H23" s="29"/>
      <c r="I23" s="28"/>
      <c r="J23" s="29"/>
      <c r="K23" s="28"/>
      <c r="L23" s="32" t="str">
        <f t="shared" si="1"/>
        <v/>
      </c>
      <c r="M23" s="33" t="str">
        <f t="shared" ca="1" si="2"/>
        <v/>
      </c>
      <c r="N23" s="34" t="str">
        <f t="shared" si="3"/>
        <v/>
      </c>
      <c r="O23" s="23"/>
      <c r="P23" s="23"/>
    </row>
    <row r="24" spans="1:16" ht="21.75" customHeight="1" x14ac:dyDescent="0.25">
      <c r="A24" s="24"/>
      <c r="B24" s="24"/>
      <c r="C24" s="24"/>
      <c r="D24" s="34" t="str">
        <f>IF(C24="","",IFERROR(VLOOKUP(C24,CRM!$B$8:$O$1007,2,FALSE()),"Revisar ID"))</f>
        <v/>
      </c>
      <c r="E24" s="23"/>
      <c r="F24" s="37" t="str">
        <f t="shared" si="0"/>
        <v/>
      </c>
      <c r="G24" s="28"/>
      <c r="H24" s="29"/>
      <c r="I24" s="28"/>
      <c r="J24" s="29"/>
      <c r="K24" s="28"/>
      <c r="L24" s="32" t="str">
        <f t="shared" si="1"/>
        <v/>
      </c>
      <c r="M24" s="33" t="str">
        <f t="shared" ca="1" si="2"/>
        <v/>
      </c>
      <c r="N24" s="34" t="str">
        <f t="shared" si="3"/>
        <v/>
      </c>
      <c r="O24" s="23"/>
      <c r="P24" s="23"/>
    </row>
    <row r="25" spans="1:16" ht="21.75" customHeight="1" x14ac:dyDescent="0.25">
      <c r="A25" s="24"/>
      <c r="B25" s="24"/>
      <c r="C25" s="24"/>
      <c r="D25" s="34" t="str">
        <f>IF(C25="","",IFERROR(VLOOKUP(C25,CRM!$B$8:$O$1007,2,FALSE()),"Revisar ID"))</f>
        <v/>
      </c>
      <c r="E25" s="23"/>
      <c r="F25" s="37" t="str">
        <f t="shared" si="0"/>
        <v/>
      </c>
      <c r="G25" s="28"/>
      <c r="H25" s="29"/>
      <c r="I25" s="28"/>
      <c r="J25" s="29"/>
      <c r="K25" s="28"/>
      <c r="L25" s="32" t="str">
        <f t="shared" si="1"/>
        <v/>
      </c>
      <c r="M25" s="33" t="str">
        <f t="shared" ca="1" si="2"/>
        <v/>
      </c>
      <c r="N25" s="34" t="str">
        <f t="shared" si="3"/>
        <v/>
      </c>
      <c r="O25" s="23"/>
      <c r="P25" s="23"/>
    </row>
    <row r="26" spans="1:16" ht="21.75" customHeight="1" x14ac:dyDescent="0.25">
      <c r="A26" s="24"/>
      <c r="B26" s="24"/>
      <c r="C26" s="24"/>
      <c r="D26" s="34" t="str">
        <f>IF(C26="","",IFERROR(VLOOKUP(C26,CRM!$B$8:$O$1007,2,FALSE()),"Revisar ID"))</f>
        <v/>
      </c>
      <c r="E26" s="23"/>
      <c r="F26" s="37" t="str">
        <f t="shared" si="0"/>
        <v/>
      </c>
      <c r="G26" s="28"/>
      <c r="H26" s="29"/>
      <c r="I26" s="28"/>
      <c r="J26" s="29"/>
      <c r="K26" s="28"/>
      <c r="L26" s="32" t="str">
        <f t="shared" si="1"/>
        <v/>
      </c>
      <c r="M26" s="33" t="str">
        <f t="shared" ca="1" si="2"/>
        <v/>
      </c>
      <c r="N26" s="34" t="str">
        <f t="shared" si="3"/>
        <v/>
      </c>
      <c r="O26" s="23"/>
      <c r="P26" s="23"/>
    </row>
    <row r="27" spans="1:16" ht="21.75" customHeight="1" x14ac:dyDescent="0.25">
      <c r="A27" s="24"/>
      <c r="B27" s="24"/>
      <c r="C27" s="24"/>
      <c r="D27" s="34" t="str">
        <f>IF(C27="","",IFERROR(VLOOKUP(C27,CRM!$B$8:$O$1007,2,FALSE()),"Revisar ID"))</f>
        <v/>
      </c>
      <c r="E27" s="23"/>
      <c r="F27" s="37" t="str">
        <f t="shared" si="0"/>
        <v/>
      </c>
      <c r="G27" s="28"/>
      <c r="H27" s="29"/>
      <c r="I27" s="28"/>
      <c r="J27" s="29"/>
      <c r="K27" s="28"/>
      <c r="L27" s="32" t="str">
        <f t="shared" si="1"/>
        <v/>
      </c>
      <c r="M27" s="33" t="str">
        <f t="shared" ca="1" si="2"/>
        <v/>
      </c>
      <c r="N27" s="34" t="str">
        <f t="shared" si="3"/>
        <v/>
      </c>
      <c r="O27" s="23"/>
      <c r="P27" s="23"/>
    </row>
    <row r="28" spans="1:16" ht="21.75" customHeight="1" x14ac:dyDescent="0.25">
      <c r="A28" s="24"/>
      <c r="B28" s="24"/>
      <c r="C28" s="24"/>
      <c r="D28" s="34" t="str">
        <f>IF(C28="","",IFERROR(VLOOKUP(C28,CRM!$B$8:$O$1007,2,FALSE()),"Revisar ID"))</f>
        <v/>
      </c>
      <c r="E28" s="23"/>
      <c r="F28" s="37" t="str">
        <f t="shared" si="0"/>
        <v/>
      </c>
      <c r="G28" s="28"/>
      <c r="H28" s="29"/>
      <c r="I28" s="28"/>
      <c r="J28" s="29"/>
      <c r="K28" s="28"/>
      <c r="L28" s="32" t="str">
        <f t="shared" si="1"/>
        <v/>
      </c>
      <c r="M28" s="33" t="str">
        <f t="shared" ca="1" si="2"/>
        <v/>
      </c>
      <c r="N28" s="34" t="str">
        <f t="shared" si="3"/>
        <v/>
      </c>
      <c r="O28" s="23"/>
      <c r="P28" s="23"/>
    </row>
    <row r="29" spans="1:16" ht="21.75" customHeight="1" x14ac:dyDescent="0.25">
      <c r="A29" s="24"/>
      <c r="B29" s="24"/>
      <c r="C29" s="24"/>
      <c r="D29" s="34" t="str">
        <f>IF(C29="","",IFERROR(VLOOKUP(C29,CRM!$B$8:$O$1007,2,FALSE()),"Revisar ID"))</f>
        <v/>
      </c>
      <c r="E29" s="23"/>
      <c r="F29" s="37" t="str">
        <f t="shared" si="0"/>
        <v/>
      </c>
      <c r="G29" s="28"/>
      <c r="H29" s="29"/>
      <c r="I29" s="28"/>
      <c r="J29" s="29"/>
      <c r="K29" s="28"/>
      <c r="L29" s="32" t="str">
        <f t="shared" si="1"/>
        <v/>
      </c>
      <c r="M29" s="33" t="str">
        <f t="shared" ca="1" si="2"/>
        <v/>
      </c>
      <c r="N29" s="34" t="str">
        <f t="shared" si="3"/>
        <v/>
      </c>
      <c r="O29" s="23"/>
      <c r="P29" s="23"/>
    </row>
    <row r="30" spans="1:16" ht="21.75" customHeight="1" x14ac:dyDescent="0.25">
      <c r="A30" s="24"/>
      <c r="B30" s="24"/>
      <c r="C30" s="24"/>
      <c r="D30" s="34" t="str">
        <f>IF(C30="","",IFERROR(VLOOKUP(C30,CRM!$B$8:$O$1007,2,FALSE()),"Revisar ID"))</f>
        <v/>
      </c>
      <c r="E30" s="23"/>
      <c r="F30" s="37" t="str">
        <f t="shared" si="0"/>
        <v/>
      </c>
      <c r="G30" s="28"/>
      <c r="H30" s="29"/>
      <c r="I30" s="28"/>
      <c r="J30" s="29"/>
      <c r="K30" s="28"/>
      <c r="L30" s="32" t="str">
        <f t="shared" si="1"/>
        <v/>
      </c>
      <c r="M30" s="33" t="str">
        <f t="shared" ca="1" si="2"/>
        <v/>
      </c>
      <c r="N30" s="34" t="str">
        <f t="shared" si="3"/>
        <v/>
      </c>
      <c r="O30" s="23"/>
      <c r="P30" s="23"/>
    </row>
    <row r="31" spans="1:16" ht="21.75" customHeight="1" x14ac:dyDescent="0.25">
      <c r="A31" s="24"/>
      <c r="B31" s="24"/>
      <c r="C31" s="24"/>
      <c r="D31" s="34" t="str">
        <f>IF(C31="","",IFERROR(VLOOKUP(C31,CRM!$B$8:$O$1007,2,FALSE()),"Revisar ID"))</f>
        <v/>
      </c>
      <c r="E31" s="23"/>
      <c r="F31" s="37" t="str">
        <f t="shared" si="0"/>
        <v/>
      </c>
      <c r="G31" s="28"/>
      <c r="H31" s="29"/>
      <c r="I31" s="28"/>
      <c r="J31" s="29"/>
      <c r="K31" s="28"/>
      <c r="L31" s="32" t="str">
        <f t="shared" si="1"/>
        <v/>
      </c>
      <c r="M31" s="33" t="str">
        <f t="shared" ca="1" si="2"/>
        <v/>
      </c>
      <c r="N31" s="34" t="str">
        <f t="shared" si="3"/>
        <v/>
      </c>
      <c r="O31" s="23"/>
      <c r="P31" s="23"/>
    </row>
    <row r="32" spans="1:16" ht="21.75" customHeight="1" x14ac:dyDescent="0.25">
      <c r="A32" s="24"/>
      <c r="B32" s="24"/>
      <c r="C32" s="24"/>
      <c r="D32" s="34" t="str">
        <f>IF(C32="","",IFERROR(VLOOKUP(C32,CRM!$B$8:$O$1007,2,FALSE()),"Revisar ID"))</f>
        <v/>
      </c>
      <c r="E32" s="23"/>
      <c r="F32" s="37" t="str">
        <f t="shared" si="0"/>
        <v/>
      </c>
      <c r="G32" s="28"/>
      <c r="H32" s="29"/>
      <c r="I32" s="28"/>
      <c r="J32" s="29"/>
      <c r="K32" s="28"/>
      <c r="L32" s="32" t="str">
        <f t="shared" si="1"/>
        <v/>
      </c>
      <c r="M32" s="33" t="str">
        <f t="shared" ca="1" si="2"/>
        <v/>
      </c>
      <c r="N32" s="34" t="str">
        <f t="shared" si="3"/>
        <v/>
      </c>
      <c r="O32" s="23"/>
      <c r="P32" s="23"/>
    </row>
    <row r="33" spans="1:16" ht="21.75" customHeight="1" x14ac:dyDescent="0.25">
      <c r="A33" s="24"/>
      <c r="B33" s="24"/>
      <c r="C33" s="24"/>
      <c r="D33" s="34" t="str">
        <f>IF(C33="","",IFERROR(VLOOKUP(C33,CRM!$B$8:$O$1007,2,FALSE()),"Revisar ID"))</f>
        <v/>
      </c>
      <c r="E33" s="23"/>
      <c r="F33" s="37" t="str">
        <f t="shared" si="0"/>
        <v/>
      </c>
      <c r="G33" s="28"/>
      <c r="H33" s="29"/>
      <c r="I33" s="28"/>
      <c r="J33" s="29"/>
      <c r="K33" s="28"/>
      <c r="L33" s="32" t="str">
        <f t="shared" si="1"/>
        <v/>
      </c>
      <c r="M33" s="33" t="str">
        <f t="shared" ca="1" si="2"/>
        <v/>
      </c>
      <c r="N33" s="34" t="str">
        <f t="shared" si="3"/>
        <v/>
      </c>
      <c r="O33" s="23"/>
      <c r="P33" s="23"/>
    </row>
    <row r="34" spans="1:16" ht="21.75" customHeight="1" x14ac:dyDescent="0.25">
      <c r="A34" s="24"/>
      <c r="B34" s="24"/>
      <c r="C34" s="24"/>
      <c r="D34" s="34" t="str">
        <f>IF(C34="","",IFERROR(VLOOKUP(C34,CRM!$B$8:$O$1007,2,FALSE()),"Revisar ID"))</f>
        <v/>
      </c>
      <c r="E34" s="23"/>
      <c r="F34" s="37" t="str">
        <f t="shared" si="0"/>
        <v/>
      </c>
      <c r="G34" s="28"/>
      <c r="H34" s="29"/>
      <c r="I34" s="28"/>
      <c r="J34" s="29"/>
      <c r="K34" s="28"/>
      <c r="L34" s="32" t="str">
        <f t="shared" si="1"/>
        <v/>
      </c>
      <c r="M34" s="33" t="str">
        <f t="shared" ca="1" si="2"/>
        <v/>
      </c>
      <c r="N34" s="34" t="str">
        <f t="shared" si="3"/>
        <v/>
      </c>
      <c r="O34" s="23"/>
      <c r="P34" s="23"/>
    </row>
    <row r="35" spans="1:16" ht="21.75" customHeight="1" x14ac:dyDescent="0.25">
      <c r="A35" s="24"/>
      <c r="B35" s="24"/>
      <c r="C35" s="24"/>
      <c r="D35" s="34" t="str">
        <f>IF(C35="","",IFERROR(VLOOKUP(C35,CRM!$B$8:$O$1007,2,FALSE()),"Revisar ID"))</f>
        <v/>
      </c>
      <c r="E35" s="23"/>
      <c r="F35" s="37" t="str">
        <f t="shared" si="0"/>
        <v/>
      </c>
      <c r="G35" s="28"/>
      <c r="H35" s="29"/>
      <c r="I35" s="28"/>
      <c r="J35" s="29"/>
      <c r="K35" s="28"/>
      <c r="L35" s="32" t="str">
        <f t="shared" si="1"/>
        <v/>
      </c>
      <c r="M35" s="33" t="str">
        <f t="shared" ca="1" si="2"/>
        <v/>
      </c>
      <c r="N35" s="34" t="str">
        <f t="shared" si="3"/>
        <v/>
      </c>
      <c r="O35" s="23"/>
      <c r="P35" s="23"/>
    </row>
    <row r="36" spans="1:16" ht="21.75" customHeight="1" x14ac:dyDescent="0.25">
      <c r="A36" s="24"/>
      <c r="B36" s="24"/>
      <c r="C36" s="24"/>
      <c r="D36" s="34" t="str">
        <f>IF(C36="","",IFERROR(VLOOKUP(C36,CRM!$B$8:$O$1007,2,FALSE()),"Revisar ID"))</f>
        <v/>
      </c>
      <c r="E36" s="23"/>
      <c r="F36" s="37" t="str">
        <f t="shared" si="0"/>
        <v/>
      </c>
      <c r="G36" s="28"/>
      <c r="H36" s="29"/>
      <c r="I36" s="28"/>
      <c r="J36" s="29"/>
      <c r="K36" s="28"/>
      <c r="L36" s="32" t="str">
        <f t="shared" si="1"/>
        <v/>
      </c>
      <c r="M36" s="33" t="str">
        <f t="shared" ca="1" si="2"/>
        <v/>
      </c>
      <c r="N36" s="34" t="str">
        <f t="shared" si="3"/>
        <v/>
      </c>
      <c r="O36" s="23"/>
      <c r="P36" s="23"/>
    </row>
    <row r="37" spans="1:16" ht="21.75" customHeight="1" x14ac:dyDescent="0.25">
      <c r="A37" s="24"/>
      <c r="B37" s="24"/>
      <c r="C37" s="24"/>
      <c r="D37" s="34" t="str">
        <f>IF(C37="","",IFERROR(VLOOKUP(C37,CRM!$B$8:$O$1007,2,FALSE()),"Revisar ID"))</f>
        <v/>
      </c>
      <c r="E37" s="23"/>
      <c r="F37" s="37" t="str">
        <f t="shared" si="0"/>
        <v/>
      </c>
      <c r="G37" s="28"/>
      <c r="H37" s="29"/>
      <c r="I37" s="28"/>
      <c r="J37" s="29"/>
      <c r="K37" s="28"/>
      <c r="L37" s="32" t="str">
        <f t="shared" si="1"/>
        <v/>
      </c>
      <c r="M37" s="33" t="str">
        <f t="shared" ca="1" si="2"/>
        <v/>
      </c>
      <c r="N37" s="34" t="str">
        <f t="shared" si="3"/>
        <v/>
      </c>
      <c r="O37" s="23"/>
      <c r="P37" s="23"/>
    </row>
    <row r="38" spans="1:16" ht="21.75" customHeight="1" x14ac:dyDescent="0.25">
      <c r="A38" s="24"/>
      <c r="B38" s="24"/>
      <c r="C38" s="24"/>
      <c r="D38" s="34" t="str">
        <f>IF(C38="","",IFERROR(VLOOKUP(C38,CRM!$B$8:$O$1007,2,FALSE()),"Revisar ID"))</f>
        <v/>
      </c>
      <c r="E38" s="23"/>
      <c r="F38" s="37" t="str">
        <f t="shared" si="0"/>
        <v/>
      </c>
      <c r="G38" s="28"/>
      <c r="H38" s="29"/>
      <c r="I38" s="28"/>
      <c r="J38" s="29"/>
      <c r="K38" s="28"/>
      <c r="L38" s="32" t="str">
        <f t="shared" si="1"/>
        <v/>
      </c>
      <c r="M38" s="33" t="str">
        <f t="shared" ca="1" si="2"/>
        <v/>
      </c>
      <c r="N38" s="34" t="str">
        <f t="shared" si="3"/>
        <v/>
      </c>
      <c r="O38" s="23"/>
      <c r="P38" s="23"/>
    </row>
    <row r="39" spans="1:16" ht="21.75" customHeight="1" x14ac:dyDescent="0.25">
      <c r="A39" s="24"/>
      <c r="B39" s="24"/>
      <c r="C39" s="24"/>
      <c r="D39" s="34" t="str">
        <f>IF(C39="","",IFERROR(VLOOKUP(C39,CRM!$B$8:$O$1007,2,FALSE()),"Revisar ID"))</f>
        <v/>
      </c>
      <c r="E39" s="23"/>
      <c r="F39" s="37" t="str">
        <f t="shared" si="0"/>
        <v/>
      </c>
      <c r="G39" s="28"/>
      <c r="H39" s="29"/>
      <c r="I39" s="28"/>
      <c r="J39" s="29"/>
      <c r="K39" s="28"/>
      <c r="L39" s="32" t="str">
        <f t="shared" si="1"/>
        <v/>
      </c>
      <c r="M39" s="33" t="str">
        <f t="shared" ca="1" si="2"/>
        <v/>
      </c>
      <c r="N39" s="34" t="str">
        <f t="shared" si="3"/>
        <v/>
      </c>
      <c r="O39" s="23"/>
      <c r="P39" s="23"/>
    </row>
    <row r="40" spans="1:16" ht="21.75" customHeight="1" x14ac:dyDescent="0.25">
      <c r="A40" s="24"/>
      <c r="B40" s="24"/>
      <c r="C40" s="24"/>
      <c r="D40" s="34" t="str">
        <f>IF(C40="","",IFERROR(VLOOKUP(C40,CRM!$B$8:$O$1007,2,FALSE()),"Revisar ID"))</f>
        <v/>
      </c>
      <c r="E40" s="23"/>
      <c r="F40" s="37" t="str">
        <f t="shared" si="0"/>
        <v/>
      </c>
      <c r="G40" s="28"/>
      <c r="H40" s="29"/>
      <c r="I40" s="28"/>
      <c r="J40" s="29"/>
      <c r="K40" s="28"/>
      <c r="L40" s="32" t="str">
        <f t="shared" si="1"/>
        <v/>
      </c>
      <c r="M40" s="33" t="str">
        <f t="shared" ca="1" si="2"/>
        <v/>
      </c>
      <c r="N40" s="34" t="str">
        <f t="shared" si="3"/>
        <v/>
      </c>
      <c r="O40" s="23"/>
      <c r="P40" s="23"/>
    </row>
    <row r="41" spans="1:16" ht="21.75" customHeight="1" x14ac:dyDescent="0.25">
      <c r="A41" s="24"/>
      <c r="B41" s="24"/>
      <c r="C41" s="24"/>
      <c r="D41" s="34" t="str">
        <f>IF(C41="","",IFERROR(VLOOKUP(C41,CRM!$B$8:$O$1007,2,FALSE()),"Revisar ID"))</f>
        <v/>
      </c>
      <c r="E41" s="23"/>
      <c r="F41" s="37" t="str">
        <f t="shared" si="0"/>
        <v/>
      </c>
      <c r="G41" s="28"/>
      <c r="H41" s="29"/>
      <c r="I41" s="28"/>
      <c r="J41" s="29"/>
      <c r="K41" s="28"/>
      <c r="L41" s="32" t="str">
        <f t="shared" si="1"/>
        <v/>
      </c>
      <c r="M41" s="33" t="str">
        <f t="shared" ca="1" si="2"/>
        <v/>
      </c>
      <c r="N41" s="34" t="str">
        <f t="shared" si="3"/>
        <v/>
      </c>
      <c r="O41" s="23"/>
      <c r="P41" s="23"/>
    </row>
    <row r="42" spans="1:16" ht="21.75" customHeight="1" x14ac:dyDescent="0.25">
      <c r="A42" s="24"/>
      <c r="B42" s="24"/>
      <c r="C42" s="24"/>
      <c r="D42" s="34" t="str">
        <f>IF(C42="","",IFERROR(VLOOKUP(C42,CRM!$B$8:$O$1007,2,FALSE()),"Revisar ID"))</f>
        <v/>
      </c>
      <c r="E42" s="23"/>
      <c r="F42" s="37" t="str">
        <f t="shared" si="0"/>
        <v/>
      </c>
      <c r="G42" s="28"/>
      <c r="H42" s="29"/>
      <c r="I42" s="28"/>
      <c r="J42" s="29"/>
      <c r="K42" s="28"/>
      <c r="L42" s="32" t="str">
        <f t="shared" si="1"/>
        <v/>
      </c>
      <c r="M42" s="33" t="str">
        <f t="shared" ca="1" si="2"/>
        <v/>
      </c>
      <c r="N42" s="34" t="str">
        <f t="shared" si="3"/>
        <v/>
      </c>
      <c r="O42" s="23"/>
      <c r="P42" s="23"/>
    </row>
    <row r="43" spans="1:16" ht="21.75" customHeight="1" x14ac:dyDescent="0.25">
      <c r="A43" s="24"/>
      <c r="B43" s="24"/>
      <c r="C43" s="24"/>
      <c r="D43" s="34" t="str">
        <f>IF(C43="","",IFERROR(VLOOKUP(C43,CRM!$B$8:$O$1007,2,FALSE()),"Revisar ID"))</f>
        <v/>
      </c>
      <c r="E43" s="23"/>
      <c r="F43" s="37" t="str">
        <f t="shared" si="0"/>
        <v/>
      </c>
      <c r="G43" s="28"/>
      <c r="H43" s="29"/>
      <c r="I43" s="28"/>
      <c r="J43" s="29"/>
      <c r="K43" s="28"/>
      <c r="L43" s="32" t="str">
        <f t="shared" si="1"/>
        <v/>
      </c>
      <c r="M43" s="33" t="str">
        <f t="shared" ca="1" si="2"/>
        <v/>
      </c>
      <c r="N43" s="34" t="str">
        <f t="shared" si="3"/>
        <v/>
      </c>
      <c r="O43" s="23"/>
      <c r="P43" s="23"/>
    </row>
    <row r="44" spans="1:16" ht="21.75" customHeight="1" x14ac:dyDescent="0.25">
      <c r="A44" s="24"/>
      <c r="B44" s="24"/>
      <c r="C44" s="24"/>
      <c r="D44" s="34" t="str">
        <f>IF(C44="","",IFERROR(VLOOKUP(C44,CRM!$B$8:$O$1007,2,FALSE()),"Revisar ID"))</f>
        <v/>
      </c>
      <c r="E44" s="23"/>
      <c r="F44" s="37" t="str">
        <f t="shared" si="0"/>
        <v/>
      </c>
      <c r="G44" s="28"/>
      <c r="H44" s="29"/>
      <c r="I44" s="28"/>
      <c r="J44" s="29"/>
      <c r="K44" s="28"/>
      <c r="L44" s="32" t="str">
        <f t="shared" si="1"/>
        <v/>
      </c>
      <c r="M44" s="33" t="str">
        <f t="shared" ca="1" si="2"/>
        <v/>
      </c>
      <c r="N44" s="34" t="str">
        <f t="shared" si="3"/>
        <v/>
      </c>
      <c r="O44" s="23"/>
      <c r="P44" s="23"/>
    </row>
    <row r="45" spans="1:16" ht="21.75" customHeight="1" x14ac:dyDescent="0.25">
      <c r="A45" s="24"/>
      <c r="B45" s="24"/>
      <c r="C45" s="24"/>
      <c r="D45" s="34" t="str">
        <f>IF(C45="","",IFERROR(VLOOKUP(C45,CRM!$B$8:$O$1007,2,FALSE()),"Revisar ID"))</f>
        <v/>
      </c>
      <c r="E45" s="23"/>
      <c r="F45" s="37" t="str">
        <f t="shared" si="0"/>
        <v/>
      </c>
      <c r="G45" s="28"/>
      <c r="H45" s="29"/>
      <c r="I45" s="28"/>
      <c r="J45" s="29"/>
      <c r="K45" s="28"/>
      <c r="L45" s="32" t="str">
        <f t="shared" si="1"/>
        <v/>
      </c>
      <c r="M45" s="33" t="str">
        <f t="shared" ca="1" si="2"/>
        <v/>
      </c>
      <c r="N45" s="34" t="str">
        <f t="shared" si="3"/>
        <v/>
      </c>
      <c r="O45" s="23"/>
      <c r="P45" s="23"/>
    </row>
    <row r="46" spans="1:16" ht="21.75" customHeight="1" x14ac:dyDescent="0.25">
      <c r="A46" s="24"/>
      <c r="B46" s="24"/>
      <c r="C46" s="24"/>
      <c r="D46" s="34" t="str">
        <f>IF(C46="","",IFERROR(VLOOKUP(C46,CRM!$B$8:$O$1007,2,FALSE()),"Revisar ID"))</f>
        <v/>
      </c>
      <c r="E46" s="23"/>
      <c r="F46" s="37" t="str">
        <f t="shared" si="0"/>
        <v/>
      </c>
      <c r="G46" s="28"/>
      <c r="H46" s="29"/>
      <c r="I46" s="28"/>
      <c r="J46" s="29"/>
      <c r="K46" s="28"/>
      <c r="L46" s="32" t="str">
        <f t="shared" si="1"/>
        <v/>
      </c>
      <c r="M46" s="33" t="str">
        <f t="shared" ca="1" si="2"/>
        <v/>
      </c>
      <c r="N46" s="34" t="str">
        <f t="shared" si="3"/>
        <v/>
      </c>
      <c r="O46" s="23"/>
      <c r="P46" s="23"/>
    </row>
    <row r="47" spans="1:16" ht="21.75" customHeight="1" x14ac:dyDescent="0.25">
      <c r="A47" s="24"/>
      <c r="B47" s="24"/>
      <c r="C47" s="24"/>
      <c r="D47" s="34" t="str">
        <f>IF(C47="","",IFERROR(VLOOKUP(C47,CRM!$B$8:$O$1007,2,FALSE()),"Revisar ID"))</f>
        <v/>
      </c>
      <c r="E47" s="23"/>
      <c r="F47" s="37" t="str">
        <f t="shared" si="0"/>
        <v/>
      </c>
      <c r="G47" s="28"/>
      <c r="H47" s="29"/>
      <c r="I47" s="28"/>
      <c r="J47" s="29"/>
      <c r="K47" s="28"/>
      <c r="L47" s="32" t="str">
        <f t="shared" si="1"/>
        <v/>
      </c>
      <c r="M47" s="33" t="str">
        <f t="shared" ca="1" si="2"/>
        <v/>
      </c>
      <c r="N47" s="34" t="str">
        <f t="shared" si="3"/>
        <v/>
      </c>
      <c r="O47" s="23"/>
      <c r="P47" s="23"/>
    </row>
    <row r="48" spans="1:16" ht="21.75" customHeight="1" x14ac:dyDescent="0.25">
      <c r="A48" s="24"/>
      <c r="B48" s="24"/>
      <c r="C48" s="24"/>
      <c r="D48" s="34" t="str">
        <f>IF(C48="","",IFERROR(VLOOKUP(C48,CRM!$B$8:$O$1007,2,FALSE()),"Revisar ID"))</f>
        <v/>
      </c>
      <c r="E48" s="23"/>
      <c r="F48" s="37" t="str">
        <f t="shared" si="0"/>
        <v/>
      </c>
      <c r="G48" s="28"/>
      <c r="H48" s="29"/>
      <c r="I48" s="28"/>
      <c r="J48" s="29"/>
      <c r="K48" s="28"/>
      <c r="L48" s="32" t="str">
        <f t="shared" si="1"/>
        <v/>
      </c>
      <c r="M48" s="33" t="str">
        <f t="shared" ca="1" si="2"/>
        <v/>
      </c>
      <c r="N48" s="34" t="str">
        <f t="shared" si="3"/>
        <v/>
      </c>
      <c r="O48" s="23"/>
      <c r="P48" s="23"/>
    </row>
    <row r="49" spans="1:16" ht="21.75" customHeight="1" x14ac:dyDescent="0.25">
      <c r="A49" s="24"/>
      <c r="B49" s="24"/>
      <c r="C49" s="24"/>
      <c r="D49" s="34" t="str">
        <f>IF(C49="","",IFERROR(VLOOKUP(C49,CRM!$B$8:$O$1007,2,FALSE()),"Revisar ID"))</f>
        <v/>
      </c>
      <c r="E49" s="23"/>
      <c r="F49" s="37" t="str">
        <f t="shared" si="0"/>
        <v/>
      </c>
      <c r="G49" s="28"/>
      <c r="H49" s="29"/>
      <c r="I49" s="28"/>
      <c r="J49" s="29"/>
      <c r="K49" s="28"/>
      <c r="L49" s="32" t="str">
        <f t="shared" si="1"/>
        <v/>
      </c>
      <c r="M49" s="33" t="str">
        <f t="shared" ca="1" si="2"/>
        <v/>
      </c>
      <c r="N49" s="34" t="str">
        <f t="shared" si="3"/>
        <v/>
      </c>
      <c r="O49" s="23"/>
      <c r="P49" s="23"/>
    </row>
    <row r="50" spans="1:16" ht="21.75" customHeight="1" x14ac:dyDescent="0.25">
      <c r="A50" s="24"/>
      <c r="B50" s="24"/>
      <c r="C50" s="24"/>
      <c r="D50" s="34" t="str">
        <f>IF(C50="","",IFERROR(VLOOKUP(C50,CRM!$B$8:$O$1007,2,FALSE()),"Revisar ID"))</f>
        <v/>
      </c>
      <c r="E50" s="23"/>
      <c r="F50" s="37" t="str">
        <f t="shared" si="0"/>
        <v/>
      </c>
      <c r="G50" s="28"/>
      <c r="H50" s="29"/>
      <c r="I50" s="28"/>
      <c r="J50" s="29"/>
      <c r="K50" s="28"/>
      <c r="L50" s="32" t="str">
        <f t="shared" si="1"/>
        <v/>
      </c>
      <c r="M50" s="33" t="str">
        <f t="shared" ca="1" si="2"/>
        <v/>
      </c>
      <c r="N50" s="34" t="str">
        <f t="shared" si="3"/>
        <v/>
      </c>
      <c r="O50" s="23"/>
      <c r="P50" s="23"/>
    </row>
    <row r="51" spans="1:16" ht="21.75" customHeight="1" x14ac:dyDescent="0.25">
      <c r="A51" s="24"/>
      <c r="B51" s="24"/>
      <c r="C51" s="24"/>
      <c r="D51" s="34" t="str">
        <f>IF(C51="","",IFERROR(VLOOKUP(C51,CRM!$B$8:$O$1007,2,FALSE()),"Revisar ID"))</f>
        <v/>
      </c>
      <c r="E51" s="23"/>
      <c r="F51" s="37" t="str">
        <f t="shared" si="0"/>
        <v/>
      </c>
      <c r="G51" s="28"/>
      <c r="H51" s="29"/>
      <c r="I51" s="28"/>
      <c r="J51" s="29"/>
      <c r="K51" s="28"/>
      <c r="L51" s="32" t="str">
        <f t="shared" si="1"/>
        <v/>
      </c>
      <c r="M51" s="33" t="str">
        <f t="shared" ca="1" si="2"/>
        <v/>
      </c>
      <c r="N51" s="34" t="str">
        <f t="shared" si="3"/>
        <v/>
      </c>
      <c r="O51" s="23"/>
      <c r="P51" s="23"/>
    </row>
    <row r="52" spans="1:16" ht="21.75" customHeight="1" x14ac:dyDescent="0.25">
      <c r="A52" s="24"/>
      <c r="B52" s="24"/>
      <c r="C52" s="24"/>
      <c r="D52" s="34" t="str">
        <f>IF(C52="","",IFERROR(VLOOKUP(C52,CRM!$B$8:$O$1007,2,FALSE()),"Revisar ID"))</f>
        <v/>
      </c>
      <c r="E52" s="23"/>
      <c r="F52" s="37" t="str">
        <f t="shared" si="0"/>
        <v/>
      </c>
      <c r="G52" s="28"/>
      <c r="H52" s="29"/>
      <c r="I52" s="28"/>
      <c r="J52" s="29"/>
      <c r="K52" s="28"/>
      <c r="L52" s="32" t="str">
        <f t="shared" si="1"/>
        <v/>
      </c>
      <c r="M52" s="33" t="str">
        <f t="shared" ca="1" si="2"/>
        <v/>
      </c>
      <c r="N52" s="34" t="str">
        <f t="shared" si="3"/>
        <v/>
      </c>
      <c r="O52" s="23"/>
      <c r="P52" s="23"/>
    </row>
    <row r="53" spans="1:16" ht="21.75" customHeight="1" x14ac:dyDescent="0.25">
      <c r="A53" s="24"/>
      <c r="B53" s="24"/>
      <c r="C53" s="24"/>
      <c r="D53" s="34" t="str">
        <f>IF(C53="","",IFERROR(VLOOKUP(C53,CRM!$B$8:$O$1007,2,FALSE()),"Revisar ID"))</f>
        <v/>
      </c>
      <c r="E53" s="23"/>
      <c r="F53" s="37" t="str">
        <f t="shared" si="0"/>
        <v/>
      </c>
      <c r="G53" s="28"/>
      <c r="H53" s="29"/>
      <c r="I53" s="28"/>
      <c r="J53" s="29"/>
      <c r="K53" s="28"/>
      <c r="L53" s="32" t="str">
        <f t="shared" si="1"/>
        <v/>
      </c>
      <c r="M53" s="33" t="str">
        <f t="shared" ca="1" si="2"/>
        <v/>
      </c>
      <c r="N53" s="34" t="str">
        <f t="shared" si="3"/>
        <v/>
      </c>
      <c r="O53" s="23"/>
      <c r="P53" s="23"/>
    </row>
    <row r="54" spans="1:16" ht="21.75" customHeight="1" x14ac:dyDescent="0.25">
      <c r="A54" s="24"/>
      <c r="B54" s="24"/>
      <c r="C54" s="24"/>
      <c r="D54" s="34" t="str">
        <f>IF(C54="","",IFERROR(VLOOKUP(C54,CRM!$B$8:$O$1007,2,FALSE()),"Revisar ID"))</f>
        <v/>
      </c>
      <c r="E54" s="23"/>
      <c r="F54" s="37" t="str">
        <f t="shared" si="0"/>
        <v/>
      </c>
      <c r="G54" s="28"/>
      <c r="H54" s="29"/>
      <c r="I54" s="28"/>
      <c r="J54" s="29"/>
      <c r="K54" s="28"/>
      <c r="L54" s="32" t="str">
        <f t="shared" si="1"/>
        <v/>
      </c>
      <c r="M54" s="33" t="str">
        <f t="shared" ca="1" si="2"/>
        <v/>
      </c>
      <c r="N54" s="34" t="str">
        <f t="shared" si="3"/>
        <v/>
      </c>
      <c r="O54" s="23"/>
      <c r="P54" s="23"/>
    </row>
    <row r="55" spans="1:16" ht="21.75" customHeight="1" x14ac:dyDescent="0.25">
      <c r="A55" s="24"/>
      <c r="B55" s="24"/>
      <c r="C55" s="24"/>
      <c r="D55" s="34" t="str">
        <f>IF(C55="","",IFERROR(VLOOKUP(C55,CRM!$B$8:$O$1007,2,FALSE()),"Revisar ID"))</f>
        <v/>
      </c>
      <c r="E55" s="23"/>
      <c r="F55" s="37" t="str">
        <f t="shared" si="0"/>
        <v/>
      </c>
      <c r="G55" s="28"/>
      <c r="H55" s="29"/>
      <c r="I55" s="28"/>
      <c r="J55" s="29"/>
      <c r="K55" s="28"/>
      <c r="L55" s="32" t="str">
        <f t="shared" si="1"/>
        <v/>
      </c>
      <c r="M55" s="33" t="str">
        <f t="shared" ca="1" si="2"/>
        <v/>
      </c>
      <c r="N55" s="34" t="str">
        <f t="shared" si="3"/>
        <v/>
      </c>
      <c r="O55" s="23"/>
      <c r="P55" s="23"/>
    </row>
    <row r="56" spans="1:16" ht="21.75" customHeight="1" x14ac:dyDescent="0.25">
      <c r="A56" s="24"/>
      <c r="B56" s="24"/>
      <c r="C56" s="24"/>
      <c r="D56" s="34" t="str">
        <f>IF(C56="","",IFERROR(VLOOKUP(C56,CRM!$B$8:$O$1007,2,FALSE()),"Revisar ID"))</f>
        <v/>
      </c>
      <c r="E56" s="23"/>
      <c r="F56" s="37" t="str">
        <f t="shared" si="0"/>
        <v/>
      </c>
      <c r="G56" s="28"/>
      <c r="H56" s="29"/>
      <c r="I56" s="28"/>
      <c r="J56" s="29"/>
      <c r="K56" s="28"/>
      <c r="L56" s="32" t="str">
        <f t="shared" si="1"/>
        <v/>
      </c>
      <c r="M56" s="33" t="str">
        <f t="shared" ca="1" si="2"/>
        <v/>
      </c>
      <c r="N56" s="34" t="str">
        <f t="shared" si="3"/>
        <v/>
      </c>
      <c r="O56" s="23"/>
      <c r="P56" s="23"/>
    </row>
    <row r="57" spans="1:16" ht="21.75" customHeight="1" x14ac:dyDescent="0.25">
      <c r="A57" s="24"/>
      <c r="B57" s="24"/>
      <c r="C57" s="24"/>
      <c r="D57" s="34" t="str">
        <f>IF(C57="","",IFERROR(VLOOKUP(C57,CRM!$B$8:$O$1007,2,FALSE()),"Revisar ID"))</f>
        <v/>
      </c>
      <c r="E57" s="23"/>
      <c r="F57" s="37" t="str">
        <f t="shared" si="0"/>
        <v/>
      </c>
      <c r="G57" s="28"/>
      <c r="H57" s="29"/>
      <c r="I57" s="28"/>
      <c r="J57" s="29"/>
      <c r="K57" s="28"/>
      <c r="L57" s="32" t="str">
        <f t="shared" si="1"/>
        <v/>
      </c>
      <c r="M57" s="33" t="str">
        <f t="shared" ca="1" si="2"/>
        <v/>
      </c>
      <c r="N57" s="34" t="str">
        <f t="shared" si="3"/>
        <v/>
      </c>
      <c r="O57" s="23"/>
      <c r="P57" s="23"/>
    </row>
    <row r="58" spans="1:16" ht="21.75" customHeight="1" x14ac:dyDescent="0.25">
      <c r="A58" s="24"/>
      <c r="B58" s="24"/>
      <c r="C58" s="24"/>
      <c r="D58" s="34" t="str">
        <f>IF(C58="","",IFERROR(VLOOKUP(C58,CRM!$B$8:$O$1007,2,FALSE()),"Revisar ID"))</f>
        <v/>
      </c>
      <c r="E58" s="23"/>
      <c r="F58" s="37" t="str">
        <f t="shared" si="0"/>
        <v/>
      </c>
      <c r="G58" s="28"/>
      <c r="H58" s="29"/>
      <c r="I58" s="28"/>
      <c r="J58" s="29"/>
      <c r="K58" s="28"/>
      <c r="L58" s="32" t="str">
        <f t="shared" si="1"/>
        <v/>
      </c>
      <c r="M58" s="33" t="str">
        <f t="shared" ca="1" si="2"/>
        <v/>
      </c>
      <c r="N58" s="34" t="str">
        <f t="shared" si="3"/>
        <v/>
      </c>
      <c r="O58" s="23"/>
      <c r="P58" s="23"/>
    </row>
    <row r="59" spans="1:16" ht="21.75" customHeight="1" x14ac:dyDescent="0.25">
      <c r="A59" s="24"/>
      <c r="B59" s="24"/>
      <c r="C59" s="24"/>
      <c r="D59" s="34" t="str">
        <f>IF(C59="","",IFERROR(VLOOKUP(C59,CRM!$B$8:$O$1007,2,FALSE()),"Revisar ID"))</f>
        <v/>
      </c>
      <c r="E59" s="23"/>
      <c r="F59" s="37" t="str">
        <f t="shared" si="0"/>
        <v/>
      </c>
      <c r="G59" s="28"/>
      <c r="H59" s="29"/>
      <c r="I59" s="28"/>
      <c r="J59" s="29"/>
      <c r="K59" s="28"/>
      <c r="L59" s="32" t="str">
        <f t="shared" si="1"/>
        <v/>
      </c>
      <c r="M59" s="33" t="str">
        <f t="shared" ca="1" si="2"/>
        <v/>
      </c>
      <c r="N59" s="34" t="str">
        <f t="shared" si="3"/>
        <v/>
      </c>
      <c r="O59" s="23"/>
      <c r="P59" s="23"/>
    </row>
    <row r="60" spans="1:16" ht="21.75" customHeight="1" x14ac:dyDescent="0.25">
      <c r="A60" s="24"/>
      <c r="B60" s="24"/>
      <c r="C60" s="24"/>
      <c r="D60" s="34" t="str">
        <f>IF(C60="","",IFERROR(VLOOKUP(C60,CRM!$B$8:$O$1007,2,FALSE()),"Revisar ID"))</f>
        <v/>
      </c>
      <c r="E60" s="23"/>
      <c r="F60" s="37" t="str">
        <f t="shared" si="0"/>
        <v/>
      </c>
      <c r="G60" s="28"/>
      <c r="H60" s="29"/>
      <c r="I60" s="28"/>
      <c r="J60" s="29"/>
      <c r="K60" s="28"/>
      <c r="L60" s="32" t="str">
        <f t="shared" si="1"/>
        <v/>
      </c>
      <c r="M60" s="33" t="str">
        <f t="shared" ca="1" si="2"/>
        <v/>
      </c>
      <c r="N60" s="34" t="str">
        <f t="shared" si="3"/>
        <v/>
      </c>
      <c r="O60" s="23"/>
      <c r="P60" s="23"/>
    </row>
    <row r="61" spans="1:16" ht="21.75" customHeight="1" x14ac:dyDescent="0.25">
      <c r="A61" s="24"/>
      <c r="B61" s="24"/>
      <c r="C61" s="24"/>
      <c r="D61" s="34" t="str">
        <f>IF(C61="","",IFERROR(VLOOKUP(C61,CRM!$B$8:$O$1007,2,FALSE()),"Revisar ID"))</f>
        <v/>
      </c>
      <c r="E61" s="23"/>
      <c r="F61" s="37" t="str">
        <f t="shared" si="0"/>
        <v/>
      </c>
      <c r="G61" s="28"/>
      <c r="H61" s="29"/>
      <c r="I61" s="28"/>
      <c r="J61" s="29"/>
      <c r="K61" s="28"/>
      <c r="L61" s="32" t="str">
        <f t="shared" si="1"/>
        <v/>
      </c>
      <c r="M61" s="33" t="str">
        <f t="shared" ca="1" si="2"/>
        <v/>
      </c>
      <c r="N61" s="34" t="str">
        <f t="shared" si="3"/>
        <v/>
      </c>
      <c r="O61" s="23"/>
      <c r="P61" s="23"/>
    </row>
    <row r="62" spans="1:16" ht="21.75" customHeight="1" x14ac:dyDescent="0.25">
      <c r="A62" s="24"/>
      <c r="B62" s="24"/>
      <c r="C62" s="24"/>
      <c r="D62" s="34" t="str">
        <f>IF(C62="","",IFERROR(VLOOKUP(C62,CRM!$B$8:$O$1007,2,FALSE()),"Revisar ID"))</f>
        <v/>
      </c>
      <c r="E62" s="23"/>
      <c r="F62" s="37" t="str">
        <f t="shared" si="0"/>
        <v/>
      </c>
      <c r="G62" s="28"/>
      <c r="H62" s="29"/>
      <c r="I62" s="28"/>
      <c r="J62" s="29"/>
      <c r="K62" s="28"/>
      <c r="L62" s="32" t="str">
        <f t="shared" si="1"/>
        <v/>
      </c>
      <c r="M62" s="33" t="str">
        <f t="shared" ca="1" si="2"/>
        <v/>
      </c>
      <c r="N62" s="34" t="str">
        <f t="shared" si="3"/>
        <v/>
      </c>
      <c r="O62" s="23"/>
      <c r="P62" s="23"/>
    </row>
    <row r="63" spans="1:16" ht="21.75" customHeight="1" x14ac:dyDescent="0.25">
      <c r="A63" s="24"/>
      <c r="B63" s="24"/>
      <c r="C63" s="24"/>
      <c r="D63" s="34" t="str">
        <f>IF(C63="","",IFERROR(VLOOKUP(C63,CRM!$B$8:$O$1007,2,FALSE()),"Revisar ID"))</f>
        <v/>
      </c>
      <c r="E63" s="23"/>
      <c r="F63" s="37" t="str">
        <f t="shared" si="0"/>
        <v/>
      </c>
      <c r="G63" s="28"/>
      <c r="H63" s="29"/>
      <c r="I63" s="28"/>
      <c r="J63" s="29"/>
      <c r="K63" s="28"/>
      <c r="L63" s="32" t="str">
        <f t="shared" si="1"/>
        <v/>
      </c>
      <c r="M63" s="33" t="str">
        <f t="shared" ca="1" si="2"/>
        <v/>
      </c>
      <c r="N63" s="34" t="str">
        <f t="shared" si="3"/>
        <v/>
      </c>
      <c r="O63" s="23"/>
      <c r="P63" s="23"/>
    </row>
    <row r="64" spans="1:16" ht="21.75" customHeight="1" x14ac:dyDescent="0.25">
      <c r="A64" s="24"/>
      <c r="B64" s="24"/>
      <c r="C64" s="24"/>
      <c r="D64" s="34" t="str">
        <f>IF(C64="","",IFERROR(VLOOKUP(C64,CRM!$B$8:$O$1007,2,FALSE()),"Revisar ID"))</f>
        <v/>
      </c>
      <c r="E64" s="23"/>
      <c r="F64" s="37" t="str">
        <f t="shared" si="0"/>
        <v/>
      </c>
      <c r="G64" s="28"/>
      <c r="H64" s="29"/>
      <c r="I64" s="28"/>
      <c r="J64" s="29"/>
      <c r="K64" s="28"/>
      <c r="L64" s="32" t="str">
        <f t="shared" si="1"/>
        <v/>
      </c>
      <c r="M64" s="33" t="str">
        <f t="shared" ca="1" si="2"/>
        <v/>
      </c>
      <c r="N64" s="34" t="str">
        <f t="shared" si="3"/>
        <v/>
      </c>
      <c r="O64" s="23"/>
      <c r="P64" s="23"/>
    </row>
    <row r="65" spans="1:16" ht="21.75" customHeight="1" x14ac:dyDescent="0.25">
      <c r="A65" s="24"/>
      <c r="B65" s="24"/>
      <c r="C65" s="24"/>
      <c r="D65" s="34" t="str">
        <f>IF(C65="","",IFERROR(VLOOKUP(C65,CRM!$B$8:$O$1007,2,FALSE()),"Revisar ID"))</f>
        <v/>
      </c>
      <c r="E65" s="23"/>
      <c r="F65" s="37" t="str">
        <f t="shared" si="0"/>
        <v/>
      </c>
      <c r="G65" s="28"/>
      <c r="H65" s="29"/>
      <c r="I65" s="28"/>
      <c r="J65" s="29"/>
      <c r="K65" s="28"/>
      <c r="L65" s="32" t="str">
        <f t="shared" si="1"/>
        <v/>
      </c>
      <c r="M65" s="33" t="str">
        <f t="shared" ca="1" si="2"/>
        <v/>
      </c>
      <c r="N65" s="34" t="str">
        <f t="shared" si="3"/>
        <v/>
      </c>
      <c r="O65" s="23"/>
      <c r="P65" s="23"/>
    </row>
    <row r="66" spans="1:16" ht="21.75" customHeight="1" x14ac:dyDescent="0.25">
      <c r="A66" s="24"/>
      <c r="B66" s="24"/>
      <c r="C66" s="24"/>
      <c r="D66" s="34" t="str">
        <f>IF(C66="","",IFERROR(VLOOKUP(C66,CRM!$B$8:$O$1007,2,FALSE()),"Revisar ID"))</f>
        <v/>
      </c>
      <c r="E66" s="23"/>
      <c r="F66" s="37" t="str">
        <f t="shared" si="0"/>
        <v/>
      </c>
      <c r="G66" s="28"/>
      <c r="H66" s="29"/>
      <c r="I66" s="28"/>
      <c r="J66" s="29"/>
      <c r="K66" s="28"/>
      <c r="L66" s="32" t="str">
        <f t="shared" si="1"/>
        <v/>
      </c>
      <c r="M66" s="33" t="str">
        <f t="shared" ca="1" si="2"/>
        <v/>
      </c>
      <c r="N66" s="34" t="str">
        <f t="shared" si="3"/>
        <v/>
      </c>
      <c r="O66" s="23"/>
      <c r="P66" s="23"/>
    </row>
    <row r="67" spans="1:16" ht="21.75" customHeight="1" x14ac:dyDescent="0.25">
      <c r="A67" s="24"/>
      <c r="B67" s="24"/>
      <c r="C67" s="24"/>
      <c r="D67" s="34" t="str">
        <f>IF(C67="","",IFERROR(VLOOKUP(C67,CRM!$B$8:$O$1007,2,FALSE()),"Revisar ID"))</f>
        <v/>
      </c>
      <c r="E67" s="23"/>
      <c r="F67" s="37" t="str">
        <f t="shared" si="0"/>
        <v/>
      </c>
      <c r="G67" s="28"/>
      <c r="H67" s="29"/>
      <c r="I67" s="28"/>
      <c r="J67" s="29"/>
      <c r="K67" s="28"/>
      <c r="L67" s="32" t="str">
        <f t="shared" si="1"/>
        <v/>
      </c>
      <c r="M67" s="33" t="str">
        <f t="shared" ca="1" si="2"/>
        <v/>
      </c>
      <c r="N67" s="34" t="str">
        <f t="shared" si="3"/>
        <v/>
      </c>
      <c r="O67" s="23"/>
      <c r="P67" s="23"/>
    </row>
    <row r="68" spans="1:16" ht="21.75" customHeight="1" x14ac:dyDescent="0.25">
      <c r="A68" s="24"/>
      <c r="B68" s="24"/>
      <c r="C68" s="24"/>
      <c r="D68" s="34" t="str">
        <f>IF(C68="","",IFERROR(VLOOKUP(C68,CRM!$B$8:$O$1007,2,FALSE()),"Revisar ID"))</f>
        <v/>
      </c>
      <c r="E68" s="23"/>
      <c r="F68" s="37" t="str">
        <f t="shared" si="0"/>
        <v/>
      </c>
      <c r="G68" s="28"/>
      <c r="H68" s="29"/>
      <c r="I68" s="28"/>
      <c r="J68" s="29"/>
      <c r="K68" s="28"/>
      <c r="L68" s="32" t="str">
        <f t="shared" si="1"/>
        <v/>
      </c>
      <c r="M68" s="33" t="str">
        <f t="shared" ca="1" si="2"/>
        <v/>
      </c>
      <c r="N68" s="34" t="str">
        <f t="shared" si="3"/>
        <v/>
      </c>
      <c r="O68" s="23"/>
      <c r="P68" s="23"/>
    </row>
    <row r="69" spans="1:16" ht="21.75" customHeight="1" x14ac:dyDescent="0.25">
      <c r="A69" s="24"/>
      <c r="B69" s="24"/>
      <c r="C69" s="24"/>
      <c r="D69" s="34" t="str">
        <f>IF(C69="","",IFERROR(VLOOKUP(C69,CRM!$B$8:$O$1007,2,FALSE()),"Revisar ID"))</f>
        <v/>
      </c>
      <c r="E69" s="23"/>
      <c r="F69" s="37" t="str">
        <f t="shared" si="0"/>
        <v/>
      </c>
      <c r="G69" s="28"/>
      <c r="H69" s="29"/>
      <c r="I69" s="28"/>
      <c r="J69" s="29"/>
      <c r="K69" s="28"/>
      <c r="L69" s="32" t="str">
        <f t="shared" si="1"/>
        <v/>
      </c>
      <c r="M69" s="33" t="str">
        <f t="shared" ca="1" si="2"/>
        <v/>
      </c>
      <c r="N69" s="34" t="str">
        <f t="shared" si="3"/>
        <v/>
      </c>
      <c r="O69" s="23"/>
      <c r="P69" s="23"/>
    </row>
    <row r="70" spans="1:16" ht="21.75" customHeight="1" x14ac:dyDescent="0.25">
      <c r="A70" s="24"/>
      <c r="B70" s="24"/>
      <c r="C70" s="24"/>
      <c r="D70" s="34" t="str">
        <f>IF(C70="","",IFERROR(VLOOKUP(C70,CRM!$B$8:$O$1007,2,FALSE()),"Revisar ID"))</f>
        <v/>
      </c>
      <c r="E70" s="23"/>
      <c r="F70" s="37" t="str">
        <f t="shared" si="0"/>
        <v/>
      </c>
      <c r="G70" s="28"/>
      <c r="H70" s="29"/>
      <c r="I70" s="28"/>
      <c r="J70" s="29"/>
      <c r="K70" s="28"/>
      <c r="L70" s="32" t="str">
        <f t="shared" si="1"/>
        <v/>
      </c>
      <c r="M70" s="33" t="str">
        <f t="shared" ca="1" si="2"/>
        <v/>
      </c>
      <c r="N70" s="34" t="str">
        <f t="shared" si="3"/>
        <v/>
      </c>
      <c r="O70" s="23"/>
      <c r="P70" s="23"/>
    </row>
    <row r="71" spans="1:16" ht="21.75" customHeight="1" x14ac:dyDescent="0.25">
      <c r="A71" s="24"/>
      <c r="B71" s="24"/>
      <c r="C71" s="24"/>
      <c r="D71" s="34" t="str">
        <f>IF(C71="","",IFERROR(VLOOKUP(C71,CRM!$B$8:$O$1007,2,FALSE()),"Revisar ID"))</f>
        <v/>
      </c>
      <c r="E71" s="23"/>
      <c r="F71" s="37" t="str">
        <f t="shared" si="0"/>
        <v/>
      </c>
      <c r="G71" s="28"/>
      <c r="H71" s="29"/>
      <c r="I71" s="28"/>
      <c r="J71" s="29"/>
      <c r="K71" s="28"/>
      <c r="L71" s="32" t="str">
        <f t="shared" si="1"/>
        <v/>
      </c>
      <c r="M71" s="33" t="str">
        <f t="shared" ca="1" si="2"/>
        <v/>
      </c>
      <c r="N71" s="34" t="str">
        <f t="shared" si="3"/>
        <v/>
      </c>
      <c r="O71" s="23"/>
      <c r="P71" s="23"/>
    </row>
    <row r="72" spans="1:16" ht="21.75" customHeight="1" x14ac:dyDescent="0.25">
      <c r="A72" s="24"/>
      <c r="B72" s="24"/>
      <c r="C72" s="24"/>
      <c r="D72" s="34" t="str">
        <f>IF(C72="","",IFERROR(VLOOKUP(C72,CRM!$B$8:$O$1007,2,FALSE()),"Revisar ID"))</f>
        <v/>
      </c>
      <c r="E72" s="23"/>
      <c r="F72" s="37" t="str">
        <f t="shared" si="0"/>
        <v/>
      </c>
      <c r="G72" s="28"/>
      <c r="H72" s="29"/>
      <c r="I72" s="28"/>
      <c r="J72" s="29"/>
      <c r="K72" s="28"/>
      <c r="L72" s="32" t="str">
        <f t="shared" si="1"/>
        <v/>
      </c>
      <c r="M72" s="33" t="str">
        <f t="shared" ca="1" si="2"/>
        <v/>
      </c>
      <c r="N72" s="34" t="str">
        <f t="shared" si="3"/>
        <v/>
      </c>
      <c r="O72" s="23"/>
      <c r="P72" s="23"/>
    </row>
    <row r="73" spans="1:16" ht="21.75" customHeight="1" x14ac:dyDescent="0.25">
      <c r="A73" s="24"/>
      <c r="B73" s="24"/>
      <c r="C73" s="24"/>
      <c r="D73" s="34" t="str">
        <f>IF(C73="","",IFERROR(VLOOKUP(C73,CRM!$B$8:$O$1007,2,FALSE()),"Revisar ID"))</f>
        <v/>
      </c>
      <c r="E73" s="23"/>
      <c r="F73" s="37" t="str">
        <f t="shared" ref="F73:F136" si="4">IF(B73="","",B73+IF(E73="Contado",0,IF(E73="7 días",7,IF(E73="15 días",15,IF(E73="30 días",30,IF(E73="45 días",45,IF(E73="60 días",60,0)))))))</f>
        <v/>
      </c>
      <c r="G73" s="28"/>
      <c r="H73" s="29"/>
      <c r="I73" s="28"/>
      <c r="J73" s="29"/>
      <c r="K73" s="28"/>
      <c r="L73" s="32" t="str">
        <f t="shared" ref="L73:L136" si="5">IF(G73="","",MAX(0,G73-SUM(I73,K73)))</f>
        <v/>
      </c>
      <c r="M73" s="33" t="str">
        <f t="shared" ref="M73:M136" ca="1" si="6">IF(G73="","",IF(L73=0,0,MAX(0,TODAY()-F73)))</f>
        <v/>
      </c>
      <c r="N73" s="34" t="str">
        <f t="shared" ref="N73:N136" si="7">IF(G73="","",IF(L73=0,"Pagada",IF(M73&gt;0,"Vencida",IF(SUM(I73,K73)&gt;0,"Parcial","Pendiente"))))</f>
        <v/>
      </c>
      <c r="O73" s="23"/>
      <c r="P73" s="23"/>
    </row>
    <row r="74" spans="1:16" ht="21.75" customHeight="1" x14ac:dyDescent="0.25">
      <c r="A74" s="24"/>
      <c r="B74" s="24"/>
      <c r="C74" s="24"/>
      <c r="D74" s="34" t="str">
        <f>IF(C74="","",IFERROR(VLOOKUP(C74,CRM!$B$8:$O$1007,2,FALSE()),"Revisar ID"))</f>
        <v/>
      </c>
      <c r="E74" s="23"/>
      <c r="F74" s="37" t="str">
        <f t="shared" si="4"/>
        <v/>
      </c>
      <c r="G74" s="28"/>
      <c r="H74" s="29"/>
      <c r="I74" s="28"/>
      <c r="J74" s="29"/>
      <c r="K74" s="28"/>
      <c r="L74" s="32" t="str">
        <f t="shared" si="5"/>
        <v/>
      </c>
      <c r="M74" s="33" t="str">
        <f t="shared" ca="1" si="6"/>
        <v/>
      </c>
      <c r="N74" s="34" t="str">
        <f t="shared" si="7"/>
        <v/>
      </c>
      <c r="O74" s="23"/>
      <c r="P74" s="23"/>
    </row>
    <row r="75" spans="1:16" ht="21.75" customHeight="1" x14ac:dyDescent="0.25">
      <c r="A75" s="24"/>
      <c r="B75" s="24"/>
      <c r="C75" s="24"/>
      <c r="D75" s="34" t="str">
        <f>IF(C75="","",IFERROR(VLOOKUP(C75,CRM!$B$8:$O$1007,2,FALSE()),"Revisar ID"))</f>
        <v/>
      </c>
      <c r="E75" s="23"/>
      <c r="F75" s="37" t="str">
        <f t="shared" si="4"/>
        <v/>
      </c>
      <c r="G75" s="28"/>
      <c r="H75" s="29"/>
      <c r="I75" s="28"/>
      <c r="J75" s="29"/>
      <c r="K75" s="28"/>
      <c r="L75" s="32" t="str">
        <f t="shared" si="5"/>
        <v/>
      </c>
      <c r="M75" s="33" t="str">
        <f t="shared" ca="1" si="6"/>
        <v/>
      </c>
      <c r="N75" s="34" t="str">
        <f t="shared" si="7"/>
        <v/>
      </c>
      <c r="O75" s="23"/>
      <c r="P75" s="23"/>
    </row>
    <row r="76" spans="1:16" ht="21.75" customHeight="1" x14ac:dyDescent="0.25">
      <c r="A76" s="24"/>
      <c r="B76" s="24"/>
      <c r="C76" s="24"/>
      <c r="D76" s="34" t="str">
        <f>IF(C76="","",IFERROR(VLOOKUP(C76,CRM!$B$8:$O$1007,2,FALSE()),"Revisar ID"))</f>
        <v/>
      </c>
      <c r="E76" s="23"/>
      <c r="F76" s="37" t="str">
        <f t="shared" si="4"/>
        <v/>
      </c>
      <c r="G76" s="28"/>
      <c r="H76" s="29"/>
      <c r="I76" s="28"/>
      <c r="J76" s="29"/>
      <c r="K76" s="28"/>
      <c r="L76" s="32" t="str">
        <f t="shared" si="5"/>
        <v/>
      </c>
      <c r="M76" s="33" t="str">
        <f t="shared" ca="1" si="6"/>
        <v/>
      </c>
      <c r="N76" s="34" t="str">
        <f t="shared" si="7"/>
        <v/>
      </c>
      <c r="O76" s="23"/>
      <c r="P76" s="23"/>
    </row>
    <row r="77" spans="1:16" ht="21.75" customHeight="1" x14ac:dyDescent="0.25">
      <c r="A77" s="24"/>
      <c r="B77" s="24"/>
      <c r="C77" s="24"/>
      <c r="D77" s="34" t="str">
        <f>IF(C77="","",IFERROR(VLOOKUP(C77,CRM!$B$8:$O$1007,2,FALSE()),"Revisar ID"))</f>
        <v/>
      </c>
      <c r="E77" s="23"/>
      <c r="F77" s="37" t="str">
        <f t="shared" si="4"/>
        <v/>
      </c>
      <c r="G77" s="28"/>
      <c r="H77" s="29"/>
      <c r="I77" s="28"/>
      <c r="J77" s="29"/>
      <c r="K77" s="28"/>
      <c r="L77" s="32" t="str">
        <f t="shared" si="5"/>
        <v/>
      </c>
      <c r="M77" s="33" t="str">
        <f t="shared" ca="1" si="6"/>
        <v/>
      </c>
      <c r="N77" s="34" t="str">
        <f t="shared" si="7"/>
        <v/>
      </c>
      <c r="O77" s="23"/>
      <c r="P77" s="23"/>
    </row>
    <row r="78" spans="1:16" ht="21.75" customHeight="1" x14ac:dyDescent="0.25">
      <c r="A78" s="24"/>
      <c r="B78" s="24"/>
      <c r="C78" s="24"/>
      <c r="D78" s="34" t="str">
        <f>IF(C78="","",IFERROR(VLOOKUP(C78,CRM!$B$8:$O$1007,2,FALSE()),"Revisar ID"))</f>
        <v/>
      </c>
      <c r="E78" s="23"/>
      <c r="F78" s="37" t="str">
        <f t="shared" si="4"/>
        <v/>
      </c>
      <c r="G78" s="28"/>
      <c r="H78" s="29"/>
      <c r="I78" s="28"/>
      <c r="J78" s="29"/>
      <c r="K78" s="28"/>
      <c r="L78" s="32" t="str">
        <f t="shared" si="5"/>
        <v/>
      </c>
      <c r="M78" s="33" t="str">
        <f t="shared" ca="1" si="6"/>
        <v/>
      </c>
      <c r="N78" s="34" t="str">
        <f t="shared" si="7"/>
        <v/>
      </c>
      <c r="O78" s="23"/>
      <c r="P78" s="23"/>
    </row>
    <row r="79" spans="1:16" ht="21.75" customHeight="1" x14ac:dyDescent="0.25">
      <c r="A79" s="24"/>
      <c r="B79" s="24"/>
      <c r="C79" s="24"/>
      <c r="D79" s="34" t="str">
        <f>IF(C79="","",IFERROR(VLOOKUP(C79,CRM!$B$8:$O$1007,2,FALSE()),"Revisar ID"))</f>
        <v/>
      </c>
      <c r="E79" s="23"/>
      <c r="F79" s="37" t="str">
        <f t="shared" si="4"/>
        <v/>
      </c>
      <c r="G79" s="28"/>
      <c r="H79" s="29"/>
      <c r="I79" s="28"/>
      <c r="J79" s="29"/>
      <c r="K79" s="28"/>
      <c r="L79" s="32" t="str">
        <f t="shared" si="5"/>
        <v/>
      </c>
      <c r="M79" s="33" t="str">
        <f t="shared" ca="1" si="6"/>
        <v/>
      </c>
      <c r="N79" s="34" t="str">
        <f t="shared" si="7"/>
        <v/>
      </c>
      <c r="O79" s="23"/>
      <c r="P79" s="23"/>
    </row>
    <row r="80" spans="1:16" ht="21.75" customHeight="1" x14ac:dyDescent="0.25">
      <c r="A80" s="24"/>
      <c r="B80" s="24"/>
      <c r="C80" s="24"/>
      <c r="D80" s="34" t="str">
        <f>IF(C80="","",IFERROR(VLOOKUP(C80,CRM!$B$8:$O$1007,2,FALSE()),"Revisar ID"))</f>
        <v/>
      </c>
      <c r="E80" s="23"/>
      <c r="F80" s="37" t="str">
        <f t="shared" si="4"/>
        <v/>
      </c>
      <c r="G80" s="28"/>
      <c r="H80" s="29"/>
      <c r="I80" s="28"/>
      <c r="J80" s="29"/>
      <c r="K80" s="28"/>
      <c r="L80" s="32" t="str">
        <f t="shared" si="5"/>
        <v/>
      </c>
      <c r="M80" s="33" t="str">
        <f t="shared" ca="1" si="6"/>
        <v/>
      </c>
      <c r="N80" s="34" t="str">
        <f t="shared" si="7"/>
        <v/>
      </c>
      <c r="O80" s="23"/>
      <c r="P80" s="23"/>
    </row>
    <row r="81" spans="1:16" ht="21.75" customHeight="1" x14ac:dyDescent="0.25">
      <c r="A81" s="24"/>
      <c r="B81" s="24"/>
      <c r="C81" s="24"/>
      <c r="D81" s="34" t="str">
        <f>IF(C81="","",IFERROR(VLOOKUP(C81,CRM!$B$8:$O$1007,2,FALSE()),"Revisar ID"))</f>
        <v/>
      </c>
      <c r="E81" s="23"/>
      <c r="F81" s="37" t="str">
        <f t="shared" si="4"/>
        <v/>
      </c>
      <c r="G81" s="28"/>
      <c r="H81" s="29"/>
      <c r="I81" s="28"/>
      <c r="J81" s="29"/>
      <c r="K81" s="28"/>
      <c r="L81" s="32" t="str">
        <f t="shared" si="5"/>
        <v/>
      </c>
      <c r="M81" s="33" t="str">
        <f t="shared" ca="1" si="6"/>
        <v/>
      </c>
      <c r="N81" s="34" t="str">
        <f t="shared" si="7"/>
        <v/>
      </c>
      <c r="O81" s="23"/>
      <c r="P81" s="23"/>
    </row>
    <row r="82" spans="1:16" ht="21.75" customHeight="1" x14ac:dyDescent="0.25">
      <c r="A82" s="24"/>
      <c r="B82" s="24"/>
      <c r="C82" s="24"/>
      <c r="D82" s="34" t="str">
        <f>IF(C82="","",IFERROR(VLOOKUP(C82,CRM!$B$8:$O$1007,2,FALSE()),"Revisar ID"))</f>
        <v/>
      </c>
      <c r="E82" s="23"/>
      <c r="F82" s="37" t="str">
        <f t="shared" si="4"/>
        <v/>
      </c>
      <c r="G82" s="28"/>
      <c r="H82" s="29"/>
      <c r="I82" s="28"/>
      <c r="J82" s="29"/>
      <c r="K82" s="28"/>
      <c r="L82" s="32" t="str">
        <f t="shared" si="5"/>
        <v/>
      </c>
      <c r="M82" s="33" t="str">
        <f t="shared" ca="1" si="6"/>
        <v/>
      </c>
      <c r="N82" s="34" t="str">
        <f t="shared" si="7"/>
        <v/>
      </c>
      <c r="O82" s="23"/>
      <c r="P82" s="23"/>
    </row>
    <row r="83" spans="1:16" ht="21.75" customHeight="1" x14ac:dyDescent="0.25">
      <c r="A83" s="24"/>
      <c r="B83" s="24"/>
      <c r="C83" s="24"/>
      <c r="D83" s="34" t="str">
        <f>IF(C83="","",IFERROR(VLOOKUP(C83,CRM!$B$8:$O$1007,2,FALSE()),"Revisar ID"))</f>
        <v/>
      </c>
      <c r="E83" s="23"/>
      <c r="F83" s="37" t="str">
        <f t="shared" si="4"/>
        <v/>
      </c>
      <c r="G83" s="28"/>
      <c r="H83" s="29"/>
      <c r="I83" s="28"/>
      <c r="J83" s="29"/>
      <c r="K83" s="28"/>
      <c r="L83" s="32" t="str">
        <f t="shared" si="5"/>
        <v/>
      </c>
      <c r="M83" s="33" t="str">
        <f t="shared" ca="1" si="6"/>
        <v/>
      </c>
      <c r="N83" s="34" t="str">
        <f t="shared" si="7"/>
        <v/>
      </c>
      <c r="O83" s="23"/>
      <c r="P83" s="23"/>
    </row>
    <row r="84" spans="1:16" ht="21.75" customHeight="1" x14ac:dyDescent="0.25">
      <c r="A84" s="24"/>
      <c r="B84" s="24"/>
      <c r="C84" s="24"/>
      <c r="D84" s="34" t="str">
        <f>IF(C84="","",IFERROR(VLOOKUP(C84,CRM!$B$8:$O$1007,2,FALSE()),"Revisar ID"))</f>
        <v/>
      </c>
      <c r="E84" s="23"/>
      <c r="F84" s="37" t="str">
        <f t="shared" si="4"/>
        <v/>
      </c>
      <c r="G84" s="28"/>
      <c r="H84" s="29"/>
      <c r="I84" s="28"/>
      <c r="J84" s="29"/>
      <c r="K84" s="28"/>
      <c r="L84" s="32" t="str">
        <f t="shared" si="5"/>
        <v/>
      </c>
      <c r="M84" s="33" t="str">
        <f t="shared" ca="1" si="6"/>
        <v/>
      </c>
      <c r="N84" s="34" t="str">
        <f t="shared" si="7"/>
        <v/>
      </c>
      <c r="O84" s="23"/>
      <c r="P84" s="23"/>
    </row>
    <row r="85" spans="1:16" ht="21.75" customHeight="1" x14ac:dyDescent="0.25">
      <c r="A85" s="24"/>
      <c r="B85" s="24"/>
      <c r="C85" s="24"/>
      <c r="D85" s="34" t="str">
        <f>IF(C85="","",IFERROR(VLOOKUP(C85,CRM!$B$8:$O$1007,2,FALSE()),"Revisar ID"))</f>
        <v/>
      </c>
      <c r="E85" s="23"/>
      <c r="F85" s="37" t="str">
        <f t="shared" si="4"/>
        <v/>
      </c>
      <c r="G85" s="28"/>
      <c r="H85" s="29"/>
      <c r="I85" s="28"/>
      <c r="J85" s="29"/>
      <c r="K85" s="28"/>
      <c r="L85" s="32" t="str">
        <f t="shared" si="5"/>
        <v/>
      </c>
      <c r="M85" s="33" t="str">
        <f t="shared" ca="1" si="6"/>
        <v/>
      </c>
      <c r="N85" s="34" t="str">
        <f t="shared" si="7"/>
        <v/>
      </c>
      <c r="O85" s="23"/>
      <c r="P85" s="23"/>
    </row>
    <row r="86" spans="1:16" ht="21.75" customHeight="1" x14ac:dyDescent="0.25">
      <c r="A86" s="24"/>
      <c r="B86" s="24"/>
      <c r="C86" s="24"/>
      <c r="D86" s="34" t="str">
        <f>IF(C86="","",IFERROR(VLOOKUP(C86,CRM!$B$8:$O$1007,2,FALSE()),"Revisar ID"))</f>
        <v/>
      </c>
      <c r="E86" s="23"/>
      <c r="F86" s="37" t="str">
        <f t="shared" si="4"/>
        <v/>
      </c>
      <c r="G86" s="28"/>
      <c r="H86" s="29"/>
      <c r="I86" s="28"/>
      <c r="J86" s="29"/>
      <c r="K86" s="28"/>
      <c r="L86" s="32" t="str">
        <f t="shared" si="5"/>
        <v/>
      </c>
      <c r="M86" s="33" t="str">
        <f t="shared" ca="1" si="6"/>
        <v/>
      </c>
      <c r="N86" s="34" t="str">
        <f t="shared" si="7"/>
        <v/>
      </c>
      <c r="O86" s="23"/>
      <c r="P86" s="23"/>
    </row>
    <row r="87" spans="1:16" ht="21.75" customHeight="1" x14ac:dyDescent="0.25">
      <c r="A87" s="24"/>
      <c r="B87" s="24"/>
      <c r="C87" s="24"/>
      <c r="D87" s="34" t="str">
        <f>IF(C87="","",IFERROR(VLOOKUP(C87,CRM!$B$8:$O$1007,2,FALSE()),"Revisar ID"))</f>
        <v/>
      </c>
      <c r="E87" s="23"/>
      <c r="F87" s="37" t="str">
        <f t="shared" si="4"/>
        <v/>
      </c>
      <c r="G87" s="28"/>
      <c r="H87" s="29"/>
      <c r="I87" s="28"/>
      <c r="J87" s="29"/>
      <c r="K87" s="28"/>
      <c r="L87" s="32" t="str">
        <f t="shared" si="5"/>
        <v/>
      </c>
      <c r="M87" s="33" t="str">
        <f t="shared" ca="1" si="6"/>
        <v/>
      </c>
      <c r="N87" s="34" t="str">
        <f t="shared" si="7"/>
        <v/>
      </c>
      <c r="O87" s="23"/>
      <c r="P87" s="23"/>
    </row>
    <row r="88" spans="1:16" ht="21.75" customHeight="1" x14ac:dyDescent="0.25">
      <c r="A88" s="24"/>
      <c r="B88" s="24"/>
      <c r="C88" s="24"/>
      <c r="D88" s="34" t="str">
        <f>IF(C88="","",IFERROR(VLOOKUP(C88,CRM!$B$8:$O$1007,2,FALSE()),"Revisar ID"))</f>
        <v/>
      </c>
      <c r="E88" s="23"/>
      <c r="F88" s="37" t="str">
        <f t="shared" si="4"/>
        <v/>
      </c>
      <c r="G88" s="28"/>
      <c r="H88" s="29"/>
      <c r="I88" s="28"/>
      <c r="J88" s="29"/>
      <c r="K88" s="28"/>
      <c r="L88" s="32" t="str">
        <f t="shared" si="5"/>
        <v/>
      </c>
      <c r="M88" s="33" t="str">
        <f t="shared" ca="1" si="6"/>
        <v/>
      </c>
      <c r="N88" s="34" t="str">
        <f t="shared" si="7"/>
        <v/>
      </c>
      <c r="O88" s="23"/>
      <c r="P88" s="23"/>
    </row>
    <row r="89" spans="1:16" ht="21.75" customHeight="1" x14ac:dyDescent="0.25">
      <c r="A89" s="24"/>
      <c r="B89" s="24"/>
      <c r="C89" s="24"/>
      <c r="D89" s="34" t="str">
        <f>IF(C89="","",IFERROR(VLOOKUP(C89,CRM!$B$8:$O$1007,2,FALSE()),"Revisar ID"))</f>
        <v/>
      </c>
      <c r="E89" s="23"/>
      <c r="F89" s="37" t="str">
        <f t="shared" si="4"/>
        <v/>
      </c>
      <c r="G89" s="28"/>
      <c r="H89" s="29"/>
      <c r="I89" s="28"/>
      <c r="J89" s="29"/>
      <c r="K89" s="28"/>
      <c r="L89" s="32" t="str">
        <f t="shared" si="5"/>
        <v/>
      </c>
      <c r="M89" s="33" t="str">
        <f t="shared" ca="1" si="6"/>
        <v/>
      </c>
      <c r="N89" s="34" t="str">
        <f t="shared" si="7"/>
        <v/>
      </c>
      <c r="O89" s="23"/>
      <c r="P89" s="23"/>
    </row>
    <row r="90" spans="1:16" ht="21.75" customHeight="1" x14ac:dyDescent="0.25">
      <c r="A90" s="24"/>
      <c r="B90" s="24"/>
      <c r="C90" s="24"/>
      <c r="D90" s="34" t="str">
        <f>IF(C90="","",IFERROR(VLOOKUP(C90,CRM!$B$8:$O$1007,2,FALSE()),"Revisar ID"))</f>
        <v/>
      </c>
      <c r="E90" s="23"/>
      <c r="F90" s="37" t="str">
        <f t="shared" si="4"/>
        <v/>
      </c>
      <c r="G90" s="28"/>
      <c r="H90" s="29"/>
      <c r="I90" s="28"/>
      <c r="J90" s="29"/>
      <c r="K90" s="28"/>
      <c r="L90" s="32" t="str">
        <f t="shared" si="5"/>
        <v/>
      </c>
      <c r="M90" s="33" t="str">
        <f t="shared" ca="1" si="6"/>
        <v/>
      </c>
      <c r="N90" s="34" t="str">
        <f t="shared" si="7"/>
        <v/>
      </c>
      <c r="O90" s="23"/>
      <c r="P90" s="23"/>
    </row>
    <row r="91" spans="1:16" ht="21.75" customHeight="1" x14ac:dyDescent="0.25">
      <c r="A91" s="24"/>
      <c r="B91" s="24"/>
      <c r="C91" s="24"/>
      <c r="D91" s="34" t="str">
        <f>IF(C91="","",IFERROR(VLOOKUP(C91,CRM!$B$8:$O$1007,2,FALSE()),"Revisar ID"))</f>
        <v/>
      </c>
      <c r="E91" s="23"/>
      <c r="F91" s="37" t="str">
        <f t="shared" si="4"/>
        <v/>
      </c>
      <c r="G91" s="28"/>
      <c r="H91" s="29"/>
      <c r="I91" s="28"/>
      <c r="J91" s="29"/>
      <c r="K91" s="28"/>
      <c r="L91" s="32" t="str">
        <f t="shared" si="5"/>
        <v/>
      </c>
      <c r="M91" s="33" t="str">
        <f t="shared" ca="1" si="6"/>
        <v/>
      </c>
      <c r="N91" s="34" t="str">
        <f t="shared" si="7"/>
        <v/>
      </c>
      <c r="O91" s="23"/>
      <c r="P91" s="23"/>
    </row>
    <row r="92" spans="1:16" ht="21.75" customHeight="1" x14ac:dyDescent="0.25">
      <c r="A92" s="24"/>
      <c r="B92" s="24"/>
      <c r="C92" s="24"/>
      <c r="D92" s="34" t="str">
        <f>IF(C92="","",IFERROR(VLOOKUP(C92,CRM!$B$8:$O$1007,2,FALSE()),"Revisar ID"))</f>
        <v/>
      </c>
      <c r="E92" s="23"/>
      <c r="F92" s="37" t="str">
        <f t="shared" si="4"/>
        <v/>
      </c>
      <c r="G92" s="28"/>
      <c r="H92" s="29"/>
      <c r="I92" s="28"/>
      <c r="J92" s="29"/>
      <c r="K92" s="28"/>
      <c r="L92" s="32" t="str">
        <f t="shared" si="5"/>
        <v/>
      </c>
      <c r="M92" s="33" t="str">
        <f t="shared" ca="1" si="6"/>
        <v/>
      </c>
      <c r="N92" s="34" t="str">
        <f t="shared" si="7"/>
        <v/>
      </c>
      <c r="O92" s="23"/>
      <c r="P92" s="23"/>
    </row>
    <row r="93" spans="1:16" ht="21.75" customHeight="1" x14ac:dyDescent="0.25">
      <c r="A93" s="24"/>
      <c r="B93" s="24"/>
      <c r="C93" s="24"/>
      <c r="D93" s="34" t="str">
        <f>IF(C93="","",IFERROR(VLOOKUP(C93,CRM!$B$8:$O$1007,2,FALSE()),"Revisar ID"))</f>
        <v/>
      </c>
      <c r="E93" s="23"/>
      <c r="F93" s="37" t="str">
        <f t="shared" si="4"/>
        <v/>
      </c>
      <c r="G93" s="28"/>
      <c r="H93" s="29"/>
      <c r="I93" s="28"/>
      <c r="J93" s="29"/>
      <c r="K93" s="28"/>
      <c r="L93" s="32" t="str">
        <f t="shared" si="5"/>
        <v/>
      </c>
      <c r="M93" s="33" t="str">
        <f t="shared" ca="1" si="6"/>
        <v/>
      </c>
      <c r="N93" s="34" t="str">
        <f t="shared" si="7"/>
        <v/>
      </c>
      <c r="O93" s="23"/>
      <c r="P93" s="23"/>
    </row>
    <row r="94" spans="1:16" ht="21.75" customHeight="1" x14ac:dyDescent="0.25">
      <c r="A94" s="24"/>
      <c r="B94" s="24"/>
      <c r="C94" s="24"/>
      <c r="D94" s="34" t="str">
        <f>IF(C94="","",IFERROR(VLOOKUP(C94,CRM!$B$8:$O$1007,2,FALSE()),"Revisar ID"))</f>
        <v/>
      </c>
      <c r="E94" s="23"/>
      <c r="F94" s="37" t="str">
        <f t="shared" si="4"/>
        <v/>
      </c>
      <c r="G94" s="28"/>
      <c r="H94" s="29"/>
      <c r="I94" s="28"/>
      <c r="J94" s="29"/>
      <c r="K94" s="28"/>
      <c r="L94" s="32" t="str">
        <f t="shared" si="5"/>
        <v/>
      </c>
      <c r="M94" s="33" t="str">
        <f t="shared" ca="1" si="6"/>
        <v/>
      </c>
      <c r="N94" s="34" t="str">
        <f t="shared" si="7"/>
        <v/>
      </c>
      <c r="O94" s="23"/>
      <c r="P94" s="23"/>
    </row>
    <row r="95" spans="1:16" ht="21.75" customHeight="1" x14ac:dyDescent="0.25">
      <c r="A95" s="24"/>
      <c r="B95" s="24"/>
      <c r="C95" s="24"/>
      <c r="D95" s="34" t="str">
        <f>IF(C95="","",IFERROR(VLOOKUP(C95,CRM!$B$8:$O$1007,2,FALSE()),"Revisar ID"))</f>
        <v/>
      </c>
      <c r="E95" s="23"/>
      <c r="F95" s="37" t="str">
        <f t="shared" si="4"/>
        <v/>
      </c>
      <c r="G95" s="28"/>
      <c r="H95" s="29"/>
      <c r="I95" s="28"/>
      <c r="J95" s="29"/>
      <c r="K95" s="28"/>
      <c r="L95" s="32" t="str">
        <f t="shared" si="5"/>
        <v/>
      </c>
      <c r="M95" s="33" t="str">
        <f t="shared" ca="1" si="6"/>
        <v/>
      </c>
      <c r="N95" s="34" t="str">
        <f t="shared" si="7"/>
        <v/>
      </c>
      <c r="O95" s="23"/>
      <c r="P95" s="23"/>
    </row>
    <row r="96" spans="1:16" ht="21.75" customHeight="1" x14ac:dyDescent="0.25">
      <c r="A96" s="24"/>
      <c r="B96" s="24"/>
      <c r="C96" s="24"/>
      <c r="D96" s="34" t="str">
        <f>IF(C96="","",IFERROR(VLOOKUP(C96,CRM!$B$8:$O$1007,2,FALSE()),"Revisar ID"))</f>
        <v/>
      </c>
      <c r="E96" s="23"/>
      <c r="F96" s="37" t="str">
        <f t="shared" si="4"/>
        <v/>
      </c>
      <c r="G96" s="28"/>
      <c r="H96" s="29"/>
      <c r="I96" s="28"/>
      <c r="J96" s="29"/>
      <c r="K96" s="28"/>
      <c r="L96" s="32" t="str">
        <f t="shared" si="5"/>
        <v/>
      </c>
      <c r="M96" s="33" t="str">
        <f t="shared" ca="1" si="6"/>
        <v/>
      </c>
      <c r="N96" s="34" t="str">
        <f t="shared" si="7"/>
        <v/>
      </c>
      <c r="O96" s="23"/>
      <c r="P96" s="23"/>
    </row>
    <row r="97" spans="1:16" ht="21.75" customHeight="1" x14ac:dyDescent="0.25">
      <c r="A97" s="24"/>
      <c r="B97" s="24"/>
      <c r="C97" s="24"/>
      <c r="D97" s="34" t="str">
        <f>IF(C97="","",IFERROR(VLOOKUP(C97,CRM!$B$8:$O$1007,2,FALSE()),"Revisar ID"))</f>
        <v/>
      </c>
      <c r="E97" s="23"/>
      <c r="F97" s="37" t="str">
        <f t="shared" si="4"/>
        <v/>
      </c>
      <c r="G97" s="28"/>
      <c r="H97" s="29"/>
      <c r="I97" s="28"/>
      <c r="J97" s="29"/>
      <c r="K97" s="28"/>
      <c r="L97" s="32" t="str">
        <f t="shared" si="5"/>
        <v/>
      </c>
      <c r="M97" s="33" t="str">
        <f t="shared" ca="1" si="6"/>
        <v/>
      </c>
      <c r="N97" s="34" t="str">
        <f t="shared" si="7"/>
        <v/>
      </c>
      <c r="O97" s="23"/>
      <c r="P97" s="23"/>
    </row>
    <row r="98" spans="1:16" ht="21.75" customHeight="1" x14ac:dyDescent="0.25">
      <c r="A98" s="24"/>
      <c r="B98" s="24"/>
      <c r="C98" s="24"/>
      <c r="D98" s="34" t="str">
        <f>IF(C98="","",IFERROR(VLOOKUP(C98,CRM!$B$8:$O$1007,2,FALSE()),"Revisar ID"))</f>
        <v/>
      </c>
      <c r="E98" s="23"/>
      <c r="F98" s="37" t="str">
        <f t="shared" si="4"/>
        <v/>
      </c>
      <c r="G98" s="28"/>
      <c r="H98" s="29"/>
      <c r="I98" s="28"/>
      <c r="J98" s="29"/>
      <c r="K98" s="28"/>
      <c r="L98" s="32" t="str">
        <f t="shared" si="5"/>
        <v/>
      </c>
      <c r="M98" s="33" t="str">
        <f t="shared" ca="1" si="6"/>
        <v/>
      </c>
      <c r="N98" s="34" t="str">
        <f t="shared" si="7"/>
        <v/>
      </c>
      <c r="O98" s="23"/>
      <c r="P98" s="23"/>
    </row>
    <row r="99" spans="1:16" ht="21.75" customHeight="1" x14ac:dyDescent="0.25">
      <c r="A99" s="24"/>
      <c r="B99" s="24"/>
      <c r="C99" s="24"/>
      <c r="D99" s="34" t="str">
        <f>IF(C99="","",IFERROR(VLOOKUP(C99,CRM!$B$8:$O$1007,2,FALSE()),"Revisar ID"))</f>
        <v/>
      </c>
      <c r="E99" s="23"/>
      <c r="F99" s="37" t="str">
        <f t="shared" si="4"/>
        <v/>
      </c>
      <c r="G99" s="28"/>
      <c r="H99" s="29"/>
      <c r="I99" s="28"/>
      <c r="J99" s="29"/>
      <c r="K99" s="28"/>
      <c r="L99" s="32" t="str">
        <f t="shared" si="5"/>
        <v/>
      </c>
      <c r="M99" s="33" t="str">
        <f t="shared" ca="1" si="6"/>
        <v/>
      </c>
      <c r="N99" s="34" t="str">
        <f t="shared" si="7"/>
        <v/>
      </c>
      <c r="O99" s="23"/>
      <c r="P99" s="23"/>
    </row>
    <row r="100" spans="1:16" ht="21.75" customHeight="1" x14ac:dyDescent="0.25">
      <c r="A100" s="24"/>
      <c r="B100" s="24"/>
      <c r="C100" s="24"/>
      <c r="D100" s="34" t="str">
        <f>IF(C100="","",IFERROR(VLOOKUP(C100,CRM!$B$8:$O$1007,2,FALSE()),"Revisar ID"))</f>
        <v/>
      </c>
      <c r="E100" s="23"/>
      <c r="F100" s="37" t="str">
        <f t="shared" si="4"/>
        <v/>
      </c>
      <c r="G100" s="28"/>
      <c r="H100" s="29"/>
      <c r="I100" s="28"/>
      <c r="J100" s="29"/>
      <c r="K100" s="28"/>
      <c r="L100" s="32" t="str">
        <f t="shared" si="5"/>
        <v/>
      </c>
      <c r="M100" s="33" t="str">
        <f t="shared" ca="1" si="6"/>
        <v/>
      </c>
      <c r="N100" s="34" t="str">
        <f t="shared" si="7"/>
        <v/>
      </c>
      <c r="O100" s="23"/>
      <c r="P100" s="23"/>
    </row>
    <row r="101" spans="1:16" ht="21.75" customHeight="1" x14ac:dyDescent="0.25">
      <c r="A101" s="24"/>
      <c r="B101" s="24"/>
      <c r="C101" s="24"/>
      <c r="D101" s="34" t="str">
        <f>IF(C101="","",IFERROR(VLOOKUP(C101,CRM!$B$8:$O$1007,2,FALSE()),"Revisar ID"))</f>
        <v/>
      </c>
      <c r="E101" s="23"/>
      <c r="F101" s="37" t="str">
        <f t="shared" si="4"/>
        <v/>
      </c>
      <c r="G101" s="28"/>
      <c r="H101" s="29"/>
      <c r="I101" s="28"/>
      <c r="J101" s="29"/>
      <c r="K101" s="28"/>
      <c r="L101" s="32" t="str">
        <f t="shared" si="5"/>
        <v/>
      </c>
      <c r="M101" s="33" t="str">
        <f t="shared" ca="1" si="6"/>
        <v/>
      </c>
      <c r="N101" s="34" t="str">
        <f t="shared" si="7"/>
        <v/>
      </c>
      <c r="O101" s="23"/>
      <c r="P101" s="23"/>
    </row>
    <row r="102" spans="1:16" ht="21.75" customHeight="1" x14ac:dyDescent="0.25">
      <c r="A102" s="24"/>
      <c r="B102" s="24"/>
      <c r="C102" s="24"/>
      <c r="D102" s="34" t="str">
        <f>IF(C102="","",IFERROR(VLOOKUP(C102,CRM!$B$8:$O$1007,2,FALSE()),"Revisar ID"))</f>
        <v/>
      </c>
      <c r="E102" s="23"/>
      <c r="F102" s="37" t="str">
        <f t="shared" si="4"/>
        <v/>
      </c>
      <c r="G102" s="28"/>
      <c r="H102" s="29"/>
      <c r="I102" s="28"/>
      <c r="J102" s="29"/>
      <c r="K102" s="28"/>
      <c r="L102" s="32" t="str">
        <f t="shared" si="5"/>
        <v/>
      </c>
      <c r="M102" s="33" t="str">
        <f t="shared" ca="1" si="6"/>
        <v/>
      </c>
      <c r="N102" s="34" t="str">
        <f t="shared" si="7"/>
        <v/>
      </c>
      <c r="O102" s="23"/>
      <c r="P102" s="23"/>
    </row>
    <row r="103" spans="1:16" ht="21.75" customHeight="1" x14ac:dyDescent="0.25">
      <c r="A103" s="24"/>
      <c r="B103" s="24"/>
      <c r="C103" s="24"/>
      <c r="D103" s="34" t="str">
        <f>IF(C103="","",IFERROR(VLOOKUP(C103,CRM!$B$8:$O$1007,2,FALSE()),"Revisar ID"))</f>
        <v/>
      </c>
      <c r="E103" s="23"/>
      <c r="F103" s="37" t="str">
        <f t="shared" si="4"/>
        <v/>
      </c>
      <c r="G103" s="28"/>
      <c r="H103" s="29"/>
      <c r="I103" s="28"/>
      <c r="J103" s="29"/>
      <c r="K103" s="28"/>
      <c r="L103" s="32" t="str">
        <f t="shared" si="5"/>
        <v/>
      </c>
      <c r="M103" s="33" t="str">
        <f t="shared" ca="1" si="6"/>
        <v/>
      </c>
      <c r="N103" s="34" t="str">
        <f t="shared" si="7"/>
        <v/>
      </c>
      <c r="O103" s="23"/>
      <c r="P103" s="23"/>
    </row>
    <row r="104" spans="1:16" ht="21.75" customHeight="1" x14ac:dyDescent="0.25">
      <c r="A104" s="24"/>
      <c r="B104" s="24"/>
      <c r="C104" s="24"/>
      <c r="D104" s="34" t="str">
        <f>IF(C104="","",IFERROR(VLOOKUP(C104,CRM!$B$8:$O$1007,2,FALSE()),"Revisar ID"))</f>
        <v/>
      </c>
      <c r="E104" s="23"/>
      <c r="F104" s="37" t="str">
        <f t="shared" si="4"/>
        <v/>
      </c>
      <c r="G104" s="28"/>
      <c r="H104" s="29"/>
      <c r="I104" s="28"/>
      <c r="J104" s="29"/>
      <c r="K104" s="28"/>
      <c r="L104" s="32" t="str">
        <f t="shared" si="5"/>
        <v/>
      </c>
      <c r="M104" s="33" t="str">
        <f t="shared" ca="1" si="6"/>
        <v/>
      </c>
      <c r="N104" s="34" t="str">
        <f t="shared" si="7"/>
        <v/>
      </c>
      <c r="O104" s="23"/>
      <c r="P104" s="23"/>
    </row>
    <row r="105" spans="1:16" ht="21.75" customHeight="1" x14ac:dyDescent="0.25">
      <c r="A105" s="24"/>
      <c r="B105" s="24"/>
      <c r="C105" s="24"/>
      <c r="D105" s="34" t="str">
        <f>IF(C105="","",IFERROR(VLOOKUP(C105,CRM!$B$8:$O$1007,2,FALSE()),"Revisar ID"))</f>
        <v/>
      </c>
      <c r="E105" s="23"/>
      <c r="F105" s="37" t="str">
        <f t="shared" si="4"/>
        <v/>
      </c>
      <c r="G105" s="28"/>
      <c r="H105" s="29"/>
      <c r="I105" s="28"/>
      <c r="J105" s="29"/>
      <c r="K105" s="28"/>
      <c r="L105" s="32" t="str">
        <f t="shared" si="5"/>
        <v/>
      </c>
      <c r="M105" s="33" t="str">
        <f t="shared" ca="1" si="6"/>
        <v/>
      </c>
      <c r="N105" s="34" t="str">
        <f t="shared" si="7"/>
        <v/>
      </c>
      <c r="O105" s="23"/>
      <c r="P105" s="23"/>
    </row>
    <row r="106" spans="1:16" ht="21.75" customHeight="1" x14ac:dyDescent="0.25">
      <c r="A106" s="24"/>
      <c r="B106" s="24"/>
      <c r="C106" s="24"/>
      <c r="D106" s="34" t="str">
        <f>IF(C106="","",IFERROR(VLOOKUP(C106,CRM!$B$8:$O$1007,2,FALSE()),"Revisar ID"))</f>
        <v/>
      </c>
      <c r="E106" s="23"/>
      <c r="F106" s="37" t="str">
        <f t="shared" si="4"/>
        <v/>
      </c>
      <c r="G106" s="28"/>
      <c r="H106" s="29"/>
      <c r="I106" s="28"/>
      <c r="J106" s="29"/>
      <c r="K106" s="28"/>
      <c r="L106" s="32" t="str">
        <f t="shared" si="5"/>
        <v/>
      </c>
      <c r="M106" s="33" t="str">
        <f t="shared" ca="1" si="6"/>
        <v/>
      </c>
      <c r="N106" s="34" t="str">
        <f t="shared" si="7"/>
        <v/>
      </c>
      <c r="O106" s="23"/>
      <c r="P106" s="23"/>
    </row>
    <row r="107" spans="1:16" ht="21.75" customHeight="1" x14ac:dyDescent="0.25">
      <c r="A107" s="24"/>
      <c r="B107" s="24"/>
      <c r="C107" s="24"/>
      <c r="D107" s="34" t="str">
        <f>IF(C107="","",IFERROR(VLOOKUP(C107,CRM!$B$8:$O$1007,2,FALSE()),"Revisar ID"))</f>
        <v/>
      </c>
      <c r="E107" s="23"/>
      <c r="F107" s="37" t="str">
        <f t="shared" si="4"/>
        <v/>
      </c>
      <c r="G107" s="28"/>
      <c r="H107" s="29"/>
      <c r="I107" s="28"/>
      <c r="J107" s="29"/>
      <c r="K107" s="28"/>
      <c r="L107" s="32" t="str">
        <f t="shared" si="5"/>
        <v/>
      </c>
      <c r="M107" s="33" t="str">
        <f t="shared" ca="1" si="6"/>
        <v/>
      </c>
      <c r="N107" s="34" t="str">
        <f t="shared" si="7"/>
        <v/>
      </c>
      <c r="O107" s="23"/>
      <c r="P107" s="23"/>
    </row>
    <row r="108" spans="1:16" ht="21.75" customHeight="1" x14ac:dyDescent="0.25">
      <c r="A108" s="24"/>
      <c r="B108" s="24"/>
      <c r="C108" s="24"/>
      <c r="D108" s="34" t="str">
        <f>IF(C108="","",IFERROR(VLOOKUP(C108,CRM!$B$8:$O$1007,2,FALSE()),"Revisar ID"))</f>
        <v/>
      </c>
      <c r="E108" s="23"/>
      <c r="F108" s="37" t="str">
        <f t="shared" si="4"/>
        <v/>
      </c>
      <c r="G108" s="28"/>
      <c r="H108" s="29"/>
      <c r="I108" s="28"/>
      <c r="J108" s="29"/>
      <c r="K108" s="28"/>
      <c r="L108" s="32" t="str">
        <f t="shared" si="5"/>
        <v/>
      </c>
      <c r="M108" s="33" t="str">
        <f t="shared" ca="1" si="6"/>
        <v/>
      </c>
      <c r="N108" s="34" t="str">
        <f t="shared" si="7"/>
        <v/>
      </c>
      <c r="O108" s="23"/>
      <c r="P108" s="23"/>
    </row>
    <row r="109" spans="1:16" ht="21.75" customHeight="1" x14ac:dyDescent="0.25">
      <c r="A109" s="24"/>
      <c r="B109" s="24"/>
      <c r="C109" s="24"/>
      <c r="D109" s="34" t="str">
        <f>IF(C109="","",IFERROR(VLOOKUP(C109,CRM!$B$8:$O$1007,2,FALSE()),"Revisar ID"))</f>
        <v/>
      </c>
      <c r="E109" s="23"/>
      <c r="F109" s="37" t="str">
        <f t="shared" si="4"/>
        <v/>
      </c>
      <c r="G109" s="28"/>
      <c r="H109" s="29"/>
      <c r="I109" s="28"/>
      <c r="J109" s="29"/>
      <c r="K109" s="28"/>
      <c r="L109" s="32" t="str">
        <f t="shared" si="5"/>
        <v/>
      </c>
      <c r="M109" s="33" t="str">
        <f t="shared" ca="1" si="6"/>
        <v/>
      </c>
      <c r="N109" s="34" t="str">
        <f t="shared" si="7"/>
        <v/>
      </c>
      <c r="O109" s="23"/>
      <c r="P109" s="23"/>
    </row>
    <row r="110" spans="1:16" ht="21.75" customHeight="1" x14ac:dyDescent="0.25">
      <c r="A110" s="24"/>
      <c r="B110" s="24"/>
      <c r="C110" s="24"/>
      <c r="D110" s="34" t="str">
        <f>IF(C110="","",IFERROR(VLOOKUP(C110,CRM!$B$8:$O$1007,2,FALSE()),"Revisar ID"))</f>
        <v/>
      </c>
      <c r="E110" s="23"/>
      <c r="F110" s="37" t="str">
        <f t="shared" si="4"/>
        <v/>
      </c>
      <c r="G110" s="28"/>
      <c r="H110" s="29"/>
      <c r="I110" s="28"/>
      <c r="J110" s="29"/>
      <c r="K110" s="28"/>
      <c r="L110" s="32" t="str">
        <f t="shared" si="5"/>
        <v/>
      </c>
      <c r="M110" s="33" t="str">
        <f t="shared" ca="1" si="6"/>
        <v/>
      </c>
      <c r="N110" s="34" t="str">
        <f t="shared" si="7"/>
        <v/>
      </c>
      <c r="O110" s="23"/>
      <c r="P110" s="23"/>
    </row>
    <row r="111" spans="1:16" ht="21.75" customHeight="1" x14ac:dyDescent="0.25">
      <c r="A111" s="24"/>
      <c r="B111" s="24"/>
      <c r="C111" s="24"/>
      <c r="D111" s="34" t="str">
        <f>IF(C111="","",IFERROR(VLOOKUP(C111,CRM!$B$8:$O$1007,2,FALSE()),"Revisar ID"))</f>
        <v/>
      </c>
      <c r="E111" s="23"/>
      <c r="F111" s="37" t="str">
        <f t="shared" si="4"/>
        <v/>
      </c>
      <c r="G111" s="28"/>
      <c r="H111" s="29"/>
      <c r="I111" s="28"/>
      <c r="J111" s="29"/>
      <c r="K111" s="28"/>
      <c r="L111" s="32" t="str">
        <f t="shared" si="5"/>
        <v/>
      </c>
      <c r="M111" s="33" t="str">
        <f t="shared" ca="1" si="6"/>
        <v/>
      </c>
      <c r="N111" s="34" t="str">
        <f t="shared" si="7"/>
        <v/>
      </c>
      <c r="O111" s="23"/>
      <c r="P111" s="23"/>
    </row>
    <row r="112" spans="1:16" ht="21.75" customHeight="1" x14ac:dyDescent="0.25">
      <c r="A112" s="24"/>
      <c r="B112" s="24"/>
      <c r="C112" s="24"/>
      <c r="D112" s="34" t="str">
        <f>IF(C112="","",IFERROR(VLOOKUP(C112,CRM!$B$8:$O$1007,2,FALSE()),"Revisar ID"))</f>
        <v/>
      </c>
      <c r="E112" s="23"/>
      <c r="F112" s="37" t="str">
        <f t="shared" si="4"/>
        <v/>
      </c>
      <c r="G112" s="28"/>
      <c r="H112" s="29"/>
      <c r="I112" s="28"/>
      <c r="J112" s="29"/>
      <c r="K112" s="28"/>
      <c r="L112" s="32" t="str">
        <f t="shared" si="5"/>
        <v/>
      </c>
      <c r="M112" s="33" t="str">
        <f t="shared" ca="1" si="6"/>
        <v/>
      </c>
      <c r="N112" s="34" t="str">
        <f t="shared" si="7"/>
        <v/>
      </c>
      <c r="O112" s="23"/>
      <c r="P112" s="23"/>
    </row>
    <row r="113" spans="1:16" ht="21.75" customHeight="1" x14ac:dyDescent="0.25">
      <c r="A113" s="24"/>
      <c r="B113" s="24"/>
      <c r="C113" s="24"/>
      <c r="D113" s="34" t="str">
        <f>IF(C113="","",IFERROR(VLOOKUP(C113,CRM!$B$8:$O$1007,2,FALSE()),"Revisar ID"))</f>
        <v/>
      </c>
      <c r="E113" s="23"/>
      <c r="F113" s="37" t="str">
        <f t="shared" si="4"/>
        <v/>
      </c>
      <c r="G113" s="28"/>
      <c r="H113" s="29"/>
      <c r="I113" s="28"/>
      <c r="J113" s="29"/>
      <c r="K113" s="28"/>
      <c r="L113" s="32" t="str">
        <f t="shared" si="5"/>
        <v/>
      </c>
      <c r="M113" s="33" t="str">
        <f t="shared" ca="1" si="6"/>
        <v/>
      </c>
      <c r="N113" s="34" t="str">
        <f t="shared" si="7"/>
        <v/>
      </c>
      <c r="O113" s="23"/>
      <c r="P113" s="23"/>
    </row>
    <row r="114" spans="1:16" ht="21.75" customHeight="1" x14ac:dyDescent="0.25">
      <c r="A114" s="24"/>
      <c r="B114" s="24"/>
      <c r="C114" s="24"/>
      <c r="D114" s="34" t="str">
        <f>IF(C114="","",IFERROR(VLOOKUP(C114,CRM!$B$8:$O$1007,2,FALSE()),"Revisar ID"))</f>
        <v/>
      </c>
      <c r="E114" s="23"/>
      <c r="F114" s="37" t="str">
        <f t="shared" si="4"/>
        <v/>
      </c>
      <c r="G114" s="28"/>
      <c r="H114" s="29"/>
      <c r="I114" s="28"/>
      <c r="J114" s="29"/>
      <c r="K114" s="28"/>
      <c r="L114" s="32" t="str">
        <f t="shared" si="5"/>
        <v/>
      </c>
      <c r="M114" s="33" t="str">
        <f t="shared" ca="1" si="6"/>
        <v/>
      </c>
      <c r="N114" s="34" t="str">
        <f t="shared" si="7"/>
        <v/>
      </c>
      <c r="O114" s="23"/>
      <c r="P114" s="23"/>
    </row>
    <row r="115" spans="1:16" ht="21.75" customHeight="1" x14ac:dyDescent="0.25">
      <c r="A115" s="24"/>
      <c r="B115" s="24"/>
      <c r="C115" s="24"/>
      <c r="D115" s="34" t="str">
        <f>IF(C115="","",IFERROR(VLOOKUP(C115,CRM!$B$8:$O$1007,2,FALSE()),"Revisar ID"))</f>
        <v/>
      </c>
      <c r="E115" s="23"/>
      <c r="F115" s="37" t="str">
        <f t="shared" si="4"/>
        <v/>
      </c>
      <c r="G115" s="28"/>
      <c r="H115" s="29"/>
      <c r="I115" s="28"/>
      <c r="J115" s="29"/>
      <c r="K115" s="28"/>
      <c r="L115" s="32" t="str">
        <f t="shared" si="5"/>
        <v/>
      </c>
      <c r="M115" s="33" t="str">
        <f t="shared" ca="1" si="6"/>
        <v/>
      </c>
      <c r="N115" s="34" t="str">
        <f t="shared" si="7"/>
        <v/>
      </c>
      <c r="O115" s="23"/>
      <c r="P115" s="23"/>
    </row>
    <row r="116" spans="1:16" ht="21.75" customHeight="1" x14ac:dyDescent="0.25">
      <c r="A116" s="24"/>
      <c r="B116" s="24"/>
      <c r="C116" s="24"/>
      <c r="D116" s="34" t="str">
        <f>IF(C116="","",IFERROR(VLOOKUP(C116,CRM!$B$8:$O$1007,2,FALSE()),"Revisar ID"))</f>
        <v/>
      </c>
      <c r="E116" s="23"/>
      <c r="F116" s="37" t="str">
        <f t="shared" si="4"/>
        <v/>
      </c>
      <c r="G116" s="28"/>
      <c r="H116" s="29"/>
      <c r="I116" s="28"/>
      <c r="J116" s="29"/>
      <c r="K116" s="28"/>
      <c r="L116" s="32" t="str">
        <f t="shared" si="5"/>
        <v/>
      </c>
      <c r="M116" s="33" t="str">
        <f t="shared" ca="1" si="6"/>
        <v/>
      </c>
      <c r="N116" s="34" t="str">
        <f t="shared" si="7"/>
        <v/>
      </c>
      <c r="O116" s="23"/>
      <c r="P116" s="23"/>
    </row>
    <row r="117" spans="1:16" ht="21.75" customHeight="1" x14ac:dyDescent="0.25">
      <c r="A117" s="24"/>
      <c r="B117" s="24"/>
      <c r="C117" s="24"/>
      <c r="D117" s="34" t="str">
        <f>IF(C117="","",IFERROR(VLOOKUP(C117,CRM!$B$8:$O$1007,2,FALSE()),"Revisar ID"))</f>
        <v/>
      </c>
      <c r="E117" s="23"/>
      <c r="F117" s="37" t="str">
        <f t="shared" si="4"/>
        <v/>
      </c>
      <c r="G117" s="28"/>
      <c r="H117" s="29"/>
      <c r="I117" s="28"/>
      <c r="J117" s="29"/>
      <c r="K117" s="28"/>
      <c r="L117" s="32" t="str">
        <f t="shared" si="5"/>
        <v/>
      </c>
      <c r="M117" s="33" t="str">
        <f t="shared" ca="1" si="6"/>
        <v/>
      </c>
      <c r="N117" s="34" t="str">
        <f t="shared" si="7"/>
        <v/>
      </c>
      <c r="O117" s="23"/>
      <c r="P117" s="23"/>
    </row>
    <row r="118" spans="1:16" ht="21.75" customHeight="1" x14ac:dyDescent="0.25">
      <c r="A118" s="24"/>
      <c r="B118" s="24"/>
      <c r="C118" s="24"/>
      <c r="D118" s="34" t="str">
        <f>IF(C118="","",IFERROR(VLOOKUP(C118,CRM!$B$8:$O$1007,2,FALSE()),"Revisar ID"))</f>
        <v/>
      </c>
      <c r="E118" s="23"/>
      <c r="F118" s="37" t="str">
        <f t="shared" si="4"/>
        <v/>
      </c>
      <c r="G118" s="28"/>
      <c r="H118" s="29"/>
      <c r="I118" s="28"/>
      <c r="J118" s="29"/>
      <c r="K118" s="28"/>
      <c r="L118" s="32" t="str">
        <f t="shared" si="5"/>
        <v/>
      </c>
      <c r="M118" s="33" t="str">
        <f t="shared" ca="1" si="6"/>
        <v/>
      </c>
      <c r="N118" s="34" t="str">
        <f t="shared" si="7"/>
        <v/>
      </c>
      <c r="O118" s="23"/>
      <c r="P118" s="23"/>
    </row>
    <row r="119" spans="1:16" ht="21.75" customHeight="1" x14ac:dyDescent="0.25">
      <c r="A119" s="24"/>
      <c r="B119" s="24"/>
      <c r="C119" s="24"/>
      <c r="D119" s="34" t="str">
        <f>IF(C119="","",IFERROR(VLOOKUP(C119,CRM!$B$8:$O$1007,2,FALSE()),"Revisar ID"))</f>
        <v/>
      </c>
      <c r="E119" s="23"/>
      <c r="F119" s="37" t="str">
        <f t="shared" si="4"/>
        <v/>
      </c>
      <c r="G119" s="28"/>
      <c r="H119" s="29"/>
      <c r="I119" s="28"/>
      <c r="J119" s="29"/>
      <c r="K119" s="28"/>
      <c r="L119" s="32" t="str">
        <f t="shared" si="5"/>
        <v/>
      </c>
      <c r="M119" s="33" t="str">
        <f t="shared" ca="1" si="6"/>
        <v/>
      </c>
      <c r="N119" s="34" t="str">
        <f t="shared" si="7"/>
        <v/>
      </c>
      <c r="O119" s="23"/>
      <c r="P119" s="23"/>
    </row>
    <row r="120" spans="1:16" ht="21.75" customHeight="1" x14ac:dyDescent="0.25">
      <c r="A120" s="24"/>
      <c r="B120" s="24"/>
      <c r="C120" s="24"/>
      <c r="D120" s="34" t="str">
        <f>IF(C120="","",IFERROR(VLOOKUP(C120,CRM!$B$8:$O$1007,2,FALSE()),"Revisar ID"))</f>
        <v/>
      </c>
      <c r="E120" s="23"/>
      <c r="F120" s="37" t="str">
        <f t="shared" si="4"/>
        <v/>
      </c>
      <c r="G120" s="28"/>
      <c r="H120" s="29"/>
      <c r="I120" s="28"/>
      <c r="J120" s="29"/>
      <c r="K120" s="28"/>
      <c r="L120" s="32" t="str">
        <f t="shared" si="5"/>
        <v/>
      </c>
      <c r="M120" s="33" t="str">
        <f t="shared" ca="1" si="6"/>
        <v/>
      </c>
      <c r="N120" s="34" t="str">
        <f t="shared" si="7"/>
        <v/>
      </c>
      <c r="O120" s="23"/>
      <c r="P120" s="23"/>
    </row>
    <row r="121" spans="1:16" ht="21.75" customHeight="1" x14ac:dyDescent="0.25">
      <c r="A121" s="24"/>
      <c r="B121" s="24"/>
      <c r="C121" s="24"/>
      <c r="D121" s="34" t="str">
        <f>IF(C121="","",IFERROR(VLOOKUP(C121,CRM!$B$8:$O$1007,2,FALSE()),"Revisar ID"))</f>
        <v/>
      </c>
      <c r="E121" s="23"/>
      <c r="F121" s="37" t="str">
        <f t="shared" si="4"/>
        <v/>
      </c>
      <c r="G121" s="28"/>
      <c r="H121" s="29"/>
      <c r="I121" s="28"/>
      <c r="J121" s="29"/>
      <c r="K121" s="28"/>
      <c r="L121" s="32" t="str">
        <f t="shared" si="5"/>
        <v/>
      </c>
      <c r="M121" s="33" t="str">
        <f t="shared" ca="1" si="6"/>
        <v/>
      </c>
      <c r="N121" s="34" t="str">
        <f t="shared" si="7"/>
        <v/>
      </c>
      <c r="O121" s="23"/>
      <c r="P121" s="23"/>
    </row>
    <row r="122" spans="1:16" ht="21.75" customHeight="1" x14ac:dyDescent="0.25">
      <c r="A122" s="24"/>
      <c r="B122" s="24"/>
      <c r="C122" s="24"/>
      <c r="D122" s="34" t="str">
        <f>IF(C122="","",IFERROR(VLOOKUP(C122,CRM!$B$8:$O$1007,2,FALSE()),"Revisar ID"))</f>
        <v/>
      </c>
      <c r="E122" s="23"/>
      <c r="F122" s="37" t="str">
        <f t="shared" si="4"/>
        <v/>
      </c>
      <c r="G122" s="28"/>
      <c r="H122" s="29"/>
      <c r="I122" s="28"/>
      <c r="J122" s="29"/>
      <c r="K122" s="28"/>
      <c r="L122" s="32" t="str">
        <f t="shared" si="5"/>
        <v/>
      </c>
      <c r="M122" s="33" t="str">
        <f t="shared" ca="1" si="6"/>
        <v/>
      </c>
      <c r="N122" s="34" t="str">
        <f t="shared" si="7"/>
        <v/>
      </c>
      <c r="O122" s="23"/>
      <c r="P122" s="23"/>
    </row>
    <row r="123" spans="1:16" ht="21.75" customHeight="1" x14ac:dyDescent="0.25">
      <c r="A123" s="24"/>
      <c r="B123" s="24"/>
      <c r="C123" s="24"/>
      <c r="D123" s="34" t="str">
        <f>IF(C123="","",IFERROR(VLOOKUP(C123,CRM!$B$8:$O$1007,2,FALSE()),"Revisar ID"))</f>
        <v/>
      </c>
      <c r="E123" s="23"/>
      <c r="F123" s="37" t="str">
        <f t="shared" si="4"/>
        <v/>
      </c>
      <c r="G123" s="28"/>
      <c r="H123" s="29"/>
      <c r="I123" s="28"/>
      <c r="J123" s="29"/>
      <c r="K123" s="28"/>
      <c r="L123" s="32" t="str">
        <f t="shared" si="5"/>
        <v/>
      </c>
      <c r="M123" s="33" t="str">
        <f t="shared" ca="1" si="6"/>
        <v/>
      </c>
      <c r="N123" s="34" t="str">
        <f t="shared" si="7"/>
        <v/>
      </c>
      <c r="O123" s="23"/>
      <c r="P123" s="23"/>
    </row>
    <row r="124" spans="1:16" ht="21.75" customHeight="1" x14ac:dyDescent="0.25">
      <c r="A124" s="24"/>
      <c r="B124" s="24"/>
      <c r="C124" s="24"/>
      <c r="D124" s="34" t="str">
        <f>IF(C124="","",IFERROR(VLOOKUP(C124,CRM!$B$8:$O$1007,2,FALSE()),"Revisar ID"))</f>
        <v/>
      </c>
      <c r="E124" s="23"/>
      <c r="F124" s="37" t="str">
        <f t="shared" si="4"/>
        <v/>
      </c>
      <c r="G124" s="28"/>
      <c r="H124" s="29"/>
      <c r="I124" s="28"/>
      <c r="J124" s="29"/>
      <c r="K124" s="28"/>
      <c r="L124" s="32" t="str">
        <f t="shared" si="5"/>
        <v/>
      </c>
      <c r="M124" s="33" t="str">
        <f t="shared" ca="1" si="6"/>
        <v/>
      </c>
      <c r="N124" s="34" t="str">
        <f t="shared" si="7"/>
        <v/>
      </c>
      <c r="O124" s="23"/>
      <c r="P124" s="23"/>
    </row>
    <row r="125" spans="1:16" ht="21.75" customHeight="1" x14ac:dyDescent="0.25">
      <c r="A125" s="24"/>
      <c r="B125" s="24"/>
      <c r="C125" s="24"/>
      <c r="D125" s="34" t="str">
        <f>IF(C125="","",IFERROR(VLOOKUP(C125,CRM!$B$8:$O$1007,2,FALSE()),"Revisar ID"))</f>
        <v/>
      </c>
      <c r="E125" s="23"/>
      <c r="F125" s="37" t="str">
        <f t="shared" si="4"/>
        <v/>
      </c>
      <c r="G125" s="28"/>
      <c r="H125" s="29"/>
      <c r="I125" s="28"/>
      <c r="J125" s="29"/>
      <c r="K125" s="28"/>
      <c r="L125" s="32" t="str">
        <f t="shared" si="5"/>
        <v/>
      </c>
      <c r="M125" s="33" t="str">
        <f t="shared" ca="1" si="6"/>
        <v/>
      </c>
      <c r="N125" s="34" t="str">
        <f t="shared" si="7"/>
        <v/>
      </c>
      <c r="O125" s="23"/>
      <c r="P125" s="23"/>
    </row>
    <row r="126" spans="1:16" ht="21.75" customHeight="1" x14ac:dyDescent="0.25">
      <c r="A126" s="24"/>
      <c r="B126" s="24"/>
      <c r="C126" s="24"/>
      <c r="D126" s="34" t="str">
        <f>IF(C126="","",IFERROR(VLOOKUP(C126,CRM!$B$8:$O$1007,2,FALSE()),"Revisar ID"))</f>
        <v/>
      </c>
      <c r="E126" s="23"/>
      <c r="F126" s="37" t="str">
        <f t="shared" si="4"/>
        <v/>
      </c>
      <c r="G126" s="28"/>
      <c r="H126" s="29"/>
      <c r="I126" s="28"/>
      <c r="J126" s="29"/>
      <c r="K126" s="28"/>
      <c r="L126" s="32" t="str">
        <f t="shared" si="5"/>
        <v/>
      </c>
      <c r="M126" s="33" t="str">
        <f t="shared" ca="1" si="6"/>
        <v/>
      </c>
      <c r="N126" s="34" t="str">
        <f t="shared" si="7"/>
        <v/>
      </c>
      <c r="O126" s="23"/>
      <c r="P126" s="23"/>
    </row>
    <row r="127" spans="1:16" ht="21.75" customHeight="1" x14ac:dyDescent="0.25">
      <c r="A127" s="24"/>
      <c r="B127" s="24"/>
      <c r="C127" s="24"/>
      <c r="D127" s="34" t="str">
        <f>IF(C127="","",IFERROR(VLOOKUP(C127,CRM!$B$8:$O$1007,2,FALSE()),"Revisar ID"))</f>
        <v/>
      </c>
      <c r="E127" s="23"/>
      <c r="F127" s="37" t="str">
        <f t="shared" si="4"/>
        <v/>
      </c>
      <c r="G127" s="28"/>
      <c r="H127" s="29"/>
      <c r="I127" s="28"/>
      <c r="J127" s="29"/>
      <c r="K127" s="28"/>
      <c r="L127" s="32" t="str">
        <f t="shared" si="5"/>
        <v/>
      </c>
      <c r="M127" s="33" t="str">
        <f t="shared" ca="1" si="6"/>
        <v/>
      </c>
      <c r="N127" s="34" t="str">
        <f t="shared" si="7"/>
        <v/>
      </c>
      <c r="O127" s="23"/>
      <c r="P127" s="23"/>
    </row>
    <row r="128" spans="1:16" ht="21.75" customHeight="1" x14ac:dyDescent="0.25">
      <c r="A128" s="24"/>
      <c r="B128" s="24"/>
      <c r="C128" s="24"/>
      <c r="D128" s="34" t="str">
        <f>IF(C128="","",IFERROR(VLOOKUP(C128,CRM!$B$8:$O$1007,2,FALSE()),"Revisar ID"))</f>
        <v/>
      </c>
      <c r="E128" s="23"/>
      <c r="F128" s="37" t="str">
        <f t="shared" si="4"/>
        <v/>
      </c>
      <c r="G128" s="28"/>
      <c r="H128" s="29"/>
      <c r="I128" s="28"/>
      <c r="J128" s="29"/>
      <c r="K128" s="28"/>
      <c r="L128" s="32" t="str">
        <f t="shared" si="5"/>
        <v/>
      </c>
      <c r="M128" s="33" t="str">
        <f t="shared" ca="1" si="6"/>
        <v/>
      </c>
      <c r="N128" s="34" t="str">
        <f t="shared" si="7"/>
        <v/>
      </c>
      <c r="O128" s="23"/>
      <c r="P128" s="23"/>
    </row>
    <row r="129" spans="1:16" ht="21.75" customHeight="1" x14ac:dyDescent="0.25">
      <c r="A129" s="24"/>
      <c r="B129" s="24"/>
      <c r="C129" s="24"/>
      <c r="D129" s="34" t="str">
        <f>IF(C129="","",IFERROR(VLOOKUP(C129,CRM!$B$8:$O$1007,2,FALSE()),"Revisar ID"))</f>
        <v/>
      </c>
      <c r="E129" s="23"/>
      <c r="F129" s="37" t="str">
        <f t="shared" si="4"/>
        <v/>
      </c>
      <c r="G129" s="28"/>
      <c r="H129" s="29"/>
      <c r="I129" s="28"/>
      <c r="J129" s="29"/>
      <c r="K129" s="28"/>
      <c r="L129" s="32" t="str">
        <f t="shared" si="5"/>
        <v/>
      </c>
      <c r="M129" s="33" t="str">
        <f t="shared" ca="1" si="6"/>
        <v/>
      </c>
      <c r="N129" s="34" t="str">
        <f t="shared" si="7"/>
        <v/>
      </c>
      <c r="O129" s="23"/>
      <c r="P129" s="23"/>
    </row>
    <row r="130" spans="1:16" ht="21.75" customHeight="1" x14ac:dyDescent="0.25">
      <c r="A130" s="24"/>
      <c r="B130" s="24"/>
      <c r="C130" s="24"/>
      <c r="D130" s="34" t="str">
        <f>IF(C130="","",IFERROR(VLOOKUP(C130,CRM!$B$8:$O$1007,2,FALSE()),"Revisar ID"))</f>
        <v/>
      </c>
      <c r="E130" s="23"/>
      <c r="F130" s="37" t="str">
        <f t="shared" si="4"/>
        <v/>
      </c>
      <c r="G130" s="28"/>
      <c r="H130" s="29"/>
      <c r="I130" s="28"/>
      <c r="J130" s="29"/>
      <c r="K130" s="28"/>
      <c r="L130" s="32" t="str">
        <f t="shared" si="5"/>
        <v/>
      </c>
      <c r="M130" s="33" t="str">
        <f t="shared" ca="1" si="6"/>
        <v/>
      </c>
      <c r="N130" s="34" t="str">
        <f t="shared" si="7"/>
        <v/>
      </c>
      <c r="O130" s="23"/>
      <c r="P130" s="23"/>
    </row>
    <row r="131" spans="1:16" ht="21.75" customHeight="1" x14ac:dyDescent="0.25">
      <c r="A131" s="24"/>
      <c r="B131" s="24"/>
      <c r="C131" s="24"/>
      <c r="D131" s="34" t="str">
        <f>IF(C131="","",IFERROR(VLOOKUP(C131,CRM!$B$8:$O$1007,2,FALSE()),"Revisar ID"))</f>
        <v/>
      </c>
      <c r="E131" s="23"/>
      <c r="F131" s="37" t="str">
        <f t="shared" si="4"/>
        <v/>
      </c>
      <c r="G131" s="28"/>
      <c r="H131" s="29"/>
      <c r="I131" s="28"/>
      <c r="J131" s="29"/>
      <c r="K131" s="28"/>
      <c r="L131" s="32" t="str">
        <f t="shared" si="5"/>
        <v/>
      </c>
      <c r="M131" s="33" t="str">
        <f t="shared" ca="1" si="6"/>
        <v/>
      </c>
      <c r="N131" s="34" t="str">
        <f t="shared" si="7"/>
        <v/>
      </c>
      <c r="O131" s="23"/>
      <c r="P131" s="23"/>
    </row>
    <row r="132" spans="1:16" ht="21.75" customHeight="1" x14ac:dyDescent="0.25">
      <c r="A132" s="24"/>
      <c r="B132" s="24"/>
      <c r="C132" s="24"/>
      <c r="D132" s="34" t="str">
        <f>IF(C132="","",IFERROR(VLOOKUP(C132,CRM!$B$8:$O$1007,2,FALSE()),"Revisar ID"))</f>
        <v/>
      </c>
      <c r="E132" s="23"/>
      <c r="F132" s="37" t="str">
        <f t="shared" si="4"/>
        <v/>
      </c>
      <c r="G132" s="28"/>
      <c r="H132" s="29"/>
      <c r="I132" s="28"/>
      <c r="J132" s="29"/>
      <c r="K132" s="28"/>
      <c r="L132" s="32" t="str">
        <f t="shared" si="5"/>
        <v/>
      </c>
      <c r="M132" s="33" t="str">
        <f t="shared" ca="1" si="6"/>
        <v/>
      </c>
      <c r="N132" s="34" t="str">
        <f t="shared" si="7"/>
        <v/>
      </c>
      <c r="O132" s="23"/>
      <c r="P132" s="23"/>
    </row>
    <row r="133" spans="1:16" ht="21.75" customHeight="1" x14ac:dyDescent="0.25">
      <c r="A133" s="24"/>
      <c r="B133" s="24"/>
      <c r="C133" s="24"/>
      <c r="D133" s="34" t="str">
        <f>IF(C133="","",IFERROR(VLOOKUP(C133,CRM!$B$8:$O$1007,2,FALSE()),"Revisar ID"))</f>
        <v/>
      </c>
      <c r="E133" s="23"/>
      <c r="F133" s="37" t="str">
        <f t="shared" si="4"/>
        <v/>
      </c>
      <c r="G133" s="28"/>
      <c r="H133" s="29"/>
      <c r="I133" s="28"/>
      <c r="J133" s="29"/>
      <c r="K133" s="28"/>
      <c r="L133" s="32" t="str">
        <f t="shared" si="5"/>
        <v/>
      </c>
      <c r="M133" s="33" t="str">
        <f t="shared" ca="1" si="6"/>
        <v/>
      </c>
      <c r="N133" s="34" t="str">
        <f t="shared" si="7"/>
        <v/>
      </c>
      <c r="O133" s="23"/>
      <c r="P133" s="23"/>
    </row>
    <row r="134" spans="1:16" ht="21.75" customHeight="1" x14ac:dyDescent="0.25">
      <c r="A134" s="24"/>
      <c r="B134" s="24"/>
      <c r="C134" s="24"/>
      <c r="D134" s="34" t="str">
        <f>IF(C134="","",IFERROR(VLOOKUP(C134,CRM!$B$8:$O$1007,2,FALSE()),"Revisar ID"))</f>
        <v/>
      </c>
      <c r="E134" s="23"/>
      <c r="F134" s="37" t="str">
        <f t="shared" si="4"/>
        <v/>
      </c>
      <c r="G134" s="28"/>
      <c r="H134" s="29"/>
      <c r="I134" s="28"/>
      <c r="J134" s="29"/>
      <c r="K134" s="28"/>
      <c r="L134" s="32" t="str">
        <f t="shared" si="5"/>
        <v/>
      </c>
      <c r="M134" s="33" t="str">
        <f t="shared" ca="1" si="6"/>
        <v/>
      </c>
      <c r="N134" s="34" t="str">
        <f t="shared" si="7"/>
        <v/>
      </c>
      <c r="O134" s="23"/>
      <c r="P134" s="23"/>
    </row>
    <row r="135" spans="1:16" ht="21.75" customHeight="1" x14ac:dyDescent="0.25">
      <c r="A135" s="24"/>
      <c r="B135" s="24"/>
      <c r="C135" s="24"/>
      <c r="D135" s="34" t="str">
        <f>IF(C135="","",IFERROR(VLOOKUP(C135,CRM!$B$8:$O$1007,2,FALSE()),"Revisar ID"))</f>
        <v/>
      </c>
      <c r="E135" s="23"/>
      <c r="F135" s="37" t="str">
        <f t="shared" si="4"/>
        <v/>
      </c>
      <c r="G135" s="28"/>
      <c r="H135" s="29"/>
      <c r="I135" s="28"/>
      <c r="J135" s="29"/>
      <c r="K135" s="28"/>
      <c r="L135" s="32" t="str">
        <f t="shared" si="5"/>
        <v/>
      </c>
      <c r="M135" s="33" t="str">
        <f t="shared" ca="1" si="6"/>
        <v/>
      </c>
      <c r="N135" s="34" t="str">
        <f t="shared" si="7"/>
        <v/>
      </c>
      <c r="O135" s="23"/>
      <c r="P135" s="23"/>
    </row>
    <row r="136" spans="1:16" ht="21.75" customHeight="1" x14ac:dyDescent="0.25">
      <c r="A136" s="24"/>
      <c r="B136" s="24"/>
      <c r="C136" s="24"/>
      <c r="D136" s="34" t="str">
        <f>IF(C136="","",IFERROR(VLOOKUP(C136,CRM!$B$8:$O$1007,2,FALSE()),"Revisar ID"))</f>
        <v/>
      </c>
      <c r="E136" s="23"/>
      <c r="F136" s="37" t="str">
        <f t="shared" si="4"/>
        <v/>
      </c>
      <c r="G136" s="28"/>
      <c r="H136" s="29"/>
      <c r="I136" s="28"/>
      <c r="J136" s="29"/>
      <c r="K136" s="28"/>
      <c r="L136" s="32" t="str">
        <f t="shared" si="5"/>
        <v/>
      </c>
      <c r="M136" s="33" t="str">
        <f t="shared" ca="1" si="6"/>
        <v/>
      </c>
      <c r="N136" s="34" t="str">
        <f t="shared" si="7"/>
        <v/>
      </c>
      <c r="O136" s="23"/>
      <c r="P136" s="23"/>
    </row>
    <row r="137" spans="1:16" ht="21.75" customHeight="1" x14ac:dyDescent="0.25">
      <c r="A137" s="24"/>
      <c r="B137" s="24"/>
      <c r="C137" s="24"/>
      <c r="D137" s="34" t="str">
        <f>IF(C137="","",IFERROR(VLOOKUP(C137,CRM!$B$8:$O$1007,2,FALSE()),"Revisar ID"))</f>
        <v/>
      </c>
      <c r="E137" s="23"/>
      <c r="F137" s="37" t="str">
        <f t="shared" ref="F137:F200" si="8">IF(B137="","",B137+IF(E137="Contado",0,IF(E137="7 días",7,IF(E137="15 días",15,IF(E137="30 días",30,IF(E137="45 días",45,IF(E137="60 días",60,0)))))))</f>
        <v/>
      </c>
      <c r="G137" s="28"/>
      <c r="H137" s="29"/>
      <c r="I137" s="28"/>
      <c r="J137" s="29"/>
      <c r="K137" s="28"/>
      <c r="L137" s="32" t="str">
        <f t="shared" ref="L137:L200" si="9">IF(G137="","",MAX(0,G137-SUM(I137,K137)))</f>
        <v/>
      </c>
      <c r="M137" s="33" t="str">
        <f t="shared" ref="M137:M200" ca="1" si="10">IF(G137="","",IF(L137=0,0,MAX(0,TODAY()-F137)))</f>
        <v/>
      </c>
      <c r="N137" s="34" t="str">
        <f t="shared" ref="N137:N200" si="11">IF(G137="","",IF(L137=0,"Pagada",IF(M137&gt;0,"Vencida",IF(SUM(I137,K137)&gt;0,"Parcial","Pendiente"))))</f>
        <v/>
      </c>
      <c r="O137" s="23"/>
      <c r="P137" s="23"/>
    </row>
    <row r="138" spans="1:16" ht="21.75" customHeight="1" x14ac:dyDescent="0.25">
      <c r="A138" s="24"/>
      <c r="B138" s="24"/>
      <c r="C138" s="24"/>
      <c r="D138" s="34" t="str">
        <f>IF(C138="","",IFERROR(VLOOKUP(C138,CRM!$B$8:$O$1007,2,FALSE()),"Revisar ID"))</f>
        <v/>
      </c>
      <c r="E138" s="23"/>
      <c r="F138" s="37" t="str">
        <f t="shared" si="8"/>
        <v/>
      </c>
      <c r="G138" s="28"/>
      <c r="H138" s="29"/>
      <c r="I138" s="28"/>
      <c r="J138" s="29"/>
      <c r="K138" s="28"/>
      <c r="L138" s="32" t="str">
        <f t="shared" si="9"/>
        <v/>
      </c>
      <c r="M138" s="33" t="str">
        <f t="shared" ca="1" si="10"/>
        <v/>
      </c>
      <c r="N138" s="34" t="str">
        <f t="shared" si="11"/>
        <v/>
      </c>
      <c r="O138" s="23"/>
      <c r="P138" s="23"/>
    </row>
    <row r="139" spans="1:16" ht="21.75" customHeight="1" x14ac:dyDescent="0.25">
      <c r="A139" s="24"/>
      <c r="B139" s="24"/>
      <c r="C139" s="24"/>
      <c r="D139" s="34" t="str">
        <f>IF(C139="","",IFERROR(VLOOKUP(C139,CRM!$B$8:$O$1007,2,FALSE()),"Revisar ID"))</f>
        <v/>
      </c>
      <c r="E139" s="23"/>
      <c r="F139" s="37" t="str">
        <f t="shared" si="8"/>
        <v/>
      </c>
      <c r="G139" s="28"/>
      <c r="H139" s="29"/>
      <c r="I139" s="28"/>
      <c r="J139" s="29"/>
      <c r="K139" s="28"/>
      <c r="L139" s="32" t="str">
        <f t="shared" si="9"/>
        <v/>
      </c>
      <c r="M139" s="33" t="str">
        <f t="shared" ca="1" si="10"/>
        <v/>
      </c>
      <c r="N139" s="34" t="str">
        <f t="shared" si="11"/>
        <v/>
      </c>
      <c r="O139" s="23"/>
      <c r="P139" s="23"/>
    </row>
    <row r="140" spans="1:16" ht="21.75" customHeight="1" x14ac:dyDescent="0.25">
      <c r="A140" s="24"/>
      <c r="B140" s="24"/>
      <c r="C140" s="24"/>
      <c r="D140" s="34" t="str">
        <f>IF(C140="","",IFERROR(VLOOKUP(C140,CRM!$B$8:$O$1007,2,FALSE()),"Revisar ID"))</f>
        <v/>
      </c>
      <c r="E140" s="23"/>
      <c r="F140" s="37" t="str">
        <f t="shared" si="8"/>
        <v/>
      </c>
      <c r="G140" s="28"/>
      <c r="H140" s="29"/>
      <c r="I140" s="28"/>
      <c r="J140" s="29"/>
      <c r="K140" s="28"/>
      <c r="L140" s="32" t="str">
        <f t="shared" si="9"/>
        <v/>
      </c>
      <c r="M140" s="33" t="str">
        <f t="shared" ca="1" si="10"/>
        <v/>
      </c>
      <c r="N140" s="34" t="str">
        <f t="shared" si="11"/>
        <v/>
      </c>
      <c r="O140" s="23"/>
      <c r="P140" s="23"/>
    </row>
    <row r="141" spans="1:16" ht="21.75" customHeight="1" x14ac:dyDescent="0.25">
      <c r="A141" s="24"/>
      <c r="B141" s="24"/>
      <c r="C141" s="24"/>
      <c r="D141" s="34" t="str">
        <f>IF(C141="","",IFERROR(VLOOKUP(C141,CRM!$B$8:$O$1007,2,FALSE()),"Revisar ID"))</f>
        <v/>
      </c>
      <c r="E141" s="23"/>
      <c r="F141" s="37" t="str">
        <f t="shared" si="8"/>
        <v/>
      </c>
      <c r="G141" s="28"/>
      <c r="H141" s="29"/>
      <c r="I141" s="28"/>
      <c r="J141" s="29"/>
      <c r="K141" s="28"/>
      <c r="L141" s="32" t="str">
        <f t="shared" si="9"/>
        <v/>
      </c>
      <c r="M141" s="33" t="str">
        <f t="shared" ca="1" si="10"/>
        <v/>
      </c>
      <c r="N141" s="34" t="str">
        <f t="shared" si="11"/>
        <v/>
      </c>
      <c r="O141" s="23"/>
      <c r="P141" s="23"/>
    </row>
    <row r="142" spans="1:16" ht="21.75" customHeight="1" x14ac:dyDescent="0.25">
      <c r="A142" s="24"/>
      <c r="B142" s="24"/>
      <c r="C142" s="24"/>
      <c r="D142" s="34" t="str">
        <f>IF(C142="","",IFERROR(VLOOKUP(C142,CRM!$B$8:$O$1007,2,FALSE()),"Revisar ID"))</f>
        <v/>
      </c>
      <c r="E142" s="23"/>
      <c r="F142" s="37" t="str">
        <f t="shared" si="8"/>
        <v/>
      </c>
      <c r="G142" s="28"/>
      <c r="H142" s="29"/>
      <c r="I142" s="28"/>
      <c r="J142" s="29"/>
      <c r="K142" s="28"/>
      <c r="L142" s="32" t="str">
        <f t="shared" si="9"/>
        <v/>
      </c>
      <c r="M142" s="33" t="str">
        <f t="shared" ca="1" si="10"/>
        <v/>
      </c>
      <c r="N142" s="34" t="str">
        <f t="shared" si="11"/>
        <v/>
      </c>
      <c r="O142" s="23"/>
      <c r="P142" s="23"/>
    </row>
    <row r="143" spans="1:16" ht="21.75" customHeight="1" x14ac:dyDescent="0.25">
      <c r="A143" s="24"/>
      <c r="B143" s="24"/>
      <c r="C143" s="24"/>
      <c r="D143" s="34" t="str">
        <f>IF(C143="","",IFERROR(VLOOKUP(C143,CRM!$B$8:$O$1007,2,FALSE()),"Revisar ID"))</f>
        <v/>
      </c>
      <c r="E143" s="23"/>
      <c r="F143" s="37" t="str">
        <f t="shared" si="8"/>
        <v/>
      </c>
      <c r="G143" s="28"/>
      <c r="H143" s="29"/>
      <c r="I143" s="28"/>
      <c r="J143" s="29"/>
      <c r="K143" s="28"/>
      <c r="L143" s="32" t="str">
        <f t="shared" si="9"/>
        <v/>
      </c>
      <c r="M143" s="33" t="str">
        <f t="shared" ca="1" si="10"/>
        <v/>
      </c>
      <c r="N143" s="34" t="str">
        <f t="shared" si="11"/>
        <v/>
      </c>
      <c r="O143" s="23"/>
      <c r="P143" s="23"/>
    </row>
    <row r="144" spans="1:16" ht="21.75" customHeight="1" x14ac:dyDescent="0.25">
      <c r="A144" s="24"/>
      <c r="B144" s="24"/>
      <c r="C144" s="24"/>
      <c r="D144" s="34" t="str">
        <f>IF(C144="","",IFERROR(VLOOKUP(C144,CRM!$B$8:$O$1007,2,FALSE()),"Revisar ID"))</f>
        <v/>
      </c>
      <c r="E144" s="23"/>
      <c r="F144" s="37" t="str">
        <f t="shared" si="8"/>
        <v/>
      </c>
      <c r="G144" s="28"/>
      <c r="H144" s="29"/>
      <c r="I144" s="28"/>
      <c r="J144" s="29"/>
      <c r="K144" s="28"/>
      <c r="L144" s="32" t="str">
        <f t="shared" si="9"/>
        <v/>
      </c>
      <c r="M144" s="33" t="str">
        <f t="shared" ca="1" si="10"/>
        <v/>
      </c>
      <c r="N144" s="34" t="str">
        <f t="shared" si="11"/>
        <v/>
      </c>
      <c r="O144" s="23"/>
      <c r="P144" s="23"/>
    </row>
    <row r="145" spans="1:16" ht="21.75" customHeight="1" x14ac:dyDescent="0.25">
      <c r="A145" s="24"/>
      <c r="B145" s="24"/>
      <c r="C145" s="24"/>
      <c r="D145" s="34" t="str">
        <f>IF(C145="","",IFERROR(VLOOKUP(C145,CRM!$B$8:$O$1007,2,FALSE()),"Revisar ID"))</f>
        <v/>
      </c>
      <c r="E145" s="23"/>
      <c r="F145" s="37" t="str">
        <f t="shared" si="8"/>
        <v/>
      </c>
      <c r="G145" s="28"/>
      <c r="H145" s="29"/>
      <c r="I145" s="28"/>
      <c r="J145" s="29"/>
      <c r="K145" s="28"/>
      <c r="L145" s="32" t="str">
        <f t="shared" si="9"/>
        <v/>
      </c>
      <c r="M145" s="33" t="str">
        <f t="shared" ca="1" si="10"/>
        <v/>
      </c>
      <c r="N145" s="34" t="str">
        <f t="shared" si="11"/>
        <v/>
      </c>
      <c r="O145" s="23"/>
      <c r="P145" s="23"/>
    </row>
    <row r="146" spans="1:16" ht="21.75" customHeight="1" x14ac:dyDescent="0.25">
      <c r="A146" s="24"/>
      <c r="B146" s="24"/>
      <c r="C146" s="24"/>
      <c r="D146" s="34" t="str">
        <f>IF(C146="","",IFERROR(VLOOKUP(C146,CRM!$B$8:$O$1007,2,FALSE()),"Revisar ID"))</f>
        <v/>
      </c>
      <c r="E146" s="23"/>
      <c r="F146" s="37" t="str">
        <f t="shared" si="8"/>
        <v/>
      </c>
      <c r="G146" s="28"/>
      <c r="H146" s="29"/>
      <c r="I146" s="28"/>
      <c r="J146" s="29"/>
      <c r="K146" s="28"/>
      <c r="L146" s="32" t="str">
        <f t="shared" si="9"/>
        <v/>
      </c>
      <c r="M146" s="33" t="str">
        <f t="shared" ca="1" si="10"/>
        <v/>
      </c>
      <c r="N146" s="34" t="str">
        <f t="shared" si="11"/>
        <v/>
      </c>
      <c r="O146" s="23"/>
      <c r="P146" s="23"/>
    </row>
    <row r="147" spans="1:16" ht="21.75" customHeight="1" x14ac:dyDescent="0.25">
      <c r="A147" s="24"/>
      <c r="B147" s="24"/>
      <c r="C147" s="24"/>
      <c r="D147" s="34" t="str">
        <f>IF(C147="","",IFERROR(VLOOKUP(C147,CRM!$B$8:$O$1007,2,FALSE()),"Revisar ID"))</f>
        <v/>
      </c>
      <c r="E147" s="23"/>
      <c r="F147" s="37" t="str">
        <f t="shared" si="8"/>
        <v/>
      </c>
      <c r="G147" s="28"/>
      <c r="H147" s="29"/>
      <c r="I147" s="28"/>
      <c r="J147" s="29"/>
      <c r="K147" s="28"/>
      <c r="L147" s="32" t="str">
        <f t="shared" si="9"/>
        <v/>
      </c>
      <c r="M147" s="33" t="str">
        <f t="shared" ca="1" si="10"/>
        <v/>
      </c>
      <c r="N147" s="34" t="str">
        <f t="shared" si="11"/>
        <v/>
      </c>
      <c r="O147" s="23"/>
      <c r="P147" s="23"/>
    </row>
    <row r="148" spans="1:16" ht="21.75" customHeight="1" x14ac:dyDescent="0.25">
      <c r="A148" s="24"/>
      <c r="B148" s="24"/>
      <c r="C148" s="24"/>
      <c r="D148" s="34" t="str">
        <f>IF(C148="","",IFERROR(VLOOKUP(C148,CRM!$B$8:$O$1007,2,FALSE()),"Revisar ID"))</f>
        <v/>
      </c>
      <c r="E148" s="23"/>
      <c r="F148" s="37" t="str">
        <f t="shared" si="8"/>
        <v/>
      </c>
      <c r="G148" s="28"/>
      <c r="H148" s="29"/>
      <c r="I148" s="28"/>
      <c r="J148" s="29"/>
      <c r="K148" s="28"/>
      <c r="L148" s="32" t="str">
        <f t="shared" si="9"/>
        <v/>
      </c>
      <c r="M148" s="33" t="str">
        <f t="shared" ca="1" si="10"/>
        <v/>
      </c>
      <c r="N148" s="34" t="str">
        <f t="shared" si="11"/>
        <v/>
      </c>
      <c r="O148" s="23"/>
      <c r="P148" s="23"/>
    </row>
    <row r="149" spans="1:16" ht="21.75" customHeight="1" x14ac:dyDescent="0.25">
      <c r="A149" s="24"/>
      <c r="B149" s="24"/>
      <c r="C149" s="24"/>
      <c r="D149" s="34" t="str">
        <f>IF(C149="","",IFERROR(VLOOKUP(C149,CRM!$B$8:$O$1007,2,FALSE()),"Revisar ID"))</f>
        <v/>
      </c>
      <c r="E149" s="23"/>
      <c r="F149" s="37" t="str">
        <f t="shared" si="8"/>
        <v/>
      </c>
      <c r="G149" s="28"/>
      <c r="H149" s="29"/>
      <c r="I149" s="28"/>
      <c r="J149" s="29"/>
      <c r="K149" s="28"/>
      <c r="L149" s="32" t="str">
        <f t="shared" si="9"/>
        <v/>
      </c>
      <c r="M149" s="33" t="str">
        <f t="shared" ca="1" si="10"/>
        <v/>
      </c>
      <c r="N149" s="34" t="str">
        <f t="shared" si="11"/>
        <v/>
      </c>
      <c r="O149" s="23"/>
      <c r="P149" s="23"/>
    </row>
    <row r="150" spans="1:16" ht="21.75" customHeight="1" x14ac:dyDescent="0.25">
      <c r="A150" s="24"/>
      <c r="B150" s="24"/>
      <c r="C150" s="24"/>
      <c r="D150" s="34" t="str">
        <f>IF(C150="","",IFERROR(VLOOKUP(C150,CRM!$B$8:$O$1007,2,FALSE()),"Revisar ID"))</f>
        <v/>
      </c>
      <c r="E150" s="23"/>
      <c r="F150" s="37" t="str">
        <f t="shared" si="8"/>
        <v/>
      </c>
      <c r="G150" s="28"/>
      <c r="H150" s="29"/>
      <c r="I150" s="28"/>
      <c r="J150" s="29"/>
      <c r="K150" s="28"/>
      <c r="L150" s="32" t="str">
        <f t="shared" si="9"/>
        <v/>
      </c>
      <c r="M150" s="33" t="str">
        <f t="shared" ca="1" si="10"/>
        <v/>
      </c>
      <c r="N150" s="34" t="str">
        <f t="shared" si="11"/>
        <v/>
      </c>
      <c r="O150" s="23"/>
      <c r="P150" s="23"/>
    </row>
    <row r="151" spans="1:16" ht="21.75" customHeight="1" x14ac:dyDescent="0.25">
      <c r="A151" s="24"/>
      <c r="B151" s="24"/>
      <c r="C151" s="24"/>
      <c r="D151" s="34" t="str">
        <f>IF(C151="","",IFERROR(VLOOKUP(C151,CRM!$B$8:$O$1007,2,FALSE()),"Revisar ID"))</f>
        <v/>
      </c>
      <c r="E151" s="23"/>
      <c r="F151" s="37" t="str">
        <f t="shared" si="8"/>
        <v/>
      </c>
      <c r="G151" s="28"/>
      <c r="H151" s="29"/>
      <c r="I151" s="28"/>
      <c r="J151" s="29"/>
      <c r="K151" s="28"/>
      <c r="L151" s="32" t="str">
        <f t="shared" si="9"/>
        <v/>
      </c>
      <c r="M151" s="33" t="str">
        <f t="shared" ca="1" si="10"/>
        <v/>
      </c>
      <c r="N151" s="34" t="str">
        <f t="shared" si="11"/>
        <v/>
      </c>
      <c r="O151" s="23"/>
      <c r="P151" s="23"/>
    </row>
    <row r="152" spans="1:16" ht="21.75" customHeight="1" x14ac:dyDescent="0.25">
      <c r="A152" s="24"/>
      <c r="B152" s="24"/>
      <c r="C152" s="24"/>
      <c r="D152" s="34" t="str">
        <f>IF(C152="","",IFERROR(VLOOKUP(C152,CRM!$B$8:$O$1007,2,FALSE()),"Revisar ID"))</f>
        <v/>
      </c>
      <c r="E152" s="23"/>
      <c r="F152" s="37" t="str">
        <f t="shared" si="8"/>
        <v/>
      </c>
      <c r="G152" s="28"/>
      <c r="H152" s="29"/>
      <c r="I152" s="28"/>
      <c r="J152" s="29"/>
      <c r="K152" s="28"/>
      <c r="L152" s="32" t="str">
        <f t="shared" si="9"/>
        <v/>
      </c>
      <c r="M152" s="33" t="str">
        <f t="shared" ca="1" si="10"/>
        <v/>
      </c>
      <c r="N152" s="34" t="str">
        <f t="shared" si="11"/>
        <v/>
      </c>
      <c r="O152" s="23"/>
      <c r="P152" s="23"/>
    </row>
    <row r="153" spans="1:16" ht="21.75" customHeight="1" x14ac:dyDescent="0.25">
      <c r="A153" s="24"/>
      <c r="B153" s="24"/>
      <c r="C153" s="24"/>
      <c r="D153" s="34" t="str">
        <f>IF(C153="","",IFERROR(VLOOKUP(C153,CRM!$B$8:$O$1007,2,FALSE()),"Revisar ID"))</f>
        <v/>
      </c>
      <c r="E153" s="23"/>
      <c r="F153" s="37" t="str">
        <f t="shared" si="8"/>
        <v/>
      </c>
      <c r="G153" s="28"/>
      <c r="H153" s="29"/>
      <c r="I153" s="28"/>
      <c r="J153" s="29"/>
      <c r="K153" s="28"/>
      <c r="L153" s="32" t="str">
        <f t="shared" si="9"/>
        <v/>
      </c>
      <c r="M153" s="33" t="str">
        <f t="shared" ca="1" si="10"/>
        <v/>
      </c>
      <c r="N153" s="34" t="str">
        <f t="shared" si="11"/>
        <v/>
      </c>
      <c r="O153" s="23"/>
      <c r="P153" s="23"/>
    </row>
    <row r="154" spans="1:16" ht="21.75" customHeight="1" x14ac:dyDescent="0.25">
      <c r="A154" s="24"/>
      <c r="B154" s="24"/>
      <c r="C154" s="24"/>
      <c r="D154" s="34" t="str">
        <f>IF(C154="","",IFERROR(VLOOKUP(C154,CRM!$B$8:$O$1007,2,FALSE()),"Revisar ID"))</f>
        <v/>
      </c>
      <c r="E154" s="23"/>
      <c r="F154" s="37" t="str">
        <f t="shared" si="8"/>
        <v/>
      </c>
      <c r="G154" s="28"/>
      <c r="H154" s="29"/>
      <c r="I154" s="28"/>
      <c r="J154" s="29"/>
      <c r="K154" s="28"/>
      <c r="L154" s="32" t="str">
        <f t="shared" si="9"/>
        <v/>
      </c>
      <c r="M154" s="33" t="str">
        <f t="shared" ca="1" si="10"/>
        <v/>
      </c>
      <c r="N154" s="34" t="str">
        <f t="shared" si="11"/>
        <v/>
      </c>
      <c r="O154" s="23"/>
      <c r="P154" s="23"/>
    </row>
    <row r="155" spans="1:16" ht="21.75" customHeight="1" x14ac:dyDescent="0.25">
      <c r="A155" s="24"/>
      <c r="B155" s="24"/>
      <c r="C155" s="24"/>
      <c r="D155" s="34" t="str">
        <f>IF(C155="","",IFERROR(VLOOKUP(C155,CRM!$B$8:$O$1007,2,FALSE()),"Revisar ID"))</f>
        <v/>
      </c>
      <c r="E155" s="23"/>
      <c r="F155" s="37" t="str">
        <f t="shared" si="8"/>
        <v/>
      </c>
      <c r="G155" s="28"/>
      <c r="H155" s="29"/>
      <c r="I155" s="28"/>
      <c r="J155" s="29"/>
      <c r="K155" s="28"/>
      <c r="L155" s="32" t="str">
        <f t="shared" si="9"/>
        <v/>
      </c>
      <c r="M155" s="33" t="str">
        <f t="shared" ca="1" si="10"/>
        <v/>
      </c>
      <c r="N155" s="34" t="str">
        <f t="shared" si="11"/>
        <v/>
      </c>
      <c r="O155" s="23"/>
      <c r="P155" s="23"/>
    </row>
    <row r="156" spans="1:16" ht="21.75" customHeight="1" x14ac:dyDescent="0.25">
      <c r="A156" s="24"/>
      <c r="B156" s="24"/>
      <c r="C156" s="24"/>
      <c r="D156" s="34" t="str">
        <f>IF(C156="","",IFERROR(VLOOKUP(C156,CRM!$B$8:$O$1007,2,FALSE()),"Revisar ID"))</f>
        <v/>
      </c>
      <c r="E156" s="23"/>
      <c r="F156" s="37" t="str">
        <f t="shared" si="8"/>
        <v/>
      </c>
      <c r="G156" s="28"/>
      <c r="H156" s="29"/>
      <c r="I156" s="28"/>
      <c r="J156" s="29"/>
      <c r="K156" s="28"/>
      <c r="L156" s="32" t="str">
        <f t="shared" si="9"/>
        <v/>
      </c>
      <c r="M156" s="33" t="str">
        <f t="shared" ca="1" si="10"/>
        <v/>
      </c>
      <c r="N156" s="34" t="str">
        <f t="shared" si="11"/>
        <v/>
      </c>
      <c r="O156" s="23"/>
      <c r="P156" s="23"/>
    </row>
    <row r="157" spans="1:16" ht="21.75" customHeight="1" x14ac:dyDescent="0.25">
      <c r="A157" s="24"/>
      <c r="B157" s="24"/>
      <c r="C157" s="24"/>
      <c r="D157" s="34" t="str">
        <f>IF(C157="","",IFERROR(VLOOKUP(C157,CRM!$B$8:$O$1007,2,FALSE()),"Revisar ID"))</f>
        <v/>
      </c>
      <c r="E157" s="23"/>
      <c r="F157" s="37" t="str">
        <f t="shared" si="8"/>
        <v/>
      </c>
      <c r="G157" s="28"/>
      <c r="H157" s="29"/>
      <c r="I157" s="28"/>
      <c r="J157" s="29"/>
      <c r="K157" s="28"/>
      <c r="L157" s="32" t="str">
        <f t="shared" si="9"/>
        <v/>
      </c>
      <c r="M157" s="33" t="str">
        <f t="shared" ca="1" si="10"/>
        <v/>
      </c>
      <c r="N157" s="34" t="str">
        <f t="shared" si="11"/>
        <v/>
      </c>
      <c r="O157" s="23"/>
      <c r="P157" s="23"/>
    </row>
    <row r="158" spans="1:16" ht="21.75" customHeight="1" x14ac:dyDescent="0.25">
      <c r="A158" s="24"/>
      <c r="B158" s="24"/>
      <c r="C158" s="24"/>
      <c r="D158" s="34" t="str">
        <f>IF(C158="","",IFERROR(VLOOKUP(C158,CRM!$B$8:$O$1007,2,FALSE()),"Revisar ID"))</f>
        <v/>
      </c>
      <c r="E158" s="23"/>
      <c r="F158" s="37" t="str">
        <f t="shared" si="8"/>
        <v/>
      </c>
      <c r="G158" s="28"/>
      <c r="H158" s="29"/>
      <c r="I158" s="28"/>
      <c r="J158" s="29"/>
      <c r="K158" s="28"/>
      <c r="L158" s="32" t="str">
        <f t="shared" si="9"/>
        <v/>
      </c>
      <c r="M158" s="33" t="str">
        <f t="shared" ca="1" si="10"/>
        <v/>
      </c>
      <c r="N158" s="34" t="str">
        <f t="shared" si="11"/>
        <v/>
      </c>
      <c r="O158" s="23"/>
      <c r="P158" s="23"/>
    </row>
    <row r="159" spans="1:16" ht="21.75" customHeight="1" x14ac:dyDescent="0.25">
      <c r="A159" s="24"/>
      <c r="B159" s="24"/>
      <c r="C159" s="24"/>
      <c r="D159" s="34" t="str">
        <f>IF(C159="","",IFERROR(VLOOKUP(C159,CRM!$B$8:$O$1007,2,FALSE()),"Revisar ID"))</f>
        <v/>
      </c>
      <c r="E159" s="23"/>
      <c r="F159" s="37" t="str">
        <f t="shared" si="8"/>
        <v/>
      </c>
      <c r="G159" s="28"/>
      <c r="H159" s="29"/>
      <c r="I159" s="28"/>
      <c r="J159" s="29"/>
      <c r="K159" s="28"/>
      <c r="L159" s="32" t="str">
        <f t="shared" si="9"/>
        <v/>
      </c>
      <c r="M159" s="33" t="str">
        <f t="shared" ca="1" si="10"/>
        <v/>
      </c>
      <c r="N159" s="34" t="str">
        <f t="shared" si="11"/>
        <v/>
      </c>
      <c r="O159" s="23"/>
      <c r="P159" s="23"/>
    </row>
    <row r="160" spans="1:16" ht="21.75" customHeight="1" x14ac:dyDescent="0.25">
      <c r="A160" s="24"/>
      <c r="B160" s="24"/>
      <c r="C160" s="24"/>
      <c r="D160" s="34" t="str">
        <f>IF(C160="","",IFERROR(VLOOKUP(C160,CRM!$B$8:$O$1007,2,FALSE()),"Revisar ID"))</f>
        <v/>
      </c>
      <c r="E160" s="23"/>
      <c r="F160" s="37" t="str">
        <f t="shared" si="8"/>
        <v/>
      </c>
      <c r="G160" s="28"/>
      <c r="H160" s="29"/>
      <c r="I160" s="28"/>
      <c r="J160" s="29"/>
      <c r="K160" s="28"/>
      <c r="L160" s="32" t="str">
        <f t="shared" si="9"/>
        <v/>
      </c>
      <c r="M160" s="33" t="str">
        <f t="shared" ca="1" si="10"/>
        <v/>
      </c>
      <c r="N160" s="34" t="str">
        <f t="shared" si="11"/>
        <v/>
      </c>
      <c r="O160" s="23"/>
      <c r="P160" s="23"/>
    </row>
    <row r="161" spans="1:16" ht="21.75" customHeight="1" x14ac:dyDescent="0.25">
      <c r="A161" s="24"/>
      <c r="B161" s="24"/>
      <c r="C161" s="24"/>
      <c r="D161" s="34" t="str">
        <f>IF(C161="","",IFERROR(VLOOKUP(C161,CRM!$B$8:$O$1007,2,FALSE()),"Revisar ID"))</f>
        <v/>
      </c>
      <c r="E161" s="23"/>
      <c r="F161" s="37" t="str">
        <f t="shared" si="8"/>
        <v/>
      </c>
      <c r="G161" s="28"/>
      <c r="H161" s="29"/>
      <c r="I161" s="28"/>
      <c r="J161" s="29"/>
      <c r="K161" s="28"/>
      <c r="L161" s="32" t="str">
        <f t="shared" si="9"/>
        <v/>
      </c>
      <c r="M161" s="33" t="str">
        <f t="shared" ca="1" si="10"/>
        <v/>
      </c>
      <c r="N161" s="34" t="str">
        <f t="shared" si="11"/>
        <v/>
      </c>
      <c r="O161" s="23"/>
      <c r="P161" s="23"/>
    </row>
    <row r="162" spans="1:16" ht="21.75" customHeight="1" x14ac:dyDescent="0.25">
      <c r="A162" s="24"/>
      <c r="B162" s="24"/>
      <c r="C162" s="24"/>
      <c r="D162" s="34" t="str">
        <f>IF(C162="","",IFERROR(VLOOKUP(C162,CRM!$B$8:$O$1007,2,FALSE()),"Revisar ID"))</f>
        <v/>
      </c>
      <c r="E162" s="23"/>
      <c r="F162" s="37" t="str">
        <f t="shared" si="8"/>
        <v/>
      </c>
      <c r="G162" s="28"/>
      <c r="H162" s="29"/>
      <c r="I162" s="28"/>
      <c r="J162" s="29"/>
      <c r="K162" s="28"/>
      <c r="L162" s="32" t="str">
        <f t="shared" si="9"/>
        <v/>
      </c>
      <c r="M162" s="33" t="str">
        <f t="shared" ca="1" si="10"/>
        <v/>
      </c>
      <c r="N162" s="34" t="str">
        <f t="shared" si="11"/>
        <v/>
      </c>
      <c r="O162" s="23"/>
      <c r="P162" s="23"/>
    </row>
    <row r="163" spans="1:16" ht="21.75" customHeight="1" x14ac:dyDescent="0.25">
      <c r="A163" s="24"/>
      <c r="B163" s="24"/>
      <c r="C163" s="24"/>
      <c r="D163" s="34" t="str">
        <f>IF(C163="","",IFERROR(VLOOKUP(C163,CRM!$B$8:$O$1007,2,FALSE()),"Revisar ID"))</f>
        <v/>
      </c>
      <c r="E163" s="23"/>
      <c r="F163" s="37" t="str">
        <f t="shared" si="8"/>
        <v/>
      </c>
      <c r="G163" s="28"/>
      <c r="H163" s="29"/>
      <c r="I163" s="28"/>
      <c r="J163" s="29"/>
      <c r="K163" s="28"/>
      <c r="L163" s="32" t="str">
        <f t="shared" si="9"/>
        <v/>
      </c>
      <c r="M163" s="33" t="str">
        <f t="shared" ca="1" si="10"/>
        <v/>
      </c>
      <c r="N163" s="34" t="str">
        <f t="shared" si="11"/>
        <v/>
      </c>
      <c r="O163" s="23"/>
      <c r="P163" s="23"/>
    </row>
    <row r="164" spans="1:16" ht="21.75" customHeight="1" x14ac:dyDescent="0.25">
      <c r="A164" s="24"/>
      <c r="B164" s="24"/>
      <c r="C164" s="24"/>
      <c r="D164" s="34" t="str">
        <f>IF(C164="","",IFERROR(VLOOKUP(C164,CRM!$B$8:$O$1007,2,FALSE()),"Revisar ID"))</f>
        <v/>
      </c>
      <c r="E164" s="23"/>
      <c r="F164" s="37" t="str">
        <f t="shared" si="8"/>
        <v/>
      </c>
      <c r="G164" s="28"/>
      <c r="H164" s="29"/>
      <c r="I164" s="28"/>
      <c r="J164" s="29"/>
      <c r="K164" s="28"/>
      <c r="L164" s="32" t="str">
        <f t="shared" si="9"/>
        <v/>
      </c>
      <c r="M164" s="33" t="str">
        <f t="shared" ca="1" si="10"/>
        <v/>
      </c>
      <c r="N164" s="34" t="str">
        <f t="shared" si="11"/>
        <v/>
      </c>
      <c r="O164" s="23"/>
      <c r="P164" s="23"/>
    </row>
    <row r="165" spans="1:16" ht="21.75" customHeight="1" x14ac:dyDescent="0.25">
      <c r="A165" s="24"/>
      <c r="B165" s="24"/>
      <c r="C165" s="24"/>
      <c r="D165" s="34" t="str">
        <f>IF(C165="","",IFERROR(VLOOKUP(C165,CRM!$B$8:$O$1007,2,FALSE()),"Revisar ID"))</f>
        <v/>
      </c>
      <c r="E165" s="23"/>
      <c r="F165" s="37" t="str">
        <f t="shared" si="8"/>
        <v/>
      </c>
      <c r="G165" s="28"/>
      <c r="H165" s="29"/>
      <c r="I165" s="28"/>
      <c r="J165" s="29"/>
      <c r="K165" s="28"/>
      <c r="L165" s="32" t="str">
        <f t="shared" si="9"/>
        <v/>
      </c>
      <c r="M165" s="33" t="str">
        <f t="shared" ca="1" si="10"/>
        <v/>
      </c>
      <c r="N165" s="34" t="str">
        <f t="shared" si="11"/>
        <v/>
      </c>
      <c r="O165" s="23"/>
      <c r="P165" s="23"/>
    </row>
    <row r="166" spans="1:16" ht="21.75" customHeight="1" x14ac:dyDescent="0.25">
      <c r="A166" s="24"/>
      <c r="B166" s="24"/>
      <c r="C166" s="24"/>
      <c r="D166" s="34" t="str">
        <f>IF(C166="","",IFERROR(VLOOKUP(C166,CRM!$B$8:$O$1007,2,FALSE()),"Revisar ID"))</f>
        <v/>
      </c>
      <c r="E166" s="23"/>
      <c r="F166" s="37" t="str">
        <f t="shared" si="8"/>
        <v/>
      </c>
      <c r="G166" s="28"/>
      <c r="H166" s="29"/>
      <c r="I166" s="28"/>
      <c r="J166" s="29"/>
      <c r="K166" s="28"/>
      <c r="L166" s="32" t="str">
        <f t="shared" si="9"/>
        <v/>
      </c>
      <c r="M166" s="33" t="str">
        <f t="shared" ca="1" si="10"/>
        <v/>
      </c>
      <c r="N166" s="34" t="str">
        <f t="shared" si="11"/>
        <v/>
      </c>
      <c r="O166" s="23"/>
      <c r="P166" s="23"/>
    </row>
    <row r="167" spans="1:16" ht="21.75" customHeight="1" x14ac:dyDescent="0.25">
      <c r="A167" s="24"/>
      <c r="B167" s="24"/>
      <c r="C167" s="24"/>
      <c r="D167" s="34" t="str">
        <f>IF(C167="","",IFERROR(VLOOKUP(C167,CRM!$B$8:$O$1007,2,FALSE()),"Revisar ID"))</f>
        <v/>
      </c>
      <c r="E167" s="23"/>
      <c r="F167" s="37" t="str">
        <f t="shared" si="8"/>
        <v/>
      </c>
      <c r="G167" s="28"/>
      <c r="H167" s="29"/>
      <c r="I167" s="28"/>
      <c r="J167" s="29"/>
      <c r="K167" s="28"/>
      <c r="L167" s="32" t="str">
        <f t="shared" si="9"/>
        <v/>
      </c>
      <c r="M167" s="33" t="str">
        <f t="shared" ca="1" si="10"/>
        <v/>
      </c>
      <c r="N167" s="34" t="str">
        <f t="shared" si="11"/>
        <v/>
      </c>
      <c r="O167" s="23"/>
      <c r="P167" s="23"/>
    </row>
    <row r="168" spans="1:16" ht="21.75" customHeight="1" x14ac:dyDescent="0.25">
      <c r="A168" s="24"/>
      <c r="B168" s="24"/>
      <c r="C168" s="24"/>
      <c r="D168" s="34" t="str">
        <f>IF(C168="","",IFERROR(VLOOKUP(C168,CRM!$B$8:$O$1007,2,FALSE()),"Revisar ID"))</f>
        <v/>
      </c>
      <c r="E168" s="23"/>
      <c r="F168" s="37" t="str">
        <f t="shared" si="8"/>
        <v/>
      </c>
      <c r="G168" s="28"/>
      <c r="H168" s="29"/>
      <c r="I168" s="28"/>
      <c r="J168" s="29"/>
      <c r="K168" s="28"/>
      <c r="L168" s="32" t="str">
        <f t="shared" si="9"/>
        <v/>
      </c>
      <c r="M168" s="33" t="str">
        <f t="shared" ca="1" si="10"/>
        <v/>
      </c>
      <c r="N168" s="34" t="str">
        <f t="shared" si="11"/>
        <v/>
      </c>
      <c r="O168" s="23"/>
      <c r="P168" s="23"/>
    </row>
    <row r="169" spans="1:16" ht="21.75" customHeight="1" x14ac:dyDescent="0.25">
      <c r="A169" s="24"/>
      <c r="B169" s="24"/>
      <c r="C169" s="24"/>
      <c r="D169" s="34" t="str">
        <f>IF(C169="","",IFERROR(VLOOKUP(C169,CRM!$B$8:$O$1007,2,FALSE()),"Revisar ID"))</f>
        <v/>
      </c>
      <c r="E169" s="23"/>
      <c r="F169" s="37" t="str">
        <f t="shared" si="8"/>
        <v/>
      </c>
      <c r="G169" s="28"/>
      <c r="H169" s="29"/>
      <c r="I169" s="28"/>
      <c r="J169" s="29"/>
      <c r="K169" s="28"/>
      <c r="L169" s="32" t="str">
        <f t="shared" si="9"/>
        <v/>
      </c>
      <c r="M169" s="33" t="str">
        <f t="shared" ca="1" si="10"/>
        <v/>
      </c>
      <c r="N169" s="34" t="str">
        <f t="shared" si="11"/>
        <v/>
      </c>
      <c r="O169" s="23"/>
      <c r="P169" s="23"/>
    </row>
    <row r="170" spans="1:16" ht="21.75" customHeight="1" x14ac:dyDescent="0.25">
      <c r="A170" s="24"/>
      <c r="B170" s="24"/>
      <c r="C170" s="24"/>
      <c r="D170" s="34" t="str">
        <f>IF(C170="","",IFERROR(VLOOKUP(C170,CRM!$B$8:$O$1007,2,FALSE()),"Revisar ID"))</f>
        <v/>
      </c>
      <c r="E170" s="23"/>
      <c r="F170" s="37" t="str">
        <f t="shared" si="8"/>
        <v/>
      </c>
      <c r="G170" s="28"/>
      <c r="H170" s="29"/>
      <c r="I170" s="28"/>
      <c r="J170" s="29"/>
      <c r="K170" s="28"/>
      <c r="L170" s="32" t="str">
        <f t="shared" si="9"/>
        <v/>
      </c>
      <c r="M170" s="33" t="str">
        <f t="shared" ca="1" si="10"/>
        <v/>
      </c>
      <c r="N170" s="34" t="str">
        <f t="shared" si="11"/>
        <v/>
      </c>
      <c r="O170" s="23"/>
      <c r="P170" s="23"/>
    </row>
    <row r="171" spans="1:16" ht="21.75" customHeight="1" x14ac:dyDescent="0.25">
      <c r="A171" s="24"/>
      <c r="B171" s="24"/>
      <c r="C171" s="24"/>
      <c r="D171" s="34" t="str">
        <f>IF(C171="","",IFERROR(VLOOKUP(C171,CRM!$B$8:$O$1007,2,FALSE()),"Revisar ID"))</f>
        <v/>
      </c>
      <c r="E171" s="23"/>
      <c r="F171" s="37" t="str">
        <f t="shared" si="8"/>
        <v/>
      </c>
      <c r="G171" s="28"/>
      <c r="H171" s="29"/>
      <c r="I171" s="28"/>
      <c r="J171" s="29"/>
      <c r="K171" s="28"/>
      <c r="L171" s="32" t="str">
        <f t="shared" si="9"/>
        <v/>
      </c>
      <c r="M171" s="33" t="str">
        <f t="shared" ca="1" si="10"/>
        <v/>
      </c>
      <c r="N171" s="34" t="str">
        <f t="shared" si="11"/>
        <v/>
      </c>
      <c r="O171" s="23"/>
      <c r="P171" s="23"/>
    </row>
    <row r="172" spans="1:16" ht="21.75" customHeight="1" x14ac:dyDescent="0.25">
      <c r="A172" s="24"/>
      <c r="B172" s="24"/>
      <c r="C172" s="24"/>
      <c r="D172" s="34" t="str">
        <f>IF(C172="","",IFERROR(VLOOKUP(C172,CRM!$B$8:$O$1007,2,FALSE()),"Revisar ID"))</f>
        <v/>
      </c>
      <c r="E172" s="23"/>
      <c r="F172" s="37" t="str">
        <f t="shared" si="8"/>
        <v/>
      </c>
      <c r="G172" s="28"/>
      <c r="H172" s="29"/>
      <c r="I172" s="28"/>
      <c r="J172" s="29"/>
      <c r="K172" s="28"/>
      <c r="L172" s="32" t="str">
        <f t="shared" si="9"/>
        <v/>
      </c>
      <c r="M172" s="33" t="str">
        <f t="shared" ca="1" si="10"/>
        <v/>
      </c>
      <c r="N172" s="34" t="str">
        <f t="shared" si="11"/>
        <v/>
      </c>
      <c r="O172" s="23"/>
      <c r="P172" s="23"/>
    </row>
    <row r="173" spans="1:16" ht="21.75" customHeight="1" x14ac:dyDescent="0.25">
      <c r="A173" s="24"/>
      <c r="B173" s="24"/>
      <c r="C173" s="24"/>
      <c r="D173" s="34" t="str">
        <f>IF(C173="","",IFERROR(VLOOKUP(C173,CRM!$B$8:$O$1007,2,FALSE()),"Revisar ID"))</f>
        <v/>
      </c>
      <c r="E173" s="23"/>
      <c r="F173" s="37" t="str">
        <f t="shared" si="8"/>
        <v/>
      </c>
      <c r="G173" s="28"/>
      <c r="H173" s="29"/>
      <c r="I173" s="28"/>
      <c r="J173" s="29"/>
      <c r="K173" s="28"/>
      <c r="L173" s="32" t="str">
        <f t="shared" si="9"/>
        <v/>
      </c>
      <c r="M173" s="33" t="str">
        <f t="shared" ca="1" si="10"/>
        <v/>
      </c>
      <c r="N173" s="34" t="str">
        <f t="shared" si="11"/>
        <v/>
      </c>
      <c r="O173" s="23"/>
      <c r="P173" s="23"/>
    </row>
    <row r="174" spans="1:16" ht="21.75" customHeight="1" x14ac:dyDescent="0.25">
      <c r="A174" s="24"/>
      <c r="B174" s="24"/>
      <c r="C174" s="24"/>
      <c r="D174" s="34" t="str">
        <f>IF(C174="","",IFERROR(VLOOKUP(C174,CRM!$B$8:$O$1007,2,FALSE()),"Revisar ID"))</f>
        <v/>
      </c>
      <c r="E174" s="23"/>
      <c r="F174" s="37" t="str">
        <f t="shared" si="8"/>
        <v/>
      </c>
      <c r="G174" s="28"/>
      <c r="H174" s="29"/>
      <c r="I174" s="28"/>
      <c r="J174" s="29"/>
      <c r="K174" s="28"/>
      <c r="L174" s="32" t="str">
        <f t="shared" si="9"/>
        <v/>
      </c>
      <c r="M174" s="33" t="str">
        <f t="shared" ca="1" si="10"/>
        <v/>
      </c>
      <c r="N174" s="34" t="str">
        <f t="shared" si="11"/>
        <v/>
      </c>
      <c r="O174" s="23"/>
      <c r="P174" s="23"/>
    </row>
    <row r="175" spans="1:16" ht="21.75" customHeight="1" x14ac:dyDescent="0.25">
      <c r="A175" s="24"/>
      <c r="B175" s="24"/>
      <c r="C175" s="24"/>
      <c r="D175" s="34" t="str">
        <f>IF(C175="","",IFERROR(VLOOKUP(C175,CRM!$B$8:$O$1007,2,FALSE()),"Revisar ID"))</f>
        <v/>
      </c>
      <c r="E175" s="23"/>
      <c r="F175" s="37" t="str">
        <f t="shared" si="8"/>
        <v/>
      </c>
      <c r="G175" s="28"/>
      <c r="H175" s="29"/>
      <c r="I175" s="28"/>
      <c r="J175" s="29"/>
      <c r="K175" s="28"/>
      <c r="L175" s="32" t="str">
        <f t="shared" si="9"/>
        <v/>
      </c>
      <c r="M175" s="33" t="str">
        <f t="shared" ca="1" si="10"/>
        <v/>
      </c>
      <c r="N175" s="34" t="str">
        <f t="shared" si="11"/>
        <v/>
      </c>
      <c r="O175" s="23"/>
      <c r="P175" s="23"/>
    </row>
    <row r="176" spans="1:16" ht="21.75" customHeight="1" x14ac:dyDescent="0.25">
      <c r="A176" s="24"/>
      <c r="B176" s="24"/>
      <c r="C176" s="24"/>
      <c r="D176" s="34" t="str">
        <f>IF(C176="","",IFERROR(VLOOKUP(C176,CRM!$B$8:$O$1007,2,FALSE()),"Revisar ID"))</f>
        <v/>
      </c>
      <c r="E176" s="23"/>
      <c r="F176" s="37" t="str">
        <f t="shared" si="8"/>
        <v/>
      </c>
      <c r="G176" s="28"/>
      <c r="H176" s="29"/>
      <c r="I176" s="28"/>
      <c r="J176" s="29"/>
      <c r="K176" s="28"/>
      <c r="L176" s="32" t="str">
        <f t="shared" si="9"/>
        <v/>
      </c>
      <c r="M176" s="33" t="str">
        <f t="shared" ca="1" si="10"/>
        <v/>
      </c>
      <c r="N176" s="34" t="str">
        <f t="shared" si="11"/>
        <v/>
      </c>
      <c r="O176" s="23"/>
      <c r="P176" s="23"/>
    </row>
    <row r="177" spans="1:16" ht="21.75" customHeight="1" x14ac:dyDescent="0.25">
      <c r="A177" s="24"/>
      <c r="B177" s="24"/>
      <c r="C177" s="24"/>
      <c r="D177" s="34" t="str">
        <f>IF(C177="","",IFERROR(VLOOKUP(C177,CRM!$B$8:$O$1007,2,FALSE()),"Revisar ID"))</f>
        <v/>
      </c>
      <c r="E177" s="23"/>
      <c r="F177" s="37" t="str">
        <f t="shared" si="8"/>
        <v/>
      </c>
      <c r="G177" s="28"/>
      <c r="H177" s="29"/>
      <c r="I177" s="28"/>
      <c r="J177" s="29"/>
      <c r="K177" s="28"/>
      <c r="L177" s="32" t="str">
        <f t="shared" si="9"/>
        <v/>
      </c>
      <c r="M177" s="33" t="str">
        <f t="shared" ca="1" si="10"/>
        <v/>
      </c>
      <c r="N177" s="34" t="str">
        <f t="shared" si="11"/>
        <v/>
      </c>
      <c r="O177" s="23"/>
      <c r="P177" s="23"/>
    </row>
    <row r="178" spans="1:16" ht="21.75" customHeight="1" x14ac:dyDescent="0.25">
      <c r="A178" s="24"/>
      <c r="B178" s="24"/>
      <c r="C178" s="24"/>
      <c r="D178" s="34" t="str">
        <f>IF(C178="","",IFERROR(VLOOKUP(C178,CRM!$B$8:$O$1007,2,FALSE()),"Revisar ID"))</f>
        <v/>
      </c>
      <c r="E178" s="23"/>
      <c r="F178" s="37" t="str">
        <f t="shared" si="8"/>
        <v/>
      </c>
      <c r="G178" s="28"/>
      <c r="H178" s="29"/>
      <c r="I178" s="28"/>
      <c r="J178" s="29"/>
      <c r="K178" s="28"/>
      <c r="L178" s="32" t="str">
        <f t="shared" si="9"/>
        <v/>
      </c>
      <c r="M178" s="33" t="str">
        <f t="shared" ca="1" si="10"/>
        <v/>
      </c>
      <c r="N178" s="34" t="str">
        <f t="shared" si="11"/>
        <v/>
      </c>
      <c r="O178" s="23"/>
      <c r="P178" s="23"/>
    </row>
    <row r="179" spans="1:16" ht="21.75" customHeight="1" x14ac:dyDescent="0.25">
      <c r="A179" s="24"/>
      <c r="B179" s="24"/>
      <c r="C179" s="24"/>
      <c r="D179" s="34" t="str">
        <f>IF(C179="","",IFERROR(VLOOKUP(C179,CRM!$B$8:$O$1007,2,FALSE()),"Revisar ID"))</f>
        <v/>
      </c>
      <c r="E179" s="23"/>
      <c r="F179" s="37" t="str">
        <f t="shared" si="8"/>
        <v/>
      </c>
      <c r="G179" s="28"/>
      <c r="H179" s="29"/>
      <c r="I179" s="28"/>
      <c r="J179" s="29"/>
      <c r="K179" s="28"/>
      <c r="L179" s="32" t="str">
        <f t="shared" si="9"/>
        <v/>
      </c>
      <c r="M179" s="33" t="str">
        <f t="shared" ca="1" si="10"/>
        <v/>
      </c>
      <c r="N179" s="34" t="str">
        <f t="shared" si="11"/>
        <v/>
      </c>
      <c r="O179" s="23"/>
      <c r="P179" s="23"/>
    </row>
    <row r="180" spans="1:16" ht="21.75" customHeight="1" x14ac:dyDescent="0.25">
      <c r="A180" s="24"/>
      <c r="B180" s="24"/>
      <c r="C180" s="24"/>
      <c r="D180" s="34" t="str">
        <f>IF(C180="","",IFERROR(VLOOKUP(C180,CRM!$B$8:$O$1007,2,FALSE()),"Revisar ID"))</f>
        <v/>
      </c>
      <c r="E180" s="23"/>
      <c r="F180" s="37" t="str">
        <f t="shared" si="8"/>
        <v/>
      </c>
      <c r="G180" s="28"/>
      <c r="H180" s="29"/>
      <c r="I180" s="28"/>
      <c r="J180" s="29"/>
      <c r="K180" s="28"/>
      <c r="L180" s="32" t="str">
        <f t="shared" si="9"/>
        <v/>
      </c>
      <c r="M180" s="33" t="str">
        <f t="shared" ca="1" si="10"/>
        <v/>
      </c>
      <c r="N180" s="34" t="str">
        <f t="shared" si="11"/>
        <v/>
      </c>
      <c r="O180" s="23"/>
      <c r="P180" s="23"/>
    </row>
    <row r="181" spans="1:16" ht="21.75" customHeight="1" x14ac:dyDescent="0.25">
      <c r="A181" s="24"/>
      <c r="B181" s="24"/>
      <c r="C181" s="24"/>
      <c r="D181" s="34" t="str">
        <f>IF(C181="","",IFERROR(VLOOKUP(C181,CRM!$B$8:$O$1007,2,FALSE()),"Revisar ID"))</f>
        <v/>
      </c>
      <c r="E181" s="23"/>
      <c r="F181" s="37" t="str">
        <f t="shared" si="8"/>
        <v/>
      </c>
      <c r="G181" s="28"/>
      <c r="H181" s="29"/>
      <c r="I181" s="28"/>
      <c r="J181" s="29"/>
      <c r="K181" s="28"/>
      <c r="L181" s="32" t="str">
        <f t="shared" si="9"/>
        <v/>
      </c>
      <c r="M181" s="33" t="str">
        <f t="shared" ca="1" si="10"/>
        <v/>
      </c>
      <c r="N181" s="34" t="str">
        <f t="shared" si="11"/>
        <v/>
      </c>
      <c r="O181" s="23"/>
      <c r="P181" s="23"/>
    </row>
    <row r="182" spans="1:16" ht="21.75" customHeight="1" x14ac:dyDescent="0.25">
      <c r="A182" s="24"/>
      <c r="B182" s="24"/>
      <c r="C182" s="24"/>
      <c r="D182" s="34" t="str">
        <f>IF(C182="","",IFERROR(VLOOKUP(C182,CRM!$B$8:$O$1007,2,FALSE()),"Revisar ID"))</f>
        <v/>
      </c>
      <c r="E182" s="23"/>
      <c r="F182" s="37" t="str">
        <f t="shared" si="8"/>
        <v/>
      </c>
      <c r="G182" s="28"/>
      <c r="H182" s="29"/>
      <c r="I182" s="28"/>
      <c r="J182" s="29"/>
      <c r="K182" s="28"/>
      <c r="L182" s="32" t="str">
        <f t="shared" si="9"/>
        <v/>
      </c>
      <c r="M182" s="33" t="str">
        <f t="shared" ca="1" si="10"/>
        <v/>
      </c>
      <c r="N182" s="34" t="str">
        <f t="shared" si="11"/>
        <v/>
      </c>
      <c r="O182" s="23"/>
      <c r="P182" s="23"/>
    </row>
    <row r="183" spans="1:16" ht="21.75" customHeight="1" x14ac:dyDescent="0.25">
      <c r="A183" s="24"/>
      <c r="B183" s="24"/>
      <c r="C183" s="24"/>
      <c r="D183" s="34" t="str">
        <f>IF(C183="","",IFERROR(VLOOKUP(C183,CRM!$B$8:$O$1007,2,FALSE()),"Revisar ID"))</f>
        <v/>
      </c>
      <c r="E183" s="23"/>
      <c r="F183" s="37" t="str">
        <f t="shared" si="8"/>
        <v/>
      </c>
      <c r="G183" s="28"/>
      <c r="H183" s="29"/>
      <c r="I183" s="28"/>
      <c r="J183" s="29"/>
      <c r="K183" s="28"/>
      <c r="L183" s="32" t="str">
        <f t="shared" si="9"/>
        <v/>
      </c>
      <c r="M183" s="33" t="str">
        <f t="shared" ca="1" si="10"/>
        <v/>
      </c>
      <c r="N183" s="34" t="str">
        <f t="shared" si="11"/>
        <v/>
      </c>
      <c r="O183" s="23"/>
      <c r="P183" s="23"/>
    </row>
    <row r="184" spans="1:16" ht="21.75" customHeight="1" x14ac:dyDescent="0.25">
      <c r="A184" s="24"/>
      <c r="B184" s="24"/>
      <c r="C184" s="24"/>
      <c r="D184" s="34" t="str">
        <f>IF(C184="","",IFERROR(VLOOKUP(C184,CRM!$B$8:$O$1007,2,FALSE()),"Revisar ID"))</f>
        <v/>
      </c>
      <c r="E184" s="23"/>
      <c r="F184" s="37" t="str">
        <f t="shared" si="8"/>
        <v/>
      </c>
      <c r="G184" s="28"/>
      <c r="H184" s="29"/>
      <c r="I184" s="28"/>
      <c r="J184" s="29"/>
      <c r="K184" s="28"/>
      <c r="L184" s="32" t="str">
        <f t="shared" si="9"/>
        <v/>
      </c>
      <c r="M184" s="33" t="str">
        <f t="shared" ca="1" si="10"/>
        <v/>
      </c>
      <c r="N184" s="34" t="str">
        <f t="shared" si="11"/>
        <v/>
      </c>
      <c r="O184" s="23"/>
      <c r="P184" s="23"/>
    </row>
    <row r="185" spans="1:16" ht="21.75" customHeight="1" x14ac:dyDescent="0.25">
      <c r="A185" s="24"/>
      <c r="B185" s="24"/>
      <c r="C185" s="24"/>
      <c r="D185" s="34" t="str">
        <f>IF(C185="","",IFERROR(VLOOKUP(C185,CRM!$B$8:$O$1007,2,FALSE()),"Revisar ID"))</f>
        <v/>
      </c>
      <c r="E185" s="23"/>
      <c r="F185" s="37" t="str">
        <f t="shared" si="8"/>
        <v/>
      </c>
      <c r="G185" s="28"/>
      <c r="H185" s="29"/>
      <c r="I185" s="28"/>
      <c r="J185" s="29"/>
      <c r="K185" s="28"/>
      <c r="L185" s="32" t="str">
        <f t="shared" si="9"/>
        <v/>
      </c>
      <c r="M185" s="33" t="str">
        <f t="shared" ca="1" si="10"/>
        <v/>
      </c>
      <c r="N185" s="34" t="str">
        <f t="shared" si="11"/>
        <v/>
      </c>
      <c r="O185" s="23"/>
      <c r="P185" s="23"/>
    </row>
    <row r="186" spans="1:16" ht="21.75" customHeight="1" x14ac:dyDescent="0.25">
      <c r="A186" s="24"/>
      <c r="B186" s="24"/>
      <c r="C186" s="24"/>
      <c r="D186" s="34" t="str">
        <f>IF(C186="","",IFERROR(VLOOKUP(C186,CRM!$B$8:$O$1007,2,FALSE()),"Revisar ID"))</f>
        <v/>
      </c>
      <c r="E186" s="23"/>
      <c r="F186" s="37" t="str">
        <f t="shared" si="8"/>
        <v/>
      </c>
      <c r="G186" s="28"/>
      <c r="H186" s="29"/>
      <c r="I186" s="28"/>
      <c r="J186" s="29"/>
      <c r="K186" s="28"/>
      <c r="L186" s="32" t="str">
        <f t="shared" si="9"/>
        <v/>
      </c>
      <c r="M186" s="33" t="str">
        <f t="shared" ca="1" si="10"/>
        <v/>
      </c>
      <c r="N186" s="34" t="str">
        <f t="shared" si="11"/>
        <v/>
      </c>
      <c r="O186" s="23"/>
      <c r="P186" s="23"/>
    </row>
    <row r="187" spans="1:16" ht="21.75" customHeight="1" x14ac:dyDescent="0.25">
      <c r="A187" s="24"/>
      <c r="B187" s="24"/>
      <c r="C187" s="24"/>
      <c r="D187" s="34" t="str">
        <f>IF(C187="","",IFERROR(VLOOKUP(C187,CRM!$B$8:$O$1007,2,FALSE()),"Revisar ID"))</f>
        <v/>
      </c>
      <c r="E187" s="23"/>
      <c r="F187" s="37" t="str">
        <f t="shared" si="8"/>
        <v/>
      </c>
      <c r="G187" s="28"/>
      <c r="H187" s="29"/>
      <c r="I187" s="28"/>
      <c r="J187" s="29"/>
      <c r="K187" s="28"/>
      <c r="L187" s="32" t="str">
        <f t="shared" si="9"/>
        <v/>
      </c>
      <c r="M187" s="33" t="str">
        <f t="shared" ca="1" si="10"/>
        <v/>
      </c>
      <c r="N187" s="34" t="str">
        <f t="shared" si="11"/>
        <v/>
      </c>
      <c r="O187" s="23"/>
      <c r="P187" s="23"/>
    </row>
    <row r="188" spans="1:16" ht="21.75" customHeight="1" x14ac:dyDescent="0.25">
      <c r="A188" s="24"/>
      <c r="B188" s="24"/>
      <c r="C188" s="24"/>
      <c r="D188" s="34" t="str">
        <f>IF(C188="","",IFERROR(VLOOKUP(C188,CRM!$B$8:$O$1007,2,FALSE()),"Revisar ID"))</f>
        <v/>
      </c>
      <c r="E188" s="23"/>
      <c r="F188" s="37" t="str">
        <f t="shared" si="8"/>
        <v/>
      </c>
      <c r="G188" s="28"/>
      <c r="H188" s="29"/>
      <c r="I188" s="28"/>
      <c r="J188" s="29"/>
      <c r="K188" s="28"/>
      <c r="L188" s="32" t="str">
        <f t="shared" si="9"/>
        <v/>
      </c>
      <c r="M188" s="33" t="str">
        <f t="shared" ca="1" si="10"/>
        <v/>
      </c>
      <c r="N188" s="34" t="str">
        <f t="shared" si="11"/>
        <v/>
      </c>
      <c r="O188" s="23"/>
      <c r="P188" s="23"/>
    </row>
    <row r="189" spans="1:16" ht="21.75" customHeight="1" x14ac:dyDescent="0.25">
      <c r="A189" s="24"/>
      <c r="B189" s="24"/>
      <c r="C189" s="24"/>
      <c r="D189" s="34" t="str">
        <f>IF(C189="","",IFERROR(VLOOKUP(C189,CRM!$B$8:$O$1007,2,FALSE()),"Revisar ID"))</f>
        <v/>
      </c>
      <c r="E189" s="23"/>
      <c r="F189" s="37" t="str">
        <f t="shared" si="8"/>
        <v/>
      </c>
      <c r="G189" s="28"/>
      <c r="H189" s="29"/>
      <c r="I189" s="28"/>
      <c r="J189" s="29"/>
      <c r="K189" s="28"/>
      <c r="L189" s="32" t="str">
        <f t="shared" si="9"/>
        <v/>
      </c>
      <c r="M189" s="33" t="str">
        <f t="shared" ca="1" si="10"/>
        <v/>
      </c>
      <c r="N189" s="34" t="str">
        <f t="shared" si="11"/>
        <v/>
      </c>
      <c r="O189" s="23"/>
      <c r="P189" s="23"/>
    </row>
    <row r="190" spans="1:16" ht="21.75" customHeight="1" x14ac:dyDescent="0.25">
      <c r="A190" s="24"/>
      <c r="B190" s="24"/>
      <c r="C190" s="24"/>
      <c r="D190" s="34" t="str">
        <f>IF(C190="","",IFERROR(VLOOKUP(C190,CRM!$B$8:$O$1007,2,FALSE()),"Revisar ID"))</f>
        <v/>
      </c>
      <c r="E190" s="23"/>
      <c r="F190" s="37" t="str">
        <f t="shared" si="8"/>
        <v/>
      </c>
      <c r="G190" s="28"/>
      <c r="H190" s="29"/>
      <c r="I190" s="28"/>
      <c r="J190" s="29"/>
      <c r="K190" s="28"/>
      <c r="L190" s="32" t="str">
        <f t="shared" si="9"/>
        <v/>
      </c>
      <c r="M190" s="33" t="str">
        <f t="shared" ca="1" si="10"/>
        <v/>
      </c>
      <c r="N190" s="34" t="str">
        <f t="shared" si="11"/>
        <v/>
      </c>
      <c r="O190" s="23"/>
      <c r="P190" s="23"/>
    </row>
    <row r="191" spans="1:16" ht="21.75" customHeight="1" x14ac:dyDescent="0.25">
      <c r="A191" s="24"/>
      <c r="B191" s="24"/>
      <c r="C191" s="24"/>
      <c r="D191" s="34" t="str">
        <f>IF(C191="","",IFERROR(VLOOKUP(C191,CRM!$B$8:$O$1007,2,FALSE()),"Revisar ID"))</f>
        <v/>
      </c>
      <c r="E191" s="23"/>
      <c r="F191" s="37" t="str">
        <f t="shared" si="8"/>
        <v/>
      </c>
      <c r="G191" s="28"/>
      <c r="H191" s="29"/>
      <c r="I191" s="28"/>
      <c r="J191" s="29"/>
      <c r="K191" s="28"/>
      <c r="L191" s="32" t="str">
        <f t="shared" si="9"/>
        <v/>
      </c>
      <c r="M191" s="33" t="str">
        <f t="shared" ca="1" si="10"/>
        <v/>
      </c>
      <c r="N191" s="34" t="str">
        <f t="shared" si="11"/>
        <v/>
      </c>
      <c r="O191" s="23"/>
      <c r="P191" s="23"/>
    </row>
    <row r="192" spans="1:16" ht="21.75" customHeight="1" x14ac:dyDescent="0.25">
      <c r="A192" s="24"/>
      <c r="B192" s="24"/>
      <c r="C192" s="24"/>
      <c r="D192" s="34" t="str">
        <f>IF(C192="","",IFERROR(VLOOKUP(C192,CRM!$B$8:$O$1007,2,FALSE()),"Revisar ID"))</f>
        <v/>
      </c>
      <c r="E192" s="23"/>
      <c r="F192" s="37" t="str">
        <f t="shared" si="8"/>
        <v/>
      </c>
      <c r="G192" s="28"/>
      <c r="H192" s="29"/>
      <c r="I192" s="28"/>
      <c r="J192" s="29"/>
      <c r="K192" s="28"/>
      <c r="L192" s="32" t="str">
        <f t="shared" si="9"/>
        <v/>
      </c>
      <c r="M192" s="33" t="str">
        <f t="shared" ca="1" si="10"/>
        <v/>
      </c>
      <c r="N192" s="34" t="str">
        <f t="shared" si="11"/>
        <v/>
      </c>
      <c r="O192" s="23"/>
      <c r="P192" s="23"/>
    </row>
    <row r="193" spans="1:16" ht="21.75" customHeight="1" x14ac:dyDescent="0.25">
      <c r="A193" s="24"/>
      <c r="B193" s="24"/>
      <c r="C193" s="24"/>
      <c r="D193" s="34" t="str">
        <f>IF(C193="","",IFERROR(VLOOKUP(C193,CRM!$B$8:$O$1007,2,FALSE()),"Revisar ID"))</f>
        <v/>
      </c>
      <c r="E193" s="23"/>
      <c r="F193" s="37" t="str">
        <f t="shared" si="8"/>
        <v/>
      </c>
      <c r="G193" s="28"/>
      <c r="H193" s="29"/>
      <c r="I193" s="28"/>
      <c r="J193" s="29"/>
      <c r="K193" s="28"/>
      <c r="L193" s="32" t="str">
        <f t="shared" si="9"/>
        <v/>
      </c>
      <c r="M193" s="33" t="str">
        <f t="shared" ca="1" si="10"/>
        <v/>
      </c>
      <c r="N193" s="34" t="str">
        <f t="shared" si="11"/>
        <v/>
      </c>
      <c r="O193" s="23"/>
      <c r="P193" s="23"/>
    </row>
    <row r="194" spans="1:16" ht="21.75" customHeight="1" x14ac:dyDescent="0.25">
      <c r="A194" s="24"/>
      <c r="B194" s="24"/>
      <c r="C194" s="24"/>
      <c r="D194" s="34" t="str">
        <f>IF(C194="","",IFERROR(VLOOKUP(C194,CRM!$B$8:$O$1007,2,FALSE()),"Revisar ID"))</f>
        <v/>
      </c>
      <c r="E194" s="23"/>
      <c r="F194" s="37" t="str">
        <f t="shared" si="8"/>
        <v/>
      </c>
      <c r="G194" s="28"/>
      <c r="H194" s="29"/>
      <c r="I194" s="28"/>
      <c r="J194" s="29"/>
      <c r="K194" s="28"/>
      <c r="L194" s="32" t="str">
        <f t="shared" si="9"/>
        <v/>
      </c>
      <c r="M194" s="33" t="str">
        <f t="shared" ca="1" si="10"/>
        <v/>
      </c>
      <c r="N194" s="34" t="str">
        <f t="shared" si="11"/>
        <v/>
      </c>
      <c r="O194" s="23"/>
      <c r="P194" s="23"/>
    </row>
    <row r="195" spans="1:16" ht="21.75" customHeight="1" x14ac:dyDescent="0.25">
      <c r="A195" s="24"/>
      <c r="B195" s="24"/>
      <c r="C195" s="24"/>
      <c r="D195" s="34" t="str">
        <f>IF(C195="","",IFERROR(VLOOKUP(C195,CRM!$B$8:$O$1007,2,FALSE()),"Revisar ID"))</f>
        <v/>
      </c>
      <c r="E195" s="23"/>
      <c r="F195" s="37" t="str">
        <f t="shared" si="8"/>
        <v/>
      </c>
      <c r="G195" s="28"/>
      <c r="H195" s="29"/>
      <c r="I195" s="28"/>
      <c r="J195" s="29"/>
      <c r="K195" s="28"/>
      <c r="L195" s="32" t="str">
        <f t="shared" si="9"/>
        <v/>
      </c>
      <c r="M195" s="33" t="str">
        <f t="shared" ca="1" si="10"/>
        <v/>
      </c>
      <c r="N195" s="34" t="str">
        <f t="shared" si="11"/>
        <v/>
      </c>
      <c r="O195" s="23"/>
      <c r="P195" s="23"/>
    </row>
    <row r="196" spans="1:16" ht="21.75" customHeight="1" x14ac:dyDescent="0.25">
      <c r="A196" s="24"/>
      <c r="B196" s="24"/>
      <c r="C196" s="24"/>
      <c r="D196" s="34" t="str">
        <f>IF(C196="","",IFERROR(VLOOKUP(C196,CRM!$B$8:$O$1007,2,FALSE()),"Revisar ID"))</f>
        <v/>
      </c>
      <c r="E196" s="23"/>
      <c r="F196" s="37" t="str">
        <f t="shared" si="8"/>
        <v/>
      </c>
      <c r="G196" s="28"/>
      <c r="H196" s="29"/>
      <c r="I196" s="28"/>
      <c r="J196" s="29"/>
      <c r="K196" s="28"/>
      <c r="L196" s="32" t="str">
        <f t="shared" si="9"/>
        <v/>
      </c>
      <c r="M196" s="33" t="str">
        <f t="shared" ca="1" si="10"/>
        <v/>
      </c>
      <c r="N196" s="34" t="str">
        <f t="shared" si="11"/>
        <v/>
      </c>
      <c r="O196" s="23"/>
      <c r="P196" s="23"/>
    </row>
    <row r="197" spans="1:16" ht="21.75" customHeight="1" x14ac:dyDescent="0.25">
      <c r="A197" s="24"/>
      <c r="B197" s="24"/>
      <c r="C197" s="24"/>
      <c r="D197" s="34" t="str">
        <f>IF(C197="","",IFERROR(VLOOKUP(C197,CRM!$B$8:$O$1007,2,FALSE()),"Revisar ID"))</f>
        <v/>
      </c>
      <c r="E197" s="23"/>
      <c r="F197" s="37" t="str">
        <f t="shared" si="8"/>
        <v/>
      </c>
      <c r="G197" s="28"/>
      <c r="H197" s="29"/>
      <c r="I197" s="28"/>
      <c r="J197" s="29"/>
      <c r="K197" s="28"/>
      <c r="L197" s="32" t="str">
        <f t="shared" si="9"/>
        <v/>
      </c>
      <c r="M197" s="33" t="str">
        <f t="shared" ca="1" si="10"/>
        <v/>
      </c>
      <c r="N197" s="34" t="str">
        <f t="shared" si="11"/>
        <v/>
      </c>
      <c r="O197" s="23"/>
      <c r="P197" s="23"/>
    </row>
    <row r="198" spans="1:16" ht="21.75" customHeight="1" x14ac:dyDescent="0.25">
      <c r="A198" s="24"/>
      <c r="B198" s="24"/>
      <c r="C198" s="24"/>
      <c r="D198" s="34" t="str">
        <f>IF(C198="","",IFERROR(VLOOKUP(C198,CRM!$B$8:$O$1007,2,FALSE()),"Revisar ID"))</f>
        <v/>
      </c>
      <c r="E198" s="23"/>
      <c r="F198" s="37" t="str">
        <f t="shared" si="8"/>
        <v/>
      </c>
      <c r="G198" s="28"/>
      <c r="H198" s="29"/>
      <c r="I198" s="28"/>
      <c r="J198" s="29"/>
      <c r="K198" s="28"/>
      <c r="L198" s="32" t="str">
        <f t="shared" si="9"/>
        <v/>
      </c>
      <c r="M198" s="33" t="str">
        <f t="shared" ca="1" si="10"/>
        <v/>
      </c>
      <c r="N198" s="34" t="str">
        <f t="shared" si="11"/>
        <v/>
      </c>
      <c r="O198" s="23"/>
      <c r="P198" s="23"/>
    </row>
    <row r="199" spans="1:16" ht="21.75" customHeight="1" x14ac:dyDescent="0.25">
      <c r="A199" s="24"/>
      <c r="B199" s="24"/>
      <c r="C199" s="24"/>
      <c r="D199" s="34" t="str">
        <f>IF(C199="","",IFERROR(VLOOKUP(C199,CRM!$B$8:$O$1007,2,FALSE()),"Revisar ID"))</f>
        <v/>
      </c>
      <c r="E199" s="23"/>
      <c r="F199" s="37" t="str">
        <f t="shared" si="8"/>
        <v/>
      </c>
      <c r="G199" s="28"/>
      <c r="H199" s="29"/>
      <c r="I199" s="28"/>
      <c r="J199" s="29"/>
      <c r="K199" s="28"/>
      <c r="L199" s="32" t="str">
        <f t="shared" si="9"/>
        <v/>
      </c>
      <c r="M199" s="33" t="str">
        <f t="shared" ca="1" si="10"/>
        <v/>
      </c>
      <c r="N199" s="34" t="str">
        <f t="shared" si="11"/>
        <v/>
      </c>
      <c r="O199" s="23"/>
      <c r="P199" s="23"/>
    </row>
    <row r="200" spans="1:16" ht="21.75" customHeight="1" x14ac:dyDescent="0.25">
      <c r="A200" s="24"/>
      <c r="B200" s="24"/>
      <c r="C200" s="24"/>
      <c r="D200" s="34" t="str">
        <f>IF(C200="","",IFERROR(VLOOKUP(C200,CRM!$B$8:$O$1007,2,FALSE()),"Revisar ID"))</f>
        <v/>
      </c>
      <c r="E200" s="23"/>
      <c r="F200" s="37" t="str">
        <f t="shared" si="8"/>
        <v/>
      </c>
      <c r="G200" s="28"/>
      <c r="H200" s="29"/>
      <c r="I200" s="28"/>
      <c r="J200" s="29"/>
      <c r="K200" s="28"/>
      <c r="L200" s="32" t="str">
        <f t="shared" si="9"/>
        <v/>
      </c>
      <c r="M200" s="33" t="str">
        <f t="shared" ca="1" si="10"/>
        <v/>
      </c>
      <c r="N200" s="34" t="str">
        <f t="shared" si="11"/>
        <v/>
      </c>
      <c r="O200" s="23"/>
      <c r="P200" s="23"/>
    </row>
    <row r="201" spans="1:16" ht="21.75" customHeight="1" x14ac:dyDescent="0.25">
      <c r="A201" s="24"/>
      <c r="B201" s="24"/>
      <c r="C201" s="24"/>
      <c r="D201" s="34" t="str">
        <f>IF(C201="","",IFERROR(VLOOKUP(C201,CRM!$B$8:$O$1007,2,FALSE()),"Revisar ID"))</f>
        <v/>
      </c>
      <c r="E201" s="23"/>
      <c r="F201" s="37" t="str">
        <f t="shared" ref="F201:F264" si="12">IF(B201="","",B201+IF(E201="Contado",0,IF(E201="7 días",7,IF(E201="15 días",15,IF(E201="30 días",30,IF(E201="45 días",45,IF(E201="60 días",60,0)))))))</f>
        <v/>
      </c>
      <c r="G201" s="28"/>
      <c r="H201" s="29"/>
      <c r="I201" s="28"/>
      <c r="J201" s="29"/>
      <c r="K201" s="28"/>
      <c r="L201" s="32" t="str">
        <f t="shared" ref="L201:L264" si="13">IF(G201="","",MAX(0,G201-SUM(I201,K201)))</f>
        <v/>
      </c>
      <c r="M201" s="33" t="str">
        <f t="shared" ref="M201:M264" ca="1" si="14">IF(G201="","",IF(L201=0,0,MAX(0,TODAY()-F201)))</f>
        <v/>
      </c>
      <c r="N201" s="34" t="str">
        <f t="shared" ref="N201:N264" si="15">IF(G201="","",IF(L201=0,"Pagada",IF(M201&gt;0,"Vencida",IF(SUM(I201,K201)&gt;0,"Parcial","Pendiente"))))</f>
        <v/>
      </c>
      <c r="O201" s="23"/>
      <c r="P201" s="23"/>
    </row>
    <row r="202" spans="1:16" ht="21.75" customHeight="1" x14ac:dyDescent="0.25">
      <c r="A202" s="24"/>
      <c r="B202" s="24"/>
      <c r="C202" s="24"/>
      <c r="D202" s="34" t="str">
        <f>IF(C202="","",IFERROR(VLOOKUP(C202,CRM!$B$8:$O$1007,2,FALSE()),"Revisar ID"))</f>
        <v/>
      </c>
      <c r="E202" s="23"/>
      <c r="F202" s="37" t="str">
        <f t="shared" si="12"/>
        <v/>
      </c>
      <c r="G202" s="28"/>
      <c r="H202" s="29"/>
      <c r="I202" s="28"/>
      <c r="J202" s="29"/>
      <c r="K202" s="28"/>
      <c r="L202" s="32" t="str">
        <f t="shared" si="13"/>
        <v/>
      </c>
      <c r="M202" s="33" t="str">
        <f t="shared" ca="1" si="14"/>
        <v/>
      </c>
      <c r="N202" s="34" t="str">
        <f t="shared" si="15"/>
        <v/>
      </c>
      <c r="O202" s="23"/>
      <c r="P202" s="23"/>
    </row>
    <row r="203" spans="1:16" ht="21.75" customHeight="1" x14ac:dyDescent="0.25">
      <c r="A203" s="24"/>
      <c r="B203" s="24"/>
      <c r="C203" s="24"/>
      <c r="D203" s="34" t="str">
        <f>IF(C203="","",IFERROR(VLOOKUP(C203,CRM!$B$8:$O$1007,2,FALSE()),"Revisar ID"))</f>
        <v/>
      </c>
      <c r="E203" s="23"/>
      <c r="F203" s="37" t="str">
        <f t="shared" si="12"/>
        <v/>
      </c>
      <c r="G203" s="28"/>
      <c r="H203" s="29"/>
      <c r="I203" s="28"/>
      <c r="J203" s="29"/>
      <c r="K203" s="28"/>
      <c r="L203" s="32" t="str">
        <f t="shared" si="13"/>
        <v/>
      </c>
      <c r="M203" s="33" t="str">
        <f t="shared" ca="1" si="14"/>
        <v/>
      </c>
      <c r="N203" s="34" t="str">
        <f t="shared" si="15"/>
        <v/>
      </c>
      <c r="O203" s="23"/>
      <c r="P203" s="23"/>
    </row>
    <row r="204" spans="1:16" ht="21.75" customHeight="1" x14ac:dyDescent="0.25">
      <c r="A204" s="24"/>
      <c r="B204" s="24"/>
      <c r="C204" s="24"/>
      <c r="D204" s="34" t="str">
        <f>IF(C204="","",IFERROR(VLOOKUP(C204,CRM!$B$8:$O$1007,2,FALSE()),"Revisar ID"))</f>
        <v/>
      </c>
      <c r="E204" s="23"/>
      <c r="F204" s="37" t="str">
        <f t="shared" si="12"/>
        <v/>
      </c>
      <c r="G204" s="28"/>
      <c r="H204" s="29"/>
      <c r="I204" s="28"/>
      <c r="J204" s="29"/>
      <c r="K204" s="28"/>
      <c r="L204" s="32" t="str">
        <f t="shared" si="13"/>
        <v/>
      </c>
      <c r="M204" s="33" t="str">
        <f t="shared" ca="1" si="14"/>
        <v/>
      </c>
      <c r="N204" s="34" t="str">
        <f t="shared" si="15"/>
        <v/>
      </c>
      <c r="O204" s="23"/>
      <c r="P204" s="23"/>
    </row>
    <row r="205" spans="1:16" ht="21.75" customHeight="1" x14ac:dyDescent="0.25">
      <c r="A205" s="24"/>
      <c r="B205" s="24"/>
      <c r="C205" s="24"/>
      <c r="D205" s="34" t="str">
        <f>IF(C205="","",IFERROR(VLOOKUP(C205,CRM!$B$8:$O$1007,2,FALSE()),"Revisar ID"))</f>
        <v/>
      </c>
      <c r="E205" s="23"/>
      <c r="F205" s="37" t="str">
        <f t="shared" si="12"/>
        <v/>
      </c>
      <c r="G205" s="28"/>
      <c r="H205" s="29"/>
      <c r="I205" s="28"/>
      <c r="J205" s="29"/>
      <c r="K205" s="28"/>
      <c r="L205" s="32" t="str">
        <f t="shared" si="13"/>
        <v/>
      </c>
      <c r="M205" s="33" t="str">
        <f t="shared" ca="1" si="14"/>
        <v/>
      </c>
      <c r="N205" s="34" t="str">
        <f t="shared" si="15"/>
        <v/>
      </c>
      <c r="O205" s="23"/>
      <c r="P205" s="23"/>
    </row>
    <row r="206" spans="1:16" ht="21.75" customHeight="1" x14ac:dyDescent="0.25">
      <c r="A206" s="24"/>
      <c r="B206" s="24"/>
      <c r="C206" s="24"/>
      <c r="D206" s="34" t="str">
        <f>IF(C206="","",IFERROR(VLOOKUP(C206,CRM!$B$8:$O$1007,2,FALSE()),"Revisar ID"))</f>
        <v/>
      </c>
      <c r="E206" s="23"/>
      <c r="F206" s="37" t="str">
        <f t="shared" si="12"/>
        <v/>
      </c>
      <c r="G206" s="28"/>
      <c r="H206" s="29"/>
      <c r="I206" s="28"/>
      <c r="J206" s="29"/>
      <c r="K206" s="28"/>
      <c r="L206" s="32" t="str">
        <f t="shared" si="13"/>
        <v/>
      </c>
      <c r="M206" s="33" t="str">
        <f t="shared" ca="1" si="14"/>
        <v/>
      </c>
      <c r="N206" s="34" t="str">
        <f t="shared" si="15"/>
        <v/>
      </c>
      <c r="O206" s="23"/>
      <c r="P206" s="23"/>
    </row>
    <row r="207" spans="1:16" ht="21.75" customHeight="1" x14ac:dyDescent="0.25">
      <c r="A207" s="24"/>
      <c r="B207" s="24"/>
      <c r="C207" s="24"/>
      <c r="D207" s="34" t="str">
        <f>IF(C207="","",IFERROR(VLOOKUP(C207,CRM!$B$8:$O$1007,2,FALSE()),"Revisar ID"))</f>
        <v/>
      </c>
      <c r="E207" s="23"/>
      <c r="F207" s="37" t="str">
        <f t="shared" si="12"/>
        <v/>
      </c>
      <c r="G207" s="28"/>
      <c r="H207" s="29"/>
      <c r="I207" s="28"/>
      <c r="J207" s="29"/>
      <c r="K207" s="28"/>
      <c r="L207" s="32" t="str">
        <f t="shared" si="13"/>
        <v/>
      </c>
      <c r="M207" s="33" t="str">
        <f t="shared" ca="1" si="14"/>
        <v/>
      </c>
      <c r="N207" s="34" t="str">
        <f t="shared" si="15"/>
        <v/>
      </c>
      <c r="O207" s="23"/>
      <c r="P207" s="23"/>
    </row>
    <row r="208" spans="1:16" ht="21.75" customHeight="1" x14ac:dyDescent="0.25">
      <c r="A208" s="24"/>
      <c r="B208" s="24"/>
      <c r="C208" s="24"/>
      <c r="D208" s="34" t="str">
        <f>IF(C208="","",IFERROR(VLOOKUP(C208,CRM!$B$8:$O$1007,2,FALSE()),"Revisar ID"))</f>
        <v/>
      </c>
      <c r="E208" s="23"/>
      <c r="F208" s="37" t="str">
        <f t="shared" si="12"/>
        <v/>
      </c>
      <c r="G208" s="28"/>
      <c r="H208" s="29"/>
      <c r="I208" s="28"/>
      <c r="J208" s="29"/>
      <c r="K208" s="28"/>
      <c r="L208" s="32" t="str">
        <f t="shared" si="13"/>
        <v/>
      </c>
      <c r="M208" s="33" t="str">
        <f t="shared" ca="1" si="14"/>
        <v/>
      </c>
      <c r="N208" s="34" t="str">
        <f t="shared" si="15"/>
        <v/>
      </c>
      <c r="O208" s="23"/>
      <c r="P208" s="23"/>
    </row>
    <row r="209" spans="1:16" ht="21.75" customHeight="1" x14ac:dyDescent="0.25">
      <c r="A209" s="24"/>
      <c r="B209" s="24"/>
      <c r="C209" s="24"/>
      <c r="D209" s="34" t="str">
        <f>IF(C209="","",IFERROR(VLOOKUP(C209,CRM!$B$8:$O$1007,2,FALSE()),"Revisar ID"))</f>
        <v/>
      </c>
      <c r="E209" s="23"/>
      <c r="F209" s="37" t="str">
        <f t="shared" si="12"/>
        <v/>
      </c>
      <c r="G209" s="28"/>
      <c r="H209" s="29"/>
      <c r="I209" s="28"/>
      <c r="J209" s="29"/>
      <c r="K209" s="28"/>
      <c r="L209" s="32" t="str">
        <f t="shared" si="13"/>
        <v/>
      </c>
      <c r="M209" s="33" t="str">
        <f t="shared" ca="1" si="14"/>
        <v/>
      </c>
      <c r="N209" s="34" t="str">
        <f t="shared" si="15"/>
        <v/>
      </c>
      <c r="O209" s="23"/>
      <c r="P209" s="23"/>
    </row>
    <row r="210" spans="1:16" ht="21.75" customHeight="1" x14ac:dyDescent="0.25">
      <c r="A210" s="24"/>
      <c r="B210" s="24"/>
      <c r="C210" s="24"/>
      <c r="D210" s="34" t="str">
        <f>IF(C210="","",IFERROR(VLOOKUP(C210,CRM!$B$8:$O$1007,2,FALSE()),"Revisar ID"))</f>
        <v/>
      </c>
      <c r="E210" s="23"/>
      <c r="F210" s="37" t="str">
        <f t="shared" si="12"/>
        <v/>
      </c>
      <c r="G210" s="28"/>
      <c r="H210" s="29"/>
      <c r="I210" s="28"/>
      <c r="J210" s="29"/>
      <c r="K210" s="28"/>
      <c r="L210" s="32" t="str">
        <f t="shared" si="13"/>
        <v/>
      </c>
      <c r="M210" s="33" t="str">
        <f t="shared" ca="1" si="14"/>
        <v/>
      </c>
      <c r="N210" s="34" t="str">
        <f t="shared" si="15"/>
        <v/>
      </c>
      <c r="O210" s="23"/>
      <c r="P210" s="23"/>
    </row>
    <row r="211" spans="1:16" ht="21.75" customHeight="1" x14ac:dyDescent="0.25">
      <c r="A211" s="24"/>
      <c r="B211" s="24"/>
      <c r="C211" s="24"/>
      <c r="D211" s="34" t="str">
        <f>IF(C211="","",IFERROR(VLOOKUP(C211,CRM!$B$8:$O$1007,2,FALSE()),"Revisar ID"))</f>
        <v/>
      </c>
      <c r="E211" s="23"/>
      <c r="F211" s="37" t="str">
        <f t="shared" si="12"/>
        <v/>
      </c>
      <c r="G211" s="28"/>
      <c r="H211" s="29"/>
      <c r="I211" s="28"/>
      <c r="J211" s="29"/>
      <c r="K211" s="28"/>
      <c r="L211" s="32" t="str">
        <f t="shared" si="13"/>
        <v/>
      </c>
      <c r="M211" s="33" t="str">
        <f t="shared" ca="1" si="14"/>
        <v/>
      </c>
      <c r="N211" s="34" t="str">
        <f t="shared" si="15"/>
        <v/>
      </c>
      <c r="O211" s="23"/>
      <c r="P211" s="23"/>
    </row>
    <row r="212" spans="1:16" ht="21.75" customHeight="1" x14ac:dyDescent="0.25">
      <c r="A212" s="24"/>
      <c r="B212" s="24"/>
      <c r="C212" s="24"/>
      <c r="D212" s="34" t="str">
        <f>IF(C212="","",IFERROR(VLOOKUP(C212,CRM!$B$8:$O$1007,2,FALSE()),"Revisar ID"))</f>
        <v/>
      </c>
      <c r="E212" s="23"/>
      <c r="F212" s="37" t="str">
        <f t="shared" si="12"/>
        <v/>
      </c>
      <c r="G212" s="28"/>
      <c r="H212" s="29"/>
      <c r="I212" s="28"/>
      <c r="J212" s="29"/>
      <c r="K212" s="28"/>
      <c r="L212" s="32" t="str">
        <f t="shared" si="13"/>
        <v/>
      </c>
      <c r="M212" s="33" t="str">
        <f t="shared" ca="1" si="14"/>
        <v/>
      </c>
      <c r="N212" s="34" t="str">
        <f t="shared" si="15"/>
        <v/>
      </c>
      <c r="O212" s="23"/>
      <c r="P212" s="23"/>
    </row>
    <row r="213" spans="1:16" ht="21.75" customHeight="1" x14ac:dyDescent="0.25">
      <c r="A213" s="24"/>
      <c r="B213" s="24"/>
      <c r="C213" s="24"/>
      <c r="D213" s="34" t="str">
        <f>IF(C213="","",IFERROR(VLOOKUP(C213,CRM!$B$8:$O$1007,2,FALSE()),"Revisar ID"))</f>
        <v/>
      </c>
      <c r="E213" s="23"/>
      <c r="F213" s="37" t="str">
        <f t="shared" si="12"/>
        <v/>
      </c>
      <c r="G213" s="28"/>
      <c r="H213" s="29"/>
      <c r="I213" s="28"/>
      <c r="J213" s="29"/>
      <c r="K213" s="28"/>
      <c r="L213" s="32" t="str">
        <f t="shared" si="13"/>
        <v/>
      </c>
      <c r="M213" s="33" t="str">
        <f t="shared" ca="1" si="14"/>
        <v/>
      </c>
      <c r="N213" s="34" t="str">
        <f t="shared" si="15"/>
        <v/>
      </c>
      <c r="O213" s="23"/>
      <c r="P213" s="23"/>
    </row>
    <row r="214" spans="1:16" ht="21.75" customHeight="1" x14ac:dyDescent="0.25">
      <c r="A214" s="24"/>
      <c r="B214" s="24"/>
      <c r="C214" s="24"/>
      <c r="D214" s="34" t="str">
        <f>IF(C214="","",IFERROR(VLOOKUP(C214,CRM!$B$8:$O$1007,2,FALSE()),"Revisar ID"))</f>
        <v/>
      </c>
      <c r="E214" s="23"/>
      <c r="F214" s="37" t="str">
        <f t="shared" si="12"/>
        <v/>
      </c>
      <c r="G214" s="28"/>
      <c r="H214" s="29"/>
      <c r="I214" s="28"/>
      <c r="J214" s="29"/>
      <c r="K214" s="28"/>
      <c r="L214" s="32" t="str">
        <f t="shared" si="13"/>
        <v/>
      </c>
      <c r="M214" s="33" t="str">
        <f t="shared" ca="1" si="14"/>
        <v/>
      </c>
      <c r="N214" s="34" t="str">
        <f t="shared" si="15"/>
        <v/>
      </c>
      <c r="O214" s="23"/>
      <c r="P214" s="23"/>
    </row>
    <row r="215" spans="1:16" ht="21.75" customHeight="1" x14ac:dyDescent="0.25">
      <c r="A215" s="24"/>
      <c r="B215" s="24"/>
      <c r="C215" s="24"/>
      <c r="D215" s="34" t="str">
        <f>IF(C215="","",IFERROR(VLOOKUP(C215,CRM!$B$8:$O$1007,2,FALSE()),"Revisar ID"))</f>
        <v/>
      </c>
      <c r="E215" s="23"/>
      <c r="F215" s="37" t="str">
        <f t="shared" si="12"/>
        <v/>
      </c>
      <c r="G215" s="28"/>
      <c r="H215" s="29"/>
      <c r="I215" s="28"/>
      <c r="J215" s="29"/>
      <c r="K215" s="28"/>
      <c r="L215" s="32" t="str">
        <f t="shared" si="13"/>
        <v/>
      </c>
      <c r="M215" s="33" t="str">
        <f t="shared" ca="1" si="14"/>
        <v/>
      </c>
      <c r="N215" s="34" t="str">
        <f t="shared" si="15"/>
        <v/>
      </c>
      <c r="O215" s="23"/>
      <c r="P215" s="23"/>
    </row>
    <row r="216" spans="1:16" ht="21.75" customHeight="1" x14ac:dyDescent="0.25">
      <c r="A216" s="24"/>
      <c r="B216" s="24"/>
      <c r="C216" s="24"/>
      <c r="D216" s="34" t="str">
        <f>IF(C216="","",IFERROR(VLOOKUP(C216,CRM!$B$8:$O$1007,2,FALSE()),"Revisar ID"))</f>
        <v/>
      </c>
      <c r="E216" s="23"/>
      <c r="F216" s="37" t="str">
        <f t="shared" si="12"/>
        <v/>
      </c>
      <c r="G216" s="28"/>
      <c r="H216" s="29"/>
      <c r="I216" s="28"/>
      <c r="J216" s="29"/>
      <c r="K216" s="28"/>
      <c r="L216" s="32" t="str">
        <f t="shared" si="13"/>
        <v/>
      </c>
      <c r="M216" s="33" t="str">
        <f t="shared" ca="1" si="14"/>
        <v/>
      </c>
      <c r="N216" s="34" t="str">
        <f t="shared" si="15"/>
        <v/>
      </c>
      <c r="O216" s="23"/>
      <c r="P216" s="23"/>
    </row>
    <row r="217" spans="1:16" ht="21.75" customHeight="1" x14ac:dyDescent="0.25">
      <c r="A217" s="24"/>
      <c r="B217" s="24"/>
      <c r="C217" s="24"/>
      <c r="D217" s="34" t="str">
        <f>IF(C217="","",IFERROR(VLOOKUP(C217,CRM!$B$8:$O$1007,2,FALSE()),"Revisar ID"))</f>
        <v/>
      </c>
      <c r="E217" s="23"/>
      <c r="F217" s="37" t="str">
        <f t="shared" si="12"/>
        <v/>
      </c>
      <c r="G217" s="28"/>
      <c r="H217" s="29"/>
      <c r="I217" s="28"/>
      <c r="J217" s="29"/>
      <c r="K217" s="28"/>
      <c r="L217" s="32" t="str">
        <f t="shared" si="13"/>
        <v/>
      </c>
      <c r="M217" s="33" t="str">
        <f t="shared" ca="1" si="14"/>
        <v/>
      </c>
      <c r="N217" s="34" t="str">
        <f t="shared" si="15"/>
        <v/>
      </c>
      <c r="O217" s="23"/>
      <c r="P217" s="23"/>
    </row>
    <row r="218" spans="1:16" ht="21.75" customHeight="1" x14ac:dyDescent="0.25">
      <c r="A218" s="24"/>
      <c r="B218" s="24"/>
      <c r="C218" s="24"/>
      <c r="D218" s="34" t="str">
        <f>IF(C218="","",IFERROR(VLOOKUP(C218,CRM!$B$8:$O$1007,2,FALSE()),"Revisar ID"))</f>
        <v/>
      </c>
      <c r="E218" s="23"/>
      <c r="F218" s="37" t="str">
        <f t="shared" si="12"/>
        <v/>
      </c>
      <c r="G218" s="28"/>
      <c r="H218" s="29"/>
      <c r="I218" s="28"/>
      <c r="J218" s="29"/>
      <c r="K218" s="28"/>
      <c r="L218" s="32" t="str">
        <f t="shared" si="13"/>
        <v/>
      </c>
      <c r="M218" s="33" t="str">
        <f t="shared" ca="1" si="14"/>
        <v/>
      </c>
      <c r="N218" s="34" t="str">
        <f t="shared" si="15"/>
        <v/>
      </c>
      <c r="O218" s="23"/>
      <c r="P218" s="23"/>
    </row>
    <row r="219" spans="1:16" ht="21.75" customHeight="1" x14ac:dyDescent="0.25">
      <c r="A219" s="24"/>
      <c r="B219" s="24"/>
      <c r="C219" s="24"/>
      <c r="D219" s="34" t="str">
        <f>IF(C219="","",IFERROR(VLOOKUP(C219,CRM!$B$8:$O$1007,2,FALSE()),"Revisar ID"))</f>
        <v/>
      </c>
      <c r="E219" s="23"/>
      <c r="F219" s="37" t="str">
        <f t="shared" si="12"/>
        <v/>
      </c>
      <c r="G219" s="28"/>
      <c r="H219" s="29"/>
      <c r="I219" s="28"/>
      <c r="J219" s="29"/>
      <c r="K219" s="28"/>
      <c r="L219" s="32" t="str">
        <f t="shared" si="13"/>
        <v/>
      </c>
      <c r="M219" s="33" t="str">
        <f t="shared" ca="1" si="14"/>
        <v/>
      </c>
      <c r="N219" s="34" t="str">
        <f t="shared" si="15"/>
        <v/>
      </c>
      <c r="O219" s="23"/>
      <c r="P219" s="23"/>
    </row>
    <row r="220" spans="1:16" ht="21.75" customHeight="1" x14ac:dyDescent="0.25">
      <c r="A220" s="24"/>
      <c r="B220" s="24"/>
      <c r="C220" s="24"/>
      <c r="D220" s="34" t="str">
        <f>IF(C220="","",IFERROR(VLOOKUP(C220,CRM!$B$8:$O$1007,2,FALSE()),"Revisar ID"))</f>
        <v/>
      </c>
      <c r="E220" s="23"/>
      <c r="F220" s="37" t="str">
        <f t="shared" si="12"/>
        <v/>
      </c>
      <c r="G220" s="28"/>
      <c r="H220" s="29"/>
      <c r="I220" s="28"/>
      <c r="J220" s="29"/>
      <c r="K220" s="28"/>
      <c r="L220" s="32" t="str">
        <f t="shared" si="13"/>
        <v/>
      </c>
      <c r="M220" s="33" t="str">
        <f t="shared" ca="1" si="14"/>
        <v/>
      </c>
      <c r="N220" s="34" t="str">
        <f t="shared" si="15"/>
        <v/>
      </c>
      <c r="O220" s="23"/>
      <c r="P220" s="23"/>
    </row>
    <row r="221" spans="1:16" ht="21.75" customHeight="1" x14ac:dyDescent="0.25">
      <c r="A221" s="24"/>
      <c r="B221" s="24"/>
      <c r="C221" s="24"/>
      <c r="D221" s="34" t="str">
        <f>IF(C221="","",IFERROR(VLOOKUP(C221,CRM!$B$8:$O$1007,2,FALSE()),"Revisar ID"))</f>
        <v/>
      </c>
      <c r="E221" s="23"/>
      <c r="F221" s="37" t="str">
        <f t="shared" si="12"/>
        <v/>
      </c>
      <c r="G221" s="28"/>
      <c r="H221" s="29"/>
      <c r="I221" s="28"/>
      <c r="J221" s="29"/>
      <c r="K221" s="28"/>
      <c r="L221" s="32" t="str">
        <f t="shared" si="13"/>
        <v/>
      </c>
      <c r="M221" s="33" t="str">
        <f t="shared" ca="1" si="14"/>
        <v/>
      </c>
      <c r="N221" s="34" t="str">
        <f t="shared" si="15"/>
        <v/>
      </c>
      <c r="O221" s="23"/>
      <c r="P221" s="23"/>
    </row>
    <row r="222" spans="1:16" ht="21.75" customHeight="1" x14ac:dyDescent="0.25">
      <c r="A222" s="24"/>
      <c r="B222" s="24"/>
      <c r="C222" s="24"/>
      <c r="D222" s="34" t="str">
        <f>IF(C222="","",IFERROR(VLOOKUP(C222,CRM!$B$8:$O$1007,2,FALSE()),"Revisar ID"))</f>
        <v/>
      </c>
      <c r="E222" s="23"/>
      <c r="F222" s="37" t="str">
        <f t="shared" si="12"/>
        <v/>
      </c>
      <c r="G222" s="28"/>
      <c r="H222" s="29"/>
      <c r="I222" s="28"/>
      <c r="J222" s="29"/>
      <c r="K222" s="28"/>
      <c r="L222" s="32" t="str">
        <f t="shared" si="13"/>
        <v/>
      </c>
      <c r="M222" s="33" t="str">
        <f t="shared" ca="1" si="14"/>
        <v/>
      </c>
      <c r="N222" s="34" t="str">
        <f t="shared" si="15"/>
        <v/>
      </c>
      <c r="O222" s="23"/>
      <c r="P222" s="23"/>
    </row>
    <row r="223" spans="1:16" ht="21.75" customHeight="1" x14ac:dyDescent="0.25">
      <c r="A223" s="24"/>
      <c r="B223" s="24"/>
      <c r="C223" s="24"/>
      <c r="D223" s="34" t="str">
        <f>IF(C223="","",IFERROR(VLOOKUP(C223,CRM!$B$8:$O$1007,2,FALSE()),"Revisar ID"))</f>
        <v/>
      </c>
      <c r="E223" s="23"/>
      <c r="F223" s="37" t="str">
        <f t="shared" si="12"/>
        <v/>
      </c>
      <c r="G223" s="28"/>
      <c r="H223" s="29"/>
      <c r="I223" s="28"/>
      <c r="J223" s="29"/>
      <c r="K223" s="28"/>
      <c r="L223" s="32" t="str">
        <f t="shared" si="13"/>
        <v/>
      </c>
      <c r="M223" s="33" t="str">
        <f t="shared" ca="1" si="14"/>
        <v/>
      </c>
      <c r="N223" s="34" t="str">
        <f t="shared" si="15"/>
        <v/>
      </c>
      <c r="O223" s="23"/>
      <c r="P223" s="23"/>
    </row>
    <row r="224" spans="1:16" ht="21.75" customHeight="1" x14ac:dyDescent="0.25">
      <c r="A224" s="24"/>
      <c r="B224" s="24"/>
      <c r="C224" s="24"/>
      <c r="D224" s="34" t="str">
        <f>IF(C224="","",IFERROR(VLOOKUP(C224,CRM!$B$8:$O$1007,2,FALSE()),"Revisar ID"))</f>
        <v/>
      </c>
      <c r="E224" s="23"/>
      <c r="F224" s="37" t="str">
        <f t="shared" si="12"/>
        <v/>
      </c>
      <c r="G224" s="28"/>
      <c r="H224" s="29"/>
      <c r="I224" s="28"/>
      <c r="J224" s="29"/>
      <c r="K224" s="28"/>
      <c r="L224" s="32" t="str">
        <f t="shared" si="13"/>
        <v/>
      </c>
      <c r="M224" s="33" t="str">
        <f t="shared" ca="1" si="14"/>
        <v/>
      </c>
      <c r="N224" s="34" t="str">
        <f t="shared" si="15"/>
        <v/>
      </c>
      <c r="O224" s="23"/>
      <c r="P224" s="23"/>
    </row>
    <row r="225" spans="1:16" ht="21.75" customHeight="1" x14ac:dyDescent="0.25">
      <c r="A225" s="24"/>
      <c r="B225" s="24"/>
      <c r="C225" s="24"/>
      <c r="D225" s="34" t="str">
        <f>IF(C225="","",IFERROR(VLOOKUP(C225,CRM!$B$8:$O$1007,2,FALSE()),"Revisar ID"))</f>
        <v/>
      </c>
      <c r="E225" s="23"/>
      <c r="F225" s="37" t="str">
        <f t="shared" si="12"/>
        <v/>
      </c>
      <c r="G225" s="28"/>
      <c r="H225" s="29"/>
      <c r="I225" s="28"/>
      <c r="J225" s="29"/>
      <c r="K225" s="28"/>
      <c r="L225" s="32" t="str">
        <f t="shared" si="13"/>
        <v/>
      </c>
      <c r="M225" s="33" t="str">
        <f t="shared" ca="1" si="14"/>
        <v/>
      </c>
      <c r="N225" s="34" t="str">
        <f t="shared" si="15"/>
        <v/>
      </c>
      <c r="O225" s="23"/>
      <c r="P225" s="23"/>
    </row>
    <row r="226" spans="1:16" ht="21.75" customHeight="1" x14ac:dyDescent="0.25">
      <c r="A226" s="24"/>
      <c r="B226" s="24"/>
      <c r="C226" s="24"/>
      <c r="D226" s="34" t="str">
        <f>IF(C226="","",IFERROR(VLOOKUP(C226,CRM!$B$8:$O$1007,2,FALSE()),"Revisar ID"))</f>
        <v/>
      </c>
      <c r="E226" s="23"/>
      <c r="F226" s="37" t="str">
        <f t="shared" si="12"/>
        <v/>
      </c>
      <c r="G226" s="28"/>
      <c r="H226" s="29"/>
      <c r="I226" s="28"/>
      <c r="J226" s="29"/>
      <c r="K226" s="28"/>
      <c r="L226" s="32" t="str">
        <f t="shared" si="13"/>
        <v/>
      </c>
      <c r="M226" s="33" t="str">
        <f t="shared" ca="1" si="14"/>
        <v/>
      </c>
      <c r="N226" s="34" t="str">
        <f t="shared" si="15"/>
        <v/>
      </c>
      <c r="O226" s="23"/>
      <c r="P226" s="23"/>
    </row>
    <row r="227" spans="1:16" ht="21.75" customHeight="1" x14ac:dyDescent="0.25">
      <c r="A227" s="24"/>
      <c r="B227" s="24"/>
      <c r="C227" s="24"/>
      <c r="D227" s="34" t="str">
        <f>IF(C227="","",IFERROR(VLOOKUP(C227,CRM!$B$8:$O$1007,2,FALSE()),"Revisar ID"))</f>
        <v/>
      </c>
      <c r="E227" s="23"/>
      <c r="F227" s="37" t="str">
        <f t="shared" si="12"/>
        <v/>
      </c>
      <c r="G227" s="28"/>
      <c r="H227" s="29"/>
      <c r="I227" s="28"/>
      <c r="J227" s="29"/>
      <c r="K227" s="28"/>
      <c r="L227" s="32" t="str">
        <f t="shared" si="13"/>
        <v/>
      </c>
      <c r="M227" s="33" t="str">
        <f t="shared" ca="1" si="14"/>
        <v/>
      </c>
      <c r="N227" s="34" t="str">
        <f t="shared" si="15"/>
        <v/>
      </c>
      <c r="O227" s="23"/>
      <c r="P227" s="23"/>
    </row>
    <row r="228" spans="1:16" ht="21.75" customHeight="1" x14ac:dyDescent="0.25">
      <c r="A228" s="24"/>
      <c r="B228" s="24"/>
      <c r="C228" s="24"/>
      <c r="D228" s="34" t="str">
        <f>IF(C228="","",IFERROR(VLOOKUP(C228,CRM!$B$8:$O$1007,2,FALSE()),"Revisar ID"))</f>
        <v/>
      </c>
      <c r="E228" s="23"/>
      <c r="F228" s="37" t="str">
        <f t="shared" si="12"/>
        <v/>
      </c>
      <c r="G228" s="28"/>
      <c r="H228" s="29"/>
      <c r="I228" s="28"/>
      <c r="J228" s="29"/>
      <c r="K228" s="28"/>
      <c r="L228" s="32" t="str">
        <f t="shared" si="13"/>
        <v/>
      </c>
      <c r="M228" s="33" t="str">
        <f t="shared" ca="1" si="14"/>
        <v/>
      </c>
      <c r="N228" s="34" t="str">
        <f t="shared" si="15"/>
        <v/>
      </c>
      <c r="O228" s="23"/>
      <c r="P228" s="23"/>
    </row>
    <row r="229" spans="1:16" ht="21.75" customHeight="1" x14ac:dyDescent="0.25">
      <c r="A229" s="24"/>
      <c r="B229" s="24"/>
      <c r="C229" s="24"/>
      <c r="D229" s="34" t="str">
        <f>IF(C229="","",IFERROR(VLOOKUP(C229,CRM!$B$8:$O$1007,2,FALSE()),"Revisar ID"))</f>
        <v/>
      </c>
      <c r="E229" s="23"/>
      <c r="F229" s="37" t="str">
        <f t="shared" si="12"/>
        <v/>
      </c>
      <c r="G229" s="28"/>
      <c r="H229" s="29"/>
      <c r="I229" s="28"/>
      <c r="J229" s="29"/>
      <c r="K229" s="28"/>
      <c r="L229" s="32" t="str">
        <f t="shared" si="13"/>
        <v/>
      </c>
      <c r="M229" s="33" t="str">
        <f t="shared" ca="1" si="14"/>
        <v/>
      </c>
      <c r="N229" s="34" t="str">
        <f t="shared" si="15"/>
        <v/>
      </c>
      <c r="O229" s="23"/>
      <c r="P229" s="23"/>
    </row>
    <row r="230" spans="1:16" ht="21.75" customHeight="1" x14ac:dyDescent="0.25">
      <c r="A230" s="24"/>
      <c r="B230" s="24"/>
      <c r="C230" s="24"/>
      <c r="D230" s="34" t="str">
        <f>IF(C230="","",IFERROR(VLOOKUP(C230,CRM!$B$8:$O$1007,2,FALSE()),"Revisar ID"))</f>
        <v/>
      </c>
      <c r="E230" s="23"/>
      <c r="F230" s="37" t="str">
        <f t="shared" si="12"/>
        <v/>
      </c>
      <c r="G230" s="28"/>
      <c r="H230" s="29"/>
      <c r="I230" s="28"/>
      <c r="J230" s="29"/>
      <c r="K230" s="28"/>
      <c r="L230" s="32" t="str">
        <f t="shared" si="13"/>
        <v/>
      </c>
      <c r="M230" s="33" t="str">
        <f t="shared" ca="1" si="14"/>
        <v/>
      </c>
      <c r="N230" s="34" t="str">
        <f t="shared" si="15"/>
        <v/>
      </c>
      <c r="O230" s="23"/>
      <c r="P230" s="23"/>
    </row>
    <row r="231" spans="1:16" ht="21.75" customHeight="1" x14ac:dyDescent="0.25">
      <c r="A231" s="24"/>
      <c r="B231" s="24"/>
      <c r="C231" s="24"/>
      <c r="D231" s="34" t="str">
        <f>IF(C231="","",IFERROR(VLOOKUP(C231,CRM!$B$8:$O$1007,2,FALSE()),"Revisar ID"))</f>
        <v/>
      </c>
      <c r="E231" s="23"/>
      <c r="F231" s="37" t="str">
        <f t="shared" si="12"/>
        <v/>
      </c>
      <c r="G231" s="28"/>
      <c r="H231" s="29"/>
      <c r="I231" s="28"/>
      <c r="J231" s="29"/>
      <c r="K231" s="28"/>
      <c r="L231" s="32" t="str">
        <f t="shared" si="13"/>
        <v/>
      </c>
      <c r="M231" s="33" t="str">
        <f t="shared" ca="1" si="14"/>
        <v/>
      </c>
      <c r="N231" s="34" t="str">
        <f t="shared" si="15"/>
        <v/>
      </c>
      <c r="O231" s="23"/>
      <c r="P231" s="23"/>
    </row>
    <row r="232" spans="1:16" ht="21.75" customHeight="1" x14ac:dyDescent="0.25">
      <c r="A232" s="24"/>
      <c r="B232" s="24"/>
      <c r="C232" s="24"/>
      <c r="D232" s="34" t="str">
        <f>IF(C232="","",IFERROR(VLOOKUP(C232,CRM!$B$8:$O$1007,2,FALSE()),"Revisar ID"))</f>
        <v/>
      </c>
      <c r="E232" s="23"/>
      <c r="F232" s="37" t="str">
        <f t="shared" si="12"/>
        <v/>
      </c>
      <c r="G232" s="28"/>
      <c r="H232" s="29"/>
      <c r="I232" s="28"/>
      <c r="J232" s="29"/>
      <c r="K232" s="28"/>
      <c r="L232" s="32" t="str">
        <f t="shared" si="13"/>
        <v/>
      </c>
      <c r="M232" s="33" t="str">
        <f t="shared" ca="1" si="14"/>
        <v/>
      </c>
      <c r="N232" s="34" t="str">
        <f t="shared" si="15"/>
        <v/>
      </c>
      <c r="O232" s="23"/>
      <c r="P232" s="23"/>
    </row>
    <row r="233" spans="1:16" ht="21.75" customHeight="1" x14ac:dyDescent="0.25">
      <c r="A233" s="24"/>
      <c r="B233" s="24"/>
      <c r="C233" s="24"/>
      <c r="D233" s="34" t="str">
        <f>IF(C233="","",IFERROR(VLOOKUP(C233,CRM!$B$8:$O$1007,2,FALSE()),"Revisar ID"))</f>
        <v/>
      </c>
      <c r="E233" s="23"/>
      <c r="F233" s="37" t="str">
        <f t="shared" si="12"/>
        <v/>
      </c>
      <c r="G233" s="28"/>
      <c r="H233" s="29"/>
      <c r="I233" s="28"/>
      <c r="J233" s="29"/>
      <c r="K233" s="28"/>
      <c r="L233" s="32" t="str">
        <f t="shared" si="13"/>
        <v/>
      </c>
      <c r="M233" s="33" t="str">
        <f t="shared" ca="1" si="14"/>
        <v/>
      </c>
      <c r="N233" s="34" t="str">
        <f t="shared" si="15"/>
        <v/>
      </c>
      <c r="O233" s="23"/>
      <c r="P233" s="23"/>
    </row>
    <row r="234" spans="1:16" ht="21.75" customHeight="1" x14ac:dyDescent="0.25">
      <c r="A234" s="24"/>
      <c r="B234" s="24"/>
      <c r="C234" s="24"/>
      <c r="D234" s="34" t="str">
        <f>IF(C234="","",IFERROR(VLOOKUP(C234,CRM!$B$8:$O$1007,2,FALSE()),"Revisar ID"))</f>
        <v/>
      </c>
      <c r="E234" s="23"/>
      <c r="F234" s="37" t="str">
        <f t="shared" si="12"/>
        <v/>
      </c>
      <c r="G234" s="28"/>
      <c r="H234" s="29"/>
      <c r="I234" s="28"/>
      <c r="J234" s="29"/>
      <c r="K234" s="28"/>
      <c r="L234" s="32" t="str">
        <f t="shared" si="13"/>
        <v/>
      </c>
      <c r="M234" s="33" t="str">
        <f t="shared" ca="1" si="14"/>
        <v/>
      </c>
      <c r="N234" s="34" t="str">
        <f t="shared" si="15"/>
        <v/>
      </c>
      <c r="O234" s="23"/>
      <c r="P234" s="23"/>
    </row>
    <row r="235" spans="1:16" ht="21.75" customHeight="1" x14ac:dyDescent="0.25">
      <c r="A235" s="24"/>
      <c r="B235" s="24"/>
      <c r="C235" s="24"/>
      <c r="D235" s="34" t="str">
        <f>IF(C235="","",IFERROR(VLOOKUP(C235,CRM!$B$8:$O$1007,2,FALSE()),"Revisar ID"))</f>
        <v/>
      </c>
      <c r="E235" s="23"/>
      <c r="F235" s="37" t="str">
        <f t="shared" si="12"/>
        <v/>
      </c>
      <c r="G235" s="28"/>
      <c r="H235" s="29"/>
      <c r="I235" s="28"/>
      <c r="J235" s="29"/>
      <c r="K235" s="28"/>
      <c r="L235" s="32" t="str">
        <f t="shared" si="13"/>
        <v/>
      </c>
      <c r="M235" s="33" t="str">
        <f t="shared" ca="1" si="14"/>
        <v/>
      </c>
      <c r="N235" s="34" t="str">
        <f t="shared" si="15"/>
        <v/>
      </c>
      <c r="O235" s="23"/>
      <c r="P235" s="23"/>
    </row>
    <row r="236" spans="1:16" ht="21.75" customHeight="1" x14ac:dyDescent="0.25">
      <c r="A236" s="24"/>
      <c r="B236" s="24"/>
      <c r="C236" s="24"/>
      <c r="D236" s="34" t="str">
        <f>IF(C236="","",IFERROR(VLOOKUP(C236,CRM!$B$8:$O$1007,2,FALSE()),"Revisar ID"))</f>
        <v/>
      </c>
      <c r="E236" s="23"/>
      <c r="F236" s="37" t="str">
        <f t="shared" si="12"/>
        <v/>
      </c>
      <c r="G236" s="28"/>
      <c r="H236" s="29"/>
      <c r="I236" s="28"/>
      <c r="J236" s="29"/>
      <c r="K236" s="28"/>
      <c r="L236" s="32" t="str">
        <f t="shared" si="13"/>
        <v/>
      </c>
      <c r="M236" s="33" t="str">
        <f t="shared" ca="1" si="14"/>
        <v/>
      </c>
      <c r="N236" s="34" t="str">
        <f t="shared" si="15"/>
        <v/>
      </c>
      <c r="O236" s="23"/>
      <c r="P236" s="23"/>
    </row>
    <row r="237" spans="1:16" ht="21.75" customHeight="1" x14ac:dyDescent="0.25">
      <c r="A237" s="24"/>
      <c r="B237" s="24"/>
      <c r="C237" s="24"/>
      <c r="D237" s="34" t="str">
        <f>IF(C237="","",IFERROR(VLOOKUP(C237,CRM!$B$8:$O$1007,2,FALSE()),"Revisar ID"))</f>
        <v/>
      </c>
      <c r="E237" s="23"/>
      <c r="F237" s="37" t="str">
        <f t="shared" si="12"/>
        <v/>
      </c>
      <c r="G237" s="28"/>
      <c r="H237" s="29"/>
      <c r="I237" s="28"/>
      <c r="J237" s="29"/>
      <c r="K237" s="28"/>
      <c r="L237" s="32" t="str">
        <f t="shared" si="13"/>
        <v/>
      </c>
      <c r="M237" s="33" t="str">
        <f t="shared" ca="1" si="14"/>
        <v/>
      </c>
      <c r="N237" s="34" t="str">
        <f t="shared" si="15"/>
        <v/>
      </c>
      <c r="O237" s="23"/>
      <c r="P237" s="23"/>
    </row>
    <row r="238" spans="1:16" ht="21.75" customHeight="1" x14ac:dyDescent="0.25">
      <c r="A238" s="24"/>
      <c r="B238" s="24"/>
      <c r="C238" s="24"/>
      <c r="D238" s="34" t="str">
        <f>IF(C238="","",IFERROR(VLOOKUP(C238,CRM!$B$8:$O$1007,2,FALSE()),"Revisar ID"))</f>
        <v/>
      </c>
      <c r="E238" s="23"/>
      <c r="F238" s="37" t="str">
        <f t="shared" si="12"/>
        <v/>
      </c>
      <c r="G238" s="28"/>
      <c r="H238" s="29"/>
      <c r="I238" s="28"/>
      <c r="J238" s="29"/>
      <c r="K238" s="28"/>
      <c r="L238" s="32" t="str">
        <f t="shared" si="13"/>
        <v/>
      </c>
      <c r="M238" s="33" t="str">
        <f t="shared" ca="1" si="14"/>
        <v/>
      </c>
      <c r="N238" s="34" t="str">
        <f t="shared" si="15"/>
        <v/>
      </c>
      <c r="O238" s="23"/>
      <c r="P238" s="23"/>
    </row>
    <row r="239" spans="1:16" ht="21.75" customHeight="1" x14ac:dyDescent="0.25">
      <c r="A239" s="24"/>
      <c r="B239" s="24"/>
      <c r="C239" s="24"/>
      <c r="D239" s="34" t="str">
        <f>IF(C239="","",IFERROR(VLOOKUP(C239,CRM!$B$8:$O$1007,2,FALSE()),"Revisar ID"))</f>
        <v/>
      </c>
      <c r="E239" s="23"/>
      <c r="F239" s="37" t="str">
        <f t="shared" si="12"/>
        <v/>
      </c>
      <c r="G239" s="28"/>
      <c r="H239" s="29"/>
      <c r="I239" s="28"/>
      <c r="J239" s="29"/>
      <c r="K239" s="28"/>
      <c r="L239" s="32" t="str">
        <f t="shared" si="13"/>
        <v/>
      </c>
      <c r="M239" s="33" t="str">
        <f t="shared" ca="1" si="14"/>
        <v/>
      </c>
      <c r="N239" s="34" t="str">
        <f t="shared" si="15"/>
        <v/>
      </c>
      <c r="O239" s="23"/>
      <c r="P239" s="23"/>
    </row>
    <row r="240" spans="1:16" ht="21.75" customHeight="1" x14ac:dyDescent="0.25">
      <c r="A240" s="24"/>
      <c r="B240" s="24"/>
      <c r="C240" s="24"/>
      <c r="D240" s="34" t="str">
        <f>IF(C240="","",IFERROR(VLOOKUP(C240,CRM!$B$8:$O$1007,2,FALSE()),"Revisar ID"))</f>
        <v/>
      </c>
      <c r="E240" s="23"/>
      <c r="F240" s="37" t="str">
        <f t="shared" si="12"/>
        <v/>
      </c>
      <c r="G240" s="28"/>
      <c r="H240" s="29"/>
      <c r="I240" s="28"/>
      <c r="J240" s="29"/>
      <c r="K240" s="28"/>
      <c r="L240" s="32" t="str">
        <f t="shared" si="13"/>
        <v/>
      </c>
      <c r="M240" s="33" t="str">
        <f t="shared" ca="1" si="14"/>
        <v/>
      </c>
      <c r="N240" s="34" t="str">
        <f t="shared" si="15"/>
        <v/>
      </c>
      <c r="O240" s="23"/>
      <c r="P240" s="23"/>
    </row>
    <row r="241" spans="1:16" ht="21.75" customHeight="1" x14ac:dyDescent="0.25">
      <c r="A241" s="24"/>
      <c r="B241" s="24"/>
      <c r="C241" s="24"/>
      <c r="D241" s="34" t="str">
        <f>IF(C241="","",IFERROR(VLOOKUP(C241,CRM!$B$8:$O$1007,2,FALSE()),"Revisar ID"))</f>
        <v/>
      </c>
      <c r="E241" s="23"/>
      <c r="F241" s="37" t="str">
        <f t="shared" si="12"/>
        <v/>
      </c>
      <c r="G241" s="28"/>
      <c r="H241" s="29"/>
      <c r="I241" s="28"/>
      <c r="J241" s="29"/>
      <c r="K241" s="28"/>
      <c r="L241" s="32" t="str">
        <f t="shared" si="13"/>
        <v/>
      </c>
      <c r="M241" s="33" t="str">
        <f t="shared" ca="1" si="14"/>
        <v/>
      </c>
      <c r="N241" s="34" t="str">
        <f t="shared" si="15"/>
        <v/>
      </c>
      <c r="O241" s="23"/>
      <c r="P241" s="23"/>
    </row>
    <row r="242" spans="1:16" ht="21.75" customHeight="1" x14ac:dyDescent="0.25">
      <c r="A242" s="24"/>
      <c r="B242" s="24"/>
      <c r="C242" s="24"/>
      <c r="D242" s="34" t="str">
        <f>IF(C242="","",IFERROR(VLOOKUP(C242,CRM!$B$8:$O$1007,2,FALSE()),"Revisar ID"))</f>
        <v/>
      </c>
      <c r="E242" s="23"/>
      <c r="F242" s="37" t="str">
        <f t="shared" si="12"/>
        <v/>
      </c>
      <c r="G242" s="28"/>
      <c r="H242" s="29"/>
      <c r="I242" s="28"/>
      <c r="J242" s="29"/>
      <c r="K242" s="28"/>
      <c r="L242" s="32" t="str">
        <f t="shared" si="13"/>
        <v/>
      </c>
      <c r="M242" s="33" t="str">
        <f t="shared" ca="1" si="14"/>
        <v/>
      </c>
      <c r="N242" s="34" t="str">
        <f t="shared" si="15"/>
        <v/>
      </c>
      <c r="O242" s="23"/>
      <c r="P242" s="23"/>
    </row>
    <row r="243" spans="1:16" ht="21.75" customHeight="1" x14ac:dyDescent="0.25">
      <c r="A243" s="24"/>
      <c r="B243" s="24"/>
      <c r="C243" s="24"/>
      <c r="D243" s="34" t="str">
        <f>IF(C243="","",IFERROR(VLOOKUP(C243,CRM!$B$8:$O$1007,2,FALSE()),"Revisar ID"))</f>
        <v/>
      </c>
      <c r="E243" s="23"/>
      <c r="F243" s="37" t="str">
        <f t="shared" si="12"/>
        <v/>
      </c>
      <c r="G243" s="28"/>
      <c r="H243" s="29"/>
      <c r="I243" s="28"/>
      <c r="J243" s="29"/>
      <c r="K243" s="28"/>
      <c r="L243" s="32" t="str">
        <f t="shared" si="13"/>
        <v/>
      </c>
      <c r="M243" s="33" t="str">
        <f t="shared" ca="1" si="14"/>
        <v/>
      </c>
      <c r="N243" s="34" t="str">
        <f t="shared" si="15"/>
        <v/>
      </c>
      <c r="O243" s="23"/>
      <c r="P243" s="23"/>
    </row>
    <row r="244" spans="1:16" ht="21.75" customHeight="1" x14ac:dyDescent="0.25">
      <c r="A244" s="24"/>
      <c r="B244" s="24"/>
      <c r="C244" s="24"/>
      <c r="D244" s="34" t="str">
        <f>IF(C244="","",IFERROR(VLOOKUP(C244,CRM!$B$8:$O$1007,2,FALSE()),"Revisar ID"))</f>
        <v/>
      </c>
      <c r="E244" s="23"/>
      <c r="F244" s="37" t="str">
        <f t="shared" si="12"/>
        <v/>
      </c>
      <c r="G244" s="28"/>
      <c r="H244" s="29"/>
      <c r="I244" s="28"/>
      <c r="J244" s="29"/>
      <c r="K244" s="28"/>
      <c r="L244" s="32" t="str">
        <f t="shared" si="13"/>
        <v/>
      </c>
      <c r="M244" s="33" t="str">
        <f t="shared" ca="1" si="14"/>
        <v/>
      </c>
      <c r="N244" s="34" t="str">
        <f t="shared" si="15"/>
        <v/>
      </c>
      <c r="O244" s="23"/>
      <c r="P244" s="23"/>
    </row>
    <row r="245" spans="1:16" ht="21.75" customHeight="1" x14ac:dyDescent="0.25">
      <c r="A245" s="24"/>
      <c r="B245" s="24"/>
      <c r="C245" s="24"/>
      <c r="D245" s="34" t="str">
        <f>IF(C245="","",IFERROR(VLOOKUP(C245,CRM!$B$8:$O$1007,2,FALSE()),"Revisar ID"))</f>
        <v/>
      </c>
      <c r="E245" s="23"/>
      <c r="F245" s="37" t="str">
        <f t="shared" si="12"/>
        <v/>
      </c>
      <c r="G245" s="28"/>
      <c r="H245" s="29"/>
      <c r="I245" s="28"/>
      <c r="J245" s="29"/>
      <c r="K245" s="28"/>
      <c r="L245" s="32" t="str">
        <f t="shared" si="13"/>
        <v/>
      </c>
      <c r="M245" s="33" t="str">
        <f t="shared" ca="1" si="14"/>
        <v/>
      </c>
      <c r="N245" s="34" t="str">
        <f t="shared" si="15"/>
        <v/>
      </c>
      <c r="O245" s="23"/>
      <c r="P245" s="23"/>
    </row>
    <row r="246" spans="1:16" ht="21.75" customHeight="1" x14ac:dyDescent="0.25">
      <c r="A246" s="24"/>
      <c r="B246" s="24"/>
      <c r="C246" s="24"/>
      <c r="D246" s="34" t="str">
        <f>IF(C246="","",IFERROR(VLOOKUP(C246,CRM!$B$8:$O$1007,2,FALSE()),"Revisar ID"))</f>
        <v/>
      </c>
      <c r="E246" s="23"/>
      <c r="F246" s="37" t="str">
        <f t="shared" si="12"/>
        <v/>
      </c>
      <c r="G246" s="28"/>
      <c r="H246" s="29"/>
      <c r="I246" s="28"/>
      <c r="J246" s="29"/>
      <c r="K246" s="28"/>
      <c r="L246" s="32" t="str">
        <f t="shared" si="13"/>
        <v/>
      </c>
      <c r="M246" s="33" t="str">
        <f t="shared" ca="1" si="14"/>
        <v/>
      </c>
      <c r="N246" s="34" t="str">
        <f t="shared" si="15"/>
        <v/>
      </c>
      <c r="O246" s="23"/>
      <c r="P246" s="23"/>
    </row>
    <row r="247" spans="1:16" ht="21.75" customHeight="1" x14ac:dyDescent="0.25">
      <c r="A247" s="24"/>
      <c r="B247" s="24"/>
      <c r="C247" s="24"/>
      <c r="D247" s="34" t="str">
        <f>IF(C247="","",IFERROR(VLOOKUP(C247,CRM!$B$8:$O$1007,2,FALSE()),"Revisar ID"))</f>
        <v/>
      </c>
      <c r="E247" s="23"/>
      <c r="F247" s="37" t="str">
        <f t="shared" si="12"/>
        <v/>
      </c>
      <c r="G247" s="28"/>
      <c r="H247" s="29"/>
      <c r="I247" s="28"/>
      <c r="J247" s="29"/>
      <c r="K247" s="28"/>
      <c r="L247" s="32" t="str">
        <f t="shared" si="13"/>
        <v/>
      </c>
      <c r="M247" s="33" t="str">
        <f t="shared" ca="1" si="14"/>
        <v/>
      </c>
      <c r="N247" s="34" t="str">
        <f t="shared" si="15"/>
        <v/>
      </c>
      <c r="O247" s="23"/>
      <c r="P247" s="23"/>
    </row>
    <row r="248" spans="1:16" ht="21.75" customHeight="1" x14ac:dyDescent="0.25">
      <c r="A248" s="24"/>
      <c r="B248" s="24"/>
      <c r="C248" s="24"/>
      <c r="D248" s="34" t="str">
        <f>IF(C248="","",IFERROR(VLOOKUP(C248,CRM!$B$8:$O$1007,2,FALSE()),"Revisar ID"))</f>
        <v/>
      </c>
      <c r="E248" s="23"/>
      <c r="F248" s="37" t="str">
        <f t="shared" si="12"/>
        <v/>
      </c>
      <c r="G248" s="28"/>
      <c r="H248" s="29"/>
      <c r="I248" s="28"/>
      <c r="J248" s="29"/>
      <c r="K248" s="28"/>
      <c r="L248" s="32" t="str">
        <f t="shared" si="13"/>
        <v/>
      </c>
      <c r="M248" s="33" t="str">
        <f t="shared" ca="1" si="14"/>
        <v/>
      </c>
      <c r="N248" s="34" t="str">
        <f t="shared" si="15"/>
        <v/>
      </c>
      <c r="O248" s="23"/>
      <c r="P248" s="23"/>
    </row>
    <row r="249" spans="1:16" ht="21.75" customHeight="1" x14ac:dyDescent="0.25">
      <c r="A249" s="24"/>
      <c r="B249" s="24"/>
      <c r="C249" s="24"/>
      <c r="D249" s="34" t="str">
        <f>IF(C249="","",IFERROR(VLOOKUP(C249,CRM!$B$8:$O$1007,2,FALSE()),"Revisar ID"))</f>
        <v/>
      </c>
      <c r="E249" s="23"/>
      <c r="F249" s="37" t="str">
        <f t="shared" si="12"/>
        <v/>
      </c>
      <c r="G249" s="28"/>
      <c r="H249" s="29"/>
      <c r="I249" s="28"/>
      <c r="J249" s="29"/>
      <c r="K249" s="28"/>
      <c r="L249" s="32" t="str">
        <f t="shared" si="13"/>
        <v/>
      </c>
      <c r="M249" s="33" t="str">
        <f t="shared" ca="1" si="14"/>
        <v/>
      </c>
      <c r="N249" s="34" t="str">
        <f t="shared" si="15"/>
        <v/>
      </c>
      <c r="O249" s="23"/>
      <c r="P249" s="23"/>
    </row>
    <row r="250" spans="1:16" ht="21.75" customHeight="1" x14ac:dyDescent="0.25">
      <c r="A250" s="24"/>
      <c r="B250" s="24"/>
      <c r="C250" s="24"/>
      <c r="D250" s="34" t="str">
        <f>IF(C250="","",IFERROR(VLOOKUP(C250,CRM!$B$8:$O$1007,2,FALSE()),"Revisar ID"))</f>
        <v/>
      </c>
      <c r="E250" s="23"/>
      <c r="F250" s="37" t="str">
        <f t="shared" si="12"/>
        <v/>
      </c>
      <c r="G250" s="28"/>
      <c r="H250" s="29"/>
      <c r="I250" s="28"/>
      <c r="J250" s="29"/>
      <c r="K250" s="28"/>
      <c r="L250" s="32" t="str">
        <f t="shared" si="13"/>
        <v/>
      </c>
      <c r="M250" s="33" t="str">
        <f t="shared" ca="1" si="14"/>
        <v/>
      </c>
      <c r="N250" s="34" t="str">
        <f t="shared" si="15"/>
        <v/>
      </c>
      <c r="O250" s="23"/>
      <c r="P250" s="23"/>
    </row>
    <row r="251" spans="1:16" ht="21.75" customHeight="1" x14ac:dyDescent="0.25">
      <c r="A251" s="24"/>
      <c r="B251" s="24"/>
      <c r="C251" s="24"/>
      <c r="D251" s="34" t="str">
        <f>IF(C251="","",IFERROR(VLOOKUP(C251,CRM!$B$8:$O$1007,2,FALSE()),"Revisar ID"))</f>
        <v/>
      </c>
      <c r="E251" s="23"/>
      <c r="F251" s="37" t="str">
        <f t="shared" si="12"/>
        <v/>
      </c>
      <c r="G251" s="28"/>
      <c r="H251" s="29"/>
      <c r="I251" s="28"/>
      <c r="J251" s="29"/>
      <c r="K251" s="28"/>
      <c r="L251" s="32" t="str">
        <f t="shared" si="13"/>
        <v/>
      </c>
      <c r="M251" s="33" t="str">
        <f t="shared" ca="1" si="14"/>
        <v/>
      </c>
      <c r="N251" s="34" t="str">
        <f t="shared" si="15"/>
        <v/>
      </c>
      <c r="O251" s="23"/>
      <c r="P251" s="23"/>
    </row>
    <row r="252" spans="1:16" ht="21.75" customHeight="1" x14ac:dyDescent="0.25">
      <c r="A252" s="24"/>
      <c r="B252" s="24"/>
      <c r="C252" s="24"/>
      <c r="D252" s="34" t="str">
        <f>IF(C252="","",IFERROR(VLOOKUP(C252,CRM!$B$8:$O$1007,2,FALSE()),"Revisar ID"))</f>
        <v/>
      </c>
      <c r="E252" s="23"/>
      <c r="F252" s="37" t="str">
        <f t="shared" si="12"/>
        <v/>
      </c>
      <c r="G252" s="28"/>
      <c r="H252" s="29"/>
      <c r="I252" s="28"/>
      <c r="J252" s="29"/>
      <c r="K252" s="28"/>
      <c r="L252" s="32" t="str">
        <f t="shared" si="13"/>
        <v/>
      </c>
      <c r="M252" s="33" t="str">
        <f t="shared" ca="1" si="14"/>
        <v/>
      </c>
      <c r="N252" s="34" t="str">
        <f t="shared" si="15"/>
        <v/>
      </c>
      <c r="O252" s="23"/>
      <c r="P252" s="23"/>
    </row>
    <row r="253" spans="1:16" ht="21.75" customHeight="1" x14ac:dyDescent="0.25">
      <c r="A253" s="24"/>
      <c r="B253" s="24"/>
      <c r="C253" s="24"/>
      <c r="D253" s="34" t="str">
        <f>IF(C253="","",IFERROR(VLOOKUP(C253,CRM!$B$8:$O$1007,2,FALSE()),"Revisar ID"))</f>
        <v/>
      </c>
      <c r="E253" s="23"/>
      <c r="F253" s="37" t="str">
        <f t="shared" si="12"/>
        <v/>
      </c>
      <c r="G253" s="28"/>
      <c r="H253" s="29"/>
      <c r="I253" s="28"/>
      <c r="J253" s="29"/>
      <c r="K253" s="28"/>
      <c r="L253" s="32" t="str">
        <f t="shared" si="13"/>
        <v/>
      </c>
      <c r="M253" s="33" t="str">
        <f t="shared" ca="1" si="14"/>
        <v/>
      </c>
      <c r="N253" s="34" t="str">
        <f t="shared" si="15"/>
        <v/>
      </c>
      <c r="O253" s="23"/>
      <c r="P253" s="23"/>
    </row>
    <row r="254" spans="1:16" ht="21.75" customHeight="1" x14ac:dyDescent="0.25">
      <c r="A254" s="24"/>
      <c r="B254" s="24"/>
      <c r="C254" s="24"/>
      <c r="D254" s="34" t="str">
        <f>IF(C254="","",IFERROR(VLOOKUP(C254,CRM!$B$8:$O$1007,2,FALSE()),"Revisar ID"))</f>
        <v/>
      </c>
      <c r="E254" s="23"/>
      <c r="F254" s="37" t="str">
        <f t="shared" si="12"/>
        <v/>
      </c>
      <c r="G254" s="28"/>
      <c r="H254" s="29"/>
      <c r="I254" s="28"/>
      <c r="J254" s="29"/>
      <c r="K254" s="28"/>
      <c r="L254" s="32" t="str">
        <f t="shared" si="13"/>
        <v/>
      </c>
      <c r="M254" s="33" t="str">
        <f t="shared" ca="1" si="14"/>
        <v/>
      </c>
      <c r="N254" s="34" t="str">
        <f t="shared" si="15"/>
        <v/>
      </c>
      <c r="O254" s="23"/>
      <c r="P254" s="23"/>
    </row>
    <row r="255" spans="1:16" ht="21.75" customHeight="1" x14ac:dyDescent="0.25">
      <c r="A255" s="24"/>
      <c r="B255" s="24"/>
      <c r="C255" s="24"/>
      <c r="D255" s="34" t="str">
        <f>IF(C255="","",IFERROR(VLOOKUP(C255,CRM!$B$8:$O$1007,2,FALSE()),"Revisar ID"))</f>
        <v/>
      </c>
      <c r="E255" s="23"/>
      <c r="F255" s="37" t="str">
        <f t="shared" si="12"/>
        <v/>
      </c>
      <c r="G255" s="28"/>
      <c r="H255" s="29"/>
      <c r="I255" s="28"/>
      <c r="J255" s="29"/>
      <c r="K255" s="28"/>
      <c r="L255" s="32" t="str">
        <f t="shared" si="13"/>
        <v/>
      </c>
      <c r="M255" s="33" t="str">
        <f t="shared" ca="1" si="14"/>
        <v/>
      </c>
      <c r="N255" s="34" t="str">
        <f t="shared" si="15"/>
        <v/>
      </c>
      <c r="O255" s="23"/>
      <c r="P255" s="23"/>
    </row>
    <row r="256" spans="1:16" ht="21.75" customHeight="1" x14ac:dyDescent="0.25">
      <c r="A256" s="24"/>
      <c r="B256" s="24"/>
      <c r="C256" s="24"/>
      <c r="D256" s="34" t="str">
        <f>IF(C256="","",IFERROR(VLOOKUP(C256,CRM!$B$8:$O$1007,2,FALSE()),"Revisar ID"))</f>
        <v/>
      </c>
      <c r="E256" s="23"/>
      <c r="F256" s="37" t="str">
        <f t="shared" si="12"/>
        <v/>
      </c>
      <c r="G256" s="28"/>
      <c r="H256" s="29"/>
      <c r="I256" s="28"/>
      <c r="J256" s="29"/>
      <c r="K256" s="28"/>
      <c r="L256" s="32" t="str">
        <f t="shared" si="13"/>
        <v/>
      </c>
      <c r="M256" s="33" t="str">
        <f t="shared" ca="1" si="14"/>
        <v/>
      </c>
      <c r="N256" s="34" t="str">
        <f t="shared" si="15"/>
        <v/>
      </c>
      <c r="O256" s="23"/>
      <c r="P256" s="23"/>
    </row>
    <row r="257" spans="1:16" ht="21.75" customHeight="1" x14ac:dyDescent="0.25">
      <c r="A257" s="24"/>
      <c r="B257" s="24"/>
      <c r="C257" s="24"/>
      <c r="D257" s="34" t="str">
        <f>IF(C257="","",IFERROR(VLOOKUP(C257,CRM!$B$8:$O$1007,2,FALSE()),"Revisar ID"))</f>
        <v/>
      </c>
      <c r="E257" s="23"/>
      <c r="F257" s="37" t="str">
        <f t="shared" si="12"/>
        <v/>
      </c>
      <c r="G257" s="28"/>
      <c r="H257" s="29"/>
      <c r="I257" s="28"/>
      <c r="J257" s="29"/>
      <c r="K257" s="28"/>
      <c r="L257" s="32" t="str">
        <f t="shared" si="13"/>
        <v/>
      </c>
      <c r="M257" s="33" t="str">
        <f t="shared" ca="1" si="14"/>
        <v/>
      </c>
      <c r="N257" s="34" t="str">
        <f t="shared" si="15"/>
        <v/>
      </c>
      <c r="O257" s="23"/>
      <c r="P257" s="23"/>
    </row>
    <row r="258" spans="1:16" ht="21.75" customHeight="1" x14ac:dyDescent="0.25">
      <c r="A258" s="24"/>
      <c r="B258" s="24"/>
      <c r="C258" s="24"/>
      <c r="D258" s="34" t="str">
        <f>IF(C258="","",IFERROR(VLOOKUP(C258,CRM!$B$8:$O$1007,2,FALSE()),"Revisar ID"))</f>
        <v/>
      </c>
      <c r="E258" s="23"/>
      <c r="F258" s="37" t="str">
        <f t="shared" si="12"/>
        <v/>
      </c>
      <c r="G258" s="28"/>
      <c r="H258" s="29"/>
      <c r="I258" s="28"/>
      <c r="J258" s="29"/>
      <c r="K258" s="28"/>
      <c r="L258" s="32" t="str">
        <f t="shared" si="13"/>
        <v/>
      </c>
      <c r="M258" s="33" t="str">
        <f t="shared" ca="1" si="14"/>
        <v/>
      </c>
      <c r="N258" s="34" t="str">
        <f t="shared" si="15"/>
        <v/>
      </c>
      <c r="O258" s="23"/>
      <c r="P258" s="23"/>
    </row>
    <row r="259" spans="1:16" ht="21.75" customHeight="1" x14ac:dyDescent="0.25">
      <c r="A259" s="24"/>
      <c r="B259" s="24"/>
      <c r="C259" s="24"/>
      <c r="D259" s="34" t="str">
        <f>IF(C259="","",IFERROR(VLOOKUP(C259,CRM!$B$8:$O$1007,2,FALSE()),"Revisar ID"))</f>
        <v/>
      </c>
      <c r="E259" s="23"/>
      <c r="F259" s="37" t="str">
        <f t="shared" si="12"/>
        <v/>
      </c>
      <c r="G259" s="28"/>
      <c r="H259" s="29"/>
      <c r="I259" s="28"/>
      <c r="J259" s="29"/>
      <c r="K259" s="28"/>
      <c r="L259" s="32" t="str">
        <f t="shared" si="13"/>
        <v/>
      </c>
      <c r="M259" s="33" t="str">
        <f t="shared" ca="1" si="14"/>
        <v/>
      </c>
      <c r="N259" s="34" t="str">
        <f t="shared" si="15"/>
        <v/>
      </c>
      <c r="O259" s="23"/>
      <c r="P259" s="23"/>
    </row>
    <row r="260" spans="1:16" ht="21.75" customHeight="1" x14ac:dyDescent="0.25">
      <c r="A260" s="24"/>
      <c r="B260" s="24"/>
      <c r="C260" s="24"/>
      <c r="D260" s="34" t="str">
        <f>IF(C260="","",IFERROR(VLOOKUP(C260,CRM!$B$8:$O$1007,2,FALSE()),"Revisar ID"))</f>
        <v/>
      </c>
      <c r="E260" s="23"/>
      <c r="F260" s="37" t="str">
        <f t="shared" si="12"/>
        <v/>
      </c>
      <c r="G260" s="28"/>
      <c r="H260" s="29"/>
      <c r="I260" s="28"/>
      <c r="J260" s="29"/>
      <c r="K260" s="28"/>
      <c r="L260" s="32" t="str">
        <f t="shared" si="13"/>
        <v/>
      </c>
      <c r="M260" s="33" t="str">
        <f t="shared" ca="1" si="14"/>
        <v/>
      </c>
      <c r="N260" s="34" t="str">
        <f t="shared" si="15"/>
        <v/>
      </c>
      <c r="O260" s="23"/>
      <c r="P260" s="23"/>
    </row>
    <row r="261" spans="1:16" ht="21.75" customHeight="1" x14ac:dyDescent="0.25">
      <c r="A261" s="24"/>
      <c r="B261" s="24"/>
      <c r="C261" s="24"/>
      <c r="D261" s="34" t="str">
        <f>IF(C261="","",IFERROR(VLOOKUP(C261,CRM!$B$8:$O$1007,2,FALSE()),"Revisar ID"))</f>
        <v/>
      </c>
      <c r="E261" s="23"/>
      <c r="F261" s="37" t="str">
        <f t="shared" si="12"/>
        <v/>
      </c>
      <c r="G261" s="28"/>
      <c r="H261" s="29"/>
      <c r="I261" s="28"/>
      <c r="J261" s="29"/>
      <c r="K261" s="28"/>
      <c r="L261" s="32" t="str">
        <f t="shared" si="13"/>
        <v/>
      </c>
      <c r="M261" s="33" t="str">
        <f t="shared" ca="1" si="14"/>
        <v/>
      </c>
      <c r="N261" s="34" t="str">
        <f t="shared" si="15"/>
        <v/>
      </c>
      <c r="O261" s="23"/>
      <c r="P261" s="23"/>
    </row>
    <row r="262" spans="1:16" ht="21.75" customHeight="1" x14ac:dyDescent="0.25">
      <c r="A262" s="24"/>
      <c r="B262" s="24"/>
      <c r="C262" s="24"/>
      <c r="D262" s="34" t="str">
        <f>IF(C262="","",IFERROR(VLOOKUP(C262,CRM!$B$8:$O$1007,2,FALSE()),"Revisar ID"))</f>
        <v/>
      </c>
      <c r="E262" s="23"/>
      <c r="F262" s="37" t="str">
        <f t="shared" si="12"/>
        <v/>
      </c>
      <c r="G262" s="28"/>
      <c r="H262" s="29"/>
      <c r="I262" s="28"/>
      <c r="J262" s="29"/>
      <c r="K262" s="28"/>
      <c r="L262" s="32" t="str">
        <f t="shared" si="13"/>
        <v/>
      </c>
      <c r="M262" s="33" t="str">
        <f t="shared" ca="1" si="14"/>
        <v/>
      </c>
      <c r="N262" s="34" t="str">
        <f t="shared" si="15"/>
        <v/>
      </c>
      <c r="O262" s="23"/>
      <c r="P262" s="23"/>
    </row>
    <row r="263" spans="1:16" ht="21.75" customHeight="1" x14ac:dyDescent="0.25">
      <c r="A263" s="24"/>
      <c r="B263" s="24"/>
      <c r="C263" s="24"/>
      <c r="D263" s="34" t="str">
        <f>IF(C263="","",IFERROR(VLOOKUP(C263,CRM!$B$8:$O$1007,2,FALSE()),"Revisar ID"))</f>
        <v/>
      </c>
      <c r="E263" s="23"/>
      <c r="F263" s="37" t="str">
        <f t="shared" si="12"/>
        <v/>
      </c>
      <c r="G263" s="28"/>
      <c r="H263" s="29"/>
      <c r="I263" s="28"/>
      <c r="J263" s="29"/>
      <c r="K263" s="28"/>
      <c r="L263" s="32" t="str">
        <f t="shared" si="13"/>
        <v/>
      </c>
      <c r="M263" s="33" t="str">
        <f t="shared" ca="1" si="14"/>
        <v/>
      </c>
      <c r="N263" s="34" t="str">
        <f t="shared" si="15"/>
        <v/>
      </c>
      <c r="O263" s="23"/>
      <c r="P263" s="23"/>
    </row>
    <row r="264" spans="1:16" ht="21.75" customHeight="1" x14ac:dyDescent="0.25">
      <c r="A264" s="24"/>
      <c r="B264" s="24"/>
      <c r="C264" s="24"/>
      <c r="D264" s="34" t="str">
        <f>IF(C264="","",IFERROR(VLOOKUP(C264,CRM!$B$8:$O$1007,2,FALSE()),"Revisar ID"))</f>
        <v/>
      </c>
      <c r="E264" s="23"/>
      <c r="F264" s="37" t="str">
        <f t="shared" si="12"/>
        <v/>
      </c>
      <c r="G264" s="28"/>
      <c r="H264" s="29"/>
      <c r="I264" s="28"/>
      <c r="J264" s="29"/>
      <c r="K264" s="28"/>
      <c r="L264" s="32" t="str">
        <f t="shared" si="13"/>
        <v/>
      </c>
      <c r="M264" s="33" t="str">
        <f t="shared" ca="1" si="14"/>
        <v/>
      </c>
      <c r="N264" s="34" t="str">
        <f t="shared" si="15"/>
        <v/>
      </c>
      <c r="O264" s="23"/>
      <c r="P264" s="23"/>
    </row>
    <row r="265" spans="1:16" ht="21.75" customHeight="1" x14ac:dyDescent="0.25">
      <c r="A265" s="24"/>
      <c r="B265" s="24"/>
      <c r="C265" s="24"/>
      <c r="D265" s="34" t="str">
        <f>IF(C265="","",IFERROR(VLOOKUP(C265,CRM!$B$8:$O$1007,2,FALSE()),"Revisar ID"))</f>
        <v/>
      </c>
      <c r="E265" s="23"/>
      <c r="F265" s="37" t="str">
        <f t="shared" ref="F265:F328" si="16">IF(B265="","",B265+IF(E265="Contado",0,IF(E265="7 días",7,IF(E265="15 días",15,IF(E265="30 días",30,IF(E265="45 días",45,IF(E265="60 días",60,0)))))))</f>
        <v/>
      </c>
      <c r="G265" s="28"/>
      <c r="H265" s="29"/>
      <c r="I265" s="28"/>
      <c r="J265" s="29"/>
      <c r="K265" s="28"/>
      <c r="L265" s="32" t="str">
        <f t="shared" ref="L265:L328" si="17">IF(G265="","",MAX(0,G265-SUM(I265,K265)))</f>
        <v/>
      </c>
      <c r="M265" s="33" t="str">
        <f t="shared" ref="M265:M328" ca="1" si="18">IF(G265="","",IF(L265=0,0,MAX(0,TODAY()-F265)))</f>
        <v/>
      </c>
      <c r="N265" s="34" t="str">
        <f t="shared" ref="N265:N328" si="19">IF(G265="","",IF(L265=0,"Pagada",IF(M265&gt;0,"Vencida",IF(SUM(I265,K265)&gt;0,"Parcial","Pendiente"))))</f>
        <v/>
      </c>
      <c r="O265" s="23"/>
      <c r="P265" s="23"/>
    </row>
    <row r="266" spans="1:16" ht="21.75" customHeight="1" x14ac:dyDescent="0.25">
      <c r="A266" s="24"/>
      <c r="B266" s="24"/>
      <c r="C266" s="24"/>
      <c r="D266" s="34" t="str">
        <f>IF(C266="","",IFERROR(VLOOKUP(C266,CRM!$B$8:$O$1007,2,FALSE()),"Revisar ID"))</f>
        <v/>
      </c>
      <c r="E266" s="23"/>
      <c r="F266" s="37" t="str">
        <f t="shared" si="16"/>
        <v/>
      </c>
      <c r="G266" s="28"/>
      <c r="H266" s="29"/>
      <c r="I266" s="28"/>
      <c r="J266" s="29"/>
      <c r="K266" s="28"/>
      <c r="L266" s="32" t="str">
        <f t="shared" si="17"/>
        <v/>
      </c>
      <c r="M266" s="33" t="str">
        <f t="shared" ca="1" si="18"/>
        <v/>
      </c>
      <c r="N266" s="34" t="str">
        <f t="shared" si="19"/>
        <v/>
      </c>
      <c r="O266" s="23"/>
      <c r="P266" s="23"/>
    </row>
    <row r="267" spans="1:16" ht="21.75" customHeight="1" x14ac:dyDescent="0.25">
      <c r="A267" s="24"/>
      <c r="B267" s="24"/>
      <c r="C267" s="24"/>
      <c r="D267" s="34" t="str">
        <f>IF(C267="","",IFERROR(VLOOKUP(C267,CRM!$B$8:$O$1007,2,FALSE()),"Revisar ID"))</f>
        <v/>
      </c>
      <c r="E267" s="23"/>
      <c r="F267" s="37" t="str">
        <f t="shared" si="16"/>
        <v/>
      </c>
      <c r="G267" s="28"/>
      <c r="H267" s="29"/>
      <c r="I267" s="28"/>
      <c r="J267" s="29"/>
      <c r="K267" s="28"/>
      <c r="L267" s="32" t="str">
        <f t="shared" si="17"/>
        <v/>
      </c>
      <c r="M267" s="33" t="str">
        <f t="shared" ca="1" si="18"/>
        <v/>
      </c>
      <c r="N267" s="34" t="str">
        <f t="shared" si="19"/>
        <v/>
      </c>
      <c r="O267" s="23"/>
      <c r="P267" s="23"/>
    </row>
    <row r="268" spans="1:16" ht="21.75" customHeight="1" x14ac:dyDescent="0.25">
      <c r="A268" s="24"/>
      <c r="B268" s="24"/>
      <c r="C268" s="24"/>
      <c r="D268" s="34" t="str">
        <f>IF(C268="","",IFERROR(VLOOKUP(C268,CRM!$B$8:$O$1007,2,FALSE()),"Revisar ID"))</f>
        <v/>
      </c>
      <c r="E268" s="23"/>
      <c r="F268" s="37" t="str">
        <f t="shared" si="16"/>
        <v/>
      </c>
      <c r="G268" s="28"/>
      <c r="H268" s="29"/>
      <c r="I268" s="28"/>
      <c r="J268" s="29"/>
      <c r="K268" s="28"/>
      <c r="L268" s="32" t="str">
        <f t="shared" si="17"/>
        <v/>
      </c>
      <c r="M268" s="33" t="str">
        <f t="shared" ca="1" si="18"/>
        <v/>
      </c>
      <c r="N268" s="34" t="str">
        <f t="shared" si="19"/>
        <v/>
      </c>
      <c r="O268" s="23"/>
      <c r="P268" s="23"/>
    </row>
    <row r="269" spans="1:16" ht="21.75" customHeight="1" x14ac:dyDescent="0.25">
      <c r="A269" s="24"/>
      <c r="B269" s="24"/>
      <c r="C269" s="24"/>
      <c r="D269" s="34" t="str">
        <f>IF(C269="","",IFERROR(VLOOKUP(C269,CRM!$B$8:$O$1007,2,FALSE()),"Revisar ID"))</f>
        <v/>
      </c>
      <c r="E269" s="23"/>
      <c r="F269" s="37" t="str">
        <f t="shared" si="16"/>
        <v/>
      </c>
      <c r="G269" s="28"/>
      <c r="H269" s="29"/>
      <c r="I269" s="28"/>
      <c r="J269" s="29"/>
      <c r="K269" s="28"/>
      <c r="L269" s="32" t="str">
        <f t="shared" si="17"/>
        <v/>
      </c>
      <c r="M269" s="33" t="str">
        <f t="shared" ca="1" si="18"/>
        <v/>
      </c>
      <c r="N269" s="34" t="str">
        <f t="shared" si="19"/>
        <v/>
      </c>
      <c r="O269" s="23"/>
      <c r="P269" s="23"/>
    </row>
    <row r="270" spans="1:16" ht="21.75" customHeight="1" x14ac:dyDescent="0.25">
      <c r="A270" s="24"/>
      <c r="B270" s="24"/>
      <c r="C270" s="24"/>
      <c r="D270" s="34" t="str">
        <f>IF(C270="","",IFERROR(VLOOKUP(C270,CRM!$B$8:$O$1007,2,FALSE()),"Revisar ID"))</f>
        <v/>
      </c>
      <c r="E270" s="23"/>
      <c r="F270" s="37" t="str">
        <f t="shared" si="16"/>
        <v/>
      </c>
      <c r="G270" s="28"/>
      <c r="H270" s="29"/>
      <c r="I270" s="28"/>
      <c r="J270" s="29"/>
      <c r="K270" s="28"/>
      <c r="L270" s="32" t="str">
        <f t="shared" si="17"/>
        <v/>
      </c>
      <c r="M270" s="33" t="str">
        <f t="shared" ca="1" si="18"/>
        <v/>
      </c>
      <c r="N270" s="34" t="str">
        <f t="shared" si="19"/>
        <v/>
      </c>
      <c r="O270" s="23"/>
      <c r="P270" s="23"/>
    </row>
    <row r="271" spans="1:16" ht="21.75" customHeight="1" x14ac:dyDescent="0.25">
      <c r="A271" s="24"/>
      <c r="B271" s="24"/>
      <c r="C271" s="24"/>
      <c r="D271" s="34" t="str">
        <f>IF(C271="","",IFERROR(VLOOKUP(C271,CRM!$B$8:$O$1007,2,FALSE()),"Revisar ID"))</f>
        <v/>
      </c>
      <c r="E271" s="23"/>
      <c r="F271" s="37" t="str">
        <f t="shared" si="16"/>
        <v/>
      </c>
      <c r="G271" s="28"/>
      <c r="H271" s="29"/>
      <c r="I271" s="28"/>
      <c r="J271" s="29"/>
      <c r="K271" s="28"/>
      <c r="L271" s="32" t="str">
        <f t="shared" si="17"/>
        <v/>
      </c>
      <c r="M271" s="33" t="str">
        <f t="shared" ca="1" si="18"/>
        <v/>
      </c>
      <c r="N271" s="34" t="str">
        <f t="shared" si="19"/>
        <v/>
      </c>
      <c r="O271" s="23"/>
      <c r="P271" s="23"/>
    </row>
    <row r="272" spans="1:16" ht="21.75" customHeight="1" x14ac:dyDescent="0.25">
      <c r="A272" s="24"/>
      <c r="B272" s="24"/>
      <c r="C272" s="24"/>
      <c r="D272" s="34" t="str">
        <f>IF(C272="","",IFERROR(VLOOKUP(C272,CRM!$B$8:$O$1007,2,FALSE()),"Revisar ID"))</f>
        <v/>
      </c>
      <c r="E272" s="23"/>
      <c r="F272" s="37" t="str">
        <f t="shared" si="16"/>
        <v/>
      </c>
      <c r="G272" s="28"/>
      <c r="H272" s="29"/>
      <c r="I272" s="28"/>
      <c r="J272" s="29"/>
      <c r="K272" s="28"/>
      <c r="L272" s="32" t="str">
        <f t="shared" si="17"/>
        <v/>
      </c>
      <c r="M272" s="33" t="str">
        <f t="shared" ca="1" si="18"/>
        <v/>
      </c>
      <c r="N272" s="34" t="str">
        <f t="shared" si="19"/>
        <v/>
      </c>
      <c r="O272" s="23"/>
      <c r="P272" s="23"/>
    </row>
    <row r="273" spans="1:16" ht="21.75" customHeight="1" x14ac:dyDescent="0.25">
      <c r="A273" s="24"/>
      <c r="B273" s="24"/>
      <c r="C273" s="24"/>
      <c r="D273" s="34" t="str">
        <f>IF(C273="","",IFERROR(VLOOKUP(C273,CRM!$B$8:$O$1007,2,FALSE()),"Revisar ID"))</f>
        <v/>
      </c>
      <c r="E273" s="23"/>
      <c r="F273" s="37" t="str">
        <f t="shared" si="16"/>
        <v/>
      </c>
      <c r="G273" s="28"/>
      <c r="H273" s="29"/>
      <c r="I273" s="28"/>
      <c r="J273" s="29"/>
      <c r="K273" s="28"/>
      <c r="L273" s="32" t="str">
        <f t="shared" si="17"/>
        <v/>
      </c>
      <c r="M273" s="33" t="str">
        <f t="shared" ca="1" si="18"/>
        <v/>
      </c>
      <c r="N273" s="34" t="str">
        <f t="shared" si="19"/>
        <v/>
      </c>
      <c r="O273" s="23"/>
      <c r="P273" s="23"/>
    </row>
    <row r="274" spans="1:16" ht="21.75" customHeight="1" x14ac:dyDescent="0.25">
      <c r="A274" s="24"/>
      <c r="B274" s="24"/>
      <c r="C274" s="24"/>
      <c r="D274" s="34" t="str">
        <f>IF(C274="","",IFERROR(VLOOKUP(C274,CRM!$B$8:$O$1007,2,FALSE()),"Revisar ID"))</f>
        <v/>
      </c>
      <c r="E274" s="23"/>
      <c r="F274" s="37" t="str">
        <f t="shared" si="16"/>
        <v/>
      </c>
      <c r="G274" s="28"/>
      <c r="H274" s="29"/>
      <c r="I274" s="28"/>
      <c r="J274" s="29"/>
      <c r="K274" s="28"/>
      <c r="L274" s="32" t="str">
        <f t="shared" si="17"/>
        <v/>
      </c>
      <c r="M274" s="33" t="str">
        <f t="shared" ca="1" si="18"/>
        <v/>
      </c>
      <c r="N274" s="34" t="str">
        <f t="shared" si="19"/>
        <v/>
      </c>
      <c r="O274" s="23"/>
      <c r="P274" s="23"/>
    </row>
    <row r="275" spans="1:16" ht="21.75" customHeight="1" x14ac:dyDescent="0.25">
      <c r="A275" s="24"/>
      <c r="B275" s="24"/>
      <c r="C275" s="24"/>
      <c r="D275" s="34" t="str">
        <f>IF(C275="","",IFERROR(VLOOKUP(C275,CRM!$B$8:$O$1007,2,FALSE()),"Revisar ID"))</f>
        <v/>
      </c>
      <c r="E275" s="23"/>
      <c r="F275" s="37" t="str">
        <f t="shared" si="16"/>
        <v/>
      </c>
      <c r="G275" s="28"/>
      <c r="H275" s="29"/>
      <c r="I275" s="28"/>
      <c r="J275" s="29"/>
      <c r="K275" s="28"/>
      <c r="L275" s="32" t="str">
        <f t="shared" si="17"/>
        <v/>
      </c>
      <c r="M275" s="33" t="str">
        <f t="shared" ca="1" si="18"/>
        <v/>
      </c>
      <c r="N275" s="34" t="str">
        <f t="shared" si="19"/>
        <v/>
      </c>
      <c r="O275" s="23"/>
      <c r="P275" s="23"/>
    </row>
    <row r="276" spans="1:16" ht="21.75" customHeight="1" x14ac:dyDescent="0.25">
      <c r="A276" s="24"/>
      <c r="B276" s="24"/>
      <c r="C276" s="24"/>
      <c r="D276" s="34" t="str">
        <f>IF(C276="","",IFERROR(VLOOKUP(C276,CRM!$B$8:$O$1007,2,FALSE()),"Revisar ID"))</f>
        <v/>
      </c>
      <c r="E276" s="23"/>
      <c r="F276" s="37" t="str">
        <f t="shared" si="16"/>
        <v/>
      </c>
      <c r="G276" s="28"/>
      <c r="H276" s="29"/>
      <c r="I276" s="28"/>
      <c r="J276" s="29"/>
      <c r="K276" s="28"/>
      <c r="L276" s="32" t="str">
        <f t="shared" si="17"/>
        <v/>
      </c>
      <c r="M276" s="33" t="str">
        <f t="shared" ca="1" si="18"/>
        <v/>
      </c>
      <c r="N276" s="34" t="str">
        <f t="shared" si="19"/>
        <v/>
      </c>
      <c r="O276" s="23"/>
      <c r="P276" s="23"/>
    </row>
    <row r="277" spans="1:16" ht="21.75" customHeight="1" x14ac:dyDescent="0.25">
      <c r="A277" s="24"/>
      <c r="B277" s="24"/>
      <c r="C277" s="24"/>
      <c r="D277" s="34" t="str">
        <f>IF(C277="","",IFERROR(VLOOKUP(C277,CRM!$B$8:$O$1007,2,FALSE()),"Revisar ID"))</f>
        <v/>
      </c>
      <c r="E277" s="23"/>
      <c r="F277" s="37" t="str">
        <f t="shared" si="16"/>
        <v/>
      </c>
      <c r="G277" s="28"/>
      <c r="H277" s="29"/>
      <c r="I277" s="28"/>
      <c r="J277" s="29"/>
      <c r="K277" s="28"/>
      <c r="L277" s="32" t="str">
        <f t="shared" si="17"/>
        <v/>
      </c>
      <c r="M277" s="33" t="str">
        <f t="shared" ca="1" si="18"/>
        <v/>
      </c>
      <c r="N277" s="34" t="str">
        <f t="shared" si="19"/>
        <v/>
      </c>
      <c r="O277" s="23"/>
      <c r="P277" s="23"/>
    </row>
    <row r="278" spans="1:16" ht="21.75" customHeight="1" x14ac:dyDescent="0.25">
      <c r="A278" s="24"/>
      <c r="B278" s="24"/>
      <c r="C278" s="24"/>
      <c r="D278" s="34" t="str">
        <f>IF(C278="","",IFERROR(VLOOKUP(C278,CRM!$B$8:$O$1007,2,FALSE()),"Revisar ID"))</f>
        <v/>
      </c>
      <c r="E278" s="23"/>
      <c r="F278" s="37" t="str">
        <f t="shared" si="16"/>
        <v/>
      </c>
      <c r="G278" s="28"/>
      <c r="H278" s="29"/>
      <c r="I278" s="28"/>
      <c r="J278" s="29"/>
      <c r="K278" s="28"/>
      <c r="L278" s="32" t="str">
        <f t="shared" si="17"/>
        <v/>
      </c>
      <c r="M278" s="33" t="str">
        <f t="shared" ca="1" si="18"/>
        <v/>
      </c>
      <c r="N278" s="34" t="str">
        <f t="shared" si="19"/>
        <v/>
      </c>
      <c r="O278" s="23"/>
      <c r="P278" s="23"/>
    </row>
    <row r="279" spans="1:16" ht="21.75" customHeight="1" x14ac:dyDescent="0.25">
      <c r="A279" s="24"/>
      <c r="B279" s="24"/>
      <c r="C279" s="24"/>
      <c r="D279" s="34" t="str">
        <f>IF(C279="","",IFERROR(VLOOKUP(C279,CRM!$B$8:$O$1007,2,FALSE()),"Revisar ID"))</f>
        <v/>
      </c>
      <c r="E279" s="23"/>
      <c r="F279" s="37" t="str">
        <f t="shared" si="16"/>
        <v/>
      </c>
      <c r="G279" s="28"/>
      <c r="H279" s="29"/>
      <c r="I279" s="28"/>
      <c r="J279" s="29"/>
      <c r="K279" s="28"/>
      <c r="L279" s="32" t="str">
        <f t="shared" si="17"/>
        <v/>
      </c>
      <c r="M279" s="33" t="str">
        <f t="shared" ca="1" si="18"/>
        <v/>
      </c>
      <c r="N279" s="34" t="str">
        <f t="shared" si="19"/>
        <v/>
      </c>
      <c r="O279" s="23"/>
      <c r="P279" s="23"/>
    </row>
    <row r="280" spans="1:16" ht="21.75" customHeight="1" x14ac:dyDescent="0.25">
      <c r="A280" s="24"/>
      <c r="B280" s="24"/>
      <c r="C280" s="24"/>
      <c r="D280" s="34" t="str">
        <f>IF(C280="","",IFERROR(VLOOKUP(C280,CRM!$B$8:$O$1007,2,FALSE()),"Revisar ID"))</f>
        <v/>
      </c>
      <c r="E280" s="23"/>
      <c r="F280" s="37" t="str">
        <f t="shared" si="16"/>
        <v/>
      </c>
      <c r="G280" s="28"/>
      <c r="H280" s="29"/>
      <c r="I280" s="28"/>
      <c r="J280" s="29"/>
      <c r="K280" s="28"/>
      <c r="L280" s="32" t="str">
        <f t="shared" si="17"/>
        <v/>
      </c>
      <c r="M280" s="33" t="str">
        <f t="shared" ca="1" si="18"/>
        <v/>
      </c>
      <c r="N280" s="34" t="str">
        <f t="shared" si="19"/>
        <v/>
      </c>
      <c r="O280" s="23"/>
      <c r="P280" s="23"/>
    </row>
    <row r="281" spans="1:16" ht="21.75" customHeight="1" x14ac:dyDescent="0.25">
      <c r="A281" s="24"/>
      <c r="B281" s="24"/>
      <c r="C281" s="24"/>
      <c r="D281" s="34" t="str">
        <f>IF(C281="","",IFERROR(VLOOKUP(C281,CRM!$B$8:$O$1007,2,FALSE()),"Revisar ID"))</f>
        <v/>
      </c>
      <c r="E281" s="23"/>
      <c r="F281" s="37" t="str">
        <f t="shared" si="16"/>
        <v/>
      </c>
      <c r="G281" s="28"/>
      <c r="H281" s="29"/>
      <c r="I281" s="28"/>
      <c r="J281" s="29"/>
      <c r="K281" s="28"/>
      <c r="L281" s="32" t="str">
        <f t="shared" si="17"/>
        <v/>
      </c>
      <c r="M281" s="33" t="str">
        <f t="shared" ca="1" si="18"/>
        <v/>
      </c>
      <c r="N281" s="34" t="str">
        <f t="shared" si="19"/>
        <v/>
      </c>
      <c r="O281" s="23"/>
      <c r="P281" s="23"/>
    </row>
    <row r="282" spans="1:16" ht="21.75" customHeight="1" x14ac:dyDescent="0.25">
      <c r="A282" s="24"/>
      <c r="B282" s="24"/>
      <c r="C282" s="24"/>
      <c r="D282" s="34" t="str">
        <f>IF(C282="","",IFERROR(VLOOKUP(C282,CRM!$B$8:$O$1007,2,FALSE()),"Revisar ID"))</f>
        <v/>
      </c>
      <c r="E282" s="23"/>
      <c r="F282" s="37" t="str">
        <f t="shared" si="16"/>
        <v/>
      </c>
      <c r="G282" s="28"/>
      <c r="H282" s="29"/>
      <c r="I282" s="28"/>
      <c r="J282" s="29"/>
      <c r="K282" s="28"/>
      <c r="L282" s="32" t="str">
        <f t="shared" si="17"/>
        <v/>
      </c>
      <c r="M282" s="33" t="str">
        <f t="shared" ca="1" si="18"/>
        <v/>
      </c>
      <c r="N282" s="34" t="str">
        <f t="shared" si="19"/>
        <v/>
      </c>
      <c r="O282" s="23"/>
      <c r="P282" s="23"/>
    </row>
    <row r="283" spans="1:16" ht="21.75" customHeight="1" x14ac:dyDescent="0.25">
      <c r="A283" s="24"/>
      <c r="B283" s="24"/>
      <c r="C283" s="24"/>
      <c r="D283" s="34" t="str">
        <f>IF(C283="","",IFERROR(VLOOKUP(C283,CRM!$B$8:$O$1007,2,FALSE()),"Revisar ID"))</f>
        <v/>
      </c>
      <c r="E283" s="23"/>
      <c r="F283" s="37" t="str">
        <f t="shared" si="16"/>
        <v/>
      </c>
      <c r="G283" s="28"/>
      <c r="H283" s="29"/>
      <c r="I283" s="28"/>
      <c r="J283" s="29"/>
      <c r="K283" s="28"/>
      <c r="L283" s="32" t="str">
        <f t="shared" si="17"/>
        <v/>
      </c>
      <c r="M283" s="33" t="str">
        <f t="shared" ca="1" si="18"/>
        <v/>
      </c>
      <c r="N283" s="34" t="str">
        <f t="shared" si="19"/>
        <v/>
      </c>
      <c r="O283" s="23"/>
      <c r="P283" s="23"/>
    </row>
    <row r="284" spans="1:16" ht="21.75" customHeight="1" x14ac:dyDescent="0.25">
      <c r="A284" s="24"/>
      <c r="B284" s="24"/>
      <c r="C284" s="24"/>
      <c r="D284" s="34" t="str">
        <f>IF(C284="","",IFERROR(VLOOKUP(C284,CRM!$B$8:$O$1007,2,FALSE()),"Revisar ID"))</f>
        <v/>
      </c>
      <c r="E284" s="23"/>
      <c r="F284" s="37" t="str">
        <f t="shared" si="16"/>
        <v/>
      </c>
      <c r="G284" s="28"/>
      <c r="H284" s="29"/>
      <c r="I284" s="28"/>
      <c r="J284" s="29"/>
      <c r="K284" s="28"/>
      <c r="L284" s="32" t="str">
        <f t="shared" si="17"/>
        <v/>
      </c>
      <c r="M284" s="33" t="str">
        <f t="shared" ca="1" si="18"/>
        <v/>
      </c>
      <c r="N284" s="34" t="str">
        <f t="shared" si="19"/>
        <v/>
      </c>
      <c r="O284" s="23"/>
      <c r="P284" s="23"/>
    </row>
    <row r="285" spans="1:16" ht="21.75" customHeight="1" x14ac:dyDescent="0.25">
      <c r="A285" s="24"/>
      <c r="B285" s="24"/>
      <c r="C285" s="24"/>
      <c r="D285" s="34" t="str">
        <f>IF(C285="","",IFERROR(VLOOKUP(C285,CRM!$B$8:$O$1007,2,FALSE()),"Revisar ID"))</f>
        <v/>
      </c>
      <c r="E285" s="23"/>
      <c r="F285" s="37" t="str">
        <f t="shared" si="16"/>
        <v/>
      </c>
      <c r="G285" s="28"/>
      <c r="H285" s="29"/>
      <c r="I285" s="28"/>
      <c r="J285" s="29"/>
      <c r="K285" s="28"/>
      <c r="L285" s="32" t="str">
        <f t="shared" si="17"/>
        <v/>
      </c>
      <c r="M285" s="33" t="str">
        <f t="shared" ca="1" si="18"/>
        <v/>
      </c>
      <c r="N285" s="34" t="str">
        <f t="shared" si="19"/>
        <v/>
      </c>
      <c r="O285" s="23"/>
      <c r="P285" s="23"/>
    </row>
    <row r="286" spans="1:16" ht="21.75" customHeight="1" x14ac:dyDescent="0.25">
      <c r="A286" s="24"/>
      <c r="B286" s="24"/>
      <c r="C286" s="24"/>
      <c r="D286" s="34" t="str">
        <f>IF(C286="","",IFERROR(VLOOKUP(C286,CRM!$B$8:$O$1007,2,FALSE()),"Revisar ID"))</f>
        <v/>
      </c>
      <c r="E286" s="23"/>
      <c r="F286" s="37" t="str">
        <f t="shared" si="16"/>
        <v/>
      </c>
      <c r="G286" s="28"/>
      <c r="H286" s="29"/>
      <c r="I286" s="28"/>
      <c r="J286" s="29"/>
      <c r="K286" s="28"/>
      <c r="L286" s="32" t="str">
        <f t="shared" si="17"/>
        <v/>
      </c>
      <c r="M286" s="33" t="str">
        <f t="shared" ca="1" si="18"/>
        <v/>
      </c>
      <c r="N286" s="34" t="str">
        <f t="shared" si="19"/>
        <v/>
      </c>
      <c r="O286" s="23"/>
      <c r="P286" s="23"/>
    </row>
    <row r="287" spans="1:16" ht="21.75" customHeight="1" x14ac:dyDescent="0.25">
      <c r="A287" s="24"/>
      <c r="B287" s="24"/>
      <c r="C287" s="24"/>
      <c r="D287" s="34" t="str">
        <f>IF(C287="","",IFERROR(VLOOKUP(C287,CRM!$B$8:$O$1007,2,FALSE()),"Revisar ID"))</f>
        <v/>
      </c>
      <c r="E287" s="23"/>
      <c r="F287" s="37" t="str">
        <f t="shared" si="16"/>
        <v/>
      </c>
      <c r="G287" s="28"/>
      <c r="H287" s="29"/>
      <c r="I287" s="28"/>
      <c r="J287" s="29"/>
      <c r="K287" s="28"/>
      <c r="L287" s="32" t="str">
        <f t="shared" si="17"/>
        <v/>
      </c>
      <c r="M287" s="33" t="str">
        <f t="shared" ca="1" si="18"/>
        <v/>
      </c>
      <c r="N287" s="34" t="str">
        <f t="shared" si="19"/>
        <v/>
      </c>
      <c r="O287" s="23"/>
      <c r="P287" s="23"/>
    </row>
    <row r="288" spans="1:16" ht="21.75" customHeight="1" x14ac:dyDescent="0.25">
      <c r="A288" s="24"/>
      <c r="B288" s="24"/>
      <c r="C288" s="24"/>
      <c r="D288" s="34" t="str">
        <f>IF(C288="","",IFERROR(VLOOKUP(C288,CRM!$B$8:$O$1007,2,FALSE()),"Revisar ID"))</f>
        <v/>
      </c>
      <c r="E288" s="23"/>
      <c r="F288" s="37" t="str">
        <f t="shared" si="16"/>
        <v/>
      </c>
      <c r="G288" s="28"/>
      <c r="H288" s="29"/>
      <c r="I288" s="28"/>
      <c r="J288" s="29"/>
      <c r="K288" s="28"/>
      <c r="L288" s="32" t="str">
        <f t="shared" si="17"/>
        <v/>
      </c>
      <c r="M288" s="33" t="str">
        <f t="shared" ca="1" si="18"/>
        <v/>
      </c>
      <c r="N288" s="34" t="str">
        <f t="shared" si="19"/>
        <v/>
      </c>
      <c r="O288" s="23"/>
      <c r="P288" s="23"/>
    </row>
    <row r="289" spans="1:16" ht="21.75" customHeight="1" x14ac:dyDescent="0.25">
      <c r="A289" s="24"/>
      <c r="B289" s="24"/>
      <c r="C289" s="24"/>
      <c r="D289" s="34" t="str">
        <f>IF(C289="","",IFERROR(VLOOKUP(C289,CRM!$B$8:$O$1007,2,FALSE()),"Revisar ID"))</f>
        <v/>
      </c>
      <c r="E289" s="23"/>
      <c r="F289" s="37" t="str">
        <f t="shared" si="16"/>
        <v/>
      </c>
      <c r="G289" s="28"/>
      <c r="H289" s="29"/>
      <c r="I289" s="28"/>
      <c r="J289" s="29"/>
      <c r="K289" s="28"/>
      <c r="L289" s="32" t="str">
        <f t="shared" si="17"/>
        <v/>
      </c>
      <c r="M289" s="33" t="str">
        <f t="shared" ca="1" si="18"/>
        <v/>
      </c>
      <c r="N289" s="34" t="str">
        <f t="shared" si="19"/>
        <v/>
      </c>
      <c r="O289" s="23"/>
      <c r="P289" s="23"/>
    </row>
    <row r="290" spans="1:16" ht="21.75" customHeight="1" x14ac:dyDescent="0.25">
      <c r="A290" s="24"/>
      <c r="B290" s="24"/>
      <c r="C290" s="24"/>
      <c r="D290" s="34" t="str">
        <f>IF(C290="","",IFERROR(VLOOKUP(C290,CRM!$B$8:$O$1007,2,FALSE()),"Revisar ID"))</f>
        <v/>
      </c>
      <c r="E290" s="23"/>
      <c r="F290" s="37" t="str">
        <f t="shared" si="16"/>
        <v/>
      </c>
      <c r="G290" s="28"/>
      <c r="H290" s="29"/>
      <c r="I290" s="28"/>
      <c r="J290" s="29"/>
      <c r="K290" s="28"/>
      <c r="L290" s="32" t="str">
        <f t="shared" si="17"/>
        <v/>
      </c>
      <c r="M290" s="33" t="str">
        <f t="shared" ca="1" si="18"/>
        <v/>
      </c>
      <c r="N290" s="34" t="str">
        <f t="shared" si="19"/>
        <v/>
      </c>
      <c r="O290" s="23"/>
      <c r="P290" s="23"/>
    </row>
    <row r="291" spans="1:16" ht="21.75" customHeight="1" x14ac:dyDescent="0.25">
      <c r="A291" s="24"/>
      <c r="B291" s="24"/>
      <c r="C291" s="24"/>
      <c r="D291" s="34" t="str">
        <f>IF(C291="","",IFERROR(VLOOKUP(C291,CRM!$B$8:$O$1007,2,FALSE()),"Revisar ID"))</f>
        <v/>
      </c>
      <c r="E291" s="23"/>
      <c r="F291" s="37" t="str">
        <f t="shared" si="16"/>
        <v/>
      </c>
      <c r="G291" s="28"/>
      <c r="H291" s="29"/>
      <c r="I291" s="28"/>
      <c r="J291" s="29"/>
      <c r="K291" s="28"/>
      <c r="L291" s="32" t="str">
        <f t="shared" si="17"/>
        <v/>
      </c>
      <c r="M291" s="33" t="str">
        <f t="shared" ca="1" si="18"/>
        <v/>
      </c>
      <c r="N291" s="34" t="str">
        <f t="shared" si="19"/>
        <v/>
      </c>
      <c r="O291" s="23"/>
      <c r="P291" s="23"/>
    </row>
    <row r="292" spans="1:16" ht="21.75" customHeight="1" x14ac:dyDescent="0.25">
      <c r="A292" s="24"/>
      <c r="B292" s="24"/>
      <c r="C292" s="24"/>
      <c r="D292" s="34" t="str">
        <f>IF(C292="","",IFERROR(VLOOKUP(C292,CRM!$B$8:$O$1007,2,FALSE()),"Revisar ID"))</f>
        <v/>
      </c>
      <c r="E292" s="23"/>
      <c r="F292" s="37" t="str">
        <f t="shared" si="16"/>
        <v/>
      </c>
      <c r="G292" s="28"/>
      <c r="H292" s="29"/>
      <c r="I292" s="28"/>
      <c r="J292" s="29"/>
      <c r="K292" s="28"/>
      <c r="L292" s="32" t="str">
        <f t="shared" si="17"/>
        <v/>
      </c>
      <c r="M292" s="33" t="str">
        <f t="shared" ca="1" si="18"/>
        <v/>
      </c>
      <c r="N292" s="34" t="str">
        <f t="shared" si="19"/>
        <v/>
      </c>
      <c r="O292" s="23"/>
      <c r="P292" s="23"/>
    </row>
    <row r="293" spans="1:16" ht="21.75" customHeight="1" x14ac:dyDescent="0.25">
      <c r="A293" s="24"/>
      <c r="B293" s="24"/>
      <c r="C293" s="24"/>
      <c r="D293" s="34" t="str">
        <f>IF(C293="","",IFERROR(VLOOKUP(C293,CRM!$B$8:$O$1007,2,FALSE()),"Revisar ID"))</f>
        <v/>
      </c>
      <c r="E293" s="23"/>
      <c r="F293" s="37" t="str">
        <f t="shared" si="16"/>
        <v/>
      </c>
      <c r="G293" s="28"/>
      <c r="H293" s="29"/>
      <c r="I293" s="28"/>
      <c r="J293" s="29"/>
      <c r="K293" s="28"/>
      <c r="L293" s="32" t="str">
        <f t="shared" si="17"/>
        <v/>
      </c>
      <c r="M293" s="33" t="str">
        <f t="shared" ca="1" si="18"/>
        <v/>
      </c>
      <c r="N293" s="34" t="str">
        <f t="shared" si="19"/>
        <v/>
      </c>
      <c r="O293" s="23"/>
      <c r="P293" s="23"/>
    </row>
    <row r="294" spans="1:16" ht="21.75" customHeight="1" x14ac:dyDescent="0.25">
      <c r="A294" s="24"/>
      <c r="B294" s="24"/>
      <c r="C294" s="24"/>
      <c r="D294" s="34" t="str">
        <f>IF(C294="","",IFERROR(VLOOKUP(C294,CRM!$B$8:$O$1007,2,FALSE()),"Revisar ID"))</f>
        <v/>
      </c>
      <c r="E294" s="23"/>
      <c r="F294" s="37" t="str">
        <f t="shared" si="16"/>
        <v/>
      </c>
      <c r="G294" s="28"/>
      <c r="H294" s="29"/>
      <c r="I294" s="28"/>
      <c r="J294" s="29"/>
      <c r="K294" s="28"/>
      <c r="L294" s="32" t="str">
        <f t="shared" si="17"/>
        <v/>
      </c>
      <c r="M294" s="33" t="str">
        <f t="shared" ca="1" si="18"/>
        <v/>
      </c>
      <c r="N294" s="34" t="str">
        <f t="shared" si="19"/>
        <v/>
      </c>
      <c r="O294" s="23"/>
      <c r="P294" s="23"/>
    </row>
    <row r="295" spans="1:16" ht="21.75" customHeight="1" x14ac:dyDescent="0.25">
      <c r="A295" s="24"/>
      <c r="B295" s="24"/>
      <c r="C295" s="24"/>
      <c r="D295" s="34" t="str">
        <f>IF(C295="","",IFERROR(VLOOKUP(C295,CRM!$B$8:$O$1007,2,FALSE()),"Revisar ID"))</f>
        <v/>
      </c>
      <c r="E295" s="23"/>
      <c r="F295" s="37" t="str">
        <f t="shared" si="16"/>
        <v/>
      </c>
      <c r="G295" s="28"/>
      <c r="H295" s="29"/>
      <c r="I295" s="28"/>
      <c r="J295" s="29"/>
      <c r="K295" s="28"/>
      <c r="L295" s="32" t="str">
        <f t="shared" si="17"/>
        <v/>
      </c>
      <c r="M295" s="33" t="str">
        <f t="shared" ca="1" si="18"/>
        <v/>
      </c>
      <c r="N295" s="34" t="str">
        <f t="shared" si="19"/>
        <v/>
      </c>
      <c r="O295" s="23"/>
      <c r="P295" s="23"/>
    </row>
    <row r="296" spans="1:16" ht="21.75" customHeight="1" x14ac:dyDescent="0.25">
      <c r="A296" s="24"/>
      <c r="B296" s="24"/>
      <c r="C296" s="24"/>
      <c r="D296" s="34" t="str">
        <f>IF(C296="","",IFERROR(VLOOKUP(C296,CRM!$B$8:$O$1007,2,FALSE()),"Revisar ID"))</f>
        <v/>
      </c>
      <c r="E296" s="23"/>
      <c r="F296" s="37" t="str">
        <f t="shared" si="16"/>
        <v/>
      </c>
      <c r="G296" s="28"/>
      <c r="H296" s="29"/>
      <c r="I296" s="28"/>
      <c r="J296" s="29"/>
      <c r="K296" s="28"/>
      <c r="L296" s="32" t="str">
        <f t="shared" si="17"/>
        <v/>
      </c>
      <c r="M296" s="33" t="str">
        <f t="shared" ca="1" si="18"/>
        <v/>
      </c>
      <c r="N296" s="34" t="str">
        <f t="shared" si="19"/>
        <v/>
      </c>
      <c r="O296" s="23"/>
      <c r="P296" s="23"/>
    </row>
    <row r="297" spans="1:16" ht="21.75" customHeight="1" x14ac:dyDescent="0.25">
      <c r="A297" s="24"/>
      <c r="B297" s="24"/>
      <c r="C297" s="24"/>
      <c r="D297" s="34" t="str">
        <f>IF(C297="","",IFERROR(VLOOKUP(C297,CRM!$B$8:$O$1007,2,FALSE()),"Revisar ID"))</f>
        <v/>
      </c>
      <c r="E297" s="23"/>
      <c r="F297" s="37" t="str">
        <f t="shared" si="16"/>
        <v/>
      </c>
      <c r="G297" s="28"/>
      <c r="H297" s="29"/>
      <c r="I297" s="28"/>
      <c r="J297" s="29"/>
      <c r="K297" s="28"/>
      <c r="L297" s="32" t="str">
        <f t="shared" si="17"/>
        <v/>
      </c>
      <c r="M297" s="33" t="str">
        <f t="shared" ca="1" si="18"/>
        <v/>
      </c>
      <c r="N297" s="34" t="str">
        <f t="shared" si="19"/>
        <v/>
      </c>
      <c r="O297" s="23"/>
      <c r="P297" s="23"/>
    </row>
    <row r="298" spans="1:16" ht="21.75" customHeight="1" x14ac:dyDescent="0.25">
      <c r="A298" s="24"/>
      <c r="B298" s="24"/>
      <c r="C298" s="24"/>
      <c r="D298" s="34" t="str">
        <f>IF(C298="","",IFERROR(VLOOKUP(C298,CRM!$B$8:$O$1007,2,FALSE()),"Revisar ID"))</f>
        <v/>
      </c>
      <c r="E298" s="23"/>
      <c r="F298" s="37" t="str">
        <f t="shared" si="16"/>
        <v/>
      </c>
      <c r="G298" s="28"/>
      <c r="H298" s="29"/>
      <c r="I298" s="28"/>
      <c r="J298" s="29"/>
      <c r="K298" s="28"/>
      <c r="L298" s="32" t="str">
        <f t="shared" si="17"/>
        <v/>
      </c>
      <c r="M298" s="33" t="str">
        <f t="shared" ca="1" si="18"/>
        <v/>
      </c>
      <c r="N298" s="34" t="str">
        <f t="shared" si="19"/>
        <v/>
      </c>
      <c r="O298" s="23"/>
      <c r="P298" s="23"/>
    </row>
    <row r="299" spans="1:16" ht="21.75" customHeight="1" x14ac:dyDescent="0.25">
      <c r="A299" s="24"/>
      <c r="B299" s="24"/>
      <c r="C299" s="24"/>
      <c r="D299" s="34" t="str">
        <f>IF(C299="","",IFERROR(VLOOKUP(C299,CRM!$B$8:$O$1007,2,FALSE()),"Revisar ID"))</f>
        <v/>
      </c>
      <c r="E299" s="23"/>
      <c r="F299" s="37" t="str">
        <f t="shared" si="16"/>
        <v/>
      </c>
      <c r="G299" s="28"/>
      <c r="H299" s="29"/>
      <c r="I299" s="28"/>
      <c r="J299" s="29"/>
      <c r="K299" s="28"/>
      <c r="L299" s="32" t="str">
        <f t="shared" si="17"/>
        <v/>
      </c>
      <c r="M299" s="33" t="str">
        <f t="shared" ca="1" si="18"/>
        <v/>
      </c>
      <c r="N299" s="34" t="str">
        <f t="shared" si="19"/>
        <v/>
      </c>
      <c r="O299" s="23"/>
      <c r="P299" s="23"/>
    </row>
    <row r="300" spans="1:16" ht="21.75" customHeight="1" x14ac:dyDescent="0.25">
      <c r="A300" s="24"/>
      <c r="B300" s="24"/>
      <c r="C300" s="24"/>
      <c r="D300" s="34" t="str">
        <f>IF(C300="","",IFERROR(VLOOKUP(C300,CRM!$B$8:$O$1007,2,FALSE()),"Revisar ID"))</f>
        <v/>
      </c>
      <c r="E300" s="23"/>
      <c r="F300" s="37" t="str">
        <f t="shared" si="16"/>
        <v/>
      </c>
      <c r="G300" s="28"/>
      <c r="H300" s="29"/>
      <c r="I300" s="28"/>
      <c r="J300" s="29"/>
      <c r="K300" s="28"/>
      <c r="L300" s="32" t="str">
        <f t="shared" si="17"/>
        <v/>
      </c>
      <c r="M300" s="33" t="str">
        <f t="shared" ca="1" si="18"/>
        <v/>
      </c>
      <c r="N300" s="34" t="str">
        <f t="shared" si="19"/>
        <v/>
      </c>
      <c r="O300" s="23"/>
      <c r="P300" s="23"/>
    </row>
    <row r="301" spans="1:16" ht="21.75" customHeight="1" x14ac:dyDescent="0.25">
      <c r="A301" s="24"/>
      <c r="B301" s="24"/>
      <c r="C301" s="24"/>
      <c r="D301" s="34" t="str">
        <f>IF(C301="","",IFERROR(VLOOKUP(C301,CRM!$B$8:$O$1007,2,FALSE()),"Revisar ID"))</f>
        <v/>
      </c>
      <c r="E301" s="23"/>
      <c r="F301" s="37" t="str">
        <f t="shared" si="16"/>
        <v/>
      </c>
      <c r="G301" s="28"/>
      <c r="H301" s="29"/>
      <c r="I301" s="28"/>
      <c r="J301" s="29"/>
      <c r="K301" s="28"/>
      <c r="L301" s="32" t="str">
        <f t="shared" si="17"/>
        <v/>
      </c>
      <c r="M301" s="33" t="str">
        <f t="shared" ca="1" si="18"/>
        <v/>
      </c>
      <c r="N301" s="34" t="str">
        <f t="shared" si="19"/>
        <v/>
      </c>
      <c r="O301" s="23"/>
      <c r="P301" s="23"/>
    </row>
    <row r="302" spans="1:16" ht="21.75" customHeight="1" x14ac:dyDescent="0.25">
      <c r="A302" s="24"/>
      <c r="B302" s="24"/>
      <c r="C302" s="24"/>
      <c r="D302" s="34" t="str">
        <f>IF(C302="","",IFERROR(VLOOKUP(C302,CRM!$B$8:$O$1007,2,FALSE()),"Revisar ID"))</f>
        <v/>
      </c>
      <c r="E302" s="23"/>
      <c r="F302" s="37" t="str">
        <f t="shared" si="16"/>
        <v/>
      </c>
      <c r="G302" s="28"/>
      <c r="H302" s="29"/>
      <c r="I302" s="28"/>
      <c r="J302" s="29"/>
      <c r="K302" s="28"/>
      <c r="L302" s="32" t="str">
        <f t="shared" si="17"/>
        <v/>
      </c>
      <c r="M302" s="33" t="str">
        <f t="shared" ca="1" si="18"/>
        <v/>
      </c>
      <c r="N302" s="34" t="str">
        <f t="shared" si="19"/>
        <v/>
      </c>
      <c r="O302" s="23"/>
      <c r="P302" s="23"/>
    </row>
    <row r="303" spans="1:16" ht="21.75" customHeight="1" x14ac:dyDescent="0.25">
      <c r="A303" s="24"/>
      <c r="B303" s="24"/>
      <c r="C303" s="24"/>
      <c r="D303" s="34" t="str">
        <f>IF(C303="","",IFERROR(VLOOKUP(C303,CRM!$B$8:$O$1007,2,FALSE()),"Revisar ID"))</f>
        <v/>
      </c>
      <c r="E303" s="23"/>
      <c r="F303" s="37" t="str">
        <f t="shared" si="16"/>
        <v/>
      </c>
      <c r="G303" s="28"/>
      <c r="H303" s="29"/>
      <c r="I303" s="28"/>
      <c r="J303" s="29"/>
      <c r="K303" s="28"/>
      <c r="L303" s="32" t="str">
        <f t="shared" si="17"/>
        <v/>
      </c>
      <c r="M303" s="33" t="str">
        <f t="shared" ca="1" si="18"/>
        <v/>
      </c>
      <c r="N303" s="34" t="str">
        <f t="shared" si="19"/>
        <v/>
      </c>
      <c r="O303" s="23"/>
      <c r="P303" s="23"/>
    </row>
    <row r="304" spans="1:16" ht="21.75" customHeight="1" x14ac:dyDescent="0.25">
      <c r="A304" s="24"/>
      <c r="B304" s="24"/>
      <c r="C304" s="24"/>
      <c r="D304" s="34" t="str">
        <f>IF(C304="","",IFERROR(VLOOKUP(C304,CRM!$B$8:$O$1007,2,FALSE()),"Revisar ID"))</f>
        <v/>
      </c>
      <c r="E304" s="23"/>
      <c r="F304" s="37" t="str">
        <f t="shared" si="16"/>
        <v/>
      </c>
      <c r="G304" s="28"/>
      <c r="H304" s="29"/>
      <c r="I304" s="28"/>
      <c r="J304" s="29"/>
      <c r="K304" s="28"/>
      <c r="L304" s="32" t="str">
        <f t="shared" si="17"/>
        <v/>
      </c>
      <c r="M304" s="33" t="str">
        <f t="shared" ca="1" si="18"/>
        <v/>
      </c>
      <c r="N304" s="34" t="str">
        <f t="shared" si="19"/>
        <v/>
      </c>
      <c r="O304" s="23"/>
      <c r="P304" s="23"/>
    </row>
    <row r="305" spans="1:16" ht="21.75" customHeight="1" x14ac:dyDescent="0.25">
      <c r="A305" s="24"/>
      <c r="B305" s="24"/>
      <c r="C305" s="24"/>
      <c r="D305" s="34" t="str">
        <f>IF(C305="","",IFERROR(VLOOKUP(C305,CRM!$B$8:$O$1007,2,FALSE()),"Revisar ID"))</f>
        <v/>
      </c>
      <c r="E305" s="23"/>
      <c r="F305" s="37" t="str">
        <f t="shared" si="16"/>
        <v/>
      </c>
      <c r="G305" s="28"/>
      <c r="H305" s="29"/>
      <c r="I305" s="28"/>
      <c r="J305" s="29"/>
      <c r="K305" s="28"/>
      <c r="L305" s="32" t="str">
        <f t="shared" si="17"/>
        <v/>
      </c>
      <c r="M305" s="33" t="str">
        <f t="shared" ca="1" si="18"/>
        <v/>
      </c>
      <c r="N305" s="34" t="str">
        <f t="shared" si="19"/>
        <v/>
      </c>
      <c r="O305" s="23"/>
      <c r="P305" s="23"/>
    </row>
    <row r="306" spans="1:16" ht="21.75" customHeight="1" x14ac:dyDescent="0.25">
      <c r="A306" s="24"/>
      <c r="B306" s="24"/>
      <c r="C306" s="24"/>
      <c r="D306" s="34" t="str">
        <f>IF(C306="","",IFERROR(VLOOKUP(C306,CRM!$B$8:$O$1007,2,FALSE()),"Revisar ID"))</f>
        <v/>
      </c>
      <c r="E306" s="23"/>
      <c r="F306" s="37" t="str">
        <f t="shared" si="16"/>
        <v/>
      </c>
      <c r="G306" s="28"/>
      <c r="H306" s="29"/>
      <c r="I306" s="28"/>
      <c r="J306" s="29"/>
      <c r="K306" s="28"/>
      <c r="L306" s="32" t="str">
        <f t="shared" si="17"/>
        <v/>
      </c>
      <c r="M306" s="33" t="str">
        <f t="shared" ca="1" si="18"/>
        <v/>
      </c>
      <c r="N306" s="34" t="str">
        <f t="shared" si="19"/>
        <v/>
      </c>
      <c r="O306" s="23"/>
      <c r="P306" s="23"/>
    </row>
    <row r="307" spans="1:16" ht="21.75" customHeight="1" x14ac:dyDescent="0.25">
      <c r="A307" s="24"/>
      <c r="B307" s="24"/>
      <c r="C307" s="24"/>
      <c r="D307" s="34" t="str">
        <f>IF(C307="","",IFERROR(VLOOKUP(C307,CRM!$B$8:$O$1007,2,FALSE()),"Revisar ID"))</f>
        <v/>
      </c>
      <c r="E307" s="23"/>
      <c r="F307" s="37" t="str">
        <f t="shared" si="16"/>
        <v/>
      </c>
      <c r="G307" s="28"/>
      <c r="H307" s="29"/>
      <c r="I307" s="28"/>
      <c r="J307" s="29"/>
      <c r="K307" s="28"/>
      <c r="L307" s="32" t="str">
        <f t="shared" si="17"/>
        <v/>
      </c>
      <c r="M307" s="33" t="str">
        <f t="shared" ca="1" si="18"/>
        <v/>
      </c>
      <c r="N307" s="34" t="str">
        <f t="shared" si="19"/>
        <v/>
      </c>
      <c r="O307" s="23"/>
      <c r="P307" s="23"/>
    </row>
    <row r="308" spans="1:16" ht="21.75" customHeight="1" x14ac:dyDescent="0.25">
      <c r="A308" s="24"/>
      <c r="B308" s="24"/>
      <c r="C308" s="24"/>
      <c r="D308" s="34" t="str">
        <f>IF(C308="","",IFERROR(VLOOKUP(C308,CRM!$B$8:$O$1007,2,FALSE()),"Revisar ID"))</f>
        <v/>
      </c>
      <c r="E308" s="23"/>
      <c r="F308" s="37" t="str">
        <f t="shared" si="16"/>
        <v/>
      </c>
      <c r="G308" s="28"/>
      <c r="H308" s="29"/>
      <c r="I308" s="28"/>
      <c r="J308" s="29"/>
      <c r="K308" s="28"/>
      <c r="L308" s="32" t="str">
        <f t="shared" si="17"/>
        <v/>
      </c>
      <c r="M308" s="33" t="str">
        <f t="shared" ca="1" si="18"/>
        <v/>
      </c>
      <c r="N308" s="34" t="str">
        <f t="shared" si="19"/>
        <v/>
      </c>
      <c r="O308" s="23"/>
      <c r="P308" s="23"/>
    </row>
    <row r="309" spans="1:16" ht="21.75" customHeight="1" x14ac:dyDescent="0.25">
      <c r="A309" s="24"/>
      <c r="B309" s="24"/>
      <c r="C309" s="24"/>
      <c r="D309" s="34" t="str">
        <f>IF(C309="","",IFERROR(VLOOKUP(C309,CRM!$B$8:$O$1007,2,FALSE()),"Revisar ID"))</f>
        <v/>
      </c>
      <c r="E309" s="23"/>
      <c r="F309" s="37" t="str">
        <f t="shared" si="16"/>
        <v/>
      </c>
      <c r="G309" s="28"/>
      <c r="H309" s="29"/>
      <c r="I309" s="28"/>
      <c r="J309" s="29"/>
      <c r="K309" s="28"/>
      <c r="L309" s="32" t="str">
        <f t="shared" si="17"/>
        <v/>
      </c>
      <c r="M309" s="33" t="str">
        <f t="shared" ca="1" si="18"/>
        <v/>
      </c>
      <c r="N309" s="34" t="str">
        <f t="shared" si="19"/>
        <v/>
      </c>
      <c r="O309" s="23"/>
      <c r="P309" s="23"/>
    </row>
    <row r="310" spans="1:16" ht="21.75" customHeight="1" x14ac:dyDescent="0.25">
      <c r="A310" s="24"/>
      <c r="B310" s="24"/>
      <c r="C310" s="24"/>
      <c r="D310" s="34" t="str">
        <f>IF(C310="","",IFERROR(VLOOKUP(C310,CRM!$B$8:$O$1007,2,FALSE()),"Revisar ID"))</f>
        <v/>
      </c>
      <c r="E310" s="23"/>
      <c r="F310" s="37" t="str">
        <f t="shared" si="16"/>
        <v/>
      </c>
      <c r="G310" s="28"/>
      <c r="H310" s="29"/>
      <c r="I310" s="28"/>
      <c r="J310" s="29"/>
      <c r="K310" s="28"/>
      <c r="L310" s="32" t="str">
        <f t="shared" si="17"/>
        <v/>
      </c>
      <c r="M310" s="33" t="str">
        <f t="shared" ca="1" si="18"/>
        <v/>
      </c>
      <c r="N310" s="34" t="str">
        <f t="shared" si="19"/>
        <v/>
      </c>
      <c r="O310" s="23"/>
      <c r="P310" s="23"/>
    </row>
    <row r="311" spans="1:16" ht="21.75" customHeight="1" x14ac:dyDescent="0.25">
      <c r="A311" s="24"/>
      <c r="B311" s="24"/>
      <c r="C311" s="24"/>
      <c r="D311" s="34" t="str">
        <f>IF(C311="","",IFERROR(VLOOKUP(C311,CRM!$B$8:$O$1007,2,FALSE()),"Revisar ID"))</f>
        <v/>
      </c>
      <c r="E311" s="23"/>
      <c r="F311" s="37" t="str">
        <f t="shared" si="16"/>
        <v/>
      </c>
      <c r="G311" s="28"/>
      <c r="H311" s="29"/>
      <c r="I311" s="28"/>
      <c r="J311" s="29"/>
      <c r="K311" s="28"/>
      <c r="L311" s="32" t="str">
        <f t="shared" si="17"/>
        <v/>
      </c>
      <c r="M311" s="33" t="str">
        <f t="shared" ca="1" si="18"/>
        <v/>
      </c>
      <c r="N311" s="34" t="str">
        <f t="shared" si="19"/>
        <v/>
      </c>
      <c r="O311" s="23"/>
      <c r="P311" s="23"/>
    </row>
    <row r="312" spans="1:16" ht="21.75" customHeight="1" x14ac:dyDescent="0.25">
      <c r="A312" s="24"/>
      <c r="B312" s="24"/>
      <c r="C312" s="24"/>
      <c r="D312" s="34" t="str">
        <f>IF(C312="","",IFERROR(VLOOKUP(C312,CRM!$B$8:$O$1007,2,FALSE()),"Revisar ID"))</f>
        <v/>
      </c>
      <c r="E312" s="23"/>
      <c r="F312" s="37" t="str">
        <f t="shared" si="16"/>
        <v/>
      </c>
      <c r="G312" s="28"/>
      <c r="H312" s="29"/>
      <c r="I312" s="28"/>
      <c r="J312" s="29"/>
      <c r="K312" s="28"/>
      <c r="L312" s="32" t="str">
        <f t="shared" si="17"/>
        <v/>
      </c>
      <c r="M312" s="33" t="str">
        <f t="shared" ca="1" si="18"/>
        <v/>
      </c>
      <c r="N312" s="34" t="str">
        <f t="shared" si="19"/>
        <v/>
      </c>
      <c r="O312" s="23"/>
      <c r="P312" s="23"/>
    </row>
    <row r="313" spans="1:16" ht="21.75" customHeight="1" x14ac:dyDescent="0.25">
      <c r="A313" s="24"/>
      <c r="B313" s="24"/>
      <c r="C313" s="24"/>
      <c r="D313" s="34" t="str">
        <f>IF(C313="","",IFERROR(VLOOKUP(C313,CRM!$B$8:$O$1007,2,FALSE()),"Revisar ID"))</f>
        <v/>
      </c>
      <c r="E313" s="23"/>
      <c r="F313" s="37" t="str">
        <f t="shared" si="16"/>
        <v/>
      </c>
      <c r="G313" s="28"/>
      <c r="H313" s="29"/>
      <c r="I313" s="28"/>
      <c r="J313" s="29"/>
      <c r="K313" s="28"/>
      <c r="L313" s="32" t="str">
        <f t="shared" si="17"/>
        <v/>
      </c>
      <c r="M313" s="33" t="str">
        <f t="shared" ca="1" si="18"/>
        <v/>
      </c>
      <c r="N313" s="34" t="str">
        <f t="shared" si="19"/>
        <v/>
      </c>
      <c r="O313" s="23"/>
      <c r="P313" s="23"/>
    </row>
    <row r="314" spans="1:16" ht="21.75" customHeight="1" x14ac:dyDescent="0.25">
      <c r="A314" s="24"/>
      <c r="B314" s="24"/>
      <c r="C314" s="24"/>
      <c r="D314" s="34" t="str">
        <f>IF(C314="","",IFERROR(VLOOKUP(C314,CRM!$B$8:$O$1007,2,FALSE()),"Revisar ID"))</f>
        <v/>
      </c>
      <c r="E314" s="23"/>
      <c r="F314" s="37" t="str">
        <f t="shared" si="16"/>
        <v/>
      </c>
      <c r="G314" s="28"/>
      <c r="H314" s="29"/>
      <c r="I314" s="28"/>
      <c r="J314" s="29"/>
      <c r="K314" s="28"/>
      <c r="L314" s="32" t="str">
        <f t="shared" si="17"/>
        <v/>
      </c>
      <c r="M314" s="33" t="str">
        <f t="shared" ca="1" si="18"/>
        <v/>
      </c>
      <c r="N314" s="34" t="str">
        <f t="shared" si="19"/>
        <v/>
      </c>
      <c r="O314" s="23"/>
      <c r="P314" s="23"/>
    </row>
    <row r="315" spans="1:16" ht="21.75" customHeight="1" x14ac:dyDescent="0.25">
      <c r="A315" s="24"/>
      <c r="B315" s="24"/>
      <c r="C315" s="24"/>
      <c r="D315" s="34" t="str">
        <f>IF(C315="","",IFERROR(VLOOKUP(C315,CRM!$B$8:$O$1007,2,FALSE()),"Revisar ID"))</f>
        <v/>
      </c>
      <c r="E315" s="23"/>
      <c r="F315" s="37" t="str">
        <f t="shared" si="16"/>
        <v/>
      </c>
      <c r="G315" s="28"/>
      <c r="H315" s="29"/>
      <c r="I315" s="28"/>
      <c r="J315" s="29"/>
      <c r="K315" s="28"/>
      <c r="L315" s="32" t="str">
        <f t="shared" si="17"/>
        <v/>
      </c>
      <c r="M315" s="33" t="str">
        <f t="shared" ca="1" si="18"/>
        <v/>
      </c>
      <c r="N315" s="34" t="str">
        <f t="shared" si="19"/>
        <v/>
      </c>
      <c r="O315" s="23"/>
      <c r="P315" s="23"/>
    </row>
    <row r="316" spans="1:16" ht="21.75" customHeight="1" x14ac:dyDescent="0.25">
      <c r="A316" s="24"/>
      <c r="B316" s="24"/>
      <c r="C316" s="24"/>
      <c r="D316" s="34" t="str">
        <f>IF(C316="","",IFERROR(VLOOKUP(C316,CRM!$B$8:$O$1007,2,FALSE()),"Revisar ID"))</f>
        <v/>
      </c>
      <c r="E316" s="23"/>
      <c r="F316" s="37" t="str">
        <f t="shared" si="16"/>
        <v/>
      </c>
      <c r="G316" s="28"/>
      <c r="H316" s="29"/>
      <c r="I316" s="28"/>
      <c r="J316" s="29"/>
      <c r="K316" s="28"/>
      <c r="L316" s="32" t="str">
        <f t="shared" si="17"/>
        <v/>
      </c>
      <c r="M316" s="33" t="str">
        <f t="shared" ca="1" si="18"/>
        <v/>
      </c>
      <c r="N316" s="34" t="str">
        <f t="shared" si="19"/>
        <v/>
      </c>
      <c r="O316" s="23"/>
      <c r="P316" s="23"/>
    </row>
    <row r="317" spans="1:16" ht="21.75" customHeight="1" x14ac:dyDescent="0.25">
      <c r="A317" s="24"/>
      <c r="B317" s="24"/>
      <c r="C317" s="24"/>
      <c r="D317" s="34" t="str">
        <f>IF(C317="","",IFERROR(VLOOKUP(C317,CRM!$B$8:$O$1007,2,FALSE()),"Revisar ID"))</f>
        <v/>
      </c>
      <c r="E317" s="23"/>
      <c r="F317" s="37" t="str">
        <f t="shared" si="16"/>
        <v/>
      </c>
      <c r="G317" s="28"/>
      <c r="H317" s="29"/>
      <c r="I317" s="28"/>
      <c r="J317" s="29"/>
      <c r="K317" s="28"/>
      <c r="L317" s="32" t="str">
        <f t="shared" si="17"/>
        <v/>
      </c>
      <c r="M317" s="33" t="str">
        <f t="shared" ca="1" si="18"/>
        <v/>
      </c>
      <c r="N317" s="34" t="str">
        <f t="shared" si="19"/>
        <v/>
      </c>
      <c r="O317" s="23"/>
      <c r="P317" s="23"/>
    </row>
    <row r="318" spans="1:16" ht="21.75" customHeight="1" x14ac:dyDescent="0.25">
      <c r="A318" s="24"/>
      <c r="B318" s="24"/>
      <c r="C318" s="24"/>
      <c r="D318" s="34" t="str">
        <f>IF(C318="","",IFERROR(VLOOKUP(C318,CRM!$B$8:$O$1007,2,FALSE()),"Revisar ID"))</f>
        <v/>
      </c>
      <c r="E318" s="23"/>
      <c r="F318" s="37" t="str">
        <f t="shared" si="16"/>
        <v/>
      </c>
      <c r="G318" s="28"/>
      <c r="H318" s="29"/>
      <c r="I318" s="28"/>
      <c r="J318" s="29"/>
      <c r="K318" s="28"/>
      <c r="L318" s="32" t="str">
        <f t="shared" si="17"/>
        <v/>
      </c>
      <c r="M318" s="33" t="str">
        <f t="shared" ca="1" si="18"/>
        <v/>
      </c>
      <c r="N318" s="34" t="str">
        <f t="shared" si="19"/>
        <v/>
      </c>
      <c r="O318" s="23"/>
      <c r="P318" s="23"/>
    </row>
    <row r="319" spans="1:16" ht="21.75" customHeight="1" x14ac:dyDescent="0.25">
      <c r="A319" s="24"/>
      <c r="B319" s="24"/>
      <c r="C319" s="24"/>
      <c r="D319" s="34" t="str">
        <f>IF(C319="","",IFERROR(VLOOKUP(C319,CRM!$B$8:$O$1007,2,FALSE()),"Revisar ID"))</f>
        <v/>
      </c>
      <c r="E319" s="23"/>
      <c r="F319" s="37" t="str">
        <f t="shared" si="16"/>
        <v/>
      </c>
      <c r="G319" s="28"/>
      <c r="H319" s="29"/>
      <c r="I319" s="28"/>
      <c r="J319" s="29"/>
      <c r="K319" s="28"/>
      <c r="L319" s="32" t="str">
        <f t="shared" si="17"/>
        <v/>
      </c>
      <c r="M319" s="33" t="str">
        <f t="shared" ca="1" si="18"/>
        <v/>
      </c>
      <c r="N319" s="34" t="str">
        <f t="shared" si="19"/>
        <v/>
      </c>
      <c r="O319" s="23"/>
      <c r="P319" s="23"/>
    </row>
    <row r="320" spans="1:16" ht="21.75" customHeight="1" x14ac:dyDescent="0.25">
      <c r="A320" s="24"/>
      <c r="B320" s="24"/>
      <c r="C320" s="24"/>
      <c r="D320" s="34" t="str">
        <f>IF(C320="","",IFERROR(VLOOKUP(C320,CRM!$B$8:$O$1007,2,FALSE()),"Revisar ID"))</f>
        <v/>
      </c>
      <c r="E320" s="23"/>
      <c r="F320" s="37" t="str">
        <f t="shared" si="16"/>
        <v/>
      </c>
      <c r="G320" s="28"/>
      <c r="H320" s="29"/>
      <c r="I320" s="28"/>
      <c r="J320" s="29"/>
      <c r="K320" s="28"/>
      <c r="L320" s="32" t="str">
        <f t="shared" si="17"/>
        <v/>
      </c>
      <c r="M320" s="33" t="str">
        <f t="shared" ca="1" si="18"/>
        <v/>
      </c>
      <c r="N320" s="34" t="str">
        <f t="shared" si="19"/>
        <v/>
      </c>
      <c r="O320" s="23"/>
      <c r="P320" s="23"/>
    </row>
    <row r="321" spans="1:16" ht="21.75" customHeight="1" x14ac:dyDescent="0.25">
      <c r="A321" s="24"/>
      <c r="B321" s="24"/>
      <c r="C321" s="24"/>
      <c r="D321" s="34" t="str">
        <f>IF(C321="","",IFERROR(VLOOKUP(C321,CRM!$B$8:$O$1007,2,FALSE()),"Revisar ID"))</f>
        <v/>
      </c>
      <c r="E321" s="23"/>
      <c r="F321" s="37" t="str">
        <f t="shared" si="16"/>
        <v/>
      </c>
      <c r="G321" s="28"/>
      <c r="H321" s="29"/>
      <c r="I321" s="28"/>
      <c r="J321" s="29"/>
      <c r="K321" s="28"/>
      <c r="L321" s="32" t="str">
        <f t="shared" si="17"/>
        <v/>
      </c>
      <c r="M321" s="33" t="str">
        <f t="shared" ca="1" si="18"/>
        <v/>
      </c>
      <c r="N321" s="34" t="str">
        <f t="shared" si="19"/>
        <v/>
      </c>
      <c r="O321" s="23"/>
      <c r="P321" s="23"/>
    </row>
    <row r="322" spans="1:16" ht="21.75" customHeight="1" x14ac:dyDescent="0.25">
      <c r="A322" s="24"/>
      <c r="B322" s="24"/>
      <c r="C322" s="24"/>
      <c r="D322" s="34" t="str">
        <f>IF(C322="","",IFERROR(VLOOKUP(C322,CRM!$B$8:$O$1007,2,FALSE()),"Revisar ID"))</f>
        <v/>
      </c>
      <c r="E322" s="23"/>
      <c r="F322" s="37" t="str">
        <f t="shared" si="16"/>
        <v/>
      </c>
      <c r="G322" s="28"/>
      <c r="H322" s="29"/>
      <c r="I322" s="28"/>
      <c r="J322" s="29"/>
      <c r="K322" s="28"/>
      <c r="L322" s="32" t="str">
        <f t="shared" si="17"/>
        <v/>
      </c>
      <c r="M322" s="33" t="str">
        <f t="shared" ca="1" si="18"/>
        <v/>
      </c>
      <c r="N322" s="34" t="str">
        <f t="shared" si="19"/>
        <v/>
      </c>
      <c r="O322" s="23"/>
      <c r="P322" s="23"/>
    </row>
    <row r="323" spans="1:16" ht="21.75" customHeight="1" x14ac:dyDescent="0.25">
      <c r="A323" s="24"/>
      <c r="B323" s="24"/>
      <c r="C323" s="24"/>
      <c r="D323" s="34" t="str">
        <f>IF(C323="","",IFERROR(VLOOKUP(C323,CRM!$B$8:$O$1007,2,FALSE()),"Revisar ID"))</f>
        <v/>
      </c>
      <c r="E323" s="23"/>
      <c r="F323" s="37" t="str">
        <f t="shared" si="16"/>
        <v/>
      </c>
      <c r="G323" s="28"/>
      <c r="H323" s="29"/>
      <c r="I323" s="28"/>
      <c r="J323" s="29"/>
      <c r="K323" s="28"/>
      <c r="L323" s="32" t="str">
        <f t="shared" si="17"/>
        <v/>
      </c>
      <c r="M323" s="33" t="str">
        <f t="shared" ca="1" si="18"/>
        <v/>
      </c>
      <c r="N323" s="34" t="str">
        <f t="shared" si="19"/>
        <v/>
      </c>
      <c r="O323" s="23"/>
      <c r="P323" s="23"/>
    </row>
    <row r="324" spans="1:16" ht="21.75" customHeight="1" x14ac:dyDescent="0.25">
      <c r="A324" s="24"/>
      <c r="B324" s="24"/>
      <c r="C324" s="24"/>
      <c r="D324" s="34" t="str">
        <f>IF(C324="","",IFERROR(VLOOKUP(C324,CRM!$B$8:$O$1007,2,FALSE()),"Revisar ID"))</f>
        <v/>
      </c>
      <c r="E324" s="23"/>
      <c r="F324" s="37" t="str">
        <f t="shared" si="16"/>
        <v/>
      </c>
      <c r="G324" s="28"/>
      <c r="H324" s="29"/>
      <c r="I324" s="28"/>
      <c r="J324" s="29"/>
      <c r="K324" s="28"/>
      <c r="L324" s="32" t="str">
        <f t="shared" si="17"/>
        <v/>
      </c>
      <c r="M324" s="33" t="str">
        <f t="shared" ca="1" si="18"/>
        <v/>
      </c>
      <c r="N324" s="34" t="str">
        <f t="shared" si="19"/>
        <v/>
      </c>
      <c r="O324" s="23"/>
      <c r="P324" s="23"/>
    </row>
    <row r="325" spans="1:16" ht="21.75" customHeight="1" x14ac:dyDescent="0.25">
      <c r="A325" s="24"/>
      <c r="B325" s="24"/>
      <c r="C325" s="24"/>
      <c r="D325" s="34" t="str">
        <f>IF(C325="","",IFERROR(VLOOKUP(C325,CRM!$B$8:$O$1007,2,FALSE()),"Revisar ID"))</f>
        <v/>
      </c>
      <c r="E325" s="23"/>
      <c r="F325" s="37" t="str">
        <f t="shared" si="16"/>
        <v/>
      </c>
      <c r="G325" s="28"/>
      <c r="H325" s="29"/>
      <c r="I325" s="28"/>
      <c r="J325" s="29"/>
      <c r="K325" s="28"/>
      <c r="L325" s="32" t="str">
        <f t="shared" si="17"/>
        <v/>
      </c>
      <c r="M325" s="33" t="str">
        <f t="shared" ca="1" si="18"/>
        <v/>
      </c>
      <c r="N325" s="34" t="str">
        <f t="shared" si="19"/>
        <v/>
      </c>
      <c r="O325" s="23"/>
      <c r="P325" s="23"/>
    </row>
    <row r="326" spans="1:16" ht="21.75" customHeight="1" x14ac:dyDescent="0.25">
      <c r="A326" s="24"/>
      <c r="B326" s="24"/>
      <c r="C326" s="24"/>
      <c r="D326" s="34" t="str">
        <f>IF(C326="","",IFERROR(VLOOKUP(C326,CRM!$B$8:$O$1007,2,FALSE()),"Revisar ID"))</f>
        <v/>
      </c>
      <c r="E326" s="23"/>
      <c r="F326" s="37" t="str">
        <f t="shared" si="16"/>
        <v/>
      </c>
      <c r="G326" s="28"/>
      <c r="H326" s="29"/>
      <c r="I326" s="28"/>
      <c r="J326" s="29"/>
      <c r="K326" s="28"/>
      <c r="L326" s="32" t="str">
        <f t="shared" si="17"/>
        <v/>
      </c>
      <c r="M326" s="33" t="str">
        <f t="shared" ca="1" si="18"/>
        <v/>
      </c>
      <c r="N326" s="34" t="str">
        <f t="shared" si="19"/>
        <v/>
      </c>
      <c r="O326" s="23"/>
      <c r="P326" s="23"/>
    </row>
    <row r="327" spans="1:16" ht="21.75" customHeight="1" x14ac:dyDescent="0.25">
      <c r="A327" s="24"/>
      <c r="B327" s="24"/>
      <c r="C327" s="24"/>
      <c r="D327" s="34" t="str">
        <f>IF(C327="","",IFERROR(VLOOKUP(C327,CRM!$B$8:$O$1007,2,FALSE()),"Revisar ID"))</f>
        <v/>
      </c>
      <c r="E327" s="23"/>
      <c r="F327" s="37" t="str">
        <f t="shared" si="16"/>
        <v/>
      </c>
      <c r="G327" s="28"/>
      <c r="H327" s="29"/>
      <c r="I327" s="28"/>
      <c r="J327" s="29"/>
      <c r="K327" s="28"/>
      <c r="L327" s="32" t="str">
        <f t="shared" si="17"/>
        <v/>
      </c>
      <c r="M327" s="33" t="str">
        <f t="shared" ca="1" si="18"/>
        <v/>
      </c>
      <c r="N327" s="34" t="str">
        <f t="shared" si="19"/>
        <v/>
      </c>
      <c r="O327" s="23"/>
      <c r="P327" s="23"/>
    </row>
    <row r="328" spans="1:16" ht="21.75" customHeight="1" x14ac:dyDescent="0.25">
      <c r="A328" s="24"/>
      <c r="B328" s="24"/>
      <c r="C328" s="24"/>
      <c r="D328" s="34" t="str">
        <f>IF(C328="","",IFERROR(VLOOKUP(C328,CRM!$B$8:$O$1007,2,FALSE()),"Revisar ID"))</f>
        <v/>
      </c>
      <c r="E328" s="23"/>
      <c r="F328" s="37" t="str">
        <f t="shared" si="16"/>
        <v/>
      </c>
      <c r="G328" s="28"/>
      <c r="H328" s="29"/>
      <c r="I328" s="28"/>
      <c r="J328" s="29"/>
      <c r="K328" s="28"/>
      <c r="L328" s="32" t="str">
        <f t="shared" si="17"/>
        <v/>
      </c>
      <c r="M328" s="33" t="str">
        <f t="shared" ca="1" si="18"/>
        <v/>
      </c>
      <c r="N328" s="34" t="str">
        <f t="shared" si="19"/>
        <v/>
      </c>
      <c r="O328" s="23"/>
      <c r="P328" s="23"/>
    </row>
    <row r="329" spans="1:16" ht="21.75" customHeight="1" x14ac:dyDescent="0.25">
      <c r="A329" s="24"/>
      <c r="B329" s="24"/>
      <c r="C329" s="24"/>
      <c r="D329" s="34" t="str">
        <f>IF(C329="","",IFERROR(VLOOKUP(C329,CRM!$B$8:$O$1007,2,FALSE()),"Revisar ID"))</f>
        <v/>
      </c>
      <c r="E329" s="23"/>
      <c r="F329" s="37" t="str">
        <f t="shared" ref="F329:F392" si="20">IF(B329="","",B329+IF(E329="Contado",0,IF(E329="7 días",7,IF(E329="15 días",15,IF(E329="30 días",30,IF(E329="45 días",45,IF(E329="60 días",60,0)))))))</f>
        <v/>
      </c>
      <c r="G329" s="28"/>
      <c r="H329" s="29"/>
      <c r="I329" s="28"/>
      <c r="J329" s="29"/>
      <c r="K329" s="28"/>
      <c r="L329" s="32" t="str">
        <f t="shared" ref="L329:L392" si="21">IF(G329="","",MAX(0,G329-SUM(I329,K329)))</f>
        <v/>
      </c>
      <c r="M329" s="33" t="str">
        <f t="shared" ref="M329:M392" ca="1" si="22">IF(G329="","",IF(L329=0,0,MAX(0,TODAY()-F329)))</f>
        <v/>
      </c>
      <c r="N329" s="34" t="str">
        <f t="shared" ref="N329:N392" si="23">IF(G329="","",IF(L329=0,"Pagada",IF(M329&gt;0,"Vencida",IF(SUM(I329,K329)&gt;0,"Parcial","Pendiente"))))</f>
        <v/>
      </c>
      <c r="O329" s="23"/>
      <c r="P329" s="23"/>
    </row>
    <row r="330" spans="1:16" ht="21.75" customHeight="1" x14ac:dyDescent="0.25">
      <c r="A330" s="24"/>
      <c r="B330" s="24"/>
      <c r="C330" s="24"/>
      <c r="D330" s="34" t="str">
        <f>IF(C330="","",IFERROR(VLOOKUP(C330,CRM!$B$8:$O$1007,2,FALSE()),"Revisar ID"))</f>
        <v/>
      </c>
      <c r="E330" s="23"/>
      <c r="F330" s="37" t="str">
        <f t="shared" si="20"/>
        <v/>
      </c>
      <c r="G330" s="28"/>
      <c r="H330" s="29"/>
      <c r="I330" s="28"/>
      <c r="J330" s="29"/>
      <c r="K330" s="28"/>
      <c r="L330" s="32" t="str">
        <f t="shared" si="21"/>
        <v/>
      </c>
      <c r="M330" s="33" t="str">
        <f t="shared" ca="1" si="22"/>
        <v/>
      </c>
      <c r="N330" s="34" t="str">
        <f t="shared" si="23"/>
        <v/>
      </c>
      <c r="O330" s="23"/>
      <c r="P330" s="23"/>
    </row>
    <row r="331" spans="1:16" ht="21.75" customHeight="1" x14ac:dyDescent="0.25">
      <c r="A331" s="24"/>
      <c r="B331" s="24"/>
      <c r="C331" s="24"/>
      <c r="D331" s="34" t="str">
        <f>IF(C331="","",IFERROR(VLOOKUP(C331,CRM!$B$8:$O$1007,2,FALSE()),"Revisar ID"))</f>
        <v/>
      </c>
      <c r="E331" s="23"/>
      <c r="F331" s="37" t="str">
        <f t="shared" si="20"/>
        <v/>
      </c>
      <c r="G331" s="28"/>
      <c r="H331" s="29"/>
      <c r="I331" s="28"/>
      <c r="J331" s="29"/>
      <c r="K331" s="28"/>
      <c r="L331" s="32" t="str">
        <f t="shared" si="21"/>
        <v/>
      </c>
      <c r="M331" s="33" t="str">
        <f t="shared" ca="1" si="22"/>
        <v/>
      </c>
      <c r="N331" s="34" t="str">
        <f t="shared" si="23"/>
        <v/>
      </c>
      <c r="O331" s="23"/>
      <c r="P331" s="23"/>
    </row>
    <row r="332" spans="1:16" ht="21.75" customHeight="1" x14ac:dyDescent="0.25">
      <c r="A332" s="24"/>
      <c r="B332" s="24"/>
      <c r="C332" s="24"/>
      <c r="D332" s="34" t="str">
        <f>IF(C332="","",IFERROR(VLOOKUP(C332,CRM!$B$8:$O$1007,2,FALSE()),"Revisar ID"))</f>
        <v/>
      </c>
      <c r="E332" s="23"/>
      <c r="F332" s="37" t="str">
        <f t="shared" si="20"/>
        <v/>
      </c>
      <c r="G332" s="28"/>
      <c r="H332" s="29"/>
      <c r="I332" s="28"/>
      <c r="J332" s="29"/>
      <c r="K332" s="28"/>
      <c r="L332" s="32" t="str">
        <f t="shared" si="21"/>
        <v/>
      </c>
      <c r="M332" s="33" t="str">
        <f t="shared" ca="1" si="22"/>
        <v/>
      </c>
      <c r="N332" s="34" t="str">
        <f t="shared" si="23"/>
        <v/>
      </c>
      <c r="O332" s="23"/>
      <c r="P332" s="23"/>
    </row>
    <row r="333" spans="1:16" ht="21.75" customHeight="1" x14ac:dyDescent="0.25">
      <c r="A333" s="24"/>
      <c r="B333" s="24"/>
      <c r="C333" s="24"/>
      <c r="D333" s="34" t="str">
        <f>IF(C333="","",IFERROR(VLOOKUP(C333,CRM!$B$8:$O$1007,2,FALSE()),"Revisar ID"))</f>
        <v/>
      </c>
      <c r="E333" s="23"/>
      <c r="F333" s="37" t="str">
        <f t="shared" si="20"/>
        <v/>
      </c>
      <c r="G333" s="28"/>
      <c r="H333" s="29"/>
      <c r="I333" s="28"/>
      <c r="J333" s="29"/>
      <c r="K333" s="28"/>
      <c r="L333" s="32" t="str">
        <f t="shared" si="21"/>
        <v/>
      </c>
      <c r="M333" s="33" t="str">
        <f t="shared" ca="1" si="22"/>
        <v/>
      </c>
      <c r="N333" s="34" t="str">
        <f t="shared" si="23"/>
        <v/>
      </c>
      <c r="O333" s="23"/>
      <c r="P333" s="23"/>
    </row>
    <row r="334" spans="1:16" ht="21.75" customHeight="1" x14ac:dyDescent="0.25">
      <c r="A334" s="24"/>
      <c r="B334" s="24"/>
      <c r="C334" s="24"/>
      <c r="D334" s="34" t="str">
        <f>IF(C334="","",IFERROR(VLOOKUP(C334,CRM!$B$8:$O$1007,2,FALSE()),"Revisar ID"))</f>
        <v/>
      </c>
      <c r="E334" s="23"/>
      <c r="F334" s="37" t="str">
        <f t="shared" si="20"/>
        <v/>
      </c>
      <c r="G334" s="28"/>
      <c r="H334" s="29"/>
      <c r="I334" s="28"/>
      <c r="J334" s="29"/>
      <c r="K334" s="28"/>
      <c r="L334" s="32" t="str">
        <f t="shared" si="21"/>
        <v/>
      </c>
      <c r="M334" s="33" t="str">
        <f t="shared" ca="1" si="22"/>
        <v/>
      </c>
      <c r="N334" s="34" t="str">
        <f t="shared" si="23"/>
        <v/>
      </c>
      <c r="O334" s="23"/>
      <c r="P334" s="23"/>
    </row>
    <row r="335" spans="1:16" ht="21.75" customHeight="1" x14ac:dyDescent="0.25">
      <c r="A335" s="24"/>
      <c r="B335" s="24"/>
      <c r="C335" s="24"/>
      <c r="D335" s="34" t="str">
        <f>IF(C335="","",IFERROR(VLOOKUP(C335,CRM!$B$8:$O$1007,2,FALSE()),"Revisar ID"))</f>
        <v/>
      </c>
      <c r="E335" s="23"/>
      <c r="F335" s="37" t="str">
        <f t="shared" si="20"/>
        <v/>
      </c>
      <c r="G335" s="28"/>
      <c r="H335" s="29"/>
      <c r="I335" s="28"/>
      <c r="J335" s="29"/>
      <c r="K335" s="28"/>
      <c r="L335" s="32" t="str">
        <f t="shared" si="21"/>
        <v/>
      </c>
      <c r="M335" s="33" t="str">
        <f t="shared" ca="1" si="22"/>
        <v/>
      </c>
      <c r="N335" s="34" t="str">
        <f t="shared" si="23"/>
        <v/>
      </c>
      <c r="O335" s="23"/>
      <c r="P335" s="23"/>
    </row>
    <row r="336" spans="1:16" ht="21.75" customHeight="1" x14ac:dyDescent="0.25">
      <c r="A336" s="24"/>
      <c r="B336" s="24"/>
      <c r="C336" s="24"/>
      <c r="D336" s="34" t="str">
        <f>IF(C336="","",IFERROR(VLOOKUP(C336,CRM!$B$8:$O$1007,2,FALSE()),"Revisar ID"))</f>
        <v/>
      </c>
      <c r="E336" s="23"/>
      <c r="F336" s="37" t="str">
        <f t="shared" si="20"/>
        <v/>
      </c>
      <c r="G336" s="28"/>
      <c r="H336" s="29"/>
      <c r="I336" s="28"/>
      <c r="J336" s="29"/>
      <c r="K336" s="28"/>
      <c r="L336" s="32" t="str">
        <f t="shared" si="21"/>
        <v/>
      </c>
      <c r="M336" s="33" t="str">
        <f t="shared" ca="1" si="22"/>
        <v/>
      </c>
      <c r="N336" s="34" t="str">
        <f t="shared" si="23"/>
        <v/>
      </c>
      <c r="O336" s="23"/>
      <c r="P336" s="23"/>
    </row>
    <row r="337" spans="1:16" ht="21.75" customHeight="1" x14ac:dyDescent="0.25">
      <c r="A337" s="24"/>
      <c r="B337" s="24"/>
      <c r="C337" s="24"/>
      <c r="D337" s="34" t="str">
        <f>IF(C337="","",IFERROR(VLOOKUP(C337,CRM!$B$8:$O$1007,2,FALSE()),"Revisar ID"))</f>
        <v/>
      </c>
      <c r="E337" s="23"/>
      <c r="F337" s="37" t="str">
        <f t="shared" si="20"/>
        <v/>
      </c>
      <c r="G337" s="28"/>
      <c r="H337" s="29"/>
      <c r="I337" s="28"/>
      <c r="J337" s="29"/>
      <c r="K337" s="28"/>
      <c r="L337" s="32" t="str">
        <f t="shared" si="21"/>
        <v/>
      </c>
      <c r="M337" s="33" t="str">
        <f t="shared" ca="1" si="22"/>
        <v/>
      </c>
      <c r="N337" s="34" t="str">
        <f t="shared" si="23"/>
        <v/>
      </c>
      <c r="O337" s="23"/>
      <c r="P337" s="23"/>
    </row>
    <row r="338" spans="1:16" ht="21.75" customHeight="1" x14ac:dyDescent="0.25">
      <c r="A338" s="24"/>
      <c r="B338" s="24"/>
      <c r="C338" s="24"/>
      <c r="D338" s="34" t="str">
        <f>IF(C338="","",IFERROR(VLOOKUP(C338,CRM!$B$8:$O$1007,2,FALSE()),"Revisar ID"))</f>
        <v/>
      </c>
      <c r="E338" s="23"/>
      <c r="F338" s="37" t="str">
        <f t="shared" si="20"/>
        <v/>
      </c>
      <c r="G338" s="28"/>
      <c r="H338" s="29"/>
      <c r="I338" s="28"/>
      <c r="J338" s="29"/>
      <c r="K338" s="28"/>
      <c r="L338" s="32" t="str">
        <f t="shared" si="21"/>
        <v/>
      </c>
      <c r="M338" s="33" t="str">
        <f t="shared" ca="1" si="22"/>
        <v/>
      </c>
      <c r="N338" s="34" t="str">
        <f t="shared" si="23"/>
        <v/>
      </c>
      <c r="O338" s="23"/>
      <c r="P338" s="23"/>
    </row>
    <row r="339" spans="1:16" ht="21.75" customHeight="1" x14ac:dyDescent="0.25">
      <c r="A339" s="24"/>
      <c r="B339" s="24"/>
      <c r="C339" s="24"/>
      <c r="D339" s="34" t="str">
        <f>IF(C339="","",IFERROR(VLOOKUP(C339,CRM!$B$8:$O$1007,2,FALSE()),"Revisar ID"))</f>
        <v/>
      </c>
      <c r="E339" s="23"/>
      <c r="F339" s="37" t="str">
        <f t="shared" si="20"/>
        <v/>
      </c>
      <c r="G339" s="28"/>
      <c r="H339" s="29"/>
      <c r="I339" s="28"/>
      <c r="J339" s="29"/>
      <c r="K339" s="28"/>
      <c r="L339" s="32" t="str">
        <f t="shared" si="21"/>
        <v/>
      </c>
      <c r="M339" s="33" t="str">
        <f t="shared" ca="1" si="22"/>
        <v/>
      </c>
      <c r="N339" s="34" t="str">
        <f t="shared" si="23"/>
        <v/>
      </c>
      <c r="O339" s="23"/>
      <c r="P339" s="23"/>
    </row>
    <row r="340" spans="1:16" ht="21.75" customHeight="1" x14ac:dyDescent="0.25">
      <c r="A340" s="24"/>
      <c r="B340" s="24"/>
      <c r="C340" s="24"/>
      <c r="D340" s="34" t="str">
        <f>IF(C340="","",IFERROR(VLOOKUP(C340,CRM!$B$8:$O$1007,2,FALSE()),"Revisar ID"))</f>
        <v/>
      </c>
      <c r="E340" s="23"/>
      <c r="F340" s="37" t="str">
        <f t="shared" si="20"/>
        <v/>
      </c>
      <c r="G340" s="28"/>
      <c r="H340" s="29"/>
      <c r="I340" s="28"/>
      <c r="J340" s="29"/>
      <c r="K340" s="28"/>
      <c r="L340" s="32" t="str">
        <f t="shared" si="21"/>
        <v/>
      </c>
      <c r="M340" s="33" t="str">
        <f t="shared" ca="1" si="22"/>
        <v/>
      </c>
      <c r="N340" s="34" t="str">
        <f t="shared" si="23"/>
        <v/>
      </c>
      <c r="O340" s="23"/>
      <c r="P340" s="23"/>
    </row>
    <row r="341" spans="1:16" ht="21.75" customHeight="1" x14ac:dyDescent="0.25">
      <c r="A341" s="24"/>
      <c r="B341" s="24"/>
      <c r="C341" s="24"/>
      <c r="D341" s="34" t="str">
        <f>IF(C341="","",IFERROR(VLOOKUP(C341,CRM!$B$8:$O$1007,2,FALSE()),"Revisar ID"))</f>
        <v/>
      </c>
      <c r="E341" s="23"/>
      <c r="F341" s="37" t="str">
        <f t="shared" si="20"/>
        <v/>
      </c>
      <c r="G341" s="28"/>
      <c r="H341" s="29"/>
      <c r="I341" s="28"/>
      <c r="J341" s="29"/>
      <c r="K341" s="28"/>
      <c r="L341" s="32" t="str">
        <f t="shared" si="21"/>
        <v/>
      </c>
      <c r="M341" s="33" t="str">
        <f t="shared" ca="1" si="22"/>
        <v/>
      </c>
      <c r="N341" s="34" t="str">
        <f t="shared" si="23"/>
        <v/>
      </c>
      <c r="O341" s="23"/>
      <c r="P341" s="23"/>
    </row>
    <row r="342" spans="1:16" ht="21.75" customHeight="1" x14ac:dyDescent="0.25">
      <c r="A342" s="24"/>
      <c r="B342" s="24"/>
      <c r="C342" s="24"/>
      <c r="D342" s="34" t="str">
        <f>IF(C342="","",IFERROR(VLOOKUP(C342,CRM!$B$8:$O$1007,2,FALSE()),"Revisar ID"))</f>
        <v/>
      </c>
      <c r="E342" s="23"/>
      <c r="F342" s="37" t="str">
        <f t="shared" si="20"/>
        <v/>
      </c>
      <c r="G342" s="28"/>
      <c r="H342" s="29"/>
      <c r="I342" s="28"/>
      <c r="J342" s="29"/>
      <c r="K342" s="28"/>
      <c r="L342" s="32" t="str">
        <f t="shared" si="21"/>
        <v/>
      </c>
      <c r="M342" s="33" t="str">
        <f t="shared" ca="1" si="22"/>
        <v/>
      </c>
      <c r="N342" s="34" t="str">
        <f t="shared" si="23"/>
        <v/>
      </c>
      <c r="O342" s="23"/>
      <c r="P342" s="23"/>
    </row>
    <row r="343" spans="1:16" ht="21.75" customHeight="1" x14ac:dyDescent="0.25">
      <c r="A343" s="24"/>
      <c r="B343" s="24"/>
      <c r="C343" s="24"/>
      <c r="D343" s="34" t="str">
        <f>IF(C343="","",IFERROR(VLOOKUP(C343,CRM!$B$8:$O$1007,2,FALSE()),"Revisar ID"))</f>
        <v/>
      </c>
      <c r="E343" s="23"/>
      <c r="F343" s="37" t="str">
        <f t="shared" si="20"/>
        <v/>
      </c>
      <c r="G343" s="28"/>
      <c r="H343" s="29"/>
      <c r="I343" s="28"/>
      <c r="J343" s="29"/>
      <c r="K343" s="28"/>
      <c r="L343" s="32" t="str">
        <f t="shared" si="21"/>
        <v/>
      </c>
      <c r="M343" s="33" t="str">
        <f t="shared" ca="1" si="22"/>
        <v/>
      </c>
      <c r="N343" s="34" t="str">
        <f t="shared" si="23"/>
        <v/>
      </c>
      <c r="O343" s="23"/>
      <c r="P343" s="23"/>
    </row>
    <row r="344" spans="1:16" ht="21.75" customHeight="1" x14ac:dyDescent="0.25">
      <c r="A344" s="24"/>
      <c r="B344" s="24"/>
      <c r="C344" s="24"/>
      <c r="D344" s="34" t="str">
        <f>IF(C344="","",IFERROR(VLOOKUP(C344,CRM!$B$8:$O$1007,2,FALSE()),"Revisar ID"))</f>
        <v/>
      </c>
      <c r="E344" s="23"/>
      <c r="F344" s="37" t="str">
        <f t="shared" si="20"/>
        <v/>
      </c>
      <c r="G344" s="28"/>
      <c r="H344" s="29"/>
      <c r="I344" s="28"/>
      <c r="J344" s="29"/>
      <c r="K344" s="28"/>
      <c r="L344" s="32" t="str">
        <f t="shared" si="21"/>
        <v/>
      </c>
      <c r="M344" s="33" t="str">
        <f t="shared" ca="1" si="22"/>
        <v/>
      </c>
      <c r="N344" s="34" t="str">
        <f t="shared" si="23"/>
        <v/>
      </c>
      <c r="O344" s="23"/>
      <c r="P344" s="23"/>
    </row>
    <row r="345" spans="1:16" ht="21.75" customHeight="1" x14ac:dyDescent="0.25">
      <c r="A345" s="24"/>
      <c r="B345" s="24"/>
      <c r="C345" s="24"/>
      <c r="D345" s="34" t="str">
        <f>IF(C345="","",IFERROR(VLOOKUP(C345,CRM!$B$8:$O$1007,2,FALSE()),"Revisar ID"))</f>
        <v/>
      </c>
      <c r="E345" s="23"/>
      <c r="F345" s="37" t="str">
        <f t="shared" si="20"/>
        <v/>
      </c>
      <c r="G345" s="28"/>
      <c r="H345" s="29"/>
      <c r="I345" s="28"/>
      <c r="J345" s="29"/>
      <c r="K345" s="28"/>
      <c r="L345" s="32" t="str">
        <f t="shared" si="21"/>
        <v/>
      </c>
      <c r="M345" s="33" t="str">
        <f t="shared" ca="1" si="22"/>
        <v/>
      </c>
      <c r="N345" s="34" t="str">
        <f t="shared" si="23"/>
        <v/>
      </c>
      <c r="O345" s="23"/>
      <c r="P345" s="23"/>
    </row>
    <row r="346" spans="1:16" ht="21.75" customHeight="1" x14ac:dyDescent="0.25">
      <c r="A346" s="24"/>
      <c r="B346" s="24"/>
      <c r="C346" s="24"/>
      <c r="D346" s="34" t="str">
        <f>IF(C346="","",IFERROR(VLOOKUP(C346,CRM!$B$8:$O$1007,2,FALSE()),"Revisar ID"))</f>
        <v/>
      </c>
      <c r="E346" s="23"/>
      <c r="F346" s="37" t="str">
        <f t="shared" si="20"/>
        <v/>
      </c>
      <c r="G346" s="28"/>
      <c r="H346" s="29"/>
      <c r="I346" s="28"/>
      <c r="J346" s="29"/>
      <c r="K346" s="28"/>
      <c r="L346" s="32" t="str">
        <f t="shared" si="21"/>
        <v/>
      </c>
      <c r="M346" s="33" t="str">
        <f t="shared" ca="1" si="22"/>
        <v/>
      </c>
      <c r="N346" s="34" t="str">
        <f t="shared" si="23"/>
        <v/>
      </c>
      <c r="O346" s="23"/>
      <c r="P346" s="23"/>
    </row>
    <row r="347" spans="1:16" ht="21.75" customHeight="1" x14ac:dyDescent="0.25">
      <c r="A347" s="24"/>
      <c r="B347" s="24"/>
      <c r="C347" s="24"/>
      <c r="D347" s="34" t="str">
        <f>IF(C347="","",IFERROR(VLOOKUP(C347,CRM!$B$8:$O$1007,2,FALSE()),"Revisar ID"))</f>
        <v/>
      </c>
      <c r="E347" s="23"/>
      <c r="F347" s="37" t="str">
        <f t="shared" si="20"/>
        <v/>
      </c>
      <c r="G347" s="28"/>
      <c r="H347" s="29"/>
      <c r="I347" s="28"/>
      <c r="J347" s="29"/>
      <c r="K347" s="28"/>
      <c r="L347" s="32" t="str">
        <f t="shared" si="21"/>
        <v/>
      </c>
      <c r="M347" s="33" t="str">
        <f t="shared" ca="1" si="22"/>
        <v/>
      </c>
      <c r="N347" s="34" t="str">
        <f t="shared" si="23"/>
        <v/>
      </c>
      <c r="O347" s="23"/>
      <c r="P347" s="23"/>
    </row>
    <row r="348" spans="1:16" ht="21.75" customHeight="1" x14ac:dyDescent="0.25">
      <c r="A348" s="24"/>
      <c r="B348" s="24"/>
      <c r="C348" s="24"/>
      <c r="D348" s="34" t="str">
        <f>IF(C348="","",IFERROR(VLOOKUP(C348,CRM!$B$8:$O$1007,2,FALSE()),"Revisar ID"))</f>
        <v/>
      </c>
      <c r="E348" s="23"/>
      <c r="F348" s="37" t="str">
        <f t="shared" si="20"/>
        <v/>
      </c>
      <c r="G348" s="28"/>
      <c r="H348" s="29"/>
      <c r="I348" s="28"/>
      <c r="J348" s="29"/>
      <c r="K348" s="28"/>
      <c r="L348" s="32" t="str">
        <f t="shared" si="21"/>
        <v/>
      </c>
      <c r="M348" s="33" t="str">
        <f t="shared" ca="1" si="22"/>
        <v/>
      </c>
      <c r="N348" s="34" t="str">
        <f t="shared" si="23"/>
        <v/>
      </c>
      <c r="O348" s="23"/>
      <c r="P348" s="23"/>
    </row>
    <row r="349" spans="1:16" ht="21.75" customHeight="1" x14ac:dyDescent="0.25">
      <c r="A349" s="24"/>
      <c r="B349" s="24"/>
      <c r="C349" s="24"/>
      <c r="D349" s="34" t="str">
        <f>IF(C349="","",IFERROR(VLOOKUP(C349,CRM!$B$8:$O$1007,2,FALSE()),"Revisar ID"))</f>
        <v/>
      </c>
      <c r="E349" s="23"/>
      <c r="F349" s="37" t="str">
        <f t="shared" si="20"/>
        <v/>
      </c>
      <c r="G349" s="28"/>
      <c r="H349" s="29"/>
      <c r="I349" s="28"/>
      <c r="J349" s="29"/>
      <c r="K349" s="28"/>
      <c r="L349" s="32" t="str">
        <f t="shared" si="21"/>
        <v/>
      </c>
      <c r="M349" s="33" t="str">
        <f t="shared" ca="1" si="22"/>
        <v/>
      </c>
      <c r="N349" s="34" t="str">
        <f t="shared" si="23"/>
        <v/>
      </c>
      <c r="O349" s="23"/>
      <c r="P349" s="23"/>
    </row>
    <row r="350" spans="1:16" ht="21.75" customHeight="1" x14ac:dyDescent="0.25">
      <c r="A350" s="24"/>
      <c r="B350" s="24"/>
      <c r="C350" s="24"/>
      <c r="D350" s="34" t="str">
        <f>IF(C350="","",IFERROR(VLOOKUP(C350,CRM!$B$8:$O$1007,2,FALSE()),"Revisar ID"))</f>
        <v/>
      </c>
      <c r="E350" s="23"/>
      <c r="F350" s="37" t="str">
        <f t="shared" si="20"/>
        <v/>
      </c>
      <c r="G350" s="28"/>
      <c r="H350" s="29"/>
      <c r="I350" s="28"/>
      <c r="J350" s="29"/>
      <c r="K350" s="28"/>
      <c r="L350" s="32" t="str">
        <f t="shared" si="21"/>
        <v/>
      </c>
      <c r="M350" s="33" t="str">
        <f t="shared" ca="1" si="22"/>
        <v/>
      </c>
      <c r="N350" s="34" t="str">
        <f t="shared" si="23"/>
        <v/>
      </c>
      <c r="O350" s="23"/>
      <c r="P350" s="23"/>
    </row>
    <row r="351" spans="1:16" ht="21.75" customHeight="1" x14ac:dyDescent="0.25">
      <c r="A351" s="24"/>
      <c r="B351" s="24"/>
      <c r="C351" s="24"/>
      <c r="D351" s="34" t="str">
        <f>IF(C351="","",IFERROR(VLOOKUP(C351,CRM!$B$8:$O$1007,2,FALSE()),"Revisar ID"))</f>
        <v/>
      </c>
      <c r="E351" s="23"/>
      <c r="F351" s="37" t="str">
        <f t="shared" si="20"/>
        <v/>
      </c>
      <c r="G351" s="28"/>
      <c r="H351" s="29"/>
      <c r="I351" s="28"/>
      <c r="J351" s="29"/>
      <c r="K351" s="28"/>
      <c r="L351" s="32" t="str">
        <f t="shared" si="21"/>
        <v/>
      </c>
      <c r="M351" s="33" t="str">
        <f t="shared" ca="1" si="22"/>
        <v/>
      </c>
      <c r="N351" s="34" t="str">
        <f t="shared" si="23"/>
        <v/>
      </c>
      <c r="O351" s="23"/>
      <c r="P351" s="23"/>
    </row>
    <row r="352" spans="1:16" ht="21.75" customHeight="1" x14ac:dyDescent="0.25">
      <c r="A352" s="24"/>
      <c r="B352" s="24"/>
      <c r="C352" s="24"/>
      <c r="D352" s="34" t="str">
        <f>IF(C352="","",IFERROR(VLOOKUP(C352,CRM!$B$8:$O$1007,2,FALSE()),"Revisar ID"))</f>
        <v/>
      </c>
      <c r="E352" s="23"/>
      <c r="F352" s="37" t="str">
        <f t="shared" si="20"/>
        <v/>
      </c>
      <c r="G352" s="28"/>
      <c r="H352" s="29"/>
      <c r="I352" s="28"/>
      <c r="J352" s="29"/>
      <c r="K352" s="28"/>
      <c r="L352" s="32" t="str">
        <f t="shared" si="21"/>
        <v/>
      </c>
      <c r="M352" s="33" t="str">
        <f t="shared" ca="1" si="22"/>
        <v/>
      </c>
      <c r="N352" s="34" t="str">
        <f t="shared" si="23"/>
        <v/>
      </c>
      <c r="O352" s="23"/>
      <c r="P352" s="23"/>
    </row>
    <row r="353" spans="1:16" ht="21.75" customHeight="1" x14ac:dyDescent="0.25">
      <c r="A353" s="24"/>
      <c r="B353" s="24"/>
      <c r="C353" s="24"/>
      <c r="D353" s="34" t="str">
        <f>IF(C353="","",IFERROR(VLOOKUP(C353,CRM!$B$8:$O$1007,2,FALSE()),"Revisar ID"))</f>
        <v/>
      </c>
      <c r="E353" s="23"/>
      <c r="F353" s="37" t="str">
        <f t="shared" si="20"/>
        <v/>
      </c>
      <c r="G353" s="28"/>
      <c r="H353" s="29"/>
      <c r="I353" s="28"/>
      <c r="J353" s="29"/>
      <c r="K353" s="28"/>
      <c r="L353" s="32" t="str">
        <f t="shared" si="21"/>
        <v/>
      </c>
      <c r="M353" s="33" t="str">
        <f t="shared" ca="1" si="22"/>
        <v/>
      </c>
      <c r="N353" s="34" t="str">
        <f t="shared" si="23"/>
        <v/>
      </c>
      <c r="O353" s="23"/>
      <c r="P353" s="23"/>
    </row>
    <row r="354" spans="1:16" ht="21.75" customHeight="1" x14ac:dyDescent="0.25">
      <c r="A354" s="24"/>
      <c r="B354" s="24"/>
      <c r="C354" s="24"/>
      <c r="D354" s="34" t="str">
        <f>IF(C354="","",IFERROR(VLOOKUP(C354,CRM!$B$8:$O$1007,2,FALSE()),"Revisar ID"))</f>
        <v/>
      </c>
      <c r="E354" s="23"/>
      <c r="F354" s="37" t="str">
        <f t="shared" si="20"/>
        <v/>
      </c>
      <c r="G354" s="28"/>
      <c r="H354" s="29"/>
      <c r="I354" s="28"/>
      <c r="J354" s="29"/>
      <c r="K354" s="28"/>
      <c r="L354" s="32" t="str">
        <f t="shared" si="21"/>
        <v/>
      </c>
      <c r="M354" s="33" t="str">
        <f t="shared" ca="1" si="22"/>
        <v/>
      </c>
      <c r="N354" s="34" t="str">
        <f t="shared" si="23"/>
        <v/>
      </c>
      <c r="O354" s="23"/>
      <c r="P354" s="23"/>
    </row>
    <row r="355" spans="1:16" ht="21.75" customHeight="1" x14ac:dyDescent="0.25">
      <c r="A355" s="24"/>
      <c r="B355" s="24"/>
      <c r="C355" s="24"/>
      <c r="D355" s="34" t="str">
        <f>IF(C355="","",IFERROR(VLOOKUP(C355,CRM!$B$8:$O$1007,2,FALSE()),"Revisar ID"))</f>
        <v/>
      </c>
      <c r="E355" s="23"/>
      <c r="F355" s="37" t="str">
        <f t="shared" si="20"/>
        <v/>
      </c>
      <c r="G355" s="28"/>
      <c r="H355" s="29"/>
      <c r="I355" s="28"/>
      <c r="J355" s="29"/>
      <c r="K355" s="28"/>
      <c r="L355" s="32" t="str">
        <f t="shared" si="21"/>
        <v/>
      </c>
      <c r="M355" s="33" t="str">
        <f t="shared" ca="1" si="22"/>
        <v/>
      </c>
      <c r="N355" s="34" t="str">
        <f t="shared" si="23"/>
        <v/>
      </c>
      <c r="O355" s="23"/>
      <c r="P355" s="23"/>
    </row>
    <row r="356" spans="1:16" ht="21.75" customHeight="1" x14ac:dyDescent="0.25">
      <c r="A356" s="24"/>
      <c r="B356" s="24"/>
      <c r="C356" s="24"/>
      <c r="D356" s="34" t="str">
        <f>IF(C356="","",IFERROR(VLOOKUP(C356,CRM!$B$8:$O$1007,2,FALSE()),"Revisar ID"))</f>
        <v/>
      </c>
      <c r="E356" s="23"/>
      <c r="F356" s="37" t="str">
        <f t="shared" si="20"/>
        <v/>
      </c>
      <c r="G356" s="28"/>
      <c r="H356" s="29"/>
      <c r="I356" s="28"/>
      <c r="J356" s="29"/>
      <c r="K356" s="28"/>
      <c r="L356" s="32" t="str">
        <f t="shared" si="21"/>
        <v/>
      </c>
      <c r="M356" s="33" t="str">
        <f t="shared" ca="1" si="22"/>
        <v/>
      </c>
      <c r="N356" s="34" t="str">
        <f t="shared" si="23"/>
        <v/>
      </c>
      <c r="O356" s="23"/>
      <c r="P356" s="23"/>
    </row>
    <row r="357" spans="1:16" ht="21.75" customHeight="1" x14ac:dyDescent="0.25">
      <c r="A357" s="24"/>
      <c r="B357" s="24"/>
      <c r="C357" s="24"/>
      <c r="D357" s="34" t="str">
        <f>IF(C357="","",IFERROR(VLOOKUP(C357,CRM!$B$8:$O$1007,2,FALSE()),"Revisar ID"))</f>
        <v/>
      </c>
      <c r="E357" s="23"/>
      <c r="F357" s="37" t="str">
        <f t="shared" si="20"/>
        <v/>
      </c>
      <c r="G357" s="28"/>
      <c r="H357" s="29"/>
      <c r="I357" s="28"/>
      <c r="J357" s="29"/>
      <c r="K357" s="28"/>
      <c r="L357" s="32" t="str">
        <f t="shared" si="21"/>
        <v/>
      </c>
      <c r="M357" s="33" t="str">
        <f t="shared" ca="1" si="22"/>
        <v/>
      </c>
      <c r="N357" s="34" t="str">
        <f t="shared" si="23"/>
        <v/>
      </c>
      <c r="O357" s="23"/>
      <c r="P357" s="23"/>
    </row>
    <row r="358" spans="1:16" ht="21.75" customHeight="1" x14ac:dyDescent="0.25">
      <c r="A358" s="24"/>
      <c r="B358" s="24"/>
      <c r="C358" s="24"/>
      <c r="D358" s="34" t="str">
        <f>IF(C358="","",IFERROR(VLOOKUP(C358,CRM!$B$8:$O$1007,2,FALSE()),"Revisar ID"))</f>
        <v/>
      </c>
      <c r="E358" s="23"/>
      <c r="F358" s="37" t="str">
        <f t="shared" si="20"/>
        <v/>
      </c>
      <c r="G358" s="28"/>
      <c r="H358" s="29"/>
      <c r="I358" s="28"/>
      <c r="J358" s="29"/>
      <c r="K358" s="28"/>
      <c r="L358" s="32" t="str">
        <f t="shared" si="21"/>
        <v/>
      </c>
      <c r="M358" s="33" t="str">
        <f t="shared" ca="1" si="22"/>
        <v/>
      </c>
      <c r="N358" s="34" t="str">
        <f t="shared" si="23"/>
        <v/>
      </c>
      <c r="O358" s="23"/>
      <c r="P358" s="23"/>
    </row>
    <row r="359" spans="1:16" ht="21.75" customHeight="1" x14ac:dyDescent="0.25">
      <c r="A359" s="24"/>
      <c r="B359" s="24"/>
      <c r="C359" s="24"/>
      <c r="D359" s="34" t="str">
        <f>IF(C359="","",IFERROR(VLOOKUP(C359,CRM!$B$8:$O$1007,2,FALSE()),"Revisar ID"))</f>
        <v/>
      </c>
      <c r="E359" s="23"/>
      <c r="F359" s="37" t="str">
        <f t="shared" si="20"/>
        <v/>
      </c>
      <c r="G359" s="28"/>
      <c r="H359" s="29"/>
      <c r="I359" s="28"/>
      <c r="J359" s="29"/>
      <c r="K359" s="28"/>
      <c r="L359" s="32" t="str">
        <f t="shared" si="21"/>
        <v/>
      </c>
      <c r="M359" s="33" t="str">
        <f t="shared" ca="1" si="22"/>
        <v/>
      </c>
      <c r="N359" s="34" t="str">
        <f t="shared" si="23"/>
        <v/>
      </c>
      <c r="O359" s="23"/>
      <c r="P359" s="23"/>
    </row>
    <row r="360" spans="1:16" ht="21.75" customHeight="1" x14ac:dyDescent="0.25">
      <c r="A360" s="24"/>
      <c r="B360" s="24"/>
      <c r="C360" s="24"/>
      <c r="D360" s="34" t="str">
        <f>IF(C360="","",IFERROR(VLOOKUP(C360,CRM!$B$8:$O$1007,2,FALSE()),"Revisar ID"))</f>
        <v/>
      </c>
      <c r="E360" s="23"/>
      <c r="F360" s="37" t="str">
        <f t="shared" si="20"/>
        <v/>
      </c>
      <c r="G360" s="28"/>
      <c r="H360" s="29"/>
      <c r="I360" s="28"/>
      <c r="J360" s="29"/>
      <c r="K360" s="28"/>
      <c r="L360" s="32" t="str">
        <f t="shared" si="21"/>
        <v/>
      </c>
      <c r="M360" s="33" t="str">
        <f t="shared" ca="1" si="22"/>
        <v/>
      </c>
      <c r="N360" s="34" t="str">
        <f t="shared" si="23"/>
        <v/>
      </c>
      <c r="O360" s="23"/>
      <c r="P360" s="23"/>
    </row>
    <row r="361" spans="1:16" ht="21.75" customHeight="1" x14ac:dyDescent="0.25">
      <c r="A361" s="24"/>
      <c r="B361" s="24"/>
      <c r="C361" s="24"/>
      <c r="D361" s="34" t="str">
        <f>IF(C361="","",IFERROR(VLOOKUP(C361,CRM!$B$8:$O$1007,2,FALSE()),"Revisar ID"))</f>
        <v/>
      </c>
      <c r="E361" s="23"/>
      <c r="F361" s="37" t="str">
        <f t="shared" si="20"/>
        <v/>
      </c>
      <c r="G361" s="28"/>
      <c r="H361" s="29"/>
      <c r="I361" s="28"/>
      <c r="J361" s="29"/>
      <c r="K361" s="28"/>
      <c r="L361" s="32" t="str">
        <f t="shared" si="21"/>
        <v/>
      </c>
      <c r="M361" s="33" t="str">
        <f t="shared" ca="1" si="22"/>
        <v/>
      </c>
      <c r="N361" s="34" t="str">
        <f t="shared" si="23"/>
        <v/>
      </c>
      <c r="O361" s="23"/>
      <c r="P361" s="23"/>
    </row>
    <row r="362" spans="1:16" ht="21.75" customHeight="1" x14ac:dyDescent="0.25">
      <c r="A362" s="24"/>
      <c r="B362" s="24"/>
      <c r="C362" s="24"/>
      <c r="D362" s="34" t="str">
        <f>IF(C362="","",IFERROR(VLOOKUP(C362,CRM!$B$8:$O$1007,2,FALSE()),"Revisar ID"))</f>
        <v/>
      </c>
      <c r="E362" s="23"/>
      <c r="F362" s="37" t="str">
        <f t="shared" si="20"/>
        <v/>
      </c>
      <c r="G362" s="28"/>
      <c r="H362" s="29"/>
      <c r="I362" s="28"/>
      <c r="J362" s="29"/>
      <c r="K362" s="28"/>
      <c r="L362" s="32" t="str">
        <f t="shared" si="21"/>
        <v/>
      </c>
      <c r="M362" s="33" t="str">
        <f t="shared" ca="1" si="22"/>
        <v/>
      </c>
      <c r="N362" s="34" t="str">
        <f t="shared" si="23"/>
        <v/>
      </c>
      <c r="O362" s="23"/>
      <c r="P362" s="23"/>
    </row>
    <row r="363" spans="1:16" ht="21.75" customHeight="1" x14ac:dyDescent="0.25">
      <c r="A363" s="24"/>
      <c r="B363" s="24"/>
      <c r="C363" s="24"/>
      <c r="D363" s="34" t="str">
        <f>IF(C363="","",IFERROR(VLOOKUP(C363,CRM!$B$8:$O$1007,2,FALSE()),"Revisar ID"))</f>
        <v/>
      </c>
      <c r="E363" s="23"/>
      <c r="F363" s="37" t="str">
        <f t="shared" si="20"/>
        <v/>
      </c>
      <c r="G363" s="28"/>
      <c r="H363" s="29"/>
      <c r="I363" s="28"/>
      <c r="J363" s="29"/>
      <c r="K363" s="28"/>
      <c r="L363" s="32" t="str">
        <f t="shared" si="21"/>
        <v/>
      </c>
      <c r="M363" s="33" t="str">
        <f t="shared" ca="1" si="22"/>
        <v/>
      </c>
      <c r="N363" s="34" t="str">
        <f t="shared" si="23"/>
        <v/>
      </c>
      <c r="O363" s="23"/>
      <c r="P363" s="23"/>
    </row>
    <row r="364" spans="1:16" ht="21.75" customHeight="1" x14ac:dyDescent="0.25">
      <c r="A364" s="24"/>
      <c r="B364" s="24"/>
      <c r="C364" s="24"/>
      <c r="D364" s="34" t="str">
        <f>IF(C364="","",IFERROR(VLOOKUP(C364,CRM!$B$8:$O$1007,2,FALSE()),"Revisar ID"))</f>
        <v/>
      </c>
      <c r="E364" s="23"/>
      <c r="F364" s="37" t="str">
        <f t="shared" si="20"/>
        <v/>
      </c>
      <c r="G364" s="28"/>
      <c r="H364" s="29"/>
      <c r="I364" s="28"/>
      <c r="J364" s="29"/>
      <c r="K364" s="28"/>
      <c r="L364" s="32" t="str">
        <f t="shared" si="21"/>
        <v/>
      </c>
      <c r="M364" s="33" t="str">
        <f t="shared" ca="1" si="22"/>
        <v/>
      </c>
      <c r="N364" s="34" t="str">
        <f t="shared" si="23"/>
        <v/>
      </c>
      <c r="O364" s="23"/>
      <c r="P364" s="23"/>
    </row>
    <row r="365" spans="1:16" ht="21.75" customHeight="1" x14ac:dyDescent="0.25">
      <c r="A365" s="24"/>
      <c r="B365" s="24"/>
      <c r="C365" s="24"/>
      <c r="D365" s="34" t="str">
        <f>IF(C365="","",IFERROR(VLOOKUP(C365,CRM!$B$8:$O$1007,2,FALSE()),"Revisar ID"))</f>
        <v/>
      </c>
      <c r="E365" s="23"/>
      <c r="F365" s="37" t="str">
        <f t="shared" si="20"/>
        <v/>
      </c>
      <c r="G365" s="28"/>
      <c r="H365" s="29"/>
      <c r="I365" s="28"/>
      <c r="J365" s="29"/>
      <c r="K365" s="28"/>
      <c r="L365" s="32" t="str">
        <f t="shared" si="21"/>
        <v/>
      </c>
      <c r="M365" s="33" t="str">
        <f t="shared" ca="1" si="22"/>
        <v/>
      </c>
      <c r="N365" s="34" t="str">
        <f t="shared" si="23"/>
        <v/>
      </c>
      <c r="O365" s="23"/>
      <c r="P365" s="23"/>
    </row>
    <row r="366" spans="1:16" ht="21.75" customHeight="1" x14ac:dyDescent="0.25">
      <c r="A366" s="24"/>
      <c r="B366" s="24"/>
      <c r="C366" s="24"/>
      <c r="D366" s="34" t="str">
        <f>IF(C366="","",IFERROR(VLOOKUP(C366,CRM!$B$8:$O$1007,2,FALSE()),"Revisar ID"))</f>
        <v/>
      </c>
      <c r="E366" s="23"/>
      <c r="F366" s="37" t="str">
        <f t="shared" si="20"/>
        <v/>
      </c>
      <c r="G366" s="28"/>
      <c r="H366" s="29"/>
      <c r="I366" s="28"/>
      <c r="J366" s="29"/>
      <c r="K366" s="28"/>
      <c r="L366" s="32" t="str">
        <f t="shared" si="21"/>
        <v/>
      </c>
      <c r="M366" s="33" t="str">
        <f t="shared" ca="1" si="22"/>
        <v/>
      </c>
      <c r="N366" s="34" t="str">
        <f t="shared" si="23"/>
        <v/>
      </c>
      <c r="O366" s="23"/>
      <c r="P366" s="23"/>
    </row>
    <row r="367" spans="1:16" ht="21.75" customHeight="1" x14ac:dyDescent="0.25">
      <c r="A367" s="24"/>
      <c r="B367" s="24"/>
      <c r="C367" s="24"/>
      <c r="D367" s="34" t="str">
        <f>IF(C367="","",IFERROR(VLOOKUP(C367,CRM!$B$8:$O$1007,2,FALSE()),"Revisar ID"))</f>
        <v/>
      </c>
      <c r="E367" s="23"/>
      <c r="F367" s="37" t="str">
        <f t="shared" si="20"/>
        <v/>
      </c>
      <c r="G367" s="28"/>
      <c r="H367" s="29"/>
      <c r="I367" s="28"/>
      <c r="J367" s="29"/>
      <c r="K367" s="28"/>
      <c r="L367" s="32" t="str">
        <f t="shared" si="21"/>
        <v/>
      </c>
      <c r="M367" s="33" t="str">
        <f t="shared" ca="1" si="22"/>
        <v/>
      </c>
      <c r="N367" s="34" t="str">
        <f t="shared" si="23"/>
        <v/>
      </c>
      <c r="O367" s="23"/>
      <c r="P367" s="23"/>
    </row>
    <row r="368" spans="1:16" ht="21.75" customHeight="1" x14ac:dyDescent="0.25">
      <c r="A368" s="24"/>
      <c r="B368" s="24"/>
      <c r="C368" s="24"/>
      <c r="D368" s="34" t="str">
        <f>IF(C368="","",IFERROR(VLOOKUP(C368,CRM!$B$8:$O$1007,2,FALSE()),"Revisar ID"))</f>
        <v/>
      </c>
      <c r="E368" s="23"/>
      <c r="F368" s="37" t="str">
        <f t="shared" si="20"/>
        <v/>
      </c>
      <c r="G368" s="28"/>
      <c r="H368" s="29"/>
      <c r="I368" s="28"/>
      <c r="J368" s="29"/>
      <c r="K368" s="28"/>
      <c r="L368" s="32" t="str">
        <f t="shared" si="21"/>
        <v/>
      </c>
      <c r="M368" s="33" t="str">
        <f t="shared" ca="1" si="22"/>
        <v/>
      </c>
      <c r="N368" s="34" t="str">
        <f t="shared" si="23"/>
        <v/>
      </c>
      <c r="O368" s="23"/>
      <c r="P368" s="23"/>
    </row>
    <row r="369" spans="1:16" ht="21.75" customHeight="1" x14ac:dyDescent="0.25">
      <c r="A369" s="24"/>
      <c r="B369" s="24"/>
      <c r="C369" s="24"/>
      <c r="D369" s="34" t="str">
        <f>IF(C369="","",IFERROR(VLOOKUP(C369,CRM!$B$8:$O$1007,2,FALSE()),"Revisar ID"))</f>
        <v/>
      </c>
      <c r="E369" s="23"/>
      <c r="F369" s="37" t="str">
        <f t="shared" si="20"/>
        <v/>
      </c>
      <c r="G369" s="28"/>
      <c r="H369" s="29"/>
      <c r="I369" s="28"/>
      <c r="J369" s="29"/>
      <c r="K369" s="28"/>
      <c r="L369" s="32" t="str">
        <f t="shared" si="21"/>
        <v/>
      </c>
      <c r="M369" s="33" t="str">
        <f t="shared" ca="1" si="22"/>
        <v/>
      </c>
      <c r="N369" s="34" t="str">
        <f t="shared" si="23"/>
        <v/>
      </c>
      <c r="O369" s="23"/>
      <c r="P369" s="23"/>
    </row>
    <row r="370" spans="1:16" ht="21.75" customHeight="1" x14ac:dyDescent="0.25">
      <c r="A370" s="24"/>
      <c r="B370" s="24"/>
      <c r="C370" s="24"/>
      <c r="D370" s="34" t="str">
        <f>IF(C370="","",IFERROR(VLOOKUP(C370,CRM!$B$8:$O$1007,2,FALSE()),"Revisar ID"))</f>
        <v/>
      </c>
      <c r="E370" s="23"/>
      <c r="F370" s="37" t="str">
        <f t="shared" si="20"/>
        <v/>
      </c>
      <c r="G370" s="28"/>
      <c r="H370" s="29"/>
      <c r="I370" s="28"/>
      <c r="J370" s="29"/>
      <c r="K370" s="28"/>
      <c r="L370" s="32" t="str">
        <f t="shared" si="21"/>
        <v/>
      </c>
      <c r="M370" s="33" t="str">
        <f t="shared" ca="1" si="22"/>
        <v/>
      </c>
      <c r="N370" s="34" t="str">
        <f t="shared" si="23"/>
        <v/>
      </c>
      <c r="O370" s="23"/>
      <c r="P370" s="23"/>
    </row>
    <row r="371" spans="1:16" ht="21.75" customHeight="1" x14ac:dyDescent="0.25">
      <c r="A371" s="24"/>
      <c r="B371" s="24"/>
      <c r="C371" s="24"/>
      <c r="D371" s="34" t="str">
        <f>IF(C371="","",IFERROR(VLOOKUP(C371,CRM!$B$8:$O$1007,2,FALSE()),"Revisar ID"))</f>
        <v/>
      </c>
      <c r="E371" s="23"/>
      <c r="F371" s="37" t="str">
        <f t="shared" si="20"/>
        <v/>
      </c>
      <c r="G371" s="28"/>
      <c r="H371" s="29"/>
      <c r="I371" s="28"/>
      <c r="J371" s="29"/>
      <c r="K371" s="28"/>
      <c r="L371" s="32" t="str">
        <f t="shared" si="21"/>
        <v/>
      </c>
      <c r="M371" s="33" t="str">
        <f t="shared" ca="1" si="22"/>
        <v/>
      </c>
      <c r="N371" s="34" t="str">
        <f t="shared" si="23"/>
        <v/>
      </c>
      <c r="O371" s="23"/>
      <c r="P371" s="23"/>
    </row>
    <row r="372" spans="1:16" ht="21.75" customHeight="1" x14ac:dyDescent="0.25">
      <c r="A372" s="24"/>
      <c r="B372" s="24"/>
      <c r="C372" s="24"/>
      <c r="D372" s="34" t="str">
        <f>IF(C372="","",IFERROR(VLOOKUP(C372,CRM!$B$8:$O$1007,2,FALSE()),"Revisar ID"))</f>
        <v/>
      </c>
      <c r="E372" s="23"/>
      <c r="F372" s="37" t="str">
        <f t="shared" si="20"/>
        <v/>
      </c>
      <c r="G372" s="28"/>
      <c r="H372" s="29"/>
      <c r="I372" s="28"/>
      <c r="J372" s="29"/>
      <c r="K372" s="28"/>
      <c r="L372" s="32" t="str">
        <f t="shared" si="21"/>
        <v/>
      </c>
      <c r="M372" s="33" t="str">
        <f t="shared" ca="1" si="22"/>
        <v/>
      </c>
      <c r="N372" s="34" t="str">
        <f t="shared" si="23"/>
        <v/>
      </c>
      <c r="O372" s="23"/>
      <c r="P372" s="23"/>
    </row>
    <row r="373" spans="1:16" ht="21.75" customHeight="1" x14ac:dyDescent="0.25">
      <c r="A373" s="24"/>
      <c r="B373" s="24"/>
      <c r="C373" s="24"/>
      <c r="D373" s="34" t="str">
        <f>IF(C373="","",IFERROR(VLOOKUP(C373,CRM!$B$8:$O$1007,2,FALSE()),"Revisar ID"))</f>
        <v/>
      </c>
      <c r="E373" s="23"/>
      <c r="F373" s="37" t="str">
        <f t="shared" si="20"/>
        <v/>
      </c>
      <c r="G373" s="28"/>
      <c r="H373" s="29"/>
      <c r="I373" s="28"/>
      <c r="J373" s="29"/>
      <c r="K373" s="28"/>
      <c r="L373" s="32" t="str">
        <f t="shared" si="21"/>
        <v/>
      </c>
      <c r="M373" s="33" t="str">
        <f t="shared" ca="1" si="22"/>
        <v/>
      </c>
      <c r="N373" s="34" t="str">
        <f t="shared" si="23"/>
        <v/>
      </c>
      <c r="O373" s="23"/>
      <c r="P373" s="23"/>
    </row>
    <row r="374" spans="1:16" ht="21.75" customHeight="1" x14ac:dyDescent="0.25">
      <c r="A374" s="24"/>
      <c r="B374" s="24"/>
      <c r="C374" s="24"/>
      <c r="D374" s="34" t="str">
        <f>IF(C374="","",IFERROR(VLOOKUP(C374,CRM!$B$8:$O$1007,2,FALSE()),"Revisar ID"))</f>
        <v/>
      </c>
      <c r="E374" s="23"/>
      <c r="F374" s="37" t="str">
        <f t="shared" si="20"/>
        <v/>
      </c>
      <c r="G374" s="28"/>
      <c r="H374" s="29"/>
      <c r="I374" s="28"/>
      <c r="J374" s="29"/>
      <c r="K374" s="28"/>
      <c r="L374" s="32" t="str">
        <f t="shared" si="21"/>
        <v/>
      </c>
      <c r="M374" s="33" t="str">
        <f t="shared" ca="1" si="22"/>
        <v/>
      </c>
      <c r="N374" s="34" t="str">
        <f t="shared" si="23"/>
        <v/>
      </c>
      <c r="O374" s="23"/>
      <c r="P374" s="23"/>
    </row>
    <row r="375" spans="1:16" ht="21.75" customHeight="1" x14ac:dyDescent="0.25">
      <c r="A375" s="24"/>
      <c r="B375" s="24"/>
      <c r="C375" s="24"/>
      <c r="D375" s="34" t="str">
        <f>IF(C375="","",IFERROR(VLOOKUP(C375,CRM!$B$8:$O$1007,2,FALSE()),"Revisar ID"))</f>
        <v/>
      </c>
      <c r="E375" s="23"/>
      <c r="F375" s="37" t="str">
        <f t="shared" si="20"/>
        <v/>
      </c>
      <c r="G375" s="28"/>
      <c r="H375" s="29"/>
      <c r="I375" s="28"/>
      <c r="J375" s="29"/>
      <c r="K375" s="28"/>
      <c r="L375" s="32" t="str">
        <f t="shared" si="21"/>
        <v/>
      </c>
      <c r="M375" s="33" t="str">
        <f t="shared" ca="1" si="22"/>
        <v/>
      </c>
      <c r="N375" s="34" t="str">
        <f t="shared" si="23"/>
        <v/>
      </c>
      <c r="O375" s="23"/>
      <c r="P375" s="23"/>
    </row>
    <row r="376" spans="1:16" ht="21.75" customHeight="1" x14ac:dyDescent="0.25">
      <c r="A376" s="24"/>
      <c r="B376" s="24"/>
      <c r="C376" s="24"/>
      <c r="D376" s="34" t="str">
        <f>IF(C376="","",IFERROR(VLOOKUP(C376,CRM!$B$8:$O$1007,2,FALSE()),"Revisar ID"))</f>
        <v/>
      </c>
      <c r="E376" s="23"/>
      <c r="F376" s="37" t="str">
        <f t="shared" si="20"/>
        <v/>
      </c>
      <c r="G376" s="28"/>
      <c r="H376" s="29"/>
      <c r="I376" s="28"/>
      <c r="J376" s="29"/>
      <c r="K376" s="28"/>
      <c r="L376" s="32" t="str">
        <f t="shared" si="21"/>
        <v/>
      </c>
      <c r="M376" s="33" t="str">
        <f t="shared" ca="1" si="22"/>
        <v/>
      </c>
      <c r="N376" s="34" t="str">
        <f t="shared" si="23"/>
        <v/>
      </c>
      <c r="O376" s="23"/>
      <c r="P376" s="23"/>
    </row>
    <row r="377" spans="1:16" ht="21.75" customHeight="1" x14ac:dyDescent="0.25">
      <c r="A377" s="24"/>
      <c r="B377" s="24"/>
      <c r="C377" s="24"/>
      <c r="D377" s="34" t="str">
        <f>IF(C377="","",IFERROR(VLOOKUP(C377,CRM!$B$8:$O$1007,2,FALSE()),"Revisar ID"))</f>
        <v/>
      </c>
      <c r="E377" s="23"/>
      <c r="F377" s="37" t="str">
        <f t="shared" si="20"/>
        <v/>
      </c>
      <c r="G377" s="28"/>
      <c r="H377" s="29"/>
      <c r="I377" s="28"/>
      <c r="J377" s="29"/>
      <c r="K377" s="28"/>
      <c r="L377" s="32" t="str">
        <f t="shared" si="21"/>
        <v/>
      </c>
      <c r="M377" s="33" t="str">
        <f t="shared" ca="1" si="22"/>
        <v/>
      </c>
      <c r="N377" s="34" t="str">
        <f t="shared" si="23"/>
        <v/>
      </c>
      <c r="O377" s="23"/>
      <c r="P377" s="23"/>
    </row>
    <row r="378" spans="1:16" ht="21.75" customHeight="1" x14ac:dyDescent="0.25">
      <c r="A378" s="24"/>
      <c r="B378" s="24"/>
      <c r="C378" s="24"/>
      <c r="D378" s="34" t="str">
        <f>IF(C378="","",IFERROR(VLOOKUP(C378,CRM!$B$8:$O$1007,2,FALSE()),"Revisar ID"))</f>
        <v/>
      </c>
      <c r="E378" s="23"/>
      <c r="F378" s="37" t="str">
        <f t="shared" si="20"/>
        <v/>
      </c>
      <c r="G378" s="28"/>
      <c r="H378" s="29"/>
      <c r="I378" s="28"/>
      <c r="J378" s="29"/>
      <c r="K378" s="28"/>
      <c r="L378" s="32" t="str">
        <f t="shared" si="21"/>
        <v/>
      </c>
      <c r="M378" s="33" t="str">
        <f t="shared" ca="1" si="22"/>
        <v/>
      </c>
      <c r="N378" s="34" t="str">
        <f t="shared" si="23"/>
        <v/>
      </c>
      <c r="O378" s="23"/>
      <c r="P378" s="23"/>
    </row>
    <row r="379" spans="1:16" ht="21.75" customHeight="1" x14ac:dyDescent="0.25">
      <c r="A379" s="24"/>
      <c r="B379" s="24"/>
      <c r="C379" s="24"/>
      <c r="D379" s="34" t="str">
        <f>IF(C379="","",IFERROR(VLOOKUP(C379,CRM!$B$8:$O$1007,2,FALSE()),"Revisar ID"))</f>
        <v/>
      </c>
      <c r="E379" s="23"/>
      <c r="F379" s="37" t="str">
        <f t="shared" si="20"/>
        <v/>
      </c>
      <c r="G379" s="28"/>
      <c r="H379" s="29"/>
      <c r="I379" s="28"/>
      <c r="J379" s="29"/>
      <c r="K379" s="28"/>
      <c r="L379" s="32" t="str">
        <f t="shared" si="21"/>
        <v/>
      </c>
      <c r="M379" s="33" t="str">
        <f t="shared" ca="1" si="22"/>
        <v/>
      </c>
      <c r="N379" s="34" t="str">
        <f t="shared" si="23"/>
        <v/>
      </c>
      <c r="O379" s="23"/>
      <c r="P379" s="23"/>
    </row>
    <row r="380" spans="1:16" ht="21.75" customHeight="1" x14ac:dyDescent="0.25">
      <c r="A380" s="24"/>
      <c r="B380" s="24"/>
      <c r="C380" s="24"/>
      <c r="D380" s="34" t="str">
        <f>IF(C380="","",IFERROR(VLOOKUP(C380,CRM!$B$8:$O$1007,2,FALSE()),"Revisar ID"))</f>
        <v/>
      </c>
      <c r="E380" s="23"/>
      <c r="F380" s="37" t="str">
        <f t="shared" si="20"/>
        <v/>
      </c>
      <c r="G380" s="28"/>
      <c r="H380" s="29"/>
      <c r="I380" s="28"/>
      <c r="J380" s="29"/>
      <c r="K380" s="28"/>
      <c r="L380" s="32" t="str">
        <f t="shared" si="21"/>
        <v/>
      </c>
      <c r="M380" s="33" t="str">
        <f t="shared" ca="1" si="22"/>
        <v/>
      </c>
      <c r="N380" s="34" t="str">
        <f t="shared" si="23"/>
        <v/>
      </c>
      <c r="O380" s="23"/>
      <c r="P380" s="23"/>
    </row>
    <row r="381" spans="1:16" ht="21.75" customHeight="1" x14ac:dyDescent="0.25">
      <c r="A381" s="24"/>
      <c r="B381" s="24"/>
      <c r="C381" s="24"/>
      <c r="D381" s="34" t="str">
        <f>IF(C381="","",IFERROR(VLOOKUP(C381,CRM!$B$8:$O$1007,2,FALSE()),"Revisar ID"))</f>
        <v/>
      </c>
      <c r="E381" s="23"/>
      <c r="F381" s="37" t="str">
        <f t="shared" si="20"/>
        <v/>
      </c>
      <c r="G381" s="28"/>
      <c r="H381" s="29"/>
      <c r="I381" s="28"/>
      <c r="J381" s="29"/>
      <c r="K381" s="28"/>
      <c r="L381" s="32" t="str">
        <f t="shared" si="21"/>
        <v/>
      </c>
      <c r="M381" s="33" t="str">
        <f t="shared" ca="1" si="22"/>
        <v/>
      </c>
      <c r="N381" s="34" t="str">
        <f t="shared" si="23"/>
        <v/>
      </c>
      <c r="O381" s="23"/>
      <c r="P381" s="23"/>
    </row>
    <row r="382" spans="1:16" ht="21.75" customHeight="1" x14ac:dyDescent="0.25">
      <c r="A382" s="24"/>
      <c r="B382" s="24"/>
      <c r="C382" s="24"/>
      <c r="D382" s="34" t="str">
        <f>IF(C382="","",IFERROR(VLOOKUP(C382,CRM!$B$8:$O$1007,2,FALSE()),"Revisar ID"))</f>
        <v/>
      </c>
      <c r="E382" s="23"/>
      <c r="F382" s="37" t="str">
        <f t="shared" si="20"/>
        <v/>
      </c>
      <c r="G382" s="28"/>
      <c r="H382" s="29"/>
      <c r="I382" s="28"/>
      <c r="J382" s="29"/>
      <c r="K382" s="28"/>
      <c r="L382" s="32" t="str">
        <f t="shared" si="21"/>
        <v/>
      </c>
      <c r="M382" s="33" t="str">
        <f t="shared" ca="1" si="22"/>
        <v/>
      </c>
      <c r="N382" s="34" t="str">
        <f t="shared" si="23"/>
        <v/>
      </c>
      <c r="O382" s="23"/>
      <c r="P382" s="23"/>
    </row>
    <row r="383" spans="1:16" ht="21.75" customHeight="1" x14ac:dyDescent="0.25">
      <c r="A383" s="24"/>
      <c r="B383" s="24"/>
      <c r="C383" s="24"/>
      <c r="D383" s="34" t="str">
        <f>IF(C383="","",IFERROR(VLOOKUP(C383,CRM!$B$8:$O$1007,2,FALSE()),"Revisar ID"))</f>
        <v/>
      </c>
      <c r="E383" s="23"/>
      <c r="F383" s="37" t="str">
        <f t="shared" si="20"/>
        <v/>
      </c>
      <c r="G383" s="28"/>
      <c r="H383" s="29"/>
      <c r="I383" s="28"/>
      <c r="J383" s="29"/>
      <c r="K383" s="28"/>
      <c r="L383" s="32" t="str">
        <f t="shared" si="21"/>
        <v/>
      </c>
      <c r="M383" s="33" t="str">
        <f t="shared" ca="1" si="22"/>
        <v/>
      </c>
      <c r="N383" s="34" t="str">
        <f t="shared" si="23"/>
        <v/>
      </c>
      <c r="O383" s="23"/>
      <c r="P383" s="23"/>
    </row>
    <row r="384" spans="1:16" ht="21.75" customHeight="1" x14ac:dyDescent="0.25">
      <c r="A384" s="24"/>
      <c r="B384" s="24"/>
      <c r="C384" s="24"/>
      <c r="D384" s="34" t="str">
        <f>IF(C384="","",IFERROR(VLOOKUP(C384,CRM!$B$8:$O$1007,2,FALSE()),"Revisar ID"))</f>
        <v/>
      </c>
      <c r="E384" s="23"/>
      <c r="F384" s="37" t="str">
        <f t="shared" si="20"/>
        <v/>
      </c>
      <c r="G384" s="28"/>
      <c r="H384" s="29"/>
      <c r="I384" s="28"/>
      <c r="J384" s="29"/>
      <c r="K384" s="28"/>
      <c r="L384" s="32" t="str">
        <f t="shared" si="21"/>
        <v/>
      </c>
      <c r="M384" s="33" t="str">
        <f t="shared" ca="1" si="22"/>
        <v/>
      </c>
      <c r="N384" s="34" t="str">
        <f t="shared" si="23"/>
        <v/>
      </c>
      <c r="O384" s="23"/>
      <c r="P384" s="23"/>
    </row>
    <row r="385" spans="1:16" ht="21.75" customHeight="1" x14ac:dyDescent="0.25">
      <c r="A385" s="24"/>
      <c r="B385" s="24"/>
      <c r="C385" s="24"/>
      <c r="D385" s="34" t="str">
        <f>IF(C385="","",IFERROR(VLOOKUP(C385,CRM!$B$8:$O$1007,2,FALSE()),"Revisar ID"))</f>
        <v/>
      </c>
      <c r="E385" s="23"/>
      <c r="F385" s="37" t="str">
        <f t="shared" si="20"/>
        <v/>
      </c>
      <c r="G385" s="28"/>
      <c r="H385" s="29"/>
      <c r="I385" s="28"/>
      <c r="J385" s="29"/>
      <c r="K385" s="28"/>
      <c r="L385" s="32" t="str">
        <f t="shared" si="21"/>
        <v/>
      </c>
      <c r="M385" s="33" t="str">
        <f t="shared" ca="1" si="22"/>
        <v/>
      </c>
      <c r="N385" s="34" t="str">
        <f t="shared" si="23"/>
        <v/>
      </c>
      <c r="O385" s="23"/>
      <c r="P385" s="23"/>
    </row>
    <row r="386" spans="1:16" ht="21.75" customHeight="1" x14ac:dyDescent="0.25">
      <c r="A386" s="24"/>
      <c r="B386" s="24"/>
      <c r="C386" s="24"/>
      <c r="D386" s="34" t="str">
        <f>IF(C386="","",IFERROR(VLOOKUP(C386,CRM!$B$8:$O$1007,2,FALSE()),"Revisar ID"))</f>
        <v/>
      </c>
      <c r="E386" s="23"/>
      <c r="F386" s="37" t="str">
        <f t="shared" si="20"/>
        <v/>
      </c>
      <c r="G386" s="28"/>
      <c r="H386" s="29"/>
      <c r="I386" s="28"/>
      <c r="J386" s="29"/>
      <c r="K386" s="28"/>
      <c r="L386" s="32" t="str">
        <f t="shared" si="21"/>
        <v/>
      </c>
      <c r="M386" s="33" t="str">
        <f t="shared" ca="1" si="22"/>
        <v/>
      </c>
      <c r="N386" s="34" t="str">
        <f t="shared" si="23"/>
        <v/>
      </c>
      <c r="O386" s="23"/>
      <c r="P386" s="23"/>
    </row>
    <row r="387" spans="1:16" ht="21.75" customHeight="1" x14ac:dyDescent="0.25">
      <c r="A387" s="24"/>
      <c r="B387" s="24"/>
      <c r="C387" s="24"/>
      <c r="D387" s="34" t="str">
        <f>IF(C387="","",IFERROR(VLOOKUP(C387,CRM!$B$8:$O$1007,2,FALSE()),"Revisar ID"))</f>
        <v/>
      </c>
      <c r="E387" s="23"/>
      <c r="F387" s="37" t="str">
        <f t="shared" si="20"/>
        <v/>
      </c>
      <c r="G387" s="28"/>
      <c r="H387" s="29"/>
      <c r="I387" s="28"/>
      <c r="J387" s="29"/>
      <c r="K387" s="28"/>
      <c r="L387" s="32" t="str">
        <f t="shared" si="21"/>
        <v/>
      </c>
      <c r="M387" s="33" t="str">
        <f t="shared" ca="1" si="22"/>
        <v/>
      </c>
      <c r="N387" s="34" t="str">
        <f t="shared" si="23"/>
        <v/>
      </c>
      <c r="O387" s="23"/>
      <c r="P387" s="23"/>
    </row>
    <row r="388" spans="1:16" ht="21.75" customHeight="1" x14ac:dyDescent="0.25">
      <c r="A388" s="24"/>
      <c r="B388" s="24"/>
      <c r="C388" s="24"/>
      <c r="D388" s="34" t="str">
        <f>IF(C388="","",IFERROR(VLOOKUP(C388,CRM!$B$8:$O$1007,2,FALSE()),"Revisar ID"))</f>
        <v/>
      </c>
      <c r="E388" s="23"/>
      <c r="F388" s="37" t="str">
        <f t="shared" si="20"/>
        <v/>
      </c>
      <c r="G388" s="28"/>
      <c r="H388" s="29"/>
      <c r="I388" s="28"/>
      <c r="J388" s="29"/>
      <c r="K388" s="28"/>
      <c r="L388" s="32" t="str">
        <f t="shared" si="21"/>
        <v/>
      </c>
      <c r="M388" s="33" t="str">
        <f t="shared" ca="1" si="22"/>
        <v/>
      </c>
      <c r="N388" s="34" t="str">
        <f t="shared" si="23"/>
        <v/>
      </c>
      <c r="O388" s="23"/>
      <c r="P388" s="23"/>
    </row>
    <row r="389" spans="1:16" ht="21.75" customHeight="1" x14ac:dyDescent="0.25">
      <c r="A389" s="24"/>
      <c r="B389" s="24"/>
      <c r="C389" s="24"/>
      <c r="D389" s="34" t="str">
        <f>IF(C389="","",IFERROR(VLOOKUP(C389,CRM!$B$8:$O$1007,2,FALSE()),"Revisar ID"))</f>
        <v/>
      </c>
      <c r="E389" s="23"/>
      <c r="F389" s="37" t="str">
        <f t="shared" si="20"/>
        <v/>
      </c>
      <c r="G389" s="28"/>
      <c r="H389" s="29"/>
      <c r="I389" s="28"/>
      <c r="J389" s="29"/>
      <c r="K389" s="28"/>
      <c r="L389" s="32" t="str">
        <f t="shared" si="21"/>
        <v/>
      </c>
      <c r="M389" s="33" t="str">
        <f t="shared" ca="1" si="22"/>
        <v/>
      </c>
      <c r="N389" s="34" t="str">
        <f t="shared" si="23"/>
        <v/>
      </c>
      <c r="O389" s="23"/>
      <c r="P389" s="23"/>
    </row>
    <row r="390" spans="1:16" ht="21.75" customHeight="1" x14ac:dyDescent="0.25">
      <c r="A390" s="24"/>
      <c r="B390" s="24"/>
      <c r="C390" s="24"/>
      <c r="D390" s="34" t="str">
        <f>IF(C390="","",IFERROR(VLOOKUP(C390,CRM!$B$8:$O$1007,2,FALSE()),"Revisar ID"))</f>
        <v/>
      </c>
      <c r="E390" s="23"/>
      <c r="F390" s="37" t="str">
        <f t="shared" si="20"/>
        <v/>
      </c>
      <c r="G390" s="28"/>
      <c r="H390" s="29"/>
      <c r="I390" s="28"/>
      <c r="J390" s="29"/>
      <c r="K390" s="28"/>
      <c r="L390" s="32" t="str">
        <f t="shared" si="21"/>
        <v/>
      </c>
      <c r="M390" s="33" t="str">
        <f t="shared" ca="1" si="22"/>
        <v/>
      </c>
      <c r="N390" s="34" t="str">
        <f t="shared" si="23"/>
        <v/>
      </c>
      <c r="O390" s="23"/>
      <c r="P390" s="23"/>
    </row>
    <row r="391" spans="1:16" ht="21.75" customHeight="1" x14ac:dyDescent="0.25">
      <c r="A391" s="24"/>
      <c r="B391" s="24"/>
      <c r="C391" s="24"/>
      <c r="D391" s="34" t="str">
        <f>IF(C391="","",IFERROR(VLOOKUP(C391,CRM!$B$8:$O$1007,2,FALSE()),"Revisar ID"))</f>
        <v/>
      </c>
      <c r="E391" s="23"/>
      <c r="F391" s="37" t="str">
        <f t="shared" si="20"/>
        <v/>
      </c>
      <c r="G391" s="28"/>
      <c r="H391" s="29"/>
      <c r="I391" s="28"/>
      <c r="J391" s="29"/>
      <c r="K391" s="28"/>
      <c r="L391" s="32" t="str">
        <f t="shared" si="21"/>
        <v/>
      </c>
      <c r="M391" s="33" t="str">
        <f t="shared" ca="1" si="22"/>
        <v/>
      </c>
      <c r="N391" s="34" t="str">
        <f t="shared" si="23"/>
        <v/>
      </c>
      <c r="O391" s="23"/>
      <c r="P391" s="23"/>
    </row>
    <row r="392" spans="1:16" ht="21.75" customHeight="1" x14ac:dyDescent="0.25">
      <c r="A392" s="24"/>
      <c r="B392" s="24"/>
      <c r="C392" s="24"/>
      <c r="D392" s="34" t="str">
        <f>IF(C392="","",IFERROR(VLOOKUP(C392,CRM!$B$8:$O$1007,2,FALSE()),"Revisar ID"))</f>
        <v/>
      </c>
      <c r="E392" s="23"/>
      <c r="F392" s="37" t="str">
        <f t="shared" si="20"/>
        <v/>
      </c>
      <c r="G392" s="28"/>
      <c r="H392" s="29"/>
      <c r="I392" s="28"/>
      <c r="J392" s="29"/>
      <c r="K392" s="28"/>
      <c r="L392" s="32" t="str">
        <f t="shared" si="21"/>
        <v/>
      </c>
      <c r="M392" s="33" t="str">
        <f t="shared" ca="1" si="22"/>
        <v/>
      </c>
      <c r="N392" s="34" t="str">
        <f t="shared" si="23"/>
        <v/>
      </c>
      <c r="O392" s="23"/>
      <c r="P392" s="23"/>
    </row>
    <row r="393" spans="1:16" ht="21.75" customHeight="1" x14ac:dyDescent="0.25">
      <c r="A393" s="24"/>
      <c r="B393" s="24"/>
      <c r="C393" s="24"/>
      <c r="D393" s="34" t="str">
        <f>IF(C393="","",IFERROR(VLOOKUP(C393,CRM!$B$8:$O$1007,2,FALSE()),"Revisar ID"))</f>
        <v/>
      </c>
      <c r="E393" s="23"/>
      <c r="F393" s="37" t="str">
        <f t="shared" ref="F393:F456" si="24">IF(B393="","",B393+IF(E393="Contado",0,IF(E393="7 días",7,IF(E393="15 días",15,IF(E393="30 días",30,IF(E393="45 días",45,IF(E393="60 días",60,0)))))))</f>
        <v/>
      </c>
      <c r="G393" s="28"/>
      <c r="H393" s="29"/>
      <c r="I393" s="28"/>
      <c r="J393" s="29"/>
      <c r="K393" s="28"/>
      <c r="L393" s="32" t="str">
        <f t="shared" ref="L393:L456" si="25">IF(G393="","",MAX(0,G393-SUM(I393,K393)))</f>
        <v/>
      </c>
      <c r="M393" s="33" t="str">
        <f t="shared" ref="M393:M456" ca="1" si="26">IF(G393="","",IF(L393=0,0,MAX(0,TODAY()-F393)))</f>
        <v/>
      </c>
      <c r="N393" s="34" t="str">
        <f t="shared" ref="N393:N456" si="27">IF(G393="","",IF(L393=0,"Pagada",IF(M393&gt;0,"Vencida",IF(SUM(I393,K393)&gt;0,"Parcial","Pendiente"))))</f>
        <v/>
      </c>
      <c r="O393" s="23"/>
      <c r="P393" s="23"/>
    </row>
    <row r="394" spans="1:16" ht="21.75" customHeight="1" x14ac:dyDescent="0.25">
      <c r="A394" s="24"/>
      <c r="B394" s="24"/>
      <c r="C394" s="24"/>
      <c r="D394" s="34" t="str">
        <f>IF(C394="","",IFERROR(VLOOKUP(C394,CRM!$B$8:$O$1007,2,FALSE()),"Revisar ID"))</f>
        <v/>
      </c>
      <c r="E394" s="23"/>
      <c r="F394" s="37" t="str">
        <f t="shared" si="24"/>
        <v/>
      </c>
      <c r="G394" s="28"/>
      <c r="H394" s="29"/>
      <c r="I394" s="28"/>
      <c r="J394" s="29"/>
      <c r="K394" s="28"/>
      <c r="L394" s="32" t="str">
        <f t="shared" si="25"/>
        <v/>
      </c>
      <c r="M394" s="33" t="str">
        <f t="shared" ca="1" si="26"/>
        <v/>
      </c>
      <c r="N394" s="34" t="str">
        <f t="shared" si="27"/>
        <v/>
      </c>
      <c r="O394" s="23"/>
      <c r="P394" s="23"/>
    </row>
    <row r="395" spans="1:16" ht="21.75" customHeight="1" x14ac:dyDescent="0.25">
      <c r="A395" s="24"/>
      <c r="B395" s="24"/>
      <c r="C395" s="24"/>
      <c r="D395" s="34" t="str">
        <f>IF(C395="","",IFERROR(VLOOKUP(C395,CRM!$B$8:$O$1007,2,FALSE()),"Revisar ID"))</f>
        <v/>
      </c>
      <c r="E395" s="23"/>
      <c r="F395" s="37" t="str">
        <f t="shared" si="24"/>
        <v/>
      </c>
      <c r="G395" s="28"/>
      <c r="H395" s="29"/>
      <c r="I395" s="28"/>
      <c r="J395" s="29"/>
      <c r="K395" s="28"/>
      <c r="L395" s="32" t="str">
        <f t="shared" si="25"/>
        <v/>
      </c>
      <c r="M395" s="33" t="str">
        <f t="shared" ca="1" si="26"/>
        <v/>
      </c>
      <c r="N395" s="34" t="str">
        <f t="shared" si="27"/>
        <v/>
      </c>
      <c r="O395" s="23"/>
      <c r="P395" s="23"/>
    </row>
    <row r="396" spans="1:16" ht="21.75" customHeight="1" x14ac:dyDescent="0.25">
      <c r="A396" s="24"/>
      <c r="B396" s="24"/>
      <c r="C396" s="24"/>
      <c r="D396" s="34" t="str">
        <f>IF(C396="","",IFERROR(VLOOKUP(C396,CRM!$B$8:$O$1007,2,FALSE()),"Revisar ID"))</f>
        <v/>
      </c>
      <c r="E396" s="23"/>
      <c r="F396" s="37" t="str">
        <f t="shared" si="24"/>
        <v/>
      </c>
      <c r="G396" s="28"/>
      <c r="H396" s="29"/>
      <c r="I396" s="28"/>
      <c r="J396" s="29"/>
      <c r="K396" s="28"/>
      <c r="L396" s="32" t="str">
        <f t="shared" si="25"/>
        <v/>
      </c>
      <c r="M396" s="33" t="str">
        <f t="shared" ca="1" si="26"/>
        <v/>
      </c>
      <c r="N396" s="34" t="str">
        <f t="shared" si="27"/>
        <v/>
      </c>
      <c r="O396" s="23"/>
      <c r="P396" s="23"/>
    </row>
    <row r="397" spans="1:16" ht="21.75" customHeight="1" x14ac:dyDescent="0.25">
      <c r="A397" s="24"/>
      <c r="B397" s="24"/>
      <c r="C397" s="24"/>
      <c r="D397" s="34" t="str">
        <f>IF(C397="","",IFERROR(VLOOKUP(C397,CRM!$B$8:$O$1007,2,FALSE()),"Revisar ID"))</f>
        <v/>
      </c>
      <c r="E397" s="23"/>
      <c r="F397" s="37" t="str">
        <f t="shared" si="24"/>
        <v/>
      </c>
      <c r="G397" s="28"/>
      <c r="H397" s="29"/>
      <c r="I397" s="28"/>
      <c r="J397" s="29"/>
      <c r="K397" s="28"/>
      <c r="L397" s="32" t="str">
        <f t="shared" si="25"/>
        <v/>
      </c>
      <c r="M397" s="33" t="str">
        <f t="shared" ca="1" si="26"/>
        <v/>
      </c>
      <c r="N397" s="34" t="str">
        <f t="shared" si="27"/>
        <v/>
      </c>
      <c r="O397" s="23"/>
      <c r="P397" s="23"/>
    </row>
    <row r="398" spans="1:16" ht="21.75" customHeight="1" x14ac:dyDescent="0.25">
      <c r="A398" s="24"/>
      <c r="B398" s="24"/>
      <c r="C398" s="24"/>
      <c r="D398" s="34" t="str">
        <f>IF(C398="","",IFERROR(VLOOKUP(C398,CRM!$B$8:$O$1007,2,FALSE()),"Revisar ID"))</f>
        <v/>
      </c>
      <c r="E398" s="23"/>
      <c r="F398" s="37" t="str">
        <f t="shared" si="24"/>
        <v/>
      </c>
      <c r="G398" s="28"/>
      <c r="H398" s="29"/>
      <c r="I398" s="28"/>
      <c r="J398" s="29"/>
      <c r="K398" s="28"/>
      <c r="L398" s="32" t="str">
        <f t="shared" si="25"/>
        <v/>
      </c>
      <c r="M398" s="33" t="str">
        <f t="shared" ca="1" si="26"/>
        <v/>
      </c>
      <c r="N398" s="34" t="str">
        <f t="shared" si="27"/>
        <v/>
      </c>
      <c r="O398" s="23"/>
      <c r="P398" s="23"/>
    </row>
    <row r="399" spans="1:16" ht="21.75" customHeight="1" x14ac:dyDescent="0.25">
      <c r="A399" s="24"/>
      <c r="B399" s="24"/>
      <c r="C399" s="24"/>
      <c r="D399" s="34" t="str">
        <f>IF(C399="","",IFERROR(VLOOKUP(C399,CRM!$B$8:$O$1007,2,FALSE()),"Revisar ID"))</f>
        <v/>
      </c>
      <c r="E399" s="23"/>
      <c r="F399" s="37" t="str">
        <f t="shared" si="24"/>
        <v/>
      </c>
      <c r="G399" s="28"/>
      <c r="H399" s="29"/>
      <c r="I399" s="28"/>
      <c r="J399" s="29"/>
      <c r="K399" s="28"/>
      <c r="L399" s="32" t="str">
        <f t="shared" si="25"/>
        <v/>
      </c>
      <c r="M399" s="33" t="str">
        <f t="shared" ca="1" si="26"/>
        <v/>
      </c>
      <c r="N399" s="34" t="str">
        <f t="shared" si="27"/>
        <v/>
      </c>
      <c r="O399" s="23"/>
      <c r="P399" s="23"/>
    </row>
    <row r="400" spans="1:16" ht="21.75" customHeight="1" x14ac:dyDescent="0.25">
      <c r="A400" s="24"/>
      <c r="B400" s="24"/>
      <c r="C400" s="24"/>
      <c r="D400" s="34" t="str">
        <f>IF(C400="","",IFERROR(VLOOKUP(C400,CRM!$B$8:$O$1007,2,FALSE()),"Revisar ID"))</f>
        <v/>
      </c>
      <c r="E400" s="23"/>
      <c r="F400" s="37" t="str">
        <f t="shared" si="24"/>
        <v/>
      </c>
      <c r="G400" s="28"/>
      <c r="H400" s="29"/>
      <c r="I400" s="28"/>
      <c r="J400" s="29"/>
      <c r="K400" s="28"/>
      <c r="L400" s="32" t="str">
        <f t="shared" si="25"/>
        <v/>
      </c>
      <c r="M400" s="33" t="str">
        <f t="shared" ca="1" si="26"/>
        <v/>
      </c>
      <c r="N400" s="34" t="str">
        <f t="shared" si="27"/>
        <v/>
      </c>
      <c r="O400" s="23"/>
      <c r="P400" s="23"/>
    </row>
    <row r="401" spans="1:16" ht="21.75" customHeight="1" x14ac:dyDescent="0.25">
      <c r="A401" s="24"/>
      <c r="B401" s="24"/>
      <c r="C401" s="24"/>
      <c r="D401" s="34" t="str">
        <f>IF(C401="","",IFERROR(VLOOKUP(C401,CRM!$B$8:$O$1007,2,FALSE()),"Revisar ID"))</f>
        <v/>
      </c>
      <c r="E401" s="23"/>
      <c r="F401" s="37" t="str">
        <f t="shared" si="24"/>
        <v/>
      </c>
      <c r="G401" s="28"/>
      <c r="H401" s="29"/>
      <c r="I401" s="28"/>
      <c r="J401" s="29"/>
      <c r="K401" s="28"/>
      <c r="L401" s="32" t="str">
        <f t="shared" si="25"/>
        <v/>
      </c>
      <c r="M401" s="33" t="str">
        <f t="shared" ca="1" si="26"/>
        <v/>
      </c>
      <c r="N401" s="34" t="str">
        <f t="shared" si="27"/>
        <v/>
      </c>
      <c r="O401" s="23"/>
      <c r="P401" s="23"/>
    </row>
    <row r="402" spans="1:16" ht="21.75" customHeight="1" x14ac:dyDescent="0.25">
      <c r="A402" s="24"/>
      <c r="B402" s="24"/>
      <c r="C402" s="24"/>
      <c r="D402" s="34" t="str">
        <f>IF(C402="","",IFERROR(VLOOKUP(C402,CRM!$B$8:$O$1007,2,FALSE()),"Revisar ID"))</f>
        <v/>
      </c>
      <c r="E402" s="23"/>
      <c r="F402" s="37" t="str">
        <f t="shared" si="24"/>
        <v/>
      </c>
      <c r="G402" s="28"/>
      <c r="H402" s="29"/>
      <c r="I402" s="28"/>
      <c r="J402" s="29"/>
      <c r="K402" s="28"/>
      <c r="L402" s="32" t="str">
        <f t="shared" si="25"/>
        <v/>
      </c>
      <c r="M402" s="33" t="str">
        <f t="shared" ca="1" si="26"/>
        <v/>
      </c>
      <c r="N402" s="34" t="str">
        <f t="shared" si="27"/>
        <v/>
      </c>
      <c r="O402" s="23"/>
      <c r="P402" s="23"/>
    </row>
    <row r="403" spans="1:16" ht="21.75" customHeight="1" x14ac:dyDescent="0.25">
      <c r="A403" s="24"/>
      <c r="B403" s="24"/>
      <c r="C403" s="24"/>
      <c r="D403" s="34" t="str">
        <f>IF(C403="","",IFERROR(VLOOKUP(C403,CRM!$B$8:$O$1007,2,FALSE()),"Revisar ID"))</f>
        <v/>
      </c>
      <c r="E403" s="23"/>
      <c r="F403" s="37" t="str">
        <f t="shared" si="24"/>
        <v/>
      </c>
      <c r="G403" s="28"/>
      <c r="H403" s="29"/>
      <c r="I403" s="28"/>
      <c r="J403" s="29"/>
      <c r="K403" s="28"/>
      <c r="L403" s="32" t="str">
        <f t="shared" si="25"/>
        <v/>
      </c>
      <c r="M403" s="33" t="str">
        <f t="shared" ca="1" si="26"/>
        <v/>
      </c>
      <c r="N403" s="34" t="str">
        <f t="shared" si="27"/>
        <v/>
      </c>
      <c r="O403" s="23"/>
      <c r="P403" s="23"/>
    </row>
    <row r="404" spans="1:16" ht="21.75" customHeight="1" x14ac:dyDescent="0.25">
      <c r="A404" s="24"/>
      <c r="B404" s="24"/>
      <c r="C404" s="24"/>
      <c r="D404" s="34" t="str">
        <f>IF(C404="","",IFERROR(VLOOKUP(C404,CRM!$B$8:$O$1007,2,FALSE()),"Revisar ID"))</f>
        <v/>
      </c>
      <c r="E404" s="23"/>
      <c r="F404" s="37" t="str">
        <f t="shared" si="24"/>
        <v/>
      </c>
      <c r="G404" s="28"/>
      <c r="H404" s="29"/>
      <c r="I404" s="28"/>
      <c r="J404" s="29"/>
      <c r="K404" s="28"/>
      <c r="L404" s="32" t="str">
        <f t="shared" si="25"/>
        <v/>
      </c>
      <c r="M404" s="33" t="str">
        <f t="shared" ca="1" si="26"/>
        <v/>
      </c>
      <c r="N404" s="34" t="str">
        <f t="shared" si="27"/>
        <v/>
      </c>
      <c r="O404" s="23"/>
      <c r="P404" s="23"/>
    </row>
    <row r="405" spans="1:16" ht="21.75" customHeight="1" x14ac:dyDescent="0.25">
      <c r="A405" s="24"/>
      <c r="B405" s="24"/>
      <c r="C405" s="24"/>
      <c r="D405" s="34" t="str">
        <f>IF(C405="","",IFERROR(VLOOKUP(C405,CRM!$B$8:$O$1007,2,FALSE()),"Revisar ID"))</f>
        <v/>
      </c>
      <c r="E405" s="23"/>
      <c r="F405" s="37" t="str">
        <f t="shared" si="24"/>
        <v/>
      </c>
      <c r="G405" s="28"/>
      <c r="H405" s="29"/>
      <c r="I405" s="28"/>
      <c r="J405" s="29"/>
      <c r="K405" s="28"/>
      <c r="L405" s="32" t="str">
        <f t="shared" si="25"/>
        <v/>
      </c>
      <c r="M405" s="33" t="str">
        <f t="shared" ca="1" si="26"/>
        <v/>
      </c>
      <c r="N405" s="34" t="str">
        <f t="shared" si="27"/>
        <v/>
      </c>
      <c r="O405" s="23"/>
      <c r="P405" s="23"/>
    </row>
    <row r="406" spans="1:16" ht="21.75" customHeight="1" x14ac:dyDescent="0.25">
      <c r="A406" s="24"/>
      <c r="B406" s="24"/>
      <c r="C406" s="24"/>
      <c r="D406" s="34" t="str">
        <f>IF(C406="","",IFERROR(VLOOKUP(C406,CRM!$B$8:$O$1007,2,FALSE()),"Revisar ID"))</f>
        <v/>
      </c>
      <c r="E406" s="23"/>
      <c r="F406" s="37" t="str">
        <f t="shared" si="24"/>
        <v/>
      </c>
      <c r="G406" s="28"/>
      <c r="H406" s="29"/>
      <c r="I406" s="28"/>
      <c r="J406" s="29"/>
      <c r="K406" s="28"/>
      <c r="L406" s="32" t="str">
        <f t="shared" si="25"/>
        <v/>
      </c>
      <c r="M406" s="33" t="str">
        <f t="shared" ca="1" si="26"/>
        <v/>
      </c>
      <c r="N406" s="34" t="str">
        <f t="shared" si="27"/>
        <v/>
      </c>
      <c r="O406" s="23"/>
      <c r="P406" s="23"/>
    </row>
    <row r="407" spans="1:16" ht="21.75" customHeight="1" x14ac:dyDescent="0.25">
      <c r="A407" s="24"/>
      <c r="B407" s="24"/>
      <c r="C407" s="24"/>
      <c r="D407" s="34" t="str">
        <f>IF(C407="","",IFERROR(VLOOKUP(C407,CRM!$B$8:$O$1007,2,FALSE()),"Revisar ID"))</f>
        <v/>
      </c>
      <c r="E407" s="23"/>
      <c r="F407" s="37" t="str">
        <f t="shared" si="24"/>
        <v/>
      </c>
      <c r="G407" s="28"/>
      <c r="H407" s="29"/>
      <c r="I407" s="28"/>
      <c r="J407" s="29"/>
      <c r="K407" s="28"/>
      <c r="L407" s="32" t="str">
        <f t="shared" si="25"/>
        <v/>
      </c>
      <c r="M407" s="33" t="str">
        <f t="shared" ca="1" si="26"/>
        <v/>
      </c>
      <c r="N407" s="34" t="str">
        <f t="shared" si="27"/>
        <v/>
      </c>
      <c r="O407" s="23"/>
      <c r="P407" s="23"/>
    </row>
    <row r="408" spans="1:16" ht="21.75" customHeight="1" x14ac:dyDescent="0.25">
      <c r="A408" s="24"/>
      <c r="B408" s="24"/>
      <c r="C408" s="24"/>
      <c r="D408" s="34" t="str">
        <f>IF(C408="","",IFERROR(VLOOKUP(C408,CRM!$B$8:$O$1007,2,FALSE()),"Revisar ID"))</f>
        <v/>
      </c>
      <c r="E408" s="23"/>
      <c r="F408" s="37" t="str">
        <f t="shared" si="24"/>
        <v/>
      </c>
      <c r="G408" s="28"/>
      <c r="H408" s="29"/>
      <c r="I408" s="28"/>
      <c r="J408" s="29"/>
      <c r="K408" s="28"/>
      <c r="L408" s="32" t="str">
        <f t="shared" si="25"/>
        <v/>
      </c>
      <c r="M408" s="33" t="str">
        <f t="shared" ca="1" si="26"/>
        <v/>
      </c>
      <c r="N408" s="34" t="str">
        <f t="shared" si="27"/>
        <v/>
      </c>
      <c r="O408" s="23"/>
      <c r="P408" s="23"/>
    </row>
    <row r="409" spans="1:16" ht="21.75" customHeight="1" x14ac:dyDescent="0.25">
      <c r="A409" s="24"/>
      <c r="B409" s="24"/>
      <c r="C409" s="24"/>
      <c r="D409" s="34" t="str">
        <f>IF(C409="","",IFERROR(VLOOKUP(C409,CRM!$B$8:$O$1007,2,FALSE()),"Revisar ID"))</f>
        <v/>
      </c>
      <c r="E409" s="23"/>
      <c r="F409" s="37" t="str">
        <f t="shared" si="24"/>
        <v/>
      </c>
      <c r="G409" s="28"/>
      <c r="H409" s="29"/>
      <c r="I409" s="28"/>
      <c r="J409" s="29"/>
      <c r="K409" s="28"/>
      <c r="L409" s="32" t="str">
        <f t="shared" si="25"/>
        <v/>
      </c>
      <c r="M409" s="33" t="str">
        <f t="shared" ca="1" si="26"/>
        <v/>
      </c>
      <c r="N409" s="34" t="str">
        <f t="shared" si="27"/>
        <v/>
      </c>
      <c r="O409" s="23"/>
      <c r="P409" s="23"/>
    </row>
    <row r="410" spans="1:16" ht="21.75" customHeight="1" x14ac:dyDescent="0.25">
      <c r="A410" s="24"/>
      <c r="B410" s="24"/>
      <c r="C410" s="24"/>
      <c r="D410" s="34" t="str">
        <f>IF(C410="","",IFERROR(VLOOKUP(C410,CRM!$B$8:$O$1007,2,FALSE()),"Revisar ID"))</f>
        <v/>
      </c>
      <c r="E410" s="23"/>
      <c r="F410" s="37" t="str">
        <f t="shared" si="24"/>
        <v/>
      </c>
      <c r="G410" s="28"/>
      <c r="H410" s="29"/>
      <c r="I410" s="28"/>
      <c r="J410" s="29"/>
      <c r="K410" s="28"/>
      <c r="L410" s="32" t="str">
        <f t="shared" si="25"/>
        <v/>
      </c>
      <c r="M410" s="33" t="str">
        <f t="shared" ca="1" si="26"/>
        <v/>
      </c>
      <c r="N410" s="34" t="str">
        <f t="shared" si="27"/>
        <v/>
      </c>
      <c r="O410" s="23"/>
      <c r="P410" s="23"/>
    </row>
    <row r="411" spans="1:16" ht="21.75" customHeight="1" x14ac:dyDescent="0.25">
      <c r="A411" s="24"/>
      <c r="B411" s="24"/>
      <c r="C411" s="24"/>
      <c r="D411" s="34" t="str">
        <f>IF(C411="","",IFERROR(VLOOKUP(C411,CRM!$B$8:$O$1007,2,FALSE()),"Revisar ID"))</f>
        <v/>
      </c>
      <c r="E411" s="23"/>
      <c r="F411" s="37" t="str">
        <f t="shared" si="24"/>
        <v/>
      </c>
      <c r="G411" s="28"/>
      <c r="H411" s="29"/>
      <c r="I411" s="28"/>
      <c r="J411" s="29"/>
      <c r="K411" s="28"/>
      <c r="L411" s="32" t="str">
        <f t="shared" si="25"/>
        <v/>
      </c>
      <c r="M411" s="33" t="str">
        <f t="shared" ca="1" si="26"/>
        <v/>
      </c>
      <c r="N411" s="34" t="str">
        <f t="shared" si="27"/>
        <v/>
      </c>
      <c r="O411" s="23"/>
      <c r="P411" s="23"/>
    </row>
    <row r="412" spans="1:16" ht="21.75" customHeight="1" x14ac:dyDescent="0.25">
      <c r="A412" s="24"/>
      <c r="B412" s="24"/>
      <c r="C412" s="24"/>
      <c r="D412" s="34" t="str">
        <f>IF(C412="","",IFERROR(VLOOKUP(C412,CRM!$B$8:$O$1007,2,FALSE()),"Revisar ID"))</f>
        <v/>
      </c>
      <c r="E412" s="23"/>
      <c r="F412" s="37" t="str">
        <f t="shared" si="24"/>
        <v/>
      </c>
      <c r="G412" s="28"/>
      <c r="H412" s="29"/>
      <c r="I412" s="28"/>
      <c r="J412" s="29"/>
      <c r="K412" s="28"/>
      <c r="L412" s="32" t="str">
        <f t="shared" si="25"/>
        <v/>
      </c>
      <c r="M412" s="33" t="str">
        <f t="shared" ca="1" si="26"/>
        <v/>
      </c>
      <c r="N412" s="34" t="str">
        <f t="shared" si="27"/>
        <v/>
      </c>
      <c r="O412" s="23"/>
      <c r="P412" s="23"/>
    </row>
    <row r="413" spans="1:16" ht="21.75" customHeight="1" x14ac:dyDescent="0.25">
      <c r="A413" s="24"/>
      <c r="B413" s="24"/>
      <c r="C413" s="24"/>
      <c r="D413" s="34" t="str">
        <f>IF(C413="","",IFERROR(VLOOKUP(C413,CRM!$B$8:$O$1007,2,FALSE()),"Revisar ID"))</f>
        <v/>
      </c>
      <c r="E413" s="23"/>
      <c r="F413" s="37" t="str">
        <f t="shared" si="24"/>
        <v/>
      </c>
      <c r="G413" s="28"/>
      <c r="H413" s="29"/>
      <c r="I413" s="28"/>
      <c r="J413" s="29"/>
      <c r="K413" s="28"/>
      <c r="L413" s="32" t="str">
        <f t="shared" si="25"/>
        <v/>
      </c>
      <c r="M413" s="33" t="str">
        <f t="shared" ca="1" si="26"/>
        <v/>
      </c>
      <c r="N413" s="34" t="str">
        <f t="shared" si="27"/>
        <v/>
      </c>
      <c r="O413" s="23"/>
      <c r="P413" s="23"/>
    </row>
    <row r="414" spans="1:16" ht="21.75" customHeight="1" x14ac:dyDescent="0.25">
      <c r="A414" s="24"/>
      <c r="B414" s="24"/>
      <c r="C414" s="24"/>
      <c r="D414" s="34" t="str">
        <f>IF(C414="","",IFERROR(VLOOKUP(C414,CRM!$B$8:$O$1007,2,FALSE()),"Revisar ID"))</f>
        <v/>
      </c>
      <c r="E414" s="23"/>
      <c r="F414" s="37" t="str">
        <f t="shared" si="24"/>
        <v/>
      </c>
      <c r="G414" s="28"/>
      <c r="H414" s="29"/>
      <c r="I414" s="28"/>
      <c r="J414" s="29"/>
      <c r="K414" s="28"/>
      <c r="L414" s="32" t="str">
        <f t="shared" si="25"/>
        <v/>
      </c>
      <c r="M414" s="33" t="str">
        <f t="shared" ca="1" si="26"/>
        <v/>
      </c>
      <c r="N414" s="34" t="str">
        <f t="shared" si="27"/>
        <v/>
      </c>
      <c r="O414" s="23"/>
      <c r="P414" s="23"/>
    </row>
    <row r="415" spans="1:16" ht="21.75" customHeight="1" x14ac:dyDescent="0.25">
      <c r="A415" s="24"/>
      <c r="B415" s="24"/>
      <c r="C415" s="24"/>
      <c r="D415" s="34" t="str">
        <f>IF(C415="","",IFERROR(VLOOKUP(C415,CRM!$B$8:$O$1007,2,FALSE()),"Revisar ID"))</f>
        <v/>
      </c>
      <c r="E415" s="23"/>
      <c r="F415" s="37" t="str">
        <f t="shared" si="24"/>
        <v/>
      </c>
      <c r="G415" s="28"/>
      <c r="H415" s="29"/>
      <c r="I415" s="28"/>
      <c r="J415" s="29"/>
      <c r="K415" s="28"/>
      <c r="L415" s="32" t="str">
        <f t="shared" si="25"/>
        <v/>
      </c>
      <c r="M415" s="33" t="str">
        <f t="shared" ca="1" si="26"/>
        <v/>
      </c>
      <c r="N415" s="34" t="str">
        <f t="shared" si="27"/>
        <v/>
      </c>
      <c r="O415" s="23"/>
      <c r="P415" s="23"/>
    </row>
    <row r="416" spans="1:16" ht="21.75" customHeight="1" x14ac:dyDescent="0.25">
      <c r="A416" s="24"/>
      <c r="B416" s="24"/>
      <c r="C416" s="24"/>
      <c r="D416" s="34" t="str">
        <f>IF(C416="","",IFERROR(VLOOKUP(C416,CRM!$B$8:$O$1007,2,FALSE()),"Revisar ID"))</f>
        <v/>
      </c>
      <c r="E416" s="23"/>
      <c r="F416" s="37" t="str">
        <f t="shared" si="24"/>
        <v/>
      </c>
      <c r="G416" s="28"/>
      <c r="H416" s="29"/>
      <c r="I416" s="28"/>
      <c r="J416" s="29"/>
      <c r="K416" s="28"/>
      <c r="L416" s="32" t="str">
        <f t="shared" si="25"/>
        <v/>
      </c>
      <c r="M416" s="33" t="str">
        <f t="shared" ca="1" si="26"/>
        <v/>
      </c>
      <c r="N416" s="34" t="str">
        <f t="shared" si="27"/>
        <v/>
      </c>
      <c r="O416" s="23"/>
      <c r="P416" s="23"/>
    </row>
    <row r="417" spans="1:16" ht="21.75" customHeight="1" x14ac:dyDescent="0.25">
      <c r="A417" s="24"/>
      <c r="B417" s="24"/>
      <c r="C417" s="24"/>
      <c r="D417" s="34" t="str">
        <f>IF(C417="","",IFERROR(VLOOKUP(C417,CRM!$B$8:$O$1007,2,FALSE()),"Revisar ID"))</f>
        <v/>
      </c>
      <c r="E417" s="23"/>
      <c r="F417" s="37" t="str">
        <f t="shared" si="24"/>
        <v/>
      </c>
      <c r="G417" s="28"/>
      <c r="H417" s="29"/>
      <c r="I417" s="28"/>
      <c r="J417" s="29"/>
      <c r="K417" s="28"/>
      <c r="L417" s="32" t="str">
        <f t="shared" si="25"/>
        <v/>
      </c>
      <c r="M417" s="33" t="str">
        <f t="shared" ca="1" si="26"/>
        <v/>
      </c>
      <c r="N417" s="34" t="str">
        <f t="shared" si="27"/>
        <v/>
      </c>
      <c r="O417" s="23"/>
      <c r="P417" s="23"/>
    </row>
    <row r="418" spans="1:16" ht="21.75" customHeight="1" x14ac:dyDescent="0.25">
      <c r="A418" s="24"/>
      <c r="B418" s="24"/>
      <c r="C418" s="24"/>
      <c r="D418" s="34" t="str">
        <f>IF(C418="","",IFERROR(VLOOKUP(C418,CRM!$B$8:$O$1007,2,FALSE()),"Revisar ID"))</f>
        <v/>
      </c>
      <c r="E418" s="23"/>
      <c r="F418" s="37" t="str">
        <f t="shared" si="24"/>
        <v/>
      </c>
      <c r="G418" s="28"/>
      <c r="H418" s="29"/>
      <c r="I418" s="28"/>
      <c r="J418" s="29"/>
      <c r="K418" s="28"/>
      <c r="L418" s="32" t="str">
        <f t="shared" si="25"/>
        <v/>
      </c>
      <c r="M418" s="33" t="str">
        <f t="shared" ca="1" si="26"/>
        <v/>
      </c>
      <c r="N418" s="34" t="str">
        <f t="shared" si="27"/>
        <v/>
      </c>
      <c r="O418" s="23"/>
      <c r="P418" s="23"/>
    </row>
    <row r="419" spans="1:16" ht="21.75" customHeight="1" x14ac:dyDescent="0.25">
      <c r="A419" s="24"/>
      <c r="B419" s="24"/>
      <c r="C419" s="24"/>
      <c r="D419" s="34" t="str">
        <f>IF(C419="","",IFERROR(VLOOKUP(C419,CRM!$B$8:$O$1007,2,FALSE()),"Revisar ID"))</f>
        <v/>
      </c>
      <c r="E419" s="23"/>
      <c r="F419" s="37" t="str">
        <f t="shared" si="24"/>
        <v/>
      </c>
      <c r="G419" s="28"/>
      <c r="H419" s="29"/>
      <c r="I419" s="28"/>
      <c r="J419" s="29"/>
      <c r="K419" s="28"/>
      <c r="L419" s="32" t="str">
        <f t="shared" si="25"/>
        <v/>
      </c>
      <c r="M419" s="33" t="str">
        <f t="shared" ca="1" si="26"/>
        <v/>
      </c>
      <c r="N419" s="34" t="str">
        <f t="shared" si="27"/>
        <v/>
      </c>
      <c r="O419" s="23"/>
      <c r="P419" s="23"/>
    </row>
    <row r="420" spans="1:16" ht="21.75" customHeight="1" x14ac:dyDescent="0.25">
      <c r="A420" s="24"/>
      <c r="B420" s="24"/>
      <c r="C420" s="24"/>
      <c r="D420" s="34" t="str">
        <f>IF(C420="","",IFERROR(VLOOKUP(C420,CRM!$B$8:$O$1007,2,FALSE()),"Revisar ID"))</f>
        <v/>
      </c>
      <c r="E420" s="23"/>
      <c r="F420" s="37" t="str">
        <f t="shared" si="24"/>
        <v/>
      </c>
      <c r="G420" s="28"/>
      <c r="H420" s="29"/>
      <c r="I420" s="28"/>
      <c r="J420" s="29"/>
      <c r="K420" s="28"/>
      <c r="L420" s="32" t="str">
        <f t="shared" si="25"/>
        <v/>
      </c>
      <c r="M420" s="33" t="str">
        <f t="shared" ca="1" si="26"/>
        <v/>
      </c>
      <c r="N420" s="34" t="str">
        <f t="shared" si="27"/>
        <v/>
      </c>
      <c r="O420" s="23"/>
      <c r="P420" s="23"/>
    </row>
    <row r="421" spans="1:16" ht="21.75" customHeight="1" x14ac:dyDescent="0.25">
      <c r="A421" s="24"/>
      <c r="B421" s="24"/>
      <c r="C421" s="24"/>
      <c r="D421" s="34" t="str">
        <f>IF(C421="","",IFERROR(VLOOKUP(C421,CRM!$B$8:$O$1007,2,FALSE()),"Revisar ID"))</f>
        <v/>
      </c>
      <c r="E421" s="23"/>
      <c r="F421" s="37" t="str">
        <f t="shared" si="24"/>
        <v/>
      </c>
      <c r="G421" s="28"/>
      <c r="H421" s="29"/>
      <c r="I421" s="28"/>
      <c r="J421" s="29"/>
      <c r="K421" s="28"/>
      <c r="L421" s="32" t="str">
        <f t="shared" si="25"/>
        <v/>
      </c>
      <c r="M421" s="33" t="str">
        <f t="shared" ca="1" si="26"/>
        <v/>
      </c>
      <c r="N421" s="34" t="str">
        <f t="shared" si="27"/>
        <v/>
      </c>
      <c r="O421" s="23"/>
      <c r="P421" s="23"/>
    </row>
    <row r="422" spans="1:16" ht="21.75" customHeight="1" x14ac:dyDescent="0.25">
      <c r="A422" s="24"/>
      <c r="B422" s="24"/>
      <c r="C422" s="24"/>
      <c r="D422" s="34" t="str">
        <f>IF(C422="","",IFERROR(VLOOKUP(C422,CRM!$B$8:$O$1007,2,FALSE()),"Revisar ID"))</f>
        <v/>
      </c>
      <c r="E422" s="23"/>
      <c r="F422" s="37" t="str">
        <f t="shared" si="24"/>
        <v/>
      </c>
      <c r="G422" s="28"/>
      <c r="H422" s="29"/>
      <c r="I422" s="28"/>
      <c r="J422" s="29"/>
      <c r="K422" s="28"/>
      <c r="L422" s="32" t="str">
        <f t="shared" si="25"/>
        <v/>
      </c>
      <c r="M422" s="33" t="str">
        <f t="shared" ca="1" si="26"/>
        <v/>
      </c>
      <c r="N422" s="34" t="str">
        <f t="shared" si="27"/>
        <v/>
      </c>
      <c r="O422" s="23"/>
      <c r="P422" s="23"/>
    </row>
    <row r="423" spans="1:16" ht="21.75" customHeight="1" x14ac:dyDescent="0.25">
      <c r="A423" s="24"/>
      <c r="B423" s="24"/>
      <c r="C423" s="24"/>
      <c r="D423" s="34" t="str">
        <f>IF(C423="","",IFERROR(VLOOKUP(C423,CRM!$B$8:$O$1007,2,FALSE()),"Revisar ID"))</f>
        <v/>
      </c>
      <c r="E423" s="23"/>
      <c r="F423" s="37" t="str">
        <f t="shared" si="24"/>
        <v/>
      </c>
      <c r="G423" s="28"/>
      <c r="H423" s="29"/>
      <c r="I423" s="28"/>
      <c r="J423" s="29"/>
      <c r="K423" s="28"/>
      <c r="L423" s="32" t="str">
        <f t="shared" si="25"/>
        <v/>
      </c>
      <c r="M423" s="33" t="str">
        <f t="shared" ca="1" si="26"/>
        <v/>
      </c>
      <c r="N423" s="34" t="str">
        <f t="shared" si="27"/>
        <v/>
      </c>
      <c r="O423" s="23"/>
      <c r="P423" s="23"/>
    </row>
    <row r="424" spans="1:16" ht="21.75" customHeight="1" x14ac:dyDescent="0.25">
      <c r="A424" s="24"/>
      <c r="B424" s="24"/>
      <c r="C424" s="24"/>
      <c r="D424" s="34" t="str">
        <f>IF(C424="","",IFERROR(VLOOKUP(C424,CRM!$B$8:$O$1007,2,FALSE()),"Revisar ID"))</f>
        <v/>
      </c>
      <c r="E424" s="23"/>
      <c r="F424" s="37" t="str">
        <f t="shared" si="24"/>
        <v/>
      </c>
      <c r="G424" s="28"/>
      <c r="H424" s="29"/>
      <c r="I424" s="28"/>
      <c r="J424" s="29"/>
      <c r="K424" s="28"/>
      <c r="L424" s="32" t="str">
        <f t="shared" si="25"/>
        <v/>
      </c>
      <c r="M424" s="33" t="str">
        <f t="shared" ca="1" si="26"/>
        <v/>
      </c>
      <c r="N424" s="34" t="str">
        <f t="shared" si="27"/>
        <v/>
      </c>
      <c r="O424" s="23"/>
      <c r="P424" s="23"/>
    </row>
    <row r="425" spans="1:16" ht="21.75" customHeight="1" x14ac:dyDescent="0.25">
      <c r="A425" s="24"/>
      <c r="B425" s="24"/>
      <c r="C425" s="24"/>
      <c r="D425" s="34" t="str">
        <f>IF(C425="","",IFERROR(VLOOKUP(C425,CRM!$B$8:$O$1007,2,FALSE()),"Revisar ID"))</f>
        <v/>
      </c>
      <c r="E425" s="23"/>
      <c r="F425" s="37" t="str">
        <f t="shared" si="24"/>
        <v/>
      </c>
      <c r="G425" s="28"/>
      <c r="H425" s="29"/>
      <c r="I425" s="28"/>
      <c r="J425" s="29"/>
      <c r="K425" s="28"/>
      <c r="L425" s="32" t="str">
        <f t="shared" si="25"/>
        <v/>
      </c>
      <c r="M425" s="33" t="str">
        <f t="shared" ca="1" si="26"/>
        <v/>
      </c>
      <c r="N425" s="34" t="str">
        <f t="shared" si="27"/>
        <v/>
      </c>
      <c r="O425" s="23"/>
      <c r="P425" s="23"/>
    </row>
    <row r="426" spans="1:16" ht="21.75" customHeight="1" x14ac:dyDescent="0.25">
      <c r="A426" s="24"/>
      <c r="B426" s="24"/>
      <c r="C426" s="24"/>
      <c r="D426" s="34" t="str">
        <f>IF(C426="","",IFERROR(VLOOKUP(C426,CRM!$B$8:$O$1007,2,FALSE()),"Revisar ID"))</f>
        <v/>
      </c>
      <c r="E426" s="23"/>
      <c r="F426" s="37" t="str">
        <f t="shared" si="24"/>
        <v/>
      </c>
      <c r="G426" s="28"/>
      <c r="H426" s="29"/>
      <c r="I426" s="28"/>
      <c r="J426" s="29"/>
      <c r="K426" s="28"/>
      <c r="L426" s="32" t="str">
        <f t="shared" si="25"/>
        <v/>
      </c>
      <c r="M426" s="33" t="str">
        <f t="shared" ca="1" si="26"/>
        <v/>
      </c>
      <c r="N426" s="34" t="str">
        <f t="shared" si="27"/>
        <v/>
      </c>
      <c r="O426" s="23"/>
      <c r="P426" s="23"/>
    </row>
    <row r="427" spans="1:16" ht="21.75" customHeight="1" x14ac:dyDescent="0.25">
      <c r="A427" s="24"/>
      <c r="B427" s="24"/>
      <c r="C427" s="24"/>
      <c r="D427" s="34" t="str">
        <f>IF(C427="","",IFERROR(VLOOKUP(C427,CRM!$B$8:$O$1007,2,FALSE()),"Revisar ID"))</f>
        <v/>
      </c>
      <c r="E427" s="23"/>
      <c r="F427" s="37" t="str">
        <f t="shared" si="24"/>
        <v/>
      </c>
      <c r="G427" s="28"/>
      <c r="H427" s="29"/>
      <c r="I427" s="28"/>
      <c r="J427" s="29"/>
      <c r="K427" s="28"/>
      <c r="L427" s="32" t="str">
        <f t="shared" si="25"/>
        <v/>
      </c>
      <c r="M427" s="33" t="str">
        <f t="shared" ca="1" si="26"/>
        <v/>
      </c>
      <c r="N427" s="34" t="str">
        <f t="shared" si="27"/>
        <v/>
      </c>
      <c r="O427" s="23"/>
      <c r="P427" s="23"/>
    </row>
    <row r="428" spans="1:16" ht="21.75" customHeight="1" x14ac:dyDescent="0.25">
      <c r="A428" s="24"/>
      <c r="B428" s="24"/>
      <c r="C428" s="24"/>
      <c r="D428" s="34" t="str">
        <f>IF(C428="","",IFERROR(VLOOKUP(C428,CRM!$B$8:$O$1007,2,FALSE()),"Revisar ID"))</f>
        <v/>
      </c>
      <c r="E428" s="23"/>
      <c r="F428" s="37" t="str">
        <f t="shared" si="24"/>
        <v/>
      </c>
      <c r="G428" s="28"/>
      <c r="H428" s="29"/>
      <c r="I428" s="28"/>
      <c r="J428" s="29"/>
      <c r="K428" s="28"/>
      <c r="L428" s="32" t="str">
        <f t="shared" si="25"/>
        <v/>
      </c>
      <c r="M428" s="33" t="str">
        <f t="shared" ca="1" si="26"/>
        <v/>
      </c>
      <c r="N428" s="34" t="str">
        <f t="shared" si="27"/>
        <v/>
      </c>
      <c r="O428" s="23"/>
      <c r="P428" s="23"/>
    </row>
    <row r="429" spans="1:16" ht="21.75" customHeight="1" x14ac:dyDescent="0.25">
      <c r="A429" s="24"/>
      <c r="B429" s="24"/>
      <c r="C429" s="24"/>
      <c r="D429" s="34" t="str">
        <f>IF(C429="","",IFERROR(VLOOKUP(C429,CRM!$B$8:$O$1007,2,FALSE()),"Revisar ID"))</f>
        <v/>
      </c>
      <c r="E429" s="23"/>
      <c r="F429" s="37" t="str">
        <f t="shared" si="24"/>
        <v/>
      </c>
      <c r="G429" s="28"/>
      <c r="H429" s="29"/>
      <c r="I429" s="28"/>
      <c r="J429" s="29"/>
      <c r="K429" s="28"/>
      <c r="L429" s="32" t="str">
        <f t="shared" si="25"/>
        <v/>
      </c>
      <c r="M429" s="33" t="str">
        <f t="shared" ca="1" si="26"/>
        <v/>
      </c>
      <c r="N429" s="34" t="str">
        <f t="shared" si="27"/>
        <v/>
      </c>
      <c r="O429" s="23"/>
      <c r="P429" s="23"/>
    </row>
    <row r="430" spans="1:16" ht="21.75" customHeight="1" x14ac:dyDescent="0.25">
      <c r="A430" s="24"/>
      <c r="B430" s="24"/>
      <c r="C430" s="24"/>
      <c r="D430" s="34" t="str">
        <f>IF(C430="","",IFERROR(VLOOKUP(C430,CRM!$B$8:$O$1007,2,FALSE()),"Revisar ID"))</f>
        <v/>
      </c>
      <c r="E430" s="23"/>
      <c r="F430" s="37" t="str">
        <f t="shared" si="24"/>
        <v/>
      </c>
      <c r="G430" s="28"/>
      <c r="H430" s="29"/>
      <c r="I430" s="28"/>
      <c r="J430" s="29"/>
      <c r="K430" s="28"/>
      <c r="L430" s="32" t="str">
        <f t="shared" si="25"/>
        <v/>
      </c>
      <c r="M430" s="33" t="str">
        <f t="shared" ca="1" si="26"/>
        <v/>
      </c>
      <c r="N430" s="34" t="str">
        <f t="shared" si="27"/>
        <v/>
      </c>
      <c r="O430" s="23"/>
      <c r="P430" s="23"/>
    </row>
    <row r="431" spans="1:16" ht="21.75" customHeight="1" x14ac:dyDescent="0.25">
      <c r="A431" s="24"/>
      <c r="B431" s="24"/>
      <c r="C431" s="24"/>
      <c r="D431" s="34" t="str">
        <f>IF(C431="","",IFERROR(VLOOKUP(C431,CRM!$B$8:$O$1007,2,FALSE()),"Revisar ID"))</f>
        <v/>
      </c>
      <c r="E431" s="23"/>
      <c r="F431" s="37" t="str">
        <f t="shared" si="24"/>
        <v/>
      </c>
      <c r="G431" s="28"/>
      <c r="H431" s="29"/>
      <c r="I431" s="28"/>
      <c r="J431" s="29"/>
      <c r="K431" s="28"/>
      <c r="L431" s="32" t="str">
        <f t="shared" si="25"/>
        <v/>
      </c>
      <c r="M431" s="33" t="str">
        <f t="shared" ca="1" si="26"/>
        <v/>
      </c>
      <c r="N431" s="34" t="str">
        <f t="shared" si="27"/>
        <v/>
      </c>
      <c r="O431" s="23"/>
      <c r="P431" s="23"/>
    </row>
    <row r="432" spans="1:16" ht="21.75" customHeight="1" x14ac:dyDescent="0.25">
      <c r="A432" s="24"/>
      <c r="B432" s="24"/>
      <c r="C432" s="24"/>
      <c r="D432" s="34" t="str">
        <f>IF(C432="","",IFERROR(VLOOKUP(C432,CRM!$B$8:$O$1007,2,FALSE()),"Revisar ID"))</f>
        <v/>
      </c>
      <c r="E432" s="23"/>
      <c r="F432" s="37" t="str">
        <f t="shared" si="24"/>
        <v/>
      </c>
      <c r="G432" s="28"/>
      <c r="H432" s="29"/>
      <c r="I432" s="28"/>
      <c r="J432" s="29"/>
      <c r="K432" s="28"/>
      <c r="L432" s="32" t="str">
        <f t="shared" si="25"/>
        <v/>
      </c>
      <c r="M432" s="33" t="str">
        <f t="shared" ca="1" si="26"/>
        <v/>
      </c>
      <c r="N432" s="34" t="str">
        <f t="shared" si="27"/>
        <v/>
      </c>
      <c r="O432" s="23"/>
      <c r="P432" s="23"/>
    </row>
    <row r="433" spans="1:16" ht="21.75" customHeight="1" x14ac:dyDescent="0.25">
      <c r="A433" s="24"/>
      <c r="B433" s="24"/>
      <c r="C433" s="24"/>
      <c r="D433" s="34" t="str">
        <f>IF(C433="","",IFERROR(VLOOKUP(C433,CRM!$B$8:$O$1007,2,FALSE()),"Revisar ID"))</f>
        <v/>
      </c>
      <c r="E433" s="23"/>
      <c r="F433" s="37" t="str">
        <f t="shared" si="24"/>
        <v/>
      </c>
      <c r="G433" s="28"/>
      <c r="H433" s="29"/>
      <c r="I433" s="28"/>
      <c r="J433" s="29"/>
      <c r="K433" s="28"/>
      <c r="L433" s="32" t="str">
        <f t="shared" si="25"/>
        <v/>
      </c>
      <c r="M433" s="33" t="str">
        <f t="shared" ca="1" si="26"/>
        <v/>
      </c>
      <c r="N433" s="34" t="str">
        <f t="shared" si="27"/>
        <v/>
      </c>
      <c r="O433" s="23"/>
      <c r="P433" s="23"/>
    </row>
    <row r="434" spans="1:16" ht="21.75" customHeight="1" x14ac:dyDescent="0.25">
      <c r="A434" s="24"/>
      <c r="B434" s="24"/>
      <c r="C434" s="24"/>
      <c r="D434" s="34" t="str">
        <f>IF(C434="","",IFERROR(VLOOKUP(C434,CRM!$B$8:$O$1007,2,FALSE()),"Revisar ID"))</f>
        <v/>
      </c>
      <c r="E434" s="23"/>
      <c r="F434" s="37" t="str">
        <f t="shared" si="24"/>
        <v/>
      </c>
      <c r="G434" s="28"/>
      <c r="H434" s="29"/>
      <c r="I434" s="28"/>
      <c r="J434" s="29"/>
      <c r="K434" s="28"/>
      <c r="L434" s="32" t="str">
        <f t="shared" si="25"/>
        <v/>
      </c>
      <c r="M434" s="33" t="str">
        <f t="shared" ca="1" si="26"/>
        <v/>
      </c>
      <c r="N434" s="34" t="str">
        <f t="shared" si="27"/>
        <v/>
      </c>
      <c r="O434" s="23"/>
      <c r="P434" s="23"/>
    </row>
    <row r="435" spans="1:16" ht="21.75" customHeight="1" x14ac:dyDescent="0.25">
      <c r="A435" s="24"/>
      <c r="B435" s="24"/>
      <c r="C435" s="24"/>
      <c r="D435" s="34" t="str">
        <f>IF(C435="","",IFERROR(VLOOKUP(C435,CRM!$B$8:$O$1007,2,FALSE()),"Revisar ID"))</f>
        <v/>
      </c>
      <c r="E435" s="23"/>
      <c r="F435" s="37" t="str">
        <f t="shared" si="24"/>
        <v/>
      </c>
      <c r="G435" s="28"/>
      <c r="H435" s="29"/>
      <c r="I435" s="28"/>
      <c r="J435" s="29"/>
      <c r="K435" s="28"/>
      <c r="L435" s="32" t="str">
        <f t="shared" si="25"/>
        <v/>
      </c>
      <c r="M435" s="33" t="str">
        <f t="shared" ca="1" si="26"/>
        <v/>
      </c>
      <c r="N435" s="34" t="str">
        <f t="shared" si="27"/>
        <v/>
      </c>
      <c r="O435" s="23"/>
      <c r="P435" s="23"/>
    </row>
    <row r="436" spans="1:16" ht="21.75" customHeight="1" x14ac:dyDescent="0.25">
      <c r="A436" s="24"/>
      <c r="B436" s="24"/>
      <c r="C436" s="24"/>
      <c r="D436" s="34" t="str">
        <f>IF(C436="","",IFERROR(VLOOKUP(C436,CRM!$B$8:$O$1007,2,FALSE()),"Revisar ID"))</f>
        <v/>
      </c>
      <c r="E436" s="23"/>
      <c r="F436" s="37" t="str">
        <f t="shared" si="24"/>
        <v/>
      </c>
      <c r="G436" s="28"/>
      <c r="H436" s="29"/>
      <c r="I436" s="28"/>
      <c r="J436" s="29"/>
      <c r="K436" s="28"/>
      <c r="L436" s="32" t="str">
        <f t="shared" si="25"/>
        <v/>
      </c>
      <c r="M436" s="33" t="str">
        <f t="shared" ca="1" si="26"/>
        <v/>
      </c>
      <c r="N436" s="34" t="str">
        <f t="shared" si="27"/>
        <v/>
      </c>
      <c r="O436" s="23"/>
      <c r="P436" s="23"/>
    </row>
    <row r="437" spans="1:16" ht="21.75" customHeight="1" x14ac:dyDescent="0.25">
      <c r="A437" s="24"/>
      <c r="B437" s="24"/>
      <c r="C437" s="24"/>
      <c r="D437" s="34" t="str">
        <f>IF(C437="","",IFERROR(VLOOKUP(C437,CRM!$B$8:$O$1007,2,FALSE()),"Revisar ID"))</f>
        <v/>
      </c>
      <c r="E437" s="23"/>
      <c r="F437" s="37" t="str">
        <f t="shared" si="24"/>
        <v/>
      </c>
      <c r="G437" s="28"/>
      <c r="H437" s="29"/>
      <c r="I437" s="28"/>
      <c r="J437" s="29"/>
      <c r="K437" s="28"/>
      <c r="L437" s="32" t="str">
        <f t="shared" si="25"/>
        <v/>
      </c>
      <c r="M437" s="33" t="str">
        <f t="shared" ca="1" si="26"/>
        <v/>
      </c>
      <c r="N437" s="34" t="str">
        <f t="shared" si="27"/>
        <v/>
      </c>
      <c r="O437" s="23"/>
      <c r="P437" s="23"/>
    </row>
    <row r="438" spans="1:16" ht="21.75" customHeight="1" x14ac:dyDescent="0.25">
      <c r="A438" s="24"/>
      <c r="B438" s="24"/>
      <c r="C438" s="24"/>
      <c r="D438" s="34" t="str">
        <f>IF(C438="","",IFERROR(VLOOKUP(C438,CRM!$B$8:$O$1007,2,FALSE()),"Revisar ID"))</f>
        <v/>
      </c>
      <c r="E438" s="23"/>
      <c r="F438" s="37" t="str">
        <f t="shared" si="24"/>
        <v/>
      </c>
      <c r="G438" s="28"/>
      <c r="H438" s="29"/>
      <c r="I438" s="28"/>
      <c r="J438" s="29"/>
      <c r="K438" s="28"/>
      <c r="L438" s="32" t="str">
        <f t="shared" si="25"/>
        <v/>
      </c>
      <c r="M438" s="33" t="str">
        <f t="shared" ca="1" si="26"/>
        <v/>
      </c>
      <c r="N438" s="34" t="str">
        <f t="shared" si="27"/>
        <v/>
      </c>
      <c r="O438" s="23"/>
      <c r="P438" s="23"/>
    </row>
    <row r="439" spans="1:16" ht="21.75" customHeight="1" x14ac:dyDescent="0.25">
      <c r="A439" s="24"/>
      <c r="B439" s="24"/>
      <c r="C439" s="24"/>
      <c r="D439" s="34" t="str">
        <f>IF(C439="","",IFERROR(VLOOKUP(C439,CRM!$B$8:$O$1007,2,FALSE()),"Revisar ID"))</f>
        <v/>
      </c>
      <c r="E439" s="23"/>
      <c r="F439" s="37" t="str">
        <f t="shared" si="24"/>
        <v/>
      </c>
      <c r="G439" s="28"/>
      <c r="H439" s="29"/>
      <c r="I439" s="28"/>
      <c r="J439" s="29"/>
      <c r="K439" s="28"/>
      <c r="L439" s="32" t="str">
        <f t="shared" si="25"/>
        <v/>
      </c>
      <c r="M439" s="33" t="str">
        <f t="shared" ca="1" si="26"/>
        <v/>
      </c>
      <c r="N439" s="34" t="str">
        <f t="shared" si="27"/>
        <v/>
      </c>
      <c r="O439" s="23"/>
      <c r="P439" s="23"/>
    </row>
    <row r="440" spans="1:16" ht="21.75" customHeight="1" x14ac:dyDescent="0.25">
      <c r="A440" s="24"/>
      <c r="B440" s="24"/>
      <c r="C440" s="24"/>
      <c r="D440" s="34" t="str">
        <f>IF(C440="","",IFERROR(VLOOKUP(C440,CRM!$B$8:$O$1007,2,FALSE()),"Revisar ID"))</f>
        <v/>
      </c>
      <c r="E440" s="23"/>
      <c r="F440" s="37" t="str">
        <f t="shared" si="24"/>
        <v/>
      </c>
      <c r="G440" s="28"/>
      <c r="H440" s="29"/>
      <c r="I440" s="28"/>
      <c r="J440" s="29"/>
      <c r="K440" s="28"/>
      <c r="L440" s="32" t="str">
        <f t="shared" si="25"/>
        <v/>
      </c>
      <c r="M440" s="33" t="str">
        <f t="shared" ca="1" si="26"/>
        <v/>
      </c>
      <c r="N440" s="34" t="str">
        <f t="shared" si="27"/>
        <v/>
      </c>
      <c r="O440" s="23"/>
      <c r="P440" s="23"/>
    </row>
    <row r="441" spans="1:16" ht="21.75" customHeight="1" x14ac:dyDescent="0.25">
      <c r="A441" s="24"/>
      <c r="B441" s="24"/>
      <c r="C441" s="24"/>
      <c r="D441" s="34" t="str">
        <f>IF(C441="","",IFERROR(VLOOKUP(C441,CRM!$B$8:$O$1007,2,FALSE()),"Revisar ID"))</f>
        <v/>
      </c>
      <c r="E441" s="23"/>
      <c r="F441" s="37" t="str">
        <f t="shared" si="24"/>
        <v/>
      </c>
      <c r="G441" s="28"/>
      <c r="H441" s="29"/>
      <c r="I441" s="28"/>
      <c r="J441" s="29"/>
      <c r="K441" s="28"/>
      <c r="L441" s="32" t="str">
        <f t="shared" si="25"/>
        <v/>
      </c>
      <c r="M441" s="33" t="str">
        <f t="shared" ca="1" si="26"/>
        <v/>
      </c>
      <c r="N441" s="34" t="str">
        <f t="shared" si="27"/>
        <v/>
      </c>
      <c r="O441" s="23"/>
      <c r="P441" s="23"/>
    </row>
    <row r="442" spans="1:16" ht="21.75" customHeight="1" x14ac:dyDescent="0.25">
      <c r="A442" s="24"/>
      <c r="B442" s="24"/>
      <c r="C442" s="24"/>
      <c r="D442" s="34" t="str">
        <f>IF(C442="","",IFERROR(VLOOKUP(C442,CRM!$B$8:$O$1007,2,FALSE()),"Revisar ID"))</f>
        <v/>
      </c>
      <c r="E442" s="23"/>
      <c r="F442" s="37" t="str">
        <f t="shared" si="24"/>
        <v/>
      </c>
      <c r="G442" s="28"/>
      <c r="H442" s="29"/>
      <c r="I442" s="28"/>
      <c r="J442" s="29"/>
      <c r="K442" s="28"/>
      <c r="L442" s="32" t="str">
        <f t="shared" si="25"/>
        <v/>
      </c>
      <c r="M442" s="33" t="str">
        <f t="shared" ca="1" si="26"/>
        <v/>
      </c>
      <c r="N442" s="34" t="str">
        <f t="shared" si="27"/>
        <v/>
      </c>
      <c r="O442" s="23"/>
      <c r="P442" s="23"/>
    </row>
    <row r="443" spans="1:16" ht="21.75" customHeight="1" x14ac:dyDescent="0.25">
      <c r="A443" s="24"/>
      <c r="B443" s="24"/>
      <c r="C443" s="24"/>
      <c r="D443" s="34" t="str">
        <f>IF(C443="","",IFERROR(VLOOKUP(C443,CRM!$B$8:$O$1007,2,FALSE()),"Revisar ID"))</f>
        <v/>
      </c>
      <c r="E443" s="23"/>
      <c r="F443" s="37" t="str">
        <f t="shared" si="24"/>
        <v/>
      </c>
      <c r="G443" s="28"/>
      <c r="H443" s="29"/>
      <c r="I443" s="28"/>
      <c r="J443" s="29"/>
      <c r="K443" s="28"/>
      <c r="L443" s="32" t="str">
        <f t="shared" si="25"/>
        <v/>
      </c>
      <c r="M443" s="33" t="str">
        <f t="shared" ca="1" si="26"/>
        <v/>
      </c>
      <c r="N443" s="34" t="str">
        <f t="shared" si="27"/>
        <v/>
      </c>
      <c r="O443" s="23"/>
      <c r="P443" s="23"/>
    </row>
    <row r="444" spans="1:16" ht="21.75" customHeight="1" x14ac:dyDescent="0.25">
      <c r="A444" s="24"/>
      <c r="B444" s="24"/>
      <c r="C444" s="24"/>
      <c r="D444" s="34" t="str">
        <f>IF(C444="","",IFERROR(VLOOKUP(C444,CRM!$B$8:$O$1007,2,FALSE()),"Revisar ID"))</f>
        <v/>
      </c>
      <c r="E444" s="23"/>
      <c r="F444" s="37" t="str">
        <f t="shared" si="24"/>
        <v/>
      </c>
      <c r="G444" s="28"/>
      <c r="H444" s="29"/>
      <c r="I444" s="28"/>
      <c r="J444" s="29"/>
      <c r="K444" s="28"/>
      <c r="L444" s="32" t="str">
        <f t="shared" si="25"/>
        <v/>
      </c>
      <c r="M444" s="33" t="str">
        <f t="shared" ca="1" si="26"/>
        <v/>
      </c>
      <c r="N444" s="34" t="str">
        <f t="shared" si="27"/>
        <v/>
      </c>
      <c r="O444" s="23"/>
      <c r="P444" s="23"/>
    </row>
    <row r="445" spans="1:16" ht="21.75" customHeight="1" x14ac:dyDescent="0.25">
      <c r="A445" s="24"/>
      <c r="B445" s="24"/>
      <c r="C445" s="24"/>
      <c r="D445" s="34" t="str">
        <f>IF(C445="","",IFERROR(VLOOKUP(C445,CRM!$B$8:$O$1007,2,FALSE()),"Revisar ID"))</f>
        <v/>
      </c>
      <c r="E445" s="23"/>
      <c r="F445" s="37" t="str">
        <f t="shared" si="24"/>
        <v/>
      </c>
      <c r="G445" s="28"/>
      <c r="H445" s="29"/>
      <c r="I445" s="28"/>
      <c r="J445" s="29"/>
      <c r="K445" s="28"/>
      <c r="L445" s="32" t="str">
        <f t="shared" si="25"/>
        <v/>
      </c>
      <c r="M445" s="33" t="str">
        <f t="shared" ca="1" si="26"/>
        <v/>
      </c>
      <c r="N445" s="34" t="str">
        <f t="shared" si="27"/>
        <v/>
      </c>
      <c r="O445" s="23"/>
      <c r="P445" s="23"/>
    </row>
    <row r="446" spans="1:16" ht="21.75" customHeight="1" x14ac:dyDescent="0.25">
      <c r="A446" s="24"/>
      <c r="B446" s="24"/>
      <c r="C446" s="24"/>
      <c r="D446" s="34" t="str">
        <f>IF(C446="","",IFERROR(VLOOKUP(C446,CRM!$B$8:$O$1007,2,FALSE()),"Revisar ID"))</f>
        <v/>
      </c>
      <c r="E446" s="23"/>
      <c r="F446" s="37" t="str">
        <f t="shared" si="24"/>
        <v/>
      </c>
      <c r="G446" s="28"/>
      <c r="H446" s="29"/>
      <c r="I446" s="28"/>
      <c r="J446" s="29"/>
      <c r="K446" s="28"/>
      <c r="L446" s="32" t="str">
        <f t="shared" si="25"/>
        <v/>
      </c>
      <c r="M446" s="33" t="str">
        <f t="shared" ca="1" si="26"/>
        <v/>
      </c>
      <c r="N446" s="34" t="str">
        <f t="shared" si="27"/>
        <v/>
      </c>
      <c r="O446" s="23"/>
      <c r="P446" s="23"/>
    </row>
    <row r="447" spans="1:16" ht="21.75" customHeight="1" x14ac:dyDescent="0.25">
      <c r="A447" s="24"/>
      <c r="B447" s="24"/>
      <c r="C447" s="24"/>
      <c r="D447" s="34" t="str">
        <f>IF(C447="","",IFERROR(VLOOKUP(C447,CRM!$B$8:$O$1007,2,FALSE()),"Revisar ID"))</f>
        <v/>
      </c>
      <c r="E447" s="23"/>
      <c r="F447" s="37" t="str">
        <f t="shared" si="24"/>
        <v/>
      </c>
      <c r="G447" s="28"/>
      <c r="H447" s="29"/>
      <c r="I447" s="28"/>
      <c r="J447" s="29"/>
      <c r="K447" s="28"/>
      <c r="L447" s="32" t="str">
        <f t="shared" si="25"/>
        <v/>
      </c>
      <c r="M447" s="33" t="str">
        <f t="shared" ca="1" si="26"/>
        <v/>
      </c>
      <c r="N447" s="34" t="str">
        <f t="shared" si="27"/>
        <v/>
      </c>
      <c r="O447" s="23"/>
      <c r="P447" s="23"/>
    </row>
    <row r="448" spans="1:16" ht="21.75" customHeight="1" x14ac:dyDescent="0.25">
      <c r="A448" s="24"/>
      <c r="B448" s="24"/>
      <c r="C448" s="24"/>
      <c r="D448" s="34" t="str">
        <f>IF(C448="","",IFERROR(VLOOKUP(C448,CRM!$B$8:$O$1007,2,FALSE()),"Revisar ID"))</f>
        <v/>
      </c>
      <c r="E448" s="23"/>
      <c r="F448" s="37" t="str">
        <f t="shared" si="24"/>
        <v/>
      </c>
      <c r="G448" s="28"/>
      <c r="H448" s="29"/>
      <c r="I448" s="28"/>
      <c r="J448" s="29"/>
      <c r="K448" s="28"/>
      <c r="L448" s="32" t="str">
        <f t="shared" si="25"/>
        <v/>
      </c>
      <c r="M448" s="33" t="str">
        <f t="shared" ca="1" si="26"/>
        <v/>
      </c>
      <c r="N448" s="34" t="str">
        <f t="shared" si="27"/>
        <v/>
      </c>
      <c r="O448" s="23"/>
      <c r="P448" s="23"/>
    </row>
    <row r="449" spans="1:16" ht="21.75" customHeight="1" x14ac:dyDescent="0.25">
      <c r="A449" s="24"/>
      <c r="B449" s="24"/>
      <c r="C449" s="24"/>
      <c r="D449" s="34" t="str">
        <f>IF(C449="","",IFERROR(VLOOKUP(C449,CRM!$B$8:$O$1007,2,FALSE()),"Revisar ID"))</f>
        <v/>
      </c>
      <c r="E449" s="23"/>
      <c r="F449" s="37" t="str">
        <f t="shared" si="24"/>
        <v/>
      </c>
      <c r="G449" s="28"/>
      <c r="H449" s="29"/>
      <c r="I449" s="28"/>
      <c r="J449" s="29"/>
      <c r="K449" s="28"/>
      <c r="L449" s="32" t="str">
        <f t="shared" si="25"/>
        <v/>
      </c>
      <c r="M449" s="33" t="str">
        <f t="shared" ca="1" si="26"/>
        <v/>
      </c>
      <c r="N449" s="34" t="str">
        <f t="shared" si="27"/>
        <v/>
      </c>
      <c r="O449" s="23"/>
      <c r="P449" s="23"/>
    </row>
    <row r="450" spans="1:16" ht="21.75" customHeight="1" x14ac:dyDescent="0.25">
      <c r="A450" s="24"/>
      <c r="B450" s="24"/>
      <c r="C450" s="24"/>
      <c r="D450" s="34" t="str">
        <f>IF(C450="","",IFERROR(VLOOKUP(C450,CRM!$B$8:$O$1007,2,FALSE()),"Revisar ID"))</f>
        <v/>
      </c>
      <c r="E450" s="23"/>
      <c r="F450" s="37" t="str">
        <f t="shared" si="24"/>
        <v/>
      </c>
      <c r="G450" s="28"/>
      <c r="H450" s="29"/>
      <c r="I450" s="28"/>
      <c r="J450" s="29"/>
      <c r="K450" s="28"/>
      <c r="L450" s="32" t="str">
        <f t="shared" si="25"/>
        <v/>
      </c>
      <c r="M450" s="33" t="str">
        <f t="shared" ca="1" si="26"/>
        <v/>
      </c>
      <c r="N450" s="34" t="str">
        <f t="shared" si="27"/>
        <v/>
      </c>
      <c r="O450" s="23"/>
      <c r="P450" s="23"/>
    </row>
    <row r="451" spans="1:16" ht="21.75" customHeight="1" x14ac:dyDescent="0.25">
      <c r="A451" s="24"/>
      <c r="B451" s="24"/>
      <c r="C451" s="24"/>
      <c r="D451" s="34" t="str">
        <f>IF(C451="","",IFERROR(VLOOKUP(C451,CRM!$B$8:$O$1007,2,FALSE()),"Revisar ID"))</f>
        <v/>
      </c>
      <c r="E451" s="23"/>
      <c r="F451" s="37" t="str">
        <f t="shared" si="24"/>
        <v/>
      </c>
      <c r="G451" s="28"/>
      <c r="H451" s="29"/>
      <c r="I451" s="28"/>
      <c r="J451" s="29"/>
      <c r="K451" s="28"/>
      <c r="L451" s="32" t="str">
        <f t="shared" si="25"/>
        <v/>
      </c>
      <c r="M451" s="33" t="str">
        <f t="shared" ca="1" si="26"/>
        <v/>
      </c>
      <c r="N451" s="34" t="str">
        <f t="shared" si="27"/>
        <v/>
      </c>
      <c r="O451" s="23"/>
      <c r="P451" s="23"/>
    </row>
    <row r="452" spans="1:16" ht="21.75" customHeight="1" x14ac:dyDescent="0.25">
      <c r="A452" s="24"/>
      <c r="B452" s="24"/>
      <c r="C452" s="24"/>
      <c r="D452" s="34" t="str">
        <f>IF(C452="","",IFERROR(VLOOKUP(C452,CRM!$B$8:$O$1007,2,FALSE()),"Revisar ID"))</f>
        <v/>
      </c>
      <c r="E452" s="23"/>
      <c r="F452" s="37" t="str">
        <f t="shared" si="24"/>
        <v/>
      </c>
      <c r="G452" s="28"/>
      <c r="H452" s="29"/>
      <c r="I452" s="28"/>
      <c r="J452" s="29"/>
      <c r="K452" s="28"/>
      <c r="L452" s="32" t="str">
        <f t="shared" si="25"/>
        <v/>
      </c>
      <c r="M452" s="33" t="str">
        <f t="shared" ca="1" si="26"/>
        <v/>
      </c>
      <c r="N452" s="34" t="str">
        <f t="shared" si="27"/>
        <v/>
      </c>
      <c r="O452" s="23"/>
      <c r="P452" s="23"/>
    </row>
    <row r="453" spans="1:16" ht="21.75" customHeight="1" x14ac:dyDescent="0.25">
      <c r="A453" s="24"/>
      <c r="B453" s="24"/>
      <c r="C453" s="24"/>
      <c r="D453" s="34" t="str">
        <f>IF(C453="","",IFERROR(VLOOKUP(C453,CRM!$B$8:$O$1007,2,FALSE()),"Revisar ID"))</f>
        <v/>
      </c>
      <c r="E453" s="23"/>
      <c r="F453" s="37" t="str">
        <f t="shared" si="24"/>
        <v/>
      </c>
      <c r="G453" s="28"/>
      <c r="H453" s="29"/>
      <c r="I453" s="28"/>
      <c r="J453" s="29"/>
      <c r="K453" s="28"/>
      <c r="L453" s="32" t="str">
        <f t="shared" si="25"/>
        <v/>
      </c>
      <c r="M453" s="33" t="str">
        <f t="shared" ca="1" si="26"/>
        <v/>
      </c>
      <c r="N453" s="34" t="str">
        <f t="shared" si="27"/>
        <v/>
      </c>
      <c r="O453" s="23"/>
      <c r="P453" s="23"/>
    </row>
    <row r="454" spans="1:16" ht="21.75" customHeight="1" x14ac:dyDescent="0.25">
      <c r="A454" s="24"/>
      <c r="B454" s="24"/>
      <c r="C454" s="24"/>
      <c r="D454" s="34" t="str">
        <f>IF(C454="","",IFERROR(VLOOKUP(C454,CRM!$B$8:$O$1007,2,FALSE()),"Revisar ID"))</f>
        <v/>
      </c>
      <c r="E454" s="23"/>
      <c r="F454" s="37" t="str">
        <f t="shared" si="24"/>
        <v/>
      </c>
      <c r="G454" s="28"/>
      <c r="H454" s="29"/>
      <c r="I454" s="28"/>
      <c r="J454" s="29"/>
      <c r="K454" s="28"/>
      <c r="L454" s="32" t="str">
        <f t="shared" si="25"/>
        <v/>
      </c>
      <c r="M454" s="33" t="str">
        <f t="shared" ca="1" si="26"/>
        <v/>
      </c>
      <c r="N454" s="34" t="str">
        <f t="shared" si="27"/>
        <v/>
      </c>
      <c r="O454" s="23"/>
      <c r="P454" s="23"/>
    </row>
    <row r="455" spans="1:16" ht="21.75" customHeight="1" x14ac:dyDescent="0.25">
      <c r="A455" s="24"/>
      <c r="B455" s="24"/>
      <c r="C455" s="24"/>
      <c r="D455" s="34" t="str">
        <f>IF(C455="","",IFERROR(VLOOKUP(C455,CRM!$B$8:$O$1007,2,FALSE()),"Revisar ID"))</f>
        <v/>
      </c>
      <c r="E455" s="23"/>
      <c r="F455" s="37" t="str">
        <f t="shared" si="24"/>
        <v/>
      </c>
      <c r="G455" s="28"/>
      <c r="H455" s="29"/>
      <c r="I455" s="28"/>
      <c r="J455" s="29"/>
      <c r="K455" s="28"/>
      <c r="L455" s="32" t="str">
        <f t="shared" si="25"/>
        <v/>
      </c>
      <c r="M455" s="33" t="str">
        <f t="shared" ca="1" si="26"/>
        <v/>
      </c>
      <c r="N455" s="34" t="str">
        <f t="shared" si="27"/>
        <v/>
      </c>
      <c r="O455" s="23"/>
      <c r="P455" s="23"/>
    </row>
    <row r="456" spans="1:16" ht="21.75" customHeight="1" x14ac:dyDescent="0.25">
      <c r="A456" s="24"/>
      <c r="B456" s="24"/>
      <c r="C456" s="24"/>
      <c r="D456" s="34" t="str">
        <f>IF(C456="","",IFERROR(VLOOKUP(C456,CRM!$B$8:$O$1007,2,FALSE()),"Revisar ID"))</f>
        <v/>
      </c>
      <c r="E456" s="23"/>
      <c r="F456" s="37" t="str">
        <f t="shared" si="24"/>
        <v/>
      </c>
      <c r="G456" s="28"/>
      <c r="H456" s="29"/>
      <c r="I456" s="28"/>
      <c r="J456" s="29"/>
      <c r="K456" s="28"/>
      <c r="L456" s="32" t="str">
        <f t="shared" si="25"/>
        <v/>
      </c>
      <c r="M456" s="33" t="str">
        <f t="shared" ca="1" si="26"/>
        <v/>
      </c>
      <c r="N456" s="34" t="str">
        <f t="shared" si="27"/>
        <v/>
      </c>
      <c r="O456" s="23"/>
      <c r="P456" s="23"/>
    </row>
    <row r="457" spans="1:16" ht="21.75" customHeight="1" x14ac:dyDescent="0.25">
      <c r="A457" s="24"/>
      <c r="B457" s="24"/>
      <c r="C457" s="24"/>
      <c r="D457" s="34" t="str">
        <f>IF(C457="","",IFERROR(VLOOKUP(C457,CRM!$B$8:$O$1007,2,FALSE()),"Revisar ID"))</f>
        <v/>
      </c>
      <c r="E457" s="23"/>
      <c r="F457" s="37" t="str">
        <f t="shared" ref="F457:F520" si="28">IF(B457="","",B457+IF(E457="Contado",0,IF(E457="7 días",7,IF(E457="15 días",15,IF(E457="30 días",30,IF(E457="45 días",45,IF(E457="60 días",60,0)))))))</f>
        <v/>
      </c>
      <c r="G457" s="28"/>
      <c r="H457" s="29"/>
      <c r="I457" s="28"/>
      <c r="J457" s="29"/>
      <c r="K457" s="28"/>
      <c r="L457" s="32" t="str">
        <f t="shared" ref="L457:L520" si="29">IF(G457="","",MAX(0,G457-SUM(I457,K457)))</f>
        <v/>
      </c>
      <c r="M457" s="33" t="str">
        <f t="shared" ref="M457:M520" ca="1" si="30">IF(G457="","",IF(L457=0,0,MAX(0,TODAY()-F457)))</f>
        <v/>
      </c>
      <c r="N457" s="34" t="str">
        <f t="shared" ref="N457:N520" si="31">IF(G457="","",IF(L457=0,"Pagada",IF(M457&gt;0,"Vencida",IF(SUM(I457,K457)&gt;0,"Parcial","Pendiente"))))</f>
        <v/>
      </c>
      <c r="O457" s="23"/>
      <c r="P457" s="23"/>
    </row>
    <row r="458" spans="1:16" ht="21.75" customHeight="1" x14ac:dyDescent="0.25">
      <c r="A458" s="24"/>
      <c r="B458" s="24"/>
      <c r="C458" s="24"/>
      <c r="D458" s="34" t="str">
        <f>IF(C458="","",IFERROR(VLOOKUP(C458,CRM!$B$8:$O$1007,2,FALSE()),"Revisar ID"))</f>
        <v/>
      </c>
      <c r="E458" s="23"/>
      <c r="F458" s="37" t="str">
        <f t="shared" si="28"/>
        <v/>
      </c>
      <c r="G458" s="28"/>
      <c r="H458" s="29"/>
      <c r="I458" s="28"/>
      <c r="J458" s="29"/>
      <c r="K458" s="28"/>
      <c r="L458" s="32" t="str">
        <f t="shared" si="29"/>
        <v/>
      </c>
      <c r="M458" s="33" t="str">
        <f t="shared" ca="1" si="30"/>
        <v/>
      </c>
      <c r="N458" s="34" t="str">
        <f t="shared" si="31"/>
        <v/>
      </c>
      <c r="O458" s="23"/>
      <c r="P458" s="23"/>
    </row>
    <row r="459" spans="1:16" ht="21.75" customHeight="1" x14ac:dyDescent="0.25">
      <c r="A459" s="24"/>
      <c r="B459" s="24"/>
      <c r="C459" s="24"/>
      <c r="D459" s="34" t="str">
        <f>IF(C459="","",IFERROR(VLOOKUP(C459,CRM!$B$8:$O$1007,2,FALSE()),"Revisar ID"))</f>
        <v/>
      </c>
      <c r="E459" s="23"/>
      <c r="F459" s="37" t="str">
        <f t="shared" si="28"/>
        <v/>
      </c>
      <c r="G459" s="28"/>
      <c r="H459" s="29"/>
      <c r="I459" s="28"/>
      <c r="J459" s="29"/>
      <c r="K459" s="28"/>
      <c r="L459" s="32" t="str">
        <f t="shared" si="29"/>
        <v/>
      </c>
      <c r="M459" s="33" t="str">
        <f t="shared" ca="1" si="30"/>
        <v/>
      </c>
      <c r="N459" s="34" t="str">
        <f t="shared" si="31"/>
        <v/>
      </c>
      <c r="O459" s="23"/>
      <c r="P459" s="23"/>
    </row>
    <row r="460" spans="1:16" ht="21.75" customHeight="1" x14ac:dyDescent="0.25">
      <c r="A460" s="24"/>
      <c r="B460" s="24"/>
      <c r="C460" s="24"/>
      <c r="D460" s="34" t="str">
        <f>IF(C460="","",IFERROR(VLOOKUP(C460,CRM!$B$8:$O$1007,2,FALSE()),"Revisar ID"))</f>
        <v/>
      </c>
      <c r="E460" s="23"/>
      <c r="F460" s="37" t="str">
        <f t="shared" si="28"/>
        <v/>
      </c>
      <c r="G460" s="28"/>
      <c r="H460" s="29"/>
      <c r="I460" s="28"/>
      <c r="J460" s="29"/>
      <c r="K460" s="28"/>
      <c r="L460" s="32" t="str">
        <f t="shared" si="29"/>
        <v/>
      </c>
      <c r="M460" s="33" t="str">
        <f t="shared" ca="1" si="30"/>
        <v/>
      </c>
      <c r="N460" s="34" t="str">
        <f t="shared" si="31"/>
        <v/>
      </c>
      <c r="O460" s="23"/>
      <c r="P460" s="23"/>
    </row>
    <row r="461" spans="1:16" ht="21.75" customHeight="1" x14ac:dyDescent="0.25">
      <c r="A461" s="24"/>
      <c r="B461" s="24"/>
      <c r="C461" s="24"/>
      <c r="D461" s="34" t="str">
        <f>IF(C461="","",IFERROR(VLOOKUP(C461,CRM!$B$8:$O$1007,2,FALSE()),"Revisar ID"))</f>
        <v/>
      </c>
      <c r="E461" s="23"/>
      <c r="F461" s="37" t="str">
        <f t="shared" si="28"/>
        <v/>
      </c>
      <c r="G461" s="28"/>
      <c r="H461" s="29"/>
      <c r="I461" s="28"/>
      <c r="J461" s="29"/>
      <c r="K461" s="28"/>
      <c r="L461" s="32" t="str">
        <f t="shared" si="29"/>
        <v/>
      </c>
      <c r="M461" s="33" t="str">
        <f t="shared" ca="1" si="30"/>
        <v/>
      </c>
      <c r="N461" s="34" t="str">
        <f t="shared" si="31"/>
        <v/>
      </c>
      <c r="O461" s="23"/>
      <c r="P461" s="23"/>
    </row>
    <row r="462" spans="1:16" ht="21.75" customHeight="1" x14ac:dyDescent="0.25">
      <c r="A462" s="24"/>
      <c r="B462" s="24"/>
      <c r="C462" s="24"/>
      <c r="D462" s="34" t="str">
        <f>IF(C462="","",IFERROR(VLOOKUP(C462,CRM!$B$8:$O$1007,2,FALSE()),"Revisar ID"))</f>
        <v/>
      </c>
      <c r="E462" s="23"/>
      <c r="F462" s="37" t="str">
        <f t="shared" si="28"/>
        <v/>
      </c>
      <c r="G462" s="28"/>
      <c r="H462" s="29"/>
      <c r="I462" s="28"/>
      <c r="J462" s="29"/>
      <c r="K462" s="28"/>
      <c r="L462" s="32" t="str">
        <f t="shared" si="29"/>
        <v/>
      </c>
      <c r="M462" s="33" t="str">
        <f t="shared" ca="1" si="30"/>
        <v/>
      </c>
      <c r="N462" s="34" t="str">
        <f t="shared" si="31"/>
        <v/>
      </c>
      <c r="O462" s="23"/>
      <c r="P462" s="23"/>
    </row>
    <row r="463" spans="1:16" ht="21.75" customHeight="1" x14ac:dyDescent="0.25">
      <c r="A463" s="24"/>
      <c r="B463" s="24"/>
      <c r="C463" s="24"/>
      <c r="D463" s="34" t="str">
        <f>IF(C463="","",IFERROR(VLOOKUP(C463,CRM!$B$8:$O$1007,2,FALSE()),"Revisar ID"))</f>
        <v/>
      </c>
      <c r="E463" s="23"/>
      <c r="F463" s="37" t="str">
        <f t="shared" si="28"/>
        <v/>
      </c>
      <c r="G463" s="28"/>
      <c r="H463" s="29"/>
      <c r="I463" s="28"/>
      <c r="J463" s="29"/>
      <c r="K463" s="28"/>
      <c r="L463" s="32" t="str">
        <f t="shared" si="29"/>
        <v/>
      </c>
      <c r="M463" s="33" t="str">
        <f t="shared" ca="1" si="30"/>
        <v/>
      </c>
      <c r="N463" s="34" t="str">
        <f t="shared" si="31"/>
        <v/>
      </c>
      <c r="O463" s="23"/>
      <c r="P463" s="23"/>
    </row>
    <row r="464" spans="1:16" ht="21.75" customHeight="1" x14ac:dyDescent="0.25">
      <c r="A464" s="24"/>
      <c r="B464" s="24"/>
      <c r="C464" s="24"/>
      <c r="D464" s="34" t="str">
        <f>IF(C464="","",IFERROR(VLOOKUP(C464,CRM!$B$8:$O$1007,2,FALSE()),"Revisar ID"))</f>
        <v/>
      </c>
      <c r="E464" s="23"/>
      <c r="F464" s="37" t="str">
        <f t="shared" si="28"/>
        <v/>
      </c>
      <c r="G464" s="28"/>
      <c r="H464" s="29"/>
      <c r="I464" s="28"/>
      <c r="J464" s="29"/>
      <c r="K464" s="28"/>
      <c r="L464" s="32" t="str">
        <f t="shared" si="29"/>
        <v/>
      </c>
      <c r="M464" s="33" t="str">
        <f t="shared" ca="1" si="30"/>
        <v/>
      </c>
      <c r="N464" s="34" t="str">
        <f t="shared" si="31"/>
        <v/>
      </c>
      <c r="O464" s="23"/>
      <c r="P464" s="23"/>
    </row>
    <row r="465" spans="1:16" ht="21.75" customHeight="1" x14ac:dyDescent="0.25">
      <c r="A465" s="24"/>
      <c r="B465" s="24"/>
      <c r="C465" s="24"/>
      <c r="D465" s="34" t="str">
        <f>IF(C465="","",IFERROR(VLOOKUP(C465,CRM!$B$8:$O$1007,2,FALSE()),"Revisar ID"))</f>
        <v/>
      </c>
      <c r="E465" s="23"/>
      <c r="F465" s="37" t="str">
        <f t="shared" si="28"/>
        <v/>
      </c>
      <c r="G465" s="28"/>
      <c r="H465" s="29"/>
      <c r="I465" s="28"/>
      <c r="J465" s="29"/>
      <c r="K465" s="28"/>
      <c r="L465" s="32" t="str">
        <f t="shared" si="29"/>
        <v/>
      </c>
      <c r="M465" s="33" t="str">
        <f t="shared" ca="1" si="30"/>
        <v/>
      </c>
      <c r="N465" s="34" t="str">
        <f t="shared" si="31"/>
        <v/>
      </c>
      <c r="O465" s="23"/>
      <c r="P465" s="23"/>
    </row>
    <row r="466" spans="1:16" ht="21.75" customHeight="1" x14ac:dyDescent="0.25">
      <c r="A466" s="24"/>
      <c r="B466" s="24"/>
      <c r="C466" s="24"/>
      <c r="D466" s="34" t="str">
        <f>IF(C466="","",IFERROR(VLOOKUP(C466,CRM!$B$8:$O$1007,2,FALSE()),"Revisar ID"))</f>
        <v/>
      </c>
      <c r="E466" s="23"/>
      <c r="F466" s="37" t="str">
        <f t="shared" si="28"/>
        <v/>
      </c>
      <c r="G466" s="28"/>
      <c r="H466" s="29"/>
      <c r="I466" s="28"/>
      <c r="J466" s="29"/>
      <c r="K466" s="28"/>
      <c r="L466" s="32" t="str">
        <f t="shared" si="29"/>
        <v/>
      </c>
      <c r="M466" s="33" t="str">
        <f t="shared" ca="1" si="30"/>
        <v/>
      </c>
      <c r="N466" s="34" t="str">
        <f t="shared" si="31"/>
        <v/>
      </c>
      <c r="O466" s="23"/>
      <c r="P466" s="23"/>
    </row>
    <row r="467" spans="1:16" ht="21.75" customHeight="1" x14ac:dyDescent="0.25">
      <c r="A467" s="24"/>
      <c r="B467" s="24"/>
      <c r="C467" s="24"/>
      <c r="D467" s="34" t="str">
        <f>IF(C467="","",IFERROR(VLOOKUP(C467,CRM!$B$8:$O$1007,2,FALSE()),"Revisar ID"))</f>
        <v/>
      </c>
      <c r="E467" s="23"/>
      <c r="F467" s="37" t="str">
        <f t="shared" si="28"/>
        <v/>
      </c>
      <c r="G467" s="28"/>
      <c r="H467" s="29"/>
      <c r="I467" s="28"/>
      <c r="J467" s="29"/>
      <c r="K467" s="28"/>
      <c r="L467" s="32" t="str">
        <f t="shared" si="29"/>
        <v/>
      </c>
      <c r="M467" s="33" t="str">
        <f t="shared" ca="1" si="30"/>
        <v/>
      </c>
      <c r="N467" s="34" t="str">
        <f t="shared" si="31"/>
        <v/>
      </c>
      <c r="O467" s="23"/>
      <c r="P467" s="23"/>
    </row>
    <row r="468" spans="1:16" ht="21.75" customHeight="1" x14ac:dyDescent="0.25">
      <c r="A468" s="24"/>
      <c r="B468" s="24"/>
      <c r="C468" s="24"/>
      <c r="D468" s="34" t="str">
        <f>IF(C468="","",IFERROR(VLOOKUP(C468,CRM!$B$8:$O$1007,2,FALSE()),"Revisar ID"))</f>
        <v/>
      </c>
      <c r="E468" s="23"/>
      <c r="F468" s="37" t="str">
        <f t="shared" si="28"/>
        <v/>
      </c>
      <c r="G468" s="28"/>
      <c r="H468" s="29"/>
      <c r="I468" s="28"/>
      <c r="J468" s="29"/>
      <c r="K468" s="28"/>
      <c r="L468" s="32" t="str">
        <f t="shared" si="29"/>
        <v/>
      </c>
      <c r="M468" s="33" t="str">
        <f t="shared" ca="1" si="30"/>
        <v/>
      </c>
      <c r="N468" s="34" t="str">
        <f t="shared" si="31"/>
        <v/>
      </c>
      <c r="O468" s="23"/>
      <c r="P468" s="23"/>
    </row>
    <row r="469" spans="1:16" ht="21.75" customHeight="1" x14ac:dyDescent="0.25">
      <c r="A469" s="24"/>
      <c r="B469" s="24"/>
      <c r="C469" s="24"/>
      <c r="D469" s="34" t="str">
        <f>IF(C469="","",IFERROR(VLOOKUP(C469,CRM!$B$8:$O$1007,2,FALSE()),"Revisar ID"))</f>
        <v/>
      </c>
      <c r="E469" s="23"/>
      <c r="F469" s="37" t="str">
        <f t="shared" si="28"/>
        <v/>
      </c>
      <c r="G469" s="28"/>
      <c r="H469" s="29"/>
      <c r="I469" s="28"/>
      <c r="J469" s="29"/>
      <c r="K469" s="28"/>
      <c r="L469" s="32" t="str">
        <f t="shared" si="29"/>
        <v/>
      </c>
      <c r="M469" s="33" t="str">
        <f t="shared" ca="1" si="30"/>
        <v/>
      </c>
      <c r="N469" s="34" t="str">
        <f t="shared" si="31"/>
        <v/>
      </c>
      <c r="O469" s="23"/>
      <c r="P469" s="23"/>
    </row>
    <row r="470" spans="1:16" ht="21.75" customHeight="1" x14ac:dyDescent="0.25">
      <c r="A470" s="24"/>
      <c r="B470" s="24"/>
      <c r="C470" s="24"/>
      <c r="D470" s="34" t="str">
        <f>IF(C470="","",IFERROR(VLOOKUP(C470,CRM!$B$8:$O$1007,2,FALSE()),"Revisar ID"))</f>
        <v/>
      </c>
      <c r="E470" s="23"/>
      <c r="F470" s="37" t="str">
        <f t="shared" si="28"/>
        <v/>
      </c>
      <c r="G470" s="28"/>
      <c r="H470" s="29"/>
      <c r="I470" s="28"/>
      <c r="J470" s="29"/>
      <c r="K470" s="28"/>
      <c r="L470" s="32" t="str">
        <f t="shared" si="29"/>
        <v/>
      </c>
      <c r="M470" s="33" t="str">
        <f t="shared" ca="1" si="30"/>
        <v/>
      </c>
      <c r="N470" s="34" t="str">
        <f t="shared" si="31"/>
        <v/>
      </c>
      <c r="O470" s="23"/>
      <c r="P470" s="23"/>
    </row>
    <row r="471" spans="1:16" ht="21.75" customHeight="1" x14ac:dyDescent="0.25">
      <c r="A471" s="24"/>
      <c r="B471" s="24"/>
      <c r="C471" s="24"/>
      <c r="D471" s="34" t="str">
        <f>IF(C471="","",IFERROR(VLOOKUP(C471,CRM!$B$8:$O$1007,2,FALSE()),"Revisar ID"))</f>
        <v/>
      </c>
      <c r="E471" s="23"/>
      <c r="F471" s="37" t="str">
        <f t="shared" si="28"/>
        <v/>
      </c>
      <c r="G471" s="28"/>
      <c r="H471" s="29"/>
      <c r="I471" s="28"/>
      <c r="J471" s="29"/>
      <c r="K471" s="28"/>
      <c r="L471" s="32" t="str">
        <f t="shared" si="29"/>
        <v/>
      </c>
      <c r="M471" s="33" t="str">
        <f t="shared" ca="1" si="30"/>
        <v/>
      </c>
      <c r="N471" s="34" t="str">
        <f t="shared" si="31"/>
        <v/>
      </c>
      <c r="O471" s="23"/>
      <c r="P471" s="23"/>
    </row>
    <row r="472" spans="1:16" ht="21.75" customHeight="1" x14ac:dyDescent="0.25">
      <c r="A472" s="24"/>
      <c r="B472" s="24"/>
      <c r="C472" s="24"/>
      <c r="D472" s="34" t="str">
        <f>IF(C472="","",IFERROR(VLOOKUP(C472,CRM!$B$8:$O$1007,2,FALSE()),"Revisar ID"))</f>
        <v/>
      </c>
      <c r="E472" s="23"/>
      <c r="F472" s="37" t="str">
        <f t="shared" si="28"/>
        <v/>
      </c>
      <c r="G472" s="28"/>
      <c r="H472" s="29"/>
      <c r="I472" s="28"/>
      <c r="J472" s="29"/>
      <c r="K472" s="28"/>
      <c r="L472" s="32" t="str">
        <f t="shared" si="29"/>
        <v/>
      </c>
      <c r="M472" s="33" t="str">
        <f t="shared" ca="1" si="30"/>
        <v/>
      </c>
      <c r="N472" s="34" t="str">
        <f t="shared" si="31"/>
        <v/>
      </c>
      <c r="O472" s="23"/>
      <c r="P472" s="23"/>
    </row>
    <row r="473" spans="1:16" ht="21.75" customHeight="1" x14ac:dyDescent="0.25">
      <c r="A473" s="24"/>
      <c r="B473" s="24"/>
      <c r="C473" s="24"/>
      <c r="D473" s="34" t="str">
        <f>IF(C473="","",IFERROR(VLOOKUP(C473,CRM!$B$8:$O$1007,2,FALSE()),"Revisar ID"))</f>
        <v/>
      </c>
      <c r="E473" s="23"/>
      <c r="F473" s="37" t="str">
        <f t="shared" si="28"/>
        <v/>
      </c>
      <c r="G473" s="28"/>
      <c r="H473" s="29"/>
      <c r="I473" s="28"/>
      <c r="J473" s="29"/>
      <c r="K473" s="28"/>
      <c r="L473" s="32" t="str">
        <f t="shared" si="29"/>
        <v/>
      </c>
      <c r="M473" s="33" t="str">
        <f t="shared" ca="1" si="30"/>
        <v/>
      </c>
      <c r="N473" s="34" t="str">
        <f t="shared" si="31"/>
        <v/>
      </c>
      <c r="O473" s="23"/>
      <c r="P473" s="23"/>
    </row>
    <row r="474" spans="1:16" ht="21.75" customHeight="1" x14ac:dyDescent="0.25">
      <c r="A474" s="24"/>
      <c r="B474" s="24"/>
      <c r="C474" s="24"/>
      <c r="D474" s="34" t="str">
        <f>IF(C474="","",IFERROR(VLOOKUP(C474,CRM!$B$8:$O$1007,2,FALSE()),"Revisar ID"))</f>
        <v/>
      </c>
      <c r="E474" s="23"/>
      <c r="F474" s="37" t="str">
        <f t="shared" si="28"/>
        <v/>
      </c>
      <c r="G474" s="28"/>
      <c r="H474" s="29"/>
      <c r="I474" s="28"/>
      <c r="J474" s="29"/>
      <c r="K474" s="28"/>
      <c r="L474" s="32" t="str">
        <f t="shared" si="29"/>
        <v/>
      </c>
      <c r="M474" s="33" t="str">
        <f t="shared" ca="1" si="30"/>
        <v/>
      </c>
      <c r="N474" s="34" t="str">
        <f t="shared" si="31"/>
        <v/>
      </c>
      <c r="O474" s="23"/>
      <c r="P474" s="23"/>
    </row>
    <row r="475" spans="1:16" ht="21.75" customHeight="1" x14ac:dyDescent="0.25">
      <c r="A475" s="24"/>
      <c r="B475" s="24"/>
      <c r="C475" s="24"/>
      <c r="D475" s="34" t="str">
        <f>IF(C475="","",IFERROR(VLOOKUP(C475,CRM!$B$8:$O$1007,2,FALSE()),"Revisar ID"))</f>
        <v/>
      </c>
      <c r="E475" s="23"/>
      <c r="F475" s="37" t="str">
        <f t="shared" si="28"/>
        <v/>
      </c>
      <c r="G475" s="28"/>
      <c r="H475" s="29"/>
      <c r="I475" s="28"/>
      <c r="J475" s="29"/>
      <c r="K475" s="28"/>
      <c r="L475" s="32" t="str">
        <f t="shared" si="29"/>
        <v/>
      </c>
      <c r="M475" s="33" t="str">
        <f t="shared" ca="1" si="30"/>
        <v/>
      </c>
      <c r="N475" s="34" t="str">
        <f t="shared" si="31"/>
        <v/>
      </c>
      <c r="O475" s="23"/>
      <c r="P475" s="23"/>
    </row>
    <row r="476" spans="1:16" ht="21.75" customHeight="1" x14ac:dyDescent="0.25">
      <c r="A476" s="24"/>
      <c r="B476" s="24"/>
      <c r="C476" s="24"/>
      <c r="D476" s="34" t="str">
        <f>IF(C476="","",IFERROR(VLOOKUP(C476,CRM!$B$8:$O$1007,2,FALSE()),"Revisar ID"))</f>
        <v/>
      </c>
      <c r="E476" s="23"/>
      <c r="F476" s="37" t="str">
        <f t="shared" si="28"/>
        <v/>
      </c>
      <c r="G476" s="28"/>
      <c r="H476" s="29"/>
      <c r="I476" s="28"/>
      <c r="J476" s="29"/>
      <c r="K476" s="28"/>
      <c r="L476" s="32" t="str">
        <f t="shared" si="29"/>
        <v/>
      </c>
      <c r="M476" s="33" t="str">
        <f t="shared" ca="1" si="30"/>
        <v/>
      </c>
      <c r="N476" s="34" t="str">
        <f t="shared" si="31"/>
        <v/>
      </c>
      <c r="O476" s="23"/>
      <c r="P476" s="23"/>
    </row>
    <row r="477" spans="1:16" ht="21.75" customHeight="1" x14ac:dyDescent="0.25">
      <c r="A477" s="24"/>
      <c r="B477" s="24"/>
      <c r="C477" s="24"/>
      <c r="D477" s="34" t="str">
        <f>IF(C477="","",IFERROR(VLOOKUP(C477,CRM!$B$8:$O$1007,2,FALSE()),"Revisar ID"))</f>
        <v/>
      </c>
      <c r="E477" s="23"/>
      <c r="F477" s="37" t="str">
        <f t="shared" si="28"/>
        <v/>
      </c>
      <c r="G477" s="28"/>
      <c r="H477" s="29"/>
      <c r="I477" s="28"/>
      <c r="J477" s="29"/>
      <c r="K477" s="28"/>
      <c r="L477" s="32" t="str">
        <f t="shared" si="29"/>
        <v/>
      </c>
      <c r="M477" s="33" t="str">
        <f t="shared" ca="1" si="30"/>
        <v/>
      </c>
      <c r="N477" s="34" t="str">
        <f t="shared" si="31"/>
        <v/>
      </c>
      <c r="O477" s="23"/>
      <c r="P477" s="23"/>
    </row>
    <row r="478" spans="1:16" ht="21.75" customHeight="1" x14ac:dyDescent="0.25">
      <c r="A478" s="24"/>
      <c r="B478" s="24"/>
      <c r="C478" s="24"/>
      <c r="D478" s="34" t="str">
        <f>IF(C478="","",IFERROR(VLOOKUP(C478,CRM!$B$8:$O$1007,2,FALSE()),"Revisar ID"))</f>
        <v/>
      </c>
      <c r="E478" s="23"/>
      <c r="F478" s="37" t="str">
        <f t="shared" si="28"/>
        <v/>
      </c>
      <c r="G478" s="28"/>
      <c r="H478" s="29"/>
      <c r="I478" s="28"/>
      <c r="J478" s="29"/>
      <c r="K478" s="28"/>
      <c r="L478" s="32" t="str">
        <f t="shared" si="29"/>
        <v/>
      </c>
      <c r="M478" s="33" t="str">
        <f t="shared" ca="1" si="30"/>
        <v/>
      </c>
      <c r="N478" s="34" t="str">
        <f t="shared" si="31"/>
        <v/>
      </c>
      <c r="O478" s="23"/>
      <c r="P478" s="23"/>
    </row>
    <row r="479" spans="1:16" ht="21.75" customHeight="1" x14ac:dyDescent="0.25">
      <c r="A479" s="24"/>
      <c r="B479" s="24"/>
      <c r="C479" s="24"/>
      <c r="D479" s="34" t="str">
        <f>IF(C479="","",IFERROR(VLOOKUP(C479,CRM!$B$8:$O$1007,2,FALSE()),"Revisar ID"))</f>
        <v/>
      </c>
      <c r="E479" s="23"/>
      <c r="F479" s="37" t="str">
        <f t="shared" si="28"/>
        <v/>
      </c>
      <c r="G479" s="28"/>
      <c r="H479" s="29"/>
      <c r="I479" s="28"/>
      <c r="J479" s="29"/>
      <c r="K479" s="28"/>
      <c r="L479" s="32" t="str">
        <f t="shared" si="29"/>
        <v/>
      </c>
      <c r="M479" s="33" t="str">
        <f t="shared" ca="1" si="30"/>
        <v/>
      </c>
      <c r="N479" s="34" t="str">
        <f t="shared" si="31"/>
        <v/>
      </c>
      <c r="O479" s="23"/>
      <c r="P479" s="23"/>
    </row>
    <row r="480" spans="1:16" ht="21.75" customHeight="1" x14ac:dyDescent="0.25">
      <c r="A480" s="24"/>
      <c r="B480" s="24"/>
      <c r="C480" s="24"/>
      <c r="D480" s="34" t="str">
        <f>IF(C480="","",IFERROR(VLOOKUP(C480,CRM!$B$8:$O$1007,2,FALSE()),"Revisar ID"))</f>
        <v/>
      </c>
      <c r="E480" s="23"/>
      <c r="F480" s="37" t="str">
        <f t="shared" si="28"/>
        <v/>
      </c>
      <c r="G480" s="28"/>
      <c r="H480" s="29"/>
      <c r="I480" s="28"/>
      <c r="J480" s="29"/>
      <c r="K480" s="28"/>
      <c r="L480" s="32" t="str">
        <f t="shared" si="29"/>
        <v/>
      </c>
      <c r="M480" s="33" t="str">
        <f t="shared" ca="1" si="30"/>
        <v/>
      </c>
      <c r="N480" s="34" t="str">
        <f t="shared" si="31"/>
        <v/>
      </c>
      <c r="O480" s="23"/>
      <c r="P480" s="23"/>
    </row>
    <row r="481" spans="1:16" ht="21.75" customHeight="1" x14ac:dyDescent="0.25">
      <c r="A481" s="24"/>
      <c r="B481" s="24"/>
      <c r="C481" s="24"/>
      <c r="D481" s="34" t="str">
        <f>IF(C481="","",IFERROR(VLOOKUP(C481,CRM!$B$8:$O$1007,2,FALSE()),"Revisar ID"))</f>
        <v/>
      </c>
      <c r="E481" s="23"/>
      <c r="F481" s="37" t="str">
        <f t="shared" si="28"/>
        <v/>
      </c>
      <c r="G481" s="28"/>
      <c r="H481" s="29"/>
      <c r="I481" s="28"/>
      <c r="J481" s="29"/>
      <c r="K481" s="28"/>
      <c r="L481" s="32" t="str">
        <f t="shared" si="29"/>
        <v/>
      </c>
      <c r="M481" s="33" t="str">
        <f t="shared" ca="1" si="30"/>
        <v/>
      </c>
      <c r="N481" s="34" t="str">
        <f t="shared" si="31"/>
        <v/>
      </c>
      <c r="O481" s="23"/>
      <c r="P481" s="23"/>
    </row>
    <row r="482" spans="1:16" ht="21.75" customHeight="1" x14ac:dyDescent="0.25">
      <c r="A482" s="24"/>
      <c r="B482" s="24"/>
      <c r="C482" s="24"/>
      <c r="D482" s="34" t="str">
        <f>IF(C482="","",IFERROR(VLOOKUP(C482,CRM!$B$8:$O$1007,2,FALSE()),"Revisar ID"))</f>
        <v/>
      </c>
      <c r="E482" s="23"/>
      <c r="F482" s="37" t="str">
        <f t="shared" si="28"/>
        <v/>
      </c>
      <c r="G482" s="28"/>
      <c r="H482" s="29"/>
      <c r="I482" s="28"/>
      <c r="J482" s="29"/>
      <c r="K482" s="28"/>
      <c r="L482" s="32" t="str">
        <f t="shared" si="29"/>
        <v/>
      </c>
      <c r="M482" s="33" t="str">
        <f t="shared" ca="1" si="30"/>
        <v/>
      </c>
      <c r="N482" s="34" t="str">
        <f t="shared" si="31"/>
        <v/>
      </c>
      <c r="O482" s="23"/>
      <c r="P482" s="23"/>
    </row>
    <row r="483" spans="1:16" ht="21.75" customHeight="1" x14ac:dyDescent="0.25">
      <c r="A483" s="24"/>
      <c r="B483" s="24"/>
      <c r="C483" s="24"/>
      <c r="D483" s="34" t="str">
        <f>IF(C483="","",IFERROR(VLOOKUP(C483,CRM!$B$8:$O$1007,2,FALSE()),"Revisar ID"))</f>
        <v/>
      </c>
      <c r="E483" s="23"/>
      <c r="F483" s="37" t="str">
        <f t="shared" si="28"/>
        <v/>
      </c>
      <c r="G483" s="28"/>
      <c r="H483" s="29"/>
      <c r="I483" s="28"/>
      <c r="J483" s="29"/>
      <c r="K483" s="28"/>
      <c r="L483" s="32" t="str">
        <f t="shared" si="29"/>
        <v/>
      </c>
      <c r="M483" s="33" t="str">
        <f t="shared" ca="1" si="30"/>
        <v/>
      </c>
      <c r="N483" s="34" t="str">
        <f t="shared" si="31"/>
        <v/>
      </c>
      <c r="O483" s="23"/>
      <c r="P483" s="23"/>
    </row>
    <row r="484" spans="1:16" ht="21.75" customHeight="1" x14ac:dyDescent="0.25">
      <c r="A484" s="24"/>
      <c r="B484" s="24"/>
      <c r="C484" s="24"/>
      <c r="D484" s="34" t="str">
        <f>IF(C484="","",IFERROR(VLOOKUP(C484,CRM!$B$8:$O$1007,2,FALSE()),"Revisar ID"))</f>
        <v/>
      </c>
      <c r="E484" s="23"/>
      <c r="F484" s="37" t="str">
        <f t="shared" si="28"/>
        <v/>
      </c>
      <c r="G484" s="28"/>
      <c r="H484" s="29"/>
      <c r="I484" s="28"/>
      <c r="J484" s="29"/>
      <c r="K484" s="28"/>
      <c r="L484" s="32" t="str">
        <f t="shared" si="29"/>
        <v/>
      </c>
      <c r="M484" s="33" t="str">
        <f t="shared" ca="1" si="30"/>
        <v/>
      </c>
      <c r="N484" s="34" t="str">
        <f t="shared" si="31"/>
        <v/>
      </c>
      <c r="O484" s="23"/>
      <c r="P484" s="23"/>
    </row>
    <row r="485" spans="1:16" ht="21.75" customHeight="1" x14ac:dyDescent="0.25">
      <c r="A485" s="24"/>
      <c r="B485" s="24"/>
      <c r="C485" s="24"/>
      <c r="D485" s="34" t="str">
        <f>IF(C485="","",IFERROR(VLOOKUP(C485,CRM!$B$8:$O$1007,2,FALSE()),"Revisar ID"))</f>
        <v/>
      </c>
      <c r="E485" s="23"/>
      <c r="F485" s="37" t="str">
        <f t="shared" si="28"/>
        <v/>
      </c>
      <c r="G485" s="28"/>
      <c r="H485" s="29"/>
      <c r="I485" s="28"/>
      <c r="J485" s="29"/>
      <c r="K485" s="28"/>
      <c r="L485" s="32" t="str">
        <f t="shared" si="29"/>
        <v/>
      </c>
      <c r="M485" s="33" t="str">
        <f t="shared" ca="1" si="30"/>
        <v/>
      </c>
      <c r="N485" s="34" t="str">
        <f t="shared" si="31"/>
        <v/>
      </c>
      <c r="O485" s="23"/>
      <c r="P485" s="23"/>
    </row>
    <row r="486" spans="1:16" ht="21.75" customHeight="1" x14ac:dyDescent="0.25">
      <c r="A486" s="24"/>
      <c r="B486" s="24"/>
      <c r="C486" s="24"/>
      <c r="D486" s="34" t="str">
        <f>IF(C486="","",IFERROR(VLOOKUP(C486,CRM!$B$8:$O$1007,2,FALSE()),"Revisar ID"))</f>
        <v/>
      </c>
      <c r="E486" s="23"/>
      <c r="F486" s="37" t="str">
        <f t="shared" si="28"/>
        <v/>
      </c>
      <c r="G486" s="28"/>
      <c r="H486" s="29"/>
      <c r="I486" s="28"/>
      <c r="J486" s="29"/>
      <c r="K486" s="28"/>
      <c r="L486" s="32" t="str">
        <f t="shared" si="29"/>
        <v/>
      </c>
      <c r="M486" s="33" t="str">
        <f t="shared" ca="1" si="30"/>
        <v/>
      </c>
      <c r="N486" s="34" t="str">
        <f t="shared" si="31"/>
        <v/>
      </c>
      <c r="O486" s="23"/>
      <c r="P486" s="23"/>
    </row>
    <row r="487" spans="1:16" ht="21.75" customHeight="1" x14ac:dyDescent="0.25">
      <c r="A487" s="24"/>
      <c r="B487" s="24"/>
      <c r="C487" s="24"/>
      <c r="D487" s="34" t="str">
        <f>IF(C487="","",IFERROR(VLOOKUP(C487,CRM!$B$8:$O$1007,2,FALSE()),"Revisar ID"))</f>
        <v/>
      </c>
      <c r="E487" s="23"/>
      <c r="F487" s="37" t="str">
        <f t="shared" si="28"/>
        <v/>
      </c>
      <c r="G487" s="28"/>
      <c r="H487" s="29"/>
      <c r="I487" s="28"/>
      <c r="J487" s="29"/>
      <c r="K487" s="28"/>
      <c r="L487" s="32" t="str">
        <f t="shared" si="29"/>
        <v/>
      </c>
      <c r="M487" s="33" t="str">
        <f t="shared" ca="1" si="30"/>
        <v/>
      </c>
      <c r="N487" s="34" t="str">
        <f t="shared" si="31"/>
        <v/>
      </c>
      <c r="O487" s="23"/>
      <c r="P487" s="23"/>
    </row>
    <row r="488" spans="1:16" ht="21.75" customHeight="1" x14ac:dyDescent="0.25">
      <c r="A488" s="24"/>
      <c r="B488" s="24"/>
      <c r="C488" s="24"/>
      <c r="D488" s="34" t="str">
        <f>IF(C488="","",IFERROR(VLOOKUP(C488,CRM!$B$8:$O$1007,2,FALSE()),"Revisar ID"))</f>
        <v/>
      </c>
      <c r="E488" s="23"/>
      <c r="F488" s="37" t="str">
        <f t="shared" si="28"/>
        <v/>
      </c>
      <c r="G488" s="28"/>
      <c r="H488" s="29"/>
      <c r="I488" s="28"/>
      <c r="J488" s="29"/>
      <c r="K488" s="28"/>
      <c r="L488" s="32" t="str">
        <f t="shared" si="29"/>
        <v/>
      </c>
      <c r="M488" s="33" t="str">
        <f t="shared" ca="1" si="30"/>
        <v/>
      </c>
      <c r="N488" s="34" t="str">
        <f t="shared" si="31"/>
        <v/>
      </c>
      <c r="O488" s="23"/>
      <c r="P488" s="23"/>
    </row>
    <row r="489" spans="1:16" ht="21.75" customHeight="1" x14ac:dyDescent="0.25">
      <c r="A489" s="24"/>
      <c r="B489" s="24"/>
      <c r="C489" s="24"/>
      <c r="D489" s="34" t="str">
        <f>IF(C489="","",IFERROR(VLOOKUP(C489,CRM!$B$8:$O$1007,2,FALSE()),"Revisar ID"))</f>
        <v/>
      </c>
      <c r="E489" s="23"/>
      <c r="F489" s="37" t="str">
        <f t="shared" si="28"/>
        <v/>
      </c>
      <c r="G489" s="28"/>
      <c r="H489" s="29"/>
      <c r="I489" s="28"/>
      <c r="J489" s="29"/>
      <c r="K489" s="28"/>
      <c r="L489" s="32" t="str">
        <f t="shared" si="29"/>
        <v/>
      </c>
      <c r="M489" s="33" t="str">
        <f t="shared" ca="1" si="30"/>
        <v/>
      </c>
      <c r="N489" s="34" t="str">
        <f t="shared" si="31"/>
        <v/>
      </c>
      <c r="O489" s="23"/>
      <c r="P489" s="23"/>
    </row>
    <row r="490" spans="1:16" ht="21.75" customHeight="1" x14ac:dyDescent="0.25">
      <c r="A490" s="24"/>
      <c r="B490" s="24"/>
      <c r="C490" s="24"/>
      <c r="D490" s="34" t="str">
        <f>IF(C490="","",IFERROR(VLOOKUP(C490,CRM!$B$8:$O$1007,2,FALSE()),"Revisar ID"))</f>
        <v/>
      </c>
      <c r="E490" s="23"/>
      <c r="F490" s="37" t="str">
        <f t="shared" si="28"/>
        <v/>
      </c>
      <c r="G490" s="28"/>
      <c r="H490" s="29"/>
      <c r="I490" s="28"/>
      <c r="J490" s="29"/>
      <c r="K490" s="28"/>
      <c r="L490" s="32" t="str">
        <f t="shared" si="29"/>
        <v/>
      </c>
      <c r="M490" s="33" t="str">
        <f t="shared" ca="1" si="30"/>
        <v/>
      </c>
      <c r="N490" s="34" t="str">
        <f t="shared" si="31"/>
        <v/>
      </c>
      <c r="O490" s="23"/>
      <c r="P490" s="23"/>
    </row>
    <row r="491" spans="1:16" ht="21.75" customHeight="1" x14ac:dyDescent="0.25">
      <c r="A491" s="24"/>
      <c r="B491" s="24"/>
      <c r="C491" s="24"/>
      <c r="D491" s="34" t="str">
        <f>IF(C491="","",IFERROR(VLOOKUP(C491,CRM!$B$8:$O$1007,2,FALSE()),"Revisar ID"))</f>
        <v/>
      </c>
      <c r="E491" s="23"/>
      <c r="F491" s="37" t="str">
        <f t="shared" si="28"/>
        <v/>
      </c>
      <c r="G491" s="28"/>
      <c r="H491" s="29"/>
      <c r="I491" s="28"/>
      <c r="J491" s="29"/>
      <c r="K491" s="28"/>
      <c r="L491" s="32" t="str">
        <f t="shared" si="29"/>
        <v/>
      </c>
      <c r="M491" s="33" t="str">
        <f t="shared" ca="1" si="30"/>
        <v/>
      </c>
      <c r="N491" s="34" t="str">
        <f t="shared" si="31"/>
        <v/>
      </c>
      <c r="O491" s="23"/>
      <c r="P491" s="23"/>
    </row>
    <row r="492" spans="1:16" ht="21.75" customHeight="1" x14ac:dyDescent="0.25">
      <c r="A492" s="24"/>
      <c r="B492" s="24"/>
      <c r="C492" s="24"/>
      <c r="D492" s="34" t="str">
        <f>IF(C492="","",IFERROR(VLOOKUP(C492,CRM!$B$8:$O$1007,2,FALSE()),"Revisar ID"))</f>
        <v/>
      </c>
      <c r="E492" s="23"/>
      <c r="F492" s="37" t="str">
        <f t="shared" si="28"/>
        <v/>
      </c>
      <c r="G492" s="28"/>
      <c r="H492" s="29"/>
      <c r="I492" s="28"/>
      <c r="J492" s="29"/>
      <c r="K492" s="28"/>
      <c r="L492" s="32" t="str">
        <f t="shared" si="29"/>
        <v/>
      </c>
      <c r="M492" s="33" t="str">
        <f t="shared" ca="1" si="30"/>
        <v/>
      </c>
      <c r="N492" s="34" t="str">
        <f t="shared" si="31"/>
        <v/>
      </c>
      <c r="O492" s="23"/>
      <c r="P492" s="23"/>
    </row>
    <row r="493" spans="1:16" ht="21.75" customHeight="1" x14ac:dyDescent="0.25">
      <c r="A493" s="24"/>
      <c r="B493" s="24"/>
      <c r="C493" s="24"/>
      <c r="D493" s="34" t="str">
        <f>IF(C493="","",IFERROR(VLOOKUP(C493,CRM!$B$8:$O$1007,2,FALSE()),"Revisar ID"))</f>
        <v/>
      </c>
      <c r="E493" s="23"/>
      <c r="F493" s="37" t="str">
        <f t="shared" si="28"/>
        <v/>
      </c>
      <c r="G493" s="28"/>
      <c r="H493" s="29"/>
      <c r="I493" s="28"/>
      <c r="J493" s="29"/>
      <c r="K493" s="28"/>
      <c r="L493" s="32" t="str">
        <f t="shared" si="29"/>
        <v/>
      </c>
      <c r="M493" s="33" t="str">
        <f t="shared" ca="1" si="30"/>
        <v/>
      </c>
      <c r="N493" s="34" t="str">
        <f t="shared" si="31"/>
        <v/>
      </c>
      <c r="O493" s="23"/>
      <c r="P493" s="23"/>
    </row>
    <row r="494" spans="1:16" ht="21.75" customHeight="1" x14ac:dyDescent="0.25">
      <c r="A494" s="24"/>
      <c r="B494" s="24"/>
      <c r="C494" s="24"/>
      <c r="D494" s="34" t="str">
        <f>IF(C494="","",IFERROR(VLOOKUP(C494,CRM!$B$8:$O$1007,2,FALSE()),"Revisar ID"))</f>
        <v/>
      </c>
      <c r="E494" s="23"/>
      <c r="F494" s="37" t="str">
        <f t="shared" si="28"/>
        <v/>
      </c>
      <c r="G494" s="28"/>
      <c r="H494" s="29"/>
      <c r="I494" s="28"/>
      <c r="J494" s="29"/>
      <c r="K494" s="28"/>
      <c r="L494" s="32" t="str">
        <f t="shared" si="29"/>
        <v/>
      </c>
      <c r="M494" s="33" t="str">
        <f t="shared" ca="1" si="30"/>
        <v/>
      </c>
      <c r="N494" s="34" t="str">
        <f t="shared" si="31"/>
        <v/>
      </c>
      <c r="O494" s="23"/>
      <c r="P494" s="23"/>
    </row>
    <row r="495" spans="1:16" ht="21.75" customHeight="1" x14ac:dyDescent="0.25">
      <c r="A495" s="24"/>
      <c r="B495" s="24"/>
      <c r="C495" s="24"/>
      <c r="D495" s="34" t="str">
        <f>IF(C495="","",IFERROR(VLOOKUP(C495,CRM!$B$8:$O$1007,2,FALSE()),"Revisar ID"))</f>
        <v/>
      </c>
      <c r="E495" s="23"/>
      <c r="F495" s="37" t="str">
        <f t="shared" si="28"/>
        <v/>
      </c>
      <c r="G495" s="28"/>
      <c r="H495" s="29"/>
      <c r="I495" s="28"/>
      <c r="J495" s="29"/>
      <c r="K495" s="28"/>
      <c r="L495" s="32" t="str">
        <f t="shared" si="29"/>
        <v/>
      </c>
      <c r="M495" s="33" t="str">
        <f t="shared" ca="1" si="30"/>
        <v/>
      </c>
      <c r="N495" s="34" t="str">
        <f t="shared" si="31"/>
        <v/>
      </c>
      <c r="O495" s="23"/>
      <c r="P495" s="23"/>
    </row>
    <row r="496" spans="1:16" ht="21.75" customHeight="1" x14ac:dyDescent="0.25">
      <c r="A496" s="24"/>
      <c r="B496" s="24"/>
      <c r="C496" s="24"/>
      <c r="D496" s="34" t="str">
        <f>IF(C496="","",IFERROR(VLOOKUP(C496,CRM!$B$8:$O$1007,2,FALSE()),"Revisar ID"))</f>
        <v/>
      </c>
      <c r="E496" s="23"/>
      <c r="F496" s="37" t="str">
        <f t="shared" si="28"/>
        <v/>
      </c>
      <c r="G496" s="28"/>
      <c r="H496" s="29"/>
      <c r="I496" s="28"/>
      <c r="J496" s="29"/>
      <c r="K496" s="28"/>
      <c r="L496" s="32" t="str">
        <f t="shared" si="29"/>
        <v/>
      </c>
      <c r="M496" s="33" t="str">
        <f t="shared" ca="1" si="30"/>
        <v/>
      </c>
      <c r="N496" s="34" t="str">
        <f t="shared" si="31"/>
        <v/>
      </c>
      <c r="O496" s="23"/>
      <c r="P496" s="23"/>
    </row>
    <row r="497" spans="1:16" ht="21.75" customHeight="1" x14ac:dyDescent="0.25">
      <c r="A497" s="24"/>
      <c r="B497" s="24"/>
      <c r="C497" s="24"/>
      <c r="D497" s="34" t="str">
        <f>IF(C497="","",IFERROR(VLOOKUP(C497,CRM!$B$8:$O$1007,2,FALSE()),"Revisar ID"))</f>
        <v/>
      </c>
      <c r="E497" s="23"/>
      <c r="F497" s="37" t="str">
        <f t="shared" si="28"/>
        <v/>
      </c>
      <c r="G497" s="28"/>
      <c r="H497" s="29"/>
      <c r="I497" s="28"/>
      <c r="J497" s="29"/>
      <c r="K497" s="28"/>
      <c r="L497" s="32" t="str">
        <f t="shared" si="29"/>
        <v/>
      </c>
      <c r="M497" s="33" t="str">
        <f t="shared" ca="1" si="30"/>
        <v/>
      </c>
      <c r="N497" s="34" t="str">
        <f t="shared" si="31"/>
        <v/>
      </c>
      <c r="O497" s="23"/>
      <c r="P497" s="23"/>
    </row>
    <row r="498" spans="1:16" ht="21.75" customHeight="1" x14ac:dyDescent="0.25">
      <c r="A498" s="24"/>
      <c r="B498" s="24"/>
      <c r="C498" s="24"/>
      <c r="D498" s="34" t="str">
        <f>IF(C498="","",IFERROR(VLOOKUP(C498,CRM!$B$8:$O$1007,2,FALSE()),"Revisar ID"))</f>
        <v/>
      </c>
      <c r="E498" s="23"/>
      <c r="F498" s="37" t="str">
        <f t="shared" si="28"/>
        <v/>
      </c>
      <c r="G498" s="28"/>
      <c r="H498" s="29"/>
      <c r="I498" s="28"/>
      <c r="J498" s="29"/>
      <c r="K498" s="28"/>
      <c r="L498" s="32" t="str">
        <f t="shared" si="29"/>
        <v/>
      </c>
      <c r="M498" s="33" t="str">
        <f t="shared" ca="1" si="30"/>
        <v/>
      </c>
      <c r="N498" s="34" t="str">
        <f t="shared" si="31"/>
        <v/>
      </c>
      <c r="O498" s="23"/>
      <c r="P498" s="23"/>
    </row>
    <row r="499" spans="1:16" ht="21.75" customHeight="1" x14ac:dyDescent="0.25">
      <c r="A499" s="24"/>
      <c r="B499" s="24"/>
      <c r="C499" s="24"/>
      <c r="D499" s="34" t="str">
        <f>IF(C499="","",IFERROR(VLOOKUP(C499,CRM!$B$8:$O$1007,2,FALSE()),"Revisar ID"))</f>
        <v/>
      </c>
      <c r="E499" s="23"/>
      <c r="F499" s="37" t="str">
        <f t="shared" si="28"/>
        <v/>
      </c>
      <c r="G499" s="28"/>
      <c r="H499" s="29"/>
      <c r="I499" s="28"/>
      <c r="J499" s="29"/>
      <c r="K499" s="28"/>
      <c r="L499" s="32" t="str">
        <f t="shared" si="29"/>
        <v/>
      </c>
      <c r="M499" s="33" t="str">
        <f t="shared" ca="1" si="30"/>
        <v/>
      </c>
      <c r="N499" s="34" t="str">
        <f t="shared" si="31"/>
        <v/>
      </c>
      <c r="O499" s="23"/>
      <c r="P499" s="23"/>
    </row>
    <row r="500" spans="1:16" ht="21.75" customHeight="1" x14ac:dyDescent="0.25">
      <c r="A500" s="24"/>
      <c r="B500" s="24"/>
      <c r="C500" s="24"/>
      <c r="D500" s="34" t="str">
        <f>IF(C500="","",IFERROR(VLOOKUP(C500,CRM!$B$8:$O$1007,2,FALSE()),"Revisar ID"))</f>
        <v/>
      </c>
      <c r="E500" s="23"/>
      <c r="F500" s="37" t="str">
        <f t="shared" si="28"/>
        <v/>
      </c>
      <c r="G500" s="28"/>
      <c r="H500" s="29"/>
      <c r="I500" s="28"/>
      <c r="J500" s="29"/>
      <c r="K500" s="28"/>
      <c r="L500" s="32" t="str">
        <f t="shared" si="29"/>
        <v/>
      </c>
      <c r="M500" s="33" t="str">
        <f t="shared" ca="1" si="30"/>
        <v/>
      </c>
      <c r="N500" s="34" t="str">
        <f t="shared" si="31"/>
        <v/>
      </c>
      <c r="O500" s="23"/>
      <c r="P500" s="23"/>
    </row>
    <row r="501" spans="1:16" ht="21.75" customHeight="1" x14ac:dyDescent="0.25">
      <c r="A501" s="24"/>
      <c r="B501" s="24"/>
      <c r="C501" s="24"/>
      <c r="D501" s="34" t="str">
        <f>IF(C501="","",IFERROR(VLOOKUP(C501,CRM!$B$8:$O$1007,2,FALSE()),"Revisar ID"))</f>
        <v/>
      </c>
      <c r="E501" s="23"/>
      <c r="F501" s="37" t="str">
        <f t="shared" si="28"/>
        <v/>
      </c>
      <c r="G501" s="28"/>
      <c r="H501" s="29"/>
      <c r="I501" s="28"/>
      <c r="J501" s="29"/>
      <c r="K501" s="28"/>
      <c r="L501" s="32" t="str">
        <f t="shared" si="29"/>
        <v/>
      </c>
      <c r="M501" s="33" t="str">
        <f t="shared" ca="1" si="30"/>
        <v/>
      </c>
      <c r="N501" s="34" t="str">
        <f t="shared" si="31"/>
        <v/>
      </c>
      <c r="O501" s="23"/>
      <c r="P501" s="23"/>
    </row>
    <row r="502" spans="1:16" ht="21.75" customHeight="1" x14ac:dyDescent="0.25">
      <c r="A502" s="24"/>
      <c r="B502" s="24"/>
      <c r="C502" s="24"/>
      <c r="D502" s="34" t="str">
        <f>IF(C502="","",IFERROR(VLOOKUP(C502,CRM!$B$8:$O$1007,2,FALSE()),"Revisar ID"))</f>
        <v/>
      </c>
      <c r="E502" s="23"/>
      <c r="F502" s="37" t="str">
        <f t="shared" si="28"/>
        <v/>
      </c>
      <c r="G502" s="28"/>
      <c r="H502" s="29"/>
      <c r="I502" s="28"/>
      <c r="J502" s="29"/>
      <c r="K502" s="28"/>
      <c r="L502" s="32" t="str">
        <f t="shared" si="29"/>
        <v/>
      </c>
      <c r="M502" s="33" t="str">
        <f t="shared" ca="1" si="30"/>
        <v/>
      </c>
      <c r="N502" s="34" t="str">
        <f t="shared" si="31"/>
        <v/>
      </c>
      <c r="O502" s="23"/>
      <c r="P502" s="23"/>
    </row>
    <row r="503" spans="1:16" ht="21.75" customHeight="1" x14ac:dyDescent="0.25">
      <c r="A503" s="24"/>
      <c r="B503" s="24"/>
      <c r="C503" s="24"/>
      <c r="D503" s="34" t="str">
        <f>IF(C503="","",IFERROR(VLOOKUP(C503,CRM!$B$8:$O$1007,2,FALSE()),"Revisar ID"))</f>
        <v/>
      </c>
      <c r="E503" s="23"/>
      <c r="F503" s="37" t="str">
        <f t="shared" si="28"/>
        <v/>
      </c>
      <c r="G503" s="28"/>
      <c r="H503" s="29"/>
      <c r="I503" s="28"/>
      <c r="J503" s="29"/>
      <c r="K503" s="28"/>
      <c r="L503" s="32" t="str">
        <f t="shared" si="29"/>
        <v/>
      </c>
      <c r="M503" s="33" t="str">
        <f t="shared" ca="1" si="30"/>
        <v/>
      </c>
      <c r="N503" s="34" t="str">
        <f t="shared" si="31"/>
        <v/>
      </c>
      <c r="O503" s="23"/>
      <c r="P503" s="23"/>
    </row>
    <row r="504" spans="1:16" ht="21.75" customHeight="1" x14ac:dyDescent="0.25">
      <c r="A504" s="24"/>
      <c r="B504" s="24"/>
      <c r="C504" s="24"/>
      <c r="D504" s="34" t="str">
        <f>IF(C504="","",IFERROR(VLOOKUP(C504,CRM!$B$8:$O$1007,2,FALSE()),"Revisar ID"))</f>
        <v/>
      </c>
      <c r="E504" s="23"/>
      <c r="F504" s="37" t="str">
        <f t="shared" si="28"/>
        <v/>
      </c>
      <c r="G504" s="28"/>
      <c r="H504" s="29"/>
      <c r="I504" s="28"/>
      <c r="J504" s="29"/>
      <c r="K504" s="28"/>
      <c r="L504" s="32" t="str">
        <f t="shared" si="29"/>
        <v/>
      </c>
      <c r="M504" s="33" t="str">
        <f t="shared" ca="1" si="30"/>
        <v/>
      </c>
      <c r="N504" s="34" t="str">
        <f t="shared" si="31"/>
        <v/>
      </c>
      <c r="O504" s="23"/>
      <c r="P504" s="23"/>
    </row>
    <row r="505" spans="1:16" ht="21.75" customHeight="1" x14ac:dyDescent="0.25">
      <c r="A505" s="24"/>
      <c r="B505" s="24"/>
      <c r="C505" s="24"/>
      <c r="D505" s="34" t="str">
        <f>IF(C505="","",IFERROR(VLOOKUP(C505,CRM!$B$8:$O$1007,2,FALSE()),"Revisar ID"))</f>
        <v/>
      </c>
      <c r="E505" s="23"/>
      <c r="F505" s="37" t="str">
        <f t="shared" si="28"/>
        <v/>
      </c>
      <c r="G505" s="28"/>
      <c r="H505" s="29"/>
      <c r="I505" s="28"/>
      <c r="J505" s="29"/>
      <c r="K505" s="28"/>
      <c r="L505" s="32" t="str">
        <f t="shared" si="29"/>
        <v/>
      </c>
      <c r="M505" s="33" t="str">
        <f t="shared" ca="1" si="30"/>
        <v/>
      </c>
      <c r="N505" s="34" t="str">
        <f t="shared" si="31"/>
        <v/>
      </c>
      <c r="O505" s="23"/>
      <c r="P505" s="23"/>
    </row>
    <row r="506" spans="1:16" ht="21.75" customHeight="1" x14ac:dyDescent="0.25">
      <c r="A506" s="24"/>
      <c r="B506" s="24"/>
      <c r="C506" s="24"/>
      <c r="D506" s="34" t="str">
        <f>IF(C506="","",IFERROR(VLOOKUP(C506,CRM!$B$8:$O$1007,2,FALSE()),"Revisar ID"))</f>
        <v/>
      </c>
      <c r="E506" s="23"/>
      <c r="F506" s="37" t="str">
        <f t="shared" si="28"/>
        <v/>
      </c>
      <c r="G506" s="28"/>
      <c r="H506" s="29"/>
      <c r="I506" s="28"/>
      <c r="J506" s="29"/>
      <c r="K506" s="28"/>
      <c r="L506" s="32" t="str">
        <f t="shared" si="29"/>
        <v/>
      </c>
      <c r="M506" s="33" t="str">
        <f t="shared" ca="1" si="30"/>
        <v/>
      </c>
      <c r="N506" s="34" t="str">
        <f t="shared" si="31"/>
        <v/>
      </c>
      <c r="O506" s="23"/>
      <c r="P506" s="23"/>
    </row>
    <row r="507" spans="1:16" ht="21.75" customHeight="1" x14ac:dyDescent="0.25">
      <c r="A507" s="24"/>
      <c r="B507" s="24"/>
      <c r="C507" s="24"/>
      <c r="D507" s="34" t="str">
        <f>IF(C507="","",IFERROR(VLOOKUP(C507,CRM!$B$8:$O$1007,2,FALSE()),"Revisar ID"))</f>
        <v/>
      </c>
      <c r="E507" s="23"/>
      <c r="F507" s="37" t="str">
        <f t="shared" si="28"/>
        <v/>
      </c>
      <c r="G507" s="28"/>
      <c r="H507" s="29"/>
      <c r="I507" s="28"/>
      <c r="J507" s="29"/>
      <c r="K507" s="28"/>
      <c r="L507" s="32" t="str">
        <f t="shared" si="29"/>
        <v/>
      </c>
      <c r="M507" s="33" t="str">
        <f t="shared" ca="1" si="30"/>
        <v/>
      </c>
      <c r="N507" s="34" t="str">
        <f t="shared" si="31"/>
        <v/>
      </c>
      <c r="O507" s="23"/>
      <c r="P507" s="23"/>
    </row>
    <row r="508" spans="1:16" ht="21.75" customHeight="1" x14ac:dyDescent="0.25">
      <c r="A508" s="24"/>
      <c r="B508" s="24"/>
      <c r="C508" s="24"/>
      <c r="D508" s="34" t="str">
        <f>IF(C508="","",IFERROR(VLOOKUP(C508,CRM!$B$8:$O$1007,2,FALSE()),"Revisar ID"))</f>
        <v/>
      </c>
      <c r="E508" s="23"/>
      <c r="F508" s="37" t="str">
        <f t="shared" si="28"/>
        <v/>
      </c>
      <c r="G508" s="28"/>
      <c r="H508" s="29"/>
      <c r="I508" s="28"/>
      <c r="J508" s="29"/>
      <c r="K508" s="28"/>
      <c r="L508" s="32" t="str">
        <f t="shared" si="29"/>
        <v/>
      </c>
      <c r="M508" s="33" t="str">
        <f t="shared" ca="1" si="30"/>
        <v/>
      </c>
      <c r="N508" s="34" t="str">
        <f t="shared" si="31"/>
        <v/>
      </c>
      <c r="O508" s="23"/>
      <c r="P508" s="23"/>
    </row>
    <row r="509" spans="1:16" ht="21.75" customHeight="1" x14ac:dyDescent="0.25">
      <c r="A509" s="24"/>
      <c r="B509" s="24"/>
      <c r="C509" s="24"/>
      <c r="D509" s="34" t="str">
        <f>IF(C509="","",IFERROR(VLOOKUP(C509,CRM!$B$8:$O$1007,2,FALSE()),"Revisar ID"))</f>
        <v/>
      </c>
      <c r="E509" s="23"/>
      <c r="F509" s="37" t="str">
        <f t="shared" si="28"/>
        <v/>
      </c>
      <c r="G509" s="28"/>
      <c r="H509" s="29"/>
      <c r="I509" s="28"/>
      <c r="J509" s="29"/>
      <c r="K509" s="28"/>
      <c r="L509" s="32" t="str">
        <f t="shared" si="29"/>
        <v/>
      </c>
      <c r="M509" s="33" t="str">
        <f t="shared" ca="1" si="30"/>
        <v/>
      </c>
      <c r="N509" s="34" t="str">
        <f t="shared" si="31"/>
        <v/>
      </c>
      <c r="O509" s="23"/>
      <c r="P509" s="23"/>
    </row>
    <row r="510" spans="1:16" ht="21.75" customHeight="1" x14ac:dyDescent="0.25">
      <c r="A510" s="24"/>
      <c r="B510" s="24"/>
      <c r="C510" s="24"/>
      <c r="D510" s="34" t="str">
        <f>IF(C510="","",IFERROR(VLOOKUP(C510,CRM!$B$8:$O$1007,2,FALSE()),"Revisar ID"))</f>
        <v/>
      </c>
      <c r="E510" s="23"/>
      <c r="F510" s="37" t="str">
        <f t="shared" si="28"/>
        <v/>
      </c>
      <c r="G510" s="28"/>
      <c r="H510" s="29"/>
      <c r="I510" s="28"/>
      <c r="J510" s="29"/>
      <c r="K510" s="28"/>
      <c r="L510" s="32" t="str">
        <f t="shared" si="29"/>
        <v/>
      </c>
      <c r="M510" s="33" t="str">
        <f t="shared" ca="1" si="30"/>
        <v/>
      </c>
      <c r="N510" s="34" t="str">
        <f t="shared" si="31"/>
        <v/>
      </c>
      <c r="O510" s="23"/>
      <c r="P510" s="23"/>
    </row>
    <row r="511" spans="1:16" ht="21.75" customHeight="1" x14ac:dyDescent="0.25">
      <c r="A511" s="24"/>
      <c r="B511" s="24"/>
      <c r="C511" s="24"/>
      <c r="D511" s="34" t="str">
        <f>IF(C511="","",IFERROR(VLOOKUP(C511,CRM!$B$8:$O$1007,2,FALSE()),"Revisar ID"))</f>
        <v/>
      </c>
      <c r="E511" s="23"/>
      <c r="F511" s="37" t="str">
        <f t="shared" si="28"/>
        <v/>
      </c>
      <c r="G511" s="28"/>
      <c r="H511" s="29"/>
      <c r="I511" s="28"/>
      <c r="J511" s="29"/>
      <c r="K511" s="28"/>
      <c r="L511" s="32" t="str">
        <f t="shared" si="29"/>
        <v/>
      </c>
      <c r="M511" s="33" t="str">
        <f t="shared" ca="1" si="30"/>
        <v/>
      </c>
      <c r="N511" s="34" t="str">
        <f t="shared" si="31"/>
        <v/>
      </c>
      <c r="O511" s="23"/>
      <c r="P511" s="23"/>
    </row>
    <row r="512" spans="1:16" ht="21.75" customHeight="1" x14ac:dyDescent="0.25">
      <c r="A512" s="24"/>
      <c r="B512" s="24"/>
      <c r="C512" s="24"/>
      <c r="D512" s="34" t="str">
        <f>IF(C512="","",IFERROR(VLOOKUP(C512,CRM!$B$8:$O$1007,2,FALSE()),"Revisar ID"))</f>
        <v/>
      </c>
      <c r="E512" s="23"/>
      <c r="F512" s="37" t="str">
        <f t="shared" si="28"/>
        <v/>
      </c>
      <c r="G512" s="28"/>
      <c r="H512" s="29"/>
      <c r="I512" s="28"/>
      <c r="J512" s="29"/>
      <c r="K512" s="28"/>
      <c r="L512" s="32" t="str">
        <f t="shared" si="29"/>
        <v/>
      </c>
      <c r="M512" s="33" t="str">
        <f t="shared" ca="1" si="30"/>
        <v/>
      </c>
      <c r="N512" s="34" t="str">
        <f t="shared" si="31"/>
        <v/>
      </c>
      <c r="O512" s="23"/>
      <c r="P512" s="23"/>
    </row>
    <row r="513" spans="1:16" ht="21.75" customHeight="1" x14ac:dyDescent="0.25">
      <c r="A513" s="24"/>
      <c r="B513" s="24"/>
      <c r="C513" s="24"/>
      <c r="D513" s="34" t="str">
        <f>IF(C513="","",IFERROR(VLOOKUP(C513,CRM!$B$8:$O$1007,2,FALSE()),"Revisar ID"))</f>
        <v/>
      </c>
      <c r="E513" s="23"/>
      <c r="F513" s="37" t="str">
        <f t="shared" si="28"/>
        <v/>
      </c>
      <c r="G513" s="28"/>
      <c r="H513" s="29"/>
      <c r="I513" s="28"/>
      <c r="J513" s="29"/>
      <c r="K513" s="28"/>
      <c r="L513" s="32" t="str">
        <f t="shared" si="29"/>
        <v/>
      </c>
      <c r="M513" s="33" t="str">
        <f t="shared" ca="1" si="30"/>
        <v/>
      </c>
      <c r="N513" s="34" t="str">
        <f t="shared" si="31"/>
        <v/>
      </c>
      <c r="O513" s="23"/>
      <c r="P513" s="23"/>
    </row>
    <row r="514" spans="1:16" ht="21.75" customHeight="1" x14ac:dyDescent="0.25">
      <c r="A514" s="24"/>
      <c r="B514" s="24"/>
      <c r="C514" s="24"/>
      <c r="D514" s="34" t="str">
        <f>IF(C514="","",IFERROR(VLOOKUP(C514,CRM!$B$8:$O$1007,2,FALSE()),"Revisar ID"))</f>
        <v/>
      </c>
      <c r="E514" s="23"/>
      <c r="F514" s="37" t="str">
        <f t="shared" si="28"/>
        <v/>
      </c>
      <c r="G514" s="28"/>
      <c r="H514" s="29"/>
      <c r="I514" s="28"/>
      <c r="J514" s="29"/>
      <c r="K514" s="28"/>
      <c r="L514" s="32" t="str">
        <f t="shared" si="29"/>
        <v/>
      </c>
      <c r="M514" s="33" t="str">
        <f t="shared" ca="1" si="30"/>
        <v/>
      </c>
      <c r="N514" s="34" t="str">
        <f t="shared" si="31"/>
        <v/>
      </c>
      <c r="O514" s="23"/>
      <c r="P514" s="23"/>
    </row>
    <row r="515" spans="1:16" ht="21.75" customHeight="1" x14ac:dyDescent="0.25">
      <c r="A515" s="24"/>
      <c r="B515" s="24"/>
      <c r="C515" s="24"/>
      <c r="D515" s="34" t="str">
        <f>IF(C515="","",IFERROR(VLOOKUP(C515,CRM!$B$8:$O$1007,2,FALSE()),"Revisar ID"))</f>
        <v/>
      </c>
      <c r="E515" s="23"/>
      <c r="F515" s="37" t="str">
        <f t="shared" si="28"/>
        <v/>
      </c>
      <c r="G515" s="28"/>
      <c r="H515" s="29"/>
      <c r="I515" s="28"/>
      <c r="J515" s="29"/>
      <c r="K515" s="28"/>
      <c r="L515" s="32" t="str">
        <f t="shared" si="29"/>
        <v/>
      </c>
      <c r="M515" s="33" t="str">
        <f t="shared" ca="1" si="30"/>
        <v/>
      </c>
      <c r="N515" s="34" t="str">
        <f t="shared" si="31"/>
        <v/>
      </c>
      <c r="O515" s="23"/>
      <c r="P515" s="23"/>
    </row>
    <row r="516" spans="1:16" ht="21.75" customHeight="1" x14ac:dyDescent="0.25">
      <c r="A516" s="24"/>
      <c r="B516" s="24"/>
      <c r="C516" s="24"/>
      <c r="D516" s="34" t="str">
        <f>IF(C516="","",IFERROR(VLOOKUP(C516,CRM!$B$8:$O$1007,2,FALSE()),"Revisar ID"))</f>
        <v/>
      </c>
      <c r="E516" s="23"/>
      <c r="F516" s="37" t="str">
        <f t="shared" si="28"/>
        <v/>
      </c>
      <c r="G516" s="28"/>
      <c r="H516" s="29"/>
      <c r="I516" s="28"/>
      <c r="J516" s="29"/>
      <c r="K516" s="28"/>
      <c r="L516" s="32" t="str">
        <f t="shared" si="29"/>
        <v/>
      </c>
      <c r="M516" s="33" t="str">
        <f t="shared" ca="1" si="30"/>
        <v/>
      </c>
      <c r="N516" s="34" t="str">
        <f t="shared" si="31"/>
        <v/>
      </c>
      <c r="O516" s="23"/>
      <c r="P516" s="23"/>
    </row>
    <row r="517" spans="1:16" ht="21.75" customHeight="1" x14ac:dyDescent="0.25">
      <c r="A517" s="24"/>
      <c r="B517" s="24"/>
      <c r="C517" s="24"/>
      <c r="D517" s="34" t="str">
        <f>IF(C517="","",IFERROR(VLOOKUP(C517,CRM!$B$8:$O$1007,2,FALSE()),"Revisar ID"))</f>
        <v/>
      </c>
      <c r="E517" s="23"/>
      <c r="F517" s="37" t="str">
        <f t="shared" si="28"/>
        <v/>
      </c>
      <c r="G517" s="28"/>
      <c r="H517" s="29"/>
      <c r="I517" s="28"/>
      <c r="J517" s="29"/>
      <c r="K517" s="28"/>
      <c r="L517" s="32" t="str">
        <f t="shared" si="29"/>
        <v/>
      </c>
      <c r="M517" s="33" t="str">
        <f t="shared" ca="1" si="30"/>
        <v/>
      </c>
      <c r="N517" s="34" t="str">
        <f t="shared" si="31"/>
        <v/>
      </c>
      <c r="O517" s="23"/>
      <c r="P517" s="23"/>
    </row>
    <row r="518" spans="1:16" ht="21.75" customHeight="1" x14ac:dyDescent="0.25">
      <c r="A518" s="24"/>
      <c r="B518" s="24"/>
      <c r="C518" s="24"/>
      <c r="D518" s="34" t="str">
        <f>IF(C518="","",IFERROR(VLOOKUP(C518,CRM!$B$8:$O$1007,2,FALSE()),"Revisar ID"))</f>
        <v/>
      </c>
      <c r="E518" s="23"/>
      <c r="F518" s="37" t="str">
        <f t="shared" si="28"/>
        <v/>
      </c>
      <c r="G518" s="28"/>
      <c r="H518" s="29"/>
      <c r="I518" s="28"/>
      <c r="J518" s="29"/>
      <c r="K518" s="28"/>
      <c r="L518" s="32" t="str">
        <f t="shared" si="29"/>
        <v/>
      </c>
      <c r="M518" s="33" t="str">
        <f t="shared" ca="1" si="30"/>
        <v/>
      </c>
      <c r="N518" s="34" t="str">
        <f t="shared" si="31"/>
        <v/>
      </c>
      <c r="O518" s="23"/>
      <c r="P518" s="23"/>
    </row>
    <row r="519" spans="1:16" ht="21.75" customHeight="1" x14ac:dyDescent="0.25">
      <c r="A519" s="24"/>
      <c r="B519" s="24"/>
      <c r="C519" s="24"/>
      <c r="D519" s="34" t="str">
        <f>IF(C519="","",IFERROR(VLOOKUP(C519,CRM!$B$8:$O$1007,2,FALSE()),"Revisar ID"))</f>
        <v/>
      </c>
      <c r="E519" s="23"/>
      <c r="F519" s="37" t="str">
        <f t="shared" si="28"/>
        <v/>
      </c>
      <c r="G519" s="28"/>
      <c r="H519" s="29"/>
      <c r="I519" s="28"/>
      <c r="J519" s="29"/>
      <c r="K519" s="28"/>
      <c r="L519" s="32" t="str">
        <f t="shared" si="29"/>
        <v/>
      </c>
      <c r="M519" s="33" t="str">
        <f t="shared" ca="1" si="30"/>
        <v/>
      </c>
      <c r="N519" s="34" t="str">
        <f t="shared" si="31"/>
        <v/>
      </c>
      <c r="O519" s="23"/>
      <c r="P519" s="23"/>
    </row>
    <row r="520" spans="1:16" ht="21.75" customHeight="1" x14ac:dyDescent="0.25">
      <c r="A520" s="24"/>
      <c r="B520" s="24"/>
      <c r="C520" s="24"/>
      <c r="D520" s="34" t="str">
        <f>IF(C520="","",IFERROR(VLOOKUP(C520,CRM!$B$8:$O$1007,2,FALSE()),"Revisar ID"))</f>
        <v/>
      </c>
      <c r="E520" s="23"/>
      <c r="F520" s="37" t="str">
        <f t="shared" si="28"/>
        <v/>
      </c>
      <c r="G520" s="28"/>
      <c r="H520" s="29"/>
      <c r="I520" s="28"/>
      <c r="J520" s="29"/>
      <c r="K520" s="28"/>
      <c r="L520" s="32" t="str">
        <f t="shared" si="29"/>
        <v/>
      </c>
      <c r="M520" s="33" t="str">
        <f t="shared" ca="1" si="30"/>
        <v/>
      </c>
      <c r="N520" s="34" t="str">
        <f t="shared" si="31"/>
        <v/>
      </c>
      <c r="O520" s="23"/>
      <c r="P520" s="23"/>
    </row>
    <row r="521" spans="1:16" ht="21.75" customHeight="1" x14ac:dyDescent="0.25">
      <c r="A521" s="24"/>
      <c r="B521" s="24"/>
      <c r="C521" s="24"/>
      <c r="D521" s="34" t="str">
        <f>IF(C521="","",IFERROR(VLOOKUP(C521,CRM!$B$8:$O$1007,2,FALSE()),"Revisar ID"))</f>
        <v/>
      </c>
      <c r="E521" s="23"/>
      <c r="F521" s="37" t="str">
        <f t="shared" ref="F521:F584" si="32">IF(B521="","",B521+IF(E521="Contado",0,IF(E521="7 días",7,IF(E521="15 días",15,IF(E521="30 días",30,IF(E521="45 días",45,IF(E521="60 días",60,0)))))))</f>
        <v/>
      </c>
      <c r="G521" s="28"/>
      <c r="H521" s="29"/>
      <c r="I521" s="28"/>
      <c r="J521" s="29"/>
      <c r="K521" s="28"/>
      <c r="L521" s="32" t="str">
        <f t="shared" ref="L521:L584" si="33">IF(G521="","",MAX(0,G521-SUM(I521,K521)))</f>
        <v/>
      </c>
      <c r="M521" s="33" t="str">
        <f t="shared" ref="M521:M584" ca="1" si="34">IF(G521="","",IF(L521=0,0,MAX(0,TODAY()-F521)))</f>
        <v/>
      </c>
      <c r="N521" s="34" t="str">
        <f t="shared" ref="N521:N584" si="35">IF(G521="","",IF(L521=0,"Pagada",IF(M521&gt;0,"Vencida",IF(SUM(I521,K521)&gt;0,"Parcial","Pendiente"))))</f>
        <v/>
      </c>
      <c r="O521" s="23"/>
      <c r="P521" s="23"/>
    </row>
    <row r="522" spans="1:16" ht="21.75" customHeight="1" x14ac:dyDescent="0.25">
      <c r="A522" s="24"/>
      <c r="B522" s="24"/>
      <c r="C522" s="24"/>
      <c r="D522" s="34" t="str">
        <f>IF(C522="","",IFERROR(VLOOKUP(C522,CRM!$B$8:$O$1007,2,FALSE()),"Revisar ID"))</f>
        <v/>
      </c>
      <c r="E522" s="23"/>
      <c r="F522" s="37" t="str">
        <f t="shared" si="32"/>
        <v/>
      </c>
      <c r="G522" s="28"/>
      <c r="H522" s="29"/>
      <c r="I522" s="28"/>
      <c r="J522" s="29"/>
      <c r="K522" s="28"/>
      <c r="L522" s="32" t="str">
        <f t="shared" si="33"/>
        <v/>
      </c>
      <c r="M522" s="33" t="str">
        <f t="shared" ca="1" si="34"/>
        <v/>
      </c>
      <c r="N522" s="34" t="str">
        <f t="shared" si="35"/>
        <v/>
      </c>
      <c r="O522" s="23"/>
      <c r="P522" s="23"/>
    </row>
    <row r="523" spans="1:16" ht="21.75" customHeight="1" x14ac:dyDescent="0.25">
      <c r="A523" s="24"/>
      <c r="B523" s="24"/>
      <c r="C523" s="24"/>
      <c r="D523" s="34" t="str">
        <f>IF(C523="","",IFERROR(VLOOKUP(C523,CRM!$B$8:$O$1007,2,FALSE()),"Revisar ID"))</f>
        <v/>
      </c>
      <c r="E523" s="23"/>
      <c r="F523" s="37" t="str">
        <f t="shared" si="32"/>
        <v/>
      </c>
      <c r="G523" s="28"/>
      <c r="H523" s="29"/>
      <c r="I523" s="28"/>
      <c r="J523" s="29"/>
      <c r="K523" s="28"/>
      <c r="L523" s="32" t="str">
        <f t="shared" si="33"/>
        <v/>
      </c>
      <c r="M523" s="33" t="str">
        <f t="shared" ca="1" si="34"/>
        <v/>
      </c>
      <c r="N523" s="34" t="str">
        <f t="shared" si="35"/>
        <v/>
      </c>
      <c r="O523" s="23"/>
      <c r="P523" s="23"/>
    </row>
    <row r="524" spans="1:16" ht="21.75" customHeight="1" x14ac:dyDescent="0.25">
      <c r="A524" s="24"/>
      <c r="B524" s="24"/>
      <c r="C524" s="24"/>
      <c r="D524" s="34" t="str">
        <f>IF(C524="","",IFERROR(VLOOKUP(C524,CRM!$B$8:$O$1007,2,FALSE()),"Revisar ID"))</f>
        <v/>
      </c>
      <c r="E524" s="23"/>
      <c r="F524" s="37" t="str">
        <f t="shared" si="32"/>
        <v/>
      </c>
      <c r="G524" s="28"/>
      <c r="H524" s="29"/>
      <c r="I524" s="28"/>
      <c r="J524" s="29"/>
      <c r="K524" s="28"/>
      <c r="L524" s="32" t="str">
        <f t="shared" si="33"/>
        <v/>
      </c>
      <c r="M524" s="33" t="str">
        <f t="shared" ca="1" si="34"/>
        <v/>
      </c>
      <c r="N524" s="34" t="str">
        <f t="shared" si="35"/>
        <v/>
      </c>
      <c r="O524" s="23"/>
      <c r="P524" s="23"/>
    </row>
    <row r="525" spans="1:16" ht="21.75" customHeight="1" x14ac:dyDescent="0.25">
      <c r="A525" s="24"/>
      <c r="B525" s="24"/>
      <c r="C525" s="24"/>
      <c r="D525" s="34" t="str">
        <f>IF(C525="","",IFERROR(VLOOKUP(C525,CRM!$B$8:$O$1007,2,FALSE()),"Revisar ID"))</f>
        <v/>
      </c>
      <c r="E525" s="23"/>
      <c r="F525" s="37" t="str">
        <f t="shared" si="32"/>
        <v/>
      </c>
      <c r="G525" s="28"/>
      <c r="H525" s="29"/>
      <c r="I525" s="28"/>
      <c r="J525" s="29"/>
      <c r="K525" s="28"/>
      <c r="L525" s="32" t="str">
        <f t="shared" si="33"/>
        <v/>
      </c>
      <c r="M525" s="33" t="str">
        <f t="shared" ca="1" si="34"/>
        <v/>
      </c>
      <c r="N525" s="34" t="str">
        <f t="shared" si="35"/>
        <v/>
      </c>
      <c r="O525" s="23"/>
      <c r="P525" s="23"/>
    </row>
    <row r="526" spans="1:16" ht="21.75" customHeight="1" x14ac:dyDescent="0.25">
      <c r="A526" s="24"/>
      <c r="B526" s="24"/>
      <c r="C526" s="24"/>
      <c r="D526" s="34" t="str">
        <f>IF(C526="","",IFERROR(VLOOKUP(C526,CRM!$B$8:$O$1007,2,FALSE()),"Revisar ID"))</f>
        <v/>
      </c>
      <c r="E526" s="23"/>
      <c r="F526" s="37" t="str">
        <f t="shared" si="32"/>
        <v/>
      </c>
      <c r="G526" s="28"/>
      <c r="H526" s="29"/>
      <c r="I526" s="28"/>
      <c r="J526" s="29"/>
      <c r="K526" s="28"/>
      <c r="L526" s="32" t="str">
        <f t="shared" si="33"/>
        <v/>
      </c>
      <c r="M526" s="33" t="str">
        <f t="shared" ca="1" si="34"/>
        <v/>
      </c>
      <c r="N526" s="34" t="str">
        <f t="shared" si="35"/>
        <v/>
      </c>
      <c r="O526" s="23"/>
      <c r="P526" s="23"/>
    </row>
    <row r="527" spans="1:16" ht="21.75" customHeight="1" x14ac:dyDescent="0.25">
      <c r="A527" s="24"/>
      <c r="B527" s="24"/>
      <c r="C527" s="24"/>
      <c r="D527" s="34" t="str">
        <f>IF(C527="","",IFERROR(VLOOKUP(C527,CRM!$B$8:$O$1007,2,FALSE()),"Revisar ID"))</f>
        <v/>
      </c>
      <c r="E527" s="23"/>
      <c r="F527" s="37" t="str">
        <f t="shared" si="32"/>
        <v/>
      </c>
      <c r="G527" s="28"/>
      <c r="H527" s="29"/>
      <c r="I527" s="28"/>
      <c r="J527" s="29"/>
      <c r="K527" s="28"/>
      <c r="L527" s="32" t="str">
        <f t="shared" si="33"/>
        <v/>
      </c>
      <c r="M527" s="33" t="str">
        <f t="shared" ca="1" si="34"/>
        <v/>
      </c>
      <c r="N527" s="34" t="str">
        <f t="shared" si="35"/>
        <v/>
      </c>
      <c r="O527" s="23"/>
      <c r="P527" s="23"/>
    </row>
    <row r="528" spans="1:16" ht="21.75" customHeight="1" x14ac:dyDescent="0.25">
      <c r="A528" s="24"/>
      <c r="B528" s="24"/>
      <c r="C528" s="24"/>
      <c r="D528" s="34" t="str">
        <f>IF(C528="","",IFERROR(VLOOKUP(C528,CRM!$B$8:$O$1007,2,FALSE()),"Revisar ID"))</f>
        <v/>
      </c>
      <c r="E528" s="23"/>
      <c r="F528" s="37" t="str">
        <f t="shared" si="32"/>
        <v/>
      </c>
      <c r="G528" s="28"/>
      <c r="H528" s="29"/>
      <c r="I528" s="28"/>
      <c r="J528" s="29"/>
      <c r="K528" s="28"/>
      <c r="L528" s="32" t="str">
        <f t="shared" si="33"/>
        <v/>
      </c>
      <c r="M528" s="33" t="str">
        <f t="shared" ca="1" si="34"/>
        <v/>
      </c>
      <c r="N528" s="34" t="str">
        <f t="shared" si="35"/>
        <v/>
      </c>
      <c r="O528" s="23"/>
      <c r="P528" s="23"/>
    </row>
    <row r="529" spans="1:16" ht="21.75" customHeight="1" x14ac:dyDescent="0.25">
      <c r="A529" s="24"/>
      <c r="B529" s="24"/>
      <c r="C529" s="24"/>
      <c r="D529" s="34" t="str">
        <f>IF(C529="","",IFERROR(VLOOKUP(C529,CRM!$B$8:$O$1007,2,FALSE()),"Revisar ID"))</f>
        <v/>
      </c>
      <c r="E529" s="23"/>
      <c r="F529" s="37" t="str">
        <f t="shared" si="32"/>
        <v/>
      </c>
      <c r="G529" s="28"/>
      <c r="H529" s="29"/>
      <c r="I529" s="28"/>
      <c r="J529" s="29"/>
      <c r="K529" s="28"/>
      <c r="L529" s="32" t="str">
        <f t="shared" si="33"/>
        <v/>
      </c>
      <c r="M529" s="33" t="str">
        <f t="shared" ca="1" si="34"/>
        <v/>
      </c>
      <c r="N529" s="34" t="str">
        <f t="shared" si="35"/>
        <v/>
      </c>
      <c r="O529" s="23"/>
      <c r="P529" s="23"/>
    </row>
    <row r="530" spans="1:16" ht="21.75" customHeight="1" x14ac:dyDescent="0.25">
      <c r="A530" s="24"/>
      <c r="B530" s="24"/>
      <c r="C530" s="24"/>
      <c r="D530" s="34" t="str">
        <f>IF(C530="","",IFERROR(VLOOKUP(C530,CRM!$B$8:$O$1007,2,FALSE()),"Revisar ID"))</f>
        <v/>
      </c>
      <c r="E530" s="23"/>
      <c r="F530" s="37" t="str">
        <f t="shared" si="32"/>
        <v/>
      </c>
      <c r="G530" s="28"/>
      <c r="H530" s="29"/>
      <c r="I530" s="28"/>
      <c r="J530" s="29"/>
      <c r="K530" s="28"/>
      <c r="L530" s="32" t="str">
        <f t="shared" si="33"/>
        <v/>
      </c>
      <c r="M530" s="33" t="str">
        <f t="shared" ca="1" si="34"/>
        <v/>
      </c>
      <c r="N530" s="34" t="str">
        <f t="shared" si="35"/>
        <v/>
      </c>
      <c r="O530" s="23"/>
      <c r="P530" s="23"/>
    </row>
    <row r="531" spans="1:16" ht="21.75" customHeight="1" x14ac:dyDescent="0.25">
      <c r="A531" s="24"/>
      <c r="B531" s="24"/>
      <c r="C531" s="24"/>
      <c r="D531" s="34" t="str">
        <f>IF(C531="","",IFERROR(VLOOKUP(C531,CRM!$B$8:$O$1007,2,FALSE()),"Revisar ID"))</f>
        <v/>
      </c>
      <c r="E531" s="23"/>
      <c r="F531" s="37" t="str">
        <f t="shared" si="32"/>
        <v/>
      </c>
      <c r="G531" s="28"/>
      <c r="H531" s="29"/>
      <c r="I531" s="28"/>
      <c r="J531" s="29"/>
      <c r="K531" s="28"/>
      <c r="L531" s="32" t="str">
        <f t="shared" si="33"/>
        <v/>
      </c>
      <c r="M531" s="33" t="str">
        <f t="shared" ca="1" si="34"/>
        <v/>
      </c>
      <c r="N531" s="34" t="str">
        <f t="shared" si="35"/>
        <v/>
      </c>
      <c r="O531" s="23"/>
      <c r="P531" s="23"/>
    </row>
    <row r="532" spans="1:16" ht="21.75" customHeight="1" x14ac:dyDescent="0.25">
      <c r="A532" s="24"/>
      <c r="B532" s="24"/>
      <c r="C532" s="24"/>
      <c r="D532" s="34" t="str">
        <f>IF(C532="","",IFERROR(VLOOKUP(C532,CRM!$B$8:$O$1007,2,FALSE()),"Revisar ID"))</f>
        <v/>
      </c>
      <c r="E532" s="23"/>
      <c r="F532" s="37" t="str">
        <f t="shared" si="32"/>
        <v/>
      </c>
      <c r="G532" s="28"/>
      <c r="H532" s="29"/>
      <c r="I532" s="28"/>
      <c r="J532" s="29"/>
      <c r="K532" s="28"/>
      <c r="L532" s="32" t="str">
        <f t="shared" si="33"/>
        <v/>
      </c>
      <c r="M532" s="33" t="str">
        <f t="shared" ca="1" si="34"/>
        <v/>
      </c>
      <c r="N532" s="34" t="str">
        <f t="shared" si="35"/>
        <v/>
      </c>
      <c r="O532" s="23"/>
      <c r="P532" s="23"/>
    </row>
    <row r="533" spans="1:16" ht="21.75" customHeight="1" x14ac:dyDescent="0.25">
      <c r="A533" s="24"/>
      <c r="B533" s="24"/>
      <c r="C533" s="24"/>
      <c r="D533" s="34" t="str">
        <f>IF(C533="","",IFERROR(VLOOKUP(C533,CRM!$B$8:$O$1007,2,FALSE()),"Revisar ID"))</f>
        <v/>
      </c>
      <c r="E533" s="23"/>
      <c r="F533" s="37" t="str">
        <f t="shared" si="32"/>
        <v/>
      </c>
      <c r="G533" s="28"/>
      <c r="H533" s="29"/>
      <c r="I533" s="28"/>
      <c r="J533" s="29"/>
      <c r="K533" s="28"/>
      <c r="L533" s="32" t="str">
        <f t="shared" si="33"/>
        <v/>
      </c>
      <c r="M533" s="33" t="str">
        <f t="shared" ca="1" si="34"/>
        <v/>
      </c>
      <c r="N533" s="34" t="str">
        <f t="shared" si="35"/>
        <v/>
      </c>
      <c r="O533" s="23"/>
      <c r="P533" s="23"/>
    </row>
    <row r="534" spans="1:16" ht="21.75" customHeight="1" x14ac:dyDescent="0.25">
      <c r="A534" s="24"/>
      <c r="B534" s="24"/>
      <c r="C534" s="24"/>
      <c r="D534" s="34" t="str">
        <f>IF(C534="","",IFERROR(VLOOKUP(C534,CRM!$B$8:$O$1007,2,FALSE()),"Revisar ID"))</f>
        <v/>
      </c>
      <c r="E534" s="23"/>
      <c r="F534" s="37" t="str">
        <f t="shared" si="32"/>
        <v/>
      </c>
      <c r="G534" s="28"/>
      <c r="H534" s="29"/>
      <c r="I534" s="28"/>
      <c r="J534" s="29"/>
      <c r="K534" s="28"/>
      <c r="L534" s="32" t="str">
        <f t="shared" si="33"/>
        <v/>
      </c>
      <c r="M534" s="33" t="str">
        <f t="shared" ca="1" si="34"/>
        <v/>
      </c>
      <c r="N534" s="34" t="str">
        <f t="shared" si="35"/>
        <v/>
      </c>
      <c r="O534" s="23"/>
      <c r="P534" s="23"/>
    </row>
    <row r="535" spans="1:16" ht="21.75" customHeight="1" x14ac:dyDescent="0.25">
      <c r="A535" s="24"/>
      <c r="B535" s="24"/>
      <c r="C535" s="24"/>
      <c r="D535" s="34" t="str">
        <f>IF(C535="","",IFERROR(VLOOKUP(C535,CRM!$B$8:$O$1007,2,FALSE()),"Revisar ID"))</f>
        <v/>
      </c>
      <c r="E535" s="23"/>
      <c r="F535" s="37" t="str">
        <f t="shared" si="32"/>
        <v/>
      </c>
      <c r="G535" s="28"/>
      <c r="H535" s="29"/>
      <c r="I535" s="28"/>
      <c r="J535" s="29"/>
      <c r="K535" s="28"/>
      <c r="L535" s="32" t="str">
        <f t="shared" si="33"/>
        <v/>
      </c>
      <c r="M535" s="33" t="str">
        <f t="shared" ca="1" si="34"/>
        <v/>
      </c>
      <c r="N535" s="34" t="str">
        <f t="shared" si="35"/>
        <v/>
      </c>
      <c r="O535" s="23"/>
      <c r="P535" s="23"/>
    </row>
    <row r="536" spans="1:16" ht="21.75" customHeight="1" x14ac:dyDescent="0.25">
      <c r="A536" s="24"/>
      <c r="B536" s="24"/>
      <c r="C536" s="24"/>
      <c r="D536" s="34" t="str">
        <f>IF(C536="","",IFERROR(VLOOKUP(C536,CRM!$B$8:$O$1007,2,FALSE()),"Revisar ID"))</f>
        <v/>
      </c>
      <c r="E536" s="23"/>
      <c r="F536" s="37" t="str">
        <f t="shared" si="32"/>
        <v/>
      </c>
      <c r="G536" s="28"/>
      <c r="H536" s="29"/>
      <c r="I536" s="28"/>
      <c r="J536" s="29"/>
      <c r="K536" s="28"/>
      <c r="L536" s="32" t="str">
        <f t="shared" si="33"/>
        <v/>
      </c>
      <c r="M536" s="33" t="str">
        <f t="shared" ca="1" si="34"/>
        <v/>
      </c>
      <c r="N536" s="34" t="str">
        <f t="shared" si="35"/>
        <v/>
      </c>
      <c r="O536" s="23"/>
      <c r="P536" s="23"/>
    </row>
    <row r="537" spans="1:16" ht="21.75" customHeight="1" x14ac:dyDescent="0.25">
      <c r="A537" s="24"/>
      <c r="B537" s="24"/>
      <c r="C537" s="24"/>
      <c r="D537" s="34" t="str">
        <f>IF(C537="","",IFERROR(VLOOKUP(C537,CRM!$B$8:$O$1007,2,FALSE()),"Revisar ID"))</f>
        <v/>
      </c>
      <c r="E537" s="23"/>
      <c r="F537" s="37" t="str">
        <f t="shared" si="32"/>
        <v/>
      </c>
      <c r="G537" s="28"/>
      <c r="H537" s="29"/>
      <c r="I537" s="28"/>
      <c r="J537" s="29"/>
      <c r="K537" s="28"/>
      <c r="L537" s="32" t="str">
        <f t="shared" si="33"/>
        <v/>
      </c>
      <c r="M537" s="33" t="str">
        <f t="shared" ca="1" si="34"/>
        <v/>
      </c>
      <c r="N537" s="34" t="str">
        <f t="shared" si="35"/>
        <v/>
      </c>
      <c r="O537" s="23"/>
      <c r="P537" s="23"/>
    </row>
    <row r="538" spans="1:16" ht="21.75" customHeight="1" x14ac:dyDescent="0.25">
      <c r="A538" s="24"/>
      <c r="B538" s="24"/>
      <c r="C538" s="24"/>
      <c r="D538" s="34" t="str">
        <f>IF(C538="","",IFERROR(VLOOKUP(C538,CRM!$B$8:$O$1007,2,FALSE()),"Revisar ID"))</f>
        <v/>
      </c>
      <c r="E538" s="23"/>
      <c r="F538" s="37" t="str">
        <f t="shared" si="32"/>
        <v/>
      </c>
      <c r="G538" s="28"/>
      <c r="H538" s="29"/>
      <c r="I538" s="28"/>
      <c r="J538" s="29"/>
      <c r="K538" s="28"/>
      <c r="L538" s="32" t="str">
        <f t="shared" si="33"/>
        <v/>
      </c>
      <c r="M538" s="33" t="str">
        <f t="shared" ca="1" si="34"/>
        <v/>
      </c>
      <c r="N538" s="34" t="str">
        <f t="shared" si="35"/>
        <v/>
      </c>
      <c r="O538" s="23"/>
      <c r="P538" s="23"/>
    </row>
    <row r="539" spans="1:16" ht="21.75" customHeight="1" x14ac:dyDescent="0.25">
      <c r="A539" s="24"/>
      <c r="B539" s="24"/>
      <c r="C539" s="24"/>
      <c r="D539" s="34" t="str">
        <f>IF(C539="","",IFERROR(VLOOKUP(C539,CRM!$B$8:$O$1007,2,FALSE()),"Revisar ID"))</f>
        <v/>
      </c>
      <c r="E539" s="23"/>
      <c r="F539" s="37" t="str">
        <f t="shared" si="32"/>
        <v/>
      </c>
      <c r="G539" s="28"/>
      <c r="H539" s="29"/>
      <c r="I539" s="28"/>
      <c r="J539" s="29"/>
      <c r="K539" s="28"/>
      <c r="L539" s="32" t="str">
        <f t="shared" si="33"/>
        <v/>
      </c>
      <c r="M539" s="33" t="str">
        <f t="shared" ca="1" si="34"/>
        <v/>
      </c>
      <c r="N539" s="34" t="str">
        <f t="shared" si="35"/>
        <v/>
      </c>
      <c r="O539" s="23"/>
      <c r="P539" s="23"/>
    </row>
    <row r="540" spans="1:16" ht="21.75" customHeight="1" x14ac:dyDescent="0.25">
      <c r="A540" s="24"/>
      <c r="B540" s="24"/>
      <c r="C540" s="24"/>
      <c r="D540" s="34" t="str">
        <f>IF(C540="","",IFERROR(VLOOKUP(C540,CRM!$B$8:$O$1007,2,FALSE()),"Revisar ID"))</f>
        <v/>
      </c>
      <c r="E540" s="23"/>
      <c r="F540" s="37" t="str">
        <f t="shared" si="32"/>
        <v/>
      </c>
      <c r="G540" s="28"/>
      <c r="H540" s="29"/>
      <c r="I540" s="28"/>
      <c r="J540" s="29"/>
      <c r="K540" s="28"/>
      <c r="L540" s="32" t="str">
        <f t="shared" si="33"/>
        <v/>
      </c>
      <c r="M540" s="33" t="str">
        <f t="shared" ca="1" si="34"/>
        <v/>
      </c>
      <c r="N540" s="34" t="str">
        <f t="shared" si="35"/>
        <v/>
      </c>
      <c r="O540" s="23"/>
      <c r="P540" s="23"/>
    </row>
    <row r="541" spans="1:16" ht="21.75" customHeight="1" x14ac:dyDescent="0.25">
      <c r="A541" s="24"/>
      <c r="B541" s="24"/>
      <c r="C541" s="24"/>
      <c r="D541" s="34" t="str">
        <f>IF(C541="","",IFERROR(VLOOKUP(C541,CRM!$B$8:$O$1007,2,FALSE()),"Revisar ID"))</f>
        <v/>
      </c>
      <c r="E541" s="23"/>
      <c r="F541" s="37" t="str">
        <f t="shared" si="32"/>
        <v/>
      </c>
      <c r="G541" s="28"/>
      <c r="H541" s="29"/>
      <c r="I541" s="28"/>
      <c r="J541" s="29"/>
      <c r="K541" s="28"/>
      <c r="L541" s="32" t="str">
        <f t="shared" si="33"/>
        <v/>
      </c>
      <c r="M541" s="33" t="str">
        <f t="shared" ca="1" si="34"/>
        <v/>
      </c>
      <c r="N541" s="34" t="str">
        <f t="shared" si="35"/>
        <v/>
      </c>
      <c r="O541" s="23"/>
      <c r="P541" s="23"/>
    </row>
    <row r="542" spans="1:16" ht="21.75" customHeight="1" x14ac:dyDescent="0.25">
      <c r="A542" s="24"/>
      <c r="B542" s="24"/>
      <c r="C542" s="24"/>
      <c r="D542" s="34" t="str">
        <f>IF(C542="","",IFERROR(VLOOKUP(C542,CRM!$B$8:$O$1007,2,FALSE()),"Revisar ID"))</f>
        <v/>
      </c>
      <c r="E542" s="23"/>
      <c r="F542" s="37" t="str">
        <f t="shared" si="32"/>
        <v/>
      </c>
      <c r="G542" s="28"/>
      <c r="H542" s="29"/>
      <c r="I542" s="28"/>
      <c r="J542" s="29"/>
      <c r="K542" s="28"/>
      <c r="L542" s="32" t="str">
        <f t="shared" si="33"/>
        <v/>
      </c>
      <c r="M542" s="33" t="str">
        <f t="shared" ca="1" si="34"/>
        <v/>
      </c>
      <c r="N542" s="34" t="str">
        <f t="shared" si="35"/>
        <v/>
      </c>
      <c r="O542" s="23"/>
      <c r="P542" s="23"/>
    </row>
    <row r="543" spans="1:16" ht="21.75" customHeight="1" x14ac:dyDescent="0.25">
      <c r="A543" s="24"/>
      <c r="B543" s="24"/>
      <c r="C543" s="24"/>
      <c r="D543" s="34" t="str">
        <f>IF(C543="","",IFERROR(VLOOKUP(C543,CRM!$B$8:$O$1007,2,FALSE()),"Revisar ID"))</f>
        <v/>
      </c>
      <c r="E543" s="23"/>
      <c r="F543" s="37" t="str">
        <f t="shared" si="32"/>
        <v/>
      </c>
      <c r="G543" s="28"/>
      <c r="H543" s="29"/>
      <c r="I543" s="28"/>
      <c r="J543" s="29"/>
      <c r="K543" s="28"/>
      <c r="L543" s="32" t="str">
        <f t="shared" si="33"/>
        <v/>
      </c>
      <c r="M543" s="33" t="str">
        <f t="shared" ca="1" si="34"/>
        <v/>
      </c>
      <c r="N543" s="34" t="str">
        <f t="shared" si="35"/>
        <v/>
      </c>
      <c r="O543" s="23"/>
      <c r="P543" s="23"/>
    </row>
    <row r="544" spans="1:16" ht="21.75" customHeight="1" x14ac:dyDescent="0.25">
      <c r="A544" s="24"/>
      <c r="B544" s="24"/>
      <c r="C544" s="24"/>
      <c r="D544" s="34" t="str">
        <f>IF(C544="","",IFERROR(VLOOKUP(C544,CRM!$B$8:$O$1007,2,FALSE()),"Revisar ID"))</f>
        <v/>
      </c>
      <c r="E544" s="23"/>
      <c r="F544" s="37" t="str">
        <f t="shared" si="32"/>
        <v/>
      </c>
      <c r="G544" s="28"/>
      <c r="H544" s="29"/>
      <c r="I544" s="28"/>
      <c r="J544" s="29"/>
      <c r="K544" s="28"/>
      <c r="L544" s="32" t="str">
        <f t="shared" si="33"/>
        <v/>
      </c>
      <c r="M544" s="33" t="str">
        <f t="shared" ca="1" si="34"/>
        <v/>
      </c>
      <c r="N544" s="34" t="str">
        <f t="shared" si="35"/>
        <v/>
      </c>
      <c r="O544" s="23"/>
      <c r="P544" s="23"/>
    </row>
    <row r="545" spans="1:16" ht="21.75" customHeight="1" x14ac:dyDescent="0.25">
      <c r="A545" s="24"/>
      <c r="B545" s="24"/>
      <c r="C545" s="24"/>
      <c r="D545" s="34" t="str">
        <f>IF(C545="","",IFERROR(VLOOKUP(C545,CRM!$B$8:$O$1007,2,FALSE()),"Revisar ID"))</f>
        <v/>
      </c>
      <c r="E545" s="23"/>
      <c r="F545" s="37" t="str">
        <f t="shared" si="32"/>
        <v/>
      </c>
      <c r="G545" s="28"/>
      <c r="H545" s="29"/>
      <c r="I545" s="28"/>
      <c r="J545" s="29"/>
      <c r="K545" s="28"/>
      <c r="L545" s="32" t="str">
        <f t="shared" si="33"/>
        <v/>
      </c>
      <c r="M545" s="33" t="str">
        <f t="shared" ca="1" si="34"/>
        <v/>
      </c>
      <c r="N545" s="34" t="str">
        <f t="shared" si="35"/>
        <v/>
      </c>
      <c r="O545" s="23"/>
      <c r="P545" s="23"/>
    </row>
    <row r="546" spans="1:16" ht="21.75" customHeight="1" x14ac:dyDescent="0.25">
      <c r="A546" s="24"/>
      <c r="B546" s="24"/>
      <c r="C546" s="24"/>
      <c r="D546" s="34" t="str">
        <f>IF(C546="","",IFERROR(VLOOKUP(C546,CRM!$B$8:$O$1007,2,FALSE()),"Revisar ID"))</f>
        <v/>
      </c>
      <c r="E546" s="23"/>
      <c r="F546" s="37" t="str">
        <f t="shared" si="32"/>
        <v/>
      </c>
      <c r="G546" s="28"/>
      <c r="H546" s="29"/>
      <c r="I546" s="28"/>
      <c r="J546" s="29"/>
      <c r="K546" s="28"/>
      <c r="L546" s="32" t="str">
        <f t="shared" si="33"/>
        <v/>
      </c>
      <c r="M546" s="33" t="str">
        <f t="shared" ca="1" si="34"/>
        <v/>
      </c>
      <c r="N546" s="34" t="str">
        <f t="shared" si="35"/>
        <v/>
      </c>
      <c r="O546" s="23"/>
      <c r="P546" s="23"/>
    </row>
    <row r="547" spans="1:16" ht="21.75" customHeight="1" x14ac:dyDescent="0.25">
      <c r="A547" s="24"/>
      <c r="B547" s="24"/>
      <c r="C547" s="24"/>
      <c r="D547" s="34" t="str">
        <f>IF(C547="","",IFERROR(VLOOKUP(C547,CRM!$B$8:$O$1007,2,FALSE()),"Revisar ID"))</f>
        <v/>
      </c>
      <c r="E547" s="23"/>
      <c r="F547" s="37" t="str">
        <f t="shared" si="32"/>
        <v/>
      </c>
      <c r="G547" s="28"/>
      <c r="H547" s="29"/>
      <c r="I547" s="28"/>
      <c r="J547" s="29"/>
      <c r="K547" s="28"/>
      <c r="L547" s="32" t="str">
        <f t="shared" si="33"/>
        <v/>
      </c>
      <c r="M547" s="33" t="str">
        <f t="shared" ca="1" si="34"/>
        <v/>
      </c>
      <c r="N547" s="34" t="str">
        <f t="shared" si="35"/>
        <v/>
      </c>
      <c r="O547" s="23"/>
      <c r="P547" s="23"/>
    </row>
    <row r="548" spans="1:16" ht="21.75" customHeight="1" x14ac:dyDescent="0.25">
      <c r="A548" s="24"/>
      <c r="B548" s="24"/>
      <c r="C548" s="24"/>
      <c r="D548" s="34" t="str">
        <f>IF(C548="","",IFERROR(VLOOKUP(C548,CRM!$B$8:$O$1007,2,FALSE()),"Revisar ID"))</f>
        <v/>
      </c>
      <c r="E548" s="23"/>
      <c r="F548" s="37" t="str">
        <f t="shared" si="32"/>
        <v/>
      </c>
      <c r="G548" s="28"/>
      <c r="H548" s="29"/>
      <c r="I548" s="28"/>
      <c r="J548" s="29"/>
      <c r="K548" s="28"/>
      <c r="L548" s="32" t="str">
        <f t="shared" si="33"/>
        <v/>
      </c>
      <c r="M548" s="33" t="str">
        <f t="shared" ca="1" si="34"/>
        <v/>
      </c>
      <c r="N548" s="34" t="str">
        <f t="shared" si="35"/>
        <v/>
      </c>
      <c r="O548" s="23"/>
      <c r="P548" s="23"/>
    </row>
    <row r="549" spans="1:16" ht="21.75" customHeight="1" x14ac:dyDescent="0.25">
      <c r="A549" s="24"/>
      <c r="B549" s="24"/>
      <c r="C549" s="24"/>
      <c r="D549" s="34" t="str">
        <f>IF(C549="","",IFERROR(VLOOKUP(C549,CRM!$B$8:$O$1007,2,FALSE()),"Revisar ID"))</f>
        <v/>
      </c>
      <c r="E549" s="23"/>
      <c r="F549" s="37" t="str">
        <f t="shared" si="32"/>
        <v/>
      </c>
      <c r="G549" s="28"/>
      <c r="H549" s="29"/>
      <c r="I549" s="28"/>
      <c r="J549" s="29"/>
      <c r="K549" s="28"/>
      <c r="L549" s="32" t="str">
        <f t="shared" si="33"/>
        <v/>
      </c>
      <c r="M549" s="33" t="str">
        <f t="shared" ca="1" si="34"/>
        <v/>
      </c>
      <c r="N549" s="34" t="str">
        <f t="shared" si="35"/>
        <v/>
      </c>
      <c r="O549" s="23"/>
      <c r="P549" s="23"/>
    </row>
    <row r="550" spans="1:16" ht="21.75" customHeight="1" x14ac:dyDescent="0.25">
      <c r="A550" s="24"/>
      <c r="B550" s="24"/>
      <c r="C550" s="24"/>
      <c r="D550" s="34" t="str">
        <f>IF(C550="","",IFERROR(VLOOKUP(C550,CRM!$B$8:$O$1007,2,FALSE()),"Revisar ID"))</f>
        <v/>
      </c>
      <c r="E550" s="23"/>
      <c r="F550" s="37" t="str">
        <f t="shared" si="32"/>
        <v/>
      </c>
      <c r="G550" s="28"/>
      <c r="H550" s="29"/>
      <c r="I550" s="28"/>
      <c r="J550" s="29"/>
      <c r="K550" s="28"/>
      <c r="L550" s="32" t="str">
        <f t="shared" si="33"/>
        <v/>
      </c>
      <c r="M550" s="33" t="str">
        <f t="shared" ca="1" si="34"/>
        <v/>
      </c>
      <c r="N550" s="34" t="str">
        <f t="shared" si="35"/>
        <v/>
      </c>
      <c r="O550" s="23"/>
      <c r="P550" s="23"/>
    </row>
    <row r="551" spans="1:16" ht="21.75" customHeight="1" x14ac:dyDescent="0.25">
      <c r="A551" s="24"/>
      <c r="B551" s="24"/>
      <c r="C551" s="24"/>
      <c r="D551" s="34" t="str">
        <f>IF(C551="","",IFERROR(VLOOKUP(C551,CRM!$B$8:$O$1007,2,FALSE()),"Revisar ID"))</f>
        <v/>
      </c>
      <c r="E551" s="23"/>
      <c r="F551" s="37" t="str">
        <f t="shared" si="32"/>
        <v/>
      </c>
      <c r="G551" s="28"/>
      <c r="H551" s="29"/>
      <c r="I551" s="28"/>
      <c r="J551" s="29"/>
      <c r="K551" s="28"/>
      <c r="L551" s="32" t="str">
        <f t="shared" si="33"/>
        <v/>
      </c>
      <c r="M551" s="33" t="str">
        <f t="shared" ca="1" si="34"/>
        <v/>
      </c>
      <c r="N551" s="34" t="str">
        <f t="shared" si="35"/>
        <v/>
      </c>
      <c r="O551" s="23"/>
      <c r="P551" s="23"/>
    </row>
    <row r="552" spans="1:16" ht="21.75" customHeight="1" x14ac:dyDescent="0.25">
      <c r="A552" s="24"/>
      <c r="B552" s="24"/>
      <c r="C552" s="24"/>
      <c r="D552" s="34" t="str">
        <f>IF(C552="","",IFERROR(VLOOKUP(C552,CRM!$B$8:$O$1007,2,FALSE()),"Revisar ID"))</f>
        <v/>
      </c>
      <c r="E552" s="23"/>
      <c r="F552" s="37" t="str">
        <f t="shared" si="32"/>
        <v/>
      </c>
      <c r="G552" s="28"/>
      <c r="H552" s="29"/>
      <c r="I552" s="28"/>
      <c r="J552" s="29"/>
      <c r="K552" s="28"/>
      <c r="L552" s="32" t="str">
        <f t="shared" si="33"/>
        <v/>
      </c>
      <c r="M552" s="33" t="str">
        <f t="shared" ca="1" si="34"/>
        <v/>
      </c>
      <c r="N552" s="34" t="str">
        <f t="shared" si="35"/>
        <v/>
      </c>
      <c r="O552" s="23"/>
      <c r="P552" s="23"/>
    </row>
    <row r="553" spans="1:16" ht="21.75" customHeight="1" x14ac:dyDescent="0.25">
      <c r="A553" s="24"/>
      <c r="B553" s="24"/>
      <c r="C553" s="24"/>
      <c r="D553" s="34" t="str">
        <f>IF(C553="","",IFERROR(VLOOKUP(C553,CRM!$B$8:$O$1007,2,FALSE()),"Revisar ID"))</f>
        <v/>
      </c>
      <c r="E553" s="23"/>
      <c r="F553" s="37" t="str">
        <f t="shared" si="32"/>
        <v/>
      </c>
      <c r="G553" s="28"/>
      <c r="H553" s="29"/>
      <c r="I553" s="28"/>
      <c r="J553" s="29"/>
      <c r="K553" s="28"/>
      <c r="L553" s="32" t="str">
        <f t="shared" si="33"/>
        <v/>
      </c>
      <c r="M553" s="33" t="str">
        <f t="shared" ca="1" si="34"/>
        <v/>
      </c>
      <c r="N553" s="34" t="str">
        <f t="shared" si="35"/>
        <v/>
      </c>
      <c r="O553" s="23"/>
      <c r="P553" s="23"/>
    </row>
    <row r="554" spans="1:16" ht="21.75" customHeight="1" x14ac:dyDescent="0.25">
      <c r="A554" s="24"/>
      <c r="B554" s="24"/>
      <c r="C554" s="24"/>
      <c r="D554" s="34" t="str">
        <f>IF(C554="","",IFERROR(VLOOKUP(C554,CRM!$B$8:$O$1007,2,FALSE()),"Revisar ID"))</f>
        <v/>
      </c>
      <c r="E554" s="23"/>
      <c r="F554" s="37" t="str">
        <f t="shared" si="32"/>
        <v/>
      </c>
      <c r="G554" s="28"/>
      <c r="H554" s="29"/>
      <c r="I554" s="28"/>
      <c r="J554" s="29"/>
      <c r="K554" s="28"/>
      <c r="L554" s="32" t="str">
        <f t="shared" si="33"/>
        <v/>
      </c>
      <c r="M554" s="33" t="str">
        <f t="shared" ca="1" si="34"/>
        <v/>
      </c>
      <c r="N554" s="34" t="str">
        <f t="shared" si="35"/>
        <v/>
      </c>
      <c r="O554" s="23"/>
      <c r="P554" s="23"/>
    </row>
    <row r="555" spans="1:16" ht="21.75" customHeight="1" x14ac:dyDescent="0.25">
      <c r="A555" s="24"/>
      <c r="B555" s="24"/>
      <c r="C555" s="24"/>
      <c r="D555" s="34" t="str">
        <f>IF(C555="","",IFERROR(VLOOKUP(C555,CRM!$B$8:$O$1007,2,FALSE()),"Revisar ID"))</f>
        <v/>
      </c>
      <c r="E555" s="23"/>
      <c r="F555" s="37" t="str">
        <f t="shared" si="32"/>
        <v/>
      </c>
      <c r="G555" s="28"/>
      <c r="H555" s="29"/>
      <c r="I555" s="28"/>
      <c r="J555" s="29"/>
      <c r="K555" s="28"/>
      <c r="L555" s="32" t="str">
        <f t="shared" si="33"/>
        <v/>
      </c>
      <c r="M555" s="33" t="str">
        <f t="shared" ca="1" si="34"/>
        <v/>
      </c>
      <c r="N555" s="34" t="str">
        <f t="shared" si="35"/>
        <v/>
      </c>
      <c r="O555" s="23"/>
      <c r="P555" s="23"/>
    </row>
    <row r="556" spans="1:16" ht="21.75" customHeight="1" x14ac:dyDescent="0.25">
      <c r="A556" s="24"/>
      <c r="B556" s="24"/>
      <c r="C556" s="24"/>
      <c r="D556" s="34" t="str">
        <f>IF(C556="","",IFERROR(VLOOKUP(C556,CRM!$B$8:$O$1007,2,FALSE()),"Revisar ID"))</f>
        <v/>
      </c>
      <c r="E556" s="23"/>
      <c r="F556" s="37" t="str">
        <f t="shared" si="32"/>
        <v/>
      </c>
      <c r="G556" s="28"/>
      <c r="H556" s="29"/>
      <c r="I556" s="28"/>
      <c r="J556" s="29"/>
      <c r="K556" s="28"/>
      <c r="L556" s="32" t="str">
        <f t="shared" si="33"/>
        <v/>
      </c>
      <c r="M556" s="33" t="str">
        <f t="shared" ca="1" si="34"/>
        <v/>
      </c>
      <c r="N556" s="34" t="str">
        <f t="shared" si="35"/>
        <v/>
      </c>
      <c r="O556" s="23"/>
      <c r="P556" s="23"/>
    </row>
    <row r="557" spans="1:16" ht="21.75" customHeight="1" x14ac:dyDescent="0.25">
      <c r="A557" s="24"/>
      <c r="B557" s="24"/>
      <c r="C557" s="24"/>
      <c r="D557" s="34" t="str">
        <f>IF(C557="","",IFERROR(VLOOKUP(C557,CRM!$B$8:$O$1007,2,FALSE()),"Revisar ID"))</f>
        <v/>
      </c>
      <c r="E557" s="23"/>
      <c r="F557" s="37" t="str">
        <f t="shared" si="32"/>
        <v/>
      </c>
      <c r="G557" s="28"/>
      <c r="H557" s="29"/>
      <c r="I557" s="28"/>
      <c r="J557" s="29"/>
      <c r="K557" s="28"/>
      <c r="L557" s="32" t="str">
        <f t="shared" si="33"/>
        <v/>
      </c>
      <c r="M557" s="33" t="str">
        <f t="shared" ca="1" si="34"/>
        <v/>
      </c>
      <c r="N557" s="34" t="str">
        <f t="shared" si="35"/>
        <v/>
      </c>
      <c r="O557" s="23"/>
      <c r="P557" s="23"/>
    </row>
    <row r="558" spans="1:16" ht="21.75" customHeight="1" x14ac:dyDescent="0.25">
      <c r="A558" s="24"/>
      <c r="B558" s="24"/>
      <c r="C558" s="24"/>
      <c r="D558" s="34" t="str">
        <f>IF(C558="","",IFERROR(VLOOKUP(C558,CRM!$B$8:$O$1007,2,FALSE()),"Revisar ID"))</f>
        <v/>
      </c>
      <c r="E558" s="23"/>
      <c r="F558" s="37" t="str">
        <f t="shared" si="32"/>
        <v/>
      </c>
      <c r="G558" s="28"/>
      <c r="H558" s="29"/>
      <c r="I558" s="28"/>
      <c r="J558" s="29"/>
      <c r="K558" s="28"/>
      <c r="L558" s="32" t="str">
        <f t="shared" si="33"/>
        <v/>
      </c>
      <c r="M558" s="33" t="str">
        <f t="shared" ca="1" si="34"/>
        <v/>
      </c>
      <c r="N558" s="34" t="str">
        <f t="shared" si="35"/>
        <v/>
      </c>
      <c r="O558" s="23"/>
      <c r="P558" s="23"/>
    </row>
    <row r="559" spans="1:16" ht="21.75" customHeight="1" x14ac:dyDescent="0.25">
      <c r="A559" s="24"/>
      <c r="B559" s="24"/>
      <c r="C559" s="24"/>
      <c r="D559" s="34" t="str">
        <f>IF(C559="","",IFERROR(VLOOKUP(C559,CRM!$B$8:$O$1007,2,FALSE()),"Revisar ID"))</f>
        <v/>
      </c>
      <c r="E559" s="23"/>
      <c r="F559" s="37" t="str">
        <f t="shared" si="32"/>
        <v/>
      </c>
      <c r="G559" s="28"/>
      <c r="H559" s="29"/>
      <c r="I559" s="28"/>
      <c r="J559" s="29"/>
      <c r="K559" s="28"/>
      <c r="L559" s="32" t="str">
        <f t="shared" si="33"/>
        <v/>
      </c>
      <c r="M559" s="33" t="str">
        <f t="shared" ca="1" si="34"/>
        <v/>
      </c>
      <c r="N559" s="34" t="str">
        <f t="shared" si="35"/>
        <v/>
      </c>
      <c r="O559" s="23"/>
      <c r="P559" s="23"/>
    </row>
    <row r="560" spans="1:16" ht="21.75" customHeight="1" x14ac:dyDescent="0.25">
      <c r="A560" s="24"/>
      <c r="B560" s="24"/>
      <c r="C560" s="24"/>
      <c r="D560" s="34" t="str">
        <f>IF(C560="","",IFERROR(VLOOKUP(C560,CRM!$B$8:$O$1007,2,FALSE()),"Revisar ID"))</f>
        <v/>
      </c>
      <c r="E560" s="23"/>
      <c r="F560" s="37" t="str">
        <f t="shared" si="32"/>
        <v/>
      </c>
      <c r="G560" s="28"/>
      <c r="H560" s="29"/>
      <c r="I560" s="28"/>
      <c r="J560" s="29"/>
      <c r="K560" s="28"/>
      <c r="L560" s="32" t="str">
        <f t="shared" si="33"/>
        <v/>
      </c>
      <c r="M560" s="33" t="str">
        <f t="shared" ca="1" si="34"/>
        <v/>
      </c>
      <c r="N560" s="34" t="str">
        <f t="shared" si="35"/>
        <v/>
      </c>
      <c r="O560" s="23"/>
      <c r="P560" s="23"/>
    </row>
    <row r="561" spans="1:16" ht="21.75" customHeight="1" x14ac:dyDescent="0.25">
      <c r="A561" s="24"/>
      <c r="B561" s="24"/>
      <c r="C561" s="24"/>
      <c r="D561" s="34" t="str">
        <f>IF(C561="","",IFERROR(VLOOKUP(C561,CRM!$B$8:$O$1007,2,FALSE()),"Revisar ID"))</f>
        <v/>
      </c>
      <c r="E561" s="23"/>
      <c r="F561" s="37" t="str">
        <f t="shared" si="32"/>
        <v/>
      </c>
      <c r="G561" s="28"/>
      <c r="H561" s="29"/>
      <c r="I561" s="28"/>
      <c r="J561" s="29"/>
      <c r="K561" s="28"/>
      <c r="L561" s="32" t="str">
        <f t="shared" si="33"/>
        <v/>
      </c>
      <c r="M561" s="33" t="str">
        <f t="shared" ca="1" si="34"/>
        <v/>
      </c>
      <c r="N561" s="34" t="str">
        <f t="shared" si="35"/>
        <v/>
      </c>
      <c r="O561" s="23"/>
      <c r="P561" s="23"/>
    </row>
    <row r="562" spans="1:16" ht="21.75" customHeight="1" x14ac:dyDescent="0.25">
      <c r="A562" s="24"/>
      <c r="B562" s="24"/>
      <c r="C562" s="24"/>
      <c r="D562" s="34" t="str">
        <f>IF(C562="","",IFERROR(VLOOKUP(C562,CRM!$B$8:$O$1007,2,FALSE()),"Revisar ID"))</f>
        <v/>
      </c>
      <c r="E562" s="23"/>
      <c r="F562" s="37" t="str">
        <f t="shared" si="32"/>
        <v/>
      </c>
      <c r="G562" s="28"/>
      <c r="H562" s="29"/>
      <c r="I562" s="28"/>
      <c r="J562" s="29"/>
      <c r="K562" s="28"/>
      <c r="L562" s="32" t="str">
        <f t="shared" si="33"/>
        <v/>
      </c>
      <c r="M562" s="33" t="str">
        <f t="shared" ca="1" si="34"/>
        <v/>
      </c>
      <c r="N562" s="34" t="str">
        <f t="shared" si="35"/>
        <v/>
      </c>
      <c r="O562" s="23"/>
      <c r="P562" s="23"/>
    </row>
    <row r="563" spans="1:16" ht="21.75" customHeight="1" x14ac:dyDescent="0.25">
      <c r="A563" s="24"/>
      <c r="B563" s="24"/>
      <c r="C563" s="24"/>
      <c r="D563" s="34" t="str">
        <f>IF(C563="","",IFERROR(VLOOKUP(C563,CRM!$B$8:$O$1007,2,FALSE()),"Revisar ID"))</f>
        <v/>
      </c>
      <c r="E563" s="23"/>
      <c r="F563" s="37" t="str">
        <f t="shared" si="32"/>
        <v/>
      </c>
      <c r="G563" s="28"/>
      <c r="H563" s="29"/>
      <c r="I563" s="28"/>
      <c r="J563" s="29"/>
      <c r="K563" s="28"/>
      <c r="L563" s="32" t="str">
        <f t="shared" si="33"/>
        <v/>
      </c>
      <c r="M563" s="33" t="str">
        <f t="shared" ca="1" si="34"/>
        <v/>
      </c>
      <c r="N563" s="34" t="str">
        <f t="shared" si="35"/>
        <v/>
      </c>
      <c r="O563" s="23"/>
      <c r="P563" s="23"/>
    </row>
    <row r="564" spans="1:16" ht="21.75" customHeight="1" x14ac:dyDescent="0.25">
      <c r="A564" s="24"/>
      <c r="B564" s="24"/>
      <c r="C564" s="24"/>
      <c r="D564" s="34" t="str">
        <f>IF(C564="","",IFERROR(VLOOKUP(C564,CRM!$B$8:$O$1007,2,FALSE()),"Revisar ID"))</f>
        <v/>
      </c>
      <c r="E564" s="23"/>
      <c r="F564" s="37" t="str">
        <f t="shared" si="32"/>
        <v/>
      </c>
      <c r="G564" s="28"/>
      <c r="H564" s="29"/>
      <c r="I564" s="28"/>
      <c r="J564" s="29"/>
      <c r="K564" s="28"/>
      <c r="L564" s="32" t="str">
        <f t="shared" si="33"/>
        <v/>
      </c>
      <c r="M564" s="33" t="str">
        <f t="shared" ca="1" si="34"/>
        <v/>
      </c>
      <c r="N564" s="34" t="str">
        <f t="shared" si="35"/>
        <v/>
      </c>
      <c r="O564" s="23"/>
      <c r="P564" s="23"/>
    </row>
    <row r="565" spans="1:16" ht="21.75" customHeight="1" x14ac:dyDescent="0.25">
      <c r="A565" s="24"/>
      <c r="B565" s="24"/>
      <c r="C565" s="24"/>
      <c r="D565" s="34" t="str">
        <f>IF(C565="","",IFERROR(VLOOKUP(C565,CRM!$B$8:$O$1007,2,FALSE()),"Revisar ID"))</f>
        <v/>
      </c>
      <c r="E565" s="23"/>
      <c r="F565" s="37" t="str">
        <f t="shared" si="32"/>
        <v/>
      </c>
      <c r="G565" s="28"/>
      <c r="H565" s="29"/>
      <c r="I565" s="28"/>
      <c r="J565" s="29"/>
      <c r="K565" s="28"/>
      <c r="L565" s="32" t="str">
        <f t="shared" si="33"/>
        <v/>
      </c>
      <c r="M565" s="33" t="str">
        <f t="shared" ca="1" si="34"/>
        <v/>
      </c>
      <c r="N565" s="34" t="str">
        <f t="shared" si="35"/>
        <v/>
      </c>
      <c r="O565" s="23"/>
      <c r="P565" s="23"/>
    </row>
    <row r="566" spans="1:16" ht="21.75" customHeight="1" x14ac:dyDescent="0.25">
      <c r="A566" s="24"/>
      <c r="B566" s="24"/>
      <c r="C566" s="24"/>
      <c r="D566" s="34" t="str">
        <f>IF(C566="","",IFERROR(VLOOKUP(C566,CRM!$B$8:$O$1007,2,FALSE()),"Revisar ID"))</f>
        <v/>
      </c>
      <c r="E566" s="23"/>
      <c r="F566" s="37" t="str">
        <f t="shared" si="32"/>
        <v/>
      </c>
      <c r="G566" s="28"/>
      <c r="H566" s="29"/>
      <c r="I566" s="28"/>
      <c r="J566" s="29"/>
      <c r="K566" s="28"/>
      <c r="L566" s="32" t="str">
        <f t="shared" si="33"/>
        <v/>
      </c>
      <c r="M566" s="33" t="str">
        <f t="shared" ca="1" si="34"/>
        <v/>
      </c>
      <c r="N566" s="34" t="str">
        <f t="shared" si="35"/>
        <v/>
      </c>
      <c r="O566" s="23"/>
      <c r="P566" s="23"/>
    </row>
    <row r="567" spans="1:16" ht="21.75" customHeight="1" x14ac:dyDescent="0.25">
      <c r="A567" s="24"/>
      <c r="B567" s="24"/>
      <c r="C567" s="24"/>
      <c r="D567" s="34" t="str">
        <f>IF(C567="","",IFERROR(VLOOKUP(C567,CRM!$B$8:$O$1007,2,FALSE()),"Revisar ID"))</f>
        <v/>
      </c>
      <c r="E567" s="23"/>
      <c r="F567" s="37" t="str">
        <f t="shared" si="32"/>
        <v/>
      </c>
      <c r="G567" s="28"/>
      <c r="H567" s="29"/>
      <c r="I567" s="28"/>
      <c r="J567" s="29"/>
      <c r="K567" s="28"/>
      <c r="L567" s="32" t="str">
        <f t="shared" si="33"/>
        <v/>
      </c>
      <c r="M567" s="33" t="str">
        <f t="shared" ca="1" si="34"/>
        <v/>
      </c>
      <c r="N567" s="34" t="str">
        <f t="shared" si="35"/>
        <v/>
      </c>
      <c r="O567" s="23"/>
      <c r="P567" s="23"/>
    </row>
    <row r="568" spans="1:16" ht="21.75" customHeight="1" x14ac:dyDescent="0.25">
      <c r="A568" s="24"/>
      <c r="B568" s="24"/>
      <c r="C568" s="24"/>
      <c r="D568" s="34" t="str">
        <f>IF(C568="","",IFERROR(VLOOKUP(C568,CRM!$B$8:$O$1007,2,FALSE()),"Revisar ID"))</f>
        <v/>
      </c>
      <c r="E568" s="23"/>
      <c r="F568" s="37" t="str">
        <f t="shared" si="32"/>
        <v/>
      </c>
      <c r="G568" s="28"/>
      <c r="H568" s="29"/>
      <c r="I568" s="28"/>
      <c r="J568" s="29"/>
      <c r="K568" s="28"/>
      <c r="L568" s="32" t="str">
        <f t="shared" si="33"/>
        <v/>
      </c>
      <c r="M568" s="33" t="str">
        <f t="shared" ca="1" si="34"/>
        <v/>
      </c>
      <c r="N568" s="34" t="str">
        <f t="shared" si="35"/>
        <v/>
      </c>
      <c r="O568" s="23"/>
      <c r="P568" s="23"/>
    </row>
    <row r="569" spans="1:16" ht="21.75" customHeight="1" x14ac:dyDescent="0.25">
      <c r="A569" s="24"/>
      <c r="B569" s="24"/>
      <c r="C569" s="24"/>
      <c r="D569" s="34" t="str">
        <f>IF(C569="","",IFERROR(VLOOKUP(C569,CRM!$B$8:$O$1007,2,FALSE()),"Revisar ID"))</f>
        <v/>
      </c>
      <c r="E569" s="23"/>
      <c r="F569" s="37" t="str">
        <f t="shared" si="32"/>
        <v/>
      </c>
      <c r="G569" s="28"/>
      <c r="H569" s="29"/>
      <c r="I569" s="28"/>
      <c r="J569" s="29"/>
      <c r="K569" s="28"/>
      <c r="L569" s="32" t="str">
        <f t="shared" si="33"/>
        <v/>
      </c>
      <c r="M569" s="33" t="str">
        <f t="shared" ca="1" si="34"/>
        <v/>
      </c>
      <c r="N569" s="34" t="str">
        <f t="shared" si="35"/>
        <v/>
      </c>
      <c r="O569" s="23"/>
      <c r="P569" s="23"/>
    </row>
    <row r="570" spans="1:16" ht="21.75" customHeight="1" x14ac:dyDescent="0.25">
      <c r="A570" s="24"/>
      <c r="B570" s="24"/>
      <c r="C570" s="24"/>
      <c r="D570" s="34" t="str">
        <f>IF(C570="","",IFERROR(VLOOKUP(C570,CRM!$B$8:$O$1007,2,FALSE()),"Revisar ID"))</f>
        <v/>
      </c>
      <c r="E570" s="23"/>
      <c r="F570" s="37" t="str">
        <f t="shared" si="32"/>
        <v/>
      </c>
      <c r="G570" s="28"/>
      <c r="H570" s="29"/>
      <c r="I570" s="28"/>
      <c r="J570" s="29"/>
      <c r="K570" s="28"/>
      <c r="L570" s="32" t="str">
        <f t="shared" si="33"/>
        <v/>
      </c>
      <c r="M570" s="33" t="str">
        <f t="shared" ca="1" si="34"/>
        <v/>
      </c>
      <c r="N570" s="34" t="str">
        <f t="shared" si="35"/>
        <v/>
      </c>
      <c r="O570" s="23"/>
      <c r="P570" s="23"/>
    </row>
    <row r="571" spans="1:16" ht="21.75" customHeight="1" x14ac:dyDescent="0.25">
      <c r="A571" s="24"/>
      <c r="B571" s="24"/>
      <c r="C571" s="24"/>
      <c r="D571" s="34" t="str">
        <f>IF(C571="","",IFERROR(VLOOKUP(C571,CRM!$B$8:$O$1007,2,FALSE()),"Revisar ID"))</f>
        <v/>
      </c>
      <c r="E571" s="23"/>
      <c r="F571" s="37" t="str">
        <f t="shared" si="32"/>
        <v/>
      </c>
      <c r="G571" s="28"/>
      <c r="H571" s="29"/>
      <c r="I571" s="28"/>
      <c r="J571" s="29"/>
      <c r="K571" s="28"/>
      <c r="L571" s="32" t="str">
        <f t="shared" si="33"/>
        <v/>
      </c>
      <c r="M571" s="33" t="str">
        <f t="shared" ca="1" si="34"/>
        <v/>
      </c>
      <c r="N571" s="34" t="str">
        <f t="shared" si="35"/>
        <v/>
      </c>
      <c r="O571" s="23"/>
      <c r="P571" s="23"/>
    </row>
    <row r="572" spans="1:16" ht="21.75" customHeight="1" x14ac:dyDescent="0.25">
      <c r="A572" s="24"/>
      <c r="B572" s="24"/>
      <c r="C572" s="24"/>
      <c r="D572" s="34" t="str">
        <f>IF(C572="","",IFERROR(VLOOKUP(C572,CRM!$B$8:$O$1007,2,FALSE()),"Revisar ID"))</f>
        <v/>
      </c>
      <c r="E572" s="23"/>
      <c r="F572" s="37" t="str">
        <f t="shared" si="32"/>
        <v/>
      </c>
      <c r="G572" s="28"/>
      <c r="H572" s="29"/>
      <c r="I572" s="28"/>
      <c r="J572" s="29"/>
      <c r="K572" s="28"/>
      <c r="L572" s="32" t="str">
        <f t="shared" si="33"/>
        <v/>
      </c>
      <c r="M572" s="33" t="str">
        <f t="shared" ca="1" si="34"/>
        <v/>
      </c>
      <c r="N572" s="34" t="str">
        <f t="shared" si="35"/>
        <v/>
      </c>
      <c r="O572" s="23"/>
      <c r="P572" s="23"/>
    </row>
    <row r="573" spans="1:16" ht="21.75" customHeight="1" x14ac:dyDescent="0.25">
      <c r="A573" s="24"/>
      <c r="B573" s="24"/>
      <c r="C573" s="24"/>
      <c r="D573" s="34" t="str">
        <f>IF(C573="","",IFERROR(VLOOKUP(C573,CRM!$B$8:$O$1007,2,FALSE()),"Revisar ID"))</f>
        <v/>
      </c>
      <c r="E573" s="23"/>
      <c r="F573" s="37" t="str">
        <f t="shared" si="32"/>
        <v/>
      </c>
      <c r="G573" s="28"/>
      <c r="H573" s="29"/>
      <c r="I573" s="28"/>
      <c r="J573" s="29"/>
      <c r="K573" s="28"/>
      <c r="L573" s="32" t="str">
        <f t="shared" si="33"/>
        <v/>
      </c>
      <c r="M573" s="33" t="str">
        <f t="shared" ca="1" si="34"/>
        <v/>
      </c>
      <c r="N573" s="34" t="str">
        <f t="shared" si="35"/>
        <v/>
      </c>
      <c r="O573" s="23"/>
      <c r="P573" s="23"/>
    </row>
    <row r="574" spans="1:16" ht="21.75" customHeight="1" x14ac:dyDescent="0.25">
      <c r="A574" s="24"/>
      <c r="B574" s="24"/>
      <c r="C574" s="24"/>
      <c r="D574" s="34" t="str">
        <f>IF(C574="","",IFERROR(VLOOKUP(C574,CRM!$B$8:$O$1007,2,FALSE()),"Revisar ID"))</f>
        <v/>
      </c>
      <c r="E574" s="23"/>
      <c r="F574" s="37" t="str">
        <f t="shared" si="32"/>
        <v/>
      </c>
      <c r="G574" s="28"/>
      <c r="H574" s="29"/>
      <c r="I574" s="28"/>
      <c r="J574" s="29"/>
      <c r="K574" s="28"/>
      <c r="L574" s="32" t="str">
        <f t="shared" si="33"/>
        <v/>
      </c>
      <c r="M574" s="33" t="str">
        <f t="shared" ca="1" si="34"/>
        <v/>
      </c>
      <c r="N574" s="34" t="str">
        <f t="shared" si="35"/>
        <v/>
      </c>
      <c r="O574" s="23"/>
      <c r="P574" s="23"/>
    </row>
    <row r="575" spans="1:16" ht="21.75" customHeight="1" x14ac:dyDescent="0.25">
      <c r="A575" s="24"/>
      <c r="B575" s="24"/>
      <c r="C575" s="24"/>
      <c r="D575" s="34" t="str">
        <f>IF(C575="","",IFERROR(VLOOKUP(C575,CRM!$B$8:$O$1007,2,FALSE()),"Revisar ID"))</f>
        <v/>
      </c>
      <c r="E575" s="23"/>
      <c r="F575" s="37" t="str">
        <f t="shared" si="32"/>
        <v/>
      </c>
      <c r="G575" s="28"/>
      <c r="H575" s="29"/>
      <c r="I575" s="28"/>
      <c r="J575" s="29"/>
      <c r="K575" s="28"/>
      <c r="L575" s="32" t="str">
        <f t="shared" si="33"/>
        <v/>
      </c>
      <c r="M575" s="33" t="str">
        <f t="shared" ca="1" si="34"/>
        <v/>
      </c>
      <c r="N575" s="34" t="str">
        <f t="shared" si="35"/>
        <v/>
      </c>
      <c r="O575" s="23"/>
      <c r="P575" s="23"/>
    </row>
    <row r="576" spans="1:16" ht="21.75" customHeight="1" x14ac:dyDescent="0.25">
      <c r="A576" s="24"/>
      <c r="B576" s="24"/>
      <c r="C576" s="24"/>
      <c r="D576" s="34" t="str">
        <f>IF(C576="","",IFERROR(VLOOKUP(C576,CRM!$B$8:$O$1007,2,FALSE()),"Revisar ID"))</f>
        <v/>
      </c>
      <c r="E576" s="23"/>
      <c r="F576" s="37" t="str">
        <f t="shared" si="32"/>
        <v/>
      </c>
      <c r="G576" s="28"/>
      <c r="H576" s="29"/>
      <c r="I576" s="28"/>
      <c r="J576" s="29"/>
      <c r="K576" s="28"/>
      <c r="L576" s="32" t="str">
        <f t="shared" si="33"/>
        <v/>
      </c>
      <c r="M576" s="33" t="str">
        <f t="shared" ca="1" si="34"/>
        <v/>
      </c>
      <c r="N576" s="34" t="str">
        <f t="shared" si="35"/>
        <v/>
      </c>
      <c r="O576" s="23"/>
      <c r="P576" s="23"/>
    </row>
    <row r="577" spans="1:16" ht="21.75" customHeight="1" x14ac:dyDescent="0.25">
      <c r="A577" s="24"/>
      <c r="B577" s="24"/>
      <c r="C577" s="24"/>
      <c r="D577" s="34" t="str">
        <f>IF(C577="","",IFERROR(VLOOKUP(C577,CRM!$B$8:$O$1007,2,FALSE()),"Revisar ID"))</f>
        <v/>
      </c>
      <c r="E577" s="23"/>
      <c r="F577" s="37" t="str">
        <f t="shared" si="32"/>
        <v/>
      </c>
      <c r="G577" s="28"/>
      <c r="H577" s="29"/>
      <c r="I577" s="28"/>
      <c r="J577" s="29"/>
      <c r="K577" s="28"/>
      <c r="L577" s="32" t="str">
        <f t="shared" si="33"/>
        <v/>
      </c>
      <c r="M577" s="33" t="str">
        <f t="shared" ca="1" si="34"/>
        <v/>
      </c>
      <c r="N577" s="34" t="str">
        <f t="shared" si="35"/>
        <v/>
      </c>
      <c r="O577" s="23"/>
      <c r="P577" s="23"/>
    </row>
    <row r="578" spans="1:16" ht="21.75" customHeight="1" x14ac:dyDescent="0.25">
      <c r="A578" s="24"/>
      <c r="B578" s="24"/>
      <c r="C578" s="24"/>
      <c r="D578" s="34" t="str">
        <f>IF(C578="","",IFERROR(VLOOKUP(C578,CRM!$B$8:$O$1007,2,FALSE()),"Revisar ID"))</f>
        <v/>
      </c>
      <c r="E578" s="23"/>
      <c r="F578" s="37" t="str">
        <f t="shared" si="32"/>
        <v/>
      </c>
      <c r="G578" s="28"/>
      <c r="H578" s="29"/>
      <c r="I578" s="28"/>
      <c r="J578" s="29"/>
      <c r="K578" s="28"/>
      <c r="L578" s="32" t="str">
        <f t="shared" si="33"/>
        <v/>
      </c>
      <c r="M578" s="33" t="str">
        <f t="shared" ca="1" si="34"/>
        <v/>
      </c>
      <c r="N578" s="34" t="str">
        <f t="shared" si="35"/>
        <v/>
      </c>
      <c r="O578" s="23"/>
      <c r="P578" s="23"/>
    </row>
    <row r="579" spans="1:16" ht="21.75" customHeight="1" x14ac:dyDescent="0.25">
      <c r="A579" s="24"/>
      <c r="B579" s="24"/>
      <c r="C579" s="24"/>
      <c r="D579" s="34" t="str">
        <f>IF(C579="","",IFERROR(VLOOKUP(C579,CRM!$B$8:$O$1007,2,FALSE()),"Revisar ID"))</f>
        <v/>
      </c>
      <c r="E579" s="23"/>
      <c r="F579" s="37" t="str">
        <f t="shared" si="32"/>
        <v/>
      </c>
      <c r="G579" s="28"/>
      <c r="H579" s="29"/>
      <c r="I579" s="28"/>
      <c r="J579" s="29"/>
      <c r="K579" s="28"/>
      <c r="L579" s="32" t="str">
        <f t="shared" si="33"/>
        <v/>
      </c>
      <c r="M579" s="33" t="str">
        <f t="shared" ca="1" si="34"/>
        <v/>
      </c>
      <c r="N579" s="34" t="str">
        <f t="shared" si="35"/>
        <v/>
      </c>
      <c r="O579" s="23"/>
      <c r="P579" s="23"/>
    </row>
    <row r="580" spans="1:16" ht="21.75" customHeight="1" x14ac:dyDescent="0.25">
      <c r="A580" s="24"/>
      <c r="B580" s="24"/>
      <c r="C580" s="24"/>
      <c r="D580" s="34" t="str">
        <f>IF(C580="","",IFERROR(VLOOKUP(C580,CRM!$B$8:$O$1007,2,FALSE()),"Revisar ID"))</f>
        <v/>
      </c>
      <c r="E580" s="23"/>
      <c r="F580" s="37" t="str">
        <f t="shared" si="32"/>
        <v/>
      </c>
      <c r="G580" s="28"/>
      <c r="H580" s="29"/>
      <c r="I580" s="28"/>
      <c r="J580" s="29"/>
      <c r="K580" s="28"/>
      <c r="L580" s="32" t="str">
        <f t="shared" si="33"/>
        <v/>
      </c>
      <c r="M580" s="33" t="str">
        <f t="shared" ca="1" si="34"/>
        <v/>
      </c>
      <c r="N580" s="34" t="str">
        <f t="shared" si="35"/>
        <v/>
      </c>
      <c r="O580" s="23"/>
      <c r="P580" s="23"/>
    </row>
    <row r="581" spans="1:16" ht="21.75" customHeight="1" x14ac:dyDescent="0.25">
      <c r="A581" s="24"/>
      <c r="B581" s="24"/>
      <c r="C581" s="24"/>
      <c r="D581" s="34" t="str">
        <f>IF(C581="","",IFERROR(VLOOKUP(C581,CRM!$B$8:$O$1007,2,FALSE()),"Revisar ID"))</f>
        <v/>
      </c>
      <c r="E581" s="23"/>
      <c r="F581" s="37" t="str">
        <f t="shared" si="32"/>
        <v/>
      </c>
      <c r="G581" s="28"/>
      <c r="H581" s="29"/>
      <c r="I581" s="28"/>
      <c r="J581" s="29"/>
      <c r="K581" s="28"/>
      <c r="L581" s="32" t="str">
        <f t="shared" si="33"/>
        <v/>
      </c>
      <c r="M581" s="33" t="str">
        <f t="shared" ca="1" si="34"/>
        <v/>
      </c>
      <c r="N581" s="34" t="str">
        <f t="shared" si="35"/>
        <v/>
      </c>
      <c r="O581" s="23"/>
      <c r="P581" s="23"/>
    </row>
    <row r="582" spans="1:16" ht="21.75" customHeight="1" x14ac:dyDescent="0.25">
      <c r="A582" s="24"/>
      <c r="B582" s="24"/>
      <c r="C582" s="24"/>
      <c r="D582" s="34" t="str">
        <f>IF(C582="","",IFERROR(VLOOKUP(C582,CRM!$B$8:$O$1007,2,FALSE()),"Revisar ID"))</f>
        <v/>
      </c>
      <c r="E582" s="23"/>
      <c r="F582" s="37" t="str">
        <f t="shared" si="32"/>
        <v/>
      </c>
      <c r="G582" s="28"/>
      <c r="H582" s="29"/>
      <c r="I582" s="28"/>
      <c r="J582" s="29"/>
      <c r="K582" s="28"/>
      <c r="L582" s="32" t="str">
        <f t="shared" si="33"/>
        <v/>
      </c>
      <c r="M582" s="33" t="str">
        <f t="shared" ca="1" si="34"/>
        <v/>
      </c>
      <c r="N582" s="34" t="str">
        <f t="shared" si="35"/>
        <v/>
      </c>
      <c r="O582" s="23"/>
      <c r="P582" s="23"/>
    </row>
    <row r="583" spans="1:16" ht="21.75" customHeight="1" x14ac:dyDescent="0.25">
      <c r="A583" s="24"/>
      <c r="B583" s="24"/>
      <c r="C583" s="24"/>
      <c r="D583" s="34" t="str">
        <f>IF(C583="","",IFERROR(VLOOKUP(C583,CRM!$B$8:$O$1007,2,FALSE()),"Revisar ID"))</f>
        <v/>
      </c>
      <c r="E583" s="23"/>
      <c r="F583" s="37" t="str">
        <f t="shared" si="32"/>
        <v/>
      </c>
      <c r="G583" s="28"/>
      <c r="H583" s="29"/>
      <c r="I583" s="28"/>
      <c r="J583" s="29"/>
      <c r="K583" s="28"/>
      <c r="L583" s="32" t="str">
        <f t="shared" si="33"/>
        <v/>
      </c>
      <c r="M583" s="33" t="str">
        <f t="shared" ca="1" si="34"/>
        <v/>
      </c>
      <c r="N583" s="34" t="str">
        <f t="shared" si="35"/>
        <v/>
      </c>
      <c r="O583" s="23"/>
      <c r="P583" s="23"/>
    </row>
    <row r="584" spans="1:16" ht="21.75" customHeight="1" x14ac:dyDescent="0.25">
      <c r="A584" s="24"/>
      <c r="B584" s="24"/>
      <c r="C584" s="24"/>
      <c r="D584" s="34" t="str">
        <f>IF(C584="","",IFERROR(VLOOKUP(C584,CRM!$B$8:$O$1007,2,FALSE()),"Revisar ID"))</f>
        <v/>
      </c>
      <c r="E584" s="23"/>
      <c r="F584" s="37" t="str">
        <f t="shared" si="32"/>
        <v/>
      </c>
      <c r="G584" s="28"/>
      <c r="H584" s="29"/>
      <c r="I584" s="28"/>
      <c r="J584" s="29"/>
      <c r="K584" s="28"/>
      <c r="L584" s="32" t="str">
        <f t="shared" si="33"/>
        <v/>
      </c>
      <c r="M584" s="33" t="str">
        <f t="shared" ca="1" si="34"/>
        <v/>
      </c>
      <c r="N584" s="34" t="str">
        <f t="shared" si="35"/>
        <v/>
      </c>
      <c r="O584" s="23"/>
      <c r="P584" s="23"/>
    </row>
    <row r="585" spans="1:16" ht="21.75" customHeight="1" x14ac:dyDescent="0.25">
      <c r="A585" s="24"/>
      <c r="B585" s="24"/>
      <c r="C585" s="24"/>
      <c r="D585" s="34" t="str">
        <f>IF(C585="","",IFERROR(VLOOKUP(C585,CRM!$B$8:$O$1007,2,FALSE()),"Revisar ID"))</f>
        <v/>
      </c>
      <c r="E585" s="23"/>
      <c r="F585" s="37" t="str">
        <f t="shared" ref="F585:F648" si="36">IF(B585="","",B585+IF(E585="Contado",0,IF(E585="7 días",7,IF(E585="15 días",15,IF(E585="30 días",30,IF(E585="45 días",45,IF(E585="60 días",60,0)))))))</f>
        <v/>
      </c>
      <c r="G585" s="28"/>
      <c r="H585" s="29"/>
      <c r="I585" s="28"/>
      <c r="J585" s="29"/>
      <c r="K585" s="28"/>
      <c r="L585" s="32" t="str">
        <f t="shared" ref="L585:L648" si="37">IF(G585="","",MAX(0,G585-SUM(I585,K585)))</f>
        <v/>
      </c>
      <c r="M585" s="33" t="str">
        <f t="shared" ref="M585:M648" ca="1" si="38">IF(G585="","",IF(L585=0,0,MAX(0,TODAY()-F585)))</f>
        <v/>
      </c>
      <c r="N585" s="34" t="str">
        <f t="shared" ref="N585:N648" si="39">IF(G585="","",IF(L585=0,"Pagada",IF(M585&gt;0,"Vencida",IF(SUM(I585,K585)&gt;0,"Parcial","Pendiente"))))</f>
        <v/>
      </c>
      <c r="O585" s="23"/>
      <c r="P585" s="23"/>
    </row>
    <row r="586" spans="1:16" ht="21.75" customHeight="1" x14ac:dyDescent="0.25">
      <c r="A586" s="24"/>
      <c r="B586" s="24"/>
      <c r="C586" s="24"/>
      <c r="D586" s="34" t="str">
        <f>IF(C586="","",IFERROR(VLOOKUP(C586,CRM!$B$8:$O$1007,2,FALSE()),"Revisar ID"))</f>
        <v/>
      </c>
      <c r="E586" s="23"/>
      <c r="F586" s="37" t="str">
        <f t="shared" si="36"/>
        <v/>
      </c>
      <c r="G586" s="28"/>
      <c r="H586" s="29"/>
      <c r="I586" s="28"/>
      <c r="J586" s="29"/>
      <c r="K586" s="28"/>
      <c r="L586" s="32" t="str">
        <f t="shared" si="37"/>
        <v/>
      </c>
      <c r="M586" s="33" t="str">
        <f t="shared" ca="1" si="38"/>
        <v/>
      </c>
      <c r="N586" s="34" t="str">
        <f t="shared" si="39"/>
        <v/>
      </c>
      <c r="O586" s="23"/>
      <c r="P586" s="23"/>
    </row>
    <row r="587" spans="1:16" ht="21.75" customHeight="1" x14ac:dyDescent="0.25">
      <c r="A587" s="24"/>
      <c r="B587" s="24"/>
      <c r="C587" s="24"/>
      <c r="D587" s="34" t="str">
        <f>IF(C587="","",IFERROR(VLOOKUP(C587,CRM!$B$8:$O$1007,2,FALSE()),"Revisar ID"))</f>
        <v/>
      </c>
      <c r="E587" s="23"/>
      <c r="F587" s="37" t="str">
        <f t="shared" si="36"/>
        <v/>
      </c>
      <c r="G587" s="28"/>
      <c r="H587" s="29"/>
      <c r="I587" s="28"/>
      <c r="J587" s="29"/>
      <c r="K587" s="28"/>
      <c r="L587" s="32" t="str">
        <f t="shared" si="37"/>
        <v/>
      </c>
      <c r="M587" s="33" t="str">
        <f t="shared" ca="1" si="38"/>
        <v/>
      </c>
      <c r="N587" s="34" t="str">
        <f t="shared" si="39"/>
        <v/>
      </c>
      <c r="O587" s="23"/>
      <c r="P587" s="23"/>
    </row>
    <row r="588" spans="1:16" ht="21.75" customHeight="1" x14ac:dyDescent="0.25">
      <c r="A588" s="24"/>
      <c r="B588" s="24"/>
      <c r="C588" s="24"/>
      <c r="D588" s="34" t="str">
        <f>IF(C588="","",IFERROR(VLOOKUP(C588,CRM!$B$8:$O$1007,2,FALSE()),"Revisar ID"))</f>
        <v/>
      </c>
      <c r="E588" s="23"/>
      <c r="F588" s="37" t="str">
        <f t="shared" si="36"/>
        <v/>
      </c>
      <c r="G588" s="28"/>
      <c r="H588" s="29"/>
      <c r="I588" s="28"/>
      <c r="J588" s="29"/>
      <c r="K588" s="28"/>
      <c r="L588" s="32" t="str">
        <f t="shared" si="37"/>
        <v/>
      </c>
      <c r="M588" s="33" t="str">
        <f t="shared" ca="1" si="38"/>
        <v/>
      </c>
      <c r="N588" s="34" t="str">
        <f t="shared" si="39"/>
        <v/>
      </c>
      <c r="O588" s="23"/>
      <c r="P588" s="23"/>
    </row>
    <row r="589" spans="1:16" ht="21.75" customHeight="1" x14ac:dyDescent="0.25">
      <c r="A589" s="24"/>
      <c r="B589" s="24"/>
      <c r="C589" s="24"/>
      <c r="D589" s="34" t="str">
        <f>IF(C589="","",IFERROR(VLOOKUP(C589,CRM!$B$8:$O$1007,2,FALSE()),"Revisar ID"))</f>
        <v/>
      </c>
      <c r="E589" s="23"/>
      <c r="F589" s="37" t="str">
        <f t="shared" si="36"/>
        <v/>
      </c>
      <c r="G589" s="28"/>
      <c r="H589" s="29"/>
      <c r="I589" s="28"/>
      <c r="J589" s="29"/>
      <c r="K589" s="28"/>
      <c r="L589" s="32" t="str">
        <f t="shared" si="37"/>
        <v/>
      </c>
      <c r="M589" s="33" t="str">
        <f t="shared" ca="1" si="38"/>
        <v/>
      </c>
      <c r="N589" s="34" t="str">
        <f t="shared" si="39"/>
        <v/>
      </c>
      <c r="O589" s="23"/>
      <c r="P589" s="23"/>
    </row>
    <row r="590" spans="1:16" ht="21.75" customHeight="1" x14ac:dyDescent="0.25">
      <c r="A590" s="24"/>
      <c r="B590" s="24"/>
      <c r="C590" s="24"/>
      <c r="D590" s="34" t="str">
        <f>IF(C590="","",IFERROR(VLOOKUP(C590,CRM!$B$8:$O$1007,2,FALSE()),"Revisar ID"))</f>
        <v/>
      </c>
      <c r="E590" s="23"/>
      <c r="F590" s="37" t="str">
        <f t="shared" si="36"/>
        <v/>
      </c>
      <c r="G590" s="28"/>
      <c r="H590" s="29"/>
      <c r="I590" s="28"/>
      <c r="J590" s="29"/>
      <c r="K590" s="28"/>
      <c r="L590" s="32" t="str">
        <f t="shared" si="37"/>
        <v/>
      </c>
      <c r="M590" s="33" t="str">
        <f t="shared" ca="1" si="38"/>
        <v/>
      </c>
      <c r="N590" s="34" t="str">
        <f t="shared" si="39"/>
        <v/>
      </c>
      <c r="O590" s="23"/>
      <c r="P590" s="23"/>
    </row>
    <row r="591" spans="1:16" ht="21.75" customHeight="1" x14ac:dyDescent="0.25">
      <c r="A591" s="24"/>
      <c r="B591" s="24"/>
      <c r="C591" s="24"/>
      <c r="D591" s="34" t="str">
        <f>IF(C591="","",IFERROR(VLOOKUP(C591,CRM!$B$8:$O$1007,2,FALSE()),"Revisar ID"))</f>
        <v/>
      </c>
      <c r="E591" s="23"/>
      <c r="F591" s="37" t="str">
        <f t="shared" si="36"/>
        <v/>
      </c>
      <c r="G591" s="28"/>
      <c r="H591" s="29"/>
      <c r="I591" s="28"/>
      <c r="J591" s="29"/>
      <c r="K591" s="28"/>
      <c r="L591" s="32" t="str">
        <f t="shared" si="37"/>
        <v/>
      </c>
      <c r="M591" s="33" t="str">
        <f t="shared" ca="1" si="38"/>
        <v/>
      </c>
      <c r="N591" s="34" t="str">
        <f t="shared" si="39"/>
        <v/>
      </c>
      <c r="O591" s="23"/>
      <c r="P591" s="23"/>
    </row>
    <row r="592" spans="1:16" ht="21.75" customHeight="1" x14ac:dyDescent="0.25">
      <c r="A592" s="24"/>
      <c r="B592" s="24"/>
      <c r="C592" s="24"/>
      <c r="D592" s="34" t="str">
        <f>IF(C592="","",IFERROR(VLOOKUP(C592,CRM!$B$8:$O$1007,2,FALSE()),"Revisar ID"))</f>
        <v/>
      </c>
      <c r="E592" s="23"/>
      <c r="F592" s="37" t="str">
        <f t="shared" si="36"/>
        <v/>
      </c>
      <c r="G592" s="28"/>
      <c r="H592" s="29"/>
      <c r="I592" s="28"/>
      <c r="J592" s="29"/>
      <c r="K592" s="28"/>
      <c r="L592" s="32" t="str">
        <f t="shared" si="37"/>
        <v/>
      </c>
      <c r="M592" s="33" t="str">
        <f t="shared" ca="1" si="38"/>
        <v/>
      </c>
      <c r="N592" s="34" t="str">
        <f t="shared" si="39"/>
        <v/>
      </c>
      <c r="O592" s="23"/>
      <c r="P592" s="23"/>
    </row>
    <row r="593" spans="1:16" ht="21.75" customHeight="1" x14ac:dyDescent="0.25">
      <c r="A593" s="24"/>
      <c r="B593" s="24"/>
      <c r="C593" s="24"/>
      <c r="D593" s="34" t="str">
        <f>IF(C593="","",IFERROR(VLOOKUP(C593,CRM!$B$8:$O$1007,2,FALSE()),"Revisar ID"))</f>
        <v/>
      </c>
      <c r="E593" s="23"/>
      <c r="F593" s="37" t="str">
        <f t="shared" si="36"/>
        <v/>
      </c>
      <c r="G593" s="28"/>
      <c r="H593" s="29"/>
      <c r="I593" s="28"/>
      <c r="J593" s="29"/>
      <c r="K593" s="28"/>
      <c r="L593" s="32" t="str">
        <f t="shared" si="37"/>
        <v/>
      </c>
      <c r="M593" s="33" t="str">
        <f t="shared" ca="1" si="38"/>
        <v/>
      </c>
      <c r="N593" s="34" t="str">
        <f t="shared" si="39"/>
        <v/>
      </c>
      <c r="O593" s="23"/>
      <c r="P593" s="23"/>
    </row>
    <row r="594" spans="1:16" ht="21.75" customHeight="1" x14ac:dyDescent="0.25">
      <c r="A594" s="24"/>
      <c r="B594" s="24"/>
      <c r="C594" s="24"/>
      <c r="D594" s="34" t="str">
        <f>IF(C594="","",IFERROR(VLOOKUP(C594,CRM!$B$8:$O$1007,2,FALSE()),"Revisar ID"))</f>
        <v/>
      </c>
      <c r="E594" s="23"/>
      <c r="F594" s="37" t="str">
        <f t="shared" si="36"/>
        <v/>
      </c>
      <c r="G594" s="28"/>
      <c r="H594" s="29"/>
      <c r="I594" s="28"/>
      <c r="J594" s="29"/>
      <c r="K594" s="28"/>
      <c r="L594" s="32" t="str">
        <f t="shared" si="37"/>
        <v/>
      </c>
      <c r="M594" s="33" t="str">
        <f t="shared" ca="1" si="38"/>
        <v/>
      </c>
      <c r="N594" s="34" t="str">
        <f t="shared" si="39"/>
        <v/>
      </c>
      <c r="O594" s="23"/>
      <c r="P594" s="23"/>
    </row>
    <row r="595" spans="1:16" ht="21.75" customHeight="1" x14ac:dyDescent="0.25">
      <c r="A595" s="24"/>
      <c r="B595" s="24"/>
      <c r="C595" s="24"/>
      <c r="D595" s="34" t="str">
        <f>IF(C595="","",IFERROR(VLOOKUP(C595,CRM!$B$8:$O$1007,2,FALSE()),"Revisar ID"))</f>
        <v/>
      </c>
      <c r="E595" s="23"/>
      <c r="F595" s="37" t="str">
        <f t="shared" si="36"/>
        <v/>
      </c>
      <c r="G595" s="28"/>
      <c r="H595" s="29"/>
      <c r="I595" s="28"/>
      <c r="J595" s="29"/>
      <c r="K595" s="28"/>
      <c r="L595" s="32" t="str">
        <f t="shared" si="37"/>
        <v/>
      </c>
      <c r="M595" s="33" t="str">
        <f t="shared" ca="1" si="38"/>
        <v/>
      </c>
      <c r="N595" s="34" t="str">
        <f t="shared" si="39"/>
        <v/>
      </c>
      <c r="O595" s="23"/>
      <c r="P595" s="23"/>
    </row>
    <row r="596" spans="1:16" ht="21.75" customHeight="1" x14ac:dyDescent="0.25">
      <c r="A596" s="24"/>
      <c r="B596" s="24"/>
      <c r="C596" s="24"/>
      <c r="D596" s="34" t="str">
        <f>IF(C596="","",IFERROR(VLOOKUP(C596,CRM!$B$8:$O$1007,2,FALSE()),"Revisar ID"))</f>
        <v/>
      </c>
      <c r="E596" s="23"/>
      <c r="F596" s="37" t="str">
        <f t="shared" si="36"/>
        <v/>
      </c>
      <c r="G596" s="28"/>
      <c r="H596" s="29"/>
      <c r="I596" s="28"/>
      <c r="J596" s="29"/>
      <c r="K596" s="28"/>
      <c r="L596" s="32" t="str">
        <f t="shared" si="37"/>
        <v/>
      </c>
      <c r="M596" s="33" t="str">
        <f t="shared" ca="1" si="38"/>
        <v/>
      </c>
      <c r="N596" s="34" t="str">
        <f t="shared" si="39"/>
        <v/>
      </c>
      <c r="O596" s="23"/>
      <c r="P596" s="23"/>
    </row>
    <row r="597" spans="1:16" ht="21.75" customHeight="1" x14ac:dyDescent="0.25">
      <c r="A597" s="24"/>
      <c r="B597" s="24"/>
      <c r="C597" s="24"/>
      <c r="D597" s="34" t="str">
        <f>IF(C597="","",IFERROR(VLOOKUP(C597,CRM!$B$8:$O$1007,2,FALSE()),"Revisar ID"))</f>
        <v/>
      </c>
      <c r="E597" s="23"/>
      <c r="F597" s="37" t="str">
        <f t="shared" si="36"/>
        <v/>
      </c>
      <c r="G597" s="28"/>
      <c r="H597" s="29"/>
      <c r="I597" s="28"/>
      <c r="J597" s="29"/>
      <c r="K597" s="28"/>
      <c r="L597" s="32" t="str">
        <f t="shared" si="37"/>
        <v/>
      </c>
      <c r="M597" s="33" t="str">
        <f t="shared" ca="1" si="38"/>
        <v/>
      </c>
      <c r="N597" s="34" t="str">
        <f t="shared" si="39"/>
        <v/>
      </c>
      <c r="O597" s="23"/>
      <c r="P597" s="23"/>
    </row>
    <row r="598" spans="1:16" ht="21.75" customHeight="1" x14ac:dyDescent="0.25">
      <c r="A598" s="24"/>
      <c r="B598" s="24"/>
      <c r="C598" s="24"/>
      <c r="D598" s="34" t="str">
        <f>IF(C598="","",IFERROR(VLOOKUP(C598,CRM!$B$8:$O$1007,2,FALSE()),"Revisar ID"))</f>
        <v/>
      </c>
      <c r="E598" s="23"/>
      <c r="F598" s="37" t="str">
        <f t="shared" si="36"/>
        <v/>
      </c>
      <c r="G598" s="28"/>
      <c r="H598" s="29"/>
      <c r="I598" s="28"/>
      <c r="J598" s="29"/>
      <c r="K598" s="28"/>
      <c r="L598" s="32" t="str">
        <f t="shared" si="37"/>
        <v/>
      </c>
      <c r="M598" s="33" t="str">
        <f t="shared" ca="1" si="38"/>
        <v/>
      </c>
      <c r="N598" s="34" t="str">
        <f t="shared" si="39"/>
        <v/>
      </c>
      <c r="O598" s="23"/>
      <c r="P598" s="23"/>
    </row>
    <row r="599" spans="1:16" ht="21.75" customHeight="1" x14ac:dyDescent="0.25">
      <c r="A599" s="24"/>
      <c r="B599" s="24"/>
      <c r="C599" s="24"/>
      <c r="D599" s="34" t="str">
        <f>IF(C599="","",IFERROR(VLOOKUP(C599,CRM!$B$8:$O$1007,2,FALSE()),"Revisar ID"))</f>
        <v/>
      </c>
      <c r="E599" s="23"/>
      <c r="F599" s="37" t="str">
        <f t="shared" si="36"/>
        <v/>
      </c>
      <c r="G599" s="28"/>
      <c r="H599" s="29"/>
      <c r="I599" s="28"/>
      <c r="J599" s="29"/>
      <c r="K599" s="28"/>
      <c r="L599" s="32" t="str">
        <f t="shared" si="37"/>
        <v/>
      </c>
      <c r="M599" s="33" t="str">
        <f t="shared" ca="1" si="38"/>
        <v/>
      </c>
      <c r="N599" s="34" t="str">
        <f t="shared" si="39"/>
        <v/>
      </c>
      <c r="O599" s="23"/>
      <c r="P599" s="23"/>
    </row>
    <row r="600" spans="1:16" ht="21.75" customHeight="1" x14ac:dyDescent="0.25">
      <c r="A600" s="24"/>
      <c r="B600" s="24"/>
      <c r="C600" s="24"/>
      <c r="D600" s="34" t="str">
        <f>IF(C600="","",IFERROR(VLOOKUP(C600,CRM!$B$8:$O$1007,2,FALSE()),"Revisar ID"))</f>
        <v/>
      </c>
      <c r="E600" s="23"/>
      <c r="F600" s="37" t="str">
        <f t="shared" si="36"/>
        <v/>
      </c>
      <c r="G600" s="28"/>
      <c r="H600" s="29"/>
      <c r="I600" s="28"/>
      <c r="J600" s="29"/>
      <c r="K600" s="28"/>
      <c r="L600" s="32" t="str">
        <f t="shared" si="37"/>
        <v/>
      </c>
      <c r="M600" s="33" t="str">
        <f t="shared" ca="1" si="38"/>
        <v/>
      </c>
      <c r="N600" s="34" t="str">
        <f t="shared" si="39"/>
        <v/>
      </c>
      <c r="O600" s="23"/>
      <c r="P600" s="23"/>
    </row>
    <row r="601" spans="1:16" ht="21.75" customHeight="1" x14ac:dyDescent="0.25">
      <c r="A601" s="24"/>
      <c r="B601" s="24"/>
      <c r="C601" s="24"/>
      <c r="D601" s="34" t="str">
        <f>IF(C601="","",IFERROR(VLOOKUP(C601,CRM!$B$8:$O$1007,2,FALSE()),"Revisar ID"))</f>
        <v/>
      </c>
      <c r="E601" s="23"/>
      <c r="F601" s="37" t="str">
        <f t="shared" si="36"/>
        <v/>
      </c>
      <c r="G601" s="28"/>
      <c r="H601" s="29"/>
      <c r="I601" s="28"/>
      <c r="J601" s="29"/>
      <c r="K601" s="28"/>
      <c r="L601" s="32" t="str">
        <f t="shared" si="37"/>
        <v/>
      </c>
      <c r="M601" s="33" t="str">
        <f t="shared" ca="1" si="38"/>
        <v/>
      </c>
      <c r="N601" s="34" t="str">
        <f t="shared" si="39"/>
        <v/>
      </c>
      <c r="O601" s="23"/>
      <c r="P601" s="23"/>
    </row>
    <row r="602" spans="1:16" ht="21.75" customHeight="1" x14ac:dyDescent="0.25">
      <c r="A602" s="24"/>
      <c r="B602" s="24"/>
      <c r="C602" s="24"/>
      <c r="D602" s="34" t="str">
        <f>IF(C602="","",IFERROR(VLOOKUP(C602,CRM!$B$8:$O$1007,2,FALSE()),"Revisar ID"))</f>
        <v/>
      </c>
      <c r="E602" s="23"/>
      <c r="F602" s="37" t="str">
        <f t="shared" si="36"/>
        <v/>
      </c>
      <c r="G602" s="28"/>
      <c r="H602" s="29"/>
      <c r="I602" s="28"/>
      <c r="J602" s="29"/>
      <c r="K602" s="28"/>
      <c r="L602" s="32" t="str">
        <f t="shared" si="37"/>
        <v/>
      </c>
      <c r="M602" s="33" t="str">
        <f t="shared" ca="1" si="38"/>
        <v/>
      </c>
      <c r="N602" s="34" t="str">
        <f t="shared" si="39"/>
        <v/>
      </c>
      <c r="O602" s="23"/>
      <c r="P602" s="23"/>
    </row>
    <row r="603" spans="1:16" ht="21.75" customHeight="1" x14ac:dyDescent="0.25">
      <c r="A603" s="24"/>
      <c r="B603" s="24"/>
      <c r="C603" s="24"/>
      <c r="D603" s="34" t="str">
        <f>IF(C603="","",IFERROR(VLOOKUP(C603,CRM!$B$8:$O$1007,2,FALSE()),"Revisar ID"))</f>
        <v/>
      </c>
      <c r="E603" s="23"/>
      <c r="F603" s="37" t="str">
        <f t="shared" si="36"/>
        <v/>
      </c>
      <c r="G603" s="28"/>
      <c r="H603" s="29"/>
      <c r="I603" s="28"/>
      <c r="J603" s="29"/>
      <c r="K603" s="28"/>
      <c r="L603" s="32" t="str">
        <f t="shared" si="37"/>
        <v/>
      </c>
      <c r="M603" s="33" t="str">
        <f t="shared" ca="1" si="38"/>
        <v/>
      </c>
      <c r="N603" s="34" t="str">
        <f t="shared" si="39"/>
        <v/>
      </c>
      <c r="O603" s="23"/>
      <c r="P603" s="23"/>
    </row>
    <row r="604" spans="1:16" ht="21.75" customHeight="1" x14ac:dyDescent="0.25">
      <c r="A604" s="24"/>
      <c r="B604" s="24"/>
      <c r="C604" s="24"/>
      <c r="D604" s="34" t="str">
        <f>IF(C604="","",IFERROR(VLOOKUP(C604,CRM!$B$8:$O$1007,2,FALSE()),"Revisar ID"))</f>
        <v/>
      </c>
      <c r="E604" s="23"/>
      <c r="F604" s="37" t="str">
        <f t="shared" si="36"/>
        <v/>
      </c>
      <c r="G604" s="28"/>
      <c r="H604" s="29"/>
      <c r="I604" s="28"/>
      <c r="J604" s="29"/>
      <c r="K604" s="28"/>
      <c r="L604" s="32" t="str">
        <f t="shared" si="37"/>
        <v/>
      </c>
      <c r="M604" s="33" t="str">
        <f t="shared" ca="1" si="38"/>
        <v/>
      </c>
      <c r="N604" s="34" t="str">
        <f t="shared" si="39"/>
        <v/>
      </c>
      <c r="O604" s="23"/>
      <c r="P604" s="23"/>
    </row>
    <row r="605" spans="1:16" ht="21.75" customHeight="1" x14ac:dyDescent="0.25">
      <c r="A605" s="24"/>
      <c r="B605" s="24"/>
      <c r="C605" s="24"/>
      <c r="D605" s="34" t="str">
        <f>IF(C605="","",IFERROR(VLOOKUP(C605,CRM!$B$8:$O$1007,2,FALSE()),"Revisar ID"))</f>
        <v/>
      </c>
      <c r="E605" s="23"/>
      <c r="F605" s="37" t="str">
        <f t="shared" si="36"/>
        <v/>
      </c>
      <c r="G605" s="28"/>
      <c r="H605" s="29"/>
      <c r="I605" s="28"/>
      <c r="J605" s="29"/>
      <c r="K605" s="28"/>
      <c r="L605" s="32" t="str">
        <f t="shared" si="37"/>
        <v/>
      </c>
      <c r="M605" s="33" t="str">
        <f t="shared" ca="1" si="38"/>
        <v/>
      </c>
      <c r="N605" s="34" t="str">
        <f t="shared" si="39"/>
        <v/>
      </c>
      <c r="O605" s="23"/>
      <c r="P605" s="23"/>
    </row>
    <row r="606" spans="1:16" ht="21.75" customHeight="1" x14ac:dyDescent="0.25">
      <c r="A606" s="24"/>
      <c r="B606" s="24"/>
      <c r="C606" s="24"/>
      <c r="D606" s="34" t="str">
        <f>IF(C606="","",IFERROR(VLOOKUP(C606,CRM!$B$8:$O$1007,2,FALSE()),"Revisar ID"))</f>
        <v/>
      </c>
      <c r="E606" s="23"/>
      <c r="F606" s="37" t="str">
        <f t="shared" si="36"/>
        <v/>
      </c>
      <c r="G606" s="28"/>
      <c r="H606" s="29"/>
      <c r="I606" s="28"/>
      <c r="J606" s="29"/>
      <c r="K606" s="28"/>
      <c r="L606" s="32" t="str">
        <f t="shared" si="37"/>
        <v/>
      </c>
      <c r="M606" s="33" t="str">
        <f t="shared" ca="1" si="38"/>
        <v/>
      </c>
      <c r="N606" s="34" t="str">
        <f t="shared" si="39"/>
        <v/>
      </c>
      <c r="O606" s="23"/>
      <c r="P606" s="23"/>
    </row>
    <row r="607" spans="1:16" ht="21.75" customHeight="1" x14ac:dyDescent="0.25">
      <c r="A607" s="24"/>
      <c r="B607" s="24"/>
      <c r="C607" s="24"/>
      <c r="D607" s="34" t="str">
        <f>IF(C607="","",IFERROR(VLOOKUP(C607,CRM!$B$8:$O$1007,2,FALSE()),"Revisar ID"))</f>
        <v/>
      </c>
      <c r="E607" s="23"/>
      <c r="F607" s="37" t="str">
        <f t="shared" si="36"/>
        <v/>
      </c>
      <c r="G607" s="28"/>
      <c r="H607" s="29"/>
      <c r="I607" s="28"/>
      <c r="J607" s="29"/>
      <c r="K607" s="28"/>
      <c r="L607" s="32" t="str">
        <f t="shared" si="37"/>
        <v/>
      </c>
      <c r="M607" s="33" t="str">
        <f t="shared" ca="1" si="38"/>
        <v/>
      </c>
      <c r="N607" s="34" t="str">
        <f t="shared" si="39"/>
        <v/>
      </c>
      <c r="O607" s="23"/>
      <c r="P607" s="23"/>
    </row>
    <row r="608" spans="1:16" ht="21.75" customHeight="1" x14ac:dyDescent="0.25">
      <c r="A608" s="24"/>
      <c r="B608" s="24"/>
      <c r="C608" s="24"/>
      <c r="D608" s="34" t="str">
        <f>IF(C608="","",IFERROR(VLOOKUP(C608,CRM!$B$8:$O$1007,2,FALSE()),"Revisar ID"))</f>
        <v/>
      </c>
      <c r="E608" s="23"/>
      <c r="F608" s="37" t="str">
        <f t="shared" si="36"/>
        <v/>
      </c>
      <c r="G608" s="28"/>
      <c r="H608" s="29"/>
      <c r="I608" s="28"/>
      <c r="J608" s="29"/>
      <c r="K608" s="28"/>
      <c r="L608" s="32" t="str">
        <f t="shared" si="37"/>
        <v/>
      </c>
      <c r="M608" s="33" t="str">
        <f t="shared" ca="1" si="38"/>
        <v/>
      </c>
      <c r="N608" s="34" t="str">
        <f t="shared" si="39"/>
        <v/>
      </c>
      <c r="O608" s="23"/>
      <c r="P608" s="23"/>
    </row>
    <row r="609" spans="1:16" ht="21.75" customHeight="1" x14ac:dyDescent="0.25">
      <c r="A609" s="24"/>
      <c r="B609" s="24"/>
      <c r="C609" s="24"/>
      <c r="D609" s="34" t="str">
        <f>IF(C609="","",IFERROR(VLOOKUP(C609,CRM!$B$8:$O$1007,2,FALSE()),"Revisar ID"))</f>
        <v/>
      </c>
      <c r="E609" s="23"/>
      <c r="F609" s="37" t="str">
        <f t="shared" si="36"/>
        <v/>
      </c>
      <c r="G609" s="28"/>
      <c r="H609" s="29"/>
      <c r="I609" s="28"/>
      <c r="J609" s="29"/>
      <c r="K609" s="28"/>
      <c r="L609" s="32" t="str">
        <f t="shared" si="37"/>
        <v/>
      </c>
      <c r="M609" s="33" t="str">
        <f t="shared" ca="1" si="38"/>
        <v/>
      </c>
      <c r="N609" s="34" t="str">
        <f t="shared" si="39"/>
        <v/>
      </c>
      <c r="O609" s="23"/>
      <c r="P609" s="23"/>
    </row>
    <row r="610" spans="1:16" ht="21.75" customHeight="1" x14ac:dyDescent="0.25">
      <c r="A610" s="24"/>
      <c r="B610" s="24"/>
      <c r="C610" s="24"/>
      <c r="D610" s="34" t="str">
        <f>IF(C610="","",IFERROR(VLOOKUP(C610,CRM!$B$8:$O$1007,2,FALSE()),"Revisar ID"))</f>
        <v/>
      </c>
      <c r="E610" s="23"/>
      <c r="F610" s="37" t="str">
        <f t="shared" si="36"/>
        <v/>
      </c>
      <c r="G610" s="28"/>
      <c r="H610" s="29"/>
      <c r="I610" s="28"/>
      <c r="J610" s="29"/>
      <c r="K610" s="28"/>
      <c r="L610" s="32" t="str">
        <f t="shared" si="37"/>
        <v/>
      </c>
      <c r="M610" s="33" t="str">
        <f t="shared" ca="1" si="38"/>
        <v/>
      </c>
      <c r="N610" s="34" t="str">
        <f t="shared" si="39"/>
        <v/>
      </c>
      <c r="O610" s="23"/>
      <c r="P610" s="23"/>
    </row>
    <row r="611" spans="1:16" ht="21.75" customHeight="1" x14ac:dyDescent="0.25">
      <c r="A611" s="24"/>
      <c r="B611" s="24"/>
      <c r="C611" s="24"/>
      <c r="D611" s="34" t="str">
        <f>IF(C611="","",IFERROR(VLOOKUP(C611,CRM!$B$8:$O$1007,2,FALSE()),"Revisar ID"))</f>
        <v/>
      </c>
      <c r="E611" s="23"/>
      <c r="F611" s="37" t="str">
        <f t="shared" si="36"/>
        <v/>
      </c>
      <c r="G611" s="28"/>
      <c r="H611" s="29"/>
      <c r="I611" s="28"/>
      <c r="J611" s="29"/>
      <c r="K611" s="28"/>
      <c r="L611" s="32" t="str">
        <f t="shared" si="37"/>
        <v/>
      </c>
      <c r="M611" s="33" t="str">
        <f t="shared" ca="1" si="38"/>
        <v/>
      </c>
      <c r="N611" s="34" t="str">
        <f t="shared" si="39"/>
        <v/>
      </c>
      <c r="O611" s="23"/>
      <c r="P611" s="23"/>
    </row>
    <row r="612" spans="1:16" ht="21.75" customHeight="1" x14ac:dyDescent="0.25">
      <c r="A612" s="24"/>
      <c r="B612" s="24"/>
      <c r="C612" s="24"/>
      <c r="D612" s="34" t="str">
        <f>IF(C612="","",IFERROR(VLOOKUP(C612,CRM!$B$8:$O$1007,2,FALSE()),"Revisar ID"))</f>
        <v/>
      </c>
      <c r="E612" s="23"/>
      <c r="F612" s="37" t="str">
        <f t="shared" si="36"/>
        <v/>
      </c>
      <c r="G612" s="28"/>
      <c r="H612" s="29"/>
      <c r="I612" s="28"/>
      <c r="J612" s="29"/>
      <c r="K612" s="28"/>
      <c r="L612" s="32" t="str">
        <f t="shared" si="37"/>
        <v/>
      </c>
      <c r="M612" s="33" t="str">
        <f t="shared" ca="1" si="38"/>
        <v/>
      </c>
      <c r="N612" s="34" t="str">
        <f t="shared" si="39"/>
        <v/>
      </c>
      <c r="O612" s="23"/>
      <c r="P612" s="23"/>
    </row>
    <row r="613" spans="1:16" ht="21.75" customHeight="1" x14ac:dyDescent="0.25">
      <c r="A613" s="24"/>
      <c r="B613" s="24"/>
      <c r="C613" s="24"/>
      <c r="D613" s="34" t="str">
        <f>IF(C613="","",IFERROR(VLOOKUP(C613,CRM!$B$8:$O$1007,2,FALSE()),"Revisar ID"))</f>
        <v/>
      </c>
      <c r="E613" s="23"/>
      <c r="F613" s="37" t="str">
        <f t="shared" si="36"/>
        <v/>
      </c>
      <c r="G613" s="28"/>
      <c r="H613" s="29"/>
      <c r="I613" s="28"/>
      <c r="J613" s="29"/>
      <c r="K613" s="28"/>
      <c r="L613" s="32" t="str">
        <f t="shared" si="37"/>
        <v/>
      </c>
      <c r="M613" s="33" t="str">
        <f t="shared" ca="1" si="38"/>
        <v/>
      </c>
      <c r="N613" s="34" t="str">
        <f t="shared" si="39"/>
        <v/>
      </c>
      <c r="O613" s="23"/>
      <c r="P613" s="23"/>
    </row>
    <row r="614" spans="1:16" ht="21.75" customHeight="1" x14ac:dyDescent="0.25">
      <c r="A614" s="24"/>
      <c r="B614" s="24"/>
      <c r="C614" s="24"/>
      <c r="D614" s="34" t="str">
        <f>IF(C614="","",IFERROR(VLOOKUP(C614,CRM!$B$8:$O$1007,2,FALSE()),"Revisar ID"))</f>
        <v/>
      </c>
      <c r="E614" s="23"/>
      <c r="F614" s="37" t="str">
        <f t="shared" si="36"/>
        <v/>
      </c>
      <c r="G614" s="28"/>
      <c r="H614" s="29"/>
      <c r="I614" s="28"/>
      <c r="J614" s="29"/>
      <c r="K614" s="28"/>
      <c r="L614" s="32" t="str">
        <f t="shared" si="37"/>
        <v/>
      </c>
      <c r="M614" s="33" t="str">
        <f t="shared" ca="1" si="38"/>
        <v/>
      </c>
      <c r="N614" s="34" t="str">
        <f t="shared" si="39"/>
        <v/>
      </c>
      <c r="O614" s="23"/>
      <c r="P614" s="23"/>
    </row>
    <row r="615" spans="1:16" ht="21.75" customHeight="1" x14ac:dyDescent="0.25">
      <c r="A615" s="24"/>
      <c r="B615" s="24"/>
      <c r="C615" s="24"/>
      <c r="D615" s="34" t="str">
        <f>IF(C615="","",IFERROR(VLOOKUP(C615,CRM!$B$8:$O$1007,2,FALSE()),"Revisar ID"))</f>
        <v/>
      </c>
      <c r="E615" s="23"/>
      <c r="F615" s="37" t="str">
        <f t="shared" si="36"/>
        <v/>
      </c>
      <c r="G615" s="28"/>
      <c r="H615" s="29"/>
      <c r="I615" s="28"/>
      <c r="J615" s="29"/>
      <c r="K615" s="28"/>
      <c r="L615" s="32" t="str">
        <f t="shared" si="37"/>
        <v/>
      </c>
      <c r="M615" s="33" t="str">
        <f t="shared" ca="1" si="38"/>
        <v/>
      </c>
      <c r="N615" s="34" t="str">
        <f t="shared" si="39"/>
        <v/>
      </c>
      <c r="O615" s="23"/>
      <c r="P615" s="23"/>
    </row>
    <row r="616" spans="1:16" ht="21.75" customHeight="1" x14ac:dyDescent="0.25">
      <c r="A616" s="24"/>
      <c r="B616" s="24"/>
      <c r="C616" s="24"/>
      <c r="D616" s="34" t="str">
        <f>IF(C616="","",IFERROR(VLOOKUP(C616,CRM!$B$8:$O$1007,2,FALSE()),"Revisar ID"))</f>
        <v/>
      </c>
      <c r="E616" s="23"/>
      <c r="F616" s="37" t="str">
        <f t="shared" si="36"/>
        <v/>
      </c>
      <c r="G616" s="28"/>
      <c r="H616" s="29"/>
      <c r="I616" s="28"/>
      <c r="J616" s="29"/>
      <c r="K616" s="28"/>
      <c r="L616" s="32" t="str">
        <f t="shared" si="37"/>
        <v/>
      </c>
      <c r="M616" s="33" t="str">
        <f t="shared" ca="1" si="38"/>
        <v/>
      </c>
      <c r="N616" s="34" t="str">
        <f t="shared" si="39"/>
        <v/>
      </c>
      <c r="O616" s="23"/>
      <c r="P616" s="23"/>
    </row>
    <row r="617" spans="1:16" ht="21.75" customHeight="1" x14ac:dyDescent="0.25">
      <c r="A617" s="24"/>
      <c r="B617" s="24"/>
      <c r="C617" s="24"/>
      <c r="D617" s="34" t="str">
        <f>IF(C617="","",IFERROR(VLOOKUP(C617,CRM!$B$8:$O$1007,2,FALSE()),"Revisar ID"))</f>
        <v/>
      </c>
      <c r="E617" s="23"/>
      <c r="F617" s="37" t="str">
        <f t="shared" si="36"/>
        <v/>
      </c>
      <c r="G617" s="28"/>
      <c r="H617" s="29"/>
      <c r="I617" s="28"/>
      <c r="J617" s="29"/>
      <c r="K617" s="28"/>
      <c r="L617" s="32" t="str">
        <f t="shared" si="37"/>
        <v/>
      </c>
      <c r="M617" s="33" t="str">
        <f t="shared" ca="1" si="38"/>
        <v/>
      </c>
      <c r="N617" s="34" t="str">
        <f t="shared" si="39"/>
        <v/>
      </c>
      <c r="O617" s="23"/>
      <c r="P617" s="23"/>
    </row>
    <row r="618" spans="1:16" ht="21.75" customHeight="1" x14ac:dyDescent="0.25">
      <c r="A618" s="24"/>
      <c r="B618" s="24"/>
      <c r="C618" s="24"/>
      <c r="D618" s="34" t="str">
        <f>IF(C618="","",IFERROR(VLOOKUP(C618,CRM!$B$8:$O$1007,2,FALSE()),"Revisar ID"))</f>
        <v/>
      </c>
      <c r="E618" s="23"/>
      <c r="F618" s="37" t="str">
        <f t="shared" si="36"/>
        <v/>
      </c>
      <c r="G618" s="28"/>
      <c r="H618" s="29"/>
      <c r="I618" s="28"/>
      <c r="J618" s="29"/>
      <c r="K618" s="28"/>
      <c r="L618" s="32" t="str">
        <f t="shared" si="37"/>
        <v/>
      </c>
      <c r="M618" s="33" t="str">
        <f t="shared" ca="1" si="38"/>
        <v/>
      </c>
      <c r="N618" s="34" t="str">
        <f t="shared" si="39"/>
        <v/>
      </c>
      <c r="O618" s="23"/>
      <c r="P618" s="23"/>
    </row>
    <row r="619" spans="1:16" ht="21.75" customHeight="1" x14ac:dyDescent="0.25">
      <c r="A619" s="24"/>
      <c r="B619" s="24"/>
      <c r="C619" s="24"/>
      <c r="D619" s="34" t="str">
        <f>IF(C619="","",IFERROR(VLOOKUP(C619,CRM!$B$8:$O$1007,2,FALSE()),"Revisar ID"))</f>
        <v/>
      </c>
      <c r="E619" s="23"/>
      <c r="F619" s="37" t="str">
        <f t="shared" si="36"/>
        <v/>
      </c>
      <c r="G619" s="28"/>
      <c r="H619" s="29"/>
      <c r="I619" s="28"/>
      <c r="J619" s="29"/>
      <c r="K619" s="28"/>
      <c r="L619" s="32" t="str">
        <f t="shared" si="37"/>
        <v/>
      </c>
      <c r="M619" s="33" t="str">
        <f t="shared" ca="1" si="38"/>
        <v/>
      </c>
      <c r="N619" s="34" t="str">
        <f t="shared" si="39"/>
        <v/>
      </c>
      <c r="O619" s="23"/>
      <c r="P619" s="23"/>
    </row>
    <row r="620" spans="1:16" ht="21.75" customHeight="1" x14ac:dyDescent="0.25">
      <c r="A620" s="24"/>
      <c r="B620" s="24"/>
      <c r="C620" s="24"/>
      <c r="D620" s="34" t="str">
        <f>IF(C620="","",IFERROR(VLOOKUP(C620,CRM!$B$8:$O$1007,2,FALSE()),"Revisar ID"))</f>
        <v/>
      </c>
      <c r="E620" s="23"/>
      <c r="F620" s="37" t="str">
        <f t="shared" si="36"/>
        <v/>
      </c>
      <c r="G620" s="28"/>
      <c r="H620" s="29"/>
      <c r="I620" s="28"/>
      <c r="J620" s="29"/>
      <c r="K620" s="28"/>
      <c r="L620" s="32" t="str">
        <f t="shared" si="37"/>
        <v/>
      </c>
      <c r="M620" s="33" t="str">
        <f t="shared" ca="1" si="38"/>
        <v/>
      </c>
      <c r="N620" s="34" t="str">
        <f t="shared" si="39"/>
        <v/>
      </c>
      <c r="O620" s="23"/>
      <c r="P620" s="23"/>
    </row>
    <row r="621" spans="1:16" ht="21.75" customHeight="1" x14ac:dyDescent="0.25">
      <c r="A621" s="24"/>
      <c r="B621" s="24"/>
      <c r="C621" s="24"/>
      <c r="D621" s="34" t="str">
        <f>IF(C621="","",IFERROR(VLOOKUP(C621,CRM!$B$8:$O$1007,2,FALSE()),"Revisar ID"))</f>
        <v/>
      </c>
      <c r="E621" s="23"/>
      <c r="F621" s="37" t="str">
        <f t="shared" si="36"/>
        <v/>
      </c>
      <c r="G621" s="28"/>
      <c r="H621" s="29"/>
      <c r="I621" s="28"/>
      <c r="J621" s="29"/>
      <c r="K621" s="28"/>
      <c r="L621" s="32" t="str">
        <f t="shared" si="37"/>
        <v/>
      </c>
      <c r="M621" s="33" t="str">
        <f t="shared" ca="1" si="38"/>
        <v/>
      </c>
      <c r="N621" s="34" t="str">
        <f t="shared" si="39"/>
        <v/>
      </c>
      <c r="O621" s="23"/>
      <c r="P621" s="23"/>
    </row>
    <row r="622" spans="1:16" ht="21.75" customHeight="1" x14ac:dyDescent="0.25">
      <c r="A622" s="24"/>
      <c r="B622" s="24"/>
      <c r="C622" s="24"/>
      <c r="D622" s="34" t="str">
        <f>IF(C622="","",IFERROR(VLOOKUP(C622,CRM!$B$8:$O$1007,2,FALSE()),"Revisar ID"))</f>
        <v/>
      </c>
      <c r="E622" s="23"/>
      <c r="F622" s="37" t="str">
        <f t="shared" si="36"/>
        <v/>
      </c>
      <c r="G622" s="28"/>
      <c r="H622" s="29"/>
      <c r="I622" s="28"/>
      <c r="J622" s="29"/>
      <c r="K622" s="28"/>
      <c r="L622" s="32" t="str">
        <f t="shared" si="37"/>
        <v/>
      </c>
      <c r="M622" s="33" t="str">
        <f t="shared" ca="1" si="38"/>
        <v/>
      </c>
      <c r="N622" s="34" t="str">
        <f t="shared" si="39"/>
        <v/>
      </c>
      <c r="O622" s="23"/>
      <c r="P622" s="23"/>
    </row>
    <row r="623" spans="1:16" ht="21.75" customHeight="1" x14ac:dyDescent="0.25">
      <c r="A623" s="24"/>
      <c r="B623" s="24"/>
      <c r="C623" s="24"/>
      <c r="D623" s="34" t="str">
        <f>IF(C623="","",IFERROR(VLOOKUP(C623,CRM!$B$8:$O$1007,2,FALSE()),"Revisar ID"))</f>
        <v/>
      </c>
      <c r="E623" s="23"/>
      <c r="F623" s="37" t="str">
        <f t="shared" si="36"/>
        <v/>
      </c>
      <c r="G623" s="28"/>
      <c r="H623" s="29"/>
      <c r="I623" s="28"/>
      <c r="J623" s="29"/>
      <c r="K623" s="28"/>
      <c r="L623" s="32" t="str">
        <f t="shared" si="37"/>
        <v/>
      </c>
      <c r="M623" s="33" t="str">
        <f t="shared" ca="1" si="38"/>
        <v/>
      </c>
      <c r="N623" s="34" t="str">
        <f t="shared" si="39"/>
        <v/>
      </c>
      <c r="O623" s="23"/>
      <c r="P623" s="23"/>
    </row>
    <row r="624" spans="1:16" ht="21.75" customHeight="1" x14ac:dyDescent="0.25">
      <c r="A624" s="24"/>
      <c r="B624" s="24"/>
      <c r="C624" s="24"/>
      <c r="D624" s="34" t="str">
        <f>IF(C624="","",IFERROR(VLOOKUP(C624,CRM!$B$8:$O$1007,2,FALSE()),"Revisar ID"))</f>
        <v/>
      </c>
      <c r="E624" s="23"/>
      <c r="F624" s="37" t="str">
        <f t="shared" si="36"/>
        <v/>
      </c>
      <c r="G624" s="28"/>
      <c r="H624" s="29"/>
      <c r="I624" s="28"/>
      <c r="J624" s="29"/>
      <c r="K624" s="28"/>
      <c r="L624" s="32" t="str">
        <f t="shared" si="37"/>
        <v/>
      </c>
      <c r="M624" s="33" t="str">
        <f t="shared" ca="1" si="38"/>
        <v/>
      </c>
      <c r="N624" s="34" t="str">
        <f t="shared" si="39"/>
        <v/>
      </c>
      <c r="O624" s="23"/>
      <c r="P624" s="23"/>
    </row>
    <row r="625" spans="1:16" ht="21.75" customHeight="1" x14ac:dyDescent="0.25">
      <c r="A625" s="24"/>
      <c r="B625" s="24"/>
      <c r="C625" s="24"/>
      <c r="D625" s="34" t="str">
        <f>IF(C625="","",IFERROR(VLOOKUP(C625,CRM!$B$8:$O$1007,2,FALSE()),"Revisar ID"))</f>
        <v/>
      </c>
      <c r="E625" s="23"/>
      <c r="F625" s="37" t="str">
        <f t="shared" si="36"/>
        <v/>
      </c>
      <c r="G625" s="28"/>
      <c r="H625" s="29"/>
      <c r="I625" s="28"/>
      <c r="J625" s="29"/>
      <c r="K625" s="28"/>
      <c r="L625" s="32" t="str">
        <f t="shared" si="37"/>
        <v/>
      </c>
      <c r="M625" s="33" t="str">
        <f t="shared" ca="1" si="38"/>
        <v/>
      </c>
      <c r="N625" s="34" t="str">
        <f t="shared" si="39"/>
        <v/>
      </c>
      <c r="O625" s="23"/>
      <c r="P625" s="23"/>
    </row>
    <row r="626" spans="1:16" ht="21.75" customHeight="1" x14ac:dyDescent="0.25">
      <c r="A626" s="24"/>
      <c r="B626" s="24"/>
      <c r="C626" s="24"/>
      <c r="D626" s="34" t="str">
        <f>IF(C626="","",IFERROR(VLOOKUP(C626,CRM!$B$8:$O$1007,2,FALSE()),"Revisar ID"))</f>
        <v/>
      </c>
      <c r="E626" s="23"/>
      <c r="F626" s="37" t="str">
        <f t="shared" si="36"/>
        <v/>
      </c>
      <c r="G626" s="28"/>
      <c r="H626" s="29"/>
      <c r="I626" s="28"/>
      <c r="J626" s="29"/>
      <c r="K626" s="28"/>
      <c r="L626" s="32" t="str">
        <f t="shared" si="37"/>
        <v/>
      </c>
      <c r="M626" s="33" t="str">
        <f t="shared" ca="1" si="38"/>
        <v/>
      </c>
      <c r="N626" s="34" t="str">
        <f t="shared" si="39"/>
        <v/>
      </c>
      <c r="O626" s="23"/>
      <c r="P626" s="23"/>
    </row>
    <row r="627" spans="1:16" ht="21.75" customHeight="1" x14ac:dyDescent="0.25">
      <c r="A627" s="24"/>
      <c r="B627" s="24"/>
      <c r="C627" s="24"/>
      <c r="D627" s="34" t="str">
        <f>IF(C627="","",IFERROR(VLOOKUP(C627,CRM!$B$8:$O$1007,2,FALSE()),"Revisar ID"))</f>
        <v/>
      </c>
      <c r="E627" s="23"/>
      <c r="F627" s="37" t="str">
        <f t="shared" si="36"/>
        <v/>
      </c>
      <c r="G627" s="28"/>
      <c r="H627" s="29"/>
      <c r="I627" s="28"/>
      <c r="J627" s="29"/>
      <c r="K627" s="28"/>
      <c r="L627" s="32" t="str">
        <f t="shared" si="37"/>
        <v/>
      </c>
      <c r="M627" s="33" t="str">
        <f t="shared" ca="1" si="38"/>
        <v/>
      </c>
      <c r="N627" s="34" t="str">
        <f t="shared" si="39"/>
        <v/>
      </c>
      <c r="O627" s="23"/>
      <c r="P627" s="23"/>
    </row>
    <row r="628" spans="1:16" ht="21.75" customHeight="1" x14ac:dyDescent="0.25">
      <c r="A628" s="24"/>
      <c r="B628" s="24"/>
      <c r="C628" s="24"/>
      <c r="D628" s="34" t="str">
        <f>IF(C628="","",IFERROR(VLOOKUP(C628,CRM!$B$8:$O$1007,2,FALSE()),"Revisar ID"))</f>
        <v/>
      </c>
      <c r="E628" s="23"/>
      <c r="F628" s="37" t="str">
        <f t="shared" si="36"/>
        <v/>
      </c>
      <c r="G628" s="28"/>
      <c r="H628" s="29"/>
      <c r="I628" s="28"/>
      <c r="J628" s="29"/>
      <c r="K628" s="28"/>
      <c r="L628" s="32" t="str">
        <f t="shared" si="37"/>
        <v/>
      </c>
      <c r="M628" s="33" t="str">
        <f t="shared" ca="1" si="38"/>
        <v/>
      </c>
      <c r="N628" s="34" t="str">
        <f t="shared" si="39"/>
        <v/>
      </c>
      <c r="O628" s="23"/>
      <c r="P628" s="23"/>
    </row>
    <row r="629" spans="1:16" ht="21.75" customHeight="1" x14ac:dyDescent="0.25">
      <c r="A629" s="24"/>
      <c r="B629" s="24"/>
      <c r="C629" s="24"/>
      <c r="D629" s="34" t="str">
        <f>IF(C629="","",IFERROR(VLOOKUP(C629,CRM!$B$8:$O$1007,2,FALSE()),"Revisar ID"))</f>
        <v/>
      </c>
      <c r="E629" s="23"/>
      <c r="F629" s="37" t="str">
        <f t="shared" si="36"/>
        <v/>
      </c>
      <c r="G629" s="28"/>
      <c r="H629" s="29"/>
      <c r="I629" s="28"/>
      <c r="J629" s="29"/>
      <c r="K629" s="28"/>
      <c r="L629" s="32" t="str">
        <f t="shared" si="37"/>
        <v/>
      </c>
      <c r="M629" s="33" t="str">
        <f t="shared" ca="1" si="38"/>
        <v/>
      </c>
      <c r="N629" s="34" t="str">
        <f t="shared" si="39"/>
        <v/>
      </c>
      <c r="O629" s="23"/>
      <c r="P629" s="23"/>
    </row>
    <row r="630" spans="1:16" ht="21.75" customHeight="1" x14ac:dyDescent="0.25">
      <c r="A630" s="24"/>
      <c r="B630" s="24"/>
      <c r="C630" s="24"/>
      <c r="D630" s="34" t="str">
        <f>IF(C630="","",IFERROR(VLOOKUP(C630,CRM!$B$8:$O$1007,2,FALSE()),"Revisar ID"))</f>
        <v/>
      </c>
      <c r="E630" s="23"/>
      <c r="F630" s="37" t="str">
        <f t="shared" si="36"/>
        <v/>
      </c>
      <c r="G630" s="28"/>
      <c r="H630" s="29"/>
      <c r="I630" s="28"/>
      <c r="J630" s="29"/>
      <c r="K630" s="28"/>
      <c r="L630" s="32" t="str">
        <f t="shared" si="37"/>
        <v/>
      </c>
      <c r="M630" s="33" t="str">
        <f t="shared" ca="1" si="38"/>
        <v/>
      </c>
      <c r="N630" s="34" t="str">
        <f t="shared" si="39"/>
        <v/>
      </c>
      <c r="O630" s="23"/>
      <c r="P630" s="23"/>
    </row>
    <row r="631" spans="1:16" ht="21.75" customHeight="1" x14ac:dyDescent="0.25">
      <c r="A631" s="24"/>
      <c r="B631" s="24"/>
      <c r="C631" s="24"/>
      <c r="D631" s="34" t="str">
        <f>IF(C631="","",IFERROR(VLOOKUP(C631,CRM!$B$8:$O$1007,2,FALSE()),"Revisar ID"))</f>
        <v/>
      </c>
      <c r="E631" s="23"/>
      <c r="F631" s="37" t="str">
        <f t="shared" si="36"/>
        <v/>
      </c>
      <c r="G631" s="28"/>
      <c r="H631" s="29"/>
      <c r="I631" s="28"/>
      <c r="J631" s="29"/>
      <c r="K631" s="28"/>
      <c r="L631" s="32" t="str">
        <f t="shared" si="37"/>
        <v/>
      </c>
      <c r="M631" s="33" t="str">
        <f t="shared" ca="1" si="38"/>
        <v/>
      </c>
      <c r="N631" s="34" t="str">
        <f t="shared" si="39"/>
        <v/>
      </c>
      <c r="O631" s="23"/>
      <c r="P631" s="23"/>
    </row>
    <row r="632" spans="1:16" ht="21.75" customHeight="1" x14ac:dyDescent="0.25">
      <c r="A632" s="24"/>
      <c r="B632" s="24"/>
      <c r="C632" s="24"/>
      <c r="D632" s="34" t="str">
        <f>IF(C632="","",IFERROR(VLOOKUP(C632,CRM!$B$8:$O$1007,2,FALSE()),"Revisar ID"))</f>
        <v/>
      </c>
      <c r="E632" s="23"/>
      <c r="F632" s="37" t="str">
        <f t="shared" si="36"/>
        <v/>
      </c>
      <c r="G632" s="28"/>
      <c r="H632" s="29"/>
      <c r="I632" s="28"/>
      <c r="J632" s="29"/>
      <c r="K632" s="28"/>
      <c r="L632" s="32" t="str">
        <f t="shared" si="37"/>
        <v/>
      </c>
      <c r="M632" s="33" t="str">
        <f t="shared" ca="1" si="38"/>
        <v/>
      </c>
      <c r="N632" s="34" t="str">
        <f t="shared" si="39"/>
        <v/>
      </c>
      <c r="O632" s="23"/>
      <c r="P632" s="23"/>
    </row>
    <row r="633" spans="1:16" ht="21.75" customHeight="1" x14ac:dyDescent="0.25">
      <c r="A633" s="24"/>
      <c r="B633" s="24"/>
      <c r="C633" s="24"/>
      <c r="D633" s="34" t="str">
        <f>IF(C633="","",IFERROR(VLOOKUP(C633,CRM!$B$8:$O$1007,2,FALSE()),"Revisar ID"))</f>
        <v/>
      </c>
      <c r="E633" s="23"/>
      <c r="F633" s="37" t="str">
        <f t="shared" si="36"/>
        <v/>
      </c>
      <c r="G633" s="28"/>
      <c r="H633" s="29"/>
      <c r="I633" s="28"/>
      <c r="J633" s="29"/>
      <c r="K633" s="28"/>
      <c r="L633" s="32" t="str">
        <f t="shared" si="37"/>
        <v/>
      </c>
      <c r="M633" s="33" t="str">
        <f t="shared" ca="1" si="38"/>
        <v/>
      </c>
      <c r="N633" s="34" t="str">
        <f t="shared" si="39"/>
        <v/>
      </c>
      <c r="O633" s="23"/>
      <c r="P633" s="23"/>
    </row>
    <row r="634" spans="1:16" ht="21.75" customHeight="1" x14ac:dyDescent="0.25">
      <c r="A634" s="24"/>
      <c r="B634" s="24"/>
      <c r="C634" s="24"/>
      <c r="D634" s="34" t="str">
        <f>IF(C634="","",IFERROR(VLOOKUP(C634,CRM!$B$8:$O$1007,2,FALSE()),"Revisar ID"))</f>
        <v/>
      </c>
      <c r="E634" s="23"/>
      <c r="F634" s="37" t="str">
        <f t="shared" si="36"/>
        <v/>
      </c>
      <c r="G634" s="28"/>
      <c r="H634" s="29"/>
      <c r="I634" s="28"/>
      <c r="J634" s="29"/>
      <c r="K634" s="28"/>
      <c r="L634" s="32" t="str">
        <f t="shared" si="37"/>
        <v/>
      </c>
      <c r="M634" s="33" t="str">
        <f t="shared" ca="1" si="38"/>
        <v/>
      </c>
      <c r="N634" s="34" t="str">
        <f t="shared" si="39"/>
        <v/>
      </c>
      <c r="O634" s="23"/>
      <c r="P634" s="23"/>
    </row>
    <row r="635" spans="1:16" ht="21.75" customHeight="1" x14ac:dyDescent="0.25">
      <c r="A635" s="24"/>
      <c r="B635" s="24"/>
      <c r="C635" s="24"/>
      <c r="D635" s="34" t="str">
        <f>IF(C635="","",IFERROR(VLOOKUP(C635,CRM!$B$8:$O$1007,2,FALSE()),"Revisar ID"))</f>
        <v/>
      </c>
      <c r="E635" s="23"/>
      <c r="F635" s="37" t="str">
        <f t="shared" si="36"/>
        <v/>
      </c>
      <c r="G635" s="28"/>
      <c r="H635" s="29"/>
      <c r="I635" s="28"/>
      <c r="J635" s="29"/>
      <c r="K635" s="28"/>
      <c r="L635" s="32" t="str">
        <f t="shared" si="37"/>
        <v/>
      </c>
      <c r="M635" s="33" t="str">
        <f t="shared" ca="1" si="38"/>
        <v/>
      </c>
      <c r="N635" s="34" t="str">
        <f t="shared" si="39"/>
        <v/>
      </c>
      <c r="O635" s="23"/>
      <c r="P635" s="23"/>
    </row>
    <row r="636" spans="1:16" ht="21.75" customHeight="1" x14ac:dyDescent="0.25">
      <c r="A636" s="24"/>
      <c r="B636" s="24"/>
      <c r="C636" s="24"/>
      <c r="D636" s="34" t="str">
        <f>IF(C636="","",IFERROR(VLOOKUP(C636,CRM!$B$8:$O$1007,2,FALSE()),"Revisar ID"))</f>
        <v/>
      </c>
      <c r="E636" s="23"/>
      <c r="F636" s="37" t="str">
        <f t="shared" si="36"/>
        <v/>
      </c>
      <c r="G636" s="28"/>
      <c r="H636" s="29"/>
      <c r="I636" s="28"/>
      <c r="J636" s="29"/>
      <c r="K636" s="28"/>
      <c r="L636" s="32" t="str">
        <f t="shared" si="37"/>
        <v/>
      </c>
      <c r="M636" s="33" t="str">
        <f t="shared" ca="1" si="38"/>
        <v/>
      </c>
      <c r="N636" s="34" t="str">
        <f t="shared" si="39"/>
        <v/>
      </c>
      <c r="O636" s="23"/>
      <c r="P636" s="23"/>
    </row>
    <row r="637" spans="1:16" ht="21.75" customHeight="1" x14ac:dyDescent="0.25">
      <c r="A637" s="24"/>
      <c r="B637" s="24"/>
      <c r="C637" s="24"/>
      <c r="D637" s="34" t="str">
        <f>IF(C637="","",IFERROR(VLOOKUP(C637,CRM!$B$8:$O$1007,2,FALSE()),"Revisar ID"))</f>
        <v/>
      </c>
      <c r="E637" s="23"/>
      <c r="F637" s="37" t="str">
        <f t="shared" si="36"/>
        <v/>
      </c>
      <c r="G637" s="28"/>
      <c r="H637" s="29"/>
      <c r="I637" s="28"/>
      <c r="J637" s="29"/>
      <c r="K637" s="28"/>
      <c r="L637" s="32" t="str">
        <f t="shared" si="37"/>
        <v/>
      </c>
      <c r="M637" s="33" t="str">
        <f t="shared" ca="1" si="38"/>
        <v/>
      </c>
      <c r="N637" s="34" t="str">
        <f t="shared" si="39"/>
        <v/>
      </c>
      <c r="O637" s="23"/>
      <c r="P637" s="23"/>
    </row>
    <row r="638" spans="1:16" ht="21.75" customHeight="1" x14ac:dyDescent="0.25">
      <c r="A638" s="24"/>
      <c r="B638" s="24"/>
      <c r="C638" s="24"/>
      <c r="D638" s="34" t="str">
        <f>IF(C638="","",IFERROR(VLOOKUP(C638,CRM!$B$8:$O$1007,2,FALSE()),"Revisar ID"))</f>
        <v/>
      </c>
      <c r="E638" s="23"/>
      <c r="F638" s="37" t="str">
        <f t="shared" si="36"/>
        <v/>
      </c>
      <c r="G638" s="28"/>
      <c r="H638" s="29"/>
      <c r="I638" s="28"/>
      <c r="J638" s="29"/>
      <c r="K638" s="28"/>
      <c r="L638" s="32" t="str">
        <f t="shared" si="37"/>
        <v/>
      </c>
      <c r="M638" s="33" t="str">
        <f t="shared" ca="1" si="38"/>
        <v/>
      </c>
      <c r="N638" s="34" t="str">
        <f t="shared" si="39"/>
        <v/>
      </c>
      <c r="O638" s="23"/>
      <c r="P638" s="23"/>
    </row>
    <row r="639" spans="1:16" ht="21.75" customHeight="1" x14ac:dyDescent="0.25">
      <c r="A639" s="24"/>
      <c r="B639" s="24"/>
      <c r="C639" s="24"/>
      <c r="D639" s="34" t="str">
        <f>IF(C639="","",IFERROR(VLOOKUP(C639,CRM!$B$8:$O$1007,2,FALSE()),"Revisar ID"))</f>
        <v/>
      </c>
      <c r="E639" s="23"/>
      <c r="F639" s="37" t="str">
        <f t="shared" si="36"/>
        <v/>
      </c>
      <c r="G639" s="28"/>
      <c r="H639" s="29"/>
      <c r="I639" s="28"/>
      <c r="J639" s="29"/>
      <c r="K639" s="28"/>
      <c r="L639" s="32" t="str">
        <f t="shared" si="37"/>
        <v/>
      </c>
      <c r="M639" s="33" t="str">
        <f t="shared" ca="1" si="38"/>
        <v/>
      </c>
      <c r="N639" s="34" t="str">
        <f t="shared" si="39"/>
        <v/>
      </c>
      <c r="O639" s="23"/>
      <c r="P639" s="23"/>
    </row>
    <row r="640" spans="1:16" ht="21.75" customHeight="1" x14ac:dyDescent="0.25">
      <c r="A640" s="24"/>
      <c r="B640" s="24"/>
      <c r="C640" s="24"/>
      <c r="D640" s="34" t="str">
        <f>IF(C640="","",IFERROR(VLOOKUP(C640,CRM!$B$8:$O$1007,2,FALSE()),"Revisar ID"))</f>
        <v/>
      </c>
      <c r="E640" s="23"/>
      <c r="F640" s="37" t="str">
        <f t="shared" si="36"/>
        <v/>
      </c>
      <c r="G640" s="28"/>
      <c r="H640" s="29"/>
      <c r="I640" s="28"/>
      <c r="J640" s="29"/>
      <c r="K640" s="28"/>
      <c r="L640" s="32" t="str">
        <f t="shared" si="37"/>
        <v/>
      </c>
      <c r="M640" s="33" t="str">
        <f t="shared" ca="1" si="38"/>
        <v/>
      </c>
      <c r="N640" s="34" t="str">
        <f t="shared" si="39"/>
        <v/>
      </c>
      <c r="O640" s="23"/>
      <c r="P640" s="23"/>
    </row>
    <row r="641" spans="1:16" ht="21.75" customHeight="1" x14ac:dyDescent="0.25">
      <c r="A641" s="24"/>
      <c r="B641" s="24"/>
      <c r="C641" s="24"/>
      <c r="D641" s="34" t="str">
        <f>IF(C641="","",IFERROR(VLOOKUP(C641,CRM!$B$8:$O$1007,2,FALSE()),"Revisar ID"))</f>
        <v/>
      </c>
      <c r="E641" s="23"/>
      <c r="F641" s="37" t="str">
        <f t="shared" si="36"/>
        <v/>
      </c>
      <c r="G641" s="28"/>
      <c r="H641" s="29"/>
      <c r="I641" s="28"/>
      <c r="J641" s="29"/>
      <c r="K641" s="28"/>
      <c r="L641" s="32" t="str">
        <f t="shared" si="37"/>
        <v/>
      </c>
      <c r="M641" s="33" t="str">
        <f t="shared" ca="1" si="38"/>
        <v/>
      </c>
      <c r="N641" s="34" t="str">
        <f t="shared" si="39"/>
        <v/>
      </c>
      <c r="O641" s="23"/>
      <c r="P641" s="23"/>
    </row>
    <row r="642" spans="1:16" ht="21.75" customHeight="1" x14ac:dyDescent="0.25">
      <c r="A642" s="24"/>
      <c r="B642" s="24"/>
      <c r="C642" s="24"/>
      <c r="D642" s="34" t="str">
        <f>IF(C642="","",IFERROR(VLOOKUP(C642,CRM!$B$8:$O$1007,2,FALSE()),"Revisar ID"))</f>
        <v/>
      </c>
      <c r="E642" s="23"/>
      <c r="F642" s="37" t="str">
        <f t="shared" si="36"/>
        <v/>
      </c>
      <c r="G642" s="28"/>
      <c r="H642" s="29"/>
      <c r="I642" s="28"/>
      <c r="J642" s="29"/>
      <c r="K642" s="28"/>
      <c r="L642" s="32" t="str">
        <f t="shared" si="37"/>
        <v/>
      </c>
      <c r="M642" s="33" t="str">
        <f t="shared" ca="1" si="38"/>
        <v/>
      </c>
      <c r="N642" s="34" t="str">
        <f t="shared" si="39"/>
        <v/>
      </c>
      <c r="O642" s="23"/>
      <c r="P642" s="23"/>
    </row>
    <row r="643" spans="1:16" ht="21.75" customHeight="1" x14ac:dyDescent="0.25">
      <c r="A643" s="24"/>
      <c r="B643" s="24"/>
      <c r="C643" s="24"/>
      <c r="D643" s="34" t="str">
        <f>IF(C643="","",IFERROR(VLOOKUP(C643,CRM!$B$8:$O$1007,2,FALSE()),"Revisar ID"))</f>
        <v/>
      </c>
      <c r="E643" s="23"/>
      <c r="F643" s="37" t="str">
        <f t="shared" si="36"/>
        <v/>
      </c>
      <c r="G643" s="28"/>
      <c r="H643" s="29"/>
      <c r="I643" s="28"/>
      <c r="J643" s="29"/>
      <c r="K643" s="28"/>
      <c r="L643" s="32" t="str">
        <f t="shared" si="37"/>
        <v/>
      </c>
      <c r="M643" s="33" t="str">
        <f t="shared" ca="1" si="38"/>
        <v/>
      </c>
      <c r="N643" s="34" t="str">
        <f t="shared" si="39"/>
        <v/>
      </c>
      <c r="O643" s="23"/>
      <c r="P643" s="23"/>
    </row>
    <row r="644" spans="1:16" ht="21.75" customHeight="1" x14ac:dyDescent="0.25">
      <c r="A644" s="24"/>
      <c r="B644" s="24"/>
      <c r="C644" s="24"/>
      <c r="D644" s="34" t="str">
        <f>IF(C644="","",IFERROR(VLOOKUP(C644,CRM!$B$8:$O$1007,2,FALSE()),"Revisar ID"))</f>
        <v/>
      </c>
      <c r="E644" s="23"/>
      <c r="F644" s="37" t="str">
        <f t="shared" si="36"/>
        <v/>
      </c>
      <c r="G644" s="28"/>
      <c r="H644" s="29"/>
      <c r="I644" s="28"/>
      <c r="J644" s="29"/>
      <c r="K644" s="28"/>
      <c r="L644" s="32" t="str">
        <f t="shared" si="37"/>
        <v/>
      </c>
      <c r="M644" s="33" t="str">
        <f t="shared" ca="1" si="38"/>
        <v/>
      </c>
      <c r="N644" s="34" t="str">
        <f t="shared" si="39"/>
        <v/>
      </c>
      <c r="O644" s="23"/>
      <c r="P644" s="23"/>
    </row>
    <row r="645" spans="1:16" ht="21.75" customHeight="1" x14ac:dyDescent="0.25">
      <c r="A645" s="24"/>
      <c r="B645" s="24"/>
      <c r="C645" s="24"/>
      <c r="D645" s="34" t="str">
        <f>IF(C645="","",IFERROR(VLOOKUP(C645,CRM!$B$8:$O$1007,2,FALSE()),"Revisar ID"))</f>
        <v/>
      </c>
      <c r="E645" s="23"/>
      <c r="F645" s="37" t="str">
        <f t="shared" si="36"/>
        <v/>
      </c>
      <c r="G645" s="28"/>
      <c r="H645" s="29"/>
      <c r="I645" s="28"/>
      <c r="J645" s="29"/>
      <c r="K645" s="28"/>
      <c r="L645" s="32" t="str">
        <f t="shared" si="37"/>
        <v/>
      </c>
      <c r="M645" s="33" t="str">
        <f t="shared" ca="1" si="38"/>
        <v/>
      </c>
      <c r="N645" s="34" t="str">
        <f t="shared" si="39"/>
        <v/>
      </c>
      <c r="O645" s="23"/>
      <c r="P645" s="23"/>
    </row>
    <row r="646" spans="1:16" ht="21.75" customHeight="1" x14ac:dyDescent="0.25">
      <c r="A646" s="24"/>
      <c r="B646" s="24"/>
      <c r="C646" s="24"/>
      <c r="D646" s="34" t="str">
        <f>IF(C646="","",IFERROR(VLOOKUP(C646,CRM!$B$8:$O$1007,2,FALSE()),"Revisar ID"))</f>
        <v/>
      </c>
      <c r="E646" s="23"/>
      <c r="F646" s="37" t="str">
        <f t="shared" si="36"/>
        <v/>
      </c>
      <c r="G646" s="28"/>
      <c r="H646" s="29"/>
      <c r="I646" s="28"/>
      <c r="J646" s="29"/>
      <c r="K646" s="28"/>
      <c r="L646" s="32" t="str">
        <f t="shared" si="37"/>
        <v/>
      </c>
      <c r="M646" s="33" t="str">
        <f t="shared" ca="1" si="38"/>
        <v/>
      </c>
      <c r="N646" s="34" t="str">
        <f t="shared" si="39"/>
        <v/>
      </c>
      <c r="O646" s="23"/>
      <c r="P646" s="23"/>
    </row>
    <row r="647" spans="1:16" ht="21.75" customHeight="1" x14ac:dyDescent="0.25">
      <c r="A647" s="24"/>
      <c r="B647" s="24"/>
      <c r="C647" s="24"/>
      <c r="D647" s="34" t="str">
        <f>IF(C647="","",IFERROR(VLOOKUP(C647,CRM!$B$8:$O$1007,2,FALSE()),"Revisar ID"))</f>
        <v/>
      </c>
      <c r="E647" s="23"/>
      <c r="F647" s="37" t="str">
        <f t="shared" si="36"/>
        <v/>
      </c>
      <c r="G647" s="28"/>
      <c r="H647" s="29"/>
      <c r="I647" s="28"/>
      <c r="J647" s="29"/>
      <c r="K647" s="28"/>
      <c r="L647" s="32" t="str">
        <f t="shared" si="37"/>
        <v/>
      </c>
      <c r="M647" s="33" t="str">
        <f t="shared" ca="1" si="38"/>
        <v/>
      </c>
      <c r="N647" s="34" t="str">
        <f t="shared" si="39"/>
        <v/>
      </c>
      <c r="O647" s="23"/>
      <c r="P647" s="23"/>
    </row>
    <row r="648" spans="1:16" ht="21.75" customHeight="1" x14ac:dyDescent="0.25">
      <c r="A648" s="24"/>
      <c r="B648" s="24"/>
      <c r="C648" s="24"/>
      <c r="D648" s="34" t="str">
        <f>IF(C648="","",IFERROR(VLOOKUP(C648,CRM!$B$8:$O$1007,2,FALSE()),"Revisar ID"))</f>
        <v/>
      </c>
      <c r="E648" s="23"/>
      <c r="F648" s="37" t="str">
        <f t="shared" si="36"/>
        <v/>
      </c>
      <c r="G648" s="28"/>
      <c r="H648" s="29"/>
      <c r="I648" s="28"/>
      <c r="J648" s="29"/>
      <c r="K648" s="28"/>
      <c r="L648" s="32" t="str">
        <f t="shared" si="37"/>
        <v/>
      </c>
      <c r="M648" s="33" t="str">
        <f t="shared" ca="1" si="38"/>
        <v/>
      </c>
      <c r="N648" s="34" t="str">
        <f t="shared" si="39"/>
        <v/>
      </c>
      <c r="O648" s="23"/>
      <c r="P648" s="23"/>
    </row>
    <row r="649" spans="1:16" ht="21.75" customHeight="1" x14ac:dyDescent="0.25">
      <c r="A649" s="24"/>
      <c r="B649" s="24"/>
      <c r="C649" s="24"/>
      <c r="D649" s="34" t="str">
        <f>IF(C649="","",IFERROR(VLOOKUP(C649,CRM!$B$8:$O$1007,2,FALSE()),"Revisar ID"))</f>
        <v/>
      </c>
      <c r="E649" s="23"/>
      <c r="F649" s="37" t="str">
        <f t="shared" ref="F649:F712" si="40">IF(B649="","",B649+IF(E649="Contado",0,IF(E649="7 días",7,IF(E649="15 días",15,IF(E649="30 días",30,IF(E649="45 días",45,IF(E649="60 días",60,0)))))))</f>
        <v/>
      </c>
      <c r="G649" s="28"/>
      <c r="H649" s="29"/>
      <c r="I649" s="28"/>
      <c r="J649" s="29"/>
      <c r="K649" s="28"/>
      <c r="L649" s="32" t="str">
        <f t="shared" ref="L649:L712" si="41">IF(G649="","",MAX(0,G649-SUM(I649,K649)))</f>
        <v/>
      </c>
      <c r="M649" s="33" t="str">
        <f t="shared" ref="M649:M712" ca="1" si="42">IF(G649="","",IF(L649=0,0,MAX(0,TODAY()-F649)))</f>
        <v/>
      </c>
      <c r="N649" s="34" t="str">
        <f t="shared" ref="N649:N712" si="43">IF(G649="","",IF(L649=0,"Pagada",IF(M649&gt;0,"Vencida",IF(SUM(I649,K649)&gt;0,"Parcial","Pendiente"))))</f>
        <v/>
      </c>
      <c r="O649" s="23"/>
      <c r="P649" s="23"/>
    </row>
    <row r="650" spans="1:16" ht="21.75" customHeight="1" x14ac:dyDescent="0.25">
      <c r="A650" s="24"/>
      <c r="B650" s="24"/>
      <c r="C650" s="24"/>
      <c r="D650" s="34" t="str">
        <f>IF(C650="","",IFERROR(VLOOKUP(C650,CRM!$B$8:$O$1007,2,FALSE()),"Revisar ID"))</f>
        <v/>
      </c>
      <c r="E650" s="23"/>
      <c r="F650" s="37" t="str">
        <f t="shared" si="40"/>
        <v/>
      </c>
      <c r="G650" s="28"/>
      <c r="H650" s="29"/>
      <c r="I650" s="28"/>
      <c r="J650" s="29"/>
      <c r="K650" s="28"/>
      <c r="L650" s="32" t="str">
        <f t="shared" si="41"/>
        <v/>
      </c>
      <c r="M650" s="33" t="str">
        <f t="shared" ca="1" si="42"/>
        <v/>
      </c>
      <c r="N650" s="34" t="str">
        <f t="shared" si="43"/>
        <v/>
      </c>
      <c r="O650" s="23"/>
      <c r="P650" s="23"/>
    </row>
    <row r="651" spans="1:16" ht="21.75" customHeight="1" x14ac:dyDescent="0.25">
      <c r="A651" s="24"/>
      <c r="B651" s="24"/>
      <c r="C651" s="24"/>
      <c r="D651" s="34" t="str">
        <f>IF(C651="","",IFERROR(VLOOKUP(C651,CRM!$B$8:$O$1007,2,FALSE()),"Revisar ID"))</f>
        <v/>
      </c>
      <c r="E651" s="23"/>
      <c r="F651" s="37" t="str">
        <f t="shared" si="40"/>
        <v/>
      </c>
      <c r="G651" s="28"/>
      <c r="H651" s="29"/>
      <c r="I651" s="28"/>
      <c r="J651" s="29"/>
      <c r="K651" s="28"/>
      <c r="L651" s="32" t="str">
        <f t="shared" si="41"/>
        <v/>
      </c>
      <c r="M651" s="33" t="str">
        <f t="shared" ca="1" si="42"/>
        <v/>
      </c>
      <c r="N651" s="34" t="str">
        <f t="shared" si="43"/>
        <v/>
      </c>
      <c r="O651" s="23"/>
      <c r="P651" s="23"/>
    </row>
    <row r="652" spans="1:16" ht="21.75" customHeight="1" x14ac:dyDescent="0.25">
      <c r="A652" s="24"/>
      <c r="B652" s="24"/>
      <c r="C652" s="24"/>
      <c r="D652" s="34" t="str">
        <f>IF(C652="","",IFERROR(VLOOKUP(C652,CRM!$B$8:$O$1007,2,FALSE()),"Revisar ID"))</f>
        <v/>
      </c>
      <c r="E652" s="23"/>
      <c r="F652" s="37" t="str">
        <f t="shared" si="40"/>
        <v/>
      </c>
      <c r="G652" s="28"/>
      <c r="H652" s="29"/>
      <c r="I652" s="28"/>
      <c r="J652" s="29"/>
      <c r="K652" s="28"/>
      <c r="L652" s="32" t="str">
        <f t="shared" si="41"/>
        <v/>
      </c>
      <c r="M652" s="33" t="str">
        <f t="shared" ca="1" si="42"/>
        <v/>
      </c>
      <c r="N652" s="34" t="str">
        <f t="shared" si="43"/>
        <v/>
      </c>
      <c r="O652" s="23"/>
      <c r="P652" s="23"/>
    </row>
    <row r="653" spans="1:16" ht="21.75" customHeight="1" x14ac:dyDescent="0.25">
      <c r="A653" s="24"/>
      <c r="B653" s="24"/>
      <c r="C653" s="24"/>
      <c r="D653" s="34" t="str">
        <f>IF(C653="","",IFERROR(VLOOKUP(C653,CRM!$B$8:$O$1007,2,FALSE()),"Revisar ID"))</f>
        <v/>
      </c>
      <c r="E653" s="23"/>
      <c r="F653" s="37" t="str">
        <f t="shared" si="40"/>
        <v/>
      </c>
      <c r="G653" s="28"/>
      <c r="H653" s="29"/>
      <c r="I653" s="28"/>
      <c r="J653" s="29"/>
      <c r="K653" s="28"/>
      <c r="L653" s="32" t="str">
        <f t="shared" si="41"/>
        <v/>
      </c>
      <c r="M653" s="33" t="str">
        <f t="shared" ca="1" si="42"/>
        <v/>
      </c>
      <c r="N653" s="34" t="str">
        <f t="shared" si="43"/>
        <v/>
      </c>
      <c r="O653" s="23"/>
      <c r="P653" s="23"/>
    </row>
    <row r="654" spans="1:16" ht="21.75" customHeight="1" x14ac:dyDescent="0.25">
      <c r="A654" s="24"/>
      <c r="B654" s="24"/>
      <c r="C654" s="24"/>
      <c r="D654" s="34" t="str">
        <f>IF(C654="","",IFERROR(VLOOKUP(C654,CRM!$B$8:$O$1007,2,FALSE()),"Revisar ID"))</f>
        <v/>
      </c>
      <c r="E654" s="23"/>
      <c r="F654" s="37" t="str">
        <f t="shared" si="40"/>
        <v/>
      </c>
      <c r="G654" s="28"/>
      <c r="H654" s="29"/>
      <c r="I654" s="28"/>
      <c r="J654" s="29"/>
      <c r="K654" s="28"/>
      <c r="L654" s="32" t="str">
        <f t="shared" si="41"/>
        <v/>
      </c>
      <c r="M654" s="33" t="str">
        <f t="shared" ca="1" si="42"/>
        <v/>
      </c>
      <c r="N654" s="34" t="str">
        <f t="shared" si="43"/>
        <v/>
      </c>
      <c r="O654" s="23"/>
      <c r="P654" s="23"/>
    </row>
    <row r="655" spans="1:16" ht="21.75" customHeight="1" x14ac:dyDescent="0.25">
      <c r="A655" s="24"/>
      <c r="B655" s="24"/>
      <c r="C655" s="24"/>
      <c r="D655" s="34" t="str">
        <f>IF(C655="","",IFERROR(VLOOKUP(C655,CRM!$B$8:$O$1007,2,FALSE()),"Revisar ID"))</f>
        <v/>
      </c>
      <c r="E655" s="23"/>
      <c r="F655" s="37" t="str">
        <f t="shared" si="40"/>
        <v/>
      </c>
      <c r="G655" s="28"/>
      <c r="H655" s="29"/>
      <c r="I655" s="28"/>
      <c r="J655" s="29"/>
      <c r="K655" s="28"/>
      <c r="L655" s="32" t="str">
        <f t="shared" si="41"/>
        <v/>
      </c>
      <c r="M655" s="33" t="str">
        <f t="shared" ca="1" si="42"/>
        <v/>
      </c>
      <c r="N655" s="34" t="str">
        <f t="shared" si="43"/>
        <v/>
      </c>
      <c r="O655" s="23"/>
      <c r="P655" s="23"/>
    </row>
    <row r="656" spans="1:16" ht="21.75" customHeight="1" x14ac:dyDescent="0.25">
      <c r="A656" s="24"/>
      <c r="B656" s="24"/>
      <c r="C656" s="24"/>
      <c r="D656" s="34" t="str">
        <f>IF(C656="","",IFERROR(VLOOKUP(C656,CRM!$B$8:$O$1007,2,FALSE()),"Revisar ID"))</f>
        <v/>
      </c>
      <c r="E656" s="23"/>
      <c r="F656" s="37" t="str">
        <f t="shared" si="40"/>
        <v/>
      </c>
      <c r="G656" s="28"/>
      <c r="H656" s="29"/>
      <c r="I656" s="28"/>
      <c r="J656" s="29"/>
      <c r="K656" s="28"/>
      <c r="L656" s="32" t="str">
        <f t="shared" si="41"/>
        <v/>
      </c>
      <c r="M656" s="33" t="str">
        <f t="shared" ca="1" si="42"/>
        <v/>
      </c>
      <c r="N656" s="34" t="str">
        <f t="shared" si="43"/>
        <v/>
      </c>
      <c r="O656" s="23"/>
      <c r="P656" s="23"/>
    </row>
    <row r="657" spans="1:16" ht="21.75" customHeight="1" x14ac:dyDescent="0.25">
      <c r="A657" s="24"/>
      <c r="B657" s="24"/>
      <c r="C657" s="24"/>
      <c r="D657" s="34" t="str">
        <f>IF(C657="","",IFERROR(VLOOKUP(C657,CRM!$B$8:$O$1007,2,FALSE()),"Revisar ID"))</f>
        <v/>
      </c>
      <c r="E657" s="23"/>
      <c r="F657" s="37" t="str">
        <f t="shared" si="40"/>
        <v/>
      </c>
      <c r="G657" s="28"/>
      <c r="H657" s="29"/>
      <c r="I657" s="28"/>
      <c r="J657" s="29"/>
      <c r="K657" s="28"/>
      <c r="L657" s="32" t="str">
        <f t="shared" si="41"/>
        <v/>
      </c>
      <c r="M657" s="33" t="str">
        <f t="shared" ca="1" si="42"/>
        <v/>
      </c>
      <c r="N657" s="34" t="str">
        <f t="shared" si="43"/>
        <v/>
      </c>
      <c r="O657" s="23"/>
      <c r="P657" s="23"/>
    </row>
    <row r="658" spans="1:16" ht="21.75" customHeight="1" x14ac:dyDescent="0.25">
      <c r="A658" s="24"/>
      <c r="B658" s="24"/>
      <c r="C658" s="24"/>
      <c r="D658" s="34" t="str">
        <f>IF(C658="","",IFERROR(VLOOKUP(C658,CRM!$B$8:$O$1007,2,FALSE()),"Revisar ID"))</f>
        <v/>
      </c>
      <c r="E658" s="23"/>
      <c r="F658" s="37" t="str">
        <f t="shared" si="40"/>
        <v/>
      </c>
      <c r="G658" s="28"/>
      <c r="H658" s="29"/>
      <c r="I658" s="28"/>
      <c r="J658" s="29"/>
      <c r="K658" s="28"/>
      <c r="L658" s="32" t="str">
        <f t="shared" si="41"/>
        <v/>
      </c>
      <c r="M658" s="33" t="str">
        <f t="shared" ca="1" si="42"/>
        <v/>
      </c>
      <c r="N658" s="34" t="str">
        <f t="shared" si="43"/>
        <v/>
      </c>
      <c r="O658" s="23"/>
      <c r="P658" s="23"/>
    </row>
    <row r="659" spans="1:16" ht="21.75" customHeight="1" x14ac:dyDescent="0.25">
      <c r="A659" s="24"/>
      <c r="B659" s="24"/>
      <c r="C659" s="24"/>
      <c r="D659" s="34" t="str">
        <f>IF(C659="","",IFERROR(VLOOKUP(C659,CRM!$B$8:$O$1007,2,FALSE()),"Revisar ID"))</f>
        <v/>
      </c>
      <c r="E659" s="23"/>
      <c r="F659" s="37" t="str">
        <f t="shared" si="40"/>
        <v/>
      </c>
      <c r="G659" s="28"/>
      <c r="H659" s="29"/>
      <c r="I659" s="28"/>
      <c r="J659" s="29"/>
      <c r="K659" s="28"/>
      <c r="L659" s="32" t="str">
        <f t="shared" si="41"/>
        <v/>
      </c>
      <c r="M659" s="33" t="str">
        <f t="shared" ca="1" si="42"/>
        <v/>
      </c>
      <c r="N659" s="34" t="str">
        <f t="shared" si="43"/>
        <v/>
      </c>
      <c r="O659" s="23"/>
      <c r="P659" s="23"/>
    </row>
    <row r="660" spans="1:16" ht="21.75" customHeight="1" x14ac:dyDescent="0.25">
      <c r="A660" s="24"/>
      <c r="B660" s="24"/>
      <c r="C660" s="24"/>
      <c r="D660" s="34" t="str">
        <f>IF(C660="","",IFERROR(VLOOKUP(C660,CRM!$B$8:$O$1007,2,FALSE()),"Revisar ID"))</f>
        <v/>
      </c>
      <c r="E660" s="23"/>
      <c r="F660" s="37" t="str">
        <f t="shared" si="40"/>
        <v/>
      </c>
      <c r="G660" s="28"/>
      <c r="H660" s="29"/>
      <c r="I660" s="28"/>
      <c r="J660" s="29"/>
      <c r="K660" s="28"/>
      <c r="L660" s="32" t="str">
        <f t="shared" si="41"/>
        <v/>
      </c>
      <c r="M660" s="33" t="str">
        <f t="shared" ca="1" si="42"/>
        <v/>
      </c>
      <c r="N660" s="34" t="str">
        <f t="shared" si="43"/>
        <v/>
      </c>
      <c r="O660" s="23"/>
      <c r="P660" s="23"/>
    </row>
    <row r="661" spans="1:16" ht="21.75" customHeight="1" x14ac:dyDescent="0.25">
      <c r="A661" s="24"/>
      <c r="B661" s="24"/>
      <c r="C661" s="24"/>
      <c r="D661" s="34" t="str">
        <f>IF(C661="","",IFERROR(VLOOKUP(C661,CRM!$B$8:$O$1007,2,FALSE()),"Revisar ID"))</f>
        <v/>
      </c>
      <c r="E661" s="23"/>
      <c r="F661" s="37" t="str">
        <f t="shared" si="40"/>
        <v/>
      </c>
      <c r="G661" s="28"/>
      <c r="H661" s="29"/>
      <c r="I661" s="28"/>
      <c r="J661" s="29"/>
      <c r="K661" s="28"/>
      <c r="L661" s="32" t="str">
        <f t="shared" si="41"/>
        <v/>
      </c>
      <c r="M661" s="33" t="str">
        <f t="shared" ca="1" si="42"/>
        <v/>
      </c>
      <c r="N661" s="34" t="str">
        <f t="shared" si="43"/>
        <v/>
      </c>
      <c r="O661" s="23"/>
      <c r="P661" s="23"/>
    </row>
    <row r="662" spans="1:16" ht="21.75" customHeight="1" x14ac:dyDescent="0.25">
      <c r="A662" s="24"/>
      <c r="B662" s="24"/>
      <c r="C662" s="24"/>
      <c r="D662" s="34" t="str">
        <f>IF(C662="","",IFERROR(VLOOKUP(C662,CRM!$B$8:$O$1007,2,FALSE()),"Revisar ID"))</f>
        <v/>
      </c>
      <c r="E662" s="23"/>
      <c r="F662" s="37" t="str">
        <f t="shared" si="40"/>
        <v/>
      </c>
      <c r="G662" s="28"/>
      <c r="H662" s="29"/>
      <c r="I662" s="28"/>
      <c r="J662" s="29"/>
      <c r="K662" s="28"/>
      <c r="L662" s="32" t="str">
        <f t="shared" si="41"/>
        <v/>
      </c>
      <c r="M662" s="33" t="str">
        <f t="shared" ca="1" si="42"/>
        <v/>
      </c>
      <c r="N662" s="34" t="str">
        <f t="shared" si="43"/>
        <v/>
      </c>
      <c r="O662" s="23"/>
      <c r="P662" s="23"/>
    </row>
    <row r="663" spans="1:16" ht="21.75" customHeight="1" x14ac:dyDescent="0.25">
      <c r="A663" s="24"/>
      <c r="B663" s="24"/>
      <c r="C663" s="24"/>
      <c r="D663" s="34" t="str">
        <f>IF(C663="","",IFERROR(VLOOKUP(C663,CRM!$B$8:$O$1007,2,FALSE()),"Revisar ID"))</f>
        <v/>
      </c>
      <c r="E663" s="23"/>
      <c r="F663" s="37" t="str">
        <f t="shared" si="40"/>
        <v/>
      </c>
      <c r="G663" s="28"/>
      <c r="H663" s="29"/>
      <c r="I663" s="28"/>
      <c r="J663" s="29"/>
      <c r="K663" s="28"/>
      <c r="L663" s="32" t="str">
        <f t="shared" si="41"/>
        <v/>
      </c>
      <c r="M663" s="33" t="str">
        <f t="shared" ca="1" si="42"/>
        <v/>
      </c>
      <c r="N663" s="34" t="str">
        <f t="shared" si="43"/>
        <v/>
      </c>
      <c r="O663" s="23"/>
      <c r="P663" s="23"/>
    </row>
    <row r="664" spans="1:16" ht="21.75" customHeight="1" x14ac:dyDescent="0.25">
      <c r="A664" s="24"/>
      <c r="B664" s="24"/>
      <c r="C664" s="24"/>
      <c r="D664" s="34" t="str">
        <f>IF(C664="","",IFERROR(VLOOKUP(C664,CRM!$B$8:$O$1007,2,FALSE()),"Revisar ID"))</f>
        <v/>
      </c>
      <c r="E664" s="23"/>
      <c r="F664" s="37" t="str">
        <f t="shared" si="40"/>
        <v/>
      </c>
      <c r="G664" s="28"/>
      <c r="H664" s="29"/>
      <c r="I664" s="28"/>
      <c r="J664" s="29"/>
      <c r="K664" s="28"/>
      <c r="L664" s="32" t="str">
        <f t="shared" si="41"/>
        <v/>
      </c>
      <c r="M664" s="33" t="str">
        <f t="shared" ca="1" si="42"/>
        <v/>
      </c>
      <c r="N664" s="34" t="str">
        <f t="shared" si="43"/>
        <v/>
      </c>
      <c r="O664" s="23"/>
      <c r="P664" s="23"/>
    </row>
    <row r="665" spans="1:16" ht="21.75" customHeight="1" x14ac:dyDescent="0.25">
      <c r="A665" s="24"/>
      <c r="B665" s="24"/>
      <c r="C665" s="24"/>
      <c r="D665" s="34" t="str">
        <f>IF(C665="","",IFERROR(VLOOKUP(C665,CRM!$B$8:$O$1007,2,FALSE()),"Revisar ID"))</f>
        <v/>
      </c>
      <c r="E665" s="23"/>
      <c r="F665" s="37" t="str">
        <f t="shared" si="40"/>
        <v/>
      </c>
      <c r="G665" s="28"/>
      <c r="H665" s="29"/>
      <c r="I665" s="28"/>
      <c r="J665" s="29"/>
      <c r="K665" s="28"/>
      <c r="L665" s="32" t="str">
        <f t="shared" si="41"/>
        <v/>
      </c>
      <c r="M665" s="33" t="str">
        <f t="shared" ca="1" si="42"/>
        <v/>
      </c>
      <c r="N665" s="34" t="str">
        <f t="shared" si="43"/>
        <v/>
      </c>
      <c r="O665" s="23"/>
      <c r="P665" s="23"/>
    </row>
    <row r="666" spans="1:16" ht="21.75" customHeight="1" x14ac:dyDescent="0.25">
      <c r="A666" s="24"/>
      <c r="B666" s="24"/>
      <c r="C666" s="24"/>
      <c r="D666" s="34" t="str">
        <f>IF(C666="","",IFERROR(VLOOKUP(C666,CRM!$B$8:$O$1007,2,FALSE()),"Revisar ID"))</f>
        <v/>
      </c>
      <c r="E666" s="23"/>
      <c r="F666" s="37" t="str">
        <f t="shared" si="40"/>
        <v/>
      </c>
      <c r="G666" s="28"/>
      <c r="H666" s="29"/>
      <c r="I666" s="28"/>
      <c r="J666" s="29"/>
      <c r="K666" s="28"/>
      <c r="L666" s="32" t="str">
        <f t="shared" si="41"/>
        <v/>
      </c>
      <c r="M666" s="33" t="str">
        <f t="shared" ca="1" si="42"/>
        <v/>
      </c>
      <c r="N666" s="34" t="str">
        <f t="shared" si="43"/>
        <v/>
      </c>
      <c r="O666" s="23"/>
      <c r="P666" s="23"/>
    </row>
    <row r="667" spans="1:16" ht="21.75" customHeight="1" x14ac:dyDescent="0.25">
      <c r="A667" s="24"/>
      <c r="B667" s="24"/>
      <c r="C667" s="24"/>
      <c r="D667" s="34" t="str">
        <f>IF(C667="","",IFERROR(VLOOKUP(C667,CRM!$B$8:$O$1007,2,FALSE()),"Revisar ID"))</f>
        <v/>
      </c>
      <c r="E667" s="23"/>
      <c r="F667" s="37" t="str">
        <f t="shared" si="40"/>
        <v/>
      </c>
      <c r="G667" s="28"/>
      <c r="H667" s="29"/>
      <c r="I667" s="28"/>
      <c r="J667" s="29"/>
      <c r="K667" s="28"/>
      <c r="L667" s="32" t="str">
        <f t="shared" si="41"/>
        <v/>
      </c>
      <c r="M667" s="33" t="str">
        <f t="shared" ca="1" si="42"/>
        <v/>
      </c>
      <c r="N667" s="34" t="str">
        <f t="shared" si="43"/>
        <v/>
      </c>
      <c r="O667" s="23"/>
      <c r="P667" s="23"/>
    </row>
    <row r="668" spans="1:16" ht="21.75" customHeight="1" x14ac:dyDescent="0.25">
      <c r="A668" s="24"/>
      <c r="B668" s="24"/>
      <c r="C668" s="24"/>
      <c r="D668" s="34" t="str">
        <f>IF(C668="","",IFERROR(VLOOKUP(C668,CRM!$B$8:$O$1007,2,FALSE()),"Revisar ID"))</f>
        <v/>
      </c>
      <c r="E668" s="23"/>
      <c r="F668" s="37" t="str">
        <f t="shared" si="40"/>
        <v/>
      </c>
      <c r="G668" s="28"/>
      <c r="H668" s="29"/>
      <c r="I668" s="28"/>
      <c r="J668" s="29"/>
      <c r="K668" s="28"/>
      <c r="L668" s="32" t="str">
        <f t="shared" si="41"/>
        <v/>
      </c>
      <c r="M668" s="33" t="str">
        <f t="shared" ca="1" si="42"/>
        <v/>
      </c>
      <c r="N668" s="34" t="str">
        <f t="shared" si="43"/>
        <v/>
      </c>
      <c r="O668" s="23"/>
      <c r="P668" s="23"/>
    </row>
    <row r="669" spans="1:16" ht="21.75" customHeight="1" x14ac:dyDescent="0.25">
      <c r="A669" s="24"/>
      <c r="B669" s="24"/>
      <c r="C669" s="24"/>
      <c r="D669" s="34" t="str">
        <f>IF(C669="","",IFERROR(VLOOKUP(C669,CRM!$B$8:$O$1007,2,FALSE()),"Revisar ID"))</f>
        <v/>
      </c>
      <c r="E669" s="23"/>
      <c r="F669" s="37" t="str">
        <f t="shared" si="40"/>
        <v/>
      </c>
      <c r="G669" s="28"/>
      <c r="H669" s="29"/>
      <c r="I669" s="28"/>
      <c r="J669" s="29"/>
      <c r="K669" s="28"/>
      <c r="L669" s="32" t="str">
        <f t="shared" si="41"/>
        <v/>
      </c>
      <c r="M669" s="33" t="str">
        <f t="shared" ca="1" si="42"/>
        <v/>
      </c>
      <c r="N669" s="34" t="str">
        <f t="shared" si="43"/>
        <v/>
      </c>
      <c r="O669" s="23"/>
      <c r="P669" s="23"/>
    </row>
    <row r="670" spans="1:16" ht="21.75" customHeight="1" x14ac:dyDescent="0.25">
      <c r="A670" s="24"/>
      <c r="B670" s="24"/>
      <c r="C670" s="24"/>
      <c r="D670" s="34" t="str">
        <f>IF(C670="","",IFERROR(VLOOKUP(C670,CRM!$B$8:$O$1007,2,FALSE()),"Revisar ID"))</f>
        <v/>
      </c>
      <c r="E670" s="23"/>
      <c r="F670" s="37" t="str">
        <f t="shared" si="40"/>
        <v/>
      </c>
      <c r="G670" s="28"/>
      <c r="H670" s="29"/>
      <c r="I670" s="28"/>
      <c r="J670" s="29"/>
      <c r="K670" s="28"/>
      <c r="L670" s="32" t="str">
        <f t="shared" si="41"/>
        <v/>
      </c>
      <c r="M670" s="33" t="str">
        <f t="shared" ca="1" si="42"/>
        <v/>
      </c>
      <c r="N670" s="34" t="str">
        <f t="shared" si="43"/>
        <v/>
      </c>
      <c r="O670" s="23"/>
      <c r="P670" s="23"/>
    </row>
    <row r="671" spans="1:16" ht="21.75" customHeight="1" x14ac:dyDescent="0.25">
      <c r="A671" s="24"/>
      <c r="B671" s="24"/>
      <c r="C671" s="24"/>
      <c r="D671" s="34" t="str">
        <f>IF(C671="","",IFERROR(VLOOKUP(C671,CRM!$B$8:$O$1007,2,FALSE()),"Revisar ID"))</f>
        <v/>
      </c>
      <c r="E671" s="23"/>
      <c r="F671" s="37" t="str">
        <f t="shared" si="40"/>
        <v/>
      </c>
      <c r="G671" s="28"/>
      <c r="H671" s="29"/>
      <c r="I671" s="28"/>
      <c r="J671" s="29"/>
      <c r="K671" s="28"/>
      <c r="L671" s="32" t="str">
        <f t="shared" si="41"/>
        <v/>
      </c>
      <c r="M671" s="33" t="str">
        <f t="shared" ca="1" si="42"/>
        <v/>
      </c>
      <c r="N671" s="34" t="str">
        <f t="shared" si="43"/>
        <v/>
      </c>
      <c r="O671" s="23"/>
      <c r="P671" s="23"/>
    </row>
    <row r="672" spans="1:16" ht="21.75" customHeight="1" x14ac:dyDescent="0.25">
      <c r="A672" s="24"/>
      <c r="B672" s="24"/>
      <c r="C672" s="24"/>
      <c r="D672" s="34" t="str">
        <f>IF(C672="","",IFERROR(VLOOKUP(C672,CRM!$B$8:$O$1007,2,FALSE()),"Revisar ID"))</f>
        <v/>
      </c>
      <c r="E672" s="23"/>
      <c r="F672" s="37" t="str">
        <f t="shared" si="40"/>
        <v/>
      </c>
      <c r="G672" s="28"/>
      <c r="H672" s="29"/>
      <c r="I672" s="28"/>
      <c r="J672" s="29"/>
      <c r="K672" s="28"/>
      <c r="L672" s="32" t="str">
        <f t="shared" si="41"/>
        <v/>
      </c>
      <c r="M672" s="33" t="str">
        <f t="shared" ca="1" si="42"/>
        <v/>
      </c>
      <c r="N672" s="34" t="str">
        <f t="shared" si="43"/>
        <v/>
      </c>
      <c r="O672" s="23"/>
      <c r="P672" s="23"/>
    </row>
    <row r="673" spans="1:16" ht="21.75" customHeight="1" x14ac:dyDescent="0.25">
      <c r="A673" s="24"/>
      <c r="B673" s="24"/>
      <c r="C673" s="24"/>
      <c r="D673" s="34" t="str">
        <f>IF(C673="","",IFERROR(VLOOKUP(C673,CRM!$B$8:$O$1007,2,FALSE()),"Revisar ID"))</f>
        <v/>
      </c>
      <c r="E673" s="23"/>
      <c r="F673" s="37" t="str">
        <f t="shared" si="40"/>
        <v/>
      </c>
      <c r="G673" s="28"/>
      <c r="H673" s="29"/>
      <c r="I673" s="28"/>
      <c r="J673" s="29"/>
      <c r="K673" s="28"/>
      <c r="L673" s="32" t="str">
        <f t="shared" si="41"/>
        <v/>
      </c>
      <c r="M673" s="33" t="str">
        <f t="shared" ca="1" si="42"/>
        <v/>
      </c>
      <c r="N673" s="34" t="str">
        <f t="shared" si="43"/>
        <v/>
      </c>
      <c r="O673" s="23"/>
      <c r="P673" s="23"/>
    </row>
    <row r="674" spans="1:16" ht="21.75" customHeight="1" x14ac:dyDescent="0.25">
      <c r="A674" s="24"/>
      <c r="B674" s="24"/>
      <c r="C674" s="24"/>
      <c r="D674" s="34" t="str">
        <f>IF(C674="","",IFERROR(VLOOKUP(C674,CRM!$B$8:$O$1007,2,FALSE()),"Revisar ID"))</f>
        <v/>
      </c>
      <c r="E674" s="23"/>
      <c r="F674" s="37" t="str">
        <f t="shared" si="40"/>
        <v/>
      </c>
      <c r="G674" s="28"/>
      <c r="H674" s="29"/>
      <c r="I674" s="28"/>
      <c r="J674" s="29"/>
      <c r="K674" s="28"/>
      <c r="L674" s="32" t="str">
        <f t="shared" si="41"/>
        <v/>
      </c>
      <c r="M674" s="33" t="str">
        <f t="shared" ca="1" si="42"/>
        <v/>
      </c>
      <c r="N674" s="34" t="str">
        <f t="shared" si="43"/>
        <v/>
      </c>
      <c r="O674" s="23"/>
      <c r="P674" s="23"/>
    </row>
    <row r="675" spans="1:16" ht="21.75" customHeight="1" x14ac:dyDescent="0.25">
      <c r="A675" s="24"/>
      <c r="B675" s="24"/>
      <c r="C675" s="24"/>
      <c r="D675" s="34" t="str">
        <f>IF(C675="","",IFERROR(VLOOKUP(C675,CRM!$B$8:$O$1007,2,FALSE()),"Revisar ID"))</f>
        <v/>
      </c>
      <c r="E675" s="23"/>
      <c r="F675" s="37" t="str">
        <f t="shared" si="40"/>
        <v/>
      </c>
      <c r="G675" s="28"/>
      <c r="H675" s="29"/>
      <c r="I675" s="28"/>
      <c r="J675" s="29"/>
      <c r="K675" s="28"/>
      <c r="L675" s="32" t="str">
        <f t="shared" si="41"/>
        <v/>
      </c>
      <c r="M675" s="33" t="str">
        <f t="shared" ca="1" si="42"/>
        <v/>
      </c>
      <c r="N675" s="34" t="str">
        <f t="shared" si="43"/>
        <v/>
      </c>
      <c r="O675" s="23"/>
      <c r="P675" s="23"/>
    </row>
    <row r="676" spans="1:16" ht="21.75" customHeight="1" x14ac:dyDescent="0.25">
      <c r="A676" s="24"/>
      <c r="B676" s="24"/>
      <c r="C676" s="24"/>
      <c r="D676" s="34" t="str">
        <f>IF(C676="","",IFERROR(VLOOKUP(C676,CRM!$B$8:$O$1007,2,FALSE()),"Revisar ID"))</f>
        <v/>
      </c>
      <c r="E676" s="23"/>
      <c r="F676" s="37" t="str">
        <f t="shared" si="40"/>
        <v/>
      </c>
      <c r="G676" s="28"/>
      <c r="H676" s="29"/>
      <c r="I676" s="28"/>
      <c r="J676" s="29"/>
      <c r="K676" s="28"/>
      <c r="L676" s="32" t="str">
        <f t="shared" si="41"/>
        <v/>
      </c>
      <c r="M676" s="33" t="str">
        <f t="shared" ca="1" si="42"/>
        <v/>
      </c>
      <c r="N676" s="34" t="str">
        <f t="shared" si="43"/>
        <v/>
      </c>
      <c r="O676" s="23"/>
      <c r="P676" s="23"/>
    </row>
    <row r="677" spans="1:16" ht="21.75" customHeight="1" x14ac:dyDescent="0.25">
      <c r="A677" s="24"/>
      <c r="B677" s="24"/>
      <c r="C677" s="24"/>
      <c r="D677" s="34" t="str">
        <f>IF(C677="","",IFERROR(VLOOKUP(C677,CRM!$B$8:$O$1007,2,FALSE()),"Revisar ID"))</f>
        <v/>
      </c>
      <c r="E677" s="23"/>
      <c r="F677" s="37" t="str">
        <f t="shared" si="40"/>
        <v/>
      </c>
      <c r="G677" s="28"/>
      <c r="H677" s="29"/>
      <c r="I677" s="28"/>
      <c r="J677" s="29"/>
      <c r="K677" s="28"/>
      <c r="L677" s="32" t="str">
        <f t="shared" si="41"/>
        <v/>
      </c>
      <c r="M677" s="33" t="str">
        <f t="shared" ca="1" si="42"/>
        <v/>
      </c>
      <c r="N677" s="34" t="str">
        <f t="shared" si="43"/>
        <v/>
      </c>
      <c r="O677" s="23"/>
      <c r="P677" s="23"/>
    </row>
    <row r="678" spans="1:16" ht="21.75" customHeight="1" x14ac:dyDescent="0.25">
      <c r="A678" s="24"/>
      <c r="B678" s="24"/>
      <c r="C678" s="24"/>
      <c r="D678" s="34" t="str">
        <f>IF(C678="","",IFERROR(VLOOKUP(C678,CRM!$B$8:$O$1007,2,FALSE()),"Revisar ID"))</f>
        <v/>
      </c>
      <c r="E678" s="23"/>
      <c r="F678" s="37" t="str">
        <f t="shared" si="40"/>
        <v/>
      </c>
      <c r="G678" s="28"/>
      <c r="H678" s="29"/>
      <c r="I678" s="28"/>
      <c r="J678" s="29"/>
      <c r="K678" s="28"/>
      <c r="L678" s="32" t="str">
        <f t="shared" si="41"/>
        <v/>
      </c>
      <c r="M678" s="33" t="str">
        <f t="shared" ca="1" si="42"/>
        <v/>
      </c>
      <c r="N678" s="34" t="str">
        <f t="shared" si="43"/>
        <v/>
      </c>
      <c r="O678" s="23"/>
      <c r="P678" s="23"/>
    </row>
    <row r="679" spans="1:16" ht="21.75" customHeight="1" x14ac:dyDescent="0.25">
      <c r="A679" s="24"/>
      <c r="B679" s="24"/>
      <c r="C679" s="24"/>
      <c r="D679" s="34" t="str">
        <f>IF(C679="","",IFERROR(VLOOKUP(C679,CRM!$B$8:$O$1007,2,FALSE()),"Revisar ID"))</f>
        <v/>
      </c>
      <c r="E679" s="23"/>
      <c r="F679" s="37" t="str">
        <f t="shared" si="40"/>
        <v/>
      </c>
      <c r="G679" s="28"/>
      <c r="H679" s="29"/>
      <c r="I679" s="28"/>
      <c r="J679" s="29"/>
      <c r="K679" s="28"/>
      <c r="L679" s="32" t="str">
        <f t="shared" si="41"/>
        <v/>
      </c>
      <c r="M679" s="33" t="str">
        <f t="shared" ca="1" si="42"/>
        <v/>
      </c>
      <c r="N679" s="34" t="str">
        <f t="shared" si="43"/>
        <v/>
      </c>
      <c r="O679" s="23"/>
      <c r="P679" s="23"/>
    </row>
    <row r="680" spans="1:16" ht="21.75" customHeight="1" x14ac:dyDescent="0.25">
      <c r="A680" s="24"/>
      <c r="B680" s="24"/>
      <c r="C680" s="24"/>
      <c r="D680" s="34" t="str">
        <f>IF(C680="","",IFERROR(VLOOKUP(C680,CRM!$B$8:$O$1007,2,FALSE()),"Revisar ID"))</f>
        <v/>
      </c>
      <c r="E680" s="23"/>
      <c r="F680" s="37" t="str">
        <f t="shared" si="40"/>
        <v/>
      </c>
      <c r="G680" s="28"/>
      <c r="H680" s="29"/>
      <c r="I680" s="28"/>
      <c r="J680" s="29"/>
      <c r="K680" s="28"/>
      <c r="L680" s="32" t="str">
        <f t="shared" si="41"/>
        <v/>
      </c>
      <c r="M680" s="33" t="str">
        <f t="shared" ca="1" si="42"/>
        <v/>
      </c>
      <c r="N680" s="34" t="str">
        <f t="shared" si="43"/>
        <v/>
      </c>
      <c r="O680" s="23"/>
      <c r="P680" s="23"/>
    </row>
    <row r="681" spans="1:16" ht="21.75" customHeight="1" x14ac:dyDescent="0.25">
      <c r="A681" s="24"/>
      <c r="B681" s="24"/>
      <c r="C681" s="24"/>
      <c r="D681" s="34" t="str">
        <f>IF(C681="","",IFERROR(VLOOKUP(C681,CRM!$B$8:$O$1007,2,FALSE()),"Revisar ID"))</f>
        <v/>
      </c>
      <c r="E681" s="23"/>
      <c r="F681" s="37" t="str">
        <f t="shared" si="40"/>
        <v/>
      </c>
      <c r="G681" s="28"/>
      <c r="H681" s="29"/>
      <c r="I681" s="28"/>
      <c r="J681" s="29"/>
      <c r="K681" s="28"/>
      <c r="L681" s="32" t="str">
        <f t="shared" si="41"/>
        <v/>
      </c>
      <c r="M681" s="33" t="str">
        <f t="shared" ca="1" si="42"/>
        <v/>
      </c>
      <c r="N681" s="34" t="str">
        <f t="shared" si="43"/>
        <v/>
      </c>
      <c r="O681" s="23"/>
      <c r="P681" s="23"/>
    </row>
    <row r="682" spans="1:16" ht="21.75" customHeight="1" x14ac:dyDescent="0.25">
      <c r="A682" s="24"/>
      <c r="B682" s="24"/>
      <c r="C682" s="24"/>
      <c r="D682" s="34" t="str">
        <f>IF(C682="","",IFERROR(VLOOKUP(C682,CRM!$B$8:$O$1007,2,FALSE()),"Revisar ID"))</f>
        <v/>
      </c>
      <c r="E682" s="23"/>
      <c r="F682" s="37" t="str">
        <f t="shared" si="40"/>
        <v/>
      </c>
      <c r="G682" s="28"/>
      <c r="H682" s="29"/>
      <c r="I682" s="28"/>
      <c r="J682" s="29"/>
      <c r="K682" s="28"/>
      <c r="L682" s="32" t="str">
        <f t="shared" si="41"/>
        <v/>
      </c>
      <c r="M682" s="33" t="str">
        <f t="shared" ca="1" si="42"/>
        <v/>
      </c>
      <c r="N682" s="34" t="str">
        <f t="shared" si="43"/>
        <v/>
      </c>
      <c r="O682" s="23"/>
      <c r="P682" s="23"/>
    </row>
    <row r="683" spans="1:16" ht="21.75" customHeight="1" x14ac:dyDescent="0.25">
      <c r="A683" s="24"/>
      <c r="B683" s="24"/>
      <c r="C683" s="24"/>
      <c r="D683" s="34" t="str">
        <f>IF(C683="","",IFERROR(VLOOKUP(C683,CRM!$B$8:$O$1007,2,FALSE()),"Revisar ID"))</f>
        <v/>
      </c>
      <c r="E683" s="23"/>
      <c r="F683" s="37" t="str">
        <f t="shared" si="40"/>
        <v/>
      </c>
      <c r="G683" s="28"/>
      <c r="H683" s="29"/>
      <c r="I683" s="28"/>
      <c r="J683" s="29"/>
      <c r="K683" s="28"/>
      <c r="L683" s="32" t="str">
        <f t="shared" si="41"/>
        <v/>
      </c>
      <c r="M683" s="33" t="str">
        <f t="shared" ca="1" si="42"/>
        <v/>
      </c>
      <c r="N683" s="34" t="str">
        <f t="shared" si="43"/>
        <v/>
      </c>
      <c r="O683" s="23"/>
      <c r="P683" s="23"/>
    </row>
    <row r="684" spans="1:16" ht="21.75" customHeight="1" x14ac:dyDescent="0.25">
      <c r="A684" s="24"/>
      <c r="B684" s="24"/>
      <c r="C684" s="24"/>
      <c r="D684" s="34" t="str">
        <f>IF(C684="","",IFERROR(VLOOKUP(C684,CRM!$B$8:$O$1007,2,FALSE()),"Revisar ID"))</f>
        <v/>
      </c>
      <c r="E684" s="23"/>
      <c r="F684" s="37" t="str">
        <f t="shared" si="40"/>
        <v/>
      </c>
      <c r="G684" s="28"/>
      <c r="H684" s="29"/>
      <c r="I684" s="28"/>
      <c r="J684" s="29"/>
      <c r="K684" s="28"/>
      <c r="L684" s="32" t="str">
        <f t="shared" si="41"/>
        <v/>
      </c>
      <c r="M684" s="33" t="str">
        <f t="shared" ca="1" si="42"/>
        <v/>
      </c>
      <c r="N684" s="34" t="str">
        <f t="shared" si="43"/>
        <v/>
      </c>
      <c r="O684" s="23"/>
      <c r="P684" s="23"/>
    </row>
    <row r="685" spans="1:16" ht="21.75" customHeight="1" x14ac:dyDescent="0.25">
      <c r="A685" s="24"/>
      <c r="B685" s="24"/>
      <c r="C685" s="24"/>
      <c r="D685" s="34" t="str">
        <f>IF(C685="","",IFERROR(VLOOKUP(C685,CRM!$B$8:$O$1007,2,FALSE()),"Revisar ID"))</f>
        <v/>
      </c>
      <c r="E685" s="23"/>
      <c r="F685" s="37" t="str">
        <f t="shared" si="40"/>
        <v/>
      </c>
      <c r="G685" s="28"/>
      <c r="H685" s="29"/>
      <c r="I685" s="28"/>
      <c r="J685" s="29"/>
      <c r="K685" s="28"/>
      <c r="L685" s="32" t="str">
        <f t="shared" si="41"/>
        <v/>
      </c>
      <c r="M685" s="33" t="str">
        <f t="shared" ca="1" si="42"/>
        <v/>
      </c>
      <c r="N685" s="34" t="str">
        <f t="shared" si="43"/>
        <v/>
      </c>
      <c r="O685" s="23"/>
      <c r="P685" s="23"/>
    </row>
    <row r="686" spans="1:16" ht="21.75" customHeight="1" x14ac:dyDescent="0.25">
      <c r="A686" s="24"/>
      <c r="B686" s="24"/>
      <c r="C686" s="24"/>
      <c r="D686" s="34" t="str">
        <f>IF(C686="","",IFERROR(VLOOKUP(C686,CRM!$B$8:$O$1007,2,FALSE()),"Revisar ID"))</f>
        <v/>
      </c>
      <c r="E686" s="23"/>
      <c r="F686" s="37" t="str">
        <f t="shared" si="40"/>
        <v/>
      </c>
      <c r="G686" s="28"/>
      <c r="H686" s="29"/>
      <c r="I686" s="28"/>
      <c r="J686" s="29"/>
      <c r="K686" s="28"/>
      <c r="L686" s="32" t="str">
        <f t="shared" si="41"/>
        <v/>
      </c>
      <c r="M686" s="33" t="str">
        <f t="shared" ca="1" si="42"/>
        <v/>
      </c>
      <c r="N686" s="34" t="str">
        <f t="shared" si="43"/>
        <v/>
      </c>
      <c r="O686" s="23"/>
      <c r="P686" s="23"/>
    </row>
    <row r="687" spans="1:16" ht="21.75" customHeight="1" x14ac:dyDescent="0.25">
      <c r="A687" s="24"/>
      <c r="B687" s="24"/>
      <c r="C687" s="24"/>
      <c r="D687" s="34" t="str">
        <f>IF(C687="","",IFERROR(VLOOKUP(C687,CRM!$B$8:$O$1007,2,FALSE()),"Revisar ID"))</f>
        <v/>
      </c>
      <c r="E687" s="23"/>
      <c r="F687" s="37" t="str">
        <f t="shared" si="40"/>
        <v/>
      </c>
      <c r="G687" s="28"/>
      <c r="H687" s="29"/>
      <c r="I687" s="28"/>
      <c r="J687" s="29"/>
      <c r="K687" s="28"/>
      <c r="L687" s="32" t="str">
        <f t="shared" si="41"/>
        <v/>
      </c>
      <c r="M687" s="33" t="str">
        <f t="shared" ca="1" si="42"/>
        <v/>
      </c>
      <c r="N687" s="34" t="str">
        <f t="shared" si="43"/>
        <v/>
      </c>
      <c r="O687" s="23"/>
      <c r="P687" s="23"/>
    </row>
    <row r="688" spans="1:16" ht="21.75" customHeight="1" x14ac:dyDescent="0.25">
      <c r="A688" s="24"/>
      <c r="B688" s="24"/>
      <c r="C688" s="24"/>
      <c r="D688" s="34" t="str">
        <f>IF(C688="","",IFERROR(VLOOKUP(C688,CRM!$B$8:$O$1007,2,FALSE()),"Revisar ID"))</f>
        <v/>
      </c>
      <c r="E688" s="23"/>
      <c r="F688" s="37" t="str">
        <f t="shared" si="40"/>
        <v/>
      </c>
      <c r="G688" s="28"/>
      <c r="H688" s="29"/>
      <c r="I688" s="28"/>
      <c r="J688" s="29"/>
      <c r="K688" s="28"/>
      <c r="L688" s="32" t="str">
        <f t="shared" si="41"/>
        <v/>
      </c>
      <c r="M688" s="33" t="str">
        <f t="shared" ca="1" si="42"/>
        <v/>
      </c>
      <c r="N688" s="34" t="str">
        <f t="shared" si="43"/>
        <v/>
      </c>
      <c r="O688" s="23"/>
      <c r="P688" s="23"/>
    </row>
    <row r="689" spans="1:16" ht="21.75" customHeight="1" x14ac:dyDescent="0.25">
      <c r="A689" s="24"/>
      <c r="B689" s="24"/>
      <c r="C689" s="24"/>
      <c r="D689" s="34" t="str">
        <f>IF(C689="","",IFERROR(VLOOKUP(C689,CRM!$B$8:$O$1007,2,FALSE()),"Revisar ID"))</f>
        <v/>
      </c>
      <c r="E689" s="23"/>
      <c r="F689" s="37" t="str">
        <f t="shared" si="40"/>
        <v/>
      </c>
      <c r="G689" s="28"/>
      <c r="H689" s="29"/>
      <c r="I689" s="28"/>
      <c r="J689" s="29"/>
      <c r="K689" s="28"/>
      <c r="L689" s="32" t="str">
        <f t="shared" si="41"/>
        <v/>
      </c>
      <c r="M689" s="33" t="str">
        <f t="shared" ca="1" si="42"/>
        <v/>
      </c>
      <c r="N689" s="34" t="str">
        <f t="shared" si="43"/>
        <v/>
      </c>
      <c r="O689" s="23"/>
      <c r="P689" s="23"/>
    </row>
    <row r="690" spans="1:16" ht="21.75" customHeight="1" x14ac:dyDescent="0.25">
      <c r="A690" s="24"/>
      <c r="B690" s="24"/>
      <c r="C690" s="24"/>
      <c r="D690" s="34" t="str">
        <f>IF(C690="","",IFERROR(VLOOKUP(C690,CRM!$B$8:$O$1007,2,FALSE()),"Revisar ID"))</f>
        <v/>
      </c>
      <c r="E690" s="23"/>
      <c r="F690" s="37" t="str">
        <f t="shared" si="40"/>
        <v/>
      </c>
      <c r="G690" s="28"/>
      <c r="H690" s="29"/>
      <c r="I690" s="28"/>
      <c r="J690" s="29"/>
      <c r="K690" s="28"/>
      <c r="L690" s="32" t="str">
        <f t="shared" si="41"/>
        <v/>
      </c>
      <c r="M690" s="33" t="str">
        <f t="shared" ca="1" si="42"/>
        <v/>
      </c>
      <c r="N690" s="34" t="str">
        <f t="shared" si="43"/>
        <v/>
      </c>
      <c r="O690" s="23"/>
      <c r="P690" s="23"/>
    </row>
    <row r="691" spans="1:16" ht="21.75" customHeight="1" x14ac:dyDescent="0.25">
      <c r="A691" s="24"/>
      <c r="B691" s="24"/>
      <c r="C691" s="24"/>
      <c r="D691" s="34" t="str">
        <f>IF(C691="","",IFERROR(VLOOKUP(C691,CRM!$B$8:$O$1007,2,FALSE()),"Revisar ID"))</f>
        <v/>
      </c>
      <c r="E691" s="23"/>
      <c r="F691" s="37" t="str">
        <f t="shared" si="40"/>
        <v/>
      </c>
      <c r="G691" s="28"/>
      <c r="H691" s="29"/>
      <c r="I691" s="28"/>
      <c r="J691" s="29"/>
      <c r="K691" s="28"/>
      <c r="L691" s="32" t="str">
        <f t="shared" si="41"/>
        <v/>
      </c>
      <c r="M691" s="33" t="str">
        <f t="shared" ca="1" si="42"/>
        <v/>
      </c>
      <c r="N691" s="34" t="str">
        <f t="shared" si="43"/>
        <v/>
      </c>
      <c r="O691" s="23"/>
      <c r="P691" s="23"/>
    </row>
    <row r="692" spans="1:16" ht="21.75" customHeight="1" x14ac:dyDescent="0.25">
      <c r="A692" s="24"/>
      <c r="B692" s="24"/>
      <c r="C692" s="24"/>
      <c r="D692" s="34" t="str">
        <f>IF(C692="","",IFERROR(VLOOKUP(C692,CRM!$B$8:$O$1007,2,FALSE()),"Revisar ID"))</f>
        <v/>
      </c>
      <c r="E692" s="23"/>
      <c r="F692" s="37" t="str">
        <f t="shared" si="40"/>
        <v/>
      </c>
      <c r="G692" s="28"/>
      <c r="H692" s="29"/>
      <c r="I692" s="28"/>
      <c r="J692" s="29"/>
      <c r="K692" s="28"/>
      <c r="L692" s="32" t="str">
        <f t="shared" si="41"/>
        <v/>
      </c>
      <c r="M692" s="33" t="str">
        <f t="shared" ca="1" si="42"/>
        <v/>
      </c>
      <c r="N692" s="34" t="str">
        <f t="shared" si="43"/>
        <v/>
      </c>
      <c r="O692" s="23"/>
      <c r="P692" s="23"/>
    </row>
    <row r="693" spans="1:16" ht="21.75" customHeight="1" x14ac:dyDescent="0.25">
      <c r="A693" s="24"/>
      <c r="B693" s="24"/>
      <c r="C693" s="24"/>
      <c r="D693" s="34" t="str">
        <f>IF(C693="","",IFERROR(VLOOKUP(C693,CRM!$B$8:$O$1007,2,FALSE()),"Revisar ID"))</f>
        <v/>
      </c>
      <c r="E693" s="23"/>
      <c r="F693" s="37" t="str">
        <f t="shared" si="40"/>
        <v/>
      </c>
      <c r="G693" s="28"/>
      <c r="H693" s="29"/>
      <c r="I693" s="28"/>
      <c r="J693" s="29"/>
      <c r="K693" s="28"/>
      <c r="L693" s="32" t="str">
        <f t="shared" si="41"/>
        <v/>
      </c>
      <c r="M693" s="33" t="str">
        <f t="shared" ca="1" si="42"/>
        <v/>
      </c>
      <c r="N693" s="34" t="str">
        <f t="shared" si="43"/>
        <v/>
      </c>
      <c r="O693" s="23"/>
      <c r="P693" s="23"/>
    </row>
    <row r="694" spans="1:16" ht="21.75" customHeight="1" x14ac:dyDescent="0.25">
      <c r="A694" s="24"/>
      <c r="B694" s="24"/>
      <c r="C694" s="24"/>
      <c r="D694" s="34" t="str">
        <f>IF(C694="","",IFERROR(VLOOKUP(C694,CRM!$B$8:$O$1007,2,FALSE()),"Revisar ID"))</f>
        <v/>
      </c>
      <c r="E694" s="23"/>
      <c r="F694" s="37" t="str">
        <f t="shared" si="40"/>
        <v/>
      </c>
      <c r="G694" s="28"/>
      <c r="H694" s="29"/>
      <c r="I694" s="28"/>
      <c r="J694" s="29"/>
      <c r="K694" s="28"/>
      <c r="L694" s="32" t="str">
        <f t="shared" si="41"/>
        <v/>
      </c>
      <c r="M694" s="33" t="str">
        <f t="shared" ca="1" si="42"/>
        <v/>
      </c>
      <c r="N694" s="34" t="str">
        <f t="shared" si="43"/>
        <v/>
      </c>
      <c r="O694" s="23"/>
      <c r="P694" s="23"/>
    </row>
    <row r="695" spans="1:16" ht="21.75" customHeight="1" x14ac:dyDescent="0.25">
      <c r="A695" s="24"/>
      <c r="B695" s="24"/>
      <c r="C695" s="24"/>
      <c r="D695" s="34" t="str">
        <f>IF(C695="","",IFERROR(VLOOKUP(C695,CRM!$B$8:$O$1007,2,FALSE()),"Revisar ID"))</f>
        <v/>
      </c>
      <c r="E695" s="23"/>
      <c r="F695" s="37" t="str">
        <f t="shared" si="40"/>
        <v/>
      </c>
      <c r="G695" s="28"/>
      <c r="H695" s="29"/>
      <c r="I695" s="28"/>
      <c r="J695" s="29"/>
      <c r="K695" s="28"/>
      <c r="L695" s="32" t="str">
        <f t="shared" si="41"/>
        <v/>
      </c>
      <c r="M695" s="33" t="str">
        <f t="shared" ca="1" si="42"/>
        <v/>
      </c>
      <c r="N695" s="34" t="str">
        <f t="shared" si="43"/>
        <v/>
      </c>
      <c r="O695" s="23"/>
      <c r="P695" s="23"/>
    </row>
    <row r="696" spans="1:16" ht="21.75" customHeight="1" x14ac:dyDescent="0.25">
      <c r="A696" s="24"/>
      <c r="B696" s="24"/>
      <c r="C696" s="24"/>
      <c r="D696" s="34" t="str">
        <f>IF(C696="","",IFERROR(VLOOKUP(C696,CRM!$B$8:$O$1007,2,FALSE()),"Revisar ID"))</f>
        <v/>
      </c>
      <c r="E696" s="23"/>
      <c r="F696" s="37" t="str">
        <f t="shared" si="40"/>
        <v/>
      </c>
      <c r="G696" s="28"/>
      <c r="H696" s="29"/>
      <c r="I696" s="28"/>
      <c r="J696" s="29"/>
      <c r="K696" s="28"/>
      <c r="L696" s="32" t="str">
        <f t="shared" si="41"/>
        <v/>
      </c>
      <c r="M696" s="33" t="str">
        <f t="shared" ca="1" si="42"/>
        <v/>
      </c>
      <c r="N696" s="34" t="str">
        <f t="shared" si="43"/>
        <v/>
      </c>
      <c r="O696" s="23"/>
      <c r="P696" s="23"/>
    </row>
    <row r="697" spans="1:16" ht="21.75" customHeight="1" x14ac:dyDescent="0.25">
      <c r="A697" s="24"/>
      <c r="B697" s="24"/>
      <c r="C697" s="24"/>
      <c r="D697" s="34" t="str">
        <f>IF(C697="","",IFERROR(VLOOKUP(C697,CRM!$B$8:$O$1007,2,FALSE()),"Revisar ID"))</f>
        <v/>
      </c>
      <c r="E697" s="23"/>
      <c r="F697" s="37" t="str">
        <f t="shared" si="40"/>
        <v/>
      </c>
      <c r="G697" s="28"/>
      <c r="H697" s="29"/>
      <c r="I697" s="28"/>
      <c r="J697" s="29"/>
      <c r="K697" s="28"/>
      <c r="L697" s="32" t="str">
        <f t="shared" si="41"/>
        <v/>
      </c>
      <c r="M697" s="33" t="str">
        <f t="shared" ca="1" si="42"/>
        <v/>
      </c>
      <c r="N697" s="34" t="str">
        <f t="shared" si="43"/>
        <v/>
      </c>
      <c r="O697" s="23"/>
      <c r="P697" s="23"/>
    </row>
    <row r="698" spans="1:16" ht="21.75" customHeight="1" x14ac:dyDescent="0.25">
      <c r="A698" s="24"/>
      <c r="B698" s="24"/>
      <c r="C698" s="24"/>
      <c r="D698" s="34" t="str">
        <f>IF(C698="","",IFERROR(VLOOKUP(C698,CRM!$B$8:$O$1007,2,FALSE()),"Revisar ID"))</f>
        <v/>
      </c>
      <c r="E698" s="23"/>
      <c r="F698" s="37" t="str">
        <f t="shared" si="40"/>
        <v/>
      </c>
      <c r="G698" s="28"/>
      <c r="H698" s="29"/>
      <c r="I698" s="28"/>
      <c r="J698" s="29"/>
      <c r="K698" s="28"/>
      <c r="L698" s="32" t="str">
        <f t="shared" si="41"/>
        <v/>
      </c>
      <c r="M698" s="33" t="str">
        <f t="shared" ca="1" si="42"/>
        <v/>
      </c>
      <c r="N698" s="34" t="str">
        <f t="shared" si="43"/>
        <v/>
      </c>
      <c r="O698" s="23"/>
      <c r="P698" s="23"/>
    </row>
    <row r="699" spans="1:16" ht="21.75" customHeight="1" x14ac:dyDescent="0.25">
      <c r="A699" s="24"/>
      <c r="B699" s="24"/>
      <c r="C699" s="24"/>
      <c r="D699" s="34" t="str">
        <f>IF(C699="","",IFERROR(VLOOKUP(C699,CRM!$B$8:$O$1007,2,FALSE()),"Revisar ID"))</f>
        <v/>
      </c>
      <c r="E699" s="23"/>
      <c r="F699" s="37" t="str">
        <f t="shared" si="40"/>
        <v/>
      </c>
      <c r="G699" s="28"/>
      <c r="H699" s="29"/>
      <c r="I699" s="28"/>
      <c r="J699" s="29"/>
      <c r="K699" s="28"/>
      <c r="L699" s="32" t="str">
        <f t="shared" si="41"/>
        <v/>
      </c>
      <c r="M699" s="33" t="str">
        <f t="shared" ca="1" si="42"/>
        <v/>
      </c>
      <c r="N699" s="34" t="str">
        <f t="shared" si="43"/>
        <v/>
      </c>
      <c r="O699" s="23"/>
      <c r="P699" s="23"/>
    </row>
    <row r="700" spans="1:16" ht="21.75" customHeight="1" x14ac:dyDescent="0.25">
      <c r="A700" s="24"/>
      <c r="B700" s="24"/>
      <c r="C700" s="24"/>
      <c r="D700" s="34" t="str">
        <f>IF(C700="","",IFERROR(VLOOKUP(C700,CRM!$B$8:$O$1007,2,FALSE()),"Revisar ID"))</f>
        <v/>
      </c>
      <c r="E700" s="23"/>
      <c r="F700" s="37" t="str">
        <f t="shared" si="40"/>
        <v/>
      </c>
      <c r="G700" s="28"/>
      <c r="H700" s="29"/>
      <c r="I700" s="28"/>
      <c r="J700" s="29"/>
      <c r="K700" s="28"/>
      <c r="L700" s="32" t="str">
        <f t="shared" si="41"/>
        <v/>
      </c>
      <c r="M700" s="33" t="str">
        <f t="shared" ca="1" si="42"/>
        <v/>
      </c>
      <c r="N700" s="34" t="str">
        <f t="shared" si="43"/>
        <v/>
      </c>
      <c r="O700" s="23"/>
      <c r="P700" s="23"/>
    </row>
    <row r="701" spans="1:16" ht="21.75" customHeight="1" x14ac:dyDescent="0.25">
      <c r="A701" s="24"/>
      <c r="B701" s="24"/>
      <c r="C701" s="24"/>
      <c r="D701" s="34" t="str">
        <f>IF(C701="","",IFERROR(VLOOKUP(C701,CRM!$B$8:$O$1007,2,FALSE()),"Revisar ID"))</f>
        <v/>
      </c>
      <c r="E701" s="23"/>
      <c r="F701" s="37" t="str">
        <f t="shared" si="40"/>
        <v/>
      </c>
      <c r="G701" s="28"/>
      <c r="H701" s="29"/>
      <c r="I701" s="28"/>
      <c r="J701" s="29"/>
      <c r="K701" s="28"/>
      <c r="L701" s="32" t="str">
        <f t="shared" si="41"/>
        <v/>
      </c>
      <c r="M701" s="33" t="str">
        <f t="shared" ca="1" si="42"/>
        <v/>
      </c>
      <c r="N701" s="34" t="str">
        <f t="shared" si="43"/>
        <v/>
      </c>
      <c r="O701" s="23"/>
      <c r="P701" s="23"/>
    </row>
    <row r="702" spans="1:16" ht="21.75" customHeight="1" x14ac:dyDescent="0.25">
      <c r="A702" s="24"/>
      <c r="B702" s="24"/>
      <c r="C702" s="24"/>
      <c r="D702" s="34" t="str">
        <f>IF(C702="","",IFERROR(VLOOKUP(C702,CRM!$B$8:$O$1007,2,FALSE()),"Revisar ID"))</f>
        <v/>
      </c>
      <c r="E702" s="23"/>
      <c r="F702" s="37" t="str">
        <f t="shared" si="40"/>
        <v/>
      </c>
      <c r="G702" s="28"/>
      <c r="H702" s="29"/>
      <c r="I702" s="28"/>
      <c r="J702" s="29"/>
      <c r="K702" s="28"/>
      <c r="L702" s="32" t="str">
        <f t="shared" si="41"/>
        <v/>
      </c>
      <c r="M702" s="33" t="str">
        <f t="shared" ca="1" si="42"/>
        <v/>
      </c>
      <c r="N702" s="34" t="str">
        <f t="shared" si="43"/>
        <v/>
      </c>
      <c r="O702" s="23"/>
      <c r="P702" s="23"/>
    </row>
    <row r="703" spans="1:16" ht="21.75" customHeight="1" x14ac:dyDescent="0.25">
      <c r="A703" s="24"/>
      <c r="B703" s="24"/>
      <c r="C703" s="24"/>
      <c r="D703" s="34" t="str">
        <f>IF(C703="","",IFERROR(VLOOKUP(C703,CRM!$B$8:$O$1007,2,FALSE()),"Revisar ID"))</f>
        <v/>
      </c>
      <c r="E703" s="23"/>
      <c r="F703" s="37" t="str">
        <f t="shared" si="40"/>
        <v/>
      </c>
      <c r="G703" s="28"/>
      <c r="H703" s="29"/>
      <c r="I703" s="28"/>
      <c r="J703" s="29"/>
      <c r="K703" s="28"/>
      <c r="L703" s="32" t="str">
        <f t="shared" si="41"/>
        <v/>
      </c>
      <c r="M703" s="33" t="str">
        <f t="shared" ca="1" si="42"/>
        <v/>
      </c>
      <c r="N703" s="34" t="str">
        <f t="shared" si="43"/>
        <v/>
      </c>
      <c r="O703" s="23"/>
      <c r="P703" s="23"/>
    </row>
    <row r="704" spans="1:16" ht="21.75" customHeight="1" x14ac:dyDescent="0.25">
      <c r="A704" s="24"/>
      <c r="B704" s="24"/>
      <c r="C704" s="24"/>
      <c r="D704" s="34" t="str">
        <f>IF(C704="","",IFERROR(VLOOKUP(C704,CRM!$B$8:$O$1007,2,FALSE()),"Revisar ID"))</f>
        <v/>
      </c>
      <c r="E704" s="23"/>
      <c r="F704" s="37" t="str">
        <f t="shared" si="40"/>
        <v/>
      </c>
      <c r="G704" s="28"/>
      <c r="H704" s="29"/>
      <c r="I704" s="28"/>
      <c r="J704" s="29"/>
      <c r="K704" s="28"/>
      <c r="L704" s="32" t="str">
        <f t="shared" si="41"/>
        <v/>
      </c>
      <c r="M704" s="33" t="str">
        <f t="shared" ca="1" si="42"/>
        <v/>
      </c>
      <c r="N704" s="34" t="str">
        <f t="shared" si="43"/>
        <v/>
      </c>
      <c r="O704" s="23"/>
      <c r="P704" s="23"/>
    </row>
    <row r="705" spans="1:16" ht="21.75" customHeight="1" x14ac:dyDescent="0.25">
      <c r="A705" s="24"/>
      <c r="B705" s="24"/>
      <c r="C705" s="24"/>
      <c r="D705" s="34" t="str">
        <f>IF(C705="","",IFERROR(VLOOKUP(C705,CRM!$B$8:$O$1007,2,FALSE()),"Revisar ID"))</f>
        <v/>
      </c>
      <c r="E705" s="23"/>
      <c r="F705" s="37" t="str">
        <f t="shared" si="40"/>
        <v/>
      </c>
      <c r="G705" s="28"/>
      <c r="H705" s="29"/>
      <c r="I705" s="28"/>
      <c r="J705" s="29"/>
      <c r="K705" s="28"/>
      <c r="L705" s="32" t="str">
        <f t="shared" si="41"/>
        <v/>
      </c>
      <c r="M705" s="33" t="str">
        <f t="shared" ca="1" si="42"/>
        <v/>
      </c>
      <c r="N705" s="34" t="str">
        <f t="shared" si="43"/>
        <v/>
      </c>
      <c r="O705" s="23"/>
      <c r="P705" s="23"/>
    </row>
    <row r="706" spans="1:16" ht="21.75" customHeight="1" x14ac:dyDescent="0.25">
      <c r="A706" s="24"/>
      <c r="B706" s="24"/>
      <c r="C706" s="24"/>
      <c r="D706" s="34" t="str">
        <f>IF(C706="","",IFERROR(VLOOKUP(C706,CRM!$B$8:$O$1007,2,FALSE()),"Revisar ID"))</f>
        <v/>
      </c>
      <c r="E706" s="23"/>
      <c r="F706" s="37" t="str">
        <f t="shared" si="40"/>
        <v/>
      </c>
      <c r="G706" s="28"/>
      <c r="H706" s="29"/>
      <c r="I706" s="28"/>
      <c r="J706" s="29"/>
      <c r="K706" s="28"/>
      <c r="L706" s="32" t="str">
        <f t="shared" si="41"/>
        <v/>
      </c>
      <c r="M706" s="33" t="str">
        <f t="shared" ca="1" si="42"/>
        <v/>
      </c>
      <c r="N706" s="34" t="str">
        <f t="shared" si="43"/>
        <v/>
      </c>
      <c r="O706" s="23"/>
      <c r="P706" s="23"/>
    </row>
    <row r="707" spans="1:16" ht="21.75" customHeight="1" x14ac:dyDescent="0.25">
      <c r="A707" s="24"/>
      <c r="B707" s="24"/>
      <c r="C707" s="24"/>
      <c r="D707" s="34" t="str">
        <f>IF(C707="","",IFERROR(VLOOKUP(C707,CRM!$B$8:$O$1007,2,FALSE()),"Revisar ID"))</f>
        <v/>
      </c>
      <c r="E707" s="23"/>
      <c r="F707" s="37" t="str">
        <f t="shared" si="40"/>
        <v/>
      </c>
      <c r="G707" s="28"/>
      <c r="H707" s="29"/>
      <c r="I707" s="28"/>
      <c r="J707" s="29"/>
      <c r="K707" s="28"/>
      <c r="L707" s="32" t="str">
        <f t="shared" si="41"/>
        <v/>
      </c>
      <c r="M707" s="33" t="str">
        <f t="shared" ca="1" si="42"/>
        <v/>
      </c>
      <c r="N707" s="34" t="str">
        <f t="shared" si="43"/>
        <v/>
      </c>
      <c r="O707" s="23"/>
      <c r="P707" s="23"/>
    </row>
    <row r="708" spans="1:16" ht="21.75" customHeight="1" x14ac:dyDescent="0.25">
      <c r="A708" s="24"/>
      <c r="B708" s="24"/>
      <c r="C708" s="24"/>
      <c r="D708" s="34" t="str">
        <f>IF(C708="","",IFERROR(VLOOKUP(C708,CRM!$B$8:$O$1007,2,FALSE()),"Revisar ID"))</f>
        <v/>
      </c>
      <c r="E708" s="23"/>
      <c r="F708" s="37" t="str">
        <f t="shared" si="40"/>
        <v/>
      </c>
      <c r="G708" s="28"/>
      <c r="H708" s="29"/>
      <c r="I708" s="28"/>
      <c r="J708" s="29"/>
      <c r="K708" s="28"/>
      <c r="L708" s="32" t="str">
        <f t="shared" si="41"/>
        <v/>
      </c>
      <c r="M708" s="33" t="str">
        <f t="shared" ca="1" si="42"/>
        <v/>
      </c>
      <c r="N708" s="34" t="str">
        <f t="shared" si="43"/>
        <v/>
      </c>
      <c r="O708" s="23"/>
      <c r="P708" s="23"/>
    </row>
    <row r="709" spans="1:16" ht="21.75" customHeight="1" x14ac:dyDescent="0.25">
      <c r="A709" s="24"/>
      <c r="B709" s="24"/>
      <c r="C709" s="24"/>
      <c r="D709" s="34" t="str">
        <f>IF(C709="","",IFERROR(VLOOKUP(C709,CRM!$B$8:$O$1007,2,FALSE()),"Revisar ID"))</f>
        <v/>
      </c>
      <c r="E709" s="23"/>
      <c r="F709" s="37" t="str">
        <f t="shared" si="40"/>
        <v/>
      </c>
      <c r="G709" s="28"/>
      <c r="H709" s="29"/>
      <c r="I709" s="28"/>
      <c r="J709" s="29"/>
      <c r="K709" s="28"/>
      <c r="L709" s="32" t="str">
        <f t="shared" si="41"/>
        <v/>
      </c>
      <c r="M709" s="33" t="str">
        <f t="shared" ca="1" si="42"/>
        <v/>
      </c>
      <c r="N709" s="34" t="str">
        <f t="shared" si="43"/>
        <v/>
      </c>
      <c r="O709" s="23"/>
      <c r="P709" s="23"/>
    </row>
    <row r="710" spans="1:16" ht="21.75" customHeight="1" x14ac:dyDescent="0.25">
      <c r="A710" s="24"/>
      <c r="B710" s="24"/>
      <c r="C710" s="24"/>
      <c r="D710" s="34" t="str">
        <f>IF(C710="","",IFERROR(VLOOKUP(C710,CRM!$B$8:$O$1007,2,FALSE()),"Revisar ID"))</f>
        <v/>
      </c>
      <c r="E710" s="23"/>
      <c r="F710" s="37" t="str">
        <f t="shared" si="40"/>
        <v/>
      </c>
      <c r="G710" s="28"/>
      <c r="H710" s="29"/>
      <c r="I710" s="28"/>
      <c r="J710" s="29"/>
      <c r="K710" s="28"/>
      <c r="L710" s="32" t="str">
        <f t="shared" si="41"/>
        <v/>
      </c>
      <c r="M710" s="33" t="str">
        <f t="shared" ca="1" si="42"/>
        <v/>
      </c>
      <c r="N710" s="34" t="str">
        <f t="shared" si="43"/>
        <v/>
      </c>
      <c r="O710" s="23"/>
      <c r="P710" s="23"/>
    </row>
    <row r="711" spans="1:16" ht="21.75" customHeight="1" x14ac:dyDescent="0.25">
      <c r="A711" s="24"/>
      <c r="B711" s="24"/>
      <c r="C711" s="24"/>
      <c r="D711" s="34" t="str">
        <f>IF(C711="","",IFERROR(VLOOKUP(C711,CRM!$B$8:$O$1007,2,FALSE()),"Revisar ID"))</f>
        <v/>
      </c>
      <c r="E711" s="23"/>
      <c r="F711" s="37" t="str">
        <f t="shared" si="40"/>
        <v/>
      </c>
      <c r="G711" s="28"/>
      <c r="H711" s="29"/>
      <c r="I711" s="28"/>
      <c r="J711" s="29"/>
      <c r="K711" s="28"/>
      <c r="L711" s="32" t="str">
        <f t="shared" si="41"/>
        <v/>
      </c>
      <c r="M711" s="33" t="str">
        <f t="shared" ca="1" si="42"/>
        <v/>
      </c>
      <c r="N711" s="34" t="str">
        <f t="shared" si="43"/>
        <v/>
      </c>
      <c r="O711" s="23"/>
      <c r="P711" s="23"/>
    </row>
    <row r="712" spans="1:16" ht="21.75" customHeight="1" x14ac:dyDescent="0.25">
      <c r="A712" s="24"/>
      <c r="B712" s="24"/>
      <c r="C712" s="24"/>
      <c r="D712" s="34" t="str">
        <f>IF(C712="","",IFERROR(VLOOKUP(C712,CRM!$B$8:$O$1007,2,FALSE()),"Revisar ID"))</f>
        <v/>
      </c>
      <c r="E712" s="23"/>
      <c r="F712" s="37" t="str">
        <f t="shared" si="40"/>
        <v/>
      </c>
      <c r="G712" s="28"/>
      <c r="H712" s="29"/>
      <c r="I712" s="28"/>
      <c r="J712" s="29"/>
      <c r="K712" s="28"/>
      <c r="L712" s="32" t="str">
        <f t="shared" si="41"/>
        <v/>
      </c>
      <c r="M712" s="33" t="str">
        <f t="shared" ca="1" si="42"/>
        <v/>
      </c>
      <c r="N712" s="34" t="str">
        <f t="shared" si="43"/>
        <v/>
      </c>
      <c r="O712" s="23"/>
      <c r="P712" s="23"/>
    </row>
    <row r="713" spans="1:16" ht="21.75" customHeight="1" x14ac:dyDescent="0.25">
      <c r="A713" s="24"/>
      <c r="B713" s="24"/>
      <c r="C713" s="24"/>
      <c r="D713" s="34" t="str">
        <f>IF(C713="","",IFERROR(VLOOKUP(C713,CRM!$B$8:$O$1007,2,FALSE()),"Revisar ID"))</f>
        <v/>
      </c>
      <c r="E713" s="23"/>
      <c r="F713" s="37" t="str">
        <f t="shared" ref="F713:F776" si="44">IF(B713="","",B713+IF(E713="Contado",0,IF(E713="7 días",7,IF(E713="15 días",15,IF(E713="30 días",30,IF(E713="45 días",45,IF(E713="60 días",60,0)))))))</f>
        <v/>
      </c>
      <c r="G713" s="28"/>
      <c r="H713" s="29"/>
      <c r="I713" s="28"/>
      <c r="J713" s="29"/>
      <c r="K713" s="28"/>
      <c r="L713" s="32" t="str">
        <f t="shared" ref="L713:L776" si="45">IF(G713="","",MAX(0,G713-SUM(I713,K713)))</f>
        <v/>
      </c>
      <c r="M713" s="33" t="str">
        <f t="shared" ref="M713:M776" ca="1" si="46">IF(G713="","",IF(L713=0,0,MAX(0,TODAY()-F713)))</f>
        <v/>
      </c>
      <c r="N713" s="34" t="str">
        <f t="shared" ref="N713:N776" si="47">IF(G713="","",IF(L713=0,"Pagada",IF(M713&gt;0,"Vencida",IF(SUM(I713,K713)&gt;0,"Parcial","Pendiente"))))</f>
        <v/>
      </c>
      <c r="O713" s="23"/>
      <c r="P713" s="23"/>
    </row>
    <row r="714" spans="1:16" ht="21.75" customHeight="1" x14ac:dyDescent="0.25">
      <c r="A714" s="24"/>
      <c r="B714" s="24"/>
      <c r="C714" s="24"/>
      <c r="D714" s="34" t="str">
        <f>IF(C714="","",IFERROR(VLOOKUP(C714,CRM!$B$8:$O$1007,2,FALSE()),"Revisar ID"))</f>
        <v/>
      </c>
      <c r="E714" s="23"/>
      <c r="F714" s="37" t="str">
        <f t="shared" si="44"/>
        <v/>
      </c>
      <c r="G714" s="28"/>
      <c r="H714" s="29"/>
      <c r="I714" s="28"/>
      <c r="J714" s="29"/>
      <c r="K714" s="28"/>
      <c r="L714" s="32" t="str">
        <f t="shared" si="45"/>
        <v/>
      </c>
      <c r="M714" s="33" t="str">
        <f t="shared" ca="1" si="46"/>
        <v/>
      </c>
      <c r="N714" s="34" t="str">
        <f t="shared" si="47"/>
        <v/>
      </c>
      <c r="O714" s="23"/>
      <c r="P714" s="23"/>
    </row>
    <row r="715" spans="1:16" ht="21.75" customHeight="1" x14ac:dyDescent="0.25">
      <c r="A715" s="24"/>
      <c r="B715" s="24"/>
      <c r="C715" s="24"/>
      <c r="D715" s="34" t="str">
        <f>IF(C715="","",IFERROR(VLOOKUP(C715,CRM!$B$8:$O$1007,2,FALSE()),"Revisar ID"))</f>
        <v/>
      </c>
      <c r="E715" s="23"/>
      <c r="F715" s="37" t="str">
        <f t="shared" si="44"/>
        <v/>
      </c>
      <c r="G715" s="28"/>
      <c r="H715" s="29"/>
      <c r="I715" s="28"/>
      <c r="J715" s="29"/>
      <c r="K715" s="28"/>
      <c r="L715" s="32" t="str">
        <f t="shared" si="45"/>
        <v/>
      </c>
      <c r="M715" s="33" t="str">
        <f t="shared" ca="1" si="46"/>
        <v/>
      </c>
      <c r="N715" s="34" t="str">
        <f t="shared" si="47"/>
        <v/>
      </c>
      <c r="O715" s="23"/>
      <c r="P715" s="23"/>
    </row>
    <row r="716" spans="1:16" ht="21.75" customHeight="1" x14ac:dyDescent="0.25">
      <c r="A716" s="24"/>
      <c r="B716" s="24"/>
      <c r="C716" s="24"/>
      <c r="D716" s="34" t="str">
        <f>IF(C716="","",IFERROR(VLOOKUP(C716,CRM!$B$8:$O$1007,2,FALSE()),"Revisar ID"))</f>
        <v/>
      </c>
      <c r="E716" s="23"/>
      <c r="F716" s="37" t="str">
        <f t="shared" si="44"/>
        <v/>
      </c>
      <c r="G716" s="28"/>
      <c r="H716" s="29"/>
      <c r="I716" s="28"/>
      <c r="J716" s="29"/>
      <c r="K716" s="28"/>
      <c r="L716" s="32" t="str">
        <f t="shared" si="45"/>
        <v/>
      </c>
      <c r="M716" s="33" t="str">
        <f t="shared" ca="1" si="46"/>
        <v/>
      </c>
      <c r="N716" s="34" t="str">
        <f t="shared" si="47"/>
        <v/>
      </c>
      <c r="O716" s="23"/>
      <c r="P716" s="23"/>
    </row>
    <row r="717" spans="1:16" ht="21.75" customHeight="1" x14ac:dyDescent="0.25">
      <c r="A717" s="24"/>
      <c r="B717" s="24"/>
      <c r="C717" s="24"/>
      <c r="D717" s="34" t="str">
        <f>IF(C717="","",IFERROR(VLOOKUP(C717,CRM!$B$8:$O$1007,2,FALSE()),"Revisar ID"))</f>
        <v/>
      </c>
      <c r="E717" s="23"/>
      <c r="F717" s="37" t="str">
        <f t="shared" si="44"/>
        <v/>
      </c>
      <c r="G717" s="28"/>
      <c r="H717" s="29"/>
      <c r="I717" s="28"/>
      <c r="J717" s="29"/>
      <c r="K717" s="28"/>
      <c r="L717" s="32" t="str">
        <f t="shared" si="45"/>
        <v/>
      </c>
      <c r="M717" s="33" t="str">
        <f t="shared" ca="1" si="46"/>
        <v/>
      </c>
      <c r="N717" s="34" t="str">
        <f t="shared" si="47"/>
        <v/>
      </c>
      <c r="O717" s="23"/>
      <c r="P717" s="23"/>
    </row>
    <row r="718" spans="1:16" ht="21.75" customHeight="1" x14ac:dyDescent="0.25">
      <c r="A718" s="24"/>
      <c r="B718" s="24"/>
      <c r="C718" s="24"/>
      <c r="D718" s="34" t="str">
        <f>IF(C718="","",IFERROR(VLOOKUP(C718,CRM!$B$8:$O$1007,2,FALSE()),"Revisar ID"))</f>
        <v/>
      </c>
      <c r="E718" s="23"/>
      <c r="F718" s="37" t="str">
        <f t="shared" si="44"/>
        <v/>
      </c>
      <c r="G718" s="28"/>
      <c r="H718" s="29"/>
      <c r="I718" s="28"/>
      <c r="J718" s="29"/>
      <c r="K718" s="28"/>
      <c r="L718" s="32" t="str">
        <f t="shared" si="45"/>
        <v/>
      </c>
      <c r="M718" s="33" t="str">
        <f t="shared" ca="1" si="46"/>
        <v/>
      </c>
      <c r="N718" s="34" t="str">
        <f t="shared" si="47"/>
        <v/>
      </c>
      <c r="O718" s="23"/>
      <c r="P718" s="23"/>
    </row>
    <row r="719" spans="1:16" ht="21.75" customHeight="1" x14ac:dyDescent="0.25">
      <c r="A719" s="24"/>
      <c r="B719" s="24"/>
      <c r="C719" s="24"/>
      <c r="D719" s="34" t="str">
        <f>IF(C719="","",IFERROR(VLOOKUP(C719,CRM!$B$8:$O$1007,2,FALSE()),"Revisar ID"))</f>
        <v/>
      </c>
      <c r="E719" s="23"/>
      <c r="F719" s="37" t="str">
        <f t="shared" si="44"/>
        <v/>
      </c>
      <c r="G719" s="28"/>
      <c r="H719" s="29"/>
      <c r="I719" s="28"/>
      <c r="J719" s="29"/>
      <c r="K719" s="28"/>
      <c r="L719" s="32" t="str">
        <f t="shared" si="45"/>
        <v/>
      </c>
      <c r="M719" s="33" t="str">
        <f t="shared" ca="1" si="46"/>
        <v/>
      </c>
      <c r="N719" s="34" t="str">
        <f t="shared" si="47"/>
        <v/>
      </c>
      <c r="O719" s="23"/>
      <c r="P719" s="23"/>
    </row>
    <row r="720" spans="1:16" ht="21.75" customHeight="1" x14ac:dyDescent="0.25">
      <c r="A720" s="24"/>
      <c r="B720" s="24"/>
      <c r="C720" s="24"/>
      <c r="D720" s="34" t="str">
        <f>IF(C720="","",IFERROR(VLOOKUP(C720,CRM!$B$8:$O$1007,2,FALSE()),"Revisar ID"))</f>
        <v/>
      </c>
      <c r="E720" s="23"/>
      <c r="F720" s="37" t="str">
        <f t="shared" si="44"/>
        <v/>
      </c>
      <c r="G720" s="28"/>
      <c r="H720" s="29"/>
      <c r="I720" s="28"/>
      <c r="J720" s="29"/>
      <c r="K720" s="28"/>
      <c r="L720" s="32" t="str">
        <f t="shared" si="45"/>
        <v/>
      </c>
      <c r="M720" s="33" t="str">
        <f t="shared" ca="1" si="46"/>
        <v/>
      </c>
      <c r="N720" s="34" t="str">
        <f t="shared" si="47"/>
        <v/>
      </c>
      <c r="O720" s="23"/>
      <c r="P720" s="23"/>
    </row>
    <row r="721" spans="1:16" ht="21.75" customHeight="1" x14ac:dyDescent="0.25">
      <c r="A721" s="24"/>
      <c r="B721" s="24"/>
      <c r="C721" s="24"/>
      <c r="D721" s="34" t="str">
        <f>IF(C721="","",IFERROR(VLOOKUP(C721,CRM!$B$8:$O$1007,2,FALSE()),"Revisar ID"))</f>
        <v/>
      </c>
      <c r="E721" s="23"/>
      <c r="F721" s="37" t="str">
        <f t="shared" si="44"/>
        <v/>
      </c>
      <c r="G721" s="28"/>
      <c r="H721" s="29"/>
      <c r="I721" s="28"/>
      <c r="J721" s="29"/>
      <c r="K721" s="28"/>
      <c r="L721" s="32" t="str">
        <f t="shared" si="45"/>
        <v/>
      </c>
      <c r="M721" s="33" t="str">
        <f t="shared" ca="1" si="46"/>
        <v/>
      </c>
      <c r="N721" s="34" t="str">
        <f t="shared" si="47"/>
        <v/>
      </c>
      <c r="O721" s="23"/>
      <c r="P721" s="23"/>
    </row>
    <row r="722" spans="1:16" ht="21.75" customHeight="1" x14ac:dyDescent="0.25">
      <c r="A722" s="24"/>
      <c r="B722" s="24"/>
      <c r="C722" s="24"/>
      <c r="D722" s="34" t="str">
        <f>IF(C722="","",IFERROR(VLOOKUP(C722,CRM!$B$8:$O$1007,2,FALSE()),"Revisar ID"))</f>
        <v/>
      </c>
      <c r="E722" s="23"/>
      <c r="F722" s="37" t="str">
        <f t="shared" si="44"/>
        <v/>
      </c>
      <c r="G722" s="28"/>
      <c r="H722" s="29"/>
      <c r="I722" s="28"/>
      <c r="J722" s="29"/>
      <c r="K722" s="28"/>
      <c r="L722" s="32" t="str">
        <f t="shared" si="45"/>
        <v/>
      </c>
      <c r="M722" s="33" t="str">
        <f t="shared" ca="1" si="46"/>
        <v/>
      </c>
      <c r="N722" s="34" t="str">
        <f t="shared" si="47"/>
        <v/>
      </c>
      <c r="O722" s="23"/>
      <c r="P722" s="23"/>
    </row>
    <row r="723" spans="1:16" ht="21.75" customHeight="1" x14ac:dyDescent="0.25">
      <c r="A723" s="24"/>
      <c r="B723" s="24"/>
      <c r="C723" s="24"/>
      <c r="D723" s="34" t="str">
        <f>IF(C723="","",IFERROR(VLOOKUP(C723,CRM!$B$8:$O$1007,2,FALSE()),"Revisar ID"))</f>
        <v/>
      </c>
      <c r="E723" s="23"/>
      <c r="F723" s="37" t="str">
        <f t="shared" si="44"/>
        <v/>
      </c>
      <c r="G723" s="28"/>
      <c r="H723" s="29"/>
      <c r="I723" s="28"/>
      <c r="J723" s="29"/>
      <c r="K723" s="28"/>
      <c r="L723" s="32" t="str">
        <f t="shared" si="45"/>
        <v/>
      </c>
      <c r="M723" s="33" t="str">
        <f t="shared" ca="1" si="46"/>
        <v/>
      </c>
      <c r="N723" s="34" t="str">
        <f t="shared" si="47"/>
        <v/>
      </c>
      <c r="O723" s="23"/>
      <c r="P723" s="23"/>
    </row>
    <row r="724" spans="1:16" ht="21.75" customHeight="1" x14ac:dyDescent="0.25">
      <c r="A724" s="24"/>
      <c r="B724" s="24"/>
      <c r="C724" s="24"/>
      <c r="D724" s="34" t="str">
        <f>IF(C724="","",IFERROR(VLOOKUP(C724,CRM!$B$8:$O$1007,2,FALSE()),"Revisar ID"))</f>
        <v/>
      </c>
      <c r="E724" s="23"/>
      <c r="F724" s="37" t="str">
        <f t="shared" si="44"/>
        <v/>
      </c>
      <c r="G724" s="28"/>
      <c r="H724" s="29"/>
      <c r="I724" s="28"/>
      <c r="J724" s="29"/>
      <c r="K724" s="28"/>
      <c r="L724" s="32" t="str">
        <f t="shared" si="45"/>
        <v/>
      </c>
      <c r="M724" s="33" t="str">
        <f t="shared" ca="1" si="46"/>
        <v/>
      </c>
      <c r="N724" s="34" t="str">
        <f t="shared" si="47"/>
        <v/>
      </c>
      <c r="O724" s="23"/>
      <c r="P724" s="23"/>
    </row>
    <row r="725" spans="1:16" ht="21.75" customHeight="1" x14ac:dyDescent="0.25">
      <c r="A725" s="24"/>
      <c r="B725" s="24"/>
      <c r="C725" s="24"/>
      <c r="D725" s="34" t="str">
        <f>IF(C725="","",IFERROR(VLOOKUP(C725,CRM!$B$8:$O$1007,2,FALSE()),"Revisar ID"))</f>
        <v/>
      </c>
      <c r="E725" s="23"/>
      <c r="F725" s="37" t="str">
        <f t="shared" si="44"/>
        <v/>
      </c>
      <c r="G725" s="28"/>
      <c r="H725" s="29"/>
      <c r="I725" s="28"/>
      <c r="J725" s="29"/>
      <c r="K725" s="28"/>
      <c r="L725" s="32" t="str">
        <f t="shared" si="45"/>
        <v/>
      </c>
      <c r="M725" s="33" t="str">
        <f t="shared" ca="1" si="46"/>
        <v/>
      </c>
      <c r="N725" s="34" t="str">
        <f t="shared" si="47"/>
        <v/>
      </c>
      <c r="O725" s="23"/>
      <c r="P725" s="23"/>
    </row>
    <row r="726" spans="1:16" ht="21.75" customHeight="1" x14ac:dyDescent="0.25">
      <c r="A726" s="24"/>
      <c r="B726" s="24"/>
      <c r="C726" s="24"/>
      <c r="D726" s="34" t="str">
        <f>IF(C726="","",IFERROR(VLOOKUP(C726,CRM!$B$8:$O$1007,2,FALSE()),"Revisar ID"))</f>
        <v/>
      </c>
      <c r="E726" s="23"/>
      <c r="F726" s="37" t="str">
        <f t="shared" si="44"/>
        <v/>
      </c>
      <c r="G726" s="28"/>
      <c r="H726" s="29"/>
      <c r="I726" s="28"/>
      <c r="J726" s="29"/>
      <c r="K726" s="28"/>
      <c r="L726" s="32" t="str">
        <f t="shared" si="45"/>
        <v/>
      </c>
      <c r="M726" s="33" t="str">
        <f t="shared" ca="1" si="46"/>
        <v/>
      </c>
      <c r="N726" s="34" t="str">
        <f t="shared" si="47"/>
        <v/>
      </c>
      <c r="O726" s="23"/>
      <c r="P726" s="23"/>
    </row>
    <row r="727" spans="1:16" ht="21.75" customHeight="1" x14ac:dyDescent="0.25">
      <c r="A727" s="24"/>
      <c r="B727" s="24"/>
      <c r="C727" s="24"/>
      <c r="D727" s="34" t="str">
        <f>IF(C727="","",IFERROR(VLOOKUP(C727,CRM!$B$8:$O$1007,2,FALSE()),"Revisar ID"))</f>
        <v/>
      </c>
      <c r="E727" s="23"/>
      <c r="F727" s="37" t="str">
        <f t="shared" si="44"/>
        <v/>
      </c>
      <c r="G727" s="28"/>
      <c r="H727" s="29"/>
      <c r="I727" s="28"/>
      <c r="J727" s="29"/>
      <c r="K727" s="28"/>
      <c r="L727" s="32" t="str">
        <f t="shared" si="45"/>
        <v/>
      </c>
      <c r="M727" s="33" t="str">
        <f t="shared" ca="1" si="46"/>
        <v/>
      </c>
      <c r="N727" s="34" t="str">
        <f t="shared" si="47"/>
        <v/>
      </c>
      <c r="O727" s="23"/>
      <c r="P727" s="23"/>
    </row>
    <row r="728" spans="1:16" ht="21.75" customHeight="1" x14ac:dyDescent="0.25">
      <c r="A728" s="24"/>
      <c r="B728" s="24"/>
      <c r="C728" s="24"/>
      <c r="D728" s="34" t="str">
        <f>IF(C728="","",IFERROR(VLOOKUP(C728,CRM!$B$8:$O$1007,2,FALSE()),"Revisar ID"))</f>
        <v/>
      </c>
      <c r="E728" s="23"/>
      <c r="F728" s="37" t="str">
        <f t="shared" si="44"/>
        <v/>
      </c>
      <c r="G728" s="28"/>
      <c r="H728" s="29"/>
      <c r="I728" s="28"/>
      <c r="J728" s="29"/>
      <c r="K728" s="28"/>
      <c r="L728" s="32" t="str">
        <f t="shared" si="45"/>
        <v/>
      </c>
      <c r="M728" s="33" t="str">
        <f t="shared" ca="1" si="46"/>
        <v/>
      </c>
      <c r="N728" s="34" t="str">
        <f t="shared" si="47"/>
        <v/>
      </c>
      <c r="O728" s="23"/>
      <c r="P728" s="23"/>
    </row>
    <row r="729" spans="1:16" ht="21.75" customHeight="1" x14ac:dyDescent="0.25">
      <c r="A729" s="24"/>
      <c r="B729" s="24"/>
      <c r="C729" s="24"/>
      <c r="D729" s="34" t="str">
        <f>IF(C729="","",IFERROR(VLOOKUP(C729,CRM!$B$8:$O$1007,2,FALSE()),"Revisar ID"))</f>
        <v/>
      </c>
      <c r="E729" s="23"/>
      <c r="F729" s="37" t="str">
        <f t="shared" si="44"/>
        <v/>
      </c>
      <c r="G729" s="28"/>
      <c r="H729" s="29"/>
      <c r="I729" s="28"/>
      <c r="J729" s="29"/>
      <c r="K729" s="28"/>
      <c r="L729" s="32" t="str">
        <f t="shared" si="45"/>
        <v/>
      </c>
      <c r="M729" s="33" t="str">
        <f t="shared" ca="1" si="46"/>
        <v/>
      </c>
      <c r="N729" s="34" t="str">
        <f t="shared" si="47"/>
        <v/>
      </c>
      <c r="O729" s="23"/>
      <c r="P729" s="23"/>
    </row>
    <row r="730" spans="1:16" ht="21.75" customHeight="1" x14ac:dyDescent="0.25">
      <c r="A730" s="24"/>
      <c r="B730" s="24"/>
      <c r="C730" s="24"/>
      <c r="D730" s="34" t="str">
        <f>IF(C730="","",IFERROR(VLOOKUP(C730,CRM!$B$8:$O$1007,2,FALSE()),"Revisar ID"))</f>
        <v/>
      </c>
      <c r="E730" s="23"/>
      <c r="F730" s="37" t="str">
        <f t="shared" si="44"/>
        <v/>
      </c>
      <c r="G730" s="28"/>
      <c r="H730" s="29"/>
      <c r="I730" s="28"/>
      <c r="J730" s="29"/>
      <c r="K730" s="28"/>
      <c r="L730" s="32" t="str">
        <f t="shared" si="45"/>
        <v/>
      </c>
      <c r="M730" s="33" t="str">
        <f t="shared" ca="1" si="46"/>
        <v/>
      </c>
      <c r="N730" s="34" t="str">
        <f t="shared" si="47"/>
        <v/>
      </c>
      <c r="O730" s="23"/>
      <c r="P730" s="23"/>
    </row>
    <row r="731" spans="1:16" ht="21.75" customHeight="1" x14ac:dyDescent="0.25">
      <c r="A731" s="24"/>
      <c r="B731" s="24"/>
      <c r="C731" s="24"/>
      <c r="D731" s="34" t="str">
        <f>IF(C731="","",IFERROR(VLOOKUP(C731,CRM!$B$8:$O$1007,2,FALSE()),"Revisar ID"))</f>
        <v/>
      </c>
      <c r="E731" s="23"/>
      <c r="F731" s="37" t="str">
        <f t="shared" si="44"/>
        <v/>
      </c>
      <c r="G731" s="28"/>
      <c r="H731" s="29"/>
      <c r="I731" s="28"/>
      <c r="J731" s="29"/>
      <c r="K731" s="28"/>
      <c r="L731" s="32" t="str">
        <f t="shared" si="45"/>
        <v/>
      </c>
      <c r="M731" s="33" t="str">
        <f t="shared" ca="1" si="46"/>
        <v/>
      </c>
      <c r="N731" s="34" t="str">
        <f t="shared" si="47"/>
        <v/>
      </c>
      <c r="O731" s="23"/>
      <c r="P731" s="23"/>
    </row>
    <row r="732" spans="1:16" ht="21.75" customHeight="1" x14ac:dyDescent="0.25">
      <c r="A732" s="24"/>
      <c r="B732" s="24"/>
      <c r="C732" s="24"/>
      <c r="D732" s="34" t="str">
        <f>IF(C732="","",IFERROR(VLOOKUP(C732,CRM!$B$8:$O$1007,2,FALSE()),"Revisar ID"))</f>
        <v/>
      </c>
      <c r="E732" s="23"/>
      <c r="F732" s="37" t="str">
        <f t="shared" si="44"/>
        <v/>
      </c>
      <c r="G732" s="28"/>
      <c r="H732" s="29"/>
      <c r="I732" s="28"/>
      <c r="J732" s="29"/>
      <c r="K732" s="28"/>
      <c r="L732" s="32" t="str">
        <f t="shared" si="45"/>
        <v/>
      </c>
      <c r="M732" s="33" t="str">
        <f t="shared" ca="1" si="46"/>
        <v/>
      </c>
      <c r="N732" s="34" t="str">
        <f t="shared" si="47"/>
        <v/>
      </c>
      <c r="O732" s="23"/>
      <c r="P732" s="23"/>
    </row>
    <row r="733" spans="1:16" ht="21.75" customHeight="1" x14ac:dyDescent="0.25">
      <c r="A733" s="24"/>
      <c r="B733" s="24"/>
      <c r="C733" s="24"/>
      <c r="D733" s="34" t="str">
        <f>IF(C733="","",IFERROR(VLOOKUP(C733,CRM!$B$8:$O$1007,2,FALSE()),"Revisar ID"))</f>
        <v/>
      </c>
      <c r="E733" s="23"/>
      <c r="F733" s="37" t="str">
        <f t="shared" si="44"/>
        <v/>
      </c>
      <c r="G733" s="28"/>
      <c r="H733" s="29"/>
      <c r="I733" s="28"/>
      <c r="J733" s="29"/>
      <c r="K733" s="28"/>
      <c r="L733" s="32" t="str">
        <f t="shared" si="45"/>
        <v/>
      </c>
      <c r="M733" s="33" t="str">
        <f t="shared" ca="1" si="46"/>
        <v/>
      </c>
      <c r="N733" s="34" t="str">
        <f t="shared" si="47"/>
        <v/>
      </c>
      <c r="O733" s="23"/>
      <c r="P733" s="23"/>
    </row>
    <row r="734" spans="1:16" ht="21.75" customHeight="1" x14ac:dyDescent="0.25">
      <c r="A734" s="24"/>
      <c r="B734" s="24"/>
      <c r="C734" s="24"/>
      <c r="D734" s="34" t="str">
        <f>IF(C734="","",IFERROR(VLOOKUP(C734,CRM!$B$8:$O$1007,2,FALSE()),"Revisar ID"))</f>
        <v/>
      </c>
      <c r="E734" s="23"/>
      <c r="F734" s="37" t="str">
        <f t="shared" si="44"/>
        <v/>
      </c>
      <c r="G734" s="28"/>
      <c r="H734" s="29"/>
      <c r="I734" s="28"/>
      <c r="J734" s="29"/>
      <c r="K734" s="28"/>
      <c r="L734" s="32" t="str">
        <f t="shared" si="45"/>
        <v/>
      </c>
      <c r="M734" s="33" t="str">
        <f t="shared" ca="1" si="46"/>
        <v/>
      </c>
      <c r="N734" s="34" t="str">
        <f t="shared" si="47"/>
        <v/>
      </c>
      <c r="O734" s="23"/>
      <c r="P734" s="23"/>
    </row>
    <row r="735" spans="1:16" ht="21.75" customHeight="1" x14ac:dyDescent="0.25">
      <c r="A735" s="24"/>
      <c r="B735" s="24"/>
      <c r="C735" s="24"/>
      <c r="D735" s="34" t="str">
        <f>IF(C735="","",IFERROR(VLOOKUP(C735,CRM!$B$8:$O$1007,2,FALSE()),"Revisar ID"))</f>
        <v/>
      </c>
      <c r="E735" s="23"/>
      <c r="F735" s="37" t="str">
        <f t="shared" si="44"/>
        <v/>
      </c>
      <c r="G735" s="28"/>
      <c r="H735" s="29"/>
      <c r="I735" s="28"/>
      <c r="J735" s="29"/>
      <c r="K735" s="28"/>
      <c r="L735" s="32" t="str">
        <f t="shared" si="45"/>
        <v/>
      </c>
      <c r="M735" s="33" t="str">
        <f t="shared" ca="1" si="46"/>
        <v/>
      </c>
      <c r="N735" s="34" t="str">
        <f t="shared" si="47"/>
        <v/>
      </c>
      <c r="O735" s="23"/>
      <c r="P735" s="23"/>
    </row>
    <row r="736" spans="1:16" ht="21.75" customHeight="1" x14ac:dyDescent="0.25">
      <c r="A736" s="24"/>
      <c r="B736" s="24"/>
      <c r="C736" s="24"/>
      <c r="D736" s="34" t="str">
        <f>IF(C736="","",IFERROR(VLOOKUP(C736,CRM!$B$8:$O$1007,2,FALSE()),"Revisar ID"))</f>
        <v/>
      </c>
      <c r="E736" s="23"/>
      <c r="F736" s="37" t="str">
        <f t="shared" si="44"/>
        <v/>
      </c>
      <c r="G736" s="28"/>
      <c r="H736" s="29"/>
      <c r="I736" s="28"/>
      <c r="J736" s="29"/>
      <c r="K736" s="28"/>
      <c r="L736" s="32" t="str">
        <f t="shared" si="45"/>
        <v/>
      </c>
      <c r="M736" s="33" t="str">
        <f t="shared" ca="1" si="46"/>
        <v/>
      </c>
      <c r="N736" s="34" t="str">
        <f t="shared" si="47"/>
        <v/>
      </c>
      <c r="O736" s="23"/>
      <c r="P736" s="23"/>
    </row>
    <row r="737" spans="1:16" ht="21.75" customHeight="1" x14ac:dyDescent="0.25">
      <c r="A737" s="24"/>
      <c r="B737" s="24"/>
      <c r="C737" s="24"/>
      <c r="D737" s="34" t="str">
        <f>IF(C737="","",IFERROR(VLOOKUP(C737,CRM!$B$8:$O$1007,2,FALSE()),"Revisar ID"))</f>
        <v/>
      </c>
      <c r="E737" s="23"/>
      <c r="F737" s="37" t="str">
        <f t="shared" si="44"/>
        <v/>
      </c>
      <c r="G737" s="28"/>
      <c r="H737" s="29"/>
      <c r="I737" s="28"/>
      <c r="J737" s="29"/>
      <c r="K737" s="28"/>
      <c r="L737" s="32" t="str">
        <f t="shared" si="45"/>
        <v/>
      </c>
      <c r="M737" s="33" t="str">
        <f t="shared" ca="1" si="46"/>
        <v/>
      </c>
      <c r="N737" s="34" t="str">
        <f t="shared" si="47"/>
        <v/>
      </c>
      <c r="O737" s="23"/>
      <c r="P737" s="23"/>
    </row>
    <row r="738" spans="1:16" ht="21.75" customHeight="1" x14ac:dyDescent="0.25">
      <c r="A738" s="24"/>
      <c r="B738" s="24"/>
      <c r="C738" s="24"/>
      <c r="D738" s="34" t="str">
        <f>IF(C738="","",IFERROR(VLOOKUP(C738,CRM!$B$8:$O$1007,2,FALSE()),"Revisar ID"))</f>
        <v/>
      </c>
      <c r="E738" s="23"/>
      <c r="F738" s="37" t="str">
        <f t="shared" si="44"/>
        <v/>
      </c>
      <c r="G738" s="28"/>
      <c r="H738" s="29"/>
      <c r="I738" s="28"/>
      <c r="J738" s="29"/>
      <c r="K738" s="28"/>
      <c r="L738" s="32" t="str">
        <f t="shared" si="45"/>
        <v/>
      </c>
      <c r="M738" s="33" t="str">
        <f t="shared" ca="1" si="46"/>
        <v/>
      </c>
      <c r="N738" s="34" t="str">
        <f t="shared" si="47"/>
        <v/>
      </c>
      <c r="O738" s="23"/>
      <c r="P738" s="23"/>
    </row>
    <row r="739" spans="1:16" ht="21.75" customHeight="1" x14ac:dyDescent="0.25">
      <c r="A739" s="24"/>
      <c r="B739" s="24"/>
      <c r="C739" s="24"/>
      <c r="D739" s="34" t="str">
        <f>IF(C739="","",IFERROR(VLOOKUP(C739,CRM!$B$8:$O$1007,2,FALSE()),"Revisar ID"))</f>
        <v/>
      </c>
      <c r="E739" s="23"/>
      <c r="F739" s="37" t="str">
        <f t="shared" si="44"/>
        <v/>
      </c>
      <c r="G739" s="28"/>
      <c r="H739" s="29"/>
      <c r="I739" s="28"/>
      <c r="J739" s="29"/>
      <c r="K739" s="28"/>
      <c r="L739" s="32" t="str">
        <f t="shared" si="45"/>
        <v/>
      </c>
      <c r="M739" s="33" t="str">
        <f t="shared" ca="1" si="46"/>
        <v/>
      </c>
      <c r="N739" s="34" t="str">
        <f t="shared" si="47"/>
        <v/>
      </c>
      <c r="O739" s="23"/>
      <c r="P739" s="23"/>
    </row>
    <row r="740" spans="1:16" ht="21.75" customHeight="1" x14ac:dyDescent="0.25">
      <c r="A740" s="24"/>
      <c r="B740" s="24"/>
      <c r="C740" s="24"/>
      <c r="D740" s="34" t="str">
        <f>IF(C740="","",IFERROR(VLOOKUP(C740,CRM!$B$8:$O$1007,2,FALSE()),"Revisar ID"))</f>
        <v/>
      </c>
      <c r="E740" s="23"/>
      <c r="F740" s="37" t="str">
        <f t="shared" si="44"/>
        <v/>
      </c>
      <c r="G740" s="28"/>
      <c r="H740" s="29"/>
      <c r="I740" s="28"/>
      <c r="J740" s="29"/>
      <c r="K740" s="28"/>
      <c r="L740" s="32" t="str">
        <f t="shared" si="45"/>
        <v/>
      </c>
      <c r="M740" s="33" t="str">
        <f t="shared" ca="1" si="46"/>
        <v/>
      </c>
      <c r="N740" s="34" t="str">
        <f t="shared" si="47"/>
        <v/>
      </c>
      <c r="O740" s="23"/>
      <c r="P740" s="23"/>
    </row>
    <row r="741" spans="1:16" ht="21.75" customHeight="1" x14ac:dyDescent="0.25">
      <c r="A741" s="24"/>
      <c r="B741" s="24"/>
      <c r="C741" s="24"/>
      <c r="D741" s="34" t="str">
        <f>IF(C741="","",IFERROR(VLOOKUP(C741,CRM!$B$8:$O$1007,2,FALSE()),"Revisar ID"))</f>
        <v/>
      </c>
      <c r="E741" s="23"/>
      <c r="F741" s="37" t="str">
        <f t="shared" si="44"/>
        <v/>
      </c>
      <c r="G741" s="28"/>
      <c r="H741" s="29"/>
      <c r="I741" s="28"/>
      <c r="J741" s="29"/>
      <c r="K741" s="28"/>
      <c r="L741" s="32" t="str">
        <f t="shared" si="45"/>
        <v/>
      </c>
      <c r="M741" s="33" t="str">
        <f t="shared" ca="1" si="46"/>
        <v/>
      </c>
      <c r="N741" s="34" t="str">
        <f t="shared" si="47"/>
        <v/>
      </c>
      <c r="O741" s="23"/>
      <c r="P741" s="23"/>
    </row>
    <row r="742" spans="1:16" ht="21.75" customHeight="1" x14ac:dyDescent="0.25">
      <c r="A742" s="24"/>
      <c r="B742" s="24"/>
      <c r="C742" s="24"/>
      <c r="D742" s="34" t="str">
        <f>IF(C742="","",IFERROR(VLOOKUP(C742,CRM!$B$8:$O$1007,2,FALSE()),"Revisar ID"))</f>
        <v/>
      </c>
      <c r="E742" s="23"/>
      <c r="F742" s="37" t="str">
        <f t="shared" si="44"/>
        <v/>
      </c>
      <c r="G742" s="28"/>
      <c r="H742" s="29"/>
      <c r="I742" s="28"/>
      <c r="J742" s="29"/>
      <c r="K742" s="28"/>
      <c r="L742" s="32" t="str">
        <f t="shared" si="45"/>
        <v/>
      </c>
      <c r="M742" s="33" t="str">
        <f t="shared" ca="1" si="46"/>
        <v/>
      </c>
      <c r="N742" s="34" t="str">
        <f t="shared" si="47"/>
        <v/>
      </c>
      <c r="O742" s="23"/>
      <c r="P742" s="23"/>
    </row>
    <row r="743" spans="1:16" ht="21.75" customHeight="1" x14ac:dyDescent="0.25">
      <c r="A743" s="24"/>
      <c r="B743" s="24"/>
      <c r="C743" s="24"/>
      <c r="D743" s="34" t="str">
        <f>IF(C743="","",IFERROR(VLOOKUP(C743,CRM!$B$8:$O$1007,2,FALSE()),"Revisar ID"))</f>
        <v/>
      </c>
      <c r="E743" s="23"/>
      <c r="F743" s="37" t="str">
        <f t="shared" si="44"/>
        <v/>
      </c>
      <c r="G743" s="28"/>
      <c r="H743" s="29"/>
      <c r="I743" s="28"/>
      <c r="J743" s="29"/>
      <c r="K743" s="28"/>
      <c r="L743" s="32" t="str">
        <f t="shared" si="45"/>
        <v/>
      </c>
      <c r="M743" s="33" t="str">
        <f t="shared" ca="1" si="46"/>
        <v/>
      </c>
      <c r="N743" s="34" t="str">
        <f t="shared" si="47"/>
        <v/>
      </c>
      <c r="O743" s="23"/>
      <c r="P743" s="23"/>
    </row>
    <row r="744" spans="1:16" ht="21.75" customHeight="1" x14ac:dyDescent="0.25">
      <c r="A744" s="24"/>
      <c r="B744" s="24"/>
      <c r="C744" s="24"/>
      <c r="D744" s="34" t="str">
        <f>IF(C744="","",IFERROR(VLOOKUP(C744,CRM!$B$8:$O$1007,2,FALSE()),"Revisar ID"))</f>
        <v/>
      </c>
      <c r="E744" s="23"/>
      <c r="F744" s="37" t="str">
        <f t="shared" si="44"/>
        <v/>
      </c>
      <c r="G744" s="28"/>
      <c r="H744" s="29"/>
      <c r="I744" s="28"/>
      <c r="J744" s="29"/>
      <c r="K744" s="28"/>
      <c r="L744" s="32" t="str">
        <f t="shared" si="45"/>
        <v/>
      </c>
      <c r="M744" s="33" t="str">
        <f t="shared" ca="1" si="46"/>
        <v/>
      </c>
      <c r="N744" s="34" t="str">
        <f t="shared" si="47"/>
        <v/>
      </c>
      <c r="O744" s="23"/>
      <c r="P744" s="23"/>
    </row>
    <row r="745" spans="1:16" ht="21.75" customHeight="1" x14ac:dyDescent="0.25">
      <c r="A745" s="24"/>
      <c r="B745" s="24"/>
      <c r="C745" s="24"/>
      <c r="D745" s="34" t="str">
        <f>IF(C745="","",IFERROR(VLOOKUP(C745,CRM!$B$8:$O$1007,2,FALSE()),"Revisar ID"))</f>
        <v/>
      </c>
      <c r="E745" s="23"/>
      <c r="F745" s="37" t="str">
        <f t="shared" si="44"/>
        <v/>
      </c>
      <c r="G745" s="28"/>
      <c r="H745" s="29"/>
      <c r="I745" s="28"/>
      <c r="J745" s="29"/>
      <c r="K745" s="28"/>
      <c r="L745" s="32" t="str">
        <f t="shared" si="45"/>
        <v/>
      </c>
      <c r="M745" s="33" t="str">
        <f t="shared" ca="1" si="46"/>
        <v/>
      </c>
      <c r="N745" s="34" t="str">
        <f t="shared" si="47"/>
        <v/>
      </c>
      <c r="O745" s="23"/>
      <c r="P745" s="23"/>
    </row>
    <row r="746" spans="1:16" ht="21.75" customHeight="1" x14ac:dyDescent="0.25">
      <c r="A746" s="24"/>
      <c r="B746" s="24"/>
      <c r="C746" s="24"/>
      <c r="D746" s="34" t="str">
        <f>IF(C746="","",IFERROR(VLOOKUP(C746,CRM!$B$8:$O$1007,2,FALSE()),"Revisar ID"))</f>
        <v/>
      </c>
      <c r="E746" s="23"/>
      <c r="F746" s="37" t="str">
        <f t="shared" si="44"/>
        <v/>
      </c>
      <c r="G746" s="28"/>
      <c r="H746" s="29"/>
      <c r="I746" s="28"/>
      <c r="J746" s="29"/>
      <c r="K746" s="28"/>
      <c r="L746" s="32" t="str">
        <f t="shared" si="45"/>
        <v/>
      </c>
      <c r="M746" s="33" t="str">
        <f t="shared" ca="1" si="46"/>
        <v/>
      </c>
      <c r="N746" s="34" t="str">
        <f t="shared" si="47"/>
        <v/>
      </c>
      <c r="O746" s="23"/>
      <c r="P746" s="23"/>
    </row>
    <row r="747" spans="1:16" ht="21.75" customHeight="1" x14ac:dyDescent="0.25">
      <c r="A747" s="24"/>
      <c r="B747" s="24"/>
      <c r="C747" s="24"/>
      <c r="D747" s="34" t="str">
        <f>IF(C747="","",IFERROR(VLOOKUP(C747,CRM!$B$8:$O$1007,2,FALSE()),"Revisar ID"))</f>
        <v/>
      </c>
      <c r="E747" s="23"/>
      <c r="F747" s="37" t="str">
        <f t="shared" si="44"/>
        <v/>
      </c>
      <c r="G747" s="28"/>
      <c r="H747" s="29"/>
      <c r="I747" s="28"/>
      <c r="J747" s="29"/>
      <c r="K747" s="28"/>
      <c r="L747" s="32" t="str">
        <f t="shared" si="45"/>
        <v/>
      </c>
      <c r="M747" s="33" t="str">
        <f t="shared" ca="1" si="46"/>
        <v/>
      </c>
      <c r="N747" s="34" t="str">
        <f t="shared" si="47"/>
        <v/>
      </c>
      <c r="O747" s="23"/>
      <c r="P747" s="23"/>
    </row>
    <row r="748" spans="1:16" ht="21.75" customHeight="1" x14ac:dyDescent="0.25">
      <c r="A748" s="24"/>
      <c r="B748" s="24"/>
      <c r="C748" s="24"/>
      <c r="D748" s="34" t="str">
        <f>IF(C748="","",IFERROR(VLOOKUP(C748,CRM!$B$8:$O$1007,2,FALSE()),"Revisar ID"))</f>
        <v/>
      </c>
      <c r="E748" s="23"/>
      <c r="F748" s="37" t="str">
        <f t="shared" si="44"/>
        <v/>
      </c>
      <c r="G748" s="28"/>
      <c r="H748" s="29"/>
      <c r="I748" s="28"/>
      <c r="J748" s="29"/>
      <c r="K748" s="28"/>
      <c r="L748" s="32" t="str">
        <f t="shared" si="45"/>
        <v/>
      </c>
      <c r="M748" s="33" t="str">
        <f t="shared" ca="1" si="46"/>
        <v/>
      </c>
      <c r="N748" s="34" t="str">
        <f t="shared" si="47"/>
        <v/>
      </c>
      <c r="O748" s="23"/>
      <c r="P748" s="23"/>
    </row>
    <row r="749" spans="1:16" ht="21.75" customHeight="1" x14ac:dyDescent="0.25">
      <c r="A749" s="24"/>
      <c r="B749" s="24"/>
      <c r="C749" s="24"/>
      <c r="D749" s="34" t="str">
        <f>IF(C749="","",IFERROR(VLOOKUP(C749,CRM!$B$8:$O$1007,2,FALSE()),"Revisar ID"))</f>
        <v/>
      </c>
      <c r="E749" s="23"/>
      <c r="F749" s="37" t="str">
        <f t="shared" si="44"/>
        <v/>
      </c>
      <c r="G749" s="28"/>
      <c r="H749" s="29"/>
      <c r="I749" s="28"/>
      <c r="J749" s="29"/>
      <c r="K749" s="28"/>
      <c r="L749" s="32" t="str">
        <f t="shared" si="45"/>
        <v/>
      </c>
      <c r="M749" s="33" t="str">
        <f t="shared" ca="1" si="46"/>
        <v/>
      </c>
      <c r="N749" s="34" t="str">
        <f t="shared" si="47"/>
        <v/>
      </c>
      <c r="O749" s="23"/>
      <c r="P749" s="23"/>
    </row>
    <row r="750" spans="1:16" ht="21.75" customHeight="1" x14ac:dyDescent="0.25">
      <c r="A750" s="24"/>
      <c r="B750" s="24"/>
      <c r="C750" s="24"/>
      <c r="D750" s="34" t="str">
        <f>IF(C750="","",IFERROR(VLOOKUP(C750,CRM!$B$8:$O$1007,2,FALSE()),"Revisar ID"))</f>
        <v/>
      </c>
      <c r="E750" s="23"/>
      <c r="F750" s="37" t="str">
        <f t="shared" si="44"/>
        <v/>
      </c>
      <c r="G750" s="28"/>
      <c r="H750" s="29"/>
      <c r="I750" s="28"/>
      <c r="J750" s="29"/>
      <c r="K750" s="28"/>
      <c r="L750" s="32" t="str">
        <f t="shared" si="45"/>
        <v/>
      </c>
      <c r="M750" s="33" t="str">
        <f t="shared" ca="1" si="46"/>
        <v/>
      </c>
      <c r="N750" s="34" t="str">
        <f t="shared" si="47"/>
        <v/>
      </c>
      <c r="O750" s="23"/>
      <c r="P750" s="23"/>
    </row>
    <row r="751" spans="1:16" ht="21.75" customHeight="1" x14ac:dyDescent="0.25">
      <c r="A751" s="24"/>
      <c r="B751" s="24"/>
      <c r="C751" s="24"/>
      <c r="D751" s="34" t="str">
        <f>IF(C751="","",IFERROR(VLOOKUP(C751,CRM!$B$8:$O$1007,2,FALSE()),"Revisar ID"))</f>
        <v/>
      </c>
      <c r="E751" s="23"/>
      <c r="F751" s="37" t="str">
        <f t="shared" si="44"/>
        <v/>
      </c>
      <c r="G751" s="28"/>
      <c r="H751" s="29"/>
      <c r="I751" s="28"/>
      <c r="J751" s="29"/>
      <c r="K751" s="28"/>
      <c r="L751" s="32" t="str">
        <f t="shared" si="45"/>
        <v/>
      </c>
      <c r="M751" s="33" t="str">
        <f t="shared" ca="1" si="46"/>
        <v/>
      </c>
      <c r="N751" s="34" t="str">
        <f t="shared" si="47"/>
        <v/>
      </c>
      <c r="O751" s="23"/>
      <c r="P751" s="23"/>
    </row>
    <row r="752" spans="1:16" ht="21.75" customHeight="1" x14ac:dyDescent="0.25">
      <c r="A752" s="24"/>
      <c r="B752" s="24"/>
      <c r="C752" s="24"/>
      <c r="D752" s="34" t="str">
        <f>IF(C752="","",IFERROR(VLOOKUP(C752,CRM!$B$8:$O$1007,2,FALSE()),"Revisar ID"))</f>
        <v/>
      </c>
      <c r="E752" s="23"/>
      <c r="F752" s="37" t="str">
        <f t="shared" si="44"/>
        <v/>
      </c>
      <c r="G752" s="28"/>
      <c r="H752" s="29"/>
      <c r="I752" s="28"/>
      <c r="J752" s="29"/>
      <c r="K752" s="28"/>
      <c r="L752" s="32" t="str">
        <f t="shared" si="45"/>
        <v/>
      </c>
      <c r="M752" s="33" t="str">
        <f t="shared" ca="1" si="46"/>
        <v/>
      </c>
      <c r="N752" s="34" t="str">
        <f t="shared" si="47"/>
        <v/>
      </c>
      <c r="O752" s="23"/>
      <c r="P752" s="23"/>
    </row>
    <row r="753" spans="1:16" ht="21.75" customHeight="1" x14ac:dyDescent="0.25">
      <c r="A753" s="24"/>
      <c r="B753" s="24"/>
      <c r="C753" s="24"/>
      <c r="D753" s="34" t="str">
        <f>IF(C753="","",IFERROR(VLOOKUP(C753,CRM!$B$8:$O$1007,2,FALSE()),"Revisar ID"))</f>
        <v/>
      </c>
      <c r="E753" s="23"/>
      <c r="F753" s="37" t="str">
        <f t="shared" si="44"/>
        <v/>
      </c>
      <c r="G753" s="28"/>
      <c r="H753" s="29"/>
      <c r="I753" s="28"/>
      <c r="J753" s="29"/>
      <c r="K753" s="28"/>
      <c r="L753" s="32" t="str">
        <f t="shared" si="45"/>
        <v/>
      </c>
      <c r="M753" s="33" t="str">
        <f t="shared" ca="1" si="46"/>
        <v/>
      </c>
      <c r="N753" s="34" t="str">
        <f t="shared" si="47"/>
        <v/>
      </c>
      <c r="O753" s="23"/>
      <c r="P753" s="23"/>
    </row>
    <row r="754" spans="1:16" ht="21.75" customHeight="1" x14ac:dyDescent="0.25">
      <c r="A754" s="24"/>
      <c r="B754" s="24"/>
      <c r="C754" s="24"/>
      <c r="D754" s="34" t="str">
        <f>IF(C754="","",IFERROR(VLOOKUP(C754,CRM!$B$8:$O$1007,2,FALSE()),"Revisar ID"))</f>
        <v/>
      </c>
      <c r="E754" s="23"/>
      <c r="F754" s="37" t="str">
        <f t="shared" si="44"/>
        <v/>
      </c>
      <c r="G754" s="28"/>
      <c r="H754" s="29"/>
      <c r="I754" s="28"/>
      <c r="J754" s="29"/>
      <c r="K754" s="28"/>
      <c r="L754" s="32" t="str">
        <f t="shared" si="45"/>
        <v/>
      </c>
      <c r="M754" s="33" t="str">
        <f t="shared" ca="1" si="46"/>
        <v/>
      </c>
      <c r="N754" s="34" t="str">
        <f t="shared" si="47"/>
        <v/>
      </c>
      <c r="O754" s="23"/>
      <c r="P754" s="23"/>
    </row>
    <row r="755" spans="1:16" ht="21.75" customHeight="1" x14ac:dyDescent="0.25">
      <c r="A755" s="24"/>
      <c r="B755" s="24"/>
      <c r="C755" s="24"/>
      <c r="D755" s="34" t="str">
        <f>IF(C755="","",IFERROR(VLOOKUP(C755,CRM!$B$8:$O$1007,2,FALSE()),"Revisar ID"))</f>
        <v/>
      </c>
      <c r="E755" s="23"/>
      <c r="F755" s="37" t="str">
        <f t="shared" si="44"/>
        <v/>
      </c>
      <c r="G755" s="28"/>
      <c r="H755" s="29"/>
      <c r="I755" s="28"/>
      <c r="J755" s="29"/>
      <c r="K755" s="28"/>
      <c r="L755" s="32" t="str">
        <f t="shared" si="45"/>
        <v/>
      </c>
      <c r="M755" s="33" t="str">
        <f t="shared" ca="1" si="46"/>
        <v/>
      </c>
      <c r="N755" s="34" t="str">
        <f t="shared" si="47"/>
        <v/>
      </c>
      <c r="O755" s="23"/>
      <c r="P755" s="23"/>
    </row>
    <row r="756" spans="1:16" ht="21.75" customHeight="1" x14ac:dyDescent="0.25">
      <c r="A756" s="24"/>
      <c r="B756" s="24"/>
      <c r="C756" s="24"/>
      <c r="D756" s="34" t="str">
        <f>IF(C756="","",IFERROR(VLOOKUP(C756,CRM!$B$8:$O$1007,2,FALSE()),"Revisar ID"))</f>
        <v/>
      </c>
      <c r="E756" s="23"/>
      <c r="F756" s="37" t="str">
        <f t="shared" si="44"/>
        <v/>
      </c>
      <c r="G756" s="28"/>
      <c r="H756" s="29"/>
      <c r="I756" s="28"/>
      <c r="J756" s="29"/>
      <c r="K756" s="28"/>
      <c r="L756" s="32" t="str">
        <f t="shared" si="45"/>
        <v/>
      </c>
      <c r="M756" s="33" t="str">
        <f t="shared" ca="1" si="46"/>
        <v/>
      </c>
      <c r="N756" s="34" t="str">
        <f t="shared" si="47"/>
        <v/>
      </c>
      <c r="O756" s="23"/>
      <c r="P756" s="23"/>
    </row>
    <row r="757" spans="1:16" ht="21.75" customHeight="1" x14ac:dyDescent="0.25">
      <c r="A757" s="24"/>
      <c r="B757" s="24"/>
      <c r="C757" s="24"/>
      <c r="D757" s="34" t="str">
        <f>IF(C757="","",IFERROR(VLOOKUP(C757,CRM!$B$8:$O$1007,2,FALSE()),"Revisar ID"))</f>
        <v/>
      </c>
      <c r="E757" s="23"/>
      <c r="F757" s="37" t="str">
        <f t="shared" si="44"/>
        <v/>
      </c>
      <c r="G757" s="28"/>
      <c r="H757" s="29"/>
      <c r="I757" s="28"/>
      <c r="J757" s="29"/>
      <c r="K757" s="28"/>
      <c r="L757" s="32" t="str">
        <f t="shared" si="45"/>
        <v/>
      </c>
      <c r="M757" s="33" t="str">
        <f t="shared" ca="1" si="46"/>
        <v/>
      </c>
      <c r="N757" s="34" t="str">
        <f t="shared" si="47"/>
        <v/>
      </c>
      <c r="O757" s="23"/>
      <c r="P757" s="23"/>
    </row>
    <row r="758" spans="1:16" ht="21.75" customHeight="1" x14ac:dyDescent="0.25">
      <c r="A758" s="24"/>
      <c r="B758" s="24"/>
      <c r="C758" s="24"/>
      <c r="D758" s="34" t="str">
        <f>IF(C758="","",IFERROR(VLOOKUP(C758,CRM!$B$8:$O$1007,2,FALSE()),"Revisar ID"))</f>
        <v/>
      </c>
      <c r="E758" s="23"/>
      <c r="F758" s="37" t="str">
        <f t="shared" si="44"/>
        <v/>
      </c>
      <c r="G758" s="28"/>
      <c r="H758" s="29"/>
      <c r="I758" s="28"/>
      <c r="J758" s="29"/>
      <c r="K758" s="28"/>
      <c r="L758" s="32" t="str">
        <f t="shared" si="45"/>
        <v/>
      </c>
      <c r="M758" s="33" t="str">
        <f t="shared" ca="1" si="46"/>
        <v/>
      </c>
      <c r="N758" s="34" t="str">
        <f t="shared" si="47"/>
        <v/>
      </c>
      <c r="O758" s="23"/>
      <c r="P758" s="23"/>
    </row>
    <row r="759" spans="1:16" ht="21.75" customHeight="1" x14ac:dyDescent="0.25">
      <c r="A759" s="24"/>
      <c r="B759" s="24"/>
      <c r="C759" s="24"/>
      <c r="D759" s="34" t="str">
        <f>IF(C759="","",IFERROR(VLOOKUP(C759,CRM!$B$8:$O$1007,2,FALSE()),"Revisar ID"))</f>
        <v/>
      </c>
      <c r="E759" s="23"/>
      <c r="F759" s="37" t="str">
        <f t="shared" si="44"/>
        <v/>
      </c>
      <c r="G759" s="28"/>
      <c r="H759" s="29"/>
      <c r="I759" s="28"/>
      <c r="J759" s="29"/>
      <c r="K759" s="28"/>
      <c r="L759" s="32" t="str">
        <f t="shared" si="45"/>
        <v/>
      </c>
      <c r="M759" s="33" t="str">
        <f t="shared" ca="1" si="46"/>
        <v/>
      </c>
      <c r="N759" s="34" t="str">
        <f t="shared" si="47"/>
        <v/>
      </c>
      <c r="O759" s="23"/>
      <c r="P759" s="23"/>
    </row>
    <row r="760" spans="1:16" ht="21.75" customHeight="1" x14ac:dyDescent="0.25">
      <c r="A760" s="24"/>
      <c r="B760" s="24"/>
      <c r="C760" s="24"/>
      <c r="D760" s="34" t="str">
        <f>IF(C760="","",IFERROR(VLOOKUP(C760,CRM!$B$8:$O$1007,2,FALSE()),"Revisar ID"))</f>
        <v/>
      </c>
      <c r="E760" s="23"/>
      <c r="F760" s="37" t="str">
        <f t="shared" si="44"/>
        <v/>
      </c>
      <c r="G760" s="28"/>
      <c r="H760" s="29"/>
      <c r="I760" s="28"/>
      <c r="J760" s="29"/>
      <c r="K760" s="28"/>
      <c r="L760" s="32" t="str">
        <f t="shared" si="45"/>
        <v/>
      </c>
      <c r="M760" s="33" t="str">
        <f t="shared" ca="1" si="46"/>
        <v/>
      </c>
      <c r="N760" s="34" t="str">
        <f t="shared" si="47"/>
        <v/>
      </c>
      <c r="O760" s="23"/>
      <c r="P760" s="23"/>
    </row>
    <row r="761" spans="1:16" ht="21.75" customHeight="1" x14ac:dyDescent="0.25">
      <c r="A761" s="24"/>
      <c r="B761" s="24"/>
      <c r="C761" s="24"/>
      <c r="D761" s="34" t="str">
        <f>IF(C761="","",IFERROR(VLOOKUP(C761,CRM!$B$8:$O$1007,2,FALSE()),"Revisar ID"))</f>
        <v/>
      </c>
      <c r="E761" s="23"/>
      <c r="F761" s="37" t="str">
        <f t="shared" si="44"/>
        <v/>
      </c>
      <c r="G761" s="28"/>
      <c r="H761" s="29"/>
      <c r="I761" s="28"/>
      <c r="J761" s="29"/>
      <c r="K761" s="28"/>
      <c r="L761" s="32" t="str">
        <f t="shared" si="45"/>
        <v/>
      </c>
      <c r="M761" s="33" t="str">
        <f t="shared" ca="1" si="46"/>
        <v/>
      </c>
      <c r="N761" s="34" t="str">
        <f t="shared" si="47"/>
        <v/>
      </c>
      <c r="O761" s="23"/>
      <c r="P761" s="23"/>
    </row>
    <row r="762" spans="1:16" ht="21.75" customHeight="1" x14ac:dyDescent="0.25">
      <c r="A762" s="24"/>
      <c r="B762" s="24"/>
      <c r="C762" s="24"/>
      <c r="D762" s="34" t="str">
        <f>IF(C762="","",IFERROR(VLOOKUP(C762,CRM!$B$8:$O$1007,2,FALSE()),"Revisar ID"))</f>
        <v/>
      </c>
      <c r="E762" s="23"/>
      <c r="F762" s="37" t="str">
        <f t="shared" si="44"/>
        <v/>
      </c>
      <c r="G762" s="28"/>
      <c r="H762" s="29"/>
      <c r="I762" s="28"/>
      <c r="J762" s="29"/>
      <c r="K762" s="28"/>
      <c r="L762" s="32" t="str">
        <f t="shared" si="45"/>
        <v/>
      </c>
      <c r="M762" s="33" t="str">
        <f t="shared" ca="1" si="46"/>
        <v/>
      </c>
      <c r="N762" s="34" t="str">
        <f t="shared" si="47"/>
        <v/>
      </c>
      <c r="O762" s="23"/>
      <c r="P762" s="23"/>
    </row>
    <row r="763" spans="1:16" ht="21.75" customHeight="1" x14ac:dyDescent="0.25">
      <c r="A763" s="24"/>
      <c r="B763" s="24"/>
      <c r="C763" s="24"/>
      <c r="D763" s="34" t="str">
        <f>IF(C763="","",IFERROR(VLOOKUP(C763,CRM!$B$8:$O$1007,2,FALSE()),"Revisar ID"))</f>
        <v/>
      </c>
      <c r="E763" s="23"/>
      <c r="F763" s="37" t="str">
        <f t="shared" si="44"/>
        <v/>
      </c>
      <c r="G763" s="28"/>
      <c r="H763" s="29"/>
      <c r="I763" s="28"/>
      <c r="J763" s="29"/>
      <c r="K763" s="28"/>
      <c r="L763" s="32" t="str">
        <f t="shared" si="45"/>
        <v/>
      </c>
      <c r="M763" s="33" t="str">
        <f t="shared" ca="1" si="46"/>
        <v/>
      </c>
      <c r="N763" s="34" t="str">
        <f t="shared" si="47"/>
        <v/>
      </c>
      <c r="O763" s="23"/>
      <c r="P763" s="23"/>
    </row>
    <row r="764" spans="1:16" ht="21.75" customHeight="1" x14ac:dyDescent="0.25">
      <c r="A764" s="24"/>
      <c r="B764" s="24"/>
      <c r="C764" s="24"/>
      <c r="D764" s="34" t="str">
        <f>IF(C764="","",IFERROR(VLOOKUP(C764,CRM!$B$8:$O$1007,2,FALSE()),"Revisar ID"))</f>
        <v/>
      </c>
      <c r="E764" s="23"/>
      <c r="F764" s="37" t="str">
        <f t="shared" si="44"/>
        <v/>
      </c>
      <c r="G764" s="28"/>
      <c r="H764" s="29"/>
      <c r="I764" s="28"/>
      <c r="J764" s="29"/>
      <c r="K764" s="28"/>
      <c r="L764" s="32" t="str">
        <f t="shared" si="45"/>
        <v/>
      </c>
      <c r="M764" s="33" t="str">
        <f t="shared" ca="1" si="46"/>
        <v/>
      </c>
      <c r="N764" s="34" t="str">
        <f t="shared" si="47"/>
        <v/>
      </c>
      <c r="O764" s="23"/>
      <c r="P764" s="23"/>
    </row>
    <row r="765" spans="1:16" ht="21.75" customHeight="1" x14ac:dyDescent="0.25">
      <c r="A765" s="24"/>
      <c r="B765" s="24"/>
      <c r="C765" s="24"/>
      <c r="D765" s="34" t="str">
        <f>IF(C765="","",IFERROR(VLOOKUP(C765,CRM!$B$8:$O$1007,2,FALSE()),"Revisar ID"))</f>
        <v/>
      </c>
      <c r="E765" s="23"/>
      <c r="F765" s="37" t="str">
        <f t="shared" si="44"/>
        <v/>
      </c>
      <c r="G765" s="28"/>
      <c r="H765" s="29"/>
      <c r="I765" s="28"/>
      <c r="J765" s="29"/>
      <c r="K765" s="28"/>
      <c r="L765" s="32" t="str">
        <f t="shared" si="45"/>
        <v/>
      </c>
      <c r="M765" s="33" t="str">
        <f t="shared" ca="1" si="46"/>
        <v/>
      </c>
      <c r="N765" s="34" t="str">
        <f t="shared" si="47"/>
        <v/>
      </c>
      <c r="O765" s="23"/>
      <c r="P765" s="23"/>
    </row>
    <row r="766" spans="1:16" ht="21.75" customHeight="1" x14ac:dyDescent="0.25">
      <c r="A766" s="24"/>
      <c r="B766" s="24"/>
      <c r="C766" s="24"/>
      <c r="D766" s="34" t="str">
        <f>IF(C766="","",IFERROR(VLOOKUP(C766,CRM!$B$8:$O$1007,2,FALSE()),"Revisar ID"))</f>
        <v/>
      </c>
      <c r="E766" s="23"/>
      <c r="F766" s="37" t="str">
        <f t="shared" si="44"/>
        <v/>
      </c>
      <c r="G766" s="28"/>
      <c r="H766" s="29"/>
      <c r="I766" s="28"/>
      <c r="J766" s="29"/>
      <c r="K766" s="28"/>
      <c r="L766" s="32" t="str">
        <f t="shared" si="45"/>
        <v/>
      </c>
      <c r="M766" s="33" t="str">
        <f t="shared" ca="1" si="46"/>
        <v/>
      </c>
      <c r="N766" s="34" t="str">
        <f t="shared" si="47"/>
        <v/>
      </c>
      <c r="O766" s="23"/>
      <c r="P766" s="23"/>
    </row>
    <row r="767" spans="1:16" ht="21.75" customHeight="1" x14ac:dyDescent="0.25">
      <c r="A767" s="24"/>
      <c r="B767" s="24"/>
      <c r="C767" s="24"/>
      <c r="D767" s="34" t="str">
        <f>IF(C767="","",IFERROR(VLOOKUP(C767,CRM!$B$8:$O$1007,2,FALSE()),"Revisar ID"))</f>
        <v/>
      </c>
      <c r="E767" s="23"/>
      <c r="F767" s="37" t="str">
        <f t="shared" si="44"/>
        <v/>
      </c>
      <c r="G767" s="28"/>
      <c r="H767" s="29"/>
      <c r="I767" s="28"/>
      <c r="J767" s="29"/>
      <c r="K767" s="28"/>
      <c r="L767" s="32" t="str">
        <f t="shared" si="45"/>
        <v/>
      </c>
      <c r="M767" s="33" t="str">
        <f t="shared" ca="1" si="46"/>
        <v/>
      </c>
      <c r="N767" s="34" t="str">
        <f t="shared" si="47"/>
        <v/>
      </c>
      <c r="O767" s="23"/>
      <c r="P767" s="23"/>
    </row>
    <row r="768" spans="1:16" ht="21.75" customHeight="1" x14ac:dyDescent="0.25">
      <c r="A768" s="24"/>
      <c r="B768" s="24"/>
      <c r="C768" s="24"/>
      <c r="D768" s="34" t="str">
        <f>IF(C768="","",IFERROR(VLOOKUP(C768,CRM!$B$8:$O$1007,2,FALSE()),"Revisar ID"))</f>
        <v/>
      </c>
      <c r="E768" s="23"/>
      <c r="F768" s="37" t="str">
        <f t="shared" si="44"/>
        <v/>
      </c>
      <c r="G768" s="28"/>
      <c r="H768" s="29"/>
      <c r="I768" s="28"/>
      <c r="J768" s="29"/>
      <c r="K768" s="28"/>
      <c r="L768" s="32" t="str">
        <f t="shared" si="45"/>
        <v/>
      </c>
      <c r="M768" s="33" t="str">
        <f t="shared" ca="1" si="46"/>
        <v/>
      </c>
      <c r="N768" s="34" t="str">
        <f t="shared" si="47"/>
        <v/>
      </c>
      <c r="O768" s="23"/>
      <c r="P768" s="23"/>
    </row>
    <row r="769" spans="1:16" ht="21.75" customHeight="1" x14ac:dyDescent="0.25">
      <c r="A769" s="24"/>
      <c r="B769" s="24"/>
      <c r="C769" s="24"/>
      <c r="D769" s="34" t="str">
        <f>IF(C769="","",IFERROR(VLOOKUP(C769,CRM!$B$8:$O$1007,2,FALSE()),"Revisar ID"))</f>
        <v/>
      </c>
      <c r="E769" s="23"/>
      <c r="F769" s="37" t="str">
        <f t="shared" si="44"/>
        <v/>
      </c>
      <c r="G769" s="28"/>
      <c r="H769" s="29"/>
      <c r="I769" s="28"/>
      <c r="J769" s="29"/>
      <c r="K769" s="28"/>
      <c r="L769" s="32" t="str">
        <f t="shared" si="45"/>
        <v/>
      </c>
      <c r="M769" s="33" t="str">
        <f t="shared" ca="1" si="46"/>
        <v/>
      </c>
      <c r="N769" s="34" t="str">
        <f t="shared" si="47"/>
        <v/>
      </c>
      <c r="O769" s="23"/>
      <c r="P769" s="23"/>
    </row>
    <row r="770" spans="1:16" ht="21.75" customHeight="1" x14ac:dyDescent="0.25">
      <c r="A770" s="24"/>
      <c r="B770" s="24"/>
      <c r="C770" s="24"/>
      <c r="D770" s="34" t="str">
        <f>IF(C770="","",IFERROR(VLOOKUP(C770,CRM!$B$8:$O$1007,2,FALSE()),"Revisar ID"))</f>
        <v/>
      </c>
      <c r="E770" s="23"/>
      <c r="F770" s="37" t="str">
        <f t="shared" si="44"/>
        <v/>
      </c>
      <c r="G770" s="28"/>
      <c r="H770" s="29"/>
      <c r="I770" s="28"/>
      <c r="J770" s="29"/>
      <c r="K770" s="28"/>
      <c r="L770" s="32" t="str">
        <f t="shared" si="45"/>
        <v/>
      </c>
      <c r="M770" s="33" t="str">
        <f t="shared" ca="1" si="46"/>
        <v/>
      </c>
      <c r="N770" s="34" t="str">
        <f t="shared" si="47"/>
        <v/>
      </c>
      <c r="O770" s="23"/>
      <c r="P770" s="23"/>
    </row>
    <row r="771" spans="1:16" ht="21.75" customHeight="1" x14ac:dyDescent="0.25">
      <c r="A771" s="24"/>
      <c r="B771" s="24"/>
      <c r="C771" s="24"/>
      <c r="D771" s="34" t="str">
        <f>IF(C771="","",IFERROR(VLOOKUP(C771,CRM!$B$8:$O$1007,2,FALSE()),"Revisar ID"))</f>
        <v/>
      </c>
      <c r="E771" s="23"/>
      <c r="F771" s="37" t="str">
        <f t="shared" si="44"/>
        <v/>
      </c>
      <c r="G771" s="28"/>
      <c r="H771" s="29"/>
      <c r="I771" s="28"/>
      <c r="J771" s="29"/>
      <c r="K771" s="28"/>
      <c r="L771" s="32" t="str">
        <f t="shared" si="45"/>
        <v/>
      </c>
      <c r="M771" s="33" t="str">
        <f t="shared" ca="1" si="46"/>
        <v/>
      </c>
      <c r="N771" s="34" t="str">
        <f t="shared" si="47"/>
        <v/>
      </c>
      <c r="O771" s="23"/>
      <c r="P771" s="23"/>
    </row>
    <row r="772" spans="1:16" ht="21.75" customHeight="1" x14ac:dyDescent="0.25">
      <c r="A772" s="24"/>
      <c r="B772" s="24"/>
      <c r="C772" s="24"/>
      <c r="D772" s="34" t="str">
        <f>IF(C772="","",IFERROR(VLOOKUP(C772,CRM!$B$8:$O$1007,2,FALSE()),"Revisar ID"))</f>
        <v/>
      </c>
      <c r="E772" s="23"/>
      <c r="F772" s="37" t="str">
        <f t="shared" si="44"/>
        <v/>
      </c>
      <c r="G772" s="28"/>
      <c r="H772" s="29"/>
      <c r="I772" s="28"/>
      <c r="J772" s="29"/>
      <c r="K772" s="28"/>
      <c r="L772" s="32" t="str">
        <f t="shared" si="45"/>
        <v/>
      </c>
      <c r="M772" s="33" t="str">
        <f t="shared" ca="1" si="46"/>
        <v/>
      </c>
      <c r="N772" s="34" t="str">
        <f t="shared" si="47"/>
        <v/>
      </c>
      <c r="O772" s="23"/>
      <c r="P772" s="23"/>
    </row>
    <row r="773" spans="1:16" ht="21.75" customHeight="1" x14ac:dyDescent="0.25">
      <c r="A773" s="24"/>
      <c r="B773" s="24"/>
      <c r="C773" s="24"/>
      <c r="D773" s="34" t="str">
        <f>IF(C773="","",IFERROR(VLOOKUP(C773,CRM!$B$8:$O$1007,2,FALSE()),"Revisar ID"))</f>
        <v/>
      </c>
      <c r="E773" s="23"/>
      <c r="F773" s="37" t="str">
        <f t="shared" si="44"/>
        <v/>
      </c>
      <c r="G773" s="28"/>
      <c r="H773" s="29"/>
      <c r="I773" s="28"/>
      <c r="J773" s="29"/>
      <c r="K773" s="28"/>
      <c r="L773" s="32" t="str">
        <f t="shared" si="45"/>
        <v/>
      </c>
      <c r="M773" s="33" t="str">
        <f t="shared" ca="1" si="46"/>
        <v/>
      </c>
      <c r="N773" s="34" t="str">
        <f t="shared" si="47"/>
        <v/>
      </c>
      <c r="O773" s="23"/>
      <c r="P773" s="23"/>
    </row>
    <row r="774" spans="1:16" ht="21.75" customHeight="1" x14ac:dyDescent="0.25">
      <c r="A774" s="24"/>
      <c r="B774" s="24"/>
      <c r="C774" s="24"/>
      <c r="D774" s="34" t="str">
        <f>IF(C774="","",IFERROR(VLOOKUP(C774,CRM!$B$8:$O$1007,2,FALSE()),"Revisar ID"))</f>
        <v/>
      </c>
      <c r="E774" s="23"/>
      <c r="F774" s="37" t="str">
        <f t="shared" si="44"/>
        <v/>
      </c>
      <c r="G774" s="28"/>
      <c r="H774" s="29"/>
      <c r="I774" s="28"/>
      <c r="J774" s="29"/>
      <c r="K774" s="28"/>
      <c r="L774" s="32" t="str">
        <f t="shared" si="45"/>
        <v/>
      </c>
      <c r="M774" s="33" t="str">
        <f t="shared" ca="1" si="46"/>
        <v/>
      </c>
      <c r="N774" s="34" t="str">
        <f t="shared" si="47"/>
        <v/>
      </c>
      <c r="O774" s="23"/>
      <c r="P774" s="23"/>
    </row>
    <row r="775" spans="1:16" ht="21.75" customHeight="1" x14ac:dyDescent="0.25">
      <c r="A775" s="24"/>
      <c r="B775" s="24"/>
      <c r="C775" s="24"/>
      <c r="D775" s="34" t="str">
        <f>IF(C775="","",IFERROR(VLOOKUP(C775,CRM!$B$8:$O$1007,2,FALSE()),"Revisar ID"))</f>
        <v/>
      </c>
      <c r="E775" s="23"/>
      <c r="F775" s="37" t="str">
        <f t="shared" si="44"/>
        <v/>
      </c>
      <c r="G775" s="28"/>
      <c r="H775" s="29"/>
      <c r="I775" s="28"/>
      <c r="J775" s="29"/>
      <c r="K775" s="28"/>
      <c r="L775" s="32" t="str">
        <f t="shared" si="45"/>
        <v/>
      </c>
      <c r="M775" s="33" t="str">
        <f t="shared" ca="1" si="46"/>
        <v/>
      </c>
      <c r="N775" s="34" t="str">
        <f t="shared" si="47"/>
        <v/>
      </c>
      <c r="O775" s="23"/>
      <c r="P775" s="23"/>
    </row>
    <row r="776" spans="1:16" ht="21.75" customHeight="1" x14ac:dyDescent="0.25">
      <c r="A776" s="24"/>
      <c r="B776" s="24"/>
      <c r="C776" s="24"/>
      <c r="D776" s="34" t="str">
        <f>IF(C776="","",IFERROR(VLOOKUP(C776,CRM!$B$8:$O$1007,2,FALSE()),"Revisar ID"))</f>
        <v/>
      </c>
      <c r="E776" s="23"/>
      <c r="F776" s="37" t="str">
        <f t="shared" si="44"/>
        <v/>
      </c>
      <c r="G776" s="28"/>
      <c r="H776" s="29"/>
      <c r="I776" s="28"/>
      <c r="J776" s="29"/>
      <c r="K776" s="28"/>
      <c r="L776" s="32" t="str">
        <f t="shared" si="45"/>
        <v/>
      </c>
      <c r="M776" s="33" t="str">
        <f t="shared" ca="1" si="46"/>
        <v/>
      </c>
      <c r="N776" s="34" t="str">
        <f t="shared" si="47"/>
        <v/>
      </c>
      <c r="O776" s="23"/>
      <c r="P776" s="23"/>
    </row>
    <row r="777" spans="1:16" ht="21.75" customHeight="1" x14ac:dyDescent="0.25">
      <c r="A777" s="24"/>
      <c r="B777" s="24"/>
      <c r="C777" s="24"/>
      <c r="D777" s="34" t="str">
        <f>IF(C777="","",IFERROR(VLOOKUP(C777,CRM!$B$8:$O$1007,2,FALSE()),"Revisar ID"))</f>
        <v/>
      </c>
      <c r="E777" s="23"/>
      <c r="F777" s="37" t="str">
        <f t="shared" ref="F777:F840" si="48">IF(B777="","",B777+IF(E777="Contado",0,IF(E777="7 días",7,IF(E777="15 días",15,IF(E777="30 días",30,IF(E777="45 días",45,IF(E777="60 días",60,0)))))))</f>
        <v/>
      </c>
      <c r="G777" s="28"/>
      <c r="H777" s="29"/>
      <c r="I777" s="28"/>
      <c r="J777" s="29"/>
      <c r="K777" s="28"/>
      <c r="L777" s="32" t="str">
        <f t="shared" ref="L777:L840" si="49">IF(G777="","",MAX(0,G777-SUM(I777,K777)))</f>
        <v/>
      </c>
      <c r="M777" s="33" t="str">
        <f t="shared" ref="M777:M840" ca="1" si="50">IF(G777="","",IF(L777=0,0,MAX(0,TODAY()-F777)))</f>
        <v/>
      </c>
      <c r="N777" s="34" t="str">
        <f t="shared" ref="N777:N840" si="51">IF(G777="","",IF(L777=0,"Pagada",IF(M777&gt;0,"Vencida",IF(SUM(I777,K777)&gt;0,"Parcial","Pendiente"))))</f>
        <v/>
      </c>
      <c r="O777" s="23"/>
      <c r="P777" s="23"/>
    </row>
    <row r="778" spans="1:16" ht="21.75" customHeight="1" x14ac:dyDescent="0.25">
      <c r="A778" s="24"/>
      <c r="B778" s="24"/>
      <c r="C778" s="24"/>
      <c r="D778" s="34" t="str">
        <f>IF(C778="","",IFERROR(VLOOKUP(C778,CRM!$B$8:$O$1007,2,FALSE()),"Revisar ID"))</f>
        <v/>
      </c>
      <c r="E778" s="23"/>
      <c r="F778" s="37" t="str">
        <f t="shared" si="48"/>
        <v/>
      </c>
      <c r="G778" s="28"/>
      <c r="H778" s="29"/>
      <c r="I778" s="28"/>
      <c r="J778" s="29"/>
      <c r="K778" s="28"/>
      <c r="L778" s="32" t="str">
        <f t="shared" si="49"/>
        <v/>
      </c>
      <c r="M778" s="33" t="str">
        <f t="shared" ca="1" si="50"/>
        <v/>
      </c>
      <c r="N778" s="34" t="str">
        <f t="shared" si="51"/>
        <v/>
      </c>
      <c r="O778" s="23"/>
      <c r="P778" s="23"/>
    </row>
    <row r="779" spans="1:16" ht="21.75" customHeight="1" x14ac:dyDescent="0.25">
      <c r="A779" s="24"/>
      <c r="B779" s="24"/>
      <c r="C779" s="24"/>
      <c r="D779" s="34" t="str">
        <f>IF(C779="","",IFERROR(VLOOKUP(C779,CRM!$B$8:$O$1007,2,FALSE()),"Revisar ID"))</f>
        <v/>
      </c>
      <c r="E779" s="23"/>
      <c r="F779" s="37" t="str">
        <f t="shared" si="48"/>
        <v/>
      </c>
      <c r="G779" s="28"/>
      <c r="H779" s="29"/>
      <c r="I779" s="28"/>
      <c r="J779" s="29"/>
      <c r="K779" s="28"/>
      <c r="L779" s="32" t="str">
        <f t="shared" si="49"/>
        <v/>
      </c>
      <c r="M779" s="33" t="str">
        <f t="shared" ca="1" si="50"/>
        <v/>
      </c>
      <c r="N779" s="34" t="str">
        <f t="shared" si="51"/>
        <v/>
      </c>
      <c r="O779" s="23"/>
      <c r="P779" s="23"/>
    </row>
    <row r="780" spans="1:16" ht="21.75" customHeight="1" x14ac:dyDescent="0.25">
      <c r="A780" s="24"/>
      <c r="B780" s="24"/>
      <c r="C780" s="24"/>
      <c r="D780" s="34" t="str">
        <f>IF(C780="","",IFERROR(VLOOKUP(C780,CRM!$B$8:$O$1007,2,FALSE()),"Revisar ID"))</f>
        <v/>
      </c>
      <c r="E780" s="23"/>
      <c r="F780" s="37" t="str">
        <f t="shared" si="48"/>
        <v/>
      </c>
      <c r="G780" s="28"/>
      <c r="H780" s="29"/>
      <c r="I780" s="28"/>
      <c r="J780" s="29"/>
      <c r="K780" s="28"/>
      <c r="L780" s="32" t="str">
        <f t="shared" si="49"/>
        <v/>
      </c>
      <c r="M780" s="33" t="str">
        <f t="shared" ca="1" si="50"/>
        <v/>
      </c>
      <c r="N780" s="34" t="str">
        <f t="shared" si="51"/>
        <v/>
      </c>
      <c r="O780" s="23"/>
      <c r="P780" s="23"/>
    </row>
    <row r="781" spans="1:16" ht="21.75" customHeight="1" x14ac:dyDescent="0.25">
      <c r="A781" s="24"/>
      <c r="B781" s="24"/>
      <c r="C781" s="24"/>
      <c r="D781" s="34" t="str">
        <f>IF(C781="","",IFERROR(VLOOKUP(C781,CRM!$B$8:$O$1007,2,FALSE()),"Revisar ID"))</f>
        <v/>
      </c>
      <c r="E781" s="23"/>
      <c r="F781" s="37" t="str">
        <f t="shared" si="48"/>
        <v/>
      </c>
      <c r="G781" s="28"/>
      <c r="H781" s="29"/>
      <c r="I781" s="28"/>
      <c r="J781" s="29"/>
      <c r="K781" s="28"/>
      <c r="L781" s="32" t="str">
        <f t="shared" si="49"/>
        <v/>
      </c>
      <c r="M781" s="33" t="str">
        <f t="shared" ca="1" si="50"/>
        <v/>
      </c>
      <c r="N781" s="34" t="str">
        <f t="shared" si="51"/>
        <v/>
      </c>
      <c r="O781" s="23"/>
      <c r="P781" s="23"/>
    </row>
    <row r="782" spans="1:16" ht="21.75" customHeight="1" x14ac:dyDescent="0.25">
      <c r="A782" s="24"/>
      <c r="B782" s="24"/>
      <c r="C782" s="24"/>
      <c r="D782" s="34" t="str">
        <f>IF(C782="","",IFERROR(VLOOKUP(C782,CRM!$B$8:$O$1007,2,FALSE()),"Revisar ID"))</f>
        <v/>
      </c>
      <c r="E782" s="23"/>
      <c r="F782" s="37" t="str">
        <f t="shared" si="48"/>
        <v/>
      </c>
      <c r="G782" s="28"/>
      <c r="H782" s="29"/>
      <c r="I782" s="28"/>
      <c r="J782" s="29"/>
      <c r="K782" s="28"/>
      <c r="L782" s="32" t="str">
        <f t="shared" si="49"/>
        <v/>
      </c>
      <c r="M782" s="33" t="str">
        <f t="shared" ca="1" si="50"/>
        <v/>
      </c>
      <c r="N782" s="34" t="str">
        <f t="shared" si="51"/>
        <v/>
      </c>
      <c r="O782" s="23"/>
      <c r="P782" s="23"/>
    </row>
    <row r="783" spans="1:16" ht="21.75" customHeight="1" x14ac:dyDescent="0.25">
      <c r="A783" s="24"/>
      <c r="B783" s="24"/>
      <c r="C783" s="24"/>
      <c r="D783" s="34" t="str">
        <f>IF(C783="","",IFERROR(VLOOKUP(C783,CRM!$B$8:$O$1007,2,FALSE()),"Revisar ID"))</f>
        <v/>
      </c>
      <c r="E783" s="23"/>
      <c r="F783" s="37" t="str">
        <f t="shared" si="48"/>
        <v/>
      </c>
      <c r="G783" s="28"/>
      <c r="H783" s="29"/>
      <c r="I783" s="28"/>
      <c r="J783" s="29"/>
      <c r="K783" s="28"/>
      <c r="L783" s="32" t="str">
        <f t="shared" si="49"/>
        <v/>
      </c>
      <c r="M783" s="33" t="str">
        <f t="shared" ca="1" si="50"/>
        <v/>
      </c>
      <c r="N783" s="34" t="str">
        <f t="shared" si="51"/>
        <v/>
      </c>
      <c r="O783" s="23"/>
      <c r="P783" s="23"/>
    </row>
    <row r="784" spans="1:16" ht="21.75" customHeight="1" x14ac:dyDescent="0.25">
      <c r="A784" s="24"/>
      <c r="B784" s="24"/>
      <c r="C784" s="24"/>
      <c r="D784" s="34" t="str">
        <f>IF(C784="","",IFERROR(VLOOKUP(C784,CRM!$B$8:$O$1007,2,FALSE()),"Revisar ID"))</f>
        <v/>
      </c>
      <c r="E784" s="23"/>
      <c r="F784" s="37" t="str">
        <f t="shared" si="48"/>
        <v/>
      </c>
      <c r="G784" s="28"/>
      <c r="H784" s="29"/>
      <c r="I784" s="28"/>
      <c r="J784" s="29"/>
      <c r="K784" s="28"/>
      <c r="L784" s="32" t="str">
        <f t="shared" si="49"/>
        <v/>
      </c>
      <c r="M784" s="33" t="str">
        <f t="shared" ca="1" si="50"/>
        <v/>
      </c>
      <c r="N784" s="34" t="str">
        <f t="shared" si="51"/>
        <v/>
      </c>
      <c r="O784" s="23"/>
      <c r="P784" s="23"/>
    </row>
    <row r="785" spans="1:16" ht="21.75" customHeight="1" x14ac:dyDescent="0.25">
      <c r="A785" s="24"/>
      <c r="B785" s="24"/>
      <c r="C785" s="24"/>
      <c r="D785" s="34" t="str">
        <f>IF(C785="","",IFERROR(VLOOKUP(C785,CRM!$B$8:$O$1007,2,FALSE()),"Revisar ID"))</f>
        <v/>
      </c>
      <c r="E785" s="23"/>
      <c r="F785" s="37" t="str">
        <f t="shared" si="48"/>
        <v/>
      </c>
      <c r="G785" s="28"/>
      <c r="H785" s="29"/>
      <c r="I785" s="28"/>
      <c r="J785" s="29"/>
      <c r="K785" s="28"/>
      <c r="L785" s="32" t="str">
        <f t="shared" si="49"/>
        <v/>
      </c>
      <c r="M785" s="33" t="str">
        <f t="shared" ca="1" si="50"/>
        <v/>
      </c>
      <c r="N785" s="34" t="str">
        <f t="shared" si="51"/>
        <v/>
      </c>
      <c r="O785" s="23"/>
      <c r="P785" s="23"/>
    </row>
    <row r="786" spans="1:16" ht="21.75" customHeight="1" x14ac:dyDescent="0.25">
      <c r="A786" s="24"/>
      <c r="B786" s="24"/>
      <c r="C786" s="24"/>
      <c r="D786" s="34" t="str">
        <f>IF(C786="","",IFERROR(VLOOKUP(C786,CRM!$B$8:$O$1007,2,FALSE()),"Revisar ID"))</f>
        <v/>
      </c>
      <c r="E786" s="23"/>
      <c r="F786" s="37" t="str">
        <f t="shared" si="48"/>
        <v/>
      </c>
      <c r="G786" s="28"/>
      <c r="H786" s="29"/>
      <c r="I786" s="28"/>
      <c r="J786" s="29"/>
      <c r="K786" s="28"/>
      <c r="L786" s="32" t="str">
        <f t="shared" si="49"/>
        <v/>
      </c>
      <c r="M786" s="33" t="str">
        <f t="shared" ca="1" si="50"/>
        <v/>
      </c>
      <c r="N786" s="34" t="str">
        <f t="shared" si="51"/>
        <v/>
      </c>
      <c r="O786" s="23"/>
      <c r="P786" s="23"/>
    </row>
    <row r="787" spans="1:16" ht="21.75" customHeight="1" x14ac:dyDescent="0.25">
      <c r="A787" s="24"/>
      <c r="B787" s="24"/>
      <c r="C787" s="24"/>
      <c r="D787" s="34" t="str">
        <f>IF(C787="","",IFERROR(VLOOKUP(C787,CRM!$B$8:$O$1007,2,FALSE()),"Revisar ID"))</f>
        <v/>
      </c>
      <c r="E787" s="23"/>
      <c r="F787" s="37" t="str">
        <f t="shared" si="48"/>
        <v/>
      </c>
      <c r="G787" s="28"/>
      <c r="H787" s="29"/>
      <c r="I787" s="28"/>
      <c r="J787" s="29"/>
      <c r="K787" s="28"/>
      <c r="L787" s="32" t="str">
        <f t="shared" si="49"/>
        <v/>
      </c>
      <c r="M787" s="33" t="str">
        <f t="shared" ca="1" si="50"/>
        <v/>
      </c>
      <c r="N787" s="34" t="str">
        <f t="shared" si="51"/>
        <v/>
      </c>
      <c r="O787" s="23"/>
      <c r="P787" s="23"/>
    </row>
    <row r="788" spans="1:16" ht="21.75" customHeight="1" x14ac:dyDescent="0.25">
      <c r="A788" s="24"/>
      <c r="B788" s="24"/>
      <c r="C788" s="24"/>
      <c r="D788" s="34" t="str">
        <f>IF(C788="","",IFERROR(VLOOKUP(C788,CRM!$B$8:$O$1007,2,FALSE()),"Revisar ID"))</f>
        <v/>
      </c>
      <c r="E788" s="23"/>
      <c r="F788" s="37" t="str">
        <f t="shared" si="48"/>
        <v/>
      </c>
      <c r="G788" s="28"/>
      <c r="H788" s="29"/>
      <c r="I788" s="28"/>
      <c r="J788" s="29"/>
      <c r="K788" s="28"/>
      <c r="L788" s="32" t="str">
        <f t="shared" si="49"/>
        <v/>
      </c>
      <c r="M788" s="33" t="str">
        <f t="shared" ca="1" si="50"/>
        <v/>
      </c>
      <c r="N788" s="34" t="str">
        <f t="shared" si="51"/>
        <v/>
      </c>
      <c r="O788" s="23"/>
      <c r="P788" s="23"/>
    </row>
    <row r="789" spans="1:16" ht="21.75" customHeight="1" x14ac:dyDescent="0.25">
      <c r="A789" s="24"/>
      <c r="B789" s="24"/>
      <c r="C789" s="24"/>
      <c r="D789" s="34" t="str">
        <f>IF(C789="","",IFERROR(VLOOKUP(C789,CRM!$B$8:$O$1007,2,FALSE()),"Revisar ID"))</f>
        <v/>
      </c>
      <c r="E789" s="23"/>
      <c r="F789" s="37" t="str">
        <f t="shared" si="48"/>
        <v/>
      </c>
      <c r="G789" s="28"/>
      <c r="H789" s="29"/>
      <c r="I789" s="28"/>
      <c r="J789" s="29"/>
      <c r="K789" s="28"/>
      <c r="L789" s="32" t="str">
        <f t="shared" si="49"/>
        <v/>
      </c>
      <c r="M789" s="33" t="str">
        <f t="shared" ca="1" si="50"/>
        <v/>
      </c>
      <c r="N789" s="34" t="str">
        <f t="shared" si="51"/>
        <v/>
      </c>
      <c r="O789" s="23"/>
      <c r="P789" s="23"/>
    </row>
    <row r="790" spans="1:16" ht="21.75" customHeight="1" x14ac:dyDescent="0.25">
      <c r="A790" s="24"/>
      <c r="B790" s="24"/>
      <c r="C790" s="24"/>
      <c r="D790" s="34" t="str">
        <f>IF(C790="","",IFERROR(VLOOKUP(C790,CRM!$B$8:$O$1007,2,FALSE()),"Revisar ID"))</f>
        <v/>
      </c>
      <c r="E790" s="23"/>
      <c r="F790" s="37" t="str">
        <f t="shared" si="48"/>
        <v/>
      </c>
      <c r="G790" s="28"/>
      <c r="H790" s="29"/>
      <c r="I790" s="28"/>
      <c r="J790" s="29"/>
      <c r="K790" s="28"/>
      <c r="L790" s="32" t="str">
        <f t="shared" si="49"/>
        <v/>
      </c>
      <c r="M790" s="33" t="str">
        <f t="shared" ca="1" si="50"/>
        <v/>
      </c>
      <c r="N790" s="34" t="str">
        <f t="shared" si="51"/>
        <v/>
      </c>
      <c r="O790" s="23"/>
      <c r="P790" s="23"/>
    </row>
    <row r="791" spans="1:16" ht="21.75" customHeight="1" x14ac:dyDescent="0.25">
      <c r="A791" s="24"/>
      <c r="B791" s="24"/>
      <c r="C791" s="24"/>
      <c r="D791" s="34" t="str">
        <f>IF(C791="","",IFERROR(VLOOKUP(C791,CRM!$B$8:$O$1007,2,FALSE()),"Revisar ID"))</f>
        <v/>
      </c>
      <c r="E791" s="23"/>
      <c r="F791" s="37" t="str">
        <f t="shared" si="48"/>
        <v/>
      </c>
      <c r="G791" s="28"/>
      <c r="H791" s="29"/>
      <c r="I791" s="28"/>
      <c r="J791" s="29"/>
      <c r="K791" s="28"/>
      <c r="L791" s="32" t="str">
        <f t="shared" si="49"/>
        <v/>
      </c>
      <c r="M791" s="33" t="str">
        <f t="shared" ca="1" si="50"/>
        <v/>
      </c>
      <c r="N791" s="34" t="str">
        <f t="shared" si="51"/>
        <v/>
      </c>
      <c r="O791" s="23"/>
      <c r="P791" s="23"/>
    </row>
    <row r="792" spans="1:16" ht="21.75" customHeight="1" x14ac:dyDescent="0.25">
      <c r="A792" s="24"/>
      <c r="B792" s="24"/>
      <c r="C792" s="24"/>
      <c r="D792" s="34" t="str">
        <f>IF(C792="","",IFERROR(VLOOKUP(C792,CRM!$B$8:$O$1007,2,FALSE()),"Revisar ID"))</f>
        <v/>
      </c>
      <c r="E792" s="23"/>
      <c r="F792" s="37" t="str">
        <f t="shared" si="48"/>
        <v/>
      </c>
      <c r="G792" s="28"/>
      <c r="H792" s="29"/>
      <c r="I792" s="28"/>
      <c r="J792" s="29"/>
      <c r="K792" s="28"/>
      <c r="L792" s="32" t="str">
        <f t="shared" si="49"/>
        <v/>
      </c>
      <c r="M792" s="33" t="str">
        <f t="shared" ca="1" si="50"/>
        <v/>
      </c>
      <c r="N792" s="34" t="str">
        <f t="shared" si="51"/>
        <v/>
      </c>
      <c r="O792" s="23"/>
      <c r="P792" s="23"/>
    </row>
    <row r="793" spans="1:16" ht="21.75" customHeight="1" x14ac:dyDescent="0.25">
      <c r="A793" s="24"/>
      <c r="B793" s="24"/>
      <c r="C793" s="24"/>
      <c r="D793" s="34" t="str">
        <f>IF(C793="","",IFERROR(VLOOKUP(C793,CRM!$B$8:$O$1007,2,FALSE()),"Revisar ID"))</f>
        <v/>
      </c>
      <c r="E793" s="23"/>
      <c r="F793" s="37" t="str">
        <f t="shared" si="48"/>
        <v/>
      </c>
      <c r="G793" s="28"/>
      <c r="H793" s="29"/>
      <c r="I793" s="28"/>
      <c r="J793" s="29"/>
      <c r="K793" s="28"/>
      <c r="L793" s="32" t="str">
        <f t="shared" si="49"/>
        <v/>
      </c>
      <c r="M793" s="33" t="str">
        <f t="shared" ca="1" si="50"/>
        <v/>
      </c>
      <c r="N793" s="34" t="str">
        <f t="shared" si="51"/>
        <v/>
      </c>
      <c r="O793" s="23"/>
      <c r="P793" s="23"/>
    </row>
    <row r="794" spans="1:16" ht="21.75" customHeight="1" x14ac:dyDescent="0.25">
      <c r="A794" s="24"/>
      <c r="B794" s="24"/>
      <c r="C794" s="24"/>
      <c r="D794" s="34" t="str">
        <f>IF(C794="","",IFERROR(VLOOKUP(C794,CRM!$B$8:$O$1007,2,FALSE()),"Revisar ID"))</f>
        <v/>
      </c>
      <c r="E794" s="23"/>
      <c r="F794" s="37" t="str">
        <f t="shared" si="48"/>
        <v/>
      </c>
      <c r="G794" s="28"/>
      <c r="H794" s="29"/>
      <c r="I794" s="28"/>
      <c r="J794" s="29"/>
      <c r="K794" s="28"/>
      <c r="L794" s="32" t="str">
        <f t="shared" si="49"/>
        <v/>
      </c>
      <c r="M794" s="33" t="str">
        <f t="shared" ca="1" si="50"/>
        <v/>
      </c>
      <c r="N794" s="34" t="str">
        <f t="shared" si="51"/>
        <v/>
      </c>
      <c r="O794" s="23"/>
      <c r="P794" s="23"/>
    </row>
    <row r="795" spans="1:16" ht="21.75" customHeight="1" x14ac:dyDescent="0.25">
      <c r="A795" s="24"/>
      <c r="B795" s="24"/>
      <c r="C795" s="24"/>
      <c r="D795" s="34" t="str">
        <f>IF(C795="","",IFERROR(VLOOKUP(C795,CRM!$B$8:$O$1007,2,FALSE()),"Revisar ID"))</f>
        <v/>
      </c>
      <c r="E795" s="23"/>
      <c r="F795" s="37" t="str">
        <f t="shared" si="48"/>
        <v/>
      </c>
      <c r="G795" s="28"/>
      <c r="H795" s="29"/>
      <c r="I795" s="28"/>
      <c r="J795" s="29"/>
      <c r="K795" s="28"/>
      <c r="L795" s="32" t="str">
        <f t="shared" si="49"/>
        <v/>
      </c>
      <c r="M795" s="33" t="str">
        <f t="shared" ca="1" si="50"/>
        <v/>
      </c>
      <c r="N795" s="34" t="str">
        <f t="shared" si="51"/>
        <v/>
      </c>
      <c r="O795" s="23"/>
      <c r="P795" s="23"/>
    </row>
    <row r="796" spans="1:16" ht="21.75" customHeight="1" x14ac:dyDescent="0.25">
      <c r="A796" s="24"/>
      <c r="B796" s="24"/>
      <c r="C796" s="24"/>
      <c r="D796" s="34" t="str">
        <f>IF(C796="","",IFERROR(VLOOKUP(C796,CRM!$B$8:$O$1007,2,FALSE()),"Revisar ID"))</f>
        <v/>
      </c>
      <c r="E796" s="23"/>
      <c r="F796" s="37" t="str">
        <f t="shared" si="48"/>
        <v/>
      </c>
      <c r="G796" s="28"/>
      <c r="H796" s="29"/>
      <c r="I796" s="28"/>
      <c r="J796" s="29"/>
      <c r="K796" s="28"/>
      <c r="L796" s="32" t="str">
        <f t="shared" si="49"/>
        <v/>
      </c>
      <c r="M796" s="33" t="str">
        <f t="shared" ca="1" si="50"/>
        <v/>
      </c>
      <c r="N796" s="34" t="str">
        <f t="shared" si="51"/>
        <v/>
      </c>
      <c r="O796" s="23"/>
      <c r="P796" s="23"/>
    </row>
    <row r="797" spans="1:16" ht="21.75" customHeight="1" x14ac:dyDescent="0.25">
      <c r="A797" s="24"/>
      <c r="B797" s="24"/>
      <c r="C797" s="24"/>
      <c r="D797" s="34" t="str">
        <f>IF(C797="","",IFERROR(VLOOKUP(C797,CRM!$B$8:$O$1007,2,FALSE()),"Revisar ID"))</f>
        <v/>
      </c>
      <c r="E797" s="23"/>
      <c r="F797" s="37" t="str">
        <f t="shared" si="48"/>
        <v/>
      </c>
      <c r="G797" s="28"/>
      <c r="H797" s="29"/>
      <c r="I797" s="28"/>
      <c r="J797" s="29"/>
      <c r="K797" s="28"/>
      <c r="L797" s="32" t="str">
        <f t="shared" si="49"/>
        <v/>
      </c>
      <c r="M797" s="33" t="str">
        <f t="shared" ca="1" si="50"/>
        <v/>
      </c>
      <c r="N797" s="34" t="str">
        <f t="shared" si="51"/>
        <v/>
      </c>
      <c r="O797" s="23"/>
      <c r="P797" s="23"/>
    </row>
    <row r="798" spans="1:16" ht="21.75" customHeight="1" x14ac:dyDescent="0.25">
      <c r="A798" s="24"/>
      <c r="B798" s="24"/>
      <c r="C798" s="24"/>
      <c r="D798" s="34" t="str">
        <f>IF(C798="","",IFERROR(VLOOKUP(C798,CRM!$B$8:$O$1007,2,FALSE()),"Revisar ID"))</f>
        <v/>
      </c>
      <c r="E798" s="23"/>
      <c r="F798" s="37" t="str">
        <f t="shared" si="48"/>
        <v/>
      </c>
      <c r="G798" s="28"/>
      <c r="H798" s="29"/>
      <c r="I798" s="28"/>
      <c r="J798" s="29"/>
      <c r="K798" s="28"/>
      <c r="L798" s="32" t="str">
        <f t="shared" si="49"/>
        <v/>
      </c>
      <c r="M798" s="33" t="str">
        <f t="shared" ca="1" si="50"/>
        <v/>
      </c>
      <c r="N798" s="34" t="str">
        <f t="shared" si="51"/>
        <v/>
      </c>
      <c r="O798" s="23"/>
      <c r="P798" s="23"/>
    </row>
    <row r="799" spans="1:16" ht="21.75" customHeight="1" x14ac:dyDescent="0.25">
      <c r="A799" s="24"/>
      <c r="B799" s="24"/>
      <c r="C799" s="24"/>
      <c r="D799" s="34" t="str">
        <f>IF(C799="","",IFERROR(VLOOKUP(C799,CRM!$B$8:$O$1007,2,FALSE()),"Revisar ID"))</f>
        <v/>
      </c>
      <c r="E799" s="23"/>
      <c r="F799" s="37" t="str">
        <f t="shared" si="48"/>
        <v/>
      </c>
      <c r="G799" s="28"/>
      <c r="H799" s="29"/>
      <c r="I799" s="28"/>
      <c r="J799" s="29"/>
      <c r="K799" s="28"/>
      <c r="L799" s="32" t="str">
        <f t="shared" si="49"/>
        <v/>
      </c>
      <c r="M799" s="33" t="str">
        <f t="shared" ca="1" si="50"/>
        <v/>
      </c>
      <c r="N799" s="34" t="str">
        <f t="shared" si="51"/>
        <v/>
      </c>
      <c r="O799" s="23"/>
      <c r="P799" s="23"/>
    </row>
    <row r="800" spans="1:16" ht="21.75" customHeight="1" x14ac:dyDescent="0.25">
      <c r="A800" s="24"/>
      <c r="B800" s="24"/>
      <c r="C800" s="24"/>
      <c r="D800" s="34" t="str">
        <f>IF(C800="","",IFERROR(VLOOKUP(C800,CRM!$B$8:$O$1007,2,FALSE()),"Revisar ID"))</f>
        <v/>
      </c>
      <c r="E800" s="23"/>
      <c r="F800" s="37" t="str">
        <f t="shared" si="48"/>
        <v/>
      </c>
      <c r="G800" s="28"/>
      <c r="H800" s="29"/>
      <c r="I800" s="28"/>
      <c r="J800" s="29"/>
      <c r="K800" s="28"/>
      <c r="L800" s="32" t="str">
        <f t="shared" si="49"/>
        <v/>
      </c>
      <c r="M800" s="33" t="str">
        <f t="shared" ca="1" si="50"/>
        <v/>
      </c>
      <c r="N800" s="34" t="str">
        <f t="shared" si="51"/>
        <v/>
      </c>
      <c r="O800" s="23"/>
      <c r="P800" s="23"/>
    </row>
    <row r="801" spans="1:16" ht="21.75" customHeight="1" x14ac:dyDescent="0.25">
      <c r="A801" s="24"/>
      <c r="B801" s="24"/>
      <c r="C801" s="24"/>
      <c r="D801" s="34" t="str">
        <f>IF(C801="","",IFERROR(VLOOKUP(C801,CRM!$B$8:$O$1007,2,FALSE()),"Revisar ID"))</f>
        <v/>
      </c>
      <c r="E801" s="23"/>
      <c r="F801" s="37" t="str">
        <f t="shared" si="48"/>
        <v/>
      </c>
      <c r="G801" s="28"/>
      <c r="H801" s="29"/>
      <c r="I801" s="28"/>
      <c r="J801" s="29"/>
      <c r="K801" s="28"/>
      <c r="L801" s="32" t="str">
        <f t="shared" si="49"/>
        <v/>
      </c>
      <c r="M801" s="33" t="str">
        <f t="shared" ca="1" si="50"/>
        <v/>
      </c>
      <c r="N801" s="34" t="str">
        <f t="shared" si="51"/>
        <v/>
      </c>
      <c r="O801" s="23"/>
      <c r="P801" s="23"/>
    </row>
    <row r="802" spans="1:16" ht="21.75" customHeight="1" x14ac:dyDescent="0.25">
      <c r="A802" s="24"/>
      <c r="B802" s="24"/>
      <c r="C802" s="24"/>
      <c r="D802" s="34" t="str">
        <f>IF(C802="","",IFERROR(VLOOKUP(C802,CRM!$B$8:$O$1007,2,FALSE()),"Revisar ID"))</f>
        <v/>
      </c>
      <c r="E802" s="23"/>
      <c r="F802" s="37" t="str">
        <f t="shared" si="48"/>
        <v/>
      </c>
      <c r="G802" s="28"/>
      <c r="H802" s="29"/>
      <c r="I802" s="28"/>
      <c r="J802" s="29"/>
      <c r="K802" s="28"/>
      <c r="L802" s="32" t="str">
        <f t="shared" si="49"/>
        <v/>
      </c>
      <c r="M802" s="33" t="str">
        <f t="shared" ca="1" si="50"/>
        <v/>
      </c>
      <c r="N802" s="34" t="str">
        <f t="shared" si="51"/>
        <v/>
      </c>
      <c r="O802" s="23"/>
      <c r="P802" s="23"/>
    </row>
    <row r="803" spans="1:16" ht="21.75" customHeight="1" x14ac:dyDescent="0.25">
      <c r="A803" s="24"/>
      <c r="B803" s="24"/>
      <c r="C803" s="24"/>
      <c r="D803" s="34" t="str">
        <f>IF(C803="","",IFERROR(VLOOKUP(C803,CRM!$B$8:$O$1007,2,FALSE()),"Revisar ID"))</f>
        <v/>
      </c>
      <c r="E803" s="23"/>
      <c r="F803" s="37" t="str">
        <f t="shared" si="48"/>
        <v/>
      </c>
      <c r="G803" s="28"/>
      <c r="H803" s="29"/>
      <c r="I803" s="28"/>
      <c r="J803" s="29"/>
      <c r="K803" s="28"/>
      <c r="L803" s="32" t="str">
        <f t="shared" si="49"/>
        <v/>
      </c>
      <c r="M803" s="33" t="str">
        <f t="shared" ca="1" si="50"/>
        <v/>
      </c>
      <c r="N803" s="34" t="str">
        <f t="shared" si="51"/>
        <v/>
      </c>
      <c r="O803" s="23"/>
      <c r="P803" s="23"/>
    </row>
    <row r="804" spans="1:16" ht="21.75" customHeight="1" x14ac:dyDescent="0.25">
      <c r="A804" s="24"/>
      <c r="B804" s="24"/>
      <c r="C804" s="24"/>
      <c r="D804" s="34" t="str">
        <f>IF(C804="","",IFERROR(VLOOKUP(C804,CRM!$B$8:$O$1007,2,FALSE()),"Revisar ID"))</f>
        <v/>
      </c>
      <c r="E804" s="23"/>
      <c r="F804" s="37" t="str">
        <f t="shared" si="48"/>
        <v/>
      </c>
      <c r="G804" s="28"/>
      <c r="H804" s="29"/>
      <c r="I804" s="28"/>
      <c r="J804" s="29"/>
      <c r="K804" s="28"/>
      <c r="L804" s="32" t="str">
        <f t="shared" si="49"/>
        <v/>
      </c>
      <c r="M804" s="33" t="str">
        <f t="shared" ca="1" si="50"/>
        <v/>
      </c>
      <c r="N804" s="34" t="str">
        <f t="shared" si="51"/>
        <v/>
      </c>
      <c r="O804" s="23"/>
      <c r="P804" s="23"/>
    </row>
    <row r="805" spans="1:16" ht="21.75" customHeight="1" x14ac:dyDescent="0.25">
      <c r="A805" s="24"/>
      <c r="B805" s="24"/>
      <c r="C805" s="24"/>
      <c r="D805" s="34" t="str">
        <f>IF(C805="","",IFERROR(VLOOKUP(C805,CRM!$B$8:$O$1007,2,FALSE()),"Revisar ID"))</f>
        <v/>
      </c>
      <c r="E805" s="23"/>
      <c r="F805" s="37" t="str">
        <f t="shared" si="48"/>
        <v/>
      </c>
      <c r="G805" s="28"/>
      <c r="H805" s="29"/>
      <c r="I805" s="28"/>
      <c r="J805" s="29"/>
      <c r="K805" s="28"/>
      <c r="L805" s="32" t="str">
        <f t="shared" si="49"/>
        <v/>
      </c>
      <c r="M805" s="33" t="str">
        <f t="shared" ca="1" si="50"/>
        <v/>
      </c>
      <c r="N805" s="34" t="str">
        <f t="shared" si="51"/>
        <v/>
      </c>
      <c r="O805" s="23"/>
      <c r="P805" s="23"/>
    </row>
    <row r="806" spans="1:16" ht="21.75" customHeight="1" x14ac:dyDescent="0.25">
      <c r="A806" s="24"/>
      <c r="B806" s="24"/>
      <c r="C806" s="24"/>
      <c r="D806" s="34" t="str">
        <f>IF(C806="","",IFERROR(VLOOKUP(C806,CRM!$B$8:$O$1007,2,FALSE()),"Revisar ID"))</f>
        <v/>
      </c>
      <c r="E806" s="23"/>
      <c r="F806" s="37" t="str">
        <f t="shared" si="48"/>
        <v/>
      </c>
      <c r="G806" s="28"/>
      <c r="H806" s="29"/>
      <c r="I806" s="28"/>
      <c r="J806" s="29"/>
      <c r="K806" s="28"/>
      <c r="L806" s="32" t="str">
        <f t="shared" si="49"/>
        <v/>
      </c>
      <c r="M806" s="33" t="str">
        <f t="shared" ca="1" si="50"/>
        <v/>
      </c>
      <c r="N806" s="34" t="str">
        <f t="shared" si="51"/>
        <v/>
      </c>
      <c r="O806" s="23"/>
      <c r="P806" s="23"/>
    </row>
    <row r="807" spans="1:16" ht="21.75" customHeight="1" x14ac:dyDescent="0.25">
      <c r="A807" s="24"/>
      <c r="B807" s="24"/>
      <c r="C807" s="24"/>
      <c r="D807" s="34" t="str">
        <f>IF(C807="","",IFERROR(VLOOKUP(C807,CRM!$B$8:$O$1007,2,FALSE()),"Revisar ID"))</f>
        <v/>
      </c>
      <c r="E807" s="23"/>
      <c r="F807" s="37" t="str">
        <f t="shared" si="48"/>
        <v/>
      </c>
      <c r="G807" s="28"/>
      <c r="H807" s="29"/>
      <c r="I807" s="28"/>
      <c r="J807" s="29"/>
      <c r="K807" s="28"/>
      <c r="L807" s="32" t="str">
        <f t="shared" si="49"/>
        <v/>
      </c>
      <c r="M807" s="33" t="str">
        <f t="shared" ca="1" si="50"/>
        <v/>
      </c>
      <c r="N807" s="34" t="str">
        <f t="shared" si="51"/>
        <v/>
      </c>
      <c r="O807" s="23"/>
      <c r="P807" s="23"/>
    </row>
    <row r="808" spans="1:16" ht="21.75" customHeight="1" x14ac:dyDescent="0.25">
      <c r="A808" s="24"/>
      <c r="B808" s="24"/>
      <c r="C808" s="24"/>
      <c r="D808" s="34" t="str">
        <f>IF(C808="","",IFERROR(VLOOKUP(C808,CRM!$B$8:$O$1007,2,FALSE()),"Revisar ID"))</f>
        <v/>
      </c>
      <c r="E808" s="23"/>
      <c r="F808" s="37" t="str">
        <f t="shared" si="48"/>
        <v/>
      </c>
      <c r="G808" s="28"/>
      <c r="H808" s="29"/>
      <c r="I808" s="28"/>
      <c r="J808" s="29"/>
      <c r="K808" s="28"/>
      <c r="L808" s="32" t="str">
        <f t="shared" si="49"/>
        <v/>
      </c>
      <c r="M808" s="33" t="str">
        <f t="shared" ca="1" si="50"/>
        <v/>
      </c>
      <c r="N808" s="34" t="str">
        <f t="shared" si="51"/>
        <v/>
      </c>
      <c r="O808" s="23"/>
      <c r="P808" s="23"/>
    </row>
    <row r="809" spans="1:16" ht="21.75" customHeight="1" x14ac:dyDescent="0.25">
      <c r="A809" s="24"/>
      <c r="B809" s="24"/>
      <c r="C809" s="24"/>
      <c r="D809" s="34" t="str">
        <f>IF(C809="","",IFERROR(VLOOKUP(C809,CRM!$B$8:$O$1007,2,FALSE()),"Revisar ID"))</f>
        <v/>
      </c>
      <c r="E809" s="25"/>
      <c r="F809" s="34" t="str">
        <f t="shared" si="48"/>
        <v/>
      </c>
      <c r="G809" s="25"/>
      <c r="H809" s="25"/>
      <c r="I809" s="25"/>
      <c r="J809" s="25"/>
      <c r="K809" s="25"/>
      <c r="L809" s="34" t="str">
        <f t="shared" si="49"/>
        <v/>
      </c>
      <c r="M809" s="34" t="str">
        <f t="shared" ca="1" si="50"/>
        <v/>
      </c>
      <c r="N809" s="34" t="str">
        <f t="shared" si="51"/>
        <v/>
      </c>
      <c r="O809" s="25"/>
      <c r="P809" s="25"/>
    </row>
    <row r="810" spans="1:16" ht="21.75" customHeight="1" x14ac:dyDescent="0.25">
      <c r="A810" s="24"/>
      <c r="B810" s="24"/>
      <c r="C810" s="24"/>
      <c r="D810" s="34" t="str">
        <f>IF(C810="","",IFERROR(VLOOKUP(C810,CRM!$B$8:$O$1007,2,FALSE()),"Revisar ID"))</f>
        <v/>
      </c>
      <c r="E810" s="25"/>
      <c r="F810" s="34" t="str">
        <f t="shared" si="48"/>
        <v/>
      </c>
      <c r="G810" s="25"/>
      <c r="H810" s="25"/>
      <c r="I810" s="25"/>
      <c r="J810" s="25"/>
      <c r="K810" s="25"/>
      <c r="L810" s="34" t="str">
        <f t="shared" si="49"/>
        <v/>
      </c>
      <c r="M810" s="34" t="str">
        <f t="shared" ca="1" si="50"/>
        <v/>
      </c>
      <c r="N810" s="34" t="str">
        <f t="shared" si="51"/>
        <v/>
      </c>
      <c r="O810" s="25"/>
      <c r="P810" s="25"/>
    </row>
    <row r="811" spans="1:16" ht="21.75" customHeight="1" x14ac:dyDescent="0.25">
      <c r="A811" s="24"/>
      <c r="B811" s="24"/>
      <c r="C811" s="24"/>
      <c r="D811" s="34" t="str">
        <f>IF(C811="","",IFERROR(VLOOKUP(C811,CRM!$B$8:$O$1007,2,FALSE()),"Revisar ID"))</f>
        <v/>
      </c>
      <c r="E811" s="25"/>
      <c r="F811" s="34" t="str">
        <f t="shared" si="48"/>
        <v/>
      </c>
      <c r="G811" s="25"/>
      <c r="H811" s="25"/>
      <c r="I811" s="25"/>
      <c r="J811" s="25"/>
      <c r="K811" s="25"/>
      <c r="L811" s="34" t="str">
        <f t="shared" si="49"/>
        <v/>
      </c>
      <c r="M811" s="34" t="str">
        <f t="shared" ca="1" si="50"/>
        <v/>
      </c>
      <c r="N811" s="34" t="str">
        <f t="shared" si="51"/>
        <v/>
      </c>
      <c r="O811" s="25"/>
      <c r="P811" s="25"/>
    </row>
    <row r="812" spans="1:16" ht="21.75" customHeight="1" x14ac:dyDescent="0.25">
      <c r="A812" s="24"/>
      <c r="B812" s="24"/>
      <c r="C812" s="24"/>
      <c r="D812" s="34" t="str">
        <f>IF(C812="","",IFERROR(VLOOKUP(C812,CRM!$B$8:$O$1007,2,FALSE()),"Revisar ID"))</f>
        <v/>
      </c>
      <c r="E812" s="25"/>
      <c r="F812" s="34" t="str">
        <f t="shared" si="48"/>
        <v/>
      </c>
      <c r="G812" s="25"/>
      <c r="H812" s="25"/>
      <c r="I812" s="25"/>
      <c r="J812" s="25"/>
      <c r="K812" s="25"/>
      <c r="L812" s="34" t="str">
        <f t="shared" si="49"/>
        <v/>
      </c>
      <c r="M812" s="34" t="str">
        <f t="shared" ca="1" si="50"/>
        <v/>
      </c>
      <c r="N812" s="34" t="str">
        <f t="shared" si="51"/>
        <v/>
      </c>
      <c r="O812" s="25"/>
      <c r="P812" s="25"/>
    </row>
    <row r="813" spans="1:16" ht="21.75" customHeight="1" x14ac:dyDescent="0.25">
      <c r="A813" s="24"/>
      <c r="B813" s="24"/>
      <c r="C813" s="24"/>
      <c r="D813" s="34" t="str">
        <f>IF(C813="","",IFERROR(VLOOKUP(C813,CRM!$B$8:$O$1007,2,FALSE()),"Revisar ID"))</f>
        <v/>
      </c>
      <c r="E813" s="25"/>
      <c r="F813" s="34" t="str">
        <f t="shared" si="48"/>
        <v/>
      </c>
      <c r="G813" s="25"/>
      <c r="H813" s="25"/>
      <c r="I813" s="25"/>
      <c r="J813" s="25"/>
      <c r="K813" s="25"/>
      <c r="L813" s="34" t="str">
        <f t="shared" si="49"/>
        <v/>
      </c>
      <c r="M813" s="34" t="str">
        <f t="shared" ca="1" si="50"/>
        <v/>
      </c>
      <c r="N813" s="34" t="str">
        <f t="shared" si="51"/>
        <v/>
      </c>
      <c r="O813" s="25"/>
      <c r="P813" s="25"/>
    </row>
    <row r="814" spans="1:16" ht="21.75" customHeight="1" x14ac:dyDescent="0.25">
      <c r="A814" s="24"/>
      <c r="B814" s="24"/>
      <c r="C814" s="24"/>
      <c r="D814" s="34" t="str">
        <f>IF(C814="","",IFERROR(VLOOKUP(C814,CRM!$B$8:$O$1007,2,FALSE()),"Revisar ID"))</f>
        <v/>
      </c>
      <c r="E814" s="25"/>
      <c r="F814" s="34" t="str">
        <f t="shared" si="48"/>
        <v/>
      </c>
      <c r="G814" s="25"/>
      <c r="H814" s="25"/>
      <c r="I814" s="25"/>
      <c r="J814" s="25"/>
      <c r="K814" s="25"/>
      <c r="L814" s="34" t="str">
        <f t="shared" si="49"/>
        <v/>
      </c>
      <c r="M814" s="34" t="str">
        <f t="shared" ca="1" si="50"/>
        <v/>
      </c>
      <c r="N814" s="34" t="str">
        <f t="shared" si="51"/>
        <v/>
      </c>
      <c r="O814" s="25"/>
      <c r="P814" s="25"/>
    </row>
    <row r="815" spans="1:16" ht="21.75" customHeight="1" x14ac:dyDescent="0.25">
      <c r="A815" s="24"/>
      <c r="B815" s="24"/>
      <c r="C815" s="24"/>
      <c r="D815" s="34" t="str">
        <f>IF(C815="","",IFERROR(VLOOKUP(C815,CRM!$B$8:$O$1007,2,FALSE()),"Revisar ID"))</f>
        <v/>
      </c>
      <c r="E815" s="25"/>
      <c r="F815" s="34" t="str">
        <f t="shared" si="48"/>
        <v/>
      </c>
      <c r="G815" s="25"/>
      <c r="H815" s="25"/>
      <c r="I815" s="25"/>
      <c r="J815" s="25"/>
      <c r="K815" s="25"/>
      <c r="L815" s="34" t="str">
        <f t="shared" si="49"/>
        <v/>
      </c>
      <c r="M815" s="34" t="str">
        <f t="shared" ca="1" si="50"/>
        <v/>
      </c>
      <c r="N815" s="34" t="str">
        <f t="shared" si="51"/>
        <v/>
      </c>
      <c r="O815" s="25"/>
      <c r="P815" s="25"/>
    </row>
    <row r="816" spans="1:16" ht="21.75" customHeight="1" x14ac:dyDescent="0.25">
      <c r="A816" s="24"/>
      <c r="B816" s="24"/>
      <c r="C816" s="24"/>
      <c r="D816" s="34" t="str">
        <f>IF(C816="","",IFERROR(VLOOKUP(C816,CRM!$B$8:$O$1007,2,FALSE()),"Revisar ID"))</f>
        <v/>
      </c>
      <c r="E816" s="25"/>
      <c r="F816" s="34" t="str">
        <f t="shared" si="48"/>
        <v/>
      </c>
      <c r="G816" s="25"/>
      <c r="H816" s="25"/>
      <c r="I816" s="25"/>
      <c r="J816" s="25"/>
      <c r="K816" s="25"/>
      <c r="L816" s="34" t="str">
        <f t="shared" si="49"/>
        <v/>
      </c>
      <c r="M816" s="34" t="str">
        <f t="shared" ca="1" si="50"/>
        <v/>
      </c>
      <c r="N816" s="34" t="str">
        <f t="shared" si="51"/>
        <v/>
      </c>
      <c r="O816" s="25"/>
      <c r="P816" s="25"/>
    </row>
    <row r="817" spans="1:16" ht="21.75" customHeight="1" x14ac:dyDescent="0.25">
      <c r="A817" s="24"/>
      <c r="B817" s="24"/>
      <c r="C817" s="24"/>
      <c r="D817" s="34" t="str">
        <f>IF(C817="","",IFERROR(VLOOKUP(C817,CRM!$B$8:$O$1007,2,FALSE()),"Revisar ID"))</f>
        <v/>
      </c>
      <c r="E817" s="25"/>
      <c r="F817" s="34" t="str">
        <f t="shared" si="48"/>
        <v/>
      </c>
      <c r="G817" s="25"/>
      <c r="H817" s="25"/>
      <c r="I817" s="25"/>
      <c r="J817" s="25"/>
      <c r="K817" s="25"/>
      <c r="L817" s="34" t="str">
        <f t="shared" si="49"/>
        <v/>
      </c>
      <c r="M817" s="34" t="str">
        <f t="shared" ca="1" si="50"/>
        <v/>
      </c>
      <c r="N817" s="34" t="str">
        <f t="shared" si="51"/>
        <v/>
      </c>
      <c r="O817" s="25"/>
      <c r="P817" s="25"/>
    </row>
    <row r="818" spans="1:16" ht="21.75" customHeight="1" x14ac:dyDescent="0.25">
      <c r="A818" s="24"/>
      <c r="B818" s="24"/>
      <c r="C818" s="24"/>
      <c r="D818" s="34" t="str">
        <f>IF(C818="","",IFERROR(VLOOKUP(C818,CRM!$B$8:$O$1007,2,FALSE()),"Revisar ID"))</f>
        <v/>
      </c>
      <c r="E818" s="25"/>
      <c r="F818" s="34" t="str">
        <f t="shared" si="48"/>
        <v/>
      </c>
      <c r="G818" s="25"/>
      <c r="H818" s="25"/>
      <c r="I818" s="25"/>
      <c r="J818" s="25"/>
      <c r="K818" s="25"/>
      <c r="L818" s="34" t="str">
        <f t="shared" si="49"/>
        <v/>
      </c>
      <c r="M818" s="34" t="str">
        <f t="shared" ca="1" si="50"/>
        <v/>
      </c>
      <c r="N818" s="34" t="str">
        <f t="shared" si="51"/>
        <v/>
      </c>
      <c r="O818" s="25"/>
      <c r="P818" s="25"/>
    </row>
    <row r="819" spans="1:16" ht="21.75" customHeight="1" x14ac:dyDescent="0.25">
      <c r="A819" s="24"/>
      <c r="B819" s="24"/>
      <c r="C819" s="24"/>
      <c r="D819" s="34" t="str">
        <f>IF(C819="","",IFERROR(VLOOKUP(C819,CRM!$B$8:$O$1007,2,FALSE()),"Revisar ID"))</f>
        <v/>
      </c>
      <c r="E819" s="25"/>
      <c r="F819" s="34" t="str">
        <f t="shared" si="48"/>
        <v/>
      </c>
      <c r="G819" s="25"/>
      <c r="H819" s="25"/>
      <c r="I819" s="25"/>
      <c r="J819" s="25"/>
      <c r="K819" s="25"/>
      <c r="L819" s="34" t="str">
        <f t="shared" si="49"/>
        <v/>
      </c>
      <c r="M819" s="34" t="str">
        <f t="shared" ca="1" si="50"/>
        <v/>
      </c>
      <c r="N819" s="34" t="str">
        <f t="shared" si="51"/>
        <v/>
      </c>
      <c r="O819" s="25"/>
      <c r="P819" s="25"/>
    </row>
    <row r="820" spans="1:16" ht="21.75" customHeight="1" x14ac:dyDescent="0.25">
      <c r="A820" s="24"/>
      <c r="B820" s="24"/>
      <c r="C820" s="24"/>
      <c r="D820" s="34" t="str">
        <f>IF(C820="","",IFERROR(VLOOKUP(C820,CRM!$B$8:$O$1007,2,FALSE()),"Revisar ID"))</f>
        <v/>
      </c>
      <c r="E820" s="25"/>
      <c r="F820" s="34" t="str">
        <f t="shared" si="48"/>
        <v/>
      </c>
      <c r="G820" s="25"/>
      <c r="H820" s="25"/>
      <c r="I820" s="25"/>
      <c r="J820" s="25"/>
      <c r="K820" s="25"/>
      <c r="L820" s="34" t="str">
        <f t="shared" si="49"/>
        <v/>
      </c>
      <c r="M820" s="34" t="str">
        <f t="shared" ca="1" si="50"/>
        <v/>
      </c>
      <c r="N820" s="34" t="str">
        <f t="shared" si="51"/>
        <v/>
      </c>
      <c r="O820" s="25"/>
      <c r="P820" s="25"/>
    </row>
    <row r="821" spans="1:16" ht="21.75" customHeight="1" x14ac:dyDescent="0.25">
      <c r="A821" s="24"/>
      <c r="B821" s="24"/>
      <c r="C821" s="24"/>
      <c r="D821" s="34" t="str">
        <f>IF(C821="","",IFERROR(VLOOKUP(C821,CRM!$B$8:$O$1007,2,FALSE()),"Revisar ID"))</f>
        <v/>
      </c>
      <c r="E821" s="25"/>
      <c r="F821" s="34" t="str">
        <f t="shared" si="48"/>
        <v/>
      </c>
      <c r="G821" s="25"/>
      <c r="H821" s="25"/>
      <c r="I821" s="25"/>
      <c r="J821" s="25"/>
      <c r="K821" s="25"/>
      <c r="L821" s="34" t="str">
        <f t="shared" si="49"/>
        <v/>
      </c>
      <c r="M821" s="34" t="str">
        <f t="shared" ca="1" si="50"/>
        <v/>
      </c>
      <c r="N821" s="34" t="str">
        <f t="shared" si="51"/>
        <v/>
      </c>
      <c r="O821" s="25"/>
      <c r="P821" s="25"/>
    </row>
    <row r="822" spans="1:16" ht="21.75" customHeight="1" x14ac:dyDescent="0.25">
      <c r="A822" s="24"/>
      <c r="B822" s="24"/>
      <c r="C822" s="24"/>
      <c r="D822" s="34" t="str">
        <f>IF(C822="","",IFERROR(VLOOKUP(C822,CRM!$B$8:$O$1007,2,FALSE()),"Revisar ID"))</f>
        <v/>
      </c>
      <c r="E822" s="25"/>
      <c r="F822" s="34" t="str">
        <f t="shared" si="48"/>
        <v/>
      </c>
      <c r="G822" s="25"/>
      <c r="H822" s="25"/>
      <c r="I822" s="25"/>
      <c r="J822" s="25"/>
      <c r="K822" s="25"/>
      <c r="L822" s="34" t="str">
        <f t="shared" si="49"/>
        <v/>
      </c>
      <c r="M822" s="34" t="str">
        <f t="shared" ca="1" si="50"/>
        <v/>
      </c>
      <c r="N822" s="34" t="str">
        <f t="shared" si="51"/>
        <v/>
      </c>
      <c r="O822" s="25"/>
      <c r="P822" s="25"/>
    </row>
    <row r="823" spans="1:16" ht="21.75" customHeight="1" x14ac:dyDescent="0.25">
      <c r="A823" s="24"/>
      <c r="B823" s="24"/>
      <c r="C823" s="24"/>
      <c r="D823" s="34" t="str">
        <f>IF(C823="","",IFERROR(VLOOKUP(C823,CRM!$B$8:$O$1007,2,FALSE()),"Revisar ID"))</f>
        <v/>
      </c>
      <c r="E823" s="25"/>
      <c r="F823" s="34" t="str">
        <f t="shared" si="48"/>
        <v/>
      </c>
      <c r="G823" s="25"/>
      <c r="H823" s="25"/>
      <c r="I823" s="25"/>
      <c r="J823" s="25"/>
      <c r="K823" s="25"/>
      <c r="L823" s="34" t="str">
        <f t="shared" si="49"/>
        <v/>
      </c>
      <c r="M823" s="34" t="str">
        <f t="shared" ca="1" si="50"/>
        <v/>
      </c>
      <c r="N823" s="34" t="str">
        <f t="shared" si="51"/>
        <v/>
      </c>
      <c r="O823" s="25"/>
      <c r="P823" s="25"/>
    </row>
    <row r="824" spans="1:16" ht="21.75" customHeight="1" x14ac:dyDescent="0.25">
      <c r="A824" s="24"/>
      <c r="B824" s="24"/>
      <c r="C824" s="24"/>
      <c r="D824" s="34" t="str">
        <f>IF(C824="","",IFERROR(VLOOKUP(C824,CRM!$B$8:$O$1007,2,FALSE()),"Revisar ID"))</f>
        <v/>
      </c>
      <c r="E824" s="25"/>
      <c r="F824" s="34" t="str">
        <f t="shared" si="48"/>
        <v/>
      </c>
      <c r="G824" s="25"/>
      <c r="H824" s="25"/>
      <c r="I824" s="25"/>
      <c r="J824" s="25"/>
      <c r="K824" s="25"/>
      <c r="L824" s="34" t="str">
        <f t="shared" si="49"/>
        <v/>
      </c>
      <c r="M824" s="34" t="str">
        <f t="shared" ca="1" si="50"/>
        <v/>
      </c>
      <c r="N824" s="34" t="str">
        <f t="shared" si="51"/>
        <v/>
      </c>
      <c r="O824" s="25"/>
      <c r="P824" s="25"/>
    </row>
    <row r="825" spans="1:16" ht="21.75" customHeight="1" x14ac:dyDescent="0.25">
      <c r="A825" s="24"/>
      <c r="B825" s="24"/>
      <c r="C825" s="24"/>
      <c r="D825" s="34" t="str">
        <f>IF(C825="","",IFERROR(VLOOKUP(C825,CRM!$B$8:$O$1007,2,FALSE()),"Revisar ID"))</f>
        <v/>
      </c>
      <c r="E825" s="25"/>
      <c r="F825" s="34" t="str">
        <f t="shared" si="48"/>
        <v/>
      </c>
      <c r="G825" s="25"/>
      <c r="H825" s="25"/>
      <c r="I825" s="25"/>
      <c r="J825" s="25"/>
      <c r="K825" s="25"/>
      <c r="L825" s="34" t="str">
        <f t="shared" si="49"/>
        <v/>
      </c>
      <c r="M825" s="34" t="str">
        <f t="shared" ca="1" si="50"/>
        <v/>
      </c>
      <c r="N825" s="34" t="str">
        <f t="shared" si="51"/>
        <v/>
      </c>
      <c r="O825" s="25"/>
      <c r="P825" s="25"/>
    </row>
    <row r="826" spans="1:16" ht="21.75" customHeight="1" x14ac:dyDescent="0.25">
      <c r="A826" s="24"/>
      <c r="B826" s="24"/>
      <c r="C826" s="24"/>
      <c r="D826" s="34" t="str">
        <f>IF(C826="","",IFERROR(VLOOKUP(C826,CRM!$B$8:$O$1007,2,FALSE()),"Revisar ID"))</f>
        <v/>
      </c>
      <c r="E826" s="25"/>
      <c r="F826" s="34" t="str">
        <f t="shared" si="48"/>
        <v/>
      </c>
      <c r="G826" s="25"/>
      <c r="H826" s="25"/>
      <c r="I826" s="25"/>
      <c r="J826" s="25"/>
      <c r="K826" s="25"/>
      <c r="L826" s="34" t="str">
        <f t="shared" si="49"/>
        <v/>
      </c>
      <c r="M826" s="34" t="str">
        <f t="shared" ca="1" si="50"/>
        <v/>
      </c>
      <c r="N826" s="34" t="str">
        <f t="shared" si="51"/>
        <v/>
      </c>
      <c r="O826" s="25"/>
      <c r="P826" s="25"/>
    </row>
    <row r="827" spans="1:16" ht="21.75" customHeight="1" x14ac:dyDescent="0.25">
      <c r="A827" s="24"/>
      <c r="B827" s="24"/>
      <c r="C827" s="24"/>
      <c r="D827" s="34" t="str">
        <f>IF(C827="","",IFERROR(VLOOKUP(C827,CRM!$B$8:$O$1007,2,FALSE()),"Revisar ID"))</f>
        <v/>
      </c>
      <c r="E827" s="25"/>
      <c r="F827" s="34" t="str">
        <f t="shared" si="48"/>
        <v/>
      </c>
      <c r="G827" s="25"/>
      <c r="H827" s="25"/>
      <c r="I827" s="25"/>
      <c r="J827" s="25"/>
      <c r="K827" s="25"/>
      <c r="L827" s="34" t="str">
        <f t="shared" si="49"/>
        <v/>
      </c>
      <c r="M827" s="34" t="str">
        <f t="shared" ca="1" si="50"/>
        <v/>
      </c>
      <c r="N827" s="34" t="str">
        <f t="shared" si="51"/>
        <v/>
      </c>
      <c r="O827" s="25"/>
      <c r="P827" s="25"/>
    </row>
    <row r="828" spans="1:16" ht="21.75" customHeight="1" x14ac:dyDescent="0.25">
      <c r="A828" s="24"/>
      <c r="B828" s="24"/>
      <c r="C828" s="24"/>
      <c r="D828" s="34" t="str">
        <f>IF(C828="","",IFERROR(VLOOKUP(C828,CRM!$B$8:$O$1007,2,FALSE()),"Revisar ID"))</f>
        <v/>
      </c>
      <c r="E828" s="25"/>
      <c r="F828" s="34" t="str">
        <f t="shared" si="48"/>
        <v/>
      </c>
      <c r="G828" s="25"/>
      <c r="H828" s="25"/>
      <c r="I828" s="25"/>
      <c r="J828" s="25"/>
      <c r="K828" s="25"/>
      <c r="L828" s="34" t="str">
        <f t="shared" si="49"/>
        <v/>
      </c>
      <c r="M828" s="34" t="str">
        <f t="shared" ca="1" si="50"/>
        <v/>
      </c>
      <c r="N828" s="34" t="str">
        <f t="shared" si="51"/>
        <v/>
      </c>
      <c r="O828" s="25"/>
      <c r="P828" s="25"/>
    </row>
    <row r="829" spans="1:16" ht="21.75" customHeight="1" x14ac:dyDescent="0.25">
      <c r="A829" s="24"/>
      <c r="B829" s="24"/>
      <c r="C829" s="24"/>
      <c r="D829" s="34" t="str">
        <f>IF(C829="","",IFERROR(VLOOKUP(C829,CRM!$B$8:$O$1007,2,FALSE()),"Revisar ID"))</f>
        <v/>
      </c>
      <c r="E829" s="25"/>
      <c r="F829" s="34" t="str">
        <f t="shared" si="48"/>
        <v/>
      </c>
      <c r="G829" s="25"/>
      <c r="H829" s="25"/>
      <c r="I829" s="25"/>
      <c r="J829" s="25"/>
      <c r="K829" s="25"/>
      <c r="L829" s="34" t="str">
        <f t="shared" si="49"/>
        <v/>
      </c>
      <c r="M829" s="34" t="str">
        <f t="shared" ca="1" si="50"/>
        <v/>
      </c>
      <c r="N829" s="34" t="str">
        <f t="shared" si="51"/>
        <v/>
      </c>
      <c r="O829" s="25"/>
      <c r="P829" s="25"/>
    </row>
    <row r="830" spans="1:16" ht="21.75" customHeight="1" x14ac:dyDescent="0.25">
      <c r="A830" s="24"/>
      <c r="B830" s="24"/>
      <c r="C830" s="24"/>
      <c r="D830" s="34" t="str">
        <f>IF(C830="","",IFERROR(VLOOKUP(C830,CRM!$B$8:$O$1007,2,FALSE()),"Revisar ID"))</f>
        <v/>
      </c>
      <c r="E830" s="25"/>
      <c r="F830" s="34" t="str">
        <f t="shared" si="48"/>
        <v/>
      </c>
      <c r="G830" s="25"/>
      <c r="H830" s="25"/>
      <c r="I830" s="25"/>
      <c r="J830" s="25"/>
      <c r="K830" s="25"/>
      <c r="L830" s="34" t="str">
        <f t="shared" si="49"/>
        <v/>
      </c>
      <c r="M830" s="34" t="str">
        <f t="shared" ca="1" si="50"/>
        <v/>
      </c>
      <c r="N830" s="34" t="str">
        <f t="shared" si="51"/>
        <v/>
      </c>
      <c r="O830" s="25"/>
      <c r="P830" s="25"/>
    </row>
    <row r="831" spans="1:16" ht="21.75" customHeight="1" x14ac:dyDescent="0.25">
      <c r="A831" s="24"/>
      <c r="B831" s="24"/>
      <c r="C831" s="24"/>
      <c r="D831" s="34" t="str">
        <f>IF(C831="","",IFERROR(VLOOKUP(C831,CRM!$B$8:$O$1007,2,FALSE()),"Revisar ID"))</f>
        <v/>
      </c>
      <c r="E831" s="25"/>
      <c r="F831" s="34" t="str">
        <f t="shared" si="48"/>
        <v/>
      </c>
      <c r="G831" s="25"/>
      <c r="H831" s="25"/>
      <c r="I831" s="25"/>
      <c r="J831" s="25"/>
      <c r="K831" s="25"/>
      <c r="L831" s="34" t="str">
        <f t="shared" si="49"/>
        <v/>
      </c>
      <c r="M831" s="34" t="str">
        <f t="shared" ca="1" si="50"/>
        <v/>
      </c>
      <c r="N831" s="34" t="str">
        <f t="shared" si="51"/>
        <v/>
      </c>
      <c r="O831" s="25"/>
      <c r="P831" s="25"/>
    </row>
    <row r="832" spans="1:16" ht="21.75" customHeight="1" x14ac:dyDescent="0.25">
      <c r="A832" s="24"/>
      <c r="B832" s="24"/>
      <c r="C832" s="24"/>
      <c r="D832" s="34" t="str">
        <f>IF(C832="","",IFERROR(VLOOKUP(C832,CRM!$B$8:$O$1007,2,FALSE()),"Revisar ID"))</f>
        <v/>
      </c>
      <c r="E832" s="25"/>
      <c r="F832" s="34" t="str">
        <f t="shared" si="48"/>
        <v/>
      </c>
      <c r="G832" s="25"/>
      <c r="H832" s="25"/>
      <c r="I832" s="25"/>
      <c r="J832" s="25"/>
      <c r="K832" s="25"/>
      <c r="L832" s="34" t="str">
        <f t="shared" si="49"/>
        <v/>
      </c>
      <c r="M832" s="34" t="str">
        <f t="shared" ca="1" si="50"/>
        <v/>
      </c>
      <c r="N832" s="34" t="str">
        <f t="shared" si="51"/>
        <v/>
      </c>
      <c r="O832" s="25"/>
      <c r="P832" s="25"/>
    </row>
    <row r="833" spans="1:16" ht="21.75" customHeight="1" x14ac:dyDescent="0.25">
      <c r="A833" s="24"/>
      <c r="B833" s="24"/>
      <c r="C833" s="24"/>
      <c r="D833" s="34" t="str">
        <f>IF(C833="","",IFERROR(VLOOKUP(C833,CRM!$B$8:$O$1007,2,FALSE()),"Revisar ID"))</f>
        <v/>
      </c>
      <c r="E833" s="25"/>
      <c r="F833" s="34" t="str">
        <f t="shared" si="48"/>
        <v/>
      </c>
      <c r="G833" s="25"/>
      <c r="H833" s="25"/>
      <c r="I833" s="25"/>
      <c r="J833" s="25"/>
      <c r="K833" s="25"/>
      <c r="L833" s="34" t="str">
        <f t="shared" si="49"/>
        <v/>
      </c>
      <c r="M833" s="34" t="str">
        <f t="shared" ca="1" si="50"/>
        <v/>
      </c>
      <c r="N833" s="34" t="str">
        <f t="shared" si="51"/>
        <v/>
      </c>
      <c r="O833" s="25"/>
      <c r="P833" s="25"/>
    </row>
    <row r="834" spans="1:16" ht="21.75" customHeight="1" x14ac:dyDescent="0.25">
      <c r="A834" s="24"/>
      <c r="B834" s="24"/>
      <c r="C834" s="24"/>
      <c r="D834" s="34" t="str">
        <f>IF(C834="","",IFERROR(VLOOKUP(C834,CRM!$B$8:$O$1007,2,FALSE()),"Revisar ID"))</f>
        <v/>
      </c>
      <c r="E834" s="25"/>
      <c r="F834" s="34" t="str">
        <f t="shared" si="48"/>
        <v/>
      </c>
      <c r="G834" s="25"/>
      <c r="H834" s="25"/>
      <c r="I834" s="25"/>
      <c r="J834" s="25"/>
      <c r="K834" s="25"/>
      <c r="L834" s="34" t="str">
        <f t="shared" si="49"/>
        <v/>
      </c>
      <c r="M834" s="34" t="str">
        <f t="shared" ca="1" si="50"/>
        <v/>
      </c>
      <c r="N834" s="34" t="str">
        <f t="shared" si="51"/>
        <v/>
      </c>
      <c r="O834" s="25"/>
      <c r="P834" s="25"/>
    </row>
    <row r="835" spans="1:16" ht="21.75" customHeight="1" x14ac:dyDescent="0.25">
      <c r="A835" s="24"/>
      <c r="B835" s="24"/>
      <c r="C835" s="24"/>
      <c r="D835" s="34" t="str">
        <f>IF(C835="","",IFERROR(VLOOKUP(C835,CRM!$B$8:$O$1007,2,FALSE()),"Revisar ID"))</f>
        <v/>
      </c>
      <c r="E835" s="25"/>
      <c r="F835" s="34" t="str">
        <f t="shared" si="48"/>
        <v/>
      </c>
      <c r="G835" s="25"/>
      <c r="H835" s="25"/>
      <c r="I835" s="25"/>
      <c r="J835" s="25"/>
      <c r="K835" s="25"/>
      <c r="L835" s="34" t="str">
        <f t="shared" si="49"/>
        <v/>
      </c>
      <c r="M835" s="34" t="str">
        <f t="shared" ca="1" si="50"/>
        <v/>
      </c>
      <c r="N835" s="34" t="str">
        <f t="shared" si="51"/>
        <v/>
      </c>
      <c r="O835" s="25"/>
      <c r="P835" s="25"/>
    </row>
    <row r="836" spans="1:16" ht="21.75" customHeight="1" x14ac:dyDescent="0.25">
      <c r="A836" s="24"/>
      <c r="B836" s="24"/>
      <c r="C836" s="24"/>
      <c r="D836" s="34" t="str">
        <f>IF(C836="","",IFERROR(VLOOKUP(C836,CRM!$B$8:$O$1007,2,FALSE()),"Revisar ID"))</f>
        <v/>
      </c>
      <c r="E836" s="25"/>
      <c r="F836" s="34" t="str">
        <f t="shared" si="48"/>
        <v/>
      </c>
      <c r="G836" s="25"/>
      <c r="H836" s="25"/>
      <c r="I836" s="25"/>
      <c r="J836" s="25"/>
      <c r="K836" s="25"/>
      <c r="L836" s="34" t="str">
        <f t="shared" si="49"/>
        <v/>
      </c>
      <c r="M836" s="34" t="str">
        <f t="shared" ca="1" si="50"/>
        <v/>
      </c>
      <c r="N836" s="34" t="str">
        <f t="shared" si="51"/>
        <v/>
      </c>
      <c r="O836" s="25"/>
      <c r="P836" s="25"/>
    </row>
    <row r="837" spans="1:16" ht="21.75" customHeight="1" x14ac:dyDescent="0.25">
      <c r="A837" s="24"/>
      <c r="B837" s="24"/>
      <c r="C837" s="24"/>
      <c r="D837" s="34" t="str">
        <f>IF(C837="","",IFERROR(VLOOKUP(C837,CRM!$B$8:$O$1007,2,FALSE()),"Revisar ID"))</f>
        <v/>
      </c>
      <c r="E837" s="25"/>
      <c r="F837" s="34" t="str">
        <f t="shared" si="48"/>
        <v/>
      </c>
      <c r="G837" s="25"/>
      <c r="H837" s="25"/>
      <c r="I837" s="25"/>
      <c r="J837" s="25"/>
      <c r="K837" s="25"/>
      <c r="L837" s="34" t="str">
        <f t="shared" si="49"/>
        <v/>
      </c>
      <c r="M837" s="34" t="str">
        <f t="shared" ca="1" si="50"/>
        <v/>
      </c>
      <c r="N837" s="34" t="str">
        <f t="shared" si="51"/>
        <v/>
      </c>
      <c r="O837" s="25"/>
      <c r="P837" s="25"/>
    </row>
    <row r="838" spans="1:16" ht="21.75" customHeight="1" x14ac:dyDescent="0.25">
      <c r="A838" s="24"/>
      <c r="B838" s="24"/>
      <c r="C838" s="24"/>
      <c r="D838" s="34" t="str">
        <f>IF(C838="","",IFERROR(VLOOKUP(C838,CRM!$B$8:$O$1007,2,FALSE()),"Revisar ID"))</f>
        <v/>
      </c>
      <c r="E838" s="25"/>
      <c r="F838" s="34" t="str">
        <f t="shared" si="48"/>
        <v/>
      </c>
      <c r="G838" s="25"/>
      <c r="H838" s="25"/>
      <c r="I838" s="25"/>
      <c r="J838" s="25"/>
      <c r="K838" s="25"/>
      <c r="L838" s="34" t="str">
        <f t="shared" si="49"/>
        <v/>
      </c>
      <c r="M838" s="34" t="str">
        <f t="shared" ca="1" si="50"/>
        <v/>
      </c>
      <c r="N838" s="34" t="str">
        <f t="shared" si="51"/>
        <v/>
      </c>
      <c r="O838" s="25"/>
      <c r="P838" s="25"/>
    </row>
    <row r="839" spans="1:16" ht="21.75" customHeight="1" x14ac:dyDescent="0.25">
      <c r="A839" s="24"/>
      <c r="B839" s="24"/>
      <c r="C839" s="24"/>
      <c r="D839" s="34" t="str">
        <f>IF(C839="","",IFERROR(VLOOKUP(C839,CRM!$B$8:$O$1007,2,FALSE()),"Revisar ID"))</f>
        <v/>
      </c>
      <c r="E839" s="25"/>
      <c r="F839" s="34" t="str">
        <f t="shared" si="48"/>
        <v/>
      </c>
      <c r="G839" s="25"/>
      <c r="H839" s="25"/>
      <c r="I839" s="25"/>
      <c r="J839" s="25"/>
      <c r="K839" s="25"/>
      <c r="L839" s="34" t="str">
        <f t="shared" si="49"/>
        <v/>
      </c>
      <c r="M839" s="34" t="str">
        <f t="shared" ca="1" si="50"/>
        <v/>
      </c>
      <c r="N839" s="34" t="str">
        <f t="shared" si="51"/>
        <v/>
      </c>
      <c r="O839" s="25"/>
      <c r="P839" s="25"/>
    </row>
    <row r="840" spans="1:16" ht="21.75" customHeight="1" x14ac:dyDescent="0.25">
      <c r="A840" s="24"/>
      <c r="B840" s="24"/>
      <c r="C840" s="24"/>
      <c r="D840" s="34" t="str">
        <f>IF(C840="","",IFERROR(VLOOKUP(C840,CRM!$B$8:$O$1007,2,FALSE()),"Revisar ID"))</f>
        <v/>
      </c>
      <c r="E840" s="25"/>
      <c r="F840" s="34" t="str">
        <f t="shared" si="48"/>
        <v/>
      </c>
      <c r="G840" s="25"/>
      <c r="H840" s="25"/>
      <c r="I840" s="25"/>
      <c r="J840" s="25"/>
      <c r="K840" s="25"/>
      <c r="L840" s="34" t="str">
        <f t="shared" si="49"/>
        <v/>
      </c>
      <c r="M840" s="34" t="str">
        <f t="shared" ca="1" si="50"/>
        <v/>
      </c>
      <c r="N840" s="34" t="str">
        <f t="shared" si="51"/>
        <v/>
      </c>
      <c r="O840" s="25"/>
      <c r="P840" s="25"/>
    </row>
    <row r="841" spans="1:16" ht="21.75" customHeight="1" x14ac:dyDescent="0.25">
      <c r="A841" s="24"/>
      <c r="B841" s="24"/>
      <c r="C841" s="24"/>
      <c r="D841" s="34" t="str">
        <f>IF(C841="","",IFERROR(VLOOKUP(C841,CRM!$B$8:$O$1007,2,FALSE()),"Revisar ID"))</f>
        <v/>
      </c>
      <c r="E841" s="25"/>
      <c r="F841" s="34" t="str">
        <f t="shared" ref="F841:F904" si="52">IF(B841="","",B841+IF(E841="Contado",0,IF(E841="7 días",7,IF(E841="15 días",15,IF(E841="30 días",30,IF(E841="45 días",45,IF(E841="60 días",60,0)))))))</f>
        <v/>
      </c>
      <c r="G841" s="25"/>
      <c r="H841" s="25"/>
      <c r="I841" s="25"/>
      <c r="J841" s="25"/>
      <c r="K841" s="25"/>
      <c r="L841" s="34" t="str">
        <f t="shared" ref="L841:L904" si="53">IF(G841="","",MAX(0,G841-SUM(I841,K841)))</f>
        <v/>
      </c>
      <c r="M841" s="34" t="str">
        <f t="shared" ref="M841:M904" ca="1" si="54">IF(G841="","",IF(L841=0,0,MAX(0,TODAY()-F841)))</f>
        <v/>
      </c>
      <c r="N841" s="34" t="str">
        <f t="shared" ref="N841:N904" si="55">IF(G841="","",IF(L841=0,"Pagada",IF(M841&gt;0,"Vencida",IF(SUM(I841,K841)&gt;0,"Parcial","Pendiente"))))</f>
        <v/>
      </c>
      <c r="O841" s="25"/>
      <c r="P841" s="25"/>
    </row>
    <row r="842" spans="1:16" ht="21.75" customHeight="1" x14ac:dyDescent="0.25">
      <c r="A842" s="24"/>
      <c r="B842" s="24"/>
      <c r="C842" s="24"/>
      <c r="D842" s="34" t="str">
        <f>IF(C842="","",IFERROR(VLOOKUP(C842,CRM!$B$8:$O$1007,2,FALSE()),"Revisar ID"))</f>
        <v/>
      </c>
      <c r="E842" s="25"/>
      <c r="F842" s="34" t="str">
        <f t="shared" si="52"/>
        <v/>
      </c>
      <c r="G842" s="25"/>
      <c r="H842" s="25"/>
      <c r="I842" s="25"/>
      <c r="J842" s="25"/>
      <c r="K842" s="25"/>
      <c r="L842" s="34" t="str">
        <f t="shared" si="53"/>
        <v/>
      </c>
      <c r="M842" s="34" t="str">
        <f t="shared" ca="1" si="54"/>
        <v/>
      </c>
      <c r="N842" s="34" t="str">
        <f t="shared" si="55"/>
        <v/>
      </c>
      <c r="O842" s="25"/>
      <c r="P842" s="25"/>
    </row>
    <row r="843" spans="1:16" ht="21.75" customHeight="1" x14ac:dyDescent="0.25">
      <c r="A843" s="24"/>
      <c r="B843" s="24"/>
      <c r="C843" s="24"/>
      <c r="D843" s="34" t="str">
        <f>IF(C843="","",IFERROR(VLOOKUP(C843,CRM!$B$8:$O$1007,2,FALSE()),"Revisar ID"))</f>
        <v/>
      </c>
      <c r="E843" s="25"/>
      <c r="F843" s="34" t="str">
        <f t="shared" si="52"/>
        <v/>
      </c>
      <c r="G843" s="25"/>
      <c r="H843" s="25"/>
      <c r="I843" s="25"/>
      <c r="J843" s="25"/>
      <c r="K843" s="25"/>
      <c r="L843" s="34" t="str">
        <f t="shared" si="53"/>
        <v/>
      </c>
      <c r="M843" s="34" t="str">
        <f t="shared" ca="1" si="54"/>
        <v/>
      </c>
      <c r="N843" s="34" t="str">
        <f t="shared" si="55"/>
        <v/>
      </c>
      <c r="O843" s="25"/>
      <c r="P843" s="25"/>
    </row>
    <row r="844" spans="1:16" ht="21.75" customHeight="1" x14ac:dyDescent="0.25">
      <c r="A844" s="24"/>
      <c r="B844" s="24"/>
      <c r="C844" s="24"/>
      <c r="D844" s="34" t="str">
        <f>IF(C844="","",IFERROR(VLOOKUP(C844,CRM!$B$8:$O$1007,2,FALSE()),"Revisar ID"))</f>
        <v/>
      </c>
      <c r="E844" s="25"/>
      <c r="F844" s="34" t="str">
        <f t="shared" si="52"/>
        <v/>
      </c>
      <c r="G844" s="25"/>
      <c r="H844" s="25"/>
      <c r="I844" s="25"/>
      <c r="J844" s="25"/>
      <c r="K844" s="25"/>
      <c r="L844" s="34" t="str">
        <f t="shared" si="53"/>
        <v/>
      </c>
      <c r="M844" s="34" t="str">
        <f t="shared" ca="1" si="54"/>
        <v/>
      </c>
      <c r="N844" s="34" t="str">
        <f t="shared" si="55"/>
        <v/>
      </c>
      <c r="O844" s="25"/>
      <c r="P844" s="25"/>
    </row>
    <row r="845" spans="1:16" ht="21.75" customHeight="1" x14ac:dyDescent="0.25">
      <c r="A845" s="24"/>
      <c r="B845" s="24"/>
      <c r="C845" s="24"/>
      <c r="D845" s="34" t="str">
        <f>IF(C845="","",IFERROR(VLOOKUP(C845,CRM!$B$8:$O$1007,2,FALSE()),"Revisar ID"))</f>
        <v/>
      </c>
      <c r="E845" s="25"/>
      <c r="F845" s="34" t="str">
        <f t="shared" si="52"/>
        <v/>
      </c>
      <c r="G845" s="25"/>
      <c r="H845" s="25"/>
      <c r="I845" s="25"/>
      <c r="J845" s="25"/>
      <c r="K845" s="25"/>
      <c r="L845" s="34" t="str">
        <f t="shared" si="53"/>
        <v/>
      </c>
      <c r="M845" s="34" t="str">
        <f t="shared" ca="1" si="54"/>
        <v/>
      </c>
      <c r="N845" s="34" t="str">
        <f t="shared" si="55"/>
        <v/>
      </c>
      <c r="O845" s="25"/>
      <c r="P845" s="25"/>
    </row>
    <row r="846" spans="1:16" ht="21.75" customHeight="1" x14ac:dyDescent="0.25">
      <c r="A846" s="24"/>
      <c r="B846" s="24"/>
      <c r="C846" s="24"/>
      <c r="D846" s="34" t="str">
        <f>IF(C846="","",IFERROR(VLOOKUP(C846,CRM!$B$8:$O$1007,2,FALSE()),"Revisar ID"))</f>
        <v/>
      </c>
      <c r="E846" s="25"/>
      <c r="F846" s="34" t="str">
        <f t="shared" si="52"/>
        <v/>
      </c>
      <c r="G846" s="25"/>
      <c r="H846" s="25"/>
      <c r="I846" s="25"/>
      <c r="J846" s="25"/>
      <c r="K846" s="25"/>
      <c r="L846" s="34" t="str">
        <f t="shared" si="53"/>
        <v/>
      </c>
      <c r="M846" s="34" t="str">
        <f t="shared" ca="1" si="54"/>
        <v/>
      </c>
      <c r="N846" s="34" t="str">
        <f t="shared" si="55"/>
        <v/>
      </c>
      <c r="O846" s="25"/>
      <c r="P846" s="25"/>
    </row>
    <row r="847" spans="1:16" ht="21.75" customHeight="1" x14ac:dyDescent="0.25">
      <c r="A847" s="24"/>
      <c r="B847" s="24"/>
      <c r="C847" s="24"/>
      <c r="D847" s="34" t="str">
        <f>IF(C847="","",IFERROR(VLOOKUP(C847,CRM!$B$8:$O$1007,2,FALSE()),"Revisar ID"))</f>
        <v/>
      </c>
      <c r="E847" s="25"/>
      <c r="F847" s="34" t="str">
        <f t="shared" si="52"/>
        <v/>
      </c>
      <c r="G847" s="25"/>
      <c r="H847" s="25"/>
      <c r="I847" s="25"/>
      <c r="J847" s="25"/>
      <c r="K847" s="25"/>
      <c r="L847" s="34" t="str">
        <f t="shared" si="53"/>
        <v/>
      </c>
      <c r="M847" s="34" t="str">
        <f t="shared" ca="1" si="54"/>
        <v/>
      </c>
      <c r="N847" s="34" t="str">
        <f t="shared" si="55"/>
        <v/>
      </c>
      <c r="O847" s="25"/>
      <c r="P847" s="25"/>
    </row>
    <row r="848" spans="1:16" ht="21.75" customHeight="1" x14ac:dyDescent="0.25">
      <c r="A848" s="24"/>
      <c r="B848" s="24"/>
      <c r="C848" s="24"/>
      <c r="D848" s="34" t="str">
        <f>IF(C848="","",IFERROR(VLOOKUP(C848,CRM!$B$8:$O$1007,2,FALSE()),"Revisar ID"))</f>
        <v/>
      </c>
      <c r="E848" s="25"/>
      <c r="F848" s="34" t="str">
        <f t="shared" si="52"/>
        <v/>
      </c>
      <c r="G848" s="25"/>
      <c r="H848" s="25"/>
      <c r="I848" s="25"/>
      <c r="J848" s="25"/>
      <c r="K848" s="25"/>
      <c r="L848" s="34" t="str">
        <f t="shared" si="53"/>
        <v/>
      </c>
      <c r="M848" s="34" t="str">
        <f t="shared" ca="1" si="54"/>
        <v/>
      </c>
      <c r="N848" s="34" t="str">
        <f t="shared" si="55"/>
        <v/>
      </c>
      <c r="O848" s="25"/>
      <c r="P848" s="25"/>
    </row>
    <row r="849" spans="1:16" ht="21.75" customHeight="1" x14ac:dyDescent="0.25">
      <c r="A849" s="24"/>
      <c r="B849" s="24"/>
      <c r="C849" s="24"/>
      <c r="D849" s="34" t="str">
        <f>IF(C849="","",IFERROR(VLOOKUP(C849,CRM!$B$8:$O$1007,2,FALSE()),"Revisar ID"))</f>
        <v/>
      </c>
      <c r="E849" s="25"/>
      <c r="F849" s="34" t="str">
        <f t="shared" si="52"/>
        <v/>
      </c>
      <c r="G849" s="25"/>
      <c r="H849" s="25"/>
      <c r="I849" s="25"/>
      <c r="J849" s="25"/>
      <c r="K849" s="25"/>
      <c r="L849" s="34" t="str">
        <f t="shared" si="53"/>
        <v/>
      </c>
      <c r="M849" s="34" t="str">
        <f t="shared" ca="1" si="54"/>
        <v/>
      </c>
      <c r="N849" s="34" t="str">
        <f t="shared" si="55"/>
        <v/>
      </c>
      <c r="O849" s="25"/>
      <c r="P849" s="25"/>
    </row>
    <row r="850" spans="1:16" ht="21.75" customHeight="1" x14ac:dyDescent="0.25">
      <c r="A850" s="24"/>
      <c r="B850" s="24"/>
      <c r="C850" s="24"/>
      <c r="D850" s="34" t="str">
        <f>IF(C850="","",IFERROR(VLOOKUP(C850,CRM!$B$8:$O$1007,2,FALSE()),"Revisar ID"))</f>
        <v/>
      </c>
      <c r="E850" s="25"/>
      <c r="F850" s="34" t="str">
        <f t="shared" si="52"/>
        <v/>
      </c>
      <c r="G850" s="25"/>
      <c r="H850" s="25"/>
      <c r="I850" s="25"/>
      <c r="J850" s="25"/>
      <c r="K850" s="25"/>
      <c r="L850" s="34" t="str">
        <f t="shared" si="53"/>
        <v/>
      </c>
      <c r="M850" s="34" t="str">
        <f t="shared" ca="1" si="54"/>
        <v/>
      </c>
      <c r="N850" s="34" t="str">
        <f t="shared" si="55"/>
        <v/>
      </c>
      <c r="O850" s="25"/>
      <c r="P850" s="25"/>
    </row>
    <row r="851" spans="1:16" ht="21.75" customHeight="1" x14ac:dyDescent="0.25">
      <c r="A851" s="24"/>
      <c r="B851" s="24"/>
      <c r="C851" s="24"/>
      <c r="D851" s="34" t="str">
        <f>IF(C851="","",IFERROR(VLOOKUP(C851,CRM!$B$8:$O$1007,2,FALSE()),"Revisar ID"))</f>
        <v/>
      </c>
      <c r="E851" s="25"/>
      <c r="F851" s="34" t="str">
        <f t="shared" si="52"/>
        <v/>
      </c>
      <c r="G851" s="25"/>
      <c r="H851" s="25"/>
      <c r="I851" s="25"/>
      <c r="J851" s="25"/>
      <c r="K851" s="25"/>
      <c r="L851" s="34" t="str">
        <f t="shared" si="53"/>
        <v/>
      </c>
      <c r="M851" s="34" t="str">
        <f t="shared" ca="1" si="54"/>
        <v/>
      </c>
      <c r="N851" s="34" t="str">
        <f t="shared" si="55"/>
        <v/>
      </c>
      <c r="O851" s="25"/>
      <c r="P851" s="25"/>
    </row>
    <row r="852" spans="1:16" ht="21.75" customHeight="1" x14ac:dyDescent="0.25">
      <c r="A852" s="24"/>
      <c r="B852" s="24"/>
      <c r="C852" s="24"/>
      <c r="D852" s="34" t="str">
        <f>IF(C852="","",IFERROR(VLOOKUP(C852,CRM!$B$8:$O$1007,2,FALSE()),"Revisar ID"))</f>
        <v/>
      </c>
      <c r="E852" s="25"/>
      <c r="F852" s="34" t="str">
        <f t="shared" si="52"/>
        <v/>
      </c>
      <c r="G852" s="25"/>
      <c r="H852" s="25"/>
      <c r="I852" s="25"/>
      <c r="J852" s="25"/>
      <c r="K852" s="25"/>
      <c r="L852" s="34" t="str">
        <f t="shared" si="53"/>
        <v/>
      </c>
      <c r="M852" s="34" t="str">
        <f t="shared" ca="1" si="54"/>
        <v/>
      </c>
      <c r="N852" s="34" t="str">
        <f t="shared" si="55"/>
        <v/>
      </c>
      <c r="O852" s="25"/>
      <c r="P852" s="25"/>
    </row>
    <row r="853" spans="1:16" ht="21.75" customHeight="1" x14ac:dyDescent="0.25">
      <c r="A853" s="24"/>
      <c r="B853" s="24"/>
      <c r="C853" s="24"/>
      <c r="D853" s="34" t="str">
        <f>IF(C853="","",IFERROR(VLOOKUP(C853,CRM!$B$8:$O$1007,2,FALSE()),"Revisar ID"))</f>
        <v/>
      </c>
      <c r="E853" s="25"/>
      <c r="F853" s="34" t="str">
        <f t="shared" si="52"/>
        <v/>
      </c>
      <c r="G853" s="25"/>
      <c r="H853" s="25"/>
      <c r="I853" s="25"/>
      <c r="J853" s="25"/>
      <c r="K853" s="25"/>
      <c r="L853" s="34" t="str">
        <f t="shared" si="53"/>
        <v/>
      </c>
      <c r="M853" s="34" t="str">
        <f t="shared" ca="1" si="54"/>
        <v/>
      </c>
      <c r="N853" s="34" t="str">
        <f t="shared" si="55"/>
        <v/>
      </c>
      <c r="O853" s="25"/>
      <c r="P853" s="25"/>
    </row>
    <row r="854" spans="1:16" ht="21.75" customHeight="1" x14ac:dyDescent="0.25">
      <c r="A854" s="24"/>
      <c r="B854" s="24"/>
      <c r="C854" s="24"/>
      <c r="D854" s="34" t="str">
        <f>IF(C854="","",IFERROR(VLOOKUP(C854,CRM!$B$8:$O$1007,2,FALSE()),"Revisar ID"))</f>
        <v/>
      </c>
      <c r="E854" s="25"/>
      <c r="F854" s="34" t="str">
        <f t="shared" si="52"/>
        <v/>
      </c>
      <c r="G854" s="25"/>
      <c r="H854" s="25"/>
      <c r="I854" s="25"/>
      <c r="J854" s="25"/>
      <c r="K854" s="25"/>
      <c r="L854" s="34" t="str">
        <f t="shared" si="53"/>
        <v/>
      </c>
      <c r="M854" s="34" t="str">
        <f t="shared" ca="1" si="54"/>
        <v/>
      </c>
      <c r="N854" s="34" t="str">
        <f t="shared" si="55"/>
        <v/>
      </c>
      <c r="O854" s="25"/>
      <c r="P854" s="25"/>
    </row>
    <row r="855" spans="1:16" ht="21.75" customHeight="1" x14ac:dyDescent="0.25">
      <c r="A855" s="24"/>
      <c r="B855" s="24"/>
      <c r="C855" s="24"/>
      <c r="D855" s="34" t="str">
        <f>IF(C855="","",IFERROR(VLOOKUP(C855,CRM!$B$8:$O$1007,2,FALSE()),"Revisar ID"))</f>
        <v/>
      </c>
      <c r="E855" s="25"/>
      <c r="F855" s="34" t="str">
        <f t="shared" si="52"/>
        <v/>
      </c>
      <c r="G855" s="25"/>
      <c r="H855" s="25"/>
      <c r="I855" s="25"/>
      <c r="J855" s="25"/>
      <c r="K855" s="25"/>
      <c r="L855" s="34" t="str">
        <f t="shared" si="53"/>
        <v/>
      </c>
      <c r="M855" s="34" t="str">
        <f t="shared" ca="1" si="54"/>
        <v/>
      </c>
      <c r="N855" s="34" t="str">
        <f t="shared" si="55"/>
        <v/>
      </c>
      <c r="O855" s="25"/>
      <c r="P855" s="25"/>
    </row>
    <row r="856" spans="1:16" ht="21.75" customHeight="1" x14ac:dyDescent="0.25">
      <c r="A856" s="24"/>
      <c r="B856" s="24"/>
      <c r="C856" s="24"/>
      <c r="D856" s="34" t="str">
        <f>IF(C856="","",IFERROR(VLOOKUP(C856,CRM!$B$8:$O$1007,2,FALSE()),"Revisar ID"))</f>
        <v/>
      </c>
      <c r="E856" s="25"/>
      <c r="F856" s="34" t="str">
        <f t="shared" si="52"/>
        <v/>
      </c>
      <c r="G856" s="25"/>
      <c r="H856" s="25"/>
      <c r="I856" s="25"/>
      <c r="J856" s="25"/>
      <c r="K856" s="25"/>
      <c r="L856" s="34" t="str">
        <f t="shared" si="53"/>
        <v/>
      </c>
      <c r="M856" s="34" t="str">
        <f t="shared" ca="1" si="54"/>
        <v/>
      </c>
      <c r="N856" s="34" t="str">
        <f t="shared" si="55"/>
        <v/>
      </c>
      <c r="O856" s="25"/>
      <c r="P856" s="25"/>
    </row>
    <row r="857" spans="1:16" ht="21.75" customHeight="1" x14ac:dyDescent="0.25">
      <c r="A857" s="24"/>
      <c r="B857" s="24"/>
      <c r="C857" s="24"/>
      <c r="D857" s="34" t="str">
        <f>IF(C857="","",IFERROR(VLOOKUP(C857,CRM!$B$8:$O$1007,2,FALSE()),"Revisar ID"))</f>
        <v/>
      </c>
      <c r="E857" s="25"/>
      <c r="F857" s="34" t="str">
        <f t="shared" si="52"/>
        <v/>
      </c>
      <c r="G857" s="25"/>
      <c r="H857" s="25"/>
      <c r="I857" s="25"/>
      <c r="J857" s="25"/>
      <c r="K857" s="25"/>
      <c r="L857" s="34" t="str">
        <f t="shared" si="53"/>
        <v/>
      </c>
      <c r="M857" s="34" t="str">
        <f t="shared" ca="1" si="54"/>
        <v/>
      </c>
      <c r="N857" s="34" t="str">
        <f t="shared" si="55"/>
        <v/>
      </c>
      <c r="O857" s="25"/>
      <c r="P857" s="25"/>
    </row>
    <row r="858" spans="1:16" ht="21.75" customHeight="1" x14ac:dyDescent="0.25">
      <c r="A858" s="24"/>
      <c r="B858" s="24"/>
      <c r="C858" s="24"/>
      <c r="D858" s="34" t="str">
        <f>IF(C858="","",IFERROR(VLOOKUP(C858,CRM!$B$8:$O$1007,2,FALSE()),"Revisar ID"))</f>
        <v/>
      </c>
      <c r="E858" s="25"/>
      <c r="F858" s="34" t="str">
        <f t="shared" si="52"/>
        <v/>
      </c>
      <c r="G858" s="25"/>
      <c r="H858" s="25"/>
      <c r="I858" s="25"/>
      <c r="J858" s="25"/>
      <c r="K858" s="25"/>
      <c r="L858" s="34" t="str">
        <f t="shared" si="53"/>
        <v/>
      </c>
      <c r="M858" s="34" t="str">
        <f t="shared" ca="1" si="54"/>
        <v/>
      </c>
      <c r="N858" s="34" t="str">
        <f t="shared" si="55"/>
        <v/>
      </c>
      <c r="O858" s="25"/>
      <c r="P858" s="25"/>
    </row>
    <row r="859" spans="1:16" ht="21.75" customHeight="1" x14ac:dyDescent="0.25">
      <c r="A859" s="24"/>
      <c r="B859" s="24"/>
      <c r="C859" s="24"/>
      <c r="D859" s="34" t="str">
        <f>IF(C859="","",IFERROR(VLOOKUP(C859,CRM!$B$8:$O$1007,2,FALSE()),"Revisar ID"))</f>
        <v/>
      </c>
      <c r="E859" s="25"/>
      <c r="F859" s="34" t="str">
        <f t="shared" si="52"/>
        <v/>
      </c>
      <c r="G859" s="25"/>
      <c r="H859" s="25"/>
      <c r="I859" s="25"/>
      <c r="J859" s="25"/>
      <c r="K859" s="25"/>
      <c r="L859" s="34" t="str">
        <f t="shared" si="53"/>
        <v/>
      </c>
      <c r="M859" s="34" t="str">
        <f t="shared" ca="1" si="54"/>
        <v/>
      </c>
      <c r="N859" s="34" t="str">
        <f t="shared" si="55"/>
        <v/>
      </c>
      <c r="O859" s="25"/>
      <c r="P859" s="25"/>
    </row>
    <row r="860" spans="1:16" ht="21.75" customHeight="1" x14ac:dyDescent="0.25">
      <c r="A860" s="24"/>
      <c r="B860" s="24"/>
      <c r="C860" s="24"/>
      <c r="D860" s="34" t="str">
        <f>IF(C860="","",IFERROR(VLOOKUP(C860,CRM!$B$8:$O$1007,2,FALSE()),"Revisar ID"))</f>
        <v/>
      </c>
      <c r="E860" s="25"/>
      <c r="F860" s="34" t="str">
        <f t="shared" si="52"/>
        <v/>
      </c>
      <c r="G860" s="25"/>
      <c r="H860" s="25"/>
      <c r="I860" s="25"/>
      <c r="J860" s="25"/>
      <c r="K860" s="25"/>
      <c r="L860" s="34" t="str">
        <f t="shared" si="53"/>
        <v/>
      </c>
      <c r="M860" s="34" t="str">
        <f t="shared" ca="1" si="54"/>
        <v/>
      </c>
      <c r="N860" s="34" t="str">
        <f t="shared" si="55"/>
        <v/>
      </c>
      <c r="O860" s="25"/>
      <c r="P860" s="25"/>
    </row>
    <row r="861" spans="1:16" ht="21.75" customHeight="1" x14ac:dyDescent="0.25">
      <c r="A861" s="24"/>
      <c r="B861" s="24"/>
      <c r="C861" s="24"/>
      <c r="D861" s="34" t="str">
        <f>IF(C861="","",IFERROR(VLOOKUP(C861,CRM!$B$8:$O$1007,2,FALSE()),"Revisar ID"))</f>
        <v/>
      </c>
      <c r="E861" s="25"/>
      <c r="F861" s="34" t="str">
        <f t="shared" si="52"/>
        <v/>
      </c>
      <c r="G861" s="25"/>
      <c r="H861" s="25"/>
      <c r="I861" s="25"/>
      <c r="J861" s="25"/>
      <c r="K861" s="25"/>
      <c r="L861" s="34" t="str">
        <f t="shared" si="53"/>
        <v/>
      </c>
      <c r="M861" s="34" t="str">
        <f t="shared" ca="1" si="54"/>
        <v/>
      </c>
      <c r="N861" s="34" t="str">
        <f t="shared" si="55"/>
        <v/>
      </c>
      <c r="O861" s="25"/>
      <c r="P861" s="25"/>
    </row>
    <row r="862" spans="1:16" ht="21.75" customHeight="1" x14ac:dyDescent="0.25">
      <c r="A862" s="24"/>
      <c r="B862" s="24"/>
      <c r="C862" s="24"/>
      <c r="D862" s="34" t="str">
        <f>IF(C862="","",IFERROR(VLOOKUP(C862,CRM!$B$8:$O$1007,2,FALSE()),"Revisar ID"))</f>
        <v/>
      </c>
      <c r="E862" s="25"/>
      <c r="F862" s="34" t="str">
        <f t="shared" si="52"/>
        <v/>
      </c>
      <c r="G862" s="25"/>
      <c r="H862" s="25"/>
      <c r="I862" s="25"/>
      <c r="J862" s="25"/>
      <c r="K862" s="25"/>
      <c r="L862" s="34" t="str">
        <f t="shared" si="53"/>
        <v/>
      </c>
      <c r="M862" s="34" t="str">
        <f t="shared" ca="1" si="54"/>
        <v/>
      </c>
      <c r="N862" s="34" t="str">
        <f t="shared" si="55"/>
        <v/>
      </c>
      <c r="O862" s="25"/>
      <c r="P862" s="25"/>
    </row>
    <row r="863" spans="1:16" ht="21.75" customHeight="1" x14ac:dyDescent="0.25">
      <c r="A863" s="24"/>
      <c r="B863" s="24"/>
      <c r="C863" s="24"/>
      <c r="D863" s="34" t="str">
        <f>IF(C863="","",IFERROR(VLOOKUP(C863,CRM!$B$8:$O$1007,2,FALSE()),"Revisar ID"))</f>
        <v/>
      </c>
      <c r="E863" s="25"/>
      <c r="F863" s="34" t="str">
        <f t="shared" si="52"/>
        <v/>
      </c>
      <c r="G863" s="25"/>
      <c r="H863" s="25"/>
      <c r="I863" s="25"/>
      <c r="J863" s="25"/>
      <c r="K863" s="25"/>
      <c r="L863" s="34" t="str">
        <f t="shared" si="53"/>
        <v/>
      </c>
      <c r="M863" s="34" t="str">
        <f t="shared" ca="1" si="54"/>
        <v/>
      </c>
      <c r="N863" s="34" t="str">
        <f t="shared" si="55"/>
        <v/>
      </c>
      <c r="O863" s="25"/>
      <c r="P863" s="25"/>
    </row>
    <row r="864" spans="1:16" ht="21.75" customHeight="1" x14ac:dyDescent="0.25">
      <c r="A864" s="24"/>
      <c r="B864" s="24"/>
      <c r="C864" s="24"/>
      <c r="D864" s="34" t="str">
        <f>IF(C864="","",IFERROR(VLOOKUP(C864,CRM!$B$8:$O$1007,2,FALSE()),"Revisar ID"))</f>
        <v/>
      </c>
      <c r="E864" s="25"/>
      <c r="F864" s="34" t="str">
        <f t="shared" si="52"/>
        <v/>
      </c>
      <c r="G864" s="25"/>
      <c r="H864" s="25"/>
      <c r="I864" s="25"/>
      <c r="J864" s="25"/>
      <c r="K864" s="25"/>
      <c r="L864" s="34" t="str">
        <f t="shared" si="53"/>
        <v/>
      </c>
      <c r="M864" s="34" t="str">
        <f t="shared" ca="1" si="54"/>
        <v/>
      </c>
      <c r="N864" s="34" t="str">
        <f t="shared" si="55"/>
        <v/>
      </c>
      <c r="O864" s="25"/>
      <c r="P864" s="25"/>
    </row>
    <row r="865" spans="1:16" x14ac:dyDescent="0.25">
      <c r="A865" s="24"/>
      <c r="B865" s="24"/>
      <c r="C865" s="24"/>
      <c r="D865" s="34" t="str">
        <f>IF(C865="","",IFERROR(VLOOKUP(C865,CRM!$B$8:$O$1007,2,FALSE()),"Revisar ID"))</f>
        <v/>
      </c>
      <c r="E865" s="25"/>
      <c r="F865" s="34" t="str">
        <f t="shared" si="52"/>
        <v/>
      </c>
      <c r="G865" s="25"/>
      <c r="H865" s="25"/>
      <c r="I865" s="25"/>
      <c r="J865" s="25"/>
      <c r="K865" s="25"/>
      <c r="L865" s="34" t="str">
        <f t="shared" si="53"/>
        <v/>
      </c>
      <c r="M865" s="34" t="str">
        <f t="shared" ca="1" si="54"/>
        <v/>
      </c>
      <c r="N865" s="34" t="str">
        <f t="shared" si="55"/>
        <v/>
      </c>
      <c r="O865" s="25"/>
      <c r="P865" s="25"/>
    </row>
    <row r="866" spans="1:16" x14ac:dyDescent="0.25">
      <c r="A866" s="24"/>
      <c r="B866" s="24"/>
      <c r="C866" s="24"/>
      <c r="D866" s="34" t="str">
        <f>IF(C866="","",IFERROR(VLOOKUP(C866,CRM!$B$8:$O$1007,2,FALSE()),"Revisar ID"))</f>
        <v/>
      </c>
      <c r="E866" s="25"/>
      <c r="F866" s="34" t="str">
        <f t="shared" si="52"/>
        <v/>
      </c>
      <c r="G866" s="25"/>
      <c r="H866" s="25"/>
      <c r="I866" s="25"/>
      <c r="J866" s="25"/>
      <c r="K866" s="25"/>
      <c r="L866" s="34" t="str">
        <f t="shared" si="53"/>
        <v/>
      </c>
      <c r="M866" s="34" t="str">
        <f t="shared" ca="1" si="54"/>
        <v/>
      </c>
      <c r="N866" s="34" t="str">
        <f t="shared" si="55"/>
        <v/>
      </c>
      <c r="O866" s="25"/>
      <c r="P866" s="25"/>
    </row>
    <row r="867" spans="1:16" x14ac:dyDescent="0.25">
      <c r="A867" s="24"/>
      <c r="B867" s="24"/>
      <c r="C867" s="24"/>
      <c r="D867" s="34" t="str">
        <f>IF(C867="","",IFERROR(VLOOKUP(C867,CRM!$B$8:$O$1007,2,FALSE()),"Revisar ID"))</f>
        <v/>
      </c>
      <c r="E867" s="25"/>
      <c r="F867" s="34" t="str">
        <f t="shared" si="52"/>
        <v/>
      </c>
      <c r="G867" s="25"/>
      <c r="H867" s="25"/>
      <c r="I867" s="25"/>
      <c r="J867" s="25"/>
      <c r="K867" s="25"/>
      <c r="L867" s="34" t="str">
        <f t="shared" si="53"/>
        <v/>
      </c>
      <c r="M867" s="34" t="str">
        <f t="shared" ca="1" si="54"/>
        <v/>
      </c>
      <c r="N867" s="34" t="str">
        <f t="shared" si="55"/>
        <v/>
      </c>
      <c r="O867" s="25"/>
      <c r="P867" s="25"/>
    </row>
    <row r="868" spans="1:16" x14ac:dyDescent="0.25">
      <c r="A868" s="24"/>
      <c r="B868" s="24"/>
      <c r="C868" s="24"/>
      <c r="D868" s="34" t="str">
        <f>IF(C868="","",IFERROR(VLOOKUP(C868,CRM!$B$8:$O$1007,2,FALSE()),"Revisar ID"))</f>
        <v/>
      </c>
      <c r="E868" s="25"/>
      <c r="F868" s="34" t="str">
        <f t="shared" si="52"/>
        <v/>
      </c>
      <c r="G868" s="25"/>
      <c r="H868" s="25"/>
      <c r="I868" s="25"/>
      <c r="J868" s="25"/>
      <c r="K868" s="25"/>
      <c r="L868" s="34" t="str">
        <f t="shared" si="53"/>
        <v/>
      </c>
      <c r="M868" s="34" t="str">
        <f t="shared" ca="1" si="54"/>
        <v/>
      </c>
      <c r="N868" s="34" t="str">
        <f t="shared" si="55"/>
        <v/>
      </c>
      <c r="O868" s="25"/>
      <c r="P868" s="25"/>
    </row>
    <row r="869" spans="1:16" x14ac:dyDescent="0.25">
      <c r="A869" s="24"/>
      <c r="B869" s="24"/>
      <c r="C869" s="24"/>
      <c r="D869" s="34" t="str">
        <f>IF(C869="","",IFERROR(VLOOKUP(C869,CRM!$B$8:$O$1007,2,FALSE()),"Revisar ID"))</f>
        <v/>
      </c>
      <c r="E869" s="25"/>
      <c r="F869" s="34" t="str">
        <f t="shared" si="52"/>
        <v/>
      </c>
      <c r="G869" s="25"/>
      <c r="H869" s="25"/>
      <c r="I869" s="25"/>
      <c r="J869" s="25"/>
      <c r="K869" s="25"/>
      <c r="L869" s="34" t="str">
        <f t="shared" si="53"/>
        <v/>
      </c>
      <c r="M869" s="34" t="str">
        <f t="shared" ca="1" si="54"/>
        <v/>
      </c>
      <c r="N869" s="34" t="str">
        <f t="shared" si="55"/>
        <v/>
      </c>
      <c r="O869" s="25"/>
      <c r="P869" s="25"/>
    </row>
    <row r="870" spans="1:16" x14ac:dyDescent="0.25">
      <c r="A870" s="24"/>
      <c r="B870" s="24"/>
      <c r="C870" s="24"/>
      <c r="D870" s="34" t="str">
        <f>IF(C870="","",IFERROR(VLOOKUP(C870,CRM!$B$8:$O$1007,2,FALSE()),"Revisar ID"))</f>
        <v/>
      </c>
      <c r="E870" s="25"/>
      <c r="F870" s="34" t="str">
        <f t="shared" si="52"/>
        <v/>
      </c>
      <c r="G870" s="25"/>
      <c r="H870" s="25"/>
      <c r="I870" s="25"/>
      <c r="J870" s="25"/>
      <c r="K870" s="25"/>
      <c r="L870" s="34" t="str">
        <f t="shared" si="53"/>
        <v/>
      </c>
      <c r="M870" s="34" t="str">
        <f t="shared" ca="1" si="54"/>
        <v/>
      </c>
      <c r="N870" s="34" t="str">
        <f t="shared" si="55"/>
        <v/>
      </c>
      <c r="O870" s="25"/>
      <c r="P870" s="25"/>
    </row>
    <row r="871" spans="1:16" x14ac:dyDescent="0.25">
      <c r="A871" s="24"/>
      <c r="B871" s="24"/>
      <c r="C871" s="24"/>
      <c r="D871" s="34" t="str">
        <f>IF(C871="","",IFERROR(VLOOKUP(C871,CRM!$B$8:$O$1007,2,FALSE()),"Revisar ID"))</f>
        <v/>
      </c>
      <c r="E871" s="25"/>
      <c r="F871" s="34" t="str">
        <f t="shared" si="52"/>
        <v/>
      </c>
      <c r="G871" s="25"/>
      <c r="H871" s="25"/>
      <c r="I871" s="25"/>
      <c r="J871" s="25"/>
      <c r="K871" s="25"/>
      <c r="L871" s="34" t="str">
        <f t="shared" si="53"/>
        <v/>
      </c>
      <c r="M871" s="34" t="str">
        <f t="shared" ca="1" si="54"/>
        <v/>
      </c>
      <c r="N871" s="34" t="str">
        <f t="shared" si="55"/>
        <v/>
      </c>
      <c r="O871" s="25"/>
      <c r="P871" s="25"/>
    </row>
    <row r="872" spans="1:16" x14ac:dyDescent="0.25">
      <c r="A872" s="24"/>
      <c r="B872" s="24"/>
      <c r="C872" s="24"/>
      <c r="D872" s="34" t="str">
        <f>IF(C872="","",IFERROR(VLOOKUP(C872,CRM!$B$8:$O$1007,2,FALSE()),"Revisar ID"))</f>
        <v/>
      </c>
      <c r="E872" s="25"/>
      <c r="F872" s="34" t="str">
        <f t="shared" si="52"/>
        <v/>
      </c>
      <c r="G872" s="25"/>
      <c r="H872" s="25"/>
      <c r="I872" s="25"/>
      <c r="J872" s="25"/>
      <c r="K872" s="25"/>
      <c r="L872" s="34" t="str">
        <f t="shared" si="53"/>
        <v/>
      </c>
      <c r="M872" s="34" t="str">
        <f t="shared" ca="1" si="54"/>
        <v/>
      </c>
      <c r="N872" s="34" t="str">
        <f t="shared" si="55"/>
        <v/>
      </c>
      <c r="O872" s="25"/>
      <c r="P872" s="25"/>
    </row>
    <row r="873" spans="1:16" x14ac:dyDescent="0.25">
      <c r="A873" s="24"/>
      <c r="B873" s="24"/>
      <c r="C873" s="24"/>
      <c r="D873" s="34" t="str">
        <f>IF(C873="","",IFERROR(VLOOKUP(C873,CRM!$B$8:$O$1007,2,FALSE()),"Revisar ID"))</f>
        <v/>
      </c>
      <c r="E873" s="25"/>
      <c r="F873" s="34" t="str">
        <f t="shared" si="52"/>
        <v/>
      </c>
      <c r="G873" s="25"/>
      <c r="H873" s="25"/>
      <c r="I873" s="25"/>
      <c r="J873" s="25"/>
      <c r="K873" s="25"/>
      <c r="L873" s="34" t="str">
        <f t="shared" si="53"/>
        <v/>
      </c>
      <c r="M873" s="34" t="str">
        <f t="shared" ca="1" si="54"/>
        <v/>
      </c>
      <c r="N873" s="34" t="str">
        <f t="shared" si="55"/>
        <v/>
      </c>
      <c r="O873" s="25"/>
      <c r="P873" s="25"/>
    </row>
    <row r="874" spans="1:16" x14ac:dyDescent="0.25">
      <c r="A874" s="24"/>
      <c r="B874" s="24"/>
      <c r="C874" s="24"/>
      <c r="D874" s="34" t="str">
        <f>IF(C874="","",IFERROR(VLOOKUP(C874,CRM!$B$8:$O$1007,2,FALSE()),"Revisar ID"))</f>
        <v/>
      </c>
      <c r="E874" s="25"/>
      <c r="F874" s="34" t="str">
        <f t="shared" si="52"/>
        <v/>
      </c>
      <c r="G874" s="25"/>
      <c r="H874" s="25"/>
      <c r="I874" s="25"/>
      <c r="J874" s="25"/>
      <c r="K874" s="25"/>
      <c r="L874" s="34" t="str">
        <f t="shared" si="53"/>
        <v/>
      </c>
      <c r="M874" s="34" t="str">
        <f t="shared" ca="1" si="54"/>
        <v/>
      </c>
      <c r="N874" s="34" t="str">
        <f t="shared" si="55"/>
        <v/>
      </c>
      <c r="O874" s="25"/>
      <c r="P874" s="25"/>
    </row>
    <row r="875" spans="1:16" x14ac:dyDescent="0.25">
      <c r="A875" s="24"/>
      <c r="B875" s="24"/>
      <c r="C875" s="24"/>
      <c r="D875" s="34" t="str">
        <f>IF(C875="","",IFERROR(VLOOKUP(C875,CRM!$B$8:$O$1007,2,FALSE()),"Revisar ID"))</f>
        <v/>
      </c>
      <c r="E875" s="25"/>
      <c r="F875" s="34" t="str">
        <f t="shared" si="52"/>
        <v/>
      </c>
      <c r="G875" s="25"/>
      <c r="H875" s="25"/>
      <c r="I875" s="25"/>
      <c r="J875" s="25"/>
      <c r="K875" s="25"/>
      <c r="L875" s="34" t="str">
        <f t="shared" si="53"/>
        <v/>
      </c>
      <c r="M875" s="34" t="str">
        <f t="shared" ca="1" si="54"/>
        <v/>
      </c>
      <c r="N875" s="34" t="str">
        <f t="shared" si="55"/>
        <v/>
      </c>
      <c r="O875" s="25"/>
      <c r="P875" s="25"/>
    </row>
    <row r="876" spans="1:16" x14ac:dyDescent="0.25">
      <c r="A876" s="24"/>
      <c r="B876" s="24"/>
      <c r="C876" s="24"/>
      <c r="D876" s="34" t="str">
        <f>IF(C876="","",IFERROR(VLOOKUP(C876,CRM!$B$8:$O$1007,2,FALSE()),"Revisar ID"))</f>
        <v/>
      </c>
      <c r="E876" s="25"/>
      <c r="F876" s="34" t="str">
        <f t="shared" si="52"/>
        <v/>
      </c>
      <c r="G876" s="25"/>
      <c r="H876" s="25"/>
      <c r="I876" s="25"/>
      <c r="J876" s="25"/>
      <c r="K876" s="25"/>
      <c r="L876" s="34" t="str">
        <f t="shared" si="53"/>
        <v/>
      </c>
      <c r="M876" s="34" t="str">
        <f t="shared" ca="1" si="54"/>
        <v/>
      </c>
      <c r="N876" s="34" t="str">
        <f t="shared" si="55"/>
        <v/>
      </c>
      <c r="O876" s="25"/>
      <c r="P876" s="25"/>
    </row>
    <row r="877" spans="1:16" x14ac:dyDescent="0.25">
      <c r="A877" s="24"/>
      <c r="B877" s="24"/>
      <c r="C877" s="24"/>
      <c r="D877" s="34" t="str">
        <f>IF(C877="","",IFERROR(VLOOKUP(C877,CRM!$B$8:$O$1007,2,FALSE()),"Revisar ID"))</f>
        <v/>
      </c>
      <c r="E877" s="25"/>
      <c r="F877" s="34" t="str">
        <f t="shared" si="52"/>
        <v/>
      </c>
      <c r="G877" s="25"/>
      <c r="H877" s="25"/>
      <c r="I877" s="25"/>
      <c r="J877" s="25"/>
      <c r="K877" s="25"/>
      <c r="L877" s="34" t="str">
        <f t="shared" si="53"/>
        <v/>
      </c>
      <c r="M877" s="34" t="str">
        <f t="shared" ca="1" si="54"/>
        <v/>
      </c>
      <c r="N877" s="34" t="str">
        <f t="shared" si="55"/>
        <v/>
      </c>
      <c r="O877" s="25"/>
      <c r="P877" s="25"/>
    </row>
    <row r="878" spans="1:16" x14ac:dyDescent="0.25">
      <c r="A878" s="24"/>
      <c r="B878" s="24"/>
      <c r="C878" s="24"/>
      <c r="D878" s="34" t="str">
        <f>IF(C878="","",IFERROR(VLOOKUP(C878,CRM!$B$8:$O$1007,2,FALSE()),"Revisar ID"))</f>
        <v/>
      </c>
      <c r="E878" s="25"/>
      <c r="F878" s="34" t="str">
        <f t="shared" si="52"/>
        <v/>
      </c>
      <c r="G878" s="25"/>
      <c r="H878" s="25"/>
      <c r="I878" s="25"/>
      <c r="J878" s="25"/>
      <c r="K878" s="25"/>
      <c r="L878" s="34" t="str">
        <f t="shared" si="53"/>
        <v/>
      </c>
      <c r="M878" s="34" t="str">
        <f t="shared" ca="1" si="54"/>
        <v/>
      </c>
      <c r="N878" s="34" t="str">
        <f t="shared" si="55"/>
        <v/>
      </c>
      <c r="O878" s="25"/>
      <c r="P878" s="25"/>
    </row>
    <row r="879" spans="1:16" x14ac:dyDescent="0.25">
      <c r="A879" s="24"/>
      <c r="B879" s="24"/>
      <c r="C879" s="24"/>
      <c r="D879" s="34" t="str">
        <f>IF(C879="","",IFERROR(VLOOKUP(C879,CRM!$B$8:$O$1007,2,FALSE()),"Revisar ID"))</f>
        <v/>
      </c>
      <c r="E879" s="25"/>
      <c r="F879" s="34" t="str">
        <f t="shared" si="52"/>
        <v/>
      </c>
      <c r="G879" s="25"/>
      <c r="H879" s="25"/>
      <c r="I879" s="25"/>
      <c r="J879" s="25"/>
      <c r="K879" s="25"/>
      <c r="L879" s="34" t="str">
        <f t="shared" si="53"/>
        <v/>
      </c>
      <c r="M879" s="34" t="str">
        <f t="shared" ca="1" si="54"/>
        <v/>
      </c>
      <c r="N879" s="34" t="str">
        <f t="shared" si="55"/>
        <v/>
      </c>
      <c r="O879" s="25"/>
      <c r="P879" s="25"/>
    </row>
    <row r="880" spans="1:16" x14ac:dyDescent="0.25">
      <c r="A880" s="24"/>
      <c r="B880" s="24"/>
      <c r="C880" s="24"/>
      <c r="D880" s="34" t="str">
        <f>IF(C880="","",IFERROR(VLOOKUP(C880,CRM!$B$8:$O$1007,2,FALSE()),"Revisar ID"))</f>
        <v/>
      </c>
      <c r="E880" s="25"/>
      <c r="F880" s="34" t="str">
        <f t="shared" si="52"/>
        <v/>
      </c>
      <c r="G880" s="25"/>
      <c r="H880" s="25"/>
      <c r="I880" s="25"/>
      <c r="J880" s="25"/>
      <c r="K880" s="25"/>
      <c r="L880" s="34" t="str">
        <f t="shared" si="53"/>
        <v/>
      </c>
      <c r="M880" s="34" t="str">
        <f t="shared" ca="1" si="54"/>
        <v/>
      </c>
      <c r="N880" s="34" t="str">
        <f t="shared" si="55"/>
        <v/>
      </c>
      <c r="O880" s="25"/>
      <c r="P880" s="25"/>
    </row>
    <row r="881" spans="1:16" x14ac:dyDescent="0.25">
      <c r="A881" s="24"/>
      <c r="B881" s="24"/>
      <c r="C881" s="24"/>
      <c r="D881" s="34" t="str">
        <f>IF(C881="","",IFERROR(VLOOKUP(C881,CRM!$B$8:$O$1007,2,FALSE()),"Revisar ID"))</f>
        <v/>
      </c>
      <c r="E881" s="25"/>
      <c r="F881" s="34" t="str">
        <f t="shared" si="52"/>
        <v/>
      </c>
      <c r="G881" s="25"/>
      <c r="H881" s="25"/>
      <c r="I881" s="25"/>
      <c r="J881" s="25"/>
      <c r="K881" s="25"/>
      <c r="L881" s="34" t="str">
        <f t="shared" si="53"/>
        <v/>
      </c>
      <c r="M881" s="34" t="str">
        <f t="shared" ca="1" si="54"/>
        <v/>
      </c>
      <c r="N881" s="34" t="str">
        <f t="shared" si="55"/>
        <v/>
      </c>
      <c r="O881" s="25"/>
      <c r="P881" s="25"/>
    </row>
    <row r="882" spans="1:16" x14ac:dyDescent="0.25">
      <c r="A882" s="24"/>
      <c r="B882" s="24"/>
      <c r="C882" s="24"/>
      <c r="D882" s="34" t="str">
        <f>IF(C882="","",IFERROR(VLOOKUP(C882,CRM!$B$8:$O$1007,2,FALSE()),"Revisar ID"))</f>
        <v/>
      </c>
      <c r="E882" s="25"/>
      <c r="F882" s="34" t="str">
        <f t="shared" si="52"/>
        <v/>
      </c>
      <c r="G882" s="25"/>
      <c r="H882" s="25"/>
      <c r="I882" s="25"/>
      <c r="J882" s="25"/>
      <c r="K882" s="25"/>
      <c r="L882" s="34" t="str">
        <f t="shared" si="53"/>
        <v/>
      </c>
      <c r="M882" s="34" t="str">
        <f t="shared" ca="1" si="54"/>
        <v/>
      </c>
      <c r="N882" s="34" t="str">
        <f t="shared" si="55"/>
        <v/>
      </c>
      <c r="O882" s="25"/>
      <c r="P882" s="25"/>
    </row>
    <row r="883" spans="1:16" x14ac:dyDescent="0.25">
      <c r="A883" s="24"/>
      <c r="B883" s="24"/>
      <c r="C883" s="24"/>
      <c r="D883" s="34" t="str">
        <f>IF(C883="","",IFERROR(VLOOKUP(C883,CRM!$B$8:$O$1007,2,FALSE()),"Revisar ID"))</f>
        <v/>
      </c>
      <c r="E883" s="25"/>
      <c r="F883" s="34" t="str">
        <f t="shared" si="52"/>
        <v/>
      </c>
      <c r="G883" s="25"/>
      <c r="H883" s="25"/>
      <c r="I883" s="25"/>
      <c r="J883" s="25"/>
      <c r="K883" s="25"/>
      <c r="L883" s="34" t="str">
        <f t="shared" si="53"/>
        <v/>
      </c>
      <c r="M883" s="34" t="str">
        <f t="shared" ca="1" si="54"/>
        <v/>
      </c>
      <c r="N883" s="34" t="str">
        <f t="shared" si="55"/>
        <v/>
      </c>
      <c r="O883" s="25"/>
      <c r="P883" s="25"/>
    </row>
    <row r="884" spans="1:16" x14ac:dyDescent="0.25">
      <c r="A884" s="24"/>
      <c r="B884" s="24"/>
      <c r="C884" s="24"/>
      <c r="D884" s="34" t="str">
        <f>IF(C884="","",IFERROR(VLOOKUP(C884,CRM!$B$8:$O$1007,2,FALSE()),"Revisar ID"))</f>
        <v/>
      </c>
      <c r="E884" s="25"/>
      <c r="F884" s="34" t="str">
        <f t="shared" si="52"/>
        <v/>
      </c>
      <c r="G884" s="25"/>
      <c r="H884" s="25"/>
      <c r="I884" s="25"/>
      <c r="J884" s="25"/>
      <c r="K884" s="25"/>
      <c r="L884" s="34" t="str">
        <f t="shared" si="53"/>
        <v/>
      </c>
      <c r="M884" s="34" t="str">
        <f t="shared" ca="1" si="54"/>
        <v/>
      </c>
      <c r="N884" s="34" t="str">
        <f t="shared" si="55"/>
        <v/>
      </c>
      <c r="O884" s="25"/>
      <c r="P884" s="25"/>
    </row>
    <row r="885" spans="1:16" x14ac:dyDescent="0.25">
      <c r="A885" s="24"/>
      <c r="B885" s="24"/>
      <c r="C885" s="24"/>
      <c r="D885" s="34" t="str">
        <f>IF(C885="","",IFERROR(VLOOKUP(C885,CRM!$B$8:$O$1007,2,FALSE()),"Revisar ID"))</f>
        <v/>
      </c>
      <c r="E885" s="25"/>
      <c r="F885" s="34" t="str">
        <f t="shared" si="52"/>
        <v/>
      </c>
      <c r="G885" s="25"/>
      <c r="H885" s="25"/>
      <c r="I885" s="25"/>
      <c r="J885" s="25"/>
      <c r="K885" s="25"/>
      <c r="L885" s="34" t="str">
        <f t="shared" si="53"/>
        <v/>
      </c>
      <c r="M885" s="34" t="str">
        <f t="shared" ca="1" si="54"/>
        <v/>
      </c>
      <c r="N885" s="34" t="str">
        <f t="shared" si="55"/>
        <v/>
      </c>
      <c r="O885" s="25"/>
      <c r="P885" s="25"/>
    </row>
    <row r="886" spans="1:16" x14ac:dyDescent="0.25">
      <c r="A886" s="24"/>
      <c r="B886" s="24"/>
      <c r="C886" s="24"/>
      <c r="D886" s="34" t="str">
        <f>IF(C886="","",IFERROR(VLOOKUP(C886,CRM!$B$8:$O$1007,2,FALSE()),"Revisar ID"))</f>
        <v/>
      </c>
      <c r="E886" s="25"/>
      <c r="F886" s="34" t="str">
        <f t="shared" si="52"/>
        <v/>
      </c>
      <c r="G886" s="25"/>
      <c r="H886" s="25"/>
      <c r="I886" s="25"/>
      <c r="J886" s="25"/>
      <c r="K886" s="25"/>
      <c r="L886" s="34" t="str">
        <f t="shared" si="53"/>
        <v/>
      </c>
      <c r="M886" s="34" t="str">
        <f t="shared" ca="1" si="54"/>
        <v/>
      </c>
      <c r="N886" s="34" t="str">
        <f t="shared" si="55"/>
        <v/>
      </c>
      <c r="O886" s="25"/>
      <c r="P886" s="25"/>
    </row>
    <row r="887" spans="1:16" x14ac:dyDescent="0.25">
      <c r="A887" s="24"/>
      <c r="B887" s="24"/>
      <c r="C887" s="24"/>
      <c r="D887" s="34" t="str">
        <f>IF(C887="","",IFERROR(VLOOKUP(C887,CRM!$B$8:$O$1007,2,FALSE()),"Revisar ID"))</f>
        <v/>
      </c>
      <c r="E887" s="25"/>
      <c r="F887" s="34" t="str">
        <f t="shared" si="52"/>
        <v/>
      </c>
      <c r="G887" s="25"/>
      <c r="H887" s="25"/>
      <c r="I887" s="25"/>
      <c r="J887" s="25"/>
      <c r="K887" s="25"/>
      <c r="L887" s="34" t="str">
        <f t="shared" si="53"/>
        <v/>
      </c>
      <c r="M887" s="34" t="str">
        <f t="shared" ca="1" si="54"/>
        <v/>
      </c>
      <c r="N887" s="34" t="str">
        <f t="shared" si="55"/>
        <v/>
      </c>
      <c r="O887" s="25"/>
      <c r="P887" s="25"/>
    </row>
    <row r="888" spans="1:16" x14ac:dyDescent="0.25">
      <c r="A888" s="24"/>
      <c r="B888" s="24"/>
      <c r="C888" s="24"/>
      <c r="D888" s="34" t="str">
        <f>IF(C888="","",IFERROR(VLOOKUP(C888,CRM!$B$8:$O$1007,2,FALSE()),"Revisar ID"))</f>
        <v/>
      </c>
      <c r="E888" s="25"/>
      <c r="F888" s="34" t="str">
        <f t="shared" si="52"/>
        <v/>
      </c>
      <c r="G888" s="25"/>
      <c r="H888" s="25"/>
      <c r="I888" s="25"/>
      <c r="J888" s="25"/>
      <c r="K888" s="25"/>
      <c r="L888" s="34" t="str">
        <f t="shared" si="53"/>
        <v/>
      </c>
      <c r="M888" s="34" t="str">
        <f t="shared" ca="1" si="54"/>
        <v/>
      </c>
      <c r="N888" s="34" t="str">
        <f t="shared" si="55"/>
        <v/>
      </c>
      <c r="O888" s="25"/>
      <c r="P888" s="25"/>
    </row>
    <row r="889" spans="1:16" x14ac:dyDescent="0.25">
      <c r="A889" s="24"/>
      <c r="B889" s="24"/>
      <c r="C889" s="24"/>
      <c r="D889" s="34" t="str">
        <f>IF(C889="","",IFERROR(VLOOKUP(C889,CRM!$B$8:$O$1007,2,FALSE()),"Revisar ID"))</f>
        <v/>
      </c>
      <c r="E889" s="25"/>
      <c r="F889" s="34" t="str">
        <f t="shared" si="52"/>
        <v/>
      </c>
      <c r="G889" s="25"/>
      <c r="H889" s="25"/>
      <c r="I889" s="25"/>
      <c r="J889" s="25"/>
      <c r="K889" s="25"/>
      <c r="L889" s="34" t="str">
        <f t="shared" si="53"/>
        <v/>
      </c>
      <c r="M889" s="34" t="str">
        <f t="shared" ca="1" si="54"/>
        <v/>
      </c>
      <c r="N889" s="34" t="str">
        <f t="shared" si="55"/>
        <v/>
      </c>
      <c r="O889" s="25"/>
      <c r="P889" s="25"/>
    </row>
    <row r="890" spans="1:16" x14ac:dyDescent="0.25">
      <c r="A890" s="24"/>
      <c r="B890" s="24"/>
      <c r="C890" s="24"/>
      <c r="D890" s="34" t="str">
        <f>IF(C890="","",IFERROR(VLOOKUP(C890,CRM!$B$8:$O$1007,2,FALSE()),"Revisar ID"))</f>
        <v/>
      </c>
      <c r="E890" s="25"/>
      <c r="F890" s="34" t="str">
        <f t="shared" si="52"/>
        <v/>
      </c>
      <c r="G890" s="25"/>
      <c r="H890" s="25"/>
      <c r="I890" s="25"/>
      <c r="J890" s="25"/>
      <c r="K890" s="25"/>
      <c r="L890" s="34" t="str">
        <f t="shared" si="53"/>
        <v/>
      </c>
      <c r="M890" s="34" t="str">
        <f t="shared" ca="1" si="54"/>
        <v/>
      </c>
      <c r="N890" s="34" t="str">
        <f t="shared" si="55"/>
        <v/>
      </c>
      <c r="O890" s="25"/>
      <c r="P890" s="25"/>
    </row>
    <row r="891" spans="1:16" x14ac:dyDescent="0.25">
      <c r="A891" s="24"/>
      <c r="B891" s="24"/>
      <c r="C891" s="24"/>
      <c r="D891" s="34" t="str">
        <f>IF(C891="","",IFERROR(VLOOKUP(C891,CRM!$B$8:$O$1007,2,FALSE()),"Revisar ID"))</f>
        <v/>
      </c>
      <c r="E891" s="25"/>
      <c r="F891" s="34" t="str">
        <f t="shared" si="52"/>
        <v/>
      </c>
      <c r="G891" s="25"/>
      <c r="H891" s="25"/>
      <c r="I891" s="25"/>
      <c r="J891" s="25"/>
      <c r="K891" s="25"/>
      <c r="L891" s="34" t="str">
        <f t="shared" si="53"/>
        <v/>
      </c>
      <c r="M891" s="34" t="str">
        <f t="shared" ca="1" si="54"/>
        <v/>
      </c>
      <c r="N891" s="34" t="str">
        <f t="shared" si="55"/>
        <v/>
      </c>
      <c r="O891" s="25"/>
      <c r="P891" s="25"/>
    </row>
    <row r="892" spans="1:16" x14ac:dyDescent="0.25">
      <c r="A892" s="24"/>
      <c r="B892" s="24"/>
      <c r="C892" s="24"/>
      <c r="D892" s="34" t="str">
        <f>IF(C892="","",IFERROR(VLOOKUP(C892,CRM!$B$8:$O$1007,2,FALSE()),"Revisar ID"))</f>
        <v/>
      </c>
      <c r="E892" s="25"/>
      <c r="F892" s="34" t="str">
        <f t="shared" si="52"/>
        <v/>
      </c>
      <c r="G892" s="25"/>
      <c r="H892" s="25"/>
      <c r="I892" s="25"/>
      <c r="J892" s="25"/>
      <c r="K892" s="25"/>
      <c r="L892" s="34" t="str">
        <f t="shared" si="53"/>
        <v/>
      </c>
      <c r="M892" s="34" t="str">
        <f t="shared" ca="1" si="54"/>
        <v/>
      </c>
      <c r="N892" s="34" t="str">
        <f t="shared" si="55"/>
        <v/>
      </c>
      <c r="O892" s="25"/>
      <c r="P892" s="25"/>
    </row>
    <row r="893" spans="1:16" x14ac:dyDescent="0.25">
      <c r="A893" s="24"/>
      <c r="B893" s="24"/>
      <c r="C893" s="24"/>
      <c r="D893" s="34" t="str">
        <f>IF(C893="","",IFERROR(VLOOKUP(C893,CRM!$B$8:$O$1007,2,FALSE()),"Revisar ID"))</f>
        <v/>
      </c>
      <c r="E893" s="25"/>
      <c r="F893" s="34" t="str">
        <f t="shared" si="52"/>
        <v/>
      </c>
      <c r="G893" s="25"/>
      <c r="H893" s="25"/>
      <c r="I893" s="25"/>
      <c r="J893" s="25"/>
      <c r="K893" s="25"/>
      <c r="L893" s="34" t="str">
        <f t="shared" si="53"/>
        <v/>
      </c>
      <c r="M893" s="34" t="str">
        <f t="shared" ca="1" si="54"/>
        <v/>
      </c>
      <c r="N893" s="34" t="str">
        <f t="shared" si="55"/>
        <v/>
      </c>
      <c r="O893" s="25"/>
      <c r="P893" s="25"/>
    </row>
    <row r="894" spans="1:16" x14ac:dyDescent="0.25">
      <c r="A894" s="24"/>
      <c r="B894" s="24"/>
      <c r="C894" s="24"/>
      <c r="D894" s="34" t="str">
        <f>IF(C894="","",IFERROR(VLOOKUP(C894,CRM!$B$8:$O$1007,2,FALSE()),"Revisar ID"))</f>
        <v/>
      </c>
      <c r="E894" s="25"/>
      <c r="F894" s="34" t="str">
        <f t="shared" si="52"/>
        <v/>
      </c>
      <c r="G894" s="25"/>
      <c r="H894" s="25"/>
      <c r="I894" s="25"/>
      <c r="J894" s="25"/>
      <c r="K894" s="25"/>
      <c r="L894" s="34" t="str">
        <f t="shared" si="53"/>
        <v/>
      </c>
      <c r="M894" s="34" t="str">
        <f t="shared" ca="1" si="54"/>
        <v/>
      </c>
      <c r="N894" s="34" t="str">
        <f t="shared" si="55"/>
        <v/>
      </c>
      <c r="O894" s="25"/>
      <c r="P894" s="25"/>
    </row>
    <row r="895" spans="1:16" x14ac:dyDescent="0.25">
      <c r="A895" s="24"/>
      <c r="B895" s="24"/>
      <c r="C895" s="24"/>
      <c r="D895" s="34" t="str">
        <f>IF(C895="","",IFERROR(VLOOKUP(C895,CRM!$B$8:$O$1007,2,FALSE()),"Revisar ID"))</f>
        <v/>
      </c>
      <c r="E895" s="25"/>
      <c r="F895" s="34" t="str">
        <f t="shared" si="52"/>
        <v/>
      </c>
      <c r="G895" s="25"/>
      <c r="H895" s="25"/>
      <c r="I895" s="25"/>
      <c r="J895" s="25"/>
      <c r="K895" s="25"/>
      <c r="L895" s="34" t="str">
        <f t="shared" si="53"/>
        <v/>
      </c>
      <c r="M895" s="34" t="str">
        <f t="shared" ca="1" si="54"/>
        <v/>
      </c>
      <c r="N895" s="34" t="str">
        <f t="shared" si="55"/>
        <v/>
      </c>
      <c r="O895" s="25"/>
      <c r="P895" s="25"/>
    </row>
    <row r="896" spans="1:16" x14ac:dyDescent="0.25">
      <c r="A896" s="24"/>
      <c r="B896" s="24"/>
      <c r="C896" s="24"/>
      <c r="D896" s="34" t="str">
        <f>IF(C896="","",IFERROR(VLOOKUP(C896,CRM!$B$8:$O$1007,2,FALSE()),"Revisar ID"))</f>
        <v/>
      </c>
      <c r="E896" s="25"/>
      <c r="F896" s="34" t="str">
        <f t="shared" si="52"/>
        <v/>
      </c>
      <c r="G896" s="25"/>
      <c r="H896" s="25"/>
      <c r="I896" s="25"/>
      <c r="J896" s="25"/>
      <c r="K896" s="25"/>
      <c r="L896" s="34" t="str">
        <f t="shared" si="53"/>
        <v/>
      </c>
      <c r="M896" s="34" t="str">
        <f t="shared" ca="1" si="54"/>
        <v/>
      </c>
      <c r="N896" s="34" t="str">
        <f t="shared" si="55"/>
        <v/>
      </c>
      <c r="O896" s="25"/>
      <c r="P896" s="25"/>
    </row>
    <row r="897" spans="1:16" x14ac:dyDescent="0.25">
      <c r="A897" s="24"/>
      <c r="B897" s="24"/>
      <c r="C897" s="24"/>
      <c r="D897" s="34" t="str">
        <f>IF(C897="","",IFERROR(VLOOKUP(C897,CRM!$B$8:$O$1007,2,FALSE()),"Revisar ID"))</f>
        <v/>
      </c>
      <c r="E897" s="25"/>
      <c r="F897" s="34" t="str">
        <f t="shared" si="52"/>
        <v/>
      </c>
      <c r="G897" s="25"/>
      <c r="H897" s="25"/>
      <c r="I897" s="25"/>
      <c r="J897" s="25"/>
      <c r="K897" s="25"/>
      <c r="L897" s="34" t="str">
        <f t="shared" si="53"/>
        <v/>
      </c>
      <c r="M897" s="34" t="str">
        <f t="shared" ca="1" si="54"/>
        <v/>
      </c>
      <c r="N897" s="34" t="str">
        <f t="shared" si="55"/>
        <v/>
      </c>
      <c r="O897" s="25"/>
      <c r="P897" s="25"/>
    </row>
    <row r="898" spans="1:16" x14ac:dyDescent="0.25">
      <c r="A898" s="24"/>
      <c r="B898" s="24"/>
      <c r="C898" s="24"/>
      <c r="D898" s="34" t="str">
        <f>IF(C898="","",IFERROR(VLOOKUP(C898,CRM!$B$8:$O$1007,2,FALSE()),"Revisar ID"))</f>
        <v/>
      </c>
      <c r="E898" s="25"/>
      <c r="F898" s="34" t="str">
        <f t="shared" si="52"/>
        <v/>
      </c>
      <c r="G898" s="25"/>
      <c r="H898" s="25"/>
      <c r="I898" s="25"/>
      <c r="J898" s="25"/>
      <c r="K898" s="25"/>
      <c r="L898" s="34" t="str">
        <f t="shared" si="53"/>
        <v/>
      </c>
      <c r="M898" s="34" t="str">
        <f t="shared" ca="1" si="54"/>
        <v/>
      </c>
      <c r="N898" s="34" t="str">
        <f t="shared" si="55"/>
        <v/>
      </c>
      <c r="O898" s="25"/>
      <c r="P898" s="25"/>
    </row>
    <row r="899" spans="1:16" x14ac:dyDescent="0.25">
      <c r="A899" s="24"/>
      <c r="B899" s="24"/>
      <c r="C899" s="24"/>
      <c r="D899" s="34" t="str">
        <f>IF(C899="","",IFERROR(VLOOKUP(C899,CRM!$B$8:$O$1007,2,FALSE()),"Revisar ID"))</f>
        <v/>
      </c>
      <c r="E899" s="25"/>
      <c r="F899" s="34" t="str">
        <f t="shared" si="52"/>
        <v/>
      </c>
      <c r="G899" s="25"/>
      <c r="H899" s="25"/>
      <c r="I899" s="25"/>
      <c r="J899" s="25"/>
      <c r="K899" s="25"/>
      <c r="L899" s="34" t="str">
        <f t="shared" si="53"/>
        <v/>
      </c>
      <c r="M899" s="34" t="str">
        <f t="shared" ca="1" si="54"/>
        <v/>
      </c>
      <c r="N899" s="34" t="str">
        <f t="shared" si="55"/>
        <v/>
      </c>
      <c r="O899" s="25"/>
      <c r="P899" s="25"/>
    </row>
    <row r="900" spans="1:16" x14ac:dyDescent="0.25">
      <c r="A900" s="24"/>
      <c r="B900" s="24"/>
      <c r="C900" s="24"/>
      <c r="D900" s="34" t="str">
        <f>IF(C900="","",IFERROR(VLOOKUP(C900,CRM!$B$8:$O$1007,2,FALSE()),"Revisar ID"))</f>
        <v/>
      </c>
      <c r="E900" s="25"/>
      <c r="F900" s="34" t="str">
        <f t="shared" si="52"/>
        <v/>
      </c>
      <c r="G900" s="25"/>
      <c r="H900" s="25"/>
      <c r="I900" s="25"/>
      <c r="J900" s="25"/>
      <c r="K900" s="25"/>
      <c r="L900" s="34" t="str">
        <f t="shared" si="53"/>
        <v/>
      </c>
      <c r="M900" s="34" t="str">
        <f t="shared" ca="1" si="54"/>
        <v/>
      </c>
      <c r="N900" s="34" t="str">
        <f t="shared" si="55"/>
        <v/>
      </c>
      <c r="O900" s="25"/>
      <c r="P900" s="25"/>
    </row>
    <row r="901" spans="1:16" x14ac:dyDescent="0.25">
      <c r="A901" s="24"/>
      <c r="B901" s="24"/>
      <c r="C901" s="24"/>
      <c r="D901" s="34" t="str">
        <f>IF(C901="","",IFERROR(VLOOKUP(C901,CRM!$B$8:$O$1007,2,FALSE()),"Revisar ID"))</f>
        <v/>
      </c>
      <c r="E901" s="25"/>
      <c r="F901" s="34" t="str">
        <f t="shared" si="52"/>
        <v/>
      </c>
      <c r="G901" s="25"/>
      <c r="H901" s="25"/>
      <c r="I901" s="25"/>
      <c r="J901" s="25"/>
      <c r="K901" s="25"/>
      <c r="L901" s="34" t="str">
        <f t="shared" si="53"/>
        <v/>
      </c>
      <c r="M901" s="34" t="str">
        <f t="shared" ca="1" si="54"/>
        <v/>
      </c>
      <c r="N901" s="34" t="str">
        <f t="shared" si="55"/>
        <v/>
      </c>
      <c r="O901" s="25"/>
      <c r="P901" s="25"/>
    </row>
    <row r="902" spans="1:16" x14ac:dyDescent="0.25">
      <c r="A902" s="24"/>
      <c r="B902" s="24"/>
      <c r="C902" s="24"/>
      <c r="D902" s="34" t="str">
        <f>IF(C902="","",IFERROR(VLOOKUP(C902,CRM!$B$8:$O$1007,2,FALSE()),"Revisar ID"))</f>
        <v/>
      </c>
      <c r="E902" s="25"/>
      <c r="F902" s="34" t="str">
        <f t="shared" si="52"/>
        <v/>
      </c>
      <c r="G902" s="25"/>
      <c r="H902" s="25"/>
      <c r="I902" s="25"/>
      <c r="J902" s="25"/>
      <c r="K902" s="25"/>
      <c r="L902" s="34" t="str">
        <f t="shared" si="53"/>
        <v/>
      </c>
      <c r="M902" s="34" t="str">
        <f t="shared" ca="1" si="54"/>
        <v/>
      </c>
      <c r="N902" s="34" t="str">
        <f t="shared" si="55"/>
        <v/>
      </c>
      <c r="O902" s="25"/>
      <c r="P902" s="25"/>
    </row>
    <row r="903" spans="1:16" x14ac:dyDescent="0.25">
      <c r="A903" s="24"/>
      <c r="B903" s="24"/>
      <c r="C903" s="24"/>
      <c r="D903" s="34" t="str">
        <f>IF(C903="","",IFERROR(VLOOKUP(C903,CRM!$B$8:$O$1007,2,FALSE()),"Revisar ID"))</f>
        <v/>
      </c>
      <c r="E903" s="25"/>
      <c r="F903" s="34" t="str">
        <f t="shared" si="52"/>
        <v/>
      </c>
      <c r="G903" s="25"/>
      <c r="H903" s="25"/>
      <c r="I903" s="25"/>
      <c r="J903" s="25"/>
      <c r="K903" s="25"/>
      <c r="L903" s="34" t="str">
        <f t="shared" si="53"/>
        <v/>
      </c>
      <c r="M903" s="34" t="str">
        <f t="shared" ca="1" si="54"/>
        <v/>
      </c>
      <c r="N903" s="34" t="str">
        <f t="shared" si="55"/>
        <v/>
      </c>
      <c r="O903" s="25"/>
      <c r="P903" s="25"/>
    </row>
    <row r="904" spans="1:16" x14ac:dyDescent="0.25">
      <c r="A904" s="24"/>
      <c r="B904" s="24"/>
      <c r="C904" s="24"/>
      <c r="D904" s="34" t="str">
        <f>IF(C904="","",IFERROR(VLOOKUP(C904,CRM!$B$8:$O$1007,2,FALSE()),"Revisar ID"))</f>
        <v/>
      </c>
      <c r="E904" s="25"/>
      <c r="F904" s="34" t="str">
        <f t="shared" si="52"/>
        <v/>
      </c>
      <c r="G904" s="25"/>
      <c r="H904" s="25"/>
      <c r="I904" s="25"/>
      <c r="J904" s="25"/>
      <c r="K904" s="25"/>
      <c r="L904" s="34" t="str">
        <f t="shared" si="53"/>
        <v/>
      </c>
      <c r="M904" s="34" t="str">
        <f t="shared" ca="1" si="54"/>
        <v/>
      </c>
      <c r="N904" s="34" t="str">
        <f t="shared" si="55"/>
        <v/>
      </c>
      <c r="O904" s="25"/>
      <c r="P904" s="25"/>
    </row>
    <row r="905" spans="1:16" x14ac:dyDescent="0.25">
      <c r="A905" s="24"/>
      <c r="B905" s="24"/>
      <c r="C905" s="24"/>
      <c r="D905" s="34" t="str">
        <f>IF(C905="","",IFERROR(VLOOKUP(C905,CRM!$B$8:$O$1007,2,FALSE()),"Revisar ID"))</f>
        <v/>
      </c>
      <c r="E905" s="25"/>
      <c r="F905" s="34" t="str">
        <f t="shared" ref="F905:F968" si="56">IF(B905="","",B905+IF(E905="Contado",0,IF(E905="7 días",7,IF(E905="15 días",15,IF(E905="30 días",30,IF(E905="45 días",45,IF(E905="60 días",60,0)))))))</f>
        <v/>
      </c>
      <c r="G905" s="25"/>
      <c r="H905" s="25"/>
      <c r="I905" s="25"/>
      <c r="J905" s="25"/>
      <c r="K905" s="25"/>
      <c r="L905" s="34" t="str">
        <f t="shared" ref="L905:L968" si="57">IF(G905="","",MAX(0,G905-SUM(I905,K905)))</f>
        <v/>
      </c>
      <c r="M905" s="34" t="str">
        <f t="shared" ref="M905:M968" ca="1" si="58">IF(G905="","",IF(L905=0,0,MAX(0,TODAY()-F905)))</f>
        <v/>
      </c>
      <c r="N905" s="34" t="str">
        <f t="shared" ref="N905:N968" si="59">IF(G905="","",IF(L905=0,"Pagada",IF(M905&gt;0,"Vencida",IF(SUM(I905,K905)&gt;0,"Parcial","Pendiente"))))</f>
        <v/>
      </c>
      <c r="O905" s="25"/>
      <c r="P905" s="25"/>
    </row>
    <row r="906" spans="1:16" x14ac:dyDescent="0.25">
      <c r="A906" s="24"/>
      <c r="B906" s="24"/>
      <c r="C906" s="24"/>
      <c r="D906" s="34" t="str">
        <f>IF(C906="","",IFERROR(VLOOKUP(C906,CRM!$B$8:$O$1007,2,FALSE()),"Revisar ID"))</f>
        <v/>
      </c>
      <c r="E906" s="25"/>
      <c r="F906" s="34" t="str">
        <f t="shared" si="56"/>
        <v/>
      </c>
      <c r="G906" s="25"/>
      <c r="H906" s="25"/>
      <c r="I906" s="25"/>
      <c r="J906" s="25"/>
      <c r="K906" s="25"/>
      <c r="L906" s="34" t="str">
        <f t="shared" si="57"/>
        <v/>
      </c>
      <c r="M906" s="34" t="str">
        <f t="shared" ca="1" si="58"/>
        <v/>
      </c>
      <c r="N906" s="34" t="str">
        <f t="shared" si="59"/>
        <v/>
      </c>
      <c r="O906" s="25"/>
      <c r="P906" s="25"/>
    </row>
    <row r="907" spans="1:16" x14ac:dyDescent="0.25">
      <c r="A907" s="24"/>
      <c r="B907" s="24"/>
      <c r="C907" s="24"/>
      <c r="D907" s="34" t="str">
        <f>IF(C907="","",IFERROR(VLOOKUP(C907,CRM!$B$8:$O$1007,2,FALSE()),"Revisar ID"))</f>
        <v/>
      </c>
      <c r="E907" s="25"/>
      <c r="F907" s="34" t="str">
        <f t="shared" si="56"/>
        <v/>
      </c>
      <c r="G907" s="25"/>
      <c r="H907" s="25"/>
      <c r="I907" s="25"/>
      <c r="J907" s="25"/>
      <c r="K907" s="25"/>
      <c r="L907" s="34" t="str">
        <f t="shared" si="57"/>
        <v/>
      </c>
      <c r="M907" s="34" t="str">
        <f t="shared" ca="1" si="58"/>
        <v/>
      </c>
      <c r="N907" s="34" t="str">
        <f t="shared" si="59"/>
        <v/>
      </c>
      <c r="O907" s="25"/>
      <c r="P907" s="25"/>
    </row>
    <row r="908" spans="1:16" x14ac:dyDescent="0.25">
      <c r="A908" s="24"/>
      <c r="B908" s="24"/>
      <c r="C908" s="24"/>
      <c r="D908" s="34" t="str">
        <f>IF(C908="","",IFERROR(VLOOKUP(C908,CRM!$B$8:$O$1007,2,FALSE()),"Revisar ID"))</f>
        <v/>
      </c>
      <c r="E908" s="25"/>
      <c r="F908" s="34" t="str">
        <f t="shared" si="56"/>
        <v/>
      </c>
      <c r="G908" s="25"/>
      <c r="H908" s="25"/>
      <c r="I908" s="25"/>
      <c r="J908" s="25"/>
      <c r="K908" s="25"/>
      <c r="L908" s="34" t="str">
        <f t="shared" si="57"/>
        <v/>
      </c>
      <c r="M908" s="34" t="str">
        <f t="shared" ca="1" si="58"/>
        <v/>
      </c>
      <c r="N908" s="34" t="str">
        <f t="shared" si="59"/>
        <v/>
      </c>
      <c r="O908" s="25"/>
      <c r="P908" s="25"/>
    </row>
    <row r="909" spans="1:16" x14ac:dyDescent="0.25">
      <c r="A909" s="24"/>
      <c r="B909" s="24"/>
      <c r="C909" s="24"/>
      <c r="D909" s="34" t="str">
        <f>IF(C909="","",IFERROR(VLOOKUP(C909,CRM!$B$8:$O$1007,2,FALSE()),"Revisar ID"))</f>
        <v/>
      </c>
      <c r="E909" s="25"/>
      <c r="F909" s="34" t="str">
        <f t="shared" si="56"/>
        <v/>
      </c>
      <c r="G909" s="25"/>
      <c r="H909" s="25"/>
      <c r="I909" s="25"/>
      <c r="J909" s="25"/>
      <c r="K909" s="25"/>
      <c r="L909" s="34" t="str">
        <f t="shared" si="57"/>
        <v/>
      </c>
      <c r="M909" s="34" t="str">
        <f t="shared" ca="1" si="58"/>
        <v/>
      </c>
      <c r="N909" s="34" t="str">
        <f t="shared" si="59"/>
        <v/>
      </c>
      <c r="O909" s="25"/>
      <c r="P909" s="25"/>
    </row>
    <row r="910" spans="1:16" x14ac:dyDescent="0.25">
      <c r="A910" s="24"/>
      <c r="B910" s="24"/>
      <c r="C910" s="24"/>
      <c r="D910" s="34" t="str">
        <f>IF(C910="","",IFERROR(VLOOKUP(C910,CRM!$B$8:$O$1007,2,FALSE()),"Revisar ID"))</f>
        <v/>
      </c>
      <c r="E910" s="25"/>
      <c r="F910" s="34" t="str">
        <f t="shared" si="56"/>
        <v/>
      </c>
      <c r="G910" s="25"/>
      <c r="H910" s="25"/>
      <c r="I910" s="25"/>
      <c r="J910" s="25"/>
      <c r="K910" s="25"/>
      <c r="L910" s="34" t="str">
        <f t="shared" si="57"/>
        <v/>
      </c>
      <c r="M910" s="34" t="str">
        <f t="shared" ca="1" si="58"/>
        <v/>
      </c>
      <c r="N910" s="34" t="str">
        <f t="shared" si="59"/>
        <v/>
      </c>
      <c r="O910" s="25"/>
      <c r="P910" s="25"/>
    </row>
    <row r="911" spans="1:16" x14ac:dyDescent="0.25">
      <c r="A911" s="24"/>
      <c r="B911" s="24"/>
      <c r="C911" s="24"/>
      <c r="D911" s="34" t="str">
        <f>IF(C911="","",IFERROR(VLOOKUP(C911,CRM!$B$8:$O$1007,2,FALSE()),"Revisar ID"))</f>
        <v/>
      </c>
      <c r="E911" s="25"/>
      <c r="F911" s="34" t="str">
        <f t="shared" si="56"/>
        <v/>
      </c>
      <c r="G911" s="25"/>
      <c r="H911" s="25"/>
      <c r="I911" s="25"/>
      <c r="J911" s="25"/>
      <c r="K911" s="25"/>
      <c r="L911" s="34" t="str">
        <f t="shared" si="57"/>
        <v/>
      </c>
      <c r="M911" s="34" t="str">
        <f t="shared" ca="1" si="58"/>
        <v/>
      </c>
      <c r="N911" s="34" t="str">
        <f t="shared" si="59"/>
        <v/>
      </c>
      <c r="O911" s="25"/>
      <c r="P911" s="25"/>
    </row>
    <row r="912" spans="1:16" x14ac:dyDescent="0.25">
      <c r="A912" s="24"/>
      <c r="B912" s="24"/>
      <c r="C912" s="24"/>
      <c r="D912" s="34" t="str">
        <f>IF(C912="","",IFERROR(VLOOKUP(C912,CRM!$B$8:$O$1007,2,FALSE()),"Revisar ID"))</f>
        <v/>
      </c>
      <c r="E912" s="25"/>
      <c r="F912" s="34" t="str">
        <f t="shared" si="56"/>
        <v/>
      </c>
      <c r="G912" s="25"/>
      <c r="H912" s="25"/>
      <c r="I912" s="25"/>
      <c r="J912" s="25"/>
      <c r="K912" s="25"/>
      <c r="L912" s="34" t="str">
        <f t="shared" si="57"/>
        <v/>
      </c>
      <c r="M912" s="34" t="str">
        <f t="shared" ca="1" si="58"/>
        <v/>
      </c>
      <c r="N912" s="34" t="str">
        <f t="shared" si="59"/>
        <v/>
      </c>
      <c r="O912" s="25"/>
      <c r="P912" s="25"/>
    </row>
    <row r="913" spans="1:16" x14ac:dyDescent="0.25">
      <c r="A913" s="24"/>
      <c r="B913" s="24"/>
      <c r="C913" s="24"/>
      <c r="D913" s="34" t="str">
        <f>IF(C913="","",IFERROR(VLOOKUP(C913,CRM!$B$8:$O$1007,2,FALSE()),"Revisar ID"))</f>
        <v/>
      </c>
      <c r="E913" s="25"/>
      <c r="F913" s="34" t="str">
        <f t="shared" si="56"/>
        <v/>
      </c>
      <c r="G913" s="25"/>
      <c r="H913" s="25"/>
      <c r="I913" s="25"/>
      <c r="J913" s="25"/>
      <c r="K913" s="25"/>
      <c r="L913" s="34" t="str">
        <f t="shared" si="57"/>
        <v/>
      </c>
      <c r="M913" s="34" t="str">
        <f t="shared" ca="1" si="58"/>
        <v/>
      </c>
      <c r="N913" s="34" t="str">
        <f t="shared" si="59"/>
        <v/>
      </c>
      <c r="O913" s="25"/>
      <c r="P913" s="25"/>
    </row>
    <row r="914" spans="1:16" x14ac:dyDescent="0.25">
      <c r="A914" s="24"/>
      <c r="B914" s="24"/>
      <c r="C914" s="24"/>
      <c r="D914" s="34" t="str">
        <f>IF(C914="","",IFERROR(VLOOKUP(C914,CRM!$B$8:$O$1007,2,FALSE()),"Revisar ID"))</f>
        <v/>
      </c>
      <c r="E914" s="25"/>
      <c r="F914" s="34" t="str">
        <f t="shared" si="56"/>
        <v/>
      </c>
      <c r="G914" s="25"/>
      <c r="H914" s="25"/>
      <c r="I914" s="25"/>
      <c r="J914" s="25"/>
      <c r="K914" s="25"/>
      <c r="L914" s="34" t="str">
        <f t="shared" si="57"/>
        <v/>
      </c>
      <c r="M914" s="34" t="str">
        <f t="shared" ca="1" si="58"/>
        <v/>
      </c>
      <c r="N914" s="34" t="str">
        <f t="shared" si="59"/>
        <v/>
      </c>
      <c r="O914" s="25"/>
      <c r="P914" s="25"/>
    </row>
    <row r="915" spans="1:16" x14ac:dyDescent="0.25">
      <c r="A915" s="24"/>
      <c r="B915" s="24"/>
      <c r="C915" s="24"/>
      <c r="D915" s="34" t="str">
        <f>IF(C915="","",IFERROR(VLOOKUP(C915,CRM!$B$8:$O$1007,2,FALSE()),"Revisar ID"))</f>
        <v/>
      </c>
      <c r="E915" s="25"/>
      <c r="F915" s="34" t="str">
        <f t="shared" si="56"/>
        <v/>
      </c>
      <c r="G915" s="25"/>
      <c r="H915" s="25"/>
      <c r="I915" s="25"/>
      <c r="J915" s="25"/>
      <c r="K915" s="25"/>
      <c r="L915" s="34" t="str">
        <f t="shared" si="57"/>
        <v/>
      </c>
      <c r="M915" s="34" t="str">
        <f t="shared" ca="1" si="58"/>
        <v/>
      </c>
      <c r="N915" s="34" t="str">
        <f t="shared" si="59"/>
        <v/>
      </c>
      <c r="O915" s="25"/>
      <c r="P915" s="25"/>
    </row>
    <row r="916" spans="1:16" x14ac:dyDescent="0.25">
      <c r="A916" s="24"/>
      <c r="B916" s="24"/>
      <c r="C916" s="24"/>
      <c r="D916" s="34" t="str">
        <f>IF(C916="","",IFERROR(VLOOKUP(C916,CRM!$B$8:$O$1007,2,FALSE()),"Revisar ID"))</f>
        <v/>
      </c>
      <c r="E916" s="25"/>
      <c r="F916" s="34" t="str">
        <f t="shared" si="56"/>
        <v/>
      </c>
      <c r="G916" s="25"/>
      <c r="H916" s="25"/>
      <c r="I916" s="25"/>
      <c r="J916" s="25"/>
      <c r="K916" s="25"/>
      <c r="L916" s="34" t="str">
        <f t="shared" si="57"/>
        <v/>
      </c>
      <c r="M916" s="34" t="str">
        <f t="shared" ca="1" si="58"/>
        <v/>
      </c>
      <c r="N916" s="34" t="str">
        <f t="shared" si="59"/>
        <v/>
      </c>
      <c r="O916" s="25"/>
      <c r="P916" s="25"/>
    </row>
    <row r="917" spans="1:16" x14ac:dyDescent="0.25">
      <c r="A917" s="24"/>
      <c r="B917" s="24"/>
      <c r="C917" s="24"/>
      <c r="D917" s="34" t="str">
        <f>IF(C917="","",IFERROR(VLOOKUP(C917,CRM!$B$8:$O$1007,2,FALSE()),"Revisar ID"))</f>
        <v/>
      </c>
      <c r="E917" s="25"/>
      <c r="F917" s="34" t="str">
        <f t="shared" si="56"/>
        <v/>
      </c>
      <c r="G917" s="25"/>
      <c r="H917" s="25"/>
      <c r="I917" s="25"/>
      <c r="J917" s="25"/>
      <c r="K917" s="25"/>
      <c r="L917" s="34" t="str">
        <f t="shared" si="57"/>
        <v/>
      </c>
      <c r="M917" s="34" t="str">
        <f t="shared" ca="1" si="58"/>
        <v/>
      </c>
      <c r="N917" s="34" t="str">
        <f t="shared" si="59"/>
        <v/>
      </c>
      <c r="O917" s="25"/>
      <c r="P917" s="25"/>
    </row>
    <row r="918" spans="1:16" x14ac:dyDescent="0.25">
      <c r="A918" s="24"/>
      <c r="B918" s="24"/>
      <c r="C918" s="24"/>
      <c r="D918" s="34" t="str">
        <f>IF(C918="","",IFERROR(VLOOKUP(C918,CRM!$B$8:$O$1007,2,FALSE()),"Revisar ID"))</f>
        <v/>
      </c>
      <c r="E918" s="25"/>
      <c r="F918" s="34" t="str">
        <f t="shared" si="56"/>
        <v/>
      </c>
      <c r="G918" s="25"/>
      <c r="H918" s="25"/>
      <c r="I918" s="25"/>
      <c r="J918" s="25"/>
      <c r="K918" s="25"/>
      <c r="L918" s="34" t="str">
        <f t="shared" si="57"/>
        <v/>
      </c>
      <c r="M918" s="34" t="str">
        <f t="shared" ca="1" si="58"/>
        <v/>
      </c>
      <c r="N918" s="34" t="str">
        <f t="shared" si="59"/>
        <v/>
      </c>
      <c r="O918" s="25"/>
      <c r="P918" s="25"/>
    </row>
    <row r="919" spans="1:16" x14ac:dyDescent="0.25">
      <c r="A919" s="24"/>
      <c r="B919" s="24"/>
      <c r="C919" s="24"/>
      <c r="D919" s="34" t="str">
        <f>IF(C919="","",IFERROR(VLOOKUP(C919,CRM!$B$8:$O$1007,2,FALSE()),"Revisar ID"))</f>
        <v/>
      </c>
      <c r="E919" s="25"/>
      <c r="F919" s="34" t="str">
        <f t="shared" si="56"/>
        <v/>
      </c>
      <c r="G919" s="25"/>
      <c r="H919" s="25"/>
      <c r="I919" s="25"/>
      <c r="J919" s="25"/>
      <c r="K919" s="25"/>
      <c r="L919" s="34" t="str">
        <f t="shared" si="57"/>
        <v/>
      </c>
      <c r="M919" s="34" t="str">
        <f t="shared" ca="1" si="58"/>
        <v/>
      </c>
      <c r="N919" s="34" t="str">
        <f t="shared" si="59"/>
        <v/>
      </c>
      <c r="O919" s="25"/>
      <c r="P919" s="25"/>
    </row>
    <row r="920" spans="1:16" x14ac:dyDescent="0.25">
      <c r="A920" s="24"/>
      <c r="B920" s="24"/>
      <c r="C920" s="24"/>
      <c r="D920" s="34" t="str">
        <f>IF(C920="","",IFERROR(VLOOKUP(C920,CRM!$B$8:$O$1007,2,FALSE()),"Revisar ID"))</f>
        <v/>
      </c>
      <c r="E920" s="25"/>
      <c r="F920" s="34" t="str">
        <f t="shared" si="56"/>
        <v/>
      </c>
      <c r="G920" s="25"/>
      <c r="H920" s="25"/>
      <c r="I920" s="25"/>
      <c r="J920" s="25"/>
      <c r="K920" s="25"/>
      <c r="L920" s="34" t="str">
        <f t="shared" si="57"/>
        <v/>
      </c>
      <c r="M920" s="34" t="str">
        <f t="shared" ca="1" si="58"/>
        <v/>
      </c>
      <c r="N920" s="34" t="str">
        <f t="shared" si="59"/>
        <v/>
      </c>
      <c r="O920" s="25"/>
      <c r="P920" s="25"/>
    </row>
    <row r="921" spans="1:16" x14ac:dyDescent="0.25">
      <c r="A921" s="24"/>
      <c r="B921" s="24"/>
      <c r="C921" s="24"/>
      <c r="D921" s="34" t="str">
        <f>IF(C921="","",IFERROR(VLOOKUP(C921,CRM!$B$8:$O$1007,2,FALSE()),"Revisar ID"))</f>
        <v/>
      </c>
      <c r="E921" s="25"/>
      <c r="F921" s="34" t="str">
        <f t="shared" si="56"/>
        <v/>
      </c>
      <c r="G921" s="25"/>
      <c r="H921" s="25"/>
      <c r="I921" s="25"/>
      <c r="J921" s="25"/>
      <c r="K921" s="25"/>
      <c r="L921" s="34" t="str">
        <f t="shared" si="57"/>
        <v/>
      </c>
      <c r="M921" s="34" t="str">
        <f t="shared" ca="1" si="58"/>
        <v/>
      </c>
      <c r="N921" s="34" t="str">
        <f t="shared" si="59"/>
        <v/>
      </c>
      <c r="O921" s="25"/>
      <c r="P921" s="25"/>
    </row>
    <row r="922" spans="1:16" x14ac:dyDescent="0.25">
      <c r="A922" s="24"/>
      <c r="B922" s="24"/>
      <c r="C922" s="24"/>
      <c r="D922" s="34" t="str">
        <f>IF(C922="","",IFERROR(VLOOKUP(C922,CRM!$B$8:$O$1007,2,FALSE()),"Revisar ID"))</f>
        <v/>
      </c>
      <c r="E922" s="25"/>
      <c r="F922" s="34" t="str">
        <f t="shared" si="56"/>
        <v/>
      </c>
      <c r="G922" s="25"/>
      <c r="H922" s="25"/>
      <c r="I922" s="25"/>
      <c r="J922" s="25"/>
      <c r="K922" s="25"/>
      <c r="L922" s="34" t="str">
        <f t="shared" si="57"/>
        <v/>
      </c>
      <c r="M922" s="34" t="str">
        <f t="shared" ca="1" si="58"/>
        <v/>
      </c>
      <c r="N922" s="34" t="str">
        <f t="shared" si="59"/>
        <v/>
      </c>
      <c r="O922" s="25"/>
      <c r="P922" s="25"/>
    </row>
    <row r="923" spans="1:16" x14ac:dyDescent="0.25">
      <c r="A923" s="24"/>
      <c r="B923" s="24"/>
      <c r="C923" s="24"/>
      <c r="D923" s="34" t="str">
        <f>IF(C923="","",IFERROR(VLOOKUP(C923,CRM!$B$8:$O$1007,2,FALSE()),"Revisar ID"))</f>
        <v/>
      </c>
      <c r="E923" s="25"/>
      <c r="F923" s="34" t="str">
        <f t="shared" si="56"/>
        <v/>
      </c>
      <c r="G923" s="25"/>
      <c r="H923" s="25"/>
      <c r="I923" s="25"/>
      <c r="J923" s="25"/>
      <c r="K923" s="25"/>
      <c r="L923" s="34" t="str">
        <f t="shared" si="57"/>
        <v/>
      </c>
      <c r="M923" s="34" t="str">
        <f t="shared" ca="1" si="58"/>
        <v/>
      </c>
      <c r="N923" s="34" t="str">
        <f t="shared" si="59"/>
        <v/>
      </c>
      <c r="O923" s="25"/>
      <c r="P923" s="25"/>
    </row>
    <row r="924" spans="1:16" x14ac:dyDescent="0.25">
      <c r="A924" s="24"/>
      <c r="B924" s="24"/>
      <c r="C924" s="24"/>
      <c r="D924" s="34" t="str">
        <f>IF(C924="","",IFERROR(VLOOKUP(C924,CRM!$B$8:$O$1007,2,FALSE()),"Revisar ID"))</f>
        <v/>
      </c>
      <c r="E924" s="25"/>
      <c r="F924" s="34" t="str">
        <f t="shared" si="56"/>
        <v/>
      </c>
      <c r="G924" s="25"/>
      <c r="H924" s="25"/>
      <c r="I924" s="25"/>
      <c r="J924" s="25"/>
      <c r="K924" s="25"/>
      <c r="L924" s="34" t="str">
        <f t="shared" si="57"/>
        <v/>
      </c>
      <c r="M924" s="34" t="str">
        <f t="shared" ca="1" si="58"/>
        <v/>
      </c>
      <c r="N924" s="34" t="str">
        <f t="shared" si="59"/>
        <v/>
      </c>
      <c r="O924" s="25"/>
      <c r="P924" s="25"/>
    </row>
    <row r="925" spans="1:16" x14ac:dyDescent="0.25">
      <c r="A925" s="24"/>
      <c r="B925" s="24"/>
      <c r="C925" s="24"/>
      <c r="D925" s="34" t="str">
        <f>IF(C925="","",IFERROR(VLOOKUP(C925,CRM!$B$8:$O$1007,2,FALSE()),"Revisar ID"))</f>
        <v/>
      </c>
      <c r="E925" s="25"/>
      <c r="F925" s="34" t="str">
        <f t="shared" si="56"/>
        <v/>
      </c>
      <c r="G925" s="25"/>
      <c r="H925" s="25"/>
      <c r="I925" s="25"/>
      <c r="J925" s="25"/>
      <c r="K925" s="25"/>
      <c r="L925" s="34" t="str">
        <f t="shared" si="57"/>
        <v/>
      </c>
      <c r="M925" s="34" t="str">
        <f t="shared" ca="1" si="58"/>
        <v/>
      </c>
      <c r="N925" s="34" t="str">
        <f t="shared" si="59"/>
        <v/>
      </c>
      <c r="O925" s="25"/>
      <c r="P925" s="25"/>
    </row>
    <row r="926" spans="1:16" x14ac:dyDescent="0.25">
      <c r="A926" s="24"/>
      <c r="B926" s="24"/>
      <c r="C926" s="24"/>
      <c r="D926" s="34" t="str">
        <f>IF(C926="","",IFERROR(VLOOKUP(C926,CRM!$B$8:$O$1007,2,FALSE()),"Revisar ID"))</f>
        <v/>
      </c>
      <c r="E926" s="25"/>
      <c r="F926" s="34" t="str">
        <f t="shared" si="56"/>
        <v/>
      </c>
      <c r="G926" s="25"/>
      <c r="H926" s="25"/>
      <c r="I926" s="25"/>
      <c r="J926" s="25"/>
      <c r="K926" s="25"/>
      <c r="L926" s="34" t="str">
        <f t="shared" si="57"/>
        <v/>
      </c>
      <c r="M926" s="34" t="str">
        <f t="shared" ca="1" si="58"/>
        <v/>
      </c>
      <c r="N926" s="34" t="str">
        <f t="shared" si="59"/>
        <v/>
      </c>
      <c r="O926" s="25"/>
      <c r="P926" s="25"/>
    </row>
    <row r="927" spans="1:16" x14ac:dyDescent="0.25">
      <c r="A927" s="24"/>
      <c r="B927" s="24"/>
      <c r="C927" s="24"/>
      <c r="D927" s="34" t="str">
        <f>IF(C927="","",IFERROR(VLOOKUP(C927,CRM!$B$8:$O$1007,2,FALSE()),"Revisar ID"))</f>
        <v/>
      </c>
      <c r="E927" s="25"/>
      <c r="F927" s="34" t="str">
        <f t="shared" si="56"/>
        <v/>
      </c>
      <c r="G927" s="25"/>
      <c r="H927" s="25"/>
      <c r="I927" s="25"/>
      <c r="J927" s="25"/>
      <c r="K927" s="25"/>
      <c r="L927" s="34" t="str">
        <f t="shared" si="57"/>
        <v/>
      </c>
      <c r="M927" s="34" t="str">
        <f t="shared" ca="1" si="58"/>
        <v/>
      </c>
      <c r="N927" s="34" t="str">
        <f t="shared" si="59"/>
        <v/>
      </c>
      <c r="O927" s="25"/>
      <c r="P927" s="25"/>
    </row>
    <row r="928" spans="1:16" x14ac:dyDescent="0.25">
      <c r="A928" s="24"/>
      <c r="B928" s="24"/>
      <c r="C928" s="24"/>
      <c r="D928" s="34" t="str">
        <f>IF(C928="","",IFERROR(VLOOKUP(C928,CRM!$B$8:$O$1007,2,FALSE()),"Revisar ID"))</f>
        <v/>
      </c>
      <c r="E928" s="25"/>
      <c r="F928" s="34" t="str">
        <f t="shared" si="56"/>
        <v/>
      </c>
      <c r="G928" s="25"/>
      <c r="H928" s="25"/>
      <c r="I928" s="25"/>
      <c r="J928" s="25"/>
      <c r="K928" s="25"/>
      <c r="L928" s="34" t="str">
        <f t="shared" si="57"/>
        <v/>
      </c>
      <c r="M928" s="34" t="str">
        <f t="shared" ca="1" si="58"/>
        <v/>
      </c>
      <c r="N928" s="34" t="str">
        <f t="shared" si="59"/>
        <v/>
      </c>
      <c r="O928" s="25"/>
      <c r="P928" s="25"/>
    </row>
    <row r="929" spans="1:16" x14ac:dyDescent="0.25">
      <c r="A929" s="24"/>
      <c r="B929" s="24"/>
      <c r="C929" s="24"/>
      <c r="D929" s="34" t="str">
        <f>IF(C929="","",IFERROR(VLOOKUP(C929,CRM!$B$8:$O$1007,2,FALSE()),"Revisar ID"))</f>
        <v/>
      </c>
      <c r="E929" s="25"/>
      <c r="F929" s="34" t="str">
        <f t="shared" si="56"/>
        <v/>
      </c>
      <c r="G929" s="25"/>
      <c r="H929" s="25"/>
      <c r="I929" s="25"/>
      <c r="J929" s="25"/>
      <c r="K929" s="25"/>
      <c r="L929" s="34" t="str">
        <f t="shared" si="57"/>
        <v/>
      </c>
      <c r="M929" s="34" t="str">
        <f t="shared" ca="1" si="58"/>
        <v/>
      </c>
      <c r="N929" s="34" t="str">
        <f t="shared" si="59"/>
        <v/>
      </c>
      <c r="O929" s="25"/>
      <c r="P929" s="25"/>
    </row>
    <row r="930" spans="1:16" x14ac:dyDescent="0.25">
      <c r="A930" s="24"/>
      <c r="B930" s="24"/>
      <c r="C930" s="24"/>
      <c r="D930" s="34" t="str">
        <f>IF(C930="","",IFERROR(VLOOKUP(C930,CRM!$B$8:$O$1007,2,FALSE()),"Revisar ID"))</f>
        <v/>
      </c>
      <c r="E930" s="25"/>
      <c r="F930" s="34" t="str">
        <f t="shared" si="56"/>
        <v/>
      </c>
      <c r="G930" s="25"/>
      <c r="H930" s="25"/>
      <c r="I930" s="25"/>
      <c r="J930" s="25"/>
      <c r="K930" s="25"/>
      <c r="L930" s="34" t="str">
        <f t="shared" si="57"/>
        <v/>
      </c>
      <c r="M930" s="34" t="str">
        <f t="shared" ca="1" si="58"/>
        <v/>
      </c>
      <c r="N930" s="34" t="str">
        <f t="shared" si="59"/>
        <v/>
      </c>
      <c r="O930" s="25"/>
      <c r="P930" s="25"/>
    </row>
    <row r="931" spans="1:16" x14ac:dyDescent="0.25">
      <c r="A931" s="24"/>
      <c r="B931" s="24"/>
      <c r="C931" s="24"/>
      <c r="D931" s="34" t="str">
        <f>IF(C931="","",IFERROR(VLOOKUP(C931,CRM!$B$8:$O$1007,2,FALSE()),"Revisar ID"))</f>
        <v/>
      </c>
      <c r="E931" s="25"/>
      <c r="F931" s="34" t="str">
        <f t="shared" si="56"/>
        <v/>
      </c>
      <c r="G931" s="25"/>
      <c r="H931" s="25"/>
      <c r="I931" s="25"/>
      <c r="J931" s="25"/>
      <c r="K931" s="25"/>
      <c r="L931" s="34" t="str">
        <f t="shared" si="57"/>
        <v/>
      </c>
      <c r="M931" s="34" t="str">
        <f t="shared" ca="1" si="58"/>
        <v/>
      </c>
      <c r="N931" s="34" t="str">
        <f t="shared" si="59"/>
        <v/>
      </c>
      <c r="O931" s="25"/>
      <c r="P931" s="25"/>
    </row>
    <row r="932" spans="1:16" x14ac:dyDescent="0.25">
      <c r="A932" s="24"/>
      <c r="B932" s="24"/>
      <c r="C932" s="24"/>
      <c r="D932" s="34" t="str">
        <f>IF(C932="","",IFERROR(VLOOKUP(C932,CRM!$B$8:$O$1007,2,FALSE()),"Revisar ID"))</f>
        <v/>
      </c>
      <c r="E932" s="25"/>
      <c r="F932" s="34" t="str">
        <f t="shared" si="56"/>
        <v/>
      </c>
      <c r="G932" s="25"/>
      <c r="H932" s="25"/>
      <c r="I932" s="25"/>
      <c r="J932" s="25"/>
      <c r="K932" s="25"/>
      <c r="L932" s="34" t="str">
        <f t="shared" si="57"/>
        <v/>
      </c>
      <c r="M932" s="34" t="str">
        <f t="shared" ca="1" si="58"/>
        <v/>
      </c>
      <c r="N932" s="34" t="str">
        <f t="shared" si="59"/>
        <v/>
      </c>
      <c r="O932" s="25"/>
      <c r="P932" s="25"/>
    </row>
    <row r="933" spans="1:16" x14ac:dyDescent="0.25">
      <c r="A933" s="24"/>
      <c r="B933" s="24"/>
      <c r="C933" s="24"/>
      <c r="D933" s="34" t="str">
        <f>IF(C933="","",IFERROR(VLOOKUP(C933,CRM!$B$8:$O$1007,2,FALSE()),"Revisar ID"))</f>
        <v/>
      </c>
      <c r="E933" s="25"/>
      <c r="F933" s="34" t="str">
        <f t="shared" si="56"/>
        <v/>
      </c>
      <c r="G933" s="25"/>
      <c r="H933" s="25"/>
      <c r="I933" s="25"/>
      <c r="J933" s="25"/>
      <c r="K933" s="25"/>
      <c r="L933" s="34" t="str">
        <f t="shared" si="57"/>
        <v/>
      </c>
      <c r="M933" s="34" t="str">
        <f t="shared" ca="1" si="58"/>
        <v/>
      </c>
      <c r="N933" s="34" t="str">
        <f t="shared" si="59"/>
        <v/>
      </c>
      <c r="O933" s="25"/>
      <c r="P933" s="25"/>
    </row>
    <row r="934" spans="1:16" x14ac:dyDescent="0.25">
      <c r="A934" s="24"/>
      <c r="B934" s="24"/>
      <c r="C934" s="24"/>
      <c r="D934" s="34" t="str">
        <f>IF(C934="","",IFERROR(VLOOKUP(C934,CRM!$B$8:$O$1007,2,FALSE()),"Revisar ID"))</f>
        <v/>
      </c>
      <c r="E934" s="25"/>
      <c r="F934" s="34" t="str">
        <f t="shared" si="56"/>
        <v/>
      </c>
      <c r="G934" s="25"/>
      <c r="H934" s="25"/>
      <c r="I934" s="25"/>
      <c r="J934" s="25"/>
      <c r="K934" s="25"/>
      <c r="L934" s="34" t="str">
        <f t="shared" si="57"/>
        <v/>
      </c>
      <c r="M934" s="34" t="str">
        <f t="shared" ca="1" si="58"/>
        <v/>
      </c>
      <c r="N934" s="34" t="str">
        <f t="shared" si="59"/>
        <v/>
      </c>
      <c r="O934" s="25"/>
      <c r="P934" s="25"/>
    </row>
    <row r="935" spans="1:16" x14ac:dyDescent="0.25">
      <c r="A935" s="24"/>
      <c r="B935" s="24"/>
      <c r="C935" s="24"/>
      <c r="D935" s="34" t="str">
        <f>IF(C935="","",IFERROR(VLOOKUP(C935,CRM!$B$8:$O$1007,2,FALSE()),"Revisar ID"))</f>
        <v/>
      </c>
      <c r="E935" s="25"/>
      <c r="F935" s="34" t="str">
        <f t="shared" si="56"/>
        <v/>
      </c>
      <c r="G935" s="25"/>
      <c r="H935" s="25"/>
      <c r="I935" s="25"/>
      <c r="J935" s="25"/>
      <c r="K935" s="25"/>
      <c r="L935" s="34" t="str">
        <f t="shared" si="57"/>
        <v/>
      </c>
      <c r="M935" s="34" t="str">
        <f t="shared" ca="1" si="58"/>
        <v/>
      </c>
      <c r="N935" s="34" t="str">
        <f t="shared" si="59"/>
        <v/>
      </c>
      <c r="O935" s="25"/>
      <c r="P935" s="25"/>
    </row>
    <row r="936" spans="1:16" x14ac:dyDescent="0.25">
      <c r="A936" s="24"/>
      <c r="B936" s="24"/>
      <c r="C936" s="24"/>
      <c r="D936" s="34" t="str">
        <f>IF(C936="","",IFERROR(VLOOKUP(C936,CRM!$B$8:$O$1007,2,FALSE()),"Revisar ID"))</f>
        <v/>
      </c>
      <c r="E936" s="25"/>
      <c r="F936" s="34" t="str">
        <f t="shared" si="56"/>
        <v/>
      </c>
      <c r="G936" s="25"/>
      <c r="H936" s="25"/>
      <c r="I936" s="25"/>
      <c r="J936" s="25"/>
      <c r="K936" s="25"/>
      <c r="L936" s="34" t="str">
        <f t="shared" si="57"/>
        <v/>
      </c>
      <c r="M936" s="34" t="str">
        <f t="shared" ca="1" si="58"/>
        <v/>
      </c>
      <c r="N936" s="34" t="str">
        <f t="shared" si="59"/>
        <v/>
      </c>
      <c r="O936" s="25"/>
      <c r="P936" s="25"/>
    </row>
    <row r="937" spans="1:16" x14ac:dyDescent="0.25">
      <c r="A937" s="24"/>
      <c r="B937" s="24"/>
      <c r="C937" s="24"/>
      <c r="D937" s="34" t="str">
        <f>IF(C937="","",IFERROR(VLOOKUP(C937,CRM!$B$8:$O$1007,2,FALSE()),"Revisar ID"))</f>
        <v/>
      </c>
      <c r="E937" s="25"/>
      <c r="F937" s="34" t="str">
        <f t="shared" si="56"/>
        <v/>
      </c>
      <c r="G937" s="25"/>
      <c r="H937" s="25"/>
      <c r="I937" s="25"/>
      <c r="J937" s="25"/>
      <c r="K937" s="25"/>
      <c r="L937" s="34" t="str">
        <f t="shared" si="57"/>
        <v/>
      </c>
      <c r="M937" s="34" t="str">
        <f t="shared" ca="1" si="58"/>
        <v/>
      </c>
      <c r="N937" s="34" t="str">
        <f t="shared" si="59"/>
        <v/>
      </c>
      <c r="O937" s="25"/>
      <c r="P937" s="25"/>
    </row>
    <row r="938" spans="1:16" x14ac:dyDescent="0.25">
      <c r="A938" s="24"/>
      <c r="B938" s="24"/>
      <c r="C938" s="24"/>
      <c r="D938" s="34" t="str">
        <f>IF(C938="","",IFERROR(VLOOKUP(C938,CRM!$B$8:$O$1007,2,FALSE()),"Revisar ID"))</f>
        <v/>
      </c>
      <c r="E938" s="25"/>
      <c r="F938" s="34" t="str">
        <f t="shared" si="56"/>
        <v/>
      </c>
      <c r="G938" s="25"/>
      <c r="H938" s="25"/>
      <c r="I938" s="25"/>
      <c r="J938" s="25"/>
      <c r="K938" s="25"/>
      <c r="L938" s="34" t="str">
        <f t="shared" si="57"/>
        <v/>
      </c>
      <c r="M938" s="34" t="str">
        <f t="shared" ca="1" si="58"/>
        <v/>
      </c>
      <c r="N938" s="34" t="str">
        <f t="shared" si="59"/>
        <v/>
      </c>
      <c r="O938" s="25"/>
      <c r="P938" s="25"/>
    </row>
    <row r="939" spans="1:16" x14ac:dyDescent="0.25">
      <c r="A939" s="24"/>
      <c r="B939" s="24"/>
      <c r="C939" s="24"/>
      <c r="D939" s="34" t="str">
        <f>IF(C939="","",IFERROR(VLOOKUP(C939,CRM!$B$8:$O$1007,2,FALSE()),"Revisar ID"))</f>
        <v/>
      </c>
      <c r="E939" s="25"/>
      <c r="F939" s="34" t="str">
        <f t="shared" si="56"/>
        <v/>
      </c>
      <c r="G939" s="25"/>
      <c r="H939" s="25"/>
      <c r="I939" s="25"/>
      <c r="J939" s="25"/>
      <c r="K939" s="25"/>
      <c r="L939" s="34" t="str">
        <f t="shared" si="57"/>
        <v/>
      </c>
      <c r="M939" s="34" t="str">
        <f t="shared" ca="1" si="58"/>
        <v/>
      </c>
      <c r="N939" s="34" t="str">
        <f t="shared" si="59"/>
        <v/>
      </c>
      <c r="O939" s="25"/>
      <c r="P939" s="25"/>
    </row>
    <row r="940" spans="1:16" x14ac:dyDescent="0.25">
      <c r="A940" s="24"/>
      <c r="B940" s="24"/>
      <c r="C940" s="24"/>
      <c r="D940" s="34" t="str">
        <f>IF(C940="","",IFERROR(VLOOKUP(C940,CRM!$B$8:$O$1007,2,FALSE()),"Revisar ID"))</f>
        <v/>
      </c>
      <c r="E940" s="25"/>
      <c r="F940" s="34" t="str">
        <f t="shared" si="56"/>
        <v/>
      </c>
      <c r="G940" s="25"/>
      <c r="H940" s="25"/>
      <c r="I940" s="25"/>
      <c r="J940" s="25"/>
      <c r="K940" s="25"/>
      <c r="L940" s="34" t="str">
        <f t="shared" si="57"/>
        <v/>
      </c>
      <c r="M940" s="34" t="str">
        <f t="shared" ca="1" si="58"/>
        <v/>
      </c>
      <c r="N940" s="34" t="str">
        <f t="shared" si="59"/>
        <v/>
      </c>
      <c r="O940" s="25"/>
      <c r="P940" s="25"/>
    </row>
    <row r="941" spans="1:16" x14ac:dyDescent="0.25">
      <c r="A941" s="24"/>
      <c r="B941" s="24"/>
      <c r="C941" s="24"/>
      <c r="D941" s="34" t="str">
        <f>IF(C941="","",IFERROR(VLOOKUP(C941,CRM!$B$8:$O$1007,2,FALSE()),"Revisar ID"))</f>
        <v/>
      </c>
      <c r="E941" s="25"/>
      <c r="F941" s="34" t="str">
        <f t="shared" si="56"/>
        <v/>
      </c>
      <c r="G941" s="25"/>
      <c r="H941" s="25"/>
      <c r="I941" s="25"/>
      <c r="J941" s="25"/>
      <c r="K941" s="25"/>
      <c r="L941" s="34" t="str">
        <f t="shared" si="57"/>
        <v/>
      </c>
      <c r="M941" s="34" t="str">
        <f t="shared" ca="1" si="58"/>
        <v/>
      </c>
      <c r="N941" s="34" t="str">
        <f t="shared" si="59"/>
        <v/>
      </c>
      <c r="O941" s="25"/>
      <c r="P941" s="25"/>
    </row>
    <row r="942" spans="1:16" x14ac:dyDescent="0.25">
      <c r="A942" s="24"/>
      <c r="B942" s="24"/>
      <c r="C942" s="24"/>
      <c r="D942" s="34" t="str">
        <f>IF(C942="","",IFERROR(VLOOKUP(C942,CRM!$B$8:$O$1007,2,FALSE()),"Revisar ID"))</f>
        <v/>
      </c>
      <c r="E942" s="25"/>
      <c r="F942" s="34" t="str">
        <f t="shared" si="56"/>
        <v/>
      </c>
      <c r="G942" s="25"/>
      <c r="H942" s="25"/>
      <c r="I942" s="25"/>
      <c r="J942" s="25"/>
      <c r="K942" s="25"/>
      <c r="L942" s="34" t="str">
        <f t="shared" si="57"/>
        <v/>
      </c>
      <c r="M942" s="34" t="str">
        <f t="shared" ca="1" si="58"/>
        <v/>
      </c>
      <c r="N942" s="34" t="str">
        <f t="shared" si="59"/>
        <v/>
      </c>
      <c r="O942" s="25"/>
      <c r="P942" s="25"/>
    </row>
    <row r="943" spans="1:16" x14ac:dyDescent="0.25">
      <c r="A943" s="24"/>
      <c r="B943" s="24"/>
      <c r="C943" s="24"/>
      <c r="D943" s="34" t="str">
        <f>IF(C943="","",IFERROR(VLOOKUP(C943,CRM!$B$8:$O$1007,2,FALSE()),"Revisar ID"))</f>
        <v/>
      </c>
      <c r="E943" s="25"/>
      <c r="F943" s="34" t="str">
        <f t="shared" si="56"/>
        <v/>
      </c>
      <c r="G943" s="25"/>
      <c r="H943" s="25"/>
      <c r="I943" s="25"/>
      <c r="J943" s="25"/>
      <c r="K943" s="25"/>
      <c r="L943" s="34" t="str">
        <f t="shared" si="57"/>
        <v/>
      </c>
      <c r="M943" s="34" t="str">
        <f t="shared" ca="1" si="58"/>
        <v/>
      </c>
      <c r="N943" s="34" t="str">
        <f t="shared" si="59"/>
        <v/>
      </c>
      <c r="O943" s="25"/>
      <c r="P943" s="25"/>
    </row>
    <row r="944" spans="1:16" x14ac:dyDescent="0.25">
      <c r="A944" s="24"/>
      <c r="B944" s="24"/>
      <c r="C944" s="24"/>
      <c r="D944" s="34" t="str">
        <f>IF(C944="","",IFERROR(VLOOKUP(C944,CRM!$B$8:$O$1007,2,FALSE()),"Revisar ID"))</f>
        <v/>
      </c>
      <c r="E944" s="25"/>
      <c r="F944" s="34" t="str">
        <f t="shared" si="56"/>
        <v/>
      </c>
      <c r="G944" s="25"/>
      <c r="H944" s="25"/>
      <c r="I944" s="25"/>
      <c r="J944" s="25"/>
      <c r="K944" s="25"/>
      <c r="L944" s="34" t="str">
        <f t="shared" si="57"/>
        <v/>
      </c>
      <c r="M944" s="34" t="str">
        <f t="shared" ca="1" si="58"/>
        <v/>
      </c>
      <c r="N944" s="34" t="str">
        <f t="shared" si="59"/>
        <v/>
      </c>
      <c r="O944" s="25"/>
      <c r="P944" s="25"/>
    </row>
    <row r="945" spans="1:16" x14ac:dyDescent="0.25">
      <c r="A945" s="24"/>
      <c r="B945" s="24"/>
      <c r="C945" s="24"/>
      <c r="D945" s="34" t="str">
        <f>IF(C945="","",IFERROR(VLOOKUP(C945,CRM!$B$8:$O$1007,2,FALSE()),"Revisar ID"))</f>
        <v/>
      </c>
      <c r="E945" s="25"/>
      <c r="F945" s="34" t="str">
        <f t="shared" si="56"/>
        <v/>
      </c>
      <c r="G945" s="25"/>
      <c r="H945" s="25"/>
      <c r="I945" s="25"/>
      <c r="J945" s="25"/>
      <c r="K945" s="25"/>
      <c r="L945" s="34" t="str">
        <f t="shared" si="57"/>
        <v/>
      </c>
      <c r="M945" s="34" t="str">
        <f t="shared" ca="1" si="58"/>
        <v/>
      </c>
      <c r="N945" s="34" t="str">
        <f t="shared" si="59"/>
        <v/>
      </c>
      <c r="O945" s="25"/>
      <c r="P945" s="25"/>
    </row>
    <row r="946" spans="1:16" x14ac:dyDescent="0.25">
      <c r="A946" s="24"/>
      <c r="B946" s="24"/>
      <c r="C946" s="24"/>
      <c r="D946" s="34" t="str">
        <f>IF(C946="","",IFERROR(VLOOKUP(C946,CRM!$B$8:$O$1007,2,FALSE()),"Revisar ID"))</f>
        <v/>
      </c>
      <c r="E946" s="25"/>
      <c r="F946" s="34" t="str">
        <f t="shared" si="56"/>
        <v/>
      </c>
      <c r="G946" s="25"/>
      <c r="H946" s="25"/>
      <c r="I946" s="25"/>
      <c r="J946" s="25"/>
      <c r="K946" s="25"/>
      <c r="L946" s="34" t="str">
        <f t="shared" si="57"/>
        <v/>
      </c>
      <c r="M946" s="34" t="str">
        <f t="shared" ca="1" si="58"/>
        <v/>
      </c>
      <c r="N946" s="34" t="str">
        <f t="shared" si="59"/>
        <v/>
      </c>
      <c r="O946" s="25"/>
      <c r="P946" s="25"/>
    </row>
    <row r="947" spans="1:16" x14ac:dyDescent="0.25">
      <c r="A947" s="24"/>
      <c r="B947" s="24"/>
      <c r="C947" s="24"/>
      <c r="D947" s="34" t="str">
        <f>IF(C947="","",IFERROR(VLOOKUP(C947,CRM!$B$8:$O$1007,2,FALSE()),"Revisar ID"))</f>
        <v/>
      </c>
      <c r="E947" s="25"/>
      <c r="F947" s="34" t="str">
        <f t="shared" si="56"/>
        <v/>
      </c>
      <c r="G947" s="25"/>
      <c r="H947" s="25"/>
      <c r="I947" s="25"/>
      <c r="J947" s="25"/>
      <c r="K947" s="25"/>
      <c r="L947" s="34" t="str">
        <f t="shared" si="57"/>
        <v/>
      </c>
      <c r="M947" s="34" t="str">
        <f t="shared" ca="1" si="58"/>
        <v/>
      </c>
      <c r="N947" s="34" t="str">
        <f t="shared" si="59"/>
        <v/>
      </c>
      <c r="O947" s="25"/>
      <c r="P947" s="25"/>
    </row>
    <row r="948" spans="1:16" x14ac:dyDescent="0.25">
      <c r="A948" s="24"/>
      <c r="B948" s="24"/>
      <c r="C948" s="24"/>
      <c r="D948" s="34" t="str">
        <f>IF(C948="","",IFERROR(VLOOKUP(C948,CRM!$B$8:$O$1007,2,FALSE()),"Revisar ID"))</f>
        <v/>
      </c>
      <c r="E948" s="25"/>
      <c r="F948" s="34" t="str">
        <f t="shared" si="56"/>
        <v/>
      </c>
      <c r="G948" s="25"/>
      <c r="H948" s="25"/>
      <c r="I948" s="25"/>
      <c r="J948" s="25"/>
      <c r="K948" s="25"/>
      <c r="L948" s="34" t="str">
        <f t="shared" si="57"/>
        <v/>
      </c>
      <c r="M948" s="34" t="str">
        <f t="shared" ca="1" si="58"/>
        <v/>
      </c>
      <c r="N948" s="34" t="str">
        <f t="shared" si="59"/>
        <v/>
      </c>
      <c r="O948" s="25"/>
      <c r="P948" s="25"/>
    </row>
    <row r="949" spans="1:16" x14ac:dyDescent="0.25">
      <c r="A949" s="24"/>
      <c r="B949" s="24"/>
      <c r="C949" s="24"/>
      <c r="D949" s="34" t="str">
        <f>IF(C949="","",IFERROR(VLOOKUP(C949,CRM!$B$8:$O$1007,2,FALSE()),"Revisar ID"))</f>
        <v/>
      </c>
      <c r="E949" s="25"/>
      <c r="F949" s="34" t="str">
        <f t="shared" si="56"/>
        <v/>
      </c>
      <c r="G949" s="25"/>
      <c r="H949" s="25"/>
      <c r="I949" s="25"/>
      <c r="J949" s="25"/>
      <c r="K949" s="25"/>
      <c r="L949" s="34" t="str">
        <f t="shared" si="57"/>
        <v/>
      </c>
      <c r="M949" s="34" t="str">
        <f t="shared" ca="1" si="58"/>
        <v/>
      </c>
      <c r="N949" s="34" t="str">
        <f t="shared" si="59"/>
        <v/>
      </c>
      <c r="O949" s="25"/>
      <c r="P949" s="25"/>
    </row>
    <row r="950" spans="1:16" x14ac:dyDescent="0.25">
      <c r="A950" s="24"/>
      <c r="B950" s="24"/>
      <c r="C950" s="24"/>
      <c r="D950" s="34" t="str">
        <f>IF(C950="","",IFERROR(VLOOKUP(C950,CRM!$B$8:$O$1007,2,FALSE()),"Revisar ID"))</f>
        <v/>
      </c>
      <c r="E950" s="25"/>
      <c r="F950" s="34" t="str">
        <f t="shared" si="56"/>
        <v/>
      </c>
      <c r="G950" s="25"/>
      <c r="H950" s="25"/>
      <c r="I950" s="25"/>
      <c r="J950" s="25"/>
      <c r="K950" s="25"/>
      <c r="L950" s="34" t="str">
        <f t="shared" si="57"/>
        <v/>
      </c>
      <c r="M950" s="34" t="str">
        <f t="shared" ca="1" si="58"/>
        <v/>
      </c>
      <c r="N950" s="34" t="str">
        <f t="shared" si="59"/>
        <v/>
      </c>
      <c r="O950" s="25"/>
      <c r="P950" s="25"/>
    </row>
    <row r="951" spans="1:16" x14ac:dyDescent="0.25">
      <c r="A951" s="24"/>
      <c r="B951" s="24"/>
      <c r="C951" s="24"/>
      <c r="D951" s="34" t="str">
        <f>IF(C951="","",IFERROR(VLOOKUP(C951,CRM!$B$8:$O$1007,2,FALSE()),"Revisar ID"))</f>
        <v/>
      </c>
      <c r="E951" s="25"/>
      <c r="F951" s="34" t="str">
        <f t="shared" si="56"/>
        <v/>
      </c>
      <c r="G951" s="25"/>
      <c r="H951" s="25"/>
      <c r="I951" s="25"/>
      <c r="J951" s="25"/>
      <c r="K951" s="25"/>
      <c r="L951" s="34" t="str">
        <f t="shared" si="57"/>
        <v/>
      </c>
      <c r="M951" s="34" t="str">
        <f t="shared" ca="1" si="58"/>
        <v/>
      </c>
      <c r="N951" s="34" t="str">
        <f t="shared" si="59"/>
        <v/>
      </c>
      <c r="O951" s="25"/>
      <c r="P951" s="25"/>
    </row>
    <row r="952" spans="1:16" x14ac:dyDescent="0.25">
      <c r="A952" s="24"/>
      <c r="B952" s="24"/>
      <c r="C952" s="24"/>
      <c r="D952" s="34" t="str">
        <f>IF(C952="","",IFERROR(VLOOKUP(C952,CRM!$B$8:$O$1007,2,FALSE()),"Revisar ID"))</f>
        <v/>
      </c>
      <c r="E952" s="25"/>
      <c r="F952" s="34" t="str">
        <f t="shared" si="56"/>
        <v/>
      </c>
      <c r="G952" s="25"/>
      <c r="H952" s="25"/>
      <c r="I952" s="25"/>
      <c r="J952" s="25"/>
      <c r="K952" s="25"/>
      <c r="L952" s="34" t="str">
        <f t="shared" si="57"/>
        <v/>
      </c>
      <c r="M952" s="34" t="str">
        <f t="shared" ca="1" si="58"/>
        <v/>
      </c>
      <c r="N952" s="34" t="str">
        <f t="shared" si="59"/>
        <v/>
      </c>
      <c r="O952" s="25"/>
      <c r="P952" s="25"/>
    </row>
    <row r="953" spans="1:16" x14ac:dyDescent="0.25">
      <c r="A953" s="24"/>
      <c r="B953" s="24"/>
      <c r="C953" s="24"/>
      <c r="D953" s="34" t="str">
        <f>IF(C953="","",IFERROR(VLOOKUP(C953,CRM!$B$8:$O$1007,2,FALSE()),"Revisar ID"))</f>
        <v/>
      </c>
      <c r="E953" s="25"/>
      <c r="F953" s="34" t="str">
        <f t="shared" si="56"/>
        <v/>
      </c>
      <c r="G953" s="25"/>
      <c r="H953" s="25"/>
      <c r="I953" s="25"/>
      <c r="J953" s="25"/>
      <c r="K953" s="25"/>
      <c r="L953" s="34" t="str">
        <f t="shared" si="57"/>
        <v/>
      </c>
      <c r="M953" s="34" t="str">
        <f t="shared" ca="1" si="58"/>
        <v/>
      </c>
      <c r="N953" s="34" t="str">
        <f t="shared" si="59"/>
        <v/>
      </c>
      <c r="O953" s="25"/>
      <c r="P953" s="25"/>
    </row>
    <row r="954" spans="1:16" x14ac:dyDescent="0.25">
      <c r="A954" s="24"/>
      <c r="B954" s="24"/>
      <c r="C954" s="24"/>
      <c r="D954" s="34" t="str">
        <f>IF(C954="","",IFERROR(VLOOKUP(C954,CRM!$B$8:$O$1007,2,FALSE()),"Revisar ID"))</f>
        <v/>
      </c>
      <c r="E954" s="25"/>
      <c r="F954" s="34" t="str">
        <f t="shared" si="56"/>
        <v/>
      </c>
      <c r="G954" s="25"/>
      <c r="H954" s="25"/>
      <c r="I954" s="25"/>
      <c r="J954" s="25"/>
      <c r="K954" s="25"/>
      <c r="L954" s="34" t="str">
        <f t="shared" si="57"/>
        <v/>
      </c>
      <c r="M954" s="34" t="str">
        <f t="shared" ca="1" si="58"/>
        <v/>
      </c>
      <c r="N954" s="34" t="str">
        <f t="shared" si="59"/>
        <v/>
      </c>
      <c r="O954" s="25"/>
      <c r="P954" s="25"/>
    </row>
    <row r="955" spans="1:16" x14ac:dyDescent="0.25">
      <c r="A955" s="24"/>
      <c r="B955" s="24"/>
      <c r="C955" s="24"/>
      <c r="D955" s="34" t="str">
        <f>IF(C955="","",IFERROR(VLOOKUP(C955,CRM!$B$8:$O$1007,2,FALSE()),"Revisar ID"))</f>
        <v/>
      </c>
      <c r="E955" s="25"/>
      <c r="F955" s="34" t="str">
        <f t="shared" si="56"/>
        <v/>
      </c>
      <c r="G955" s="25"/>
      <c r="H955" s="25"/>
      <c r="I955" s="25"/>
      <c r="J955" s="25"/>
      <c r="K955" s="25"/>
      <c r="L955" s="34" t="str">
        <f t="shared" si="57"/>
        <v/>
      </c>
      <c r="M955" s="34" t="str">
        <f t="shared" ca="1" si="58"/>
        <v/>
      </c>
      <c r="N955" s="34" t="str">
        <f t="shared" si="59"/>
        <v/>
      </c>
      <c r="O955" s="25"/>
      <c r="P955" s="25"/>
    </row>
    <row r="956" spans="1:16" x14ac:dyDescent="0.25">
      <c r="A956" s="24"/>
      <c r="B956" s="24"/>
      <c r="C956" s="24"/>
      <c r="D956" s="34" t="str">
        <f>IF(C956="","",IFERROR(VLOOKUP(C956,CRM!$B$8:$O$1007,2,FALSE()),"Revisar ID"))</f>
        <v/>
      </c>
      <c r="E956" s="25"/>
      <c r="F956" s="34" t="str">
        <f t="shared" si="56"/>
        <v/>
      </c>
      <c r="G956" s="25"/>
      <c r="H956" s="25"/>
      <c r="I956" s="25"/>
      <c r="J956" s="25"/>
      <c r="K956" s="25"/>
      <c r="L956" s="34" t="str">
        <f t="shared" si="57"/>
        <v/>
      </c>
      <c r="M956" s="34" t="str">
        <f t="shared" ca="1" si="58"/>
        <v/>
      </c>
      <c r="N956" s="34" t="str">
        <f t="shared" si="59"/>
        <v/>
      </c>
      <c r="O956" s="25"/>
      <c r="P956" s="25"/>
    </row>
    <row r="957" spans="1:16" x14ac:dyDescent="0.25">
      <c r="A957" s="24"/>
      <c r="B957" s="24"/>
      <c r="C957" s="24"/>
      <c r="D957" s="34" t="str">
        <f>IF(C957="","",IFERROR(VLOOKUP(C957,CRM!$B$8:$O$1007,2,FALSE()),"Revisar ID"))</f>
        <v/>
      </c>
      <c r="E957" s="25"/>
      <c r="F957" s="34" t="str">
        <f t="shared" si="56"/>
        <v/>
      </c>
      <c r="G957" s="25"/>
      <c r="H957" s="25"/>
      <c r="I957" s="25"/>
      <c r="J957" s="25"/>
      <c r="K957" s="25"/>
      <c r="L957" s="34" t="str">
        <f t="shared" si="57"/>
        <v/>
      </c>
      <c r="M957" s="34" t="str">
        <f t="shared" ca="1" si="58"/>
        <v/>
      </c>
      <c r="N957" s="34" t="str">
        <f t="shared" si="59"/>
        <v/>
      </c>
      <c r="O957" s="25"/>
      <c r="P957" s="25"/>
    </row>
    <row r="958" spans="1:16" x14ac:dyDescent="0.25">
      <c r="A958" s="24"/>
      <c r="B958" s="24"/>
      <c r="C958" s="24"/>
      <c r="D958" s="34" t="str">
        <f>IF(C958="","",IFERROR(VLOOKUP(C958,CRM!$B$8:$O$1007,2,FALSE()),"Revisar ID"))</f>
        <v/>
      </c>
      <c r="E958" s="25"/>
      <c r="F958" s="34" t="str">
        <f t="shared" si="56"/>
        <v/>
      </c>
      <c r="G958" s="25"/>
      <c r="H958" s="25"/>
      <c r="I958" s="25"/>
      <c r="J958" s="25"/>
      <c r="K958" s="25"/>
      <c r="L958" s="34" t="str">
        <f t="shared" si="57"/>
        <v/>
      </c>
      <c r="M958" s="34" t="str">
        <f t="shared" ca="1" si="58"/>
        <v/>
      </c>
      <c r="N958" s="34" t="str">
        <f t="shared" si="59"/>
        <v/>
      </c>
      <c r="O958" s="25"/>
      <c r="P958" s="25"/>
    </row>
    <row r="959" spans="1:16" x14ac:dyDescent="0.25">
      <c r="A959" s="24"/>
      <c r="B959" s="24"/>
      <c r="C959" s="24"/>
      <c r="D959" s="34" t="str">
        <f>IF(C959="","",IFERROR(VLOOKUP(C959,CRM!$B$8:$O$1007,2,FALSE()),"Revisar ID"))</f>
        <v/>
      </c>
      <c r="E959" s="25"/>
      <c r="F959" s="34" t="str">
        <f t="shared" si="56"/>
        <v/>
      </c>
      <c r="G959" s="25"/>
      <c r="H959" s="25"/>
      <c r="I959" s="25"/>
      <c r="J959" s="25"/>
      <c r="K959" s="25"/>
      <c r="L959" s="34" t="str">
        <f t="shared" si="57"/>
        <v/>
      </c>
      <c r="M959" s="34" t="str">
        <f t="shared" ca="1" si="58"/>
        <v/>
      </c>
      <c r="N959" s="34" t="str">
        <f t="shared" si="59"/>
        <v/>
      </c>
      <c r="O959" s="25"/>
      <c r="P959" s="25"/>
    </row>
    <row r="960" spans="1:16" x14ac:dyDescent="0.25">
      <c r="A960" s="24"/>
      <c r="B960" s="24"/>
      <c r="C960" s="24"/>
      <c r="D960" s="34" t="str">
        <f>IF(C960="","",IFERROR(VLOOKUP(C960,CRM!$B$8:$O$1007,2,FALSE()),"Revisar ID"))</f>
        <v/>
      </c>
      <c r="E960" s="25"/>
      <c r="F960" s="34" t="str">
        <f t="shared" si="56"/>
        <v/>
      </c>
      <c r="G960" s="25"/>
      <c r="H960" s="25"/>
      <c r="I960" s="25"/>
      <c r="J960" s="25"/>
      <c r="K960" s="25"/>
      <c r="L960" s="34" t="str">
        <f t="shared" si="57"/>
        <v/>
      </c>
      <c r="M960" s="34" t="str">
        <f t="shared" ca="1" si="58"/>
        <v/>
      </c>
      <c r="N960" s="34" t="str">
        <f t="shared" si="59"/>
        <v/>
      </c>
      <c r="O960" s="25"/>
      <c r="P960" s="25"/>
    </row>
    <row r="961" spans="1:16" x14ac:dyDescent="0.25">
      <c r="A961" s="24"/>
      <c r="B961" s="24"/>
      <c r="C961" s="24"/>
      <c r="D961" s="34" t="str">
        <f>IF(C961="","",IFERROR(VLOOKUP(C961,CRM!$B$8:$O$1007,2,FALSE()),"Revisar ID"))</f>
        <v/>
      </c>
      <c r="E961" s="25"/>
      <c r="F961" s="34" t="str">
        <f t="shared" si="56"/>
        <v/>
      </c>
      <c r="G961" s="25"/>
      <c r="H961" s="25"/>
      <c r="I961" s="25"/>
      <c r="J961" s="25"/>
      <c r="K961" s="25"/>
      <c r="L961" s="34" t="str">
        <f t="shared" si="57"/>
        <v/>
      </c>
      <c r="M961" s="34" t="str">
        <f t="shared" ca="1" si="58"/>
        <v/>
      </c>
      <c r="N961" s="34" t="str">
        <f t="shared" si="59"/>
        <v/>
      </c>
      <c r="O961" s="25"/>
      <c r="P961" s="25"/>
    </row>
    <row r="962" spans="1:16" x14ac:dyDescent="0.25">
      <c r="A962" s="24"/>
      <c r="B962" s="24"/>
      <c r="C962" s="24"/>
      <c r="D962" s="34" t="str">
        <f>IF(C962="","",IFERROR(VLOOKUP(C962,CRM!$B$8:$O$1007,2,FALSE()),"Revisar ID"))</f>
        <v/>
      </c>
      <c r="E962" s="25"/>
      <c r="F962" s="34" t="str">
        <f t="shared" si="56"/>
        <v/>
      </c>
      <c r="G962" s="25"/>
      <c r="H962" s="25"/>
      <c r="I962" s="25"/>
      <c r="J962" s="25"/>
      <c r="K962" s="25"/>
      <c r="L962" s="34" t="str">
        <f t="shared" si="57"/>
        <v/>
      </c>
      <c r="M962" s="34" t="str">
        <f t="shared" ca="1" si="58"/>
        <v/>
      </c>
      <c r="N962" s="34" t="str">
        <f t="shared" si="59"/>
        <v/>
      </c>
      <c r="O962" s="25"/>
      <c r="P962" s="25"/>
    </row>
    <row r="963" spans="1:16" x14ac:dyDescent="0.25">
      <c r="A963" s="24"/>
      <c r="B963" s="24"/>
      <c r="C963" s="24"/>
      <c r="D963" s="34" t="str">
        <f>IF(C963="","",IFERROR(VLOOKUP(C963,CRM!$B$8:$O$1007,2,FALSE()),"Revisar ID"))</f>
        <v/>
      </c>
      <c r="E963" s="25"/>
      <c r="F963" s="34" t="str">
        <f t="shared" si="56"/>
        <v/>
      </c>
      <c r="G963" s="25"/>
      <c r="H963" s="25"/>
      <c r="I963" s="25"/>
      <c r="J963" s="25"/>
      <c r="K963" s="25"/>
      <c r="L963" s="34" t="str">
        <f t="shared" si="57"/>
        <v/>
      </c>
      <c r="M963" s="34" t="str">
        <f t="shared" ca="1" si="58"/>
        <v/>
      </c>
      <c r="N963" s="34" t="str">
        <f t="shared" si="59"/>
        <v/>
      </c>
      <c r="O963" s="25"/>
      <c r="P963" s="25"/>
    </row>
    <row r="964" spans="1:16" x14ac:dyDescent="0.25">
      <c r="A964" s="24"/>
      <c r="B964" s="24"/>
      <c r="C964" s="24"/>
      <c r="D964" s="34" t="str">
        <f>IF(C964="","",IFERROR(VLOOKUP(C964,CRM!$B$8:$O$1007,2,FALSE()),"Revisar ID"))</f>
        <v/>
      </c>
      <c r="E964" s="25"/>
      <c r="F964" s="34" t="str">
        <f t="shared" si="56"/>
        <v/>
      </c>
      <c r="G964" s="25"/>
      <c r="H964" s="25"/>
      <c r="I964" s="25"/>
      <c r="J964" s="25"/>
      <c r="K964" s="25"/>
      <c r="L964" s="34" t="str">
        <f t="shared" si="57"/>
        <v/>
      </c>
      <c r="M964" s="34" t="str">
        <f t="shared" ca="1" si="58"/>
        <v/>
      </c>
      <c r="N964" s="34" t="str">
        <f t="shared" si="59"/>
        <v/>
      </c>
      <c r="O964" s="25"/>
      <c r="P964" s="25"/>
    </row>
    <row r="965" spans="1:16" x14ac:dyDescent="0.25">
      <c r="A965" s="24"/>
      <c r="B965" s="24"/>
      <c r="C965" s="24"/>
      <c r="D965" s="34" t="str">
        <f>IF(C965="","",IFERROR(VLOOKUP(C965,CRM!$B$8:$O$1007,2,FALSE()),"Revisar ID"))</f>
        <v/>
      </c>
      <c r="E965" s="25"/>
      <c r="F965" s="34" t="str">
        <f t="shared" si="56"/>
        <v/>
      </c>
      <c r="G965" s="25"/>
      <c r="H965" s="25"/>
      <c r="I965" s="25"/>
      <c r="J965" s="25"/>
      <c r="K965" s="25"/>
      <c r="L965" s="34" t="str">
        <f t="shared" si="57"/>
        <v/>
      </c>
      <c r="M965" s="34" t="str">
        <f t="shared" ca="1" si="58"/>
        <v/>
      </c>
      <c r="N965" s="34" t="str">
        <f t="shared" si="59"/>
        <v/>
      </c>
      <c r="O965" s="25"/>
      <c r="P965" s="25"/>
    </row>
    <row r="966" spans="1:16" x14ac:dyDescent="0.25">
      <c r="A966" s="24"/>
      <c r="B966" s="24"/>
      <c r="C966" s="24"/>
      <c r="D966" s="34" t="str">
        <f>IF(C966="","",IFERROR(VLOOKUP(C966,CRM!$B$8:$O$1007,2,FALSE()),"Revisar ID"))</f>
        <v/>
      </c>
      <c r="E966" s="25"/>
      <c r="F966" s="34" t="str">
        <f t="shared" si="56"/>
        <v/>
      </c>
      <c r="G966" s="25"/>
      <c r="H966" s="25"/>
      <c r="I966" s="25"/>
      <c r="J966" s="25"/>
      <c r="K966" s="25"/>
      <c r="L966" s="34" t="str">
        <f t="shared" si="57"/>
        <v/>
      </c>
      <c r="M966" s="34" t="str">
        <f t="shared" ca="1" si="58"/>
        <v/>
      </c>
      <c r="N966" s="34" t="str">
        <f t="shared" si="59"/>
        <v/>
      </c>
      <c r="O966" s="25"/>
      <c r="P966" s="25"/>
    </row>
    <row r="967" spans="1:16" x14ac:dyDescent="0.25">
      <c r="A967" s="24"/>
      <c r="B967" s="24"/>
      <c r="C967" s="24"/>
      <c r="D967" s="34" t="str">
        <f>IF(C967="","",IFERROR(VLOOKUP(C967,CRM!$B$8:$O$1007,2,FALSE()),"Revisar ID"))</f>
        <v/>
      </c>
      <c r="E967" s="25"/>
      <c r="F967" s="34" t="str">
        <f t="shared" si="56"/>
        <v/>
      </c>
      <c r="G967" s="25"/>
      <c r="H967" s="25"/>
      <c r="I967" s="25"/>
      <c r="J967" s="25"/>
      <c r="K967" s="25"/>
      <c r="L967" s="34" t="str">
        <f t="shared" si="57"/>
        <v/>
      </c>
      <c r="M967" s="34" t="str">
        <f t="shared" ca="1" si="58"/>
        <v/>
      </c>
      <c r="N967" s="34" t="str">
        <f t="shared" si="59"/>
        <v/>
      </c>
      <c r="O967" s="25"/>
      <c r="P967" s="25"/>
    </row>
    <row r="968" spans="1:16" x14ac:dyDescent="0.25">
      <c r="A968" s="24"/>
      <c r="B968" s="24"/>
      <c r="C968" s="24"/>
      <c r="D968" s="34" t="str">
        <f>IF(C968="","",IFERROR(VLOOKUP(C968,CRM!$B$8:$O$1007,2,FALSE()),"Revisar ID"))</f>
        <v/>
      </c>
      <c r="E968" s="25"/>
      <c r="F968" s="34" t="str">
        <f t="shared" si="56"/>
        <v/>
      </c>
      <c r="G968" s="25"/>
      <c r="H968" s="25"/>
      <c r="I968" s="25"/>
      <c r="J968" s="25"/>
      <c r="K968" s="25"/>
      <c r="L968" s="34" t="str">
        <f t="shared" si="57"/>
        <v/>
      </c>
      <c r="M968" s="34" t="str">
        <f t="shared" ca="1" si="58"/>
        <v/>
      </c>
      <c r="N968" s="34" t="str">
        <f t="shared" si="59"/>
        <v/>
      </c>
      <c r="O968" s="25"/>
      <c r="P968" s="25"/>
    </row>
    <row r="969" spans="1:16" x14ac:dyDescent="0.25">
      <c r="A969" s="24"/>
      <c r="B969" s="24"/>
      <c r="C969" s="24"/>
      <c r="D969" s="34" t="str">
        <f>IF(C969="","",IFERROR(VLOOKUP(C969,CRM!$B$8:$O$1007,2,FALSE()),"Revisar ID"))</f>
        <v/>
      </c>
      <c r="E969" s="25"/>
      <c r="F969" s="34" t="str">
        <f t="shared" ref="F969:F1008" si="60">IF(B969="","",B969+IF(E969="Contado",0,IF(E969="7 días",7,IF(E969="15 días",15,IF(E969="30 días",30,IF(E969="45 días",45,IF(E969="60 días",60,0)))))))</f>
        <v/>
      </c>
      <c r="G969" s="25"/>
      <c r="H969" s="25"/>
      <c r="I969" s="25"/>
      <c r="J969" s="25"/>
      <c r="K969" s="25"/>
      <c r="L969" s="34" t="str">
        <f t="shared" ref="L969:L1008" si="61">IF(G969="","",MAX(0,G969-SUM(I969,K969)))</f>
        <v/>
      </c>
      <c r="M969" s="34" t="str">
        <f t="shared" ref="M969:M1008" ca="1" si="62">IF(G969="","",IF(L969=0,0,MAX(0,TODAY()-F969)))</f>
        <v/>
      </c>
      <c r="N969" s="34" t="str">
        <f t="shared" ref="N969:N1008" si="63">IF(G969="","",IF(L969=0,"Pagada",IF(M969&gt;0,"Vencida",IF(SUM(I969,K969)&gt;0,"Parcial","Pendiente"))))</f>
        <v/>
      </c>
      <c r="O969" s="25"/>
      <c r="P969" s="25"/>
    </row>
    <row r="970" spans="1:16" x14ac:dyDescent="0.25">
      <c r="A970" s="24"/>
      <c r="B970" s="24"/>
      <c r="C970" s="24"/>
      <c r="D970" s="34" t="str">
        <f>IF(C970="","",IFERROR(VLOOKUP(C970,CRM!$B$8:$O$1007,2,FALSE()),"Revisar ID"))</f>
        <v/>
      </c>
      <c r="E970" s="25"/>
      <c r="F970" s="34" t="str">
        <f t="shared" si="60"/>
        <v/>
      </c>
      <c r="G970" s="25"/>
      <c r="H970" s="25"/>
      <c r="I970" s="25"/>
      <c r="J970" s="25"/>
      <c r="K970" s="25"/>
      <c r="L970" s="34" t="str">
        <f t="shared" si="61"/>
        <v/>
      </c>
      <c r="M970" s="34" t="str">
        <f t="shared" ca="1" si="62"/>
        <v/>
      </c>
      <c r="N970" s="34" t="str">
        <f t="shared" si="63"/>
        <v/>
      </c>
      <c r="O970" s="25"/>
      <c r="P970" s="25"/>
    </row>
    <row r="971" spans="1:16" x14ac:dyDescent="0.25">
      <c r="A971" s="24"/>
      <c r="B971" s="24"/>
      <c r="C971" s="24"/>
      <c r="D971" s="34" t="str">
        <f>IF(C971="","",IFERROR(VLOOKUP(C971,CRM!$B$8:$O$1007,2,FALSE()),"Revisar ID"))</f>
        <v/>
      </c>
      <c r="E971" s="25"/>
      <c r="F971" s="34" t="str">
        <f t="shared" si="60"/>
        <v/>
      </c>
      <c r="G971" s="25"/>
      <c r="H971" s="25"/>
      <c r="I971" s="25"/>
      <c r="J971" s="25"/>
      <c r="K971" s="25"/>
      <c r="L971" s="34" t="str">
        <f t="shared" si="61"/>
        <v/>
      </c>
      <c r="M971" s="34" t="str">
        <f t="shared" ca="1" si="62"/>
        <v/>
      </c>
      <c r="N971" s="34" t="str">
        <f t="shared" si="63"/>
        <v/>
      </c>
      <c r="O971" s="25"/>
      <c r="P971" s="25"/>
    </row>
    <row r="972" spans="1:16" x14ac:dyDescent="0.25">
      <c r="A972" s="24"/>
      <c r="B972" s="24"/>
      <c r="C972" s="24"/>
      <c r="D972" s="34" t="str">
        <f>IF(C972="","",IFERROR(VLOOKUP(C972,CRM!$B$8:$O$1007,2,FALSE()),"Revisar ID"))</f>
        <v/>
      </c>
      <c r="E972" s="25"/>
      <c r="F972" s="34" t="str">
        <f t="shared" si="60"/>
        <v/>
      </c>
      <c r="G972" s="25"/>
      <c r="H972" s="25"/>
      <c r="I972" s="25"/>
      <c r="J972" s="25"/>
      <c r="K972" s="25"/>
      <c r="L972" s="34" t="str">
        <f t="shared" si="61"/>
        <v/>
      </c>
      <c r="M972" s="34" t="str">
        <f t="shared" ca="1" si="62"/>
        <v/>
      </c>
      <c r="N972" s="34" t="str">
        <f t="shared" si="63"/>
        <v/>
      </c>
      <c r="O972" s="25"/>
      <c r="P972" s="25"/>
    </row>
    <row r="973" spans="1:16" x14ac:dyDescent="0.25">
      <c r="A973" s="24"/>
      <c r="B973" s="24"/>
      <c r="C973" s="24"/>
      <c r="D973" s="34" t="str">
        <f>IF(C973="","",IFERROR(VLOOKUP(C973,CRM!$B$8:$O$1007,2,FALSE()),"Revisar ID"))</f>
        <v/>
      </c>
      <c r="E973" s="25"/>
      <c r="F973" s="34" t="str">
        <f t="shared" si="60"/>
        <v/>
      </c>
      <c r="G973" s="25"/>
      <c r="H973" s="25"/>
      <c r="I973" s="25"/>
      <c r="J973" s="25"/>
      <c r="K973" s="25"/>
      <c r="L973" s="34" t="str">
        <f t="shared" si="61"/>
        <v/>
      </c>
      <c r="M973" s="34" t="str">
        <f t="shared" ca="1" si="62"/>
        <v/>
      </c>
      <c r="N973" s="34" t="str">
        <f t="shared" si="63"/>
        <v/>
      </c>
      <c r="O973" s="25"/>
      <c r="P973" s="25"/>
    </row>
    <row r="974" spans="1:16" x14ac:dyDescent="0.25">
      <c r="A974" s="24"/>
      <c r="B974" s="24"/>
      <c r="C974" s="24"/>
      <c r="D974" s="34" t="str">
        <f>IF(C974="","",IFERROR(VLOOKUP(C974,CRM!$B$8:$O$1007,2,FALSE()),"Revisar ID"))</f>
        <v/>
      </c>
      <c r="E974" s="25"/>
      <c r="F974" s="34" t="str">
        <f t="shared" si="60"/>
        <v/>
      </c>
      <c r="G974" s="25"/>
      <c r="H974" s="25"/>
      <c r="I974" s="25"/>
      <c r="J974" s="25"/>
      <c r="K974" s="25"/>
      <c r="L974" s="34" t="str">
        <f t="shared" si="61"/>
        <v/>
      </c>
      <c r="M974" s="34" t="str">
        <f t="shared" ca="1" si="62"/>
        <v/>
      </c>
      <c r="N974" s="34" t="str">
        <f t="shared" si="63"/>
        <v/>
      </c>
      <c r="O974" s="25"/>
      <c r="P974" s="25"/>
    </row>
    <row r="975" spans="1:16" x14ac:dyDescent="0.25">
      <c r="A975" s="24"/>
      <c r="B975" s="24"/>
      <c r="C975" s="24"/>
      <c r="D975" s="34" t="str">
        <f>IF(C975="","",IFERROR(VLOOKUP(C975,CRM!$B$8:$O$1007,2,FALSE()),"Revisar ID"))</f>
        <v/>
      </c>
      <c r="E975" s="25"/>
      <c r="F975" s="34" t="str">
        <f t="shared" si="60"/>
        <v/>
      </c>
      <c r="G975" s="25"/>
      <c r="H975" s="25"/>
      <c r="I975" s="25"/>
      <c r="J975" s="25"/>
      <c r="K975" s="25"/>
      <c r="L975" s="34" t="str">
        <f t="shared" si="61"/>
        <v/>
      </c>
      <c r="M975" s="34" t="str">
        <f t="shared" ca="1" si="62"/>
        <v/>
      </c>
      <c r="N975" s="34" t="str">
        <f t="shared" si="63"/>
        <v/>
      </c>
      <c r="O975" s="25"/>
      <c r="P975" s="25"/>
    </row>
    <row r="976" spans="1:16" x14ac:dyDescent="0.25">
      <c r="A976" s="24"/>
      <c r="B976" s="24"/>
      <c r="C976" s="24"/>
      <c r="D976" s="34" t="str">
        <f>IF(C976="","",IFERROR(VLOOKUP(C976,CRM!$B$8:$O$1007,2,FALSE()),"Revisar ID"))</f>
        <v/>
      </c>
      <c r="E976" s="25"/>
      <c r="F976" s="34" t="str">
        <f t="shared" si="60"/>
        <v/>
      </c>
      <c r="G976" s="25"/>
      <c r="H976" s="25"/>
      <c r="I976" s="25"/>
      <c r="J976" s="25"/>
      <c r="K976" s="25"/>
      <c r="L976" s="34" t="str">
        <f t="shared" si="61"/>
        <v/>
      </c>
      <c r="M976" s="34" t="str">
        <f t="shared" ca="1" si="62"/>
        <v/>
      </c>
      <c r="N976" s="34" t="str">
        <f t="shared" si="63"/>
        <v/>
      </c>
      <c r="O976" s="25"/>
      <c r="P976" s="25"/>
    </row>
    <row r="977" spans="1:16" x14ac:dyDescent="0.25">
      <c r="A977" s="24"/>
      <c r="B977" s="24"/>
      <c r="C977" s="24"/>
      <c r="D977" s="34" t="str">
        <f>IF(C977="","",IFERROR(VLOOKUP(C977,CRM!$B$8:$O$1007,2,FALSE()),"Revisar ID"))</f>
        <v/>
      </c>
      <c r="E977" s="25"/>
      <c r="F977" s="34" t="str">
        <f t="shared" si="60"/>
        <v/>
      </c>
      <c r="G977" s="25"/>
      <c r="H977" s="25"/>
      <c r="I977" s="25"/>
      <c r="J977" s="25"/>
      <c r="K977" s="25"/>
      <c r="L977" s="34" t="str">
        <f t="shared" si="61"/>
        <v/>
      </c>
      <c r="M977" s="34" t="str">
        <f t="shared" ca="1" si="62"/>
        <v/>
      </c>
      <c r="N977" s="34" t="str">
        <f t="shared" si="63"/>
        <v/>
      </c>
      <c r="O977" s="25"/>
      <c r="P977" s="25"/>
    </row>
    <row r="978" spans="1:16" x14ac:dyDescent="0.25">
      <c r="A978" s="24"/>
      <c r="B978" s="24"/>
      <c r="C978" s="24"/>
      <c r="D978" s="34" t="str">
        <f>IF(C978="","",IFERROR(VLOOKUP(C978,CRM!$B$8:$O$1007,2,FALSE()),"Revisar ID"))</f>
        <v/>
      </c>
      <c r="E978" s="25"/>
      <c r="F978" s="34" t="str">
        <f t="shared" si="60"/>
        <v/>
      </c>
      <c r="G978" s="25"/>
      <c r="H978" s="25"/>
      <c r="I978" s="25"/>
      <c r="J978" s="25"/>
      <c r="K978" s="25"/>
      <c r="L978" s="34" t="str">
        <f t="shared" si="61"/>
        <v/>
      </c>
      <c r="M978" s="34" t="str">
        <f t="shared" ca="1" si="62"/>
        <v/>
      </c>
      <c r="N978" s="34" t="str">
        <f t="shared" si="63"/>
        <v/>
      </c>
      <c r="O978" s="25"/>
      <c r="P978" s="25"/>
    </row>
    <row r="979" spans="1:16" x14ac:dyDescent="0.25">
      <c r="A979" s="24"/>
      <c r="B979" s="24"/>
      <c r="C979" s="24"/>
      <c r="D979" s="34" t="str">
        <f>IF(C979="","",IFERROR(VLOOKUP(C979,CRM!$B$8:$O$1007,2,FALSE()),"Revisar ID"))</f>
        <v/>
      </c>
      <c r="E979" s="25"/>
      <c r="F979" s="34" t="str">
        <f t="shared" si="60"/>
        <v/>
      </c>
      <c r="G979" s="25"/>
      <c r="H979" s="25"/>
      <c r="I979" s="25"/>
      <c r="J979" s="25"/>
      <c r="K979" s="25"/>
      <c r="L979" s="34" t="str">
        <f t="shared" si="61"/>
        <v/>
      </c>
      <c r="M979" s="34" t="str">
        <f t="shared" ca="1" si="62"/>
        <v/>
      </c>
      <c r="N979" s="34" t="str">
        <f t="shared" si="63"/>
        <v/>
      </c>
      <c r="O979" s="25"/>
      <c r="P979" s="25"/>
    </row>
    <row r="980" spans="1:16" x14ac:dyDescent="0.25">
      <c r="A980" s="24"/>
      <c r="B980" s="24"/>
      <c r="C980" s="24"/>
      <c r="D980" s="34" t="str">
        <f>IF(C980="","",IFERROR(VLOOKUP(C980,CRM!$B$8:$O$1007,2,FALSE()),"Revisar ID"))</f>
        <v/>
      </c>
      <c r="E980" s="25"/>
      <c r="F980" s="34" t="str">
        <f t="shared" si="60"/>
        <v/>
      </c>
      <c r="G980" s="25"/>
      <c r="H980" s="25"/>
      <c r="I980" s="25"/>
      <c r="J980" s="25"/>
      <c r="K980" s="25"/>
      <c r="L980" s="34" t="str">
        <f t="shared" si="61"/>
        <v/>
      </c>
      <c r="M980" s="34" t="str">
        <f t="shared" ca="1" si="62"/>
        <v/>
      </c>
      <c r="N980" s="34" t="str">
        <f t="shared" si="63"/>
        <v/>
      </c>
      <c r="O980" s="25"/>
      <c r="P980" s="25"/>
    </row>
    <row r="981" spans="1:16" x14ac:dyDescent="0.25">
      <c r="A981" s="24"/>
      <c r="B981" s="24"/>
      <c r="C981" s="24"/>
      <c r="D981" s="34" t="str">
        <f>IF(C981="","",IFERROR(VLOOKUP(C981,CRM!$B$8:$O$1007,2,FALSE()),"Revisar ID"))</f>
        <v/>
      </c>
      <c r="E981" s="25"/>
      <c r="F981" s="34" t="str">
        <f t="shared" si="60"/>
        <v/>
      </c>
      <c r="G981" s="25"/>
      <c r="H981" s="25"/>
      <c r="I981" s="25"/>
      <c r="J981" s="25"/>
      <c r="K981" s="25"/>
      <c r="L981" s="34" t="str">
        <f t="shared" si="61"/>
        <v/>
      </c>
      <c r="M981" s="34" t="str">
        <f t="shared" ca="1" si="62"/>
        <v/>
      </c>
      <c r="N981" s="34" t="str">
        <f t="shared" si="63"/>
        <v/>
      </c>
      <c r="O981" s="25"/>
      <c r="P981" s="25"/>
    </row>
    <row r="982" spans="1:16" x14ac:dyDescent="0.25">
      <c r="A982" s="24"/>
      <c r="B982" s="24"/>
      <c r="C982" s="24"/>
      <c r="D982" s="34" t="str">
        <f>IF(C982="","",IFERROR(VLOOKUP(C982,CRM!$B$8:$O$1007,2,FALSE()),"Revisar ID"))</f>
        <v/>
      </c>
      <c r="E982" s="25"/>
      <c r="F982" s="34" t="str">
        <f t="shared" si="60"/>
        <v/>
      </c>
      <c r="G982" s="25"/>
      <c r="H982" s="25"/>
      <c r="I982" s="25"/>
      <c r="J982" s="25"/>
      <c r="K982" s="25"/>
      <c r="L982" s="34" t="str">
        <f t="shared" si="61"/>
        <v/>
      </c>
      <c r="M982" s="34" t="str">
        <f t="shared" ca="1" si="62"/>
        <v/>
      </c>
      <c r="N982" s="34" t="str">
        <f t="shared" si="63"/>
        <v/>
      </c>
      <c r="O982" s="25"/>
      <c r="P982" s="25"/>
    </row>
    <row r="983" spans="1:16" x14ac:dyDescent="0.25">
      <c r="A983" s="24"/>
      <c r="B983" s="24"/>
      <c r="C983" s="24"/>
      <c r="D983" s="34" t="str">
        <f>IF(C983="","",IFERROR(VLOOKUP(C983,CRM!$B$8:$O$1007,2,FALSE()),"Revisar ID"))</f>
        <v/>
      </c>
      <c r="E983" s="25"/>
      <c r="F983" s="34" t="str">
        <f t="shared" si="60"/>
        <v/>
      </c>
      <c r="G983" s="25"/>
      <c r="H983" s="25"/>
      <c r="I983" s="25"/>
      <c r="J983" s="25"/>
      <c r="K983" s="25"/>
      <c r="L983" s="34" t="str">
        <f t="shared" si="61"/>
        <v/>
      </c>
      <c r="M983" s="34" t="str">
        <f t="shared" ca="1" si="62"/>
        <v/>
      </c>
      <c r="N983" s="34" t="str">
        <f t="shared" si="63"/>
        <v/>
      </c>
      <c r="O983" s="25"/>
      <c r="P983" s="25"/>
    </row>
    <row r="984" spans="1:16" x14ac:dyDescent="0.25">
      <c r="A984" s="24"/>
      <c r="B984" s="24"/>
      <c r="C984" s="24"/>
      <c r="D984" s="34" t="str">
        <f>IF(C984="","",IFERROR(VLOOKUP(C984,CRM!$B$8:$O$1007,2,FALSE()),"Revisar ID"))</f>
        <v/>
      </c>
      <c r="E984" s="25"/>
      <c r="F984" s="34" t="str">
        <f t="shared" si="60"/>
        <v/>
      </c>
      <c r="G984" s="25"/>
      <c r="H984" s="25"/>
      <c r="I984" s="25"/>
      <c r="J984" s="25"/>
      <c r="K984" s="25"/>
      <c r="L984" s="34" t="str">
        <f t="shared" si="61"/>
        <v/>
      </c>
      <c r="M984" s="34" t="str">
        <f t="shared" ca="1" si="62"/>
        <v/>
      </c>
      <c r="N984" s="34" t="str">
        <f t="shared" si="63"/>
        <v/>
      </c>
      <c r="O984" s="25"/>
      <c r="P984" s="25"/>
    </row>
    <row r="985" spans="1:16" x14ac:dyDescent="0.25">
      <c r="A985" s="24"/>
      <c r="B985" s="24"/>
      <c r="C985" s="24"/>
      <c r="D985" s="34" t="str">
        <f>IF(C985="","",IFERROR(VLOOKUP(C985,CRM!$B$8:$O$1007,2,FALSE()),"Revisar ID"))</f>
        <v/>
      </c>
      <c r="E985" s="25"/>
      <c r="F985" s="34" t="str">
        <f t="shared" si="60"/>
        <v/>
      </c>
      <c r="G985" s="25"/>
      <c r="H985" s="25"/>
      <c r="I985" s="25"/>
      <c r="J985" s="25"/>
      <c r="K985" s="25"/>
      <c r="L985" s="34" t="str">
        <f t="shared" si="61"/>
        <v/>
      </c>
      <c r="M985" s="34" t="str">
        <f t="shared" ca="1" si="62"/>
        <v/>
      </c>
      <c r="N985" s="34" t="str">
        <f t="shared" si="63"/>
        <v/>
      </c>
      <c r="O985" s="25"/>
      <c r="P985" s="25"/>
    </row>
    <row r="986" spans="1:16" x14ac:dyDescent="0.25">
      <c r="A986" s="24"/>
      <c r="B986" s="24"/>
      <c r="C986" s="24"/>
      <c r="D986" s="34" t="str">
        <f>IF(C986="","",IFERROR(VLOOKUP(C986,CRM!$B$8:$O$1007,2,FALSE()),"Revisar ID"))</f>
        <v/>
      </c>
      <c r="E986" s="25"/>
      <c r="F986" s="34" t="str">
        <f t="shared" si="60"/>
        <v/>
      </c>
      <c r="G986" s="25"/>
      <c r="H986" s="25"/>
      <c r="I986" s="25"/>
      <c r="J986" s="25"/>
      <c r="K986" s="25"/>
      <c r="L986" s="34" t="str">
        <f t="shared" si="61"/>
        <v/>
      </c>
      <c r="M986" s="34" t="str">
        <f t="shared" ca="1" si="62"/>
        <v/>
      </c>
      <c r="N986" s="34" t="str">
        <f t="shared" si="63"/>
        <v/>
      </c>
      <c r="O986" s="25"/>
      <c r="P986" s="25"/>
    </row>
    <row r="987" spans="1:16" x14ac:dyDescent="0.25">
      <c r="A987" s="24"/>
      <c r="B987" s="24"/>
      <c r="C987" s="24"/>
      <c r="D987" s="34" t="str">
        <f>IF(C987="","",IFERROR(VLOOKUP(C987,CRM!$B$8:$O$1007,2,FALSE()),"Revisar ID"))</f>
        <v/>
      </c>
      <c r="E987" s="25"/>
      <c r="F987" s="34" t="str">
        <f t="shared" si="60"/>
        <v/>
      </c>
      <c r="G987" s="25"/>
      <c r="H987" s="25"/>
      <c r="I987" s="25"/>
      <c r="J987" s="25"/>
      <c r="K987" s="25"/>
      <c r="L987" s="34" t="str">
        <f t="shared" si="61"/>
        <v/>
      </c>
      <c r="M987" s="34" t="str">
        <f t="shared" ca="1" si="62"/>
        <v/>
      </c>
      <c r="N987" s="34" t="str">
        <f t="shared" si="63"/>
        <v/>
      </c>
      <c r="O987" s="25"/>
      <c r="P987" s="25"/>
    </row>
    <row r="988" spans="1:16" x14ac:dyDescent="0.25">
      <c r="A988" s="24"/>
      <c r="B988" s="24"/>
      <c r="C988" s="24"/>
      <c r="D988" s="34" t="str">
        <f>IF(C988="","",IFERROR(VLOOKUP(C988,CRM!$B$8:$O$1007,2,FALSE()),"Revisar ID"))</f>
        <v/>
      </c>
      <c r="E988" s="25"/>
      <c r="F988" s="34" t="str">
        <f t="shared" si="60"/>
        <v/>
      </c>
      <c r="G988" s="25"/>
      <c r="H988" s="25"/>
      <c r="I988" s="25"/>
      <c r="J988" s="25"/>
      <c r="K988" s="25"/>
      <c r="L988" s="34" t="str">
        <f t="shared" si="61"/>
        <v/>
      </c>
      <c r="M988" s="34" t="str">
        <f t="shared" ca="1" si="62"/>
        <v/>
      </c>
      <c r="N988" s="34" t="str">
        <f t="shared" si="63"/>
        <v/>
      </c>
      <c r="O988" s="25"/>
      <c r="P988" s="25"/>
    </row>
    <row r="989" spans="1:16" x14ac:dyDescent="0.25">
      <c r="A989" s="24"/>
      <c r="B989" s="24"/>
      <c r="C989" s="24"/>
      <c r="D989" s="34" t="str">
        <f>IF(C989="","",IFERROR(VLOOKUP(C989,CRM!$B$8:$O$1007,2,FALSE()),"Revisar ID"))</f>
        <v/>
      </c>
      <c r="E989" s="25"/>
      <c r="F989" s="34" t="str">
        <f t="shared" si="60"/>
        <v/>
      </c>
      <c r="G989" s="25"/>
      <c r="H989" s="25"/>
      <c r="I989" s="25"/>
      <c r="J989" s="25"/>
      <c r="K989" s="25"/>
      <c r="L989" s="34" t="str">
        <f t="shared" si="61"/>
        <v/>
      </c>
      <c r="M989" s="34" t="str">
        <f t="shared" ca="1" si="62"/>
        <v/>
      </c>
      <c r="N989" s="34" t="str">
        <f t="shared" si="63"/>
        <v/>
      </c>
      <c r="O989" s="25"/>
      <c r="P989" s="25"/>
    </row>
    <row r="990" spans="1:16" x14ac:dyDescent="0.25">
      <c r="A990" s="24"/>
      <c r="B990" s="24"/>
      <c r="C990" s="24"/>
      <c r="D990" s="34" t="str">
        <f>IF(C990="","",IFERROR(VLOOKUP(C990,CRM!$B$8:$O$1007,2,FALSE()),"Revisar ID"))</f>
        <v/>
      </c>
      <c r="E990" s="25"/>
      <c r="F990" s="34" t="str">
        <f t="shared" si="60"/>
        <v/>
      </c>
      <c r="G990" s="25"/>
      <c r="H990" s="25"/>
      <c r="I990" s="25"/>
      <c r="J990" s="25"/>
      <c r="K990" s="25"/>
      <c r="L990" s="34" t="str">
        <f t="shared" si="61"/>
        <v/>
      </c>
      <c r="M990" s="34" t="str">
        <f t="shared" ca="1" si="62"/>
        <v/>
      </c>
      <c r="N990" s="34" t="str">
        <f t="shared" si="63"/>
        <v/>
      </c>
      <c r="O990" s="25"/>
      <c r="P990" s="25"/>
    </row>
    <row r="991" spans="1:16" x14ac:dyDescent="0.25">
      <c r="A991" s="24"/>
      <c r="B991" s="24"/>
      <c r="C991" s="24"/>
      <c r="D991" s="34" t="str">
        <f>IF(C991="","",IFERROR(VLOOKUP(C991,CRM!$B$8:$O$1007,2,FALSE()),"Revisar ID"))</f>
        <v/>
      </c>
      <c r="E991" s="25"/>
      <c r="F991" s="34" t="str">
        <f t="shared" si="60"/>
        <v/>
      </c>
      <c r="G991" s="25"/>
      <c r="H991" s="25"/>
      <c r="I991" s="25"/>
      <c r="J991" s="25"/>
      <c r="K991" s="25"/>
      <c r="L991" s="34" t="str">
        <f t="shared" si="61"/>
        <v/>
      </c>
      <c r="M991" s="34" t="str">
        <f t="shared" ca="1" si="62"/>
        <v/>
      </c>
      <c r="N991" s="34" t="str">
        <f t="shared" si="63"/>
        <v/>
      </c>
      <c r="O991" s="25"/>
      <c r="P991" s="25"/>
    </row>
    <row r="992" spans="1:16" x14ac:dyDescent="0.25">
      <c r="A992" s="24"/>
      <c r="B992" s="24"/>
      <c r="C992" s="24"/>
      <c r="D992" s="34" t="str">
        <f>IF(C992="","",IFERROR(VLOOKUP(C992,CRM!$B$8:$O$1007,2,FALSE()),"Revisar ID"))</f>
        <v/>
      </c>
      <c r="E992" s="25"/>
      <c r="F992" s="34" t="str">
        <f t="shared" si="60"/>
        <v/>
      </c>
      <c r="G992" s="25"/>
      <c r="H992" s="25"/>
      <c r="I992" s="25"/>
      <c r="J992" s="25"/>
      <c r="K992" s="25"/>
      <c r="L992" s="34" t="str">
        <f t="shared" si="61"/>
        <v/>
      </c>
      <c r="M992" s="34" t="str">
        <f t="shared" ca="1" si="62"/>
        <v/>
      </c>
      <c r="N992" s="34" t="str">
        <f t="shared" si="63"/>
        <v/>
      </c>
      <c r="O992" s="25"/>
      <c r="P992" s="25"/>
    </row>
    <row r="993" spans="1:16" x14ac:dyDescent="0.25">
      <c r="A993" s="24"/>
      <c r="B993" s="24"/>
      <c r="C993" s="24"/>
      <c r="D993" s="34" t="str">
        <f>IF(C993="","",IFERROR(VLOOKUP(C993,CRM!$B$8:$O$1007,2,FALSE()),"Revisar ID"))</f>
        <v/>
      </c>
      <c r="E993" s="25"/>
      <c r="F993" s="34" t="str">
        <f t="shared" si="60"/>
        <v/>
      </c>
      <c r="G993" s="25"/>
      <c r="H993" s="25"/>
      <c r="I993" s="25"/>
      <c r="J993" s="25"/>
      <c r="K993" s="25"/>
      <c r="L993" s="34" t="str">
        <f t="shared" si="61"/>
        <v/>
      </c>
      <c r="M993" s="34" t="str">
        <f t="shared" ca="1" si="62"/>
        <v/>
      </c>
      <c r="N993" s="34" t="str">
        <f t="shared" si="63"/>
        <v/>
      </c>
      <c r="O993" s="25"/>
      <c r="P993" s="25"/>
    </row>
    <row r="994" spans="1:16" x14ac:dyDescent="0.25">
      <c r="A994" s="24"/>
      <c r="B994" s="24"/>
      <c r="C994" s="24"/>
      <c r="D994" s="34" t="str">
        <f>IF(C994="","",IFERROR(VLOOKUP(C994,CRM!$B$8:$O$1007,2,FALSE()),"Revisar ID"))</f>
        <v/>
      </c>
      <c r="E994" s="25"/>
      <c r="F994" s="34" t="str">
        <f t="shared" si="60"/>
        <v/>
      </c>
      <c r="G994" s="25"/>
      <c r="H994" s="25"/>
      <c r="I994" s="25"/>
      <c r="J994" s="25"/>
      <c r="K994" s="25"/>
      <c r="L994" s="34" t="str">
        <f t="shared" si="61"/>
        <v/>
      </c>
      <c r="M994" s="34" t="str">
        <f t="shared" ca="1" si="62"/>
        <v/>
      </c>
      <c r="N994" s="34" t="str">
        <f t="shared" si="63"/>
        <v/>
      </c>
      <c r="O994" s="25"/>
      <c r="P994" s="25"/>
    </row>
    <row r="995" spans="1:16" x14ac:dyDescent="0.25">
      <c r="A995" s="24"/>
      <c r="B995" s="24"/>
      <c r="C995" s="24"/>
      <c r="D995" s="34" t="str">
        <f>IF(C995="","",IFERROR(VLOOKUP(C995,CRM!$B$8:$O$1007,2,FALSE()),"Revisar ID"))</f>
        <v/>
      </c>
      <c r="E995" s="25"/>
      <c r="F995" s="34" t="str">
        <f t="shared" si="60"/>
        <v/>
      </c>
      <c r="G995" s="25"/>
      <c r="H995" s="25"/>
      <c r="I995" s="25"/>
      <c r="J995" s="25"/>
      <c r="K995" s="25"/>
      <c r="L995" s="34" t="str">
        <f t="shared" si="61"/>
        <v/>
      </c>
      <c r="M995" s="34" t="str">
        <f t="shared" ca="1" si="62"/>
        <v/>
      </c>
      <c r="N995" s="34" t="str">
        <f t="shared" si="63"/>
        <v/>
      </c>
      <c r="O995" s="25"/>
      <c r="P995" s="25"/>
    </row>
    <row r="996" spans="1:16" x14ac:dyDescent="0.25">
      <c r="A996" s="24"/>
      <c r="B996" s="24"/>
      <c r="C996" s="24"/>
      <c r="D996" s="34" t="str">
        <f>IF(C996="","",IFERROR(VLOOKUP(C996,CRM!$B$8:$O$1007,2,FALSE()),"Revisar ID"))</f>
        <v/>
      </c>
      <c r="E996" s="25"/>
      <c r="F996" s="34" t="str">
        <f t="shared" si="60"/>
        <v/>
      </c>
      <c r="G996" s="25"/>
      <c r="H996" s="25"/>
      <c r="I996" s="25"/>
      <c r="J996" s="25"/>
      <c r="K996" s="25"/>
      <c r="L996" s="34" t="str">
        <f t="shared" si="61"/>
        <v/>
      </c>
      <c r="M996" s="34" t="str">
        <f t="shared" ca="1" si="62"/>
        <v/>
      </c>
      <c r="N996" s="34" t="str">
        <f t="shared" si="63"/>
        <v/>
      </c>
      <c r="O996" s="25"/>
      <c r="P996" s="25"/>
    </row>
    <row r="997" spans="1:16" x14ac:dyDescent="0.25">
      <c r="A997" s="24"/>
      <c r="B997" s="24"/>
      <c r="C997" s="24"/>
      <c r="D997" s="34" t="str">
        <f>IF(C997="","",IFERROR(VLOOKUP(C997,CRM!$B$8:$O$1007,2,FALSE()),"Revisar ID"))</f>
        <v/>
      </c>
      <c r="E997" s="25"/>
      <c r="F997" s="34" t="str">
        <f t="shared" si="60"/>
        <v/>
      </c>
      <c r="G997" s="25"/>
      <c r="H997" s="25"/>
      <c r="I997" s="25"/>
      <c r="J997" s="25"/>
      <c r="K997" s="25"/>
      <c r="L997" s="34" t="str">
        <f t="shared" si="61"/>
        <v/>
      </c>
      <c r="M997" s="34" t="str">
        <f t="shared" ca="1" si="62"/>
        <v/>
      </c>
      <c r="N997" s="34" t="str">
        <f t="shared" si="63"/>
        <v/>
      </c>
      <c r="O997" s="25"/>
      <c r="P997" s="25"/>
    </row>
    <row r="998" spans="1:16" x14ac:dyDescent="0.25">
      <c r="A998" s="24"/>
      <c r="B998" s="24"/>
      <c r="C998" s="24"/>
      <c r="D998" s="34" t="str">
        <f>IF(C998="","",IFERROR(VLOOKUP(C998,CRM!$B$8:$O$1007,2,FALSE()),"Revisar ID"))</f>
        <v/>
      </c>
      <c r="E998" s="25"/>
      <c r="F998" s="34" t="str">
        <f t="shared" si="60"/>
        <v/>
      </c>
      <c r="G998" s="25"/>
      <c r="H998" s="25"/>
      <c r="I998" s="25"/>
      <c r="J998" s="25"/>
      <c r="K998" s="25"/>
      <c r="L998" s="34" t="str">
        <f t="shared" si="61"/>
        <v/>
      </c>
      <c r="M998" s="34" t="str">
        <f t="shared" ca="1" si="62"/>
        <v/>
      </c>
      <c r="N998" s="34" t="str">
        <f t="shared" si="63"/>
        <v/>
      </c>
      <c r="O998" s="25"/>
      <c r="P998" s="25"/>
    </row>
    <row r="999" spans="1:16" x14ac:dyDescent="0.25">
      <c r="A999" s="24"/>
      <c r="B999" s="24"/>
      <c r="C999" s="24"/>
      <c r="D999" s="34" t="str">
        <f>IF(C999="","",IFERROR(VLOOKUP(C999,CRM!$B$8:$O$1007,2,FALSE()),"Revisar ID"))</f>
        <v/>
      </c>
      <c r="E999" s="25"/>
      <c r="F999" s="34" t="str">
        <f t="shared" si="60"/>
        <v/>
      </c>
      <c r="G999" s="25"/>
      <c r="H999" s="25"/>
      <c r="I999" s="25"/>
      <c r="J999" s="25"/>
      <c r="K999" s="25"/>
      <c r="L999" s="34" t="str">
        <f t="shared" si="61"/>
        <v/>
      </c>
      <c r="M999" s="34" t="str">
        <f t="shared" ca="1" si="62"/>
        <v/>
      </c>
      <c r="N999" s="34" t="str">
        <f t="shared" si="63"/>
        <v/>
      </c>
      <c r="O999" s="25"/>
      <c r="P999" s="25"/>
    </row>
    <row r="1000" spans="1:16" x14ac:dyDescent="0.25">
      <c r="A1000" s="24"/>
      <c r="B1000" s="24"/>
      <c r="C1000" s="24"/>
      <c r="D1000" s="34" t="str">
        <f>IF(C1000="","",IFERROR(VLOOKUP(C1000,CRM!$B$8:$O$1007,2,FALSE()),"Revisar ID"))</f>
        <v/>
      </c>
      <c r="E1000" s="25"/>
      <c r="F1000" s="34" t="str">
        <f t="shared" si="60"/>
        <v/>
      </c>
      <c r="G1000" s="25"/>
      <c r="H1000" s="25"/>
      <c r="I1000" s="25"/>
      <c r="J1000" s="25"/>
      <c r="K1000" s="25"/>
      <c r="L1000" s="34" t="str">
        <f t="shared" si="61"/>
        <v/>
      </c>
      <c r="M1000" s="34" t="str">
        <f t="shared" ca="1" si="62"/>
        <v/>
      </c>
      <c r="N1000" s="34" t="str">
        <f t="shared" si="63"/>
        <v/>
      </c>
      <c r="O1000" s="25"/>
      <c r="P1000" s="25"/>
    </row>
    <row r="1001" spans="1:16" x14ac:dyDescent="0.25">
      <c r="A1001" s="24"/>
      <c r="B1001" s="24"/>
      <c r="C1001" s="24"/>
      <c r="D1001" s="34" t="str">
        <f>IF(C1001="","",IFERROR(VLOOKUP(C1001,CRM!$B$8:$O$1007,2,FALSE()),"Revisar ID"))</f>
        <v/>
      </c>
      <c r="E1001" s="25"/>
      <c r="F1001" s="34" t="str">
        <f t="shared" si="60"/>
        <v/>
      </c>
      <c r="G1001" s="25"/>
      <c r="H1001" s="25"/>
      <c r="I1001" s="25"/>
      <c r="J1001" s="25"/>
      <c r="K1001" s="25"/>
      <c r="L1001" s="34" t="str">
        <f t="shared" si="61"/>
        <v/>
      </c>
      <c r="M1001" s="34" t="str">
        <f t="shared" ca="1" si="62"/>
        <v/>
      </c>
      <c r="N1001" s="34" t="str">
        <f t="shared" si="63"/>
        <v/>
      </c>
      <c r="O1001" s="25"/>
      <c r="P1001" s="25"/>
    </row>
    <row r="1002" spans="1:16" x14ac:dyDescent="0.25">
      <c r="A1002" s="24"/>
      <c r="B1002" s="24"/>
      <c r="C1002" s="24"/>
      <c r="D1002" s="34" t="str">
        <f>IF(C1002="","",IFERROR(VLOOKUP(C1002,CRM!$B$8:$O$1007,2,FALSE()),"Revisar ID"))</f>
        <v/>
      </c>
      <c r="E1002" s="25"/>
      <c r="F1002" s="34" t="str">
        <f t="shared" si="60"/>
        <v/>
      </c>
      <c r="G1002" s="25"/>
      <c r="H1002" s="25"/>
      <c r="I1002" s="25"/>
      <c r="J1002" s="25"/>
      <c r="K1002" s="25"/>
      <c r="L1002" s="34" t="str">
        <f t="shared" si="61"/>
        <v/>
      </c>
      <c r="M1002" s="34" t="str">
        <f t="shared" ca="1" si="62"/>
        <v/>
      </c>
      <c r="N1002" s="34" t="str">
        <f t="shared" si="63"/>
        <v/>
      </c>
      <c r="O1002" s="25"/>
      <c r="P1002" s="25"/>
    </row>
    <row r="1003" spans="1:16" x14ac:dyDescent="0.25">
      <c r="A1003" s="24"/>
      <c r="B1003" s="24"/>
      <c r="C1003" s="24"/>
      <c r="D1003" s="34" t="str">
        <f>IF(C1003="","",IFERROR(VLOOKUP(C1003,CRM!$B$8:$O$1007,2,FALSE()),"Revisar ID"))</f>
        <v/>
      </c>
      <c r="E1003" s="25"/>
      <c r="F1003" s="34" t="str">
        <f t="shared" si="60"/>
        <v/>
      </c>
      <c r="G1003" s="25"/>
      <c r="H1003" s="25"/>
      <c r="I1003" s="25"/>
      <c r="J1003" s="25"/>
      <c r="K1003" s="25"/>
      <c r="L1003" s="34" t="str">
        <f t="shared" si="61"/>
        <v/>
      </c>
      <c r="M1003" s="34" t="str">
        <f t="shared" ca="1" si="62"/>
        <v/>
      </c>
      <c r="N1003" s="34" t="str">
        <f t="shared" si="63"/>
        <v/>
      </c>
      <c r="O1003" s="25"/>
      <c r="P1003" s="25"/>
    </row>
    <row r="1004" spans="1:16" x14ac:dyDescent="0.25">
      <c r="A1004" s="24"/>
      <c r="B1004" s="24"/>
      <c r="C1004" s="24"/>
      <c r="D1004" s="34" t="str">
        <f>IF(C1004="","",IFERROR(VLOOKUP(C1004,CRM!$B$8:$O$1007,2,FALSE()),"Revisar ID"))</f>
        <v/>
      </c>
      <c r="E1004" s="25"/>
      <c r="F1004" s="34" t="str">
        <f t="shared" si="60"/>
        <v/>
      </c>
      <c r="G1004" s="25"/>
      <c r="H1004" s="25"/>
      <c r="I1004" s="25"/>
      <c r="J1004" s="25"/>
      <c r="K1004" s="25"/>
      <c r="L1004" s="34" t="str">
        <f t="shared" si="61"/>
        <v/>
      </c>
      <c r="M1004" s="34" t="str">
        <f t="shared" ca="1" si="62"/>
        <v/>
      </c>
      <c r="N1004" s="34" t="str">
        <f t="shared" si="63"/>
        <v/>
      </c>
      <c r="O1004" s="25"/>
      <c r="P1004" s="25"/>
    </row>
    <row r="1005" spans="1:16" x14ac:dyDescent="0.25">
      <c r="A1005" s="24"/>
      <c r="B1005" s="24"/>
      <c r="C1005" s="24"/>
      <c r="D1005" s="34" t="str">
        <f>IF(C1005="","",IFERROR(VLOOKUP(C1005,CRM!$B$8:$O$1007,2,FALSE()),"Revisar ID"))</f>
        <v/>
      </c>
      <c r="E1005" s="25"/>
      <c r="F1005" s="34" t="str">
        <f t="shared" si="60"/>
        <v/>
      </c>
      <c r="G1005" s="25"/>
      <c r="H1005" s="25"/>
      <c r="I1005" s="25"/>
      <c r="J1005" s="25"/>
      <c r="K1005" s="25"/>
      <c r="L1005" s="34" t="str">
        <f t="shared" si="61"/>
        <v/>
      </c>
      <c r="M1005" s="34" t="str">
        <f t="shared" ca="1" si="62"/>
        <v/>
      </c>
      <c r="N1005" s="34" t="str">
        <f t="shared" si="63"/>
        <v/>
      </c>
      <c r="O1005" s="25"/>
      <c r="P1005" s="25"/>
    </row>
    <row r="1006" spans="1:16" x14ac:dyDescent="0.25">
      <c r="A1006" s="24"/>
      <c r="B1006" s="24"/>
      <c r="C1006" s="24"/>
      <c r="D1006" s="34" t="str">
        <f>IF(C1006="","",IFERROR(VLOOKUP(C1006,CRM!$B$8:$O$1007,2,FALSE()),"Revisar ID"))</f>
        <v/>
      </c>
      <c r="E1006" s="25"/>
      <c r="F1006" s="34" t="str">
        <f t="shared" si="60"/>
        <v/>
      </c>
      <c r="G1006" s="25"/>
      <c r="H1006" s="25"/>
      <c r="I1006" s="25"/>
      <c r="J1006" s="25"/>
      <c r="K1006" s="25"/>
      <c r="L1006" s="34" t="str">
        <f t="shared" si="61"/>
        <v/>
      </c>
      <c r="M1006" s="34" t="str">
        <f t="shared" ca="1" si="62"/>
        <v/>
      </c>
      <c r="N1006" s="34" t="str">
        <f t="shared" si="63"/>
        <v/>
      </c>
      <c r="O1006" s="25"/>
      <c r="P1006" s="25"/>
    </row>
    <row r="1007" spans="1:16" x14ac:dyDescent="0.25">
      <c r="A1007" s="24"/>
      <c r="B1007" s="24"/>
      <c r="C1007" s="24"/>
      <c r="D1007" s="34" t="str">
        <f>IF(C1007="","",IFERROR(VLOOKUP(C1007,CRM!$B$8:$O$1007,2,FALSE()),"Revisar ID"))</f>
        <v/>
      </c>
      <c r="E1007" s="25"/>
      <c r="F1007" s="34" t="str">
        <f t="shared" si="60"/>
        <v/>
      </c>
      <c r="G1007" s="25"/>
      <c r="H1007" s="25"/>
      <c r="I1007" s="25"/>
      <c r="J1007" s="25"/>
      <c r="K1007" s="25"/>
      <c r="L1007" s="34" t="str">
        <f t="shared" si="61"/>
        <v/>
      </c>
      <c r="M1007" s="34" t="str">
        <f t="shared" ca="1" si="62"/>
        <v/>
      </c>
      <c r="N1007" s="34" t="str">
        <f t="shared" si="63"/>
        <v/>
      </c>
      <c r="O1007" s="25"/>
      <c r="P1007" s="25"/>
    </row>
    <row r="1008" spans="1:16" x14ac:dyDescent="0.25">
      <c r="A1008" s="24"/>
      <c r="B1008" s="24"/>
      <c r="C1008" s="24"/>
      <c r="D1008" s="34" t="str">
        <f>IF(C1008="","",IFERROR(VLOOKUP(C1008,CRM!$B$8:$O$1007,2,FALSE()),"Revisar ID"))</f>
        <v/>
      </c>
      <c r="E1008" s="25"/>
      <c r="F1008" s="34" t="str">
        <f t="shared" si="60"/>
        <v/>
      </c>
      <c r="G1008" s="25"/>
      <c r="H1008" s="25"/>
      <c r="I1008" s="25"/>
      <c r="J1008" s="25"/>
      <c r="K1008" s="25"/>
      <c r="L1008" s="34" t="str">
        <f t="shared" si="61"/>
        <v/>
      </c>
      <c r="M1008" s="34" t="str">
        <f t="shared" ca="1" si="62"/>
        <v/>
      </c>
      <c r="N1008" s="34" t="str">
        <f t="shared" si="63"/>
        <v/>
      </c>
      <c r="O1008" s="25"/>
      <c r="P1008" s="25"/>
    </row>
    <row r="1009" spans="1:3" x14ac:dyDescent="0.25">
      <c r="A1009" s="24"/>
      <c r="B1009" s="24"/>
      <c r="C1009" s="24"/>
    </row>
  </sheetData>
  <mergeCells count="10">
    <mergeCell ref="A5:C5"/>
    <mergeCell ref="D5:F5"/>
    <mergeCell ref="G5:I5"/>
    <mergeCell ref="J5:L5"/>
    <mergeCell ref="A1:P1"/>
    <mergeCell ref="A2:P2"/>
    <mergeCell ref="A4:C4"/>
    <mergeCell ref="D4:F4"/>
    <mergeCell ref="G4:I4"/>
    <mergeCell ref="J4:L4"/>
  </mergeCells>
  <conditionalFormatting sqref="M9:M808">
    <cfRule type="cellIs" dxfId="17" priority="9" operator="greaterThan">
      <formula>0</formula>
    </cfRule>
  </conditionalFormatting>
  <conditionalFormatting sqref="N9:N808">
    <cfRule type="expression" dxfId="16" priority="2">
      <formula>N9="Pagada"</formula>
    </cfRule>
    <cfRule type="expression" dxfId="15" priority="3">
      <formula>N9="Pendiente"</formula>
    </cfRule>
    <cfRule type="expression" dxfId="14" priority="4">
      <formula>N9="Parcial"</formula>
    </cfRule>
    <cfRule type="expression" dxfId="13" priority="5">
      <formula>N9="Vencida"</formula>
    </cfRule>
    <cfRule type="expression" dxfId="12" priority="6">
      <formula>N9="Vencida"</formula>
    </cfRule>
    <cfRule type="expression" dxfId="11" priority="7">
      <formula>N9="Pagada"</formula>
    </cfRule>
    <cfRule type="expression" dxfId="10" priority="8">
      <formula>N9="Parcial"</formula>
    </cfRule>
  </conditionalFormatting>
  <dataValidations count="3">
    <dataValidation type="list" allowBlank="1" sqref="C9:C1008" xr:uid="{00000000-0002-0000-0400-000000000000}">
      <formula1>Lista_IDCliente</formula1>
      <formula2>0</formula2>
    </dataValidation>
    <dataValidation type="list" allowBlank="1" sqref="E9:E1008" xr:uid="{00000000-0002-0000-0400-000001000000}">
      <formula1>Lista_CondicionPago</formula1>
      <formula2>0</formula2>
    </dataValidation>
    <dataValidation type="list" allowBlank="1" sqref="O9:O1008" xr:uid="{00000000-0002-0000-0400-000002000000}">
      <formula1>Lista_Responsable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64"/>
  <sheetViews>
    <sheetView showGridLines="0" zoomScaleNormal="100" workbookViewId="0">
      <selection activeCell="G14" sqref="G14"/>
    </sheetView>
  </sheetViews>
  <sheetFormatPr baseColWidth="10" defaultColWidth="9.140625" defaultRowHeight="15" x14ac:dyDescent="0.25"/>
  <cols>
    <col min="1" max="14" width="16" customWidth="1"/>
  </cols>
  <sheetData>
    <row r="1" spans="1:14" ht="21.75" customHeight="1" x14ac:dyDescent="0.25">
      <c r="A1" s="46" t="s">
        <v>162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21.75" customHeight="1" x14ac:dyDescent="0.25">
      <c r="A2" s="47" t="s">
        <v>163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21.75" customHeight="1" x14ac:dyDescent="0.25"/>
    <row r="4" spans="1:14" ht="21.75" customHeight="1" x14ac:dyDescent="0.25">
      <c r="B4" s="4" t="s">
        <v>164</v>
      </c>
      <c r="C4" s="4" t="s">
        <v>165</v>
      </c>
      <c r="E4" s="14" t="s">
        <v>166</v>
      </c>
      <c r="F4" s="14"/>
      <c r="G4" s="14"/>
      <c r="H4" s="14"/>
      <c r="I4" s="14"/>
      <c r="J4" s="14"/>
      <c r="K4" s="14"/>
      <c r="L4" s="14"/>
    </row>
    <row r="5" spans="1:14" ht="30" customHeight="1" x14ac:dyDescent="0.25">
      <c r="B5" s="34" t="s">
        <v>89</v>
      </c>
      <c r="C5" s="3">
        <f>Dashboard!B5</f>
        <v>10</v>
      </c>
      <c r="E5" s="57" t="s">
        <v>167</v>
      </c>
      <c r="F5" s="58"/>
      <c r="G5" s="58"/>
      <c r="H5" s="58"/>
      <c r="I5" s="58"/>
      <c r="J5" s="58"/>
      <c r="K5" s="58"/>
      <c r="L5" s="59"/>
    </row>
    <row r="6" spans="1:14" ht="21.75" customHeight="1" x14ac:dyDescent="0.25">
      <c r="B6" s="34" t="s">
        <v>27</v>
      </c>
      <c r="C6" s="2">
        <f>Dashboard!E5</f>
        <v>11250000</v>
      </c>
      <c r="E6" s="60"/>
      <c r="F6" s="61"/>
      <c r="G6" s="61"/>
      <c r="H6" s="61"/>
      <c r="I6" s="61"/>
      <c r="J6" s="61"/>
      <c r="K6" s="61"/>
      <c r="L6" s="62"/>
    </row>
    <row r="7" spans="1:14" ht="21.75" customHeight="1" x14ac:dyDescent="0.25">
      <c r="B7" s="34" t="s">
        <v>28</v>
      </c>
      <c r="C7" s="2">
        <f>Dashboard!H5</f>
        <v>5950000</v>
      </c>
      <c r="E7" s="60"/>
      <c r="F7" s="61"/>
      <c r="G7" s="61"/>
      <c r="H7" s="61"/>
      <c r="I7" s="61"/>
      <c r="J7" s="61"/>
      <c r="K7" s="61"/>
      <c r="L7" s="62"/>
    </row>
    <row r="8" spans="1:14" ht="21.75" customHeight="1" x14ac:dyDescent="0.25">
      <c r="B8" s="34" t="s">
        <v>29</v>
      </c>
      <c r="C8" s="2">
        <f>Dashboard!K5</f>
        <v>1900000</v>
      </c>
      <c r="E8" s="60"/>
      <c r="F8" s="61"/>
      <c r="G8" s="61"/>
      <c r="H8" s="61"/>
      <c r="I8" s="61"/>
      <c r="J8" s="61"/>
      <c r="K8" s="61"/>
      <c r="L8" s="62"/>
    </row>
    <row r="9" spans="1:14" ht="30" customHeight="1" x14ac:dyDescent="0.25">
      <c r="B9" s="34" t="s">
        <v>30</v>
      </c>
      <c r="C9" s="2">
        <f>Dashboard!B9</f>
        <v>3500000</v>
      </c>
      <c r="E9" s="60"/>
      <c r="F9" s="61"/>
      <c r="G9" s="61"/>
      <c r="H9" s="61"/>
      <c r="I9" s="61"/>
      <c r="J9" s="61"/>
      <c r="K9" s="61"/>
      <c r="L9" s="62"/>
    </row>
    <row r="10" spans="1:14" ht="21.75" customHeight="1" x14ac:dyDescent="0.25">
      <c r="B10" s="34" t="s">
        <v>31</v>
      </c>
      <c r="C10" s="2">
        <f ca="1">Dashboard!E9</f>
        <v>1100000</v>
      </c>
      <c r="E10" s="60"/>
      <c r="F10" s="61"/>
      <c r="G10" s="61"/>
      <c r="H10" s="61"/>
      <c r="I10" s="61"/>
      <c r="J10" s="61"/>
      <c r="K10" s="61"/>
      <c r="L10" s="62"/>
    </row>
    <row r="11" spans="1:14" ht="21.75" customHeight="1" x14ac:dyDescent="0.25">
      <c r="B11" s="34" t="s">
        <v>32</v>
      </c>
      <c r="C11" s="3">
        <f ca="1">Dashboard!H9</f>
        <v>1</v>
      </c>
      <c r="E11" s="60"/>
      <c r="F11" s="61"/>
      <c r="G11" s="61"/>
      <c r="H11" s="61"/>
      <c r="I11" s="61"/>
      <c r="J11" s="61"/>
      <c r="K11" s="61"/>
      <c r="L11" s="62"/>
    </row>
    <row r="12" spans="1:14" ht="21.75" customHeight="1" x14ac:dyDescent="0.25">
      <c r="B12" s="34" t="s">
        <v>168</v>
      </c>
      <c r="C12" s="1">
        <f>Dashboard!K9</f>
        <v>0.2</v>
      </c>
      <c r="E12" s="63"/>
      <c r="F12" s="64"/>
      <c r="G12" s="64"/>
      <c r="H12" s="64"/>
      <c r="I12" s="64"/>
      <c r="J12" s="64"/>
      <c r="K12" s="64"/>
      <c r="L12" s="65"/>
    </row>
    <row r="13" spans="1:14" ht="21.75" customHeight="1" x14ac:dyDescent="0.25"/>
    <row r="14" spans="1:14" ht="21.75" customHeight="1" x14ac:dyDescent="0.25"/>
    <row r="15" spans="1:14" ht="21.75" customHeight="1" x14ac:dyDescent="0.25"/>
    <row r="16" spans="1:14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  <row r="855" ht="21.75" customHeight="1" x14ac:dyDescent="0.25"/>
    <row r="856" ht="21.75" customHeight="1" x14ac:dyDescent="0.25"/>
    <row r="857" ht="21.75" customHeight="1" x14ac:dyDescent="0.25"/>
    <row r="858" ht="21.75" customHeight="1" x14ac:dyDescent="0.25"/>
    <row r="859" ht="21.75" customHeight="1" x14ac:dyDescent="0.25"/>
    <row r="860" ht="21.75" customHeight="1" x14ac:dyDescent="0.25"/>
    <row r="861" ht="21.75" customHeight="1" x14ac:dyDescent="0.25"/>
    <row r="862" ht="21.75" customHeight="1" x14ac:dyDescent="0.25"/>
    <row r="863" ht="21.75" customHeight="1" x14ac:dyDescent="0.25"/>
    <row r="864" ht="21.75" customHeight="1" x14ac:dyDescent="0.25"/>
  </sheetData>
  <mergeCells count="4">
    <mergeCell ref="A1:N1"/>
    <mergeCell ref="A2:N2"/>
    <mergeCell ref="E4:L4"/>
    <mergeCell ref="E5:L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Inicio</vt:lpstr>
      <vt:lpstr>Dashboard</vt:lpstr>
      <vt:lpstr>Parametros</vt:lpstr>
      <vt:lpstr>CRM</vt:lpstr>
      <vt:lpstr>Cobranza</vt:lpstr>
      <vt:lpstr>Reporte</vt:lpstr>
      <vt:lpstr>Lista_Canal</vt:lpstr>
      <vt:lpstr>Lista_CondicionPago</vt:lpstr>
      <vt:lpstr>Lista_EstadoCobranza</vt:lpstr>
      <vt:lpstr>Lista_EstadoVenta</vt:lpstr>
      <vt:lpstr>Lista_IDCliente</vt:lpstr>
      <vt:lpstr>Lista_ProximaAccion</vt:lpstr>
      <vt:lpstr>Lista_Responsable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202437656</cp:lastModifiedBy>
  <cp:revision>2</cp:revision>
  <dcterms:created xsi:type="dcterms:W3CDTF">2026-06-03T23:59:50Z</dcterms:created>
  <dcterms:modified xsi:type="dcterms:W3CDTF">2026-06-20T01:18:16Z</dcterms:modified>
  <dc:language>en-US</dc:language>
</cp:coreProperties>
</file>