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UsuarioCompuElite\Downloads\"/>
    </mc:Choice>
  </mc:AlternateContent>
  <xr:revisionPtr revIDLastSave="0" documentId="13_ncr:1_{CC0CCB28-908F-41D9-8B49-FF3554EDEB37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Inicio" sheetId="1" r:id="rId1"/>
    <sheet name="Dashboard" sheetId="2" r:id="rId2"/>
    <sheet name="Productos" sheetId="3" r:id="rId3"/>
    <sheet name="Base de Costos" sheetId="4" r:id="rId4"/>
    <sheet name="Calculadora" sheetId="5" r:id="rId5"/>
    <sheet name="Resumen Productos" sheetId="6" r:id="rId6"/>
  </sheets>
  <calcPr calcId="191029"/>
</workbook>
</file>

<file path=xl/calcChain.xml><?xml version="1.0" encoding="utf-8"?>
<calcChain xmlns="http://schemas.openxmlformats.org/spreadsheetml/2006/main">
  <c r="C124" i="6" l="1"/>
  <c r="M123" i="6"/>
  <c r="L123" i="6"/>
  <c r="J123" i="6"/>
  <c r="I123" i="6"/>
  <c r="H123" i="6"/>
  <c r="G123" i="6"/>
  <c r="C123" i="6"/>
  <c r="C122" i="6"/>
  <c r="D122" i="6" s="1"/>
  <c r="M121" i="6"/>
  <c r="L121" i="6"/>
  <c r="K121" i="6"/>
  <c r="J121" i="6"/>
  <c r="I121" i="6"/>
  <c r="H121" i="6"/>
  <c r="G121" i="6"/>
  <c r="F121" i="6"/>
  <c r="E121" i="6"/>
  <c r="D121" i="6"/>
  <c r="C121" i="6"/>
  <c r="L120" i="6"/>
  <c r="D120" i="6"/>
  <c r="C120" i="6"/>
  <c r="L119" i="6"/>
  <c r="K119" i="6"/>
  <c r="J119" i="6"/>
  <c r="C119" i="6"/>
  <c r="M119" i="6" s="1"/>
  <c r="M118" i="6"/>
  <c r="J118" i="6"/>
  <c r="D118" i="6"/>
  <c r="C118" i="6"/>
  <c r="G118" i="6" s="1"/>
  <c r="C117" i="6"/>
  <c r="M117" i="6" s="1"/>
  <c r="M116" i="6"/>
  <c r="L116" i="6"/>
  <c r="K116" i="6"/>
  <c r="J116" i="6"/>
  <c r="I116" i="6"/>
  <c r="H116" i="6"/>
  <c r="G116" i="6"/>
  <c r="F116" i="6"/>
  <c r="C116" i="6"/>
  <c r="E116" i="6" s="1"/>
  <c r="K115" i="6"/>
  <c r="J115" i="6"/>
  <c r="I115" i="6"/>
  <c r="H115" i="6"/>
  <c r="D115" i="6"/>
  <c r="C115" i="6"/>
  <c r="M114" i="6"/>
  <c r="L114" i="6"/>
  <c r="K114" i="6"/>
  <c r="J114" i="6"/>
  <c r="I114" i="6"/>
  <c r="H114" i="6"/>
  <c r="G114" i="6"/>
  <c r="F114" i="6"/>
  <c r="E114" i="6"/>
  <c r="D114" i="6"/>
  <c r="C114" i="6"/>
  <c r="C113" i="6"/>
  <c r="H113" i="6" s="1"/>
  <c r="M112" i="6"/>
  <c r="L112" i="6"/>
  <c r="K112" i="6"/>
  <c r="J112" i="6"/>
  <c r="I112" i="6"/>
  <c r="H112" i="6"/>
  <c r="G112" i="6"/>
  <c r="F112" i="6"/>
  <c r="E112" i="6"/>
  <c r="D112" i="6"/>
  <c r="C112" i="6"/>
  <c r="G111" i="6"/>
  <c r="F111" i="6"/>
  <c r="E111" i="6"/>
  <c r="C111" i="6"/>
  <c r="M110" i="6"/>
  <c r="L110" i="6"/>
  <c r="K110" i="6"/>
  <c r="J110" i="6"/>
  <c r="I110" i="6"/>
  <c r="H110" i="6"/>
  <c r="G110" i="6"/>
  <c r="F110" i="6"/>
  <c r="E110" i="6"/>
  <c r="C110" i="6"/>
  <c r="D110" i="6" s="1"/>
  <c r="D109" i="6"/>
  <c r="C109" i="6"/>
  <c r="M108" i="6"/>
  <c r="L108" i="6"/>
  <c r="K108" i="6"/>
  <c r="J108" i="6"/>
  <c r="I108" i="6"/>
  <c r="H108" i="6"/>
  <c r="G108" i="6"/>
  <c r="F108" i="6"/>
  <c r="D108" i="6"/>
  <c r="C108" i="6"/>
  <c r="E108" i="6" s="1"/>
  <c r="C107" i="6"/>
  <c r="M106" i="6"/>
  <c r="L106" i="6"/>
  <c r="K106" i="6"/>
  <c r="J106" i="6"/>
  <c r="I106" i="6"/>
  <c r="H106" i="6"/>
  <c r="D106" i="6"/>
  <c r="C106" i="6"/>
  <c r="G106" i="6" s="1"/>
  <c r="M105" i="6"/>
  <c r="L105" i="6"/>
  <c r="I105" i="6"/>
  <c r="C105" i="6"/>
  <c r="F105" i="6" s="1"/>
  <c r="L104" i="6"/>
  <c r="K104" i="6"/>
  <c r="J104" i="6"/>
  <c r="I104" i="6"/>
  <c r="C104" i="6"/>
  <c r="M104" i="6" s="1"/>
  <c r="M103" i="6"/>
  <c r="L103" i="6"/>
  <c r="K103" i="6"/>
  <c r="J103" i="6"/>
  <c r="I103" i="6"/>
  <c r="H103" i="6"/>
  <c r="G103" i="6"/>
  <c r="F103" i="6"/>
  <c r="E103" i="6"/>
  <c r="D103" i="6"/>
  <c r="C103" i="6"/>
  <c r="J102" i="6"/>
  <c r="I102" i="6"/>
  <c r="H102" i="6"/>
  <c r="G102" i="6"/>
  <c r="F102" i="6"/>
  <c r="E102" i="6"/>
  <c r="D102" i="6"/>
  <c r="C102" i="6"/>
  <c r="M101" i="6"/>
  <c r="L101" i="6"/>
  <c r="K101" i="6"/>
  <c r="J101" i="6"/>
  <c r="I101" i="6"/>
  <c r="H101" i="6"/>
  <c r="G101" i="6"/>
  <c r="F101" i="6"/>
  <c r="E101" i="6"/>
  <c r="D101" i="6"/>
  <c r="C101" i="6"/>
  <c r="C100" i="6"/>
  <c r="G100" i="6" s="1"/>
  <c r="M99" i="6"/>
  <c r="L99" i="6"/>
  <c r="K99" i="6"/>
  <c r="J99" i="6"/>
  <c r="I99" i="6"/>
  <c r="H99" i="6"/>
  <c r="F99" i="6"/>
  <c r="C99" i="6"/>
  <c r="C98" i="6"/>
  <c r="F98" i="6" s="1"/>
  <c r="M97" i="6"/>
  <c r="L97" i="6"/>
  <c r="K97" i="6"/>
  <c r="J97" i="6"/>
  <c r="I97" i="6"/>
  <c r="H97" i="6"/>
  <c r="G97" i="6"/>
  <c r="F97" i="6"/>
  <c r="E97" i="6"/>
  <c r="D97" i="6"/>
  <c r="C97" i="6"/>
  <c r="L96" i="6"/>
  <c r="C96" i="6"/>
  <c r="M95" i="6"/>
  <c r="L95" i="6"/>
  <c r="K95" i="6"/>
  <c r="E95" i="6"/>
  <c r="D95" i="6"/>
  <c r="C95" i="6"/>
  <c r="J95" i="6" s="1"/>
  <c r="M94" i="6"/>
  <c r="J94" i="6"/>
  <c r="D94" i="6"/>
  <c r="C94" i="6"/>
  <c r="G94" i="6" s="1"/>
  <c r="C93" i="6"/>
  <c r="H93" i="6" s="1"/>
  <c r="M92" i="6"/>
  <c r="L92" i="6"/>
  <c r="K92" i="6"/>
  <c r="J92" i="6"/>
  <c r="I92" i="6"/>
  <c r="H92" i="6"/>
  <c r="G92" i="6"/>
  <c r="F92" i="6"/>
  <c r="E92" i="6"/>
  <c r="C92" i="6"/>
  <c r="D92" i="6" s="1"/>
  <c r="K91" i="6"/>
  <c r="J91" i="6"/>
  <c r="C91" i="6"/>
  <c r="G91" i="6" s="1"/>
  <c r="M90" i="6"/>
  <c r="L90" i="6"/>
  <c r="K90" i="6"/>
  <c r="J90" i="6"/>
  <c r="I90" i="6"/>
  <c r="H90" i="6"/>
  <c r="G90" i="6"/>
  <c r="F90" i="6"/>
  <c r="E90" i="6"/>
  <c r="D90" i="6"/>
  <c r="C90" i="6"/>
  <c r="I89" i="6"/>
  <c r="H89" i="6"/>
  <c r="G89" i="6"/>
  <c r="F89" i="6"/>
  <c r="E89" i="6"/>
  <c r="D89" i="6"/>
  <c r="C89" i="6"/>
  <c r="M88" i="6"/>
  <c r="L88" i="6"/>
  <c r="K88" i="6"/>
  <c r="J88" i="6"/>
  <c r="I88" i="6"/>
  <c r="H88" i="6"/>
  <c r="G88" i="6"/>
  <c r="F88" i="6"/>
  <c r="E88" i="6"/>
  <c r="D88" i="6"/>
  <c r="C88" i="6"/>
  <c r="G87" i="6"/>
  <c r="C87" i="6"/>
  <c r="M86" i="6"/>
  <c r="L86" i="6"/>
  <c r="K86" i="6"/>
  <c r="J86" i="6"/>
  <c r="I86" i="6"/>
  <c r="H86" i="6"/>
  <c r="G86" i="6"/>
  <c r="F86" i="6"/>
  <c r="E86" i="6"/>
  <c r="C86" i="6"/>
  <c r="D86" i="6" s="1"/>
  <c r="C85" i="6"/>
  <c r="E85" i="6" s="1"/>
  <c r="M84" i="6"/>
  <c r="K84" i="6"/>
  <c r="J84" i="6"/>
  <c r="I84" i="6"/>
  <c r="H84" i="6"/>
  <c r="C84" i="6"/>
  <c r="L84" i="6" s="1"/>
  <c r="C83" i="6"/>
  <c r="L82" i="6"/>
  <c r="K82" i="6"/>
  <c r="J82" i="6"/>
  <c r="C82" i="6"/>
  <c r="I82" i="6" s="1"/>
  <c r="M81" i="6"/>
  <c r="L81" i="6"/>
  <c r="I81" i="6"/>
  <c r="C81" i="6"/>
  <c r="F81" i="6" s="1"/>
  <c r="L80" i="6"/>
  <c r="K80" i="6"/>
  <c r="E80" i="6"/>
  <c r="D80" i="6"/>
  <c r="C80" i="6"/>
  <c r="M80" i="6" s="1"/>
  <c r="M79" i="6"/>
  <c r="L79" i="6"/>
  <c r="K79" i="6"/>
  <c r="J79" i="6"/>
  <c r="I79" i="6"/>
  <c r="H79" i="6"/>
  <c r="G79" i="6"/>
  <c r="F79" i="6"/>
  <c r="E79" i="6"/>
  <c r="D79" i="6"/>
  <c r="C79" i="6"/>
  <c r="J78" i="6"/>
  <c r="I78" i="6"/>
  <c r="H78" i="6"/>
  <c r="G78" i="6"/>
  <c r="F78" i="6"/>
  <c r="D78" i="6"/>
  <c r="C78" i="6"/>
  <c r="M77" i="6"/>
  <c r="L77" i="6"/>
  <c r="K77" i="6"/>
  <c r="J77" i="6"/>
  <c r="I77" i="6"/>
  <c r="H77" i="6"/>
  <c r="G77" i="6"/>
  <c r="F77" i="6"/>
  <c r="E77" i="6"/>
  <c r="D77" i="6"/>
  <c r="C77" i="6"/>
  <c r="F76" i="6"/>
  <c r="E76" i="6"/>
  <c r="D76" i="6"/>
  <c r="C76" i="6"/>
  <c r="M75" i="6"/>
  <c r="L75" i="6"/>
  <c r="K75" i="6"/>
  <c r="J75" i="6"/>
  <c r="C75" i="6"/>
  <c r="C74" i="6"/>
  <c r="M73" i="6"/>
  <c r="L73" i="6"/>
  <c r="K73" i="6"/>
  <c r="J73" i="6"/>
  <c r="I73" i="6"/>
  <c r="H73" i="6"/>
  <c r="G73" i="6"/>
  <c r="F73" i="6"/>
  <c r="E73" i="6"/>
  <c r="D73" i="6"/>
  <c r="C73" i="6"/>
  <c r="C72" i="6"/>
  <c r="D72" i="6" s="1"/>
  <c r="M71" i="6"/>
  <c r="C71" i="6"/>
  <c r="L71" i="6" s="1"/>
  <c r="M70" i="6"/>
  <c r="J70" i="6"/>
  <c r="D70" i="6"/>
  <c r="C70" i="6"/>
  <c r="G70" i="6" s="1"/>
  <c r="M69" i="6"/>
  <c r="L69" i="6"/>
  <c r="K69" i="6"/>
  <c r="J69" i="6"/>
  <c r="I69" i="6"/>
  <c r="H69" i="6"/>
  <c r="G69" i="6"/>
  <c r="F69" i="6"/>
  <c r="E69" i="6"/>
  <c r="D69" i="6"/>
  <c r="C69" i="6"/>
  <c r="M68" i="6"/>
  <c r="L68" i="6"/>
  <c r="K68" i="6"/>
  <c r="J68" i="6"/>
  <c r="I68" i="6"/>
  <c r="H68" i="6"/>
  <c r="G68" i="6"/>
  <c r="F68" i="6"/>
  <c r="E68" i="6"/>
  <c r="C68" i="6"/>
  <c r="D68" i="6" s="1"/>
  <c r="F67" i="6"/>
  <c r="E67" i="6"/>
  <c r="D67" i="6"/>
  <c r="C67" i="6"/>
  <c r="M66" i="6"/>
  <c r="L66" i="6"/>
  <c r="K66" i="6"/>
  <c r="J66" i="6"/>
  <c r="I66" i="6"/>
  <c r="H66" i="6"/>
  <c r="G66" i="6"/>
  <c r="F66" i="6"/>
  <c r="E66" i="6"/>
  <c r="D66" i="6"/>
  <c r="C66" i="6"/>
  <c r="I65" i="6"/>
  <c r="H65" i="6"/>
  <c r="G65" i="6"/>
  <c r="F65" i="6"/>
  <c r="C65" i="6"/>
  <c r="M64" i="6"/>
  <c r="L64" i="6"/>
  <c r="K64" i="6"/>
  <c r="J64" i="6"/>
  <c r="I64" i="6"/>
  <c r="H64" i="6"/>
  <c r="G64" i="6"/>
  <c r="F64" i="6"/>
  <c r="E64" i="6"/>
  <c r="D64" i="6"/>
  <c r="C64" i="6"/>
  <c r="C63" i="6"/>
  <c r="D63" i="6" s="1"/>
  <c r="M62" i="6"/>
  <c r="L62" i="6"/>
  <c r="K62" i="6"/>
  <c r="J62" i="6"/>
  <c r="I62" i="6"/>
  <c r="H62" i="6"/>
  <c r="G62" i="6"/>
  <c r="F62" i="6"/>
  <c r="E62" i="6"/>
  <c r="C62" i="6"/>
  <c r="D62" i="6" s="1"/>
  <c r="M61" i="6"/>
  <c r="E61" i="6"/>
  <c r="D61" i="6"/>
  <c r="C61" i="6"/>
  <c r="M60" i="6"/>
  <c r="L60" i="6"/>
  <c r="K60" i="6"/>
  <c r="J60" i="6"/>
  <c r="C60" i="6"/>
  <c r="I60" i="6" s="1"/>
  <c r="C59" i="6"/>
  <c r="M58" i="6"/>
  <c r="L58" i="6"/>
  <c r="F58" i="6"/>
  <c r="E58" i="6"/>
  <c r="D58" i="6"/>
  <c r="C58" i="6"/>
  <c r="K58" i="6" s="1"/>
  <c r="M57" i="6"/>
  <c r="L57" i="6"/>
  <c r="I57" i="6"/>
  <c r="C57" i="6"/>
  <c r="F57" i="6" s="1"/>
  <c r="C56" i="6"/>
  <c r="M56" i="6" s="1"/>
  <c r="M55" i="6"/>
  <c r="L55" i="6"/>
  <c r="K55" i="6"/>
  <c r="J55" i="6"/>
  <c r="I55" i="6"/>
  <c r="H55" i="6"/>
  <c r="G55" i="6"/>
  <c r="F55" i="6"/>
  <c r="E55" i="6"/>
  <c r="D55" i="6"/>
  <c r="C55" i="6"/>
  <c r="J54" i="6"/>
  <c r="I54" i="6"/>
  <c r="H54" i="6"/>
  <c r="C54" i="6"/>
  <c r="M53" i="6"/>
  <c r="L53" i="6"/>
  <c r="K53" i="6"/>
  <c r="J53" i="6"/>
  <c r="I53" i="6"/>
  <c r="H53" i="6"/>
  <c r="G53" i="6"/>
  <c r="F53" i="6"/>
  <c r="E53" i="6"/>
  <c r="D53" i="6"/>
  <c r="C53" i="6"/>
  <c r="C52" i="6"/>
  <c r="H52" i="6" s="1"/>
  <c r="M51" i="6"/>
  <c r="L51" i="6"/>
  <c r="C51" i="6"/>
  <c r="I51" i="6" s="1"/>
  <c r="C50" i="6"/>
  <c r="F50" i="6" s="1"/>
  <c r="M49" i="6"/>
  <c r="L49" i="6"/>
  <c r="K49" i="6"/>
  <c r="J49" i="6"/>
  <c r="I49" i="6"/>
  <c r="H49" i="6"/>
  <c r="G49" i="6"/>
  <c r="F49" i="6"/>
  <c r="E49" i="6"/>
  <c r="D49" i="6"/>
  <c r="C49" i="6"/>
  <c r="L48" i="6"/>
  <c r="E48" i="6"/>
  <c r="C48" i="6"/>
  <c r="M47" i="6"/>
  <c r="L47" i="6"/>
  <c r="K47" i="6"/>
  <c r="J47" i="6"/>
  <c r="I47" i="6"/>
  <c r="H47" i="6"/>
  <c r="G47" i="6"/>
  <c r="F47" i="6"/>
  <c r="E47" i="6"/>
  <c r="D47" i="6"/>
  <c r="C47" i="6"/>
  <c r="C46" i="6"/>
  <c r="M45" i="6"/>
  <c r="L45" i="6"/>
  <c r="J45" i="6"/>
  <c r="I45" i="6"/>
  <c r="H45" i="6"/>
  <c r="G45" i="6"/>
  <c r="C45" i="6"/>
  <c r="K45" i="6" s="1"/>
  <c r="M44" i="6"/>
  <c r="L44" i="6"/>
  <c r="K44" i="6"/>
  <c r="J44" i="6"/>
  <c r="I44" i="6"/>
  <c r="H44" i="6"/>
  <c r="G44" i="6"/>
  <c r="F44" i="6"/>
  <c r="E44" i="6"/>
  <c r="C44" i="6"/>
  <c r="D44" i="6" s="1"/>
  <c r="M43" i="6"/>
  <c r="L43" i="6"/>
  <c r="K43" i="6"/>
  <c r="J43" i="6"/>
  <c r="I43" i="6"/>
  <c r="H43" i="6"/>
  <c r="G43" i="6"/>
  <c r="F43" i="6"/>
  <c r="E43" i="6"/>
  <c r="D43" i="6"/>
  <c r="C43" i="6"/>
  <c r="M42" i="6"/>
  <c r="L42" i="6"/>
  <c r="K42" i="6"/>
  <c r="J42" i="6"/>
  <c r="I42" i="6"/>
  <c r="H42" i="6"/>
  <c r="G42" i="6"/>
  <c r="F42" i="6"/>
  <c r="E42" i="6"/>
  <c r="D42" i="6"/>
  <c r="C42" i="6"/>
  <c r="E41" i="6"/>
  <c r="C41" i="6"/>
  <c r="M40" i="6"/>
  <c r="L40" i="6"/>
  <c r="K40" i="6"/>
  <c r="J40" i="6"/>
  <c r="I40" i="6"/>
  <c r="H40" i="6"/>
  <c r="G40" i="6"/>
  <c r="F40" i="6"/>
  <c r="E40" i="6"/>
  <c r="D40" i="6"/>
  <c r="C40" i="6"/>
  <c r="I39" i="6"/>
  <c r="H39" i="6"/>
  <c r="G39" i="6"/>
  <c r="C39" i="6"/>
  <c r="E39" i="6" s="1"/>
  <c r="M38" i="6"/>
  <c r="L38" i="6"/>
  <c r="K38" i="6"/>
  <c r="J38" i="6"/>
  <c r="I38" i="6"/>
  <c r="H38" i="6"/>
  <c r="G38" i="6"/>
  <c r="F38" i="6"/>
  <c r="E38" i="6"/>
  <c r="C38" i="6"/>
  <c r="D38" i="6" s="1"/>
  <c r="C37" i="6"/>
  <c r="G37" i="6" s="1"/>
  <c r="L36" i="6"/>
  <c r="K36" i="6"/>
  <c r="J36" i="6"/>
  <c r="C36" i="6"/>
  <c r="I36" i="6" s="1"/>
  <c r="C35" i="6"/>
  <c r="E35" i="6" s="1"/>
  <c r="M34" i="6"/>
  <c r="L34" i="6"/>
  <c r="C34" i="6"/>
  <c r="K34" i="6" s="1"/>
  <c r="M33" i="6"/>
  <c r="L33" i="6"/>
  <c r="I33" i="6"/>
  <c r="C33" i="6"/>
  <c r="C32" i="6"/>
  <c r="L32" i="6" s="1"/>
  <c r="M31" i="6"/>
  <c r="L31" i="6"/>
  <c r="K31" i="6"/>
  <c r="J31" i="6"/>
  <c r="I31" i="6"/>
  <c r="H31" i="6"/>
  <c r="G31" i="6"/>
  <c r="F31" i="6"/>
  <c r="E31" i="6"/>
  <c r="D31" i="6"/>
  <c r="C31" i="6"/>
  <c r="E30" i="6"/>
  <c r="C30" i="6"/>
  <c r="M30" i="6" s="1"/>
  <c r="M29" i="6"/>
  <c r="L29" i="6"/>
  <c r="K29" i="6"/>
  <c r="J29" i="6"/>
  <c r="I29" i="6"/>
  <c r="H29" i="6"/>
  <c r="G29" i="6"/>
  <c r="F29" i="6"/>
  <c r="E29" i="6"/>
  <c r="D29" i="6"/>
  <c r="C29" i="6"/>
  <c r="J28" i="6"/>
  <c r="I28" i="6"/>
  <c r="H28" i="6"/>
  <c r="D28" i="6"/>
  <c r="C28" i="6"/>
  <c r="M27" i="6"/>
  <c r="L27" i="6"/>
  <c r="K27" i="6"/>
  <c r="J27" i="6"/>
  <c r="I27" i="6"/>
  <c r="H27" i="6"/>
  <c r="G27" i="6"/>
  <c r="F27" i="6"/>
  <c r="C27" i="6"/>
  <c r="C26" i="6"/>
  <c r="G26" i="6" s="1"/>
  <c r="M25" i="6"/>
  <c r="L25" i="6"/>
  <c r="K25" i="6"/>
  <c r="J25" i="6"/>
  <c r="I25" i="6"/>
  <c r="H25" i="6"/>
  <c r="G25" i="6"/>
  <c r="F25" i="6"/>
  <c r="E25" i="6"/>
  <c r="D25" i="6"/>
  <c r="C25" i="6"/>
  <c r="C24" i="6"/>
  <c r="L24" i="6" s="1"/>
  <c r="M23" i="6"/>
  <c r="C23" i="6"/>
  <c r="L23" i="6" s="1"/>
  <c r="M22" i="6"/>
  <c r="C22" i="6"/>
  <c r="M21" i="6"/>
  <c r="L21" i="6"/>
  <c r="K21" i="6"/>
  <c r="J21" i="6"/>
  <c r="I21" i="6"/>
  <c r="H21" i="6"/>
  <c r="G21" i="6"/>
  <c r="F21" i="6"/>
  <c r="E21" i="6"/>
  <c r="D21" i="6"/>
  <c r="C21" i="6"/>
  <c r="M20" i="6"/>
  <c r="L20" i="6"/>
  <c r="K20" i="6"/>
  <c r="J20" i="6"/>
  <c r="I20" i="6"/>
  <c r="H20" i="6"/>
  <c r="G20" i="6"/>
  <c r="F20" i="6"/>
  <c r="E20" i="6"/>
  <c r="C20" i="6"/>
  <c r="D20" i="6" s="1"/>
  <c r="C19" i="6"/>
  <c r="M19" i="6" s="1"/>
  <c r="M18" i="6"/>
  <c r="L18" i="6"/>
  <c r="K18" i="6"/>
  <c r="J18" i="6"/>
  <c r="I18" i="6"/>
  <c r="H18" i="6"/>
  <c r="G18" i="6"/>
  <c r="F18" i="6"/>
  <c r="E18" i="6"/>
  <c r="D18" i="6"/>
  <c r="C18" i="6"/>
  <c r="K17" i="6"/>
  <c r="J17" i="6"/>
  <c r="C17" i="6"/>
  <c r="G17" i="6" s="1"/>
  <c r="M16" i="6"/>
  <c r="L16" i="6"/>
  <c r="K16" i="6"/>
  <c r="J16" i="6"/>
  <c r="I16" i="6"/>
  <c r="H16" i="6"/>
  <c r="G16" i="6"/>
  <c r="F16" i="6"/>
  <c r="E16" i="6"/>
  <c r="D16" i="6"/>
  <c r="C16" i="6"/>
  <c r="I15" i="6"/>
  <c r="H15" i="6"/>
  <c r="G15" i="6"/>
  <c r="F15" i="6"/>
  <c r="E15" i="6"/>
  <c r="D15" i="6"/>
  <c r="C15" i="6"/>
  <c r="M14" i="6"/>
  <c r="L14" i="6"/>
  <c r="K14" i="6"/>
  <c r="J14" i="6"/>
  <c r="I14" i="6"/>
  <c r="H14" i="6"/>
  <c r="G14" i="6"/>
  <c r="F14" i="6"/>
  <c r="E14" i="6"/>
  <c r="C14" i="6"/>
  <c r="D14" i="6" s="1"/>
  <c r="M13" i="6"/>
  <c r="G13" i="6"/>
  <c r="C13" i="6"/>
  <c r="M12" i="6"/>
  <c r="L12" i="6"/>
  <c r="K12" i="6"/>
  <c r="J12" i="6"/>
  <c r="I12" i="6"/>
  <c r="H12" i="6"/>
  <c r="G12" i="6"/>
  <c r="C12" i="6"/>
  <c r="F12" i="6" s="1"/>
  <c r="C11" i="6"/>
  <c r="K11" i="6" s="1"/>
  <c r="L10" i="6"/>
  <c r="K10" i="6"/>
  <c r="J10" i="6"/>
  <c r="I10" i="6"/>
  <c r="C10" i="6"/>
  <c r="M10" i="6" s="1"/>
  <c r="C9" i="6"/>
  <c r="L9" i="6" s="1"/>
  <c r="E8" i="6"/>
  <c r="C8" i="6"/>
  <c r="I7" i="6"/>
  <c r="H7" i="6"/>
  <c r="F7" i="6"/>
  <c r="E7" i="6"/>
  <c r="C7" i="6"/>
  <c r="D7" i="6" s="1"/>
  <c r="G7" i="6" s="1"/>
  <c r="J7" i="6" s="1"/>
  <c r="I6" i="6"/>
  <c r="C6" i="6"/>
  <c r="I5" i="6"/>
  <c r="H5" i="6"/>
  <c r="E5" i="6"/>
  <c r="C5" i="6"/>
  <c r="F28" i="5"/>
  <c r="D28" i="5"/>
  <c r="G27" i="5"/>
  <c r="F27" i="5"/>
  <c r="E27" i="5"/>
  <c r="E15" i="5"/>
  <c r="E14" i="5"/>
  <c r="E13" i="5"/>
  <c r="E16" i="5" s="1"/>
  <c r="H11" i="5"/>
  <c r="H10" i="5"/>
  <c r="E10" i="5"/>
  <c r="H9" i="5"/>
  <c r="E9" i="5"/>
  <c r="H8" i="5"/>
  <c r="G5" i="5"/>
  <c r="O504" i="4"/>
  <c r="N504" i="4"/>
  <c r="M504" i="4"/>
  <c r="L504" i="4"/>
  <c r="K504" i="4"/>
  <c r="I504" i="4"/>
  <c r="H504" i="4"/>
  <c r="O503" i="4"/>
  <c r="N503" i="4"/>
  <c r="M503" i="4"/>
  <c r="L503" i="4"/>
  <c r="K503" i="4"/>
  <c r="I503" i="4"/>
  <c r="H503" i="4"/>
  <c r="O502" i="4"/>
  <c r="N502" i="4"/>
  <c r="M502" i="4"/>
  <c r="L502" i="4"/>
  <c r="K502" i="4"/>
  <c r="I502" i="4"/>
  <c r="H502" i="4"/>
  <c r="O501" i="4"/>
  <c r="N501" i="4"/>
  <c r="M501" i="4"/>
  <c r="L501" i="4"/>
  <c r="K501" i="4"/>
  <c r="I501" i="4"/>
  <c r="H501" i="4"/>
  <c r="O500" i="4"/>
  <c r="N500" i="4"/>
  <c r="M500" i="4"/>
  <c r="L500" i="4"/>
  <c r="K500" i="4"/>
  <c r="I500" i="4"/>
  <c r="H500" i="4"/>
  <c r="O499" i="4"/>
  <c r="N499" i="4"/>
  <c r="M499" i="4"/>
  <c r="L499" i="4"/>
  <c r="K499" i="4"/>
  <c r="I499" i="4"/>
  <c r="H499" i="4"/>
  <c r="O498" i="4"/>
  <c r="N498" i="4"/>
  <c r="M498" i="4"/>
  <c r="L498" i="4"/>
  <c r="K498" i="4"/>
  <c r="I498" i="4"/>
  <c r="H498" i="4"/>
  <c r="O497" i="4"/>
  <c r="N497" i="4"/>
  <c r="M497" i="4"/>
  <c r="L497" i="4"/>
  <c r="K497" i="4"/>
  <c r="I497" i="4"/>
  <c r="H497" i="4"/>
  <c r="O496" i="4"/>
  <c r="N496" i="4"/>
  <c r="M496" i="4"/>
  <c r="L496" i="4"/>
  <c r="K496" i="4"/>
  <c r="I496" i="4"/>
  <c r="H496" i="4"/>
  <c r="O495" i="4"/>
  <c r="N495" i="4"/>
  <c r="M495" i="4"/>
  <c r="L495" i="4"/>
  <c r="K495" i="4"/>
  <c r="I495" i="4"/>
  <c r="H495" i="4"/>
  <c r="O494" i="4"/>
  <c r="N494" i="4"/>
  <c r="M494" i="4"/>
  <c r="L494" i="4"/>
  <c r="K494" i="4"/>
  <c r="I494" i="4"/>
  <c r="H494" i="4"/>
  <c r="O493" i="4"/>
  <c r="N493" i="4"/>
  <c r="M493" i="4"/>
  <c r="L493" i="4"/>
  <c r="K493" i="4"/>
  <c r="I493" i="4"/>
  <c r="H493" i="4"/>
  <c r="O492" i="4"/>
  <c r="N492" i="4"/>
  <c r="M492" i="4"/>
  <c r="L492" i="4"/>
  <c r="K492" i="4"/>
  <c r="I492" i="4"/>
  <c r="H492" i="4"/>
  <c r="O491" i="4"/>
  <c r="N491" i="4"/>
  <c r="M491" i="4"/>
  <c r="L491" i="4"/>
  <c r="K491" i="4"/>
  <c r="I491" i="4"/>
  <c r="H491" i="4"/>
  <c r="O490" i="4"/>
  <c r="N490" i="4"/>
  <c r="M490" i="4"/>
  <c r="L490" i="4"/>
  <c r="K490" i="4"/>
  <c r="I490" i="4"/>
  <c r="H490" i="4"/>
  <c r="O489" i="4"/>
  <c r="N489" i="4"/>
  <c r="M489" i="4"/>
  <c r="L489" i="4"/>
  <c r="K489" i="4"/>
  <c r="I489" i="4"/>
  <c r="H489" i="4"/>
  <c r="O488" i="4"/>
  <c r="N488" i="4"/>
  <c r="M488" i="4"/>
  <c r="L488" i="4"/>
  <c r="K488" i="4"/>
  <c r="I488" i="4"/>
  <c r="H488" i="4"/>
  <c r="O487" i="4"/>
  <c r="N487" i="4"/>
  <c r="M487" i="4"/>
  <c r="L487" i="4"/>
  <c r="K487" i="4"/>
  <c r="I487" i="4"/>
  <c r="H487" i="4"/>
  <c r="O486" i="4"/>
  <c r="N486" i="4"/>
  <c r="M486" i="4"/>
  <c r="L486" i="4"/>
  <c r="K486" i="4"/>
  <c r="I486" i="4"/>
  <c r="H486" i="4"/>
  <c r="O485" i="4"/>
  <c r="N485" i="4"/>
  <c r="M485" i="4"/>
  <c r="L485" i="4"/>
  <c r="K485" i="4"/>
  <c r="I485" i="4"/>
  <c r="H485" i="4"/>
  <c r="O484" i="4"/>
  <c r="N484" i="4"/>
  <c r="M484" i="4"/>
  <c r="L484" i="4"/>
  <c r="K484" i="4"/>
  <c r="I484" i="4"/>
  <c r="H484" i="4"/>
  <c r="O483" i="4"/>
  <c r="N483" i="4"/>
  <c r="M483" i="4"/>
  <c r="L483" i="4"/>
  <c r="K483" i="4"/>
  <c r="I483" i="4"/>
  <c r="H483" i="4"/>
  <c r="O482" i="4"/>
  <c r="N482" i="4"/>
  <c r="M482" i="4"/>
  <c r="L482" i="4"/>
  <c r="K482" i="4"/>
  <c r="I482" i="4"/>
  <c r="H482" i="4"/>
  <c r="O481" i="4"/>
  <c r="N481" i="4"/>
  <c r="M481" i="4"/>
  <c r="L481" i="4"/>
  <c r="K481" i="4"/>
  <c r="I481" i="4"/>
  <c r="H481" i="4"/>
  <c r="O480" i="4"/>
  <c r="N480" i="4"/>
  <c r="M480" i="4"/>
  <c r="L480" i="4"/>
  <c r="K480" i="4"/>
  <c r="I480" i="4"/>
  <c r="H480" i="4"/>
  <c r="O479" i="4"/>
  <c r="N479" i="4"/>
  <c r="M479" i="4"/>
  <c r="L479" i="4"/>
  <c r="K479" i="4"/>
  <c r="I479" i="4"/>
  <c r="H479" i="4"/>
  <c r="O478" i="4"/>
  <c r="N478" i="4"/>
  <c r="M478" i="4"/>
  <c r="L478" i="4"/>
  <c r="K478" i="4"/>
  <c r="I478" i="4"/>
  <c r="H478" i="4"/>
  <c r="O477" i="4"/>
  <c r="N477" i="4"/>
  <c r="M477" i="4"/>
  <c r="L477" i="4"/>
  <c r="K477" i="4"/>
  <c r="I477" i="4"/>
  <c r="H477" i="4"/>
  <c r="O476" i="4"/>
  <c r="N476" i="4"/>
  <c r="M476" i="4"/>
  <c r="L476" i="4"/>
  <c r="K476" i="4"/>
  <c r="I476" i="4"/>
  <c r="H476" i="4"/>
  <c r="O475" i="4"/>
  <c r="N475" i="4"/>
  <c r="M475" i="4"/>
  <c r="L475" i="4"/>
  <c r="K475" i="4"/>
  <c r="I475" i="4"/>
  <c r="H475" i="4"/>
  <c r="O474" i="4"/>
  <c r="N474" i="4"/>
  <c r="M474" i="4"/>
  <c r="L474" i="4"/>
  <c r="K474" i="4"/>
  <c r="I474" i="4"/>
  <c r="H474" i="4"/>
  <c r="O473" i="4"/>
  <c r="N473" i="4"/>
  <c r="M473" i="4"/>
  <c r="L473" i="4"/>
  <c r="K473" i="4"/>
  <c r="I473" i="4"/>
  <c r="H473" i="4"/>
  <c r="O472" i="4"/>
  <c r="N472" i="4"/>
  <c r="M472" i="4"/>
  <c r="L472" i="4"/>
  <c r="K472" i="4"/>
  <c r="I472" i="4"/>
  <c r="H472" i="4"/>
  <c r="O471" i="4"/>
  <c r="N471" i="4"/>
  <c r="M471" i="4"/>
  <c r="L471" i="4"/>
  <c r="K471" i="4"/>
  <c r="I471" i="4"/>
  <c r="H471" i="4"/>
  <c r="O470" i="4"/>
  <c r="N470" i="4"/>
  <c r="M470" i="4"/>
  <c r="L470" i="4"/>
  <c r="K470" i="4"/>
  <c r="I470" i="4"/>
  <c r="H470" i="4"/>
  <c r="O469" i="4"/>
  <c r="N469" i="4"/>
  <c r="M469" i="4"/>
  <c r="L469" i="4"/>
  <c r="K469" i="4"/>
  <c r="I469" i="4"/>
  <c r="H469" i="4"/>
  <c r="O468" i="4"/>
  <c r="N468" i="4"/>
  <c r="M468" i="4"/>
  <c r="L468" i="4"/>
  <c r="K468" i="4"/>
  <c r="I468" i="4"/>
  <c r="H468" i="4"/>
  <c r="O467" i="4"/>
  <c r="N467" i="4"/>
  <c r="M467" i="4"/>
  <c r="L467" i="4"/>
  <c r="K467" i="4"/>
  <c r="I467" i="4"/>
  <c r="H467" i="4"/>
  <c r="O466" i="4"/>
  <c r="N466" i="4"/>
  <c r="M466" i="4"/>
  <c r="L466" i="4"/>
  <c r="K466" i="4"/>
  <c r="I466" i="4"/>
  <c r="H466" i="4"/>
  <c r="O465" i="4"/>
  <c r="N465" i="4"/>
  <c r="M465" i="4"/>
  <c r="L465" i="4"/>
  <c r="K465" i="4"/>
  <c r="I465" i="4"/>
  <c r="H465" i="4"/>
  <c r="O464" i="4"/>
  <c r="N464" i="4"/>
  <c r="M464" i="4"/>
  <c r="L464" i="4"/>
  <c r="K464" i="4"/>
  <c r="I464" i="4"/>
  <c r="H464" i="4"/>
  <c r="O463" i="4"/>
  <c r="N463" i="4"/>
  <c r="M463" i="4"/>
  <c r="L463" i="4"/>
  <c r="K463" i="4"/>
  <c r="I463" i="4"/>
  <c r="H463" i="4"/>
  <c r="O462" i="4"/>
  <c r="N462" i="4"/>
  <c r="M462" i="4"/>
  <c r="L462" i="4"/>
  <c r="K462" i="4"/>
  <c r="I462" i="4"/>
  <c r="H462" i="4"/>
  <c r="O461" i="4"/>
  <c r="N461" i="4"/>
  <c r="M461" i="4"/>
  <c r="L461" i="4"/>
  <c r="K461" i="4"/>
  <c r="I461" i="4"/>
  <c r="H461" i="4"/>
  <c r="O460" i="4"/>
  <c r="N460" i="4"/>
  <c r="M460" i="4"/>
  <c r="L460" i="4"/>
  <c r="K460" i="4"/>
  <c r="I460" i="4"/>
  <c r="H460" i="4"/>
  <c r="O459" i="4"/>
  <c r="N459" i="4"/>
  <c r="M459" i="4"/>
  <c r="L459" i="4"/>
  <c r="K459" i="4"/>
  <c r="I459" i="4"/>
  <c r="H459" i="4"/>
  <c r="O458" i="4"/>
  <c r="N458" i="4"/>
  <c r="M458" i="4"/>
  <c r="L458" i="4"/>
  <c r="K458" i="4"/>
  <c r="I458" i="4"/>
  <c r="H458" i="4"/>
  <c r="O457" i="4"/>
  <c r="N457" i="4"/>
  <c r="M457" i="4"/>
  <c r="L457" i="4"/>
  <c r="K457" i="4"/>
  <c r="I457" i="4"/>
  <c r="H457" i="4"/>
  <c r="O456" i="4"/>
  <c r="N456" i="4"/>
  <c r="M456" i="4"/>
  <c r="L456" i="4"/>
  <c r="K456" i="4"/>
  <c r="I456" i="4"/>
  <c r="H456" i="4"/>
  <c r="O455" i="4"/>
  <c r="N455" i="4"/>
  <c r="M455" i="4"/>
  <c r="L455" i="4"/>
  <c r="K455" i="4"/>
  <c r="I455" i="4"/>
  <c r="H455" i="4"/>
  <c r="O454" i="4"/>
  <c r="N454" i="4"/>
  <c r="M454" i="4"/>
  <c r="L454" i="4"/>
  <c r="K454" i="4"/>
  <c r="I454" i="4"/>
  <c r="H454" i="4"/>
  <c r="O453" i="4"/>
  <c r="N453" i="4"/>
  <c r="M453" i="4"/>
  <c r="L453" i="4"/>
  <c r="K453" i="4"/>
  <c r="I453" i="4"/>
  <c r="H453" i="4"/>
  <c r="O452" i="4"/>
  <c r="N452" i="4"/>
  <c r="M452" i="4"/>
  <c r="L452" i="4"/>
  <c r="K452" i="4"/>
  <c r="I452" i="4"/>
  <c r="H452" i="4"/>
  <c r="O451" i="4"/>
  <c r="N451" i="4"/>
  <c r="M451" i="4"/>
  <c r="L451" i="4"/>
  <c r="K451" i="4"/>
  <c r="I451" i="4"/>
  <c r="H451" i="4"/>
  <c r="O450" i="4"/>
  <c r="N450" i="4"/>
  <c r="M450" i="4"/>
  <c r="L450" i="4"/>
  <c r="K450" i="4"/>
  <c r="I450" i="4"/>
  <c r="H450" i="4"/>
  <c r="O449" i="4"/>
  <c r="N449" i="4"/>
  <c r="M449" i="4"/>
  <c r="L449" i="4"/>
  <c r="K449" i="4"/>
  <c r="I449" i="4"/>
  <c r="H449" i="4"/>
  <c r="O448" i="4"/>
  <c r="N448" i="4"/>
  <c r="M448" i="4"/>
  <c r="L448" i="4"/>
  <c r="K448" i="4"/>
  <c r="I448" i="4"/>
  <c r="H448" i="4"/>
  <c r="O447" i="4"/>
  <c r="N447" i="4"/>
  <c r="M447" i="4"/>
  <c r="L447" i="4"/>
  <c r="K447" i="4"/>
  <c r="I447" i="4"/>
  <c r="H447" i="4"/>
  <c r="O446" i="4"/>
  <c r="N446" i="4"/>
  <c r="M446" i="4"/>
  <c r="L446" i="4"/>
  <c r="K446" i="4"/>
  <c r="I446" i="4"/>
  <c r="H446" i="4"/>
  <c r="O445" i="4"/>
  <c r="N445" i="4"/>
  <c r="M445" i="4"/>
  <c r="L445" i="4"/>
  <c r="K445" i="4"/>
  <c r="I445" i="4"/>
  <c r="H445" i="4"/>
  <c r="O444" i="4"/>
  <c r="N444" i="4"/>
  <c r="M444" i="4"/>
  <c r="L444" i="4"/>
  <c r="K444" i="4"/>
  <c r="I444" i="4"/>
  <c r="H444" i="4"/>
  <c r="O443" i="4"/>
  <c r="N443" i="4"/>
  <c r="M443" i="4"/>
  <c r="L443" i="4"/>
  <c r="K443" i="4"/>
  <c r="I443" i="4"/>
  <c r="H443" i="4"/>
  <c r="O442" i="4"/>
  <c r="N442" i="4"/>
  <c r="M442" i="4"/>
  <c r="L442" i="4"/>
  <c r="K442" i="4"/>
  <c r="I442" i="4"/>
  <c r="H442" i="4"/>
  <c r="O441" i="4"/>
  <c r="N441" i="4"/>
  <c r="M441" i="4"/>
  <c r="L441" i="4"/>
  <c r="K441" i="4"/>
  <c r="I441" i="4"/>
  <c r="H441" i="4"/>
  <c r="O440" i="4"/>
  <c r="N440" i="4"/>
  <c r="M440" i="4"/>
  <c r="L440" i="4"/>
  <c r="K440" i="4"/>
  <c r="I440" i="4"/>
  <c r="H440" i="4"/>
  <c r="O439" i="4"/>
  <c r="N439" i="4"/>
  <c r="M439" i="4"/>
  <c r="L439" i="4"/>
  <c r="K439" i="4"/>
  <c r="I439" i="4"/>
  <c r="H439" i="4"/>
  <c r="O438" i="4"/>
  <c r="N438" i="4"/>
  <c r="M438" i="4"/>
  <c r="L438" i="4"/>
  <c r="K438" i="4"/>
  <c r="I438" i="4"/>
  <c r="H438" i="4"/>
  <c r="O437" i="4"/>
  <c r="N437" i="4"/>
  <c r="M437" i="4"/>
  <c r="L437" i="4"/>
  <c r="K437" i="4"/>
  <c r="I437" i="4"/>
  <c r="H437" i="4"/>
  <c r="O436" i="4"/>
  <c r="N436" i="4"/>
  <c r="M436" i="4"/>
  <c r="L436" i="4"/>
  <c r="K436" i="4"/>
  <c r="I436" i="4"/>
  <c r="H436" i="4"/>
  <c r="O435" i="4"/>
  <c r="N435" i="4"/>
  <c r="M435" i="4"/>
  <c r="L435" i="4"/>
  <c r="K435" i="4"/>
  <c r="I435" i="4"/>
  <c r="H435" i="4"/>
  <c r="O434" i="4"/>
  <c r="N434" i="4"/>
  <c r="M434" i="4"/>
  <c r="L434" i="4"/>
  <c r="K434" i="4"/>
  <c r="I434" i="4"/>
  <c r="H434" i="4"/>
  <c r="O433" i="4"/>
  <c r="N433" i="4"/>
  <c r="M433" i="4"/>
  <c r="L433" i="4"/>
  <c r="K433" i="4"/>
  <c r="I433" i="4"/>
  <c r="H433" i="4"/>
  <c r="O432" i="4"/>
  <c r="N432" i="4"/>
  <c r="M432" i="4"/>
  <c r="L432" i="4"/>
  <c r="K432" i="4"/>
  <c r="I432" i="4"/>
  <c r="H432" i="4"/>
  <c r="O431" i="4"/>
  <c r="N431" i="4"/>
  <c r="M431" i="4"/>
  <c r="L431" i="4"/>
  <c r="K431" i="4"/>
  <c r="I431" i="4"/>
  <c r="H431" i="4"/>
  <c r="O430" i="4"/>
  <c r="N430" i="4"/>
  <c r="M430" i="4"/>
  <c r="L430" i="4"/>
  <c r="K430" i="4"/>
  <c r="I430" i="4"/>
  <c r="H430" i="4"/>
  <c r="O429" i="4"/>
  <c r="N429" i="4"/>
  <c r="M429" i="4"/>
  <c r="L429" i="4"/>
  <c r="K429" i="4"/>
  <c r="I429" i="4"/>
  <c r="H429" i="4"/>
  <c r="O428" i="4"/>
  <c r="N428" i="4"/>
  <c r="M428" i="4"/>
  <c r="L428" i="4"/>
  <c r="K428" i="4"/>
  <c r="I428" i="4"/>
  <c r="H428" i="4"/>
  <c r="O427" i="4"/>
  <c r="N427" i="4"/>
  <c r="M427" i="4"/>
  <c r="L427" i="4"/>
  <c r="K427" i="4"/>
  <c r="I427" i="4"/>
  <c r="H427" i="4"/>
  <c r="O426" i="4"/>
  <c r="N426" i="4"/>
  <c r="M426" i="4"/>
  <c r="L426" i="4"/>
  <c r="K426" i="4"/>
  <c r="I426" i="4"/>
  <c r="H426" i="4"/>
  <c r="O425" i="4"/>
  <c r="N425" i="4"/>
  <c r="M425" i="4"/>
  <c r="L425" i="4"/>
  <c r="K425" i="4"/>
  <c r="I425" i="4"/>
  <c r="H425" i="4"/>
  <c r="O424" i="4"/>
  <c r="N424" i="4"/>
  <c r="M424" i="4"/>
  <c r="L424" i="4"/>
  <c r="K424" i="4"/>
  <c r="I424" i="4"/>
  <c r="H424" i="4"/>
  <c r="O423" i="4"/>
  <c r="N423" i="4"/>
  <c r="M423" i="4"/>
  <c r="L423" i="4"/>
  <c r="K423" i="4"/>
  <c r="I423" i="4"/>
  <c r="H423" i="4"/>
  <c r="O422" i="4"/>
  <c r="N422" i="4"/>
  <c r="M422" i="4"/>
  <c r="L422" i="4"/>
  <c r="K422" i="4"/>
  <c r="I422" i="4"/>
  <c r="H422" i="4"/>
  <c r="O421" i="4"/>
  <c r="N421" i="4"/>
  <c r="M421" i="4"/>
  <c r="L421" i="4"/>
  <c r="K421" i="4"/>
  <c r="I421" i="4"/>
  <c r="H421" i="4"/>
  <c r="O420" i="4"/>
  <c r="N420" i="4"/>
  <c r="M420" i="4"/>
  <c r="L420" i="4"/>
  <c r="K420" i="4"/>
  <c r="I420" i="4"/>
  <c r="H420" i="4"/>
  <c r="O419" i="4"/>
  <c r="N419" i="4"/>
  <c r="M419" i="4"/>
  <c r="L419" i="4"/>
  <c r="K419" i="4"/>
  <c r="I419" i="4"/>
  <c r="H419" i="4"/>
  <c r="O418" i="4"/>
  <c r="N418" i="4"/>
  <c r="M418" i="4"/>
  <c r="L418" i="4"/>
  <c r="K418" i="4"/>
  <c r="I418" i="4"/>
  <c r="H418" i="4"/>
  <c r="O417" i="4"/>
  <c r="N417" i="4"/>
  <c r="M417" i="4"/>
  <c r="L417" i="4"/>
  <c r="K417" i="4"/>
  <c r="I417" i="4"/>
  <c r="H417" i="4"/>
  <c r="O416" i="4"/>
  <c r="N416" i="4"/>
  <c r="M416" i="4"/>
  <c r="L416" i="4"/>
  <c r="K416" i="4"/>
  <c r="I416" i="4"/>
  <c r="H416" i="4"/>
  <c r="O415" i="4"/>
  <c r="N415" i="4"/>
  <c r="M415" i="4"/>
  <c r="L415" i="4"/>
  <c r="K415" i="4"/>
  <c r="I415" i="4"/>
  <c r="H415" i="4"/>
  <c r="O414" i="4"/>
  <c r="N414" i="4"/>
  <c r="M414" i="4"/>
  <c r="L414" i="4"/>
  <c r="K414" i="4"/>
  <c r="I414" i="4"/>
  <c r="H414" i="4"/>
  <c r="O413" i="4"/>
  <c r="N413" i="4"/>
  <c r="M413" i="4"/>
  <c r="L413" i="4"/>
  <c r="K413" i="4"/>
  <c r="I413" i="4"/>
  <c r="H413" i="4"/>
  <c r="O412" i="4"/>
  <c r="N412" i="4"/>
  <c r="M412" i="4"/>
  <c r="L412" i="4"/>
  <c r="K412" i="4"/>
  <c r="I412" i="4"/>
  <c r="H412" i="4"/>
  <c r="O411" i="4"/>
  <c r="N411" i="4"/>
  <c r="M411" i="4"/>
  <c r="L411" i="4"/>
  <c r="K411" i="4"/>
  <c r="I411" i="4"/>
  <c r="H411" i="4"/>
  <c r="O410" i="4"/>
  <c r="N410" i="4"/>
  <c r="M410" i="4"/>
  <c r="L410" i="4"/>
  <c r="K410" i="4"/>
  <c r="I410" i="4"/>
  <c r="H410" i="4"/>
  <c r="O409" i="4"/>
  <c r="N409" i="4"/>
  <c r="M409" i="4"/>
  <c r="L409" i="4"/>
  <c r="K409" i="4"/>
  <c r="I409" i="4"/>
  <c r="H409" i="4"/>
  <c r="O408" i="4"/>
  <c r="N408" i="4"/>
  <c r="M408" i="4"/>
  <c r="L408" i="4"/>
  <c r="K408" i="4"/>
  <c r="I408" i="4"/>
  <c r="H408" i="4"/>
  <c r="O407" i="4"/>
  <c r="N407" i="4"/>
  <c r="M407" i="4"/>
  <c r="L407" i="4"/>
  <c r="K407" i="4"/>
  <c r="I407" i="4"/>
  <c r="H407" i="4"/>
  <c r="O406" i="4"/>
  <c r="N406" i="4"/>
  <c r="M406" i="4"/>
  <c r="L406" i="4"/>
  <c r="K406" i="4"/>
  <c r="I406" i="4"/>
  <c r="H406" i="4"/>
  <c r="O405" i="4"/>
  <c r="N405" i="4"/>
  <c r="M405" i="4"/>
  <c r="L405" i="4"/>
  <c r="K405" i="4"/>
  <c r="I405" i="4"/>
  <c r="H405" i="4"/>
  <c r="O404" i="4"/>
  <c r="N404" i="4"/>
  <c r="M404" i="4"/>
  <c r="L404" i="4"/>
  <c r="K404" i="4"/>
  <c r="I404" i="4"/>
  <c r="H404" i="4"/>
  <c r="O403" i="4"/>
  <c r="N403" i="4"/>
  <c r="M403" i="4"/>
  <c r="L403" i="4"/>
  <c r="K403" i="4"/>
  <c r="I403" i="4"/>
  <c r="H403" i="4"/>
  <c r="O402" i="4"/>
  <c r="N402" i="4"/>
  <c r="M402" i="4"/>
  <c r="L402" i="4"/>
  <c r="K402" i="4"/>
  <c r="I402" i="4"/>
  <c r="H402" i="4"/>
  <c r="O401" i="4"/>
  <c r="N401" i="4"/>
  <c r="M401" i="4"/>
  <c r="L401" i="4"/>
  <c r="K401" i="4"/>
  <c r="I401" i="4"/>
  <c r="H401" i="4"/>
  <c r="O400" i="4"/>
  <c r="N400" i="4"/>
  <c r="M400" i="4"/>
  <c r="L400" i="4"/>
  <c r="K400" i="4"/>
  <c r="I400" i="4"/>
  <c r="H400" i="4"/>
  <c r="O399" i="4"/>
  <c r="N399" i="4"/>
  <c r="M399" i="4"/>
  <c r="L399" i="4"/>
  <c r="K399" i="4"/>
  <c r="I399" i="4"/>
  <c r="H399" i="4"/>
  <c r="O398" i="4"/>
  <c r="N398" i="4"/>
  <c r="M398" i="4"/>
  <c r="L398" i="4"/>
  <c r="K398" i="4"/>
  <c r="I398" i="4"/>
  <c r="H398" i="4"/>
  <c r="O397" i="4"/>
  <c r="N397" i="4"/>
  <c r="M397" i="4"/>
  <c r="L397" i="4"/>
  <c r="K397" i="4"/>
  <c r="I397" i="4"/>
  <c r="H397" i="4"/>
  <c r="O396" i="4"/>
  <c r="N396" i="4"/>
  <c r="M396" i="4"/>
  <c r="L396" i="4"/>
  <c r="K396" i="4"/>
  <c r="I396" i="4"/>
  <c r="H396" i="4"/>
  <c r="O395" i="4"/>
  <c r="N395" i="4"/>
  <c r="M395" i="4"/>
  <c r="L395" i="4"/>
  <c r="K395" i="4"/>
  <c r="I395" i="4"/>
  <c r="H395" i="4"/>
  <c r="O394" i="4"/>
  <c r="N394" i="4"/>
  <c r="M394" i="4"/>
  <c r="L394" i="4"/>
  <c r="K394" i="4"/>
  <c r="I394" i="4"/>
  <c r="H394" i="4"/>
  <c r="O393" i="4"/>
  <c r="N393" i="4"/>
  <c r="M393" i="4"/>
  <c r="L393" i="4"/>
  <c r="K393" i="4"/>
  <c r="I393" i="4"/>
  <c r="H393" i="4"/>
  <c r="O392" i="4"/>
  <c r="N392" i="4"/>
  <c r="M392" i="4"/>
  <c r="L392" i="4"/>
  <c r="K392" i="4"/>
  <c r="I392" i="4"/>
  <c r="H392" i="4"/>
  <c r="O391" i="4"/>
  <c r="N391" i="4"/>
  <c r="M391" i="4"/>
  <c r="L391" i="4"/>
  <c r="K391" i="4"/>
  <c r="I391" i="4"/>
  <c r="H391" i="4"/>
  <c r="O390" i="4"/>
  <c r="N390" i="4"/>
  <c r="M390" i="4"/>
  <c r="L390" i="4"/>
  <c r="K390" i="4"/>
  <c r="I390" i="4"/>
  <c r="H390" i="4"/>
  <c r="O389" i="4"/>
  <c r="N389" i="4"/>
  <c r="M389" i="4"/>
  <c r="L389" i="4"/>
  <c r="K389" i="4"/>
  <c r="I389" i="4"/>
  <c r="H389" i="4"/>
  <c r="O388" i="4"/>
  <c r="N388" i="4"/>
  <c r="M388" i="4"/>
  <c r="L388" i="4"/>
  <c r="K388" i="4"/>
  <c r="I388" i="4"/>
  <c r="H388" i="4"/>
  <c r="O387" i="4"/>
  <c r="N387" i="4"/>
  <c r="M387" i="4"/>
  <c r="L387" i="4"/>
  <c r="K387" i="4"/>
  <c r="I387" i="4"/>
  <c r="H387" i="4"/>
  <c r="O386" i="4"/>
  <c r="N386" i="4"/>
  <c r="M386" i="4"/>
  <c r="L386" i="4"/>
  <c r="K386" i="4"/>
  <c r="I386" i="4"/>
  <c r="H386" i="4"/>
  <c r="O385" i="4"/>
  <c r="N385" i="4"/>
  <c r="M385" i="4"/>
  <c r="L385" i="4"/>
  <c r="K385" i="4"/>
  <c r="I385" i="4"/>
  <c r="H385" i="4"/>
  <c r="O384" i="4"/>
  <c r="N384" i="4"/>
  <c r="M384" i="4"/>
  <c r="L384" i="4"/>
  <c r="K384" i="4"/>
  <c r="I384" i="4"/>
  <c r="H384" i="4"/>
  <c r="O383" i="4"/>
  <c r="N383" i="4"/>
  <c r="M383" i="4"/>
  <c r="L383" i="4"/>
  <c r="K383" i="4"/>
  <c r="I383" i="4"/>
  <c r="H383" i="4"/>
  <c r="O382" i="4"/>
  <c r="N382" i="4"/>
  <c r="M382" i="4"/>
  <c r="L382" i="4"/>
  <c r="K382" i="4"/>
  <c r="I382" i="4"/>
  <c r="H382" i="4"/>
  <c r="O381" i="4"/>
  <c r="N381" i="4"/>
  <c r="M381" i="4"/>
  <c r="L381" i="4"/>
  <c r="K381" i="4"/>
  <c r="I381" i="4"/>
  <c r="H381" i="4"/>
  <c r="O380" i="4"/>
  <c r="N380" i="4"/>
  <c r="M380" i="4"/>
  <c r="L380" i="4"/>
  <c r="K380" i="4"/>
  <c r="I380" i="4"/>
  <c r="H380" i="4"/>
  <c r="O379" i="4"/>
  <c r="N379" i="4"/>
  <c r="M379" i="4"/>
  <c r="L379" i="4"/>
  <c r="K379" i="4"/>
  <c r="I379" i="4"/>
  <c r="H379" i="4"/>
  <c r="O378" i="4"/>
  <c r="N378" i="4"/>
  <c r="M378" i="4"/>
  <c r="L378" i="4"/>
  <c r="K378" i="4"/>
  <c r="I378" i="4"/>
  <c r="H378" i="4"/>
  <c r="O377" i="4"/>
  <c r="N377" i="4"/>
  <c r="M377" i="4"/>
  <c r="L377" i="4"/>
  <c r="K377" i="4"/>
  <c r="I377" i="4"/>
  <c r="H377" i="4"/>
  <c r="O376" i="4"/>
  <c r="N376" i="4"/>
  <c r="M376" i="4"/>
  <c r="L376" i="4"/>
  <c r="K376" i="4"/>
  <c r="I376" i="4"/>
  <c r="H376" i="4"/>
  <c r="O375" i="4"/>
  <c r="N375" i="4"/>
  <c r="M375" i="4"/>
  <c r="L375" i="4"/>
  <c r="K375" i="4"/>
  <c r="I375" i="4"/>
  <c r="H375" i="4"/>
  <c r="O374" i="4"/>
  <c r="N374" i="4"/>
  <c r="M374" i="4"/>
  <c r="L374" i="4"/>
  <c r="K374" i="4"/>
  <c r="I374" i="4"/>
  <c r="H374" i="4"/>
  <c r="O373" i="4"/>
  <c r="N373" i="4"/>
  <c r="M373" i="4"/>
  <c r="L373" i="4"/>
  <c r="K373" i="4"/>
  <c r="I373" i="4"/>
  <c r="H373" i="4"/>
  <c r="O372" i="4"/>
  <c r="N372" i="4"/>
  <c r="M372" i="4"/>
  <c r="L372" i="4"/>
  <c r="K372" i="4"/>
  <c r="I372" i="4"/>
  <c r="H372" i="4"/>
  <c r="O371" i="4"/>
  <c r="N371" i="4"/>
  <c r="M371" i="4"/>
  <c r="L371" i="4"/>
  <c r="K371" i="4"/>
  <c r="I371" i="4"/>
  <c r="H371" i="4"/>
  <c r="O370" i="4"/>
  <c r="N370" i="4"/>
  <c r="M370" i="4"/>
  <c r="L370" i="4"/>
  <c r="K370" i="4"/>
  <c r="I370" i="4"/>
  <c r="H370" i="4"/>
  <c r="O369" i="4"/>
  <c r="N369" i="4"/>
  <c r="M369" i="4"/>
  <c r="L369" i="4"/>
  <c r="K369" i="4"/>
  <c r="I369" i="4"/>
  <c r="H369" i="4"/>
  <c r="O368" i="4"/>
  <c r="N368" i="4"/>
  <c r="M368" i="4"/>
  <c r="L368" i="4"/>
  <c r="K368" i="4"/>
  <c r="I368" i="4"/>
  <c r="H368" i="4"/>
  <c r="O367" i="4"/>
  <c r="N367" i="4"/>
  <c r="M367" i="4"/>
  <c r="L367" i="4"/>
  <c r="K367" i="4"/>
  <c r="I367" i="4"/>
  <c r="H367" i="4"/>
  <c r="O366" i="4"/>
  <c r="N366" i="4"/>
  <c r="M366" i="4"/>
  <c r="L366" i="4"/>
  <c r="K366" i="4"/>
  <c r="I366" i="4"/>
  <c r="H366" i="4"/>
  <c r="O365" i="4"/>
  <c r="N365" i="4"/>
  <c r="M365" i="4"/>
  <c r="L365" i="4"/>
  <c r="K365" i="4"/>
  <c r="I365" i="4"/>
  <c r="H365" i="4"/>
  <c r="O364" i="4"/>
  <c r="N364" i="4"/>
  <c r="M364" i="4"/>
  <c r="L364" i="4"/>
  <c r="K364" i="4"/>
  <c r="I364" i="4"/>
  <c r="H364" i="4"/>
  <c r="O363" i="4"/>
  <c r="N363" i="4"/>
  <c r="M363" i="4"/>
  <c r="L363" i="4"/>
  <c r="K363" i="4"/>
  <c r="I363" i="4"/>
  <c r="H363" i="4"/>
  <c r="O362" i="4"/>
  <c r="N362" i="4"/>
  <c r="M362" i="4"/>
  <c r="L362" i="4"/>
  <c r="K362" i="4"/>
  <c r="I362" i="4"/>
  <c r="H362" i="4"/>
  <c r="O361" i="4"/>
  <c r="N361" i="4"/>
  <c r="M361" i="4"/>
  <c r="L361" i="4"/>
  <c r="K361" i="4"/>
  <c r="I361" i="4"/>
  <c r="H361" i="4"/>
  <c r="O360" i="4"/>
  <c r="N360" i="4"/>
  <c r="M360" i="4"/>
  <c r="L360" i="4"/>
  <c r="K360" i="4"/>
  <c r="I360" i="4"/>
  <c r="H360" i="4"/>
  <c r="O359" i="4"/>
  <c r="N359" i="4"/>
  <c r="M359" i="4"/>
  <c r="L359" i="4"/>
  <c r="K359" i="4"/>
  <c r="I359" i="4"/>
  <c r="H359" i="4"/>
  <c r="O358" i="4"/>
  <c r="N358" i="4"/>
  <c r="M358" i="4"/>
  <c r="L358" i="4"/>
  <c r="K358" i="4"/>
  <c r="I358" i="4"/>
  <c r="H358" i="4"/>
  <c r="O357" i="4"/>
  <c r="N357" i="4"/>
  <c r="M357" i="4"/>
  <c r="L357" i="4"/>
  <c r="K357" i="4"/>
  <c r="I357" i="4"/>
  <c r="H357" i="4"/>
  <c r="O356" i="4"/>
  <c r="N356" i="4"/>
  <c r="M356" i="4"/>
  <c r="L356" i="4"/>
  <c r="K356" i="4"/>
  <c r="I356" i="4"/>
  <c r="H356" i="4"/>
  <c r="O355" i="4"/>
  <c r="N355" i="4"/>
  <c r="M355" i="4"/>
  <c r="L355" i="4"/>
  <c r="K355" i="4"/>
  <c r="I355" i="4"/>
  <c r="H355" i="4"/>
  <c r="O354" i="4"/>
  <c r="N354" i="4"/>
  <c r="M354" i="4"/>
  <c r="L354" i="4"/>
  <c r="K354" i="4"/>
  <c r="I354" i="4"/>
  <c r="H354" i="4"/>
  <c r="O353" i="4"/>
  <c r="N353" i="4"/>
  <c r="M353" i="4"/>
  <c r="L353" i="4"/>
  <c r="K353" i="4"/>
  <c r="I353" i="4"/>
  <c r="H353" i="4"/>
  <c r="O352" i="4"/>
  <c r="N352" i="4"/>
  <c r="M352" i="4"/>
  <c r="L352" i="4"/>
  <c r="K352" i="4"/>
  <c r="I352" i="4"/>
  <c r="H352" i="4"/>
  <c r="O351" i="4"/>
  <c r="N351" i="4"/>
  <c r="M351" i="4"/>
  <c r="L351" i="4"/>
  <c r="K351" i="4"/>
  <c r="I351" i="4"/>
  <c r="H351" i="4"/>
  <c r="O350" i="4"/>
  <c r="N350" i="4"/>
  <c r="M350" i="4"/>
  <c r="L350" i="4"/>
  <c r="K350" i="4"/>
  <c r="I350" i="4"/>
  <c r="H350" i="4"/>
  <c r="O349" i="4"/>
  <c r="N349" i="4"/>
  <c r="M349" i="4"/>
  <c r="L349" i="4"/>
  <c r="K349" i="4"/>
  <c r="I349" i="4"/>
  <c r="H349" i="4"/>
  <c r="O348" i="4"/>
  <c r="N348" i="4"/>
  <c r="M348" i="4"/>
  <c r="L348" i="4"/>
  <c r="K348" i="4"/>
  <c r="I348" i="4"/>
  <c r="H348" i="4"/>
  <c r="O347" i="4"/>
  <c r="N347" i="4"/>
  <c r="M347" i="4"/>
  <c r="L347" i="4"/>
  <c r="K347" i="4"/>
  <c r="I347" i="4"/>
  <c r="H347" i="4"/>
  <c r="O346" i="4"/>
  <c r="N346" i="4"/>
  <c r="M346" i="4"/>
  <c r="L346" i="4"/>
  <c r="K346" i="4"/>
  <c r="I346" i="4"/>
  <c r="H346" i="4"/>
  <c r="O345" i="4"/>
  <c r="N345" i="4"/>
  <c r="M345" i="4"/>
  <c r="L345" i="4"/>
  <c r="K345" i="4"/>
  <c r="I345" i="4"/>
  <c r="H345" i="4"/>
  <c r="O344" i="4"/>
  <c r="N344" i="4"/>
  <c r="M344" i="4"/>
  <c r="L344" i="4"/>
  <c r="K344" i="4"/>
  <c r="I344" i="4"/>
  <c r="H344" i="4"/>
  <c r="O343" i="4"/>
  <c r="N343" i="4"/>
  <c r="M343" i="4"/>
  <c r="L343" i="4"/>
  <c r="K343" i="4"/>
  <c r="I343" i="4"/>
  <c r="H343" i="4"/>
  <c r="O342" i="4"/>
  <c r="N342" i="4"/>
  <c r="M342" i="4"/>
  <c r="L342" i="4"/>
  <c r="K342" i="4"/>
  <c r="I342" i="4"/>
  <c r="H342" i="4"/>
  <c r="O341" i="4"/>
  <c r="N341" i="4"/>
  <c r="M341" i="4"/>
  <c r="L341" i="4"/>
  <c r="K341" i="4"/>
  <c r="I341" i="4"/>
  <c r="H341" i="4"/>
  <c r="O340" i="4"/>
  <c r="N340" i="4"/>
  <c r="M340" i="4"/>
  <c r="L340" i="4"/>
  <c r="K340" i="4"/>
  <c r="I340" i="4"/>
  <c r="H340" i="4"/>
  <c r="O339" i="4"/>
  <c r="N339" i="4"/>
  <c r="M339" i="4"/>
  <c r="L339" i="4"/>
  <c r="K339" i="4"/>
  <c r="I339" i="4"/>
  <c r="H339" i="4"/>
  <c r="O338" i="4"/>
  <c r="N338" i="4"/>
  <c r="M338" i="4"/>
  <c r="L338" i="4"/>
  <c r="K338" i="4"/>
  <c r="I338" i="4"/>
  <c r="H338" i="4"/>
  <c r="O337" i="4"/>
  <c r="N337" i="4"/>
  <c r="M337" i="4"/>
  <c r="L337" i="4"/>
  <c r="K337" i="4"/>
  <c r="I337" i="4"/>
  <c r="H337" i="4"/>
  <c r="O336" i="4"/>
  <c r="N336" i="4"/>
  <c r="M336" i="4"/>
  <c r="L336" i="4"/>
  <c r="K336" i="4"/>
  <c r="I336" i="4"/>
  <c r="H336" i="4"/>
  <c r="O335" i="4"/>
  <c r="N335" i="4"/>
  <c r="M335" i="4"/>
  <c r="L335" i="4"/>
  <c r="K335" i="4"/>
  <c r="I335" i="4"/>
  <c r="H335" i="4"/>
  <c r="O334" i="4"/>
  <c r="N334" i="4"/>
  <c r="M334" i="4"/>
  <c r="L334" i="4"/>
  <c r="K334" i="4"/>
  <c r="I334" i="4"/>
  <c r="H334" i="4"/>
  <c r="O333" i="4"/>
  <c r="N333" i="4"/>
  <c r="M333" i="4"/>
  <c r="L333" i="4"/>
  <c r="K333" i="4"/>
  <c r="I333" i="4"/>
  <c r="H333" i="4"/>
  <c r="O332" i="4"/>
  <c r="N332" i="4"/>
  <c r="M332" i="4"/>
  <c r="L332" i="4"/>
  <c r="K332" i="4"/>
  <c r="I332" i="4"/>
  <c r="H332" i="4"/>
  <c r="O331" i="4"/>
  <c r="N331" i="4"/>
  <c r="M331" i="4"/>
  <c r="L331" i="4"/>
  <c r="K331" i="4"/>
  <c r="I331" i="4"/>
  <c r="H331" i="4"/>
  <c r="O330" i="4"/>
  <c r="N330" i="4"/>
  <c r="M330" i="4"/>
  <c r="L330" i="4"/>
  <c r="K330" i="4"/>
  <c r="I330" i="4"/>
  <c r="H330" i="4"/>
  <c r="O329" i="4"/>
  <c r="N329" i="4"/>
  <c r="M329" i="4"/>
  <c r="L329" i="4"/>
  <c r="K329" i="4"/>
  <c r="I329" i="4"/>
  <c r="H329" i="4"/>
  <c r="O328" i="4"/>
  <c r="N328" i="4"/>
  <c r="M328" i="4"/>
  <c r="L328" i="4"/>
  <c r="K328" i="4"/>
  <c r="I328" i="4"/>
  <c r="H328" i="4"/>
  <c r="O327" i="4"/>
  <c r="N327" i="4"/>
  <c r="M327" i="4"/>
  <c r="L327" i="4"/>
  <c r="K327" i="4"/>
  <c r="I327" i="4"/>
  <c r="H327" i="4"/>
  <c r="O326" i="4"/>
  <c r="N326" i="4"/>
  <c r="M326" i="4"/>
  <c r="L326" i="4"/>
  <c r="K326" i="4"/>
  <c r="I326" i="4"/>
  <c r="H326" i="4"/>
  <c r="O325" i="4"/>
  <c r="N325" i="4"/>
  <c r="M325" i="4"/>
  <c r="L325" i="4"/>
  <c r="K325" i="4"/>
  <c r="I325" i="4"/>
  <c r="H325" i="4"/>
  <c r="O324" i="4"/>
  <c r="N324" i="4"/>
  <c r="M324" i="4"/>
  <c r="L324" i="4"/>
  <c r="K324" i="4"/>
  <c r="I324" i="4"/>
  <c r="H324" i="4"/>
  <c r="O323" i="4"/>
  <c r="N323" i="4"/>
  <c r="M323" i="4"/>
  <c r="L323" i="4"/>
  <c r="K323" i="4"/>
  <c r="I323" i="4"/>
  <c r="H323" i="4"/>
  <c r="O322" i="4"/>
  <c r="N322" i="4"/>
  <c r="M322" i="4"/>
  <c r="L322" i="4"/>
  <c r="K322" i="4"/>
  <c r="I322" i="4"/>
  <c r="H322" i="4"/>
  <c r="O321" i="4"/>
  <c r="N321" i="4"/>
  <c r="M321" i="4"/>
  <c r="L321" i="4"/>
  <c r="K321" i="4"/>
  <c r="I321" i="4"/>
  <c r="H321" i="4"/>
  <c r="O320" i="4"/>
  <c r="N320" i="4"/>
  <c r="M320" i="4"/>
  <c r="L320" i="4"/>
  <c r="K320" i="4"/>
  <c r="I320" i="4"/>
  <c r="H320" i="4"/>
  <c r="O319" i="4"/>
  <c r="N319" i="4"/>
  <c r="M319" i="4"/>
  <c r="L319" i="4"/>
  <c r="K319" i="4"/>
  <c r="I319" i="4"/>
  <c r="H319" i="4"/>
  <c r="O318" i="4"/>
  <c r="N318" i="4"/>
  <c r="M318" i="4"/>
  <c r="L318" i="4"/>
  <c r="K318" i="4"/>
  <c r="I318" i="4"/>
  <c r="H318" i="4"/>
  <c r="O317" i="4"/>
  <c r="N317" i="4"/>
  <c r="M317" i="4"/>
  <c r="L317" i="4"/>
  <c r="K317" i="4"/>
  <c r="I317" i="4"/>
  <c r="H317" i="4"/>
  <c r="O316" i="4"/>
  <c r="N316" i="4"/>
  <c r="M316" i="4"/>
  <c r="L316" i="4"/>
  <c r="K316" i="4"/>
  <c r="I316" i="4"/>
  <c r="H316" i="4"/>
  <c r="O315" i="4"/>
  <c r="N315" i="4"/>
  <c r="M315" i="4"/>
  <c r="L315" i="4"/>
  <c r="K315" i="4"/>
  <c r="I315" i="4"/>
  <c r="H315" i="4"/>
  <c r="O314" i="4"/>
  <c r="N314" i="4"/>
  <c r="M314" i="4"/>
  <c r="L314" i="4"/>
  <c r="K314" i="4"/>
  <c r="I314" i="4"/>
  <c r="H314" i="4"/>
  <c r="O313" i="4"/>
  <c r="N313" i="4"/>
  <c r="M313" i="4"/>
  <c r="L313" i="4"/>
  <c r="K313" i="4"/>
  <c r="I313" i="4"/>
  <c r="H313" i="4"/>
  <c r="O312" i="4"/>
  <c r="N312" i="4"/>
  <c r="M312" i="4"/>
  <c r="L312" i="4"/>
  <c r="K312" i="4"/>
  <c r="I312" i="4"/>
  <c r="H312" i="4"/>
  <c r="O311" i="4"/>
  <c r="N311" i="4"/>
  <c r="M311" i="4"/>
  <c r="L311" i="4"/>
  <c r="K311" i="4"/>
  <c r="I311" i="4"/>
  <c r="H311" i="4"/>
  <c r="O310" i="4"/>
  <c r="N310" i="4"/>
  <c r="M310" i="4"/>
  <c r="L310" i="4"/>
  <c r="K310" i="4"/>
  <c r="I310" i="4"/>
  <c r="H310" i="4"/>
  <c r="O309" i="4"/>
  <c r="N309" i="4"/>
  <c r="M309" i="4"/>
  <c r="L309" i="4"/>
  <c r="K309" i="4"/>
  <c r="I309" i="4"/>
  <c r="H309" i="4"/>
  <c r="O308" i="4"/>
  <c r="N308" i="4"/>
  <c r="M308" i="4"/>
  <c r="L308" i="4"/>
  <c r="K308" i="4"/>
  <c r="I308" i="4"/>
  <c r="H308" i="4"/>
  <c r="O307" i="4"/>
  <c r="N307" i="4"/>
  <c r="M307" i="4"/>
  <c r="L307" i="4"/>
  <c r="K307" i="4"/>
  <c r="I307" i="4"/>
  <c r="H307" i="4"/>
  <c r="O306" i="4"/>
  <c r="N306" i="4"/>
  <c r="M306" i="4"/>
  <c r="L306" i="4"/>
  <c r="K306" i="4"/>
  <c r="I306" i="4"/>
  <c r="H306" i="4"/>
  <c r="O305" i="4"/>
  <c r="N305" i="4"/>
  <c r="M305" i="4"/>
  <c r="L305" i="4"/>
  <c r="K305" i="4"/>
  <c r="I305" i="4"/>
  <c r="H305" i="4"/>
  <c r="O304" i="4"/>
  <c r="N304" i="4"/>
  <c r="M304" i="4"/>
  <c r="L304" i="4"/>
  <c r="K304" i="4"/>
  <c r="I304" i="4"/>
  <c r="H304" i="4"/>
  <c r="O303" i="4"/>
  <c r="N303" i="4"/>
  <c r="M303" i="4"/>
  <c r="L303" i="4"/>
  <c r="K303" i="4"/>
  <c r="I303" i="4"/>
  <c r="H303" i="4"/>
  <c r="O302" i="4"/>
  <c r="N302" i="4"/>
  <c r="M302" i="4"/>
  <c r="L302" i="4"/>
  <c r="K302" i="4"/>
  <c r="I302" i="4"/>
  <c r="H302" i="4"/>
  <c r="O301" i="4"/>
  <c r="N301" i="4"/>
  <c r="M301" i="4"/>
  <c r="L301" i="4"/>
  <c r="K301" i="4"/>
  <c r="I301" i="4"/>
  <c r="H301" i="4"/>
  <c r="O300" i="4"/>
  <c r="N300" i="4"/>
  <c r="M300" i="4"/>
  <c r="L300" i="4"/>
  <c r="K300" i="4"/>
  <c r="I300" i="4"/>
  <c r="H300" i="4"/>
  <c r="O299" i="4"/>
  <c r="N299" i="4"/>
  <c r="M299" i="4"/>
  <c r="L299" i="4"/>
  <c r="K299" i="4"/>
  <c r="I299" i="4"/>
  <c r="H299" i="4"/>
  <c r="O298" i="4"/>
  <c r="N298" i="4"/>
  <c r="M298" i="4"/>
  <c r="L298" i="4"/>
  <c r="K298" i="4"/>
  <c r="I298" i="4"/>
  <c r="H298" i="4"/>
  <c r="O297" i="4"/>
  <c r="N297" i="4"/>
  <c r="M297" i="4"/>
  <c r="L297" i="4"/>
  <c r="K297" i="4"/>
  <c r="I297" i="4"/>
  <c r="H297" i="4"/>
  <c r="O296" i="4"/>
  <c r="N296" i="4"/>
  <c r="M296" i="4"/>
  <c r="L296" i="4"/>
  <c r="K296" i="4"/>
  <c r="I296" i="4"/>
  <c r="H296" i="4"/>
  <c r="O295" i="4"/>
  <c r="N295" i="4"/>
  <c r="M295" i="4"/>
  <c r="L295" i="4"/>
  <c r="K295" i="4"/>
  <c r="I295" i="4"/>
  <c r="H295" i="4"/>
  <c r="O294" i="4"/>
  <c r="N294" i="4"/>
  <c r="M294" i="4"/>
  <c r="L294" i="4"/>
  <c r="K294" i="4"/>
  <c r="I294" i="4"/>
  <c r="H294" i="4"/>
  <c r="O293" i="4"/>
  <c r="N293" i="4"/>
  <c r="M293" i="4"/>
  <c r="L293" i="4"/>
  <c r="K293" i="4"/>
  <c r="I293" i="4"/>
  <c r="H293" i="4"/>
  <c r="O292" i="4"/>
  <c r="N292" i="4"/>
  <c r="M292" i="4"/>
  <c r="L292" i="4"/>
  <c r="K292" i="4"/>
  <c r="I292" i="4"/>
  <c r="H292" i="4"/>
  <c r="O291" i="4"/>
  <c r="N291" i="4"/>
  <c r="M291" i="4"/>
  <c r="L291" i="4"/>
  <c r="K291" i="4"/>
  <c r="I291" i="4"/>
  <c r="H291" i="4"/>
  <c r="O290" i="4"/>
  <c r="N290" i="4"/>
  <c r="M290" i="4"/>
  <c r="L290" i="4"/>
  <c r="K290" i="4"/>
  <c r="I290" i="4"/>
  <c r="H290" i="4"/>
  <c r="O289" i="4"/>
  <c r="N289" i="4"/>
  <c r="M289" i="4"/>
  <c r="L289" i="4"/>
  <c r="K289" i="4"/>
  <c r="I289" i="4"/>
  <c r="H289" i="4"/>
  <c r="O288" i="4"/>
  <c r="N288" i="4"/>
  <c r="M288" i="4"/>
  <c r="L288" i="4"/>
  <c r="K288" i="4"/>
  <c r="I288" i="4"/>
  <c r="H288" i="4"/>
  <c r="O287" i="4"/>
  <c r="N287" i="4"/>
  <c r="M287" i="4"/>
  <c r="L287" i="4"/>
  <c r="K287" i="4"/>
  <c r="I287" i="4"/>
  <c r="H287" i="4"/>
  <c r="O286" i="4"/>
  <c r="N286" i="4"/>
  <c r="M286" i="4"/>
  <c r="L286" i="4"/>
  <c r="K286" i="4"/>
  <c r="I286" i="4"/>
  <c r="H286" i="4"/>
  <c r="O285" i="4"/>
  <c r="N285" i="4"/>
  <c r="M285" i="4"/>
  <c r="L285" i="4"/>
  <c r="K285" i="4"/>
  <c r="I285" i="4"/>
  <c r="H285" i="4"/>
  <c r="O284" i="4"/>
  <c r="N284" i="4"/>
  <c r="M284" i="4"/>
  <c r="L284" i="4"/>
  <c r="K284" i="4"/>
  <c r="I284" i="4"/>
  <c r="H284" i="4"/>
  <c r="O283" i="4"/>
  <c r="N283" i="4"/>
  <c r="M283" i="4"/>
  <c r="L283" i="4"/>
  <c r="K283" i="4"/>
  <c r="I283" i="4"/>
  <c r="H283" i="4"/>
  <c r="O282" i="4"/>
  <c r="N282" i="4"/>
  <c r="M282" i="4"/>
  <c r="L282" i="4"/>
  <c r="K282" i="4"/>
  <c r="I282" i="4"/>
  <c r="H282" i="4"/>
  <c r="O281" i="4"/>
  <c r="N281" i="4"/>
  <c r="M281" i="4"/>
  <c r="L281" i="4"/>
  <c r="K281" i="4"/>
  <c r="I281" i="4"/>
  <c r="H281" i="4"/>
  <c r="O280" i="4"/>
  <c r="N280" i="4"/>
  <c r="M280" i="4"/>
  <c r="L280" i="4"/>
  <c r="K280" i="4"/>
  <c r="I280" i="4"/>
  <c r="H280" i="4"/>
  <c r="O279" i="4"/>
  <c r="N279" i="4"/>
  <c r="M279" i="4"/>
  <c r="L279" i="4"/>
  <c r="K279" i="4"/>
  <c r="I279" i="4"/>
  <c r="H279" i="4"/>
  <c r="O278" i="4"/>
  <c r="N278" i="4"/>
  <c r="M278" i="4"/>
  <c r="L278" i="4"/>
  <c r="K278" i="4"/>
  <c r="I278" i="4"/>
  <c r="H278" i="4"/>
  <c r="O277" i="4"/>
  <c r="N277" i="4"/>
  <c r="M277" i="4"/>
  <c r="L277" i="4"/>
  <c r="K277" i="4"/>
  <c r="I277" i="4"/>
  <c r="H277" i="4"/>
  <c r="O276" i="4"/>
  <c r="N276" i="4"/>
  <c r="M276" i="4"/>
  <c r="L276" i="4"/>
  <c r="K276" i="4"/>
  <c r="I276" i="4"/>
  <c r="H276" i="4"/>
  <c r="O275" i="4"/>
  <c r="N275" i="4"/>
  <c r="M275" i="4"/>
  <c r="L275" i="4"/>
  <c r="K275" i="4"/>
  <c r="I275" i="4"/>
  <c r="H275" i="4"/>
  <c r="O274" i="4"/>
  <c r="N274" i="4"/>
  <c r="M274" i="4"/>
  <c r="L274" i="4"/>
  <c r="K274" i="4"/>
  <c r="I274" i="4"/>
  <c r="H274" i="4"/>
  <c r="O273" i="4"/>
  <c r="N273" i="4"/>
  <c r="M273" i="4"/>
  <c r="L273" i="4"/>
  <c r="K273" i="4"/>
  <c r="I273" i="4"/>
  <c r="H273" i="4"/>
  <c r="O272" i="4"/>
  <c r="N272" i="4"/>
  <c r="M272" i="4"/>
  <c r="L272" i="4"/>
  <c r="K272" i="4"/>
  <c r="I272" i="4"/>
  <c r="H272" i="4"/>
  <c r="O271" i="4"/>
  <c r="N271" i="4"/>
  <c r="M271" i="4"/>
  <c r="L271" i="4"/>
  <c r="K271" i="4"/>
  <c r="I271" i="4"/>
  <c r="H271" i="4"/>
  <c r="O270" i="4"/>
  <c r="N270" i="4"/>
  <c r="M270" i="4"/>
  <c r="L270" i="4"/>
  <c r="K270" i="4"/>
  <c r="I270" i="4"/>
  <c r="H270" i="4"/>
  <c r="O269" i="4"/>
  <c r="N269" i="4"/>
  <c r="M269" i="4"/>
  <c r="L269" i="4"/>
  <c r="K269" i="4"/>
  <c r="I269" i="4"/>
  <c r="H269" i="4"/>
  <c r="O268" i="4"/>
  <c r="N268" i="4"/>
  <c r="M268" i="4"/>
  <c r="L268" i="4"/>
  <c r="K268" i="4"/>
  <c r="I268" i="4"/>
  <c r="H268" i="4"/>
  <c r="O267" i="4"/>
  <c r="N267" i="4"/>
  <c r="M267" i="4"/>
  <c r="L267" i="4"/>
  <c r="K267" i="4"/>
  <c r="I267" i="4"/>
  <c r="H267" i="4"/>
  <c r="O266" i="4"/>
  <c r="N266" i="4"/>
  <c r="M266" i="4"/>
  <c r="L266" i="4"/>
  <c r="K266" i="4"/>
  <c r="I266" i="4"/>
  <c r="H266" i="4"/>
  <c r="O265" i="4"/>
  <c r="N265" i="4"/>
  <c r="M265" i="4"/>
  <c r="L265" i="4"/>
  <c r="K265" i="4"/>
  <c r="I265" i="4"/>
  <c r="H265" i="4"/>
  <c r="O264" i="4"/>
  <c r="N264" i="4"/>
  <c r="M264" i="4"/>
  <c r="L264" i="4"/>
  <c r="K264" i="4"/>
  <c r="I264" i="4"/>
  <c r="H264" i="4"/>
  <c r="O263" i="4"/>
  <c r="N263" i="4"/>
  <c r="M263" i="4"/>
  <c r="L263" i="4"/>
  <c r="K263" i="4"/>
  <c r="I263" i="4"/>
  <c r="H263" i="4"/>
  <c r="O262" i="4"/>
  <c r="N262" i="4"/>
  <c r="M262" i="4"/>
  <c r="L262" i="4"/>
  <c r="K262" i="4"/>
  <c r="I262" i="4"/>
  <c r="H262" i="4"/>
  <c r="O261" i="4"/>
  <c r="N261" i="4"/>
  <c r="M261" i="4"/>
  <c r="L261" i="4"/>
  <c r="K261" i="4"/>
  <c r="I261" i="4"/>
  <c r="H261" i="4"/>
  <c r="O260" i="4"/>
  <c r="N260" i="4"/>
  <c r="M260" i="4"/>
  <c r="L260" i="4"/>
  <c r="K260" i="4"/>
  <c r="I260" i="4"/>
  <c r="H260" i="4"/>
  <c r="O259" i="4"/>
  <c r="N259" i="4"/>
  <c r="M259" i="4"/>
  <c r="L259" i="4"/>
  <c r="K259" i="4"/>
  <c r="I259" i="4"/>
  <c r="H259" i="4"/>
  <c r="O258" i="4"/>
  <c r="N258" i="4"/>
  <c r="M258" i="4"/>
  <c r="L258" i="4"/>
  <c r="K258" i="4"/>
  <c r="I258" i="4"/>
  <c r="H258" i="4"/>
  <c r="O257" i="4"/>
  <c r="N257" i="4"/>
  <c r="M257" i="4"/>
  <c r="L257" i="4"/>
  <c r="K257" i="4"/>
  <c r="I257" i="4"/>
  <c r="H257" i="4"/>
  <c r="O256" i="4"/>
  <c r="N256" i="4"/>
  <c r="M256" i="4"/>
  <c r="L256" i="4"/>
  <c r="K256" i="4"/>
  <c r="I256" i="4"/>
  <c r="H256" i="4"/>
  <c r="O255" i="4"/>
  <c r="N255" i="4"/>
  <c r="M255" i="4"/>
  <c r="L255" i="4"/>
  <c r="K255" i="4"/>
  <c r="I255" i="4"/>
  <c r="H255" i="4"/>
  <c r="O254" i="4"/>
  <c r="N254" i="4"/>
  <c r="M254" i="4"/>
  <c r="L254" i="4"/>
  <c r="K254" i="4"/>
  <c r="I254" i="4"/>
  <c r="H254" i="4"/>
  <c r="O253" i="4"/>
  <c r="N253" i="4"/>
  <c r="M253" i="4"/>
  <c r="L253" i="4"/>
  <c r="K253" i="4"/>
  <c r="I253" i="4"/>
  <c r="H253" i="4"/>
  <c r="O252" i="4"/>
  <c r="N252" i="4"/>
  <c r="M252" i="4"/>
  <c r="L252" i="4"/>
  <c r="K252" i="4"/>
  <c r="I252" i="4"/>
  <c r="H252" i="4"/>
  <c r="O251" i="4"/>
  <c r="N251" i="4"/>
  <c r="M251" i="4"/>
  <c r="L251" i="4"/>
  <c r="K251" i="4"/>
  <c r="I251" i="4"/>
  <c r="H251" i="4"/>
  <c r="O250" i="4"/>
  <c r="N250" i="4"/>
  <c r="M250" i="4"/>
  <c r="L250" i="4"/>
  <c r="K250" i="4"/>
  <c r="I250" i="4"/>
  <c r="H250" i="4"/>
  <c r="O249" i="4"/>
  <c r="N249" i="4"/>
  <c r="M249" i="4"/>
  <c r="L249" i="4"/>
  <c r="K249" i="4"/>
  <c r="I249" i="4"/>
  <c r="H249" i="4"/>
  <c r="O248" i="4"/>
  <c r="N248" i="4"/>
  <c r="M248" i="4"/>
  <c r="L248" i="4"/>
  <c r="K248" i="4"/>
  <c r="I248" i="4"/>
  <c r="H248" i="4"/>
  <c r="O247" i="4"/>
  <c r="N247" i="4"/>
  <c r="M247" i="4"/>
  <c r="L247" i="4"/>
  <c r="K247" i="4"/>
  <c r="I247" i="4"/>
  <c r="H247" i="4"/>
  <c r="O246" i="4"/>
  <c r="N246" i="4"/>
  <c r="M246" i="4"/>
  <c r="L246" i="4"/>
  <c r="K246" i="4"/>
  <c r="I246" i="4"/>
  <c r="H246" i="4"/>
  <c r="O245" i="4"/>
  <c r="N245" i="4"/>
  <c r="M245" i="4"/>
  <c r="L245" i="4"/>
  <c r="K245" i="4"/>
  <c r="I245" i="4"/>
  <c r="H245" i="4"/>
  <c r="O244" i="4"/>
  <c r="N244" i="4"/>
  <c r="M244" i="4"/>
  <c r="L244" i="4"/>
  <c r="K244" i="4"/>
  <c r="I244" i="4"/>
  <c r="H244" i="4"/>
  <c r="O243" i="4"/>
  <c r="N243" i="4"/>
  <c r="M243" i="4"/>
  <c r="L243" i="4"/>
  <c r="K243" i="4"/>
  <c r="I243" i="4"/>
  <c r="H243" i="4"/>
  <c r="O242" i="4"/>
  <c r="N242" i="4"/>
  <c r="M242" i="4"/>
  <c r="L242" i="4"/>
  <c r="K242" i="4"/>
  <c r="I242" i="4"/>
  <c r="H242" i="4"/>
  <c r="O241" i="4"/>
  <c r="N241" i="4"/>
  <c r="M241" i="4"/>
  <c r="L241" i="4"/>
  <c r="K241" i="4"/>
  <c r="I241" i="4"/>
  <c r="H241" i="4"/>
  <c r="O240" i="4"/>
  <c r="N240" i="4"/>
  <c r="M240" i="4"/>
  <c r="L240" i="4"/>
  <c r="K240" i="4"/>
  <c r="I240" i="4"/>
  <c r="H240" i="4"/>
  <c r="O239" i="4"/>
  <c r="N239" i="4"/>
  <c r="M239" i="4"/>
  <c r="L239" i="4"/>
  <c r="K239" i="4"/>
  <c r="I239" i="4"/>
  <c r="H239" i="4"/>
  <c r="O238" i="4"/>
  <c r="N238" i="4"/>
  <c r="M238" i="4"/>
  <c r="L238" i="4"/>
  <c r="K238" i="4"/>
  <c r="I238" i="4"/>
  <c r="H238" i="4"/>
  <c r="O237" i="4"/>
  <c r="N237" i="4"/>
  <c r="M237" i="4"/>
  <c r="L237" i="4"/>
  <c r="K237" i="4"/>
  <c r="I237" i="4"/>
  <c r="H237" i="4"/>
  <c r="O236" i="4"/>
  <c r="N236" i="4"/>
  <c r="M236" i="4"/>
  <c r="L236" i="4"/>
  <c r="K236" i="4"/>
  <c r="I236" i="4"/>
  <c r="H236" i="4"/>
  <c r="O235" i="4"/>
  <c r="N235" i="4"/>
  <c r="M235" i="4"/>
  <c r="L235" i="4"/>
  <c r="K235" i="4"/>
  <c r="I235" i="4"/>
  <c r="H235" i="4"/>
  <c r="O234" i="4"/>
  <c r="N234" i="4"/>
  <c r="M234" i="4"/>
  <c r="L234" i="4"/>
  <c r="K234" i="4"/>
  <c r="I234" i="4"/>
  <c r="H234" i="4"/>
  <c r="O233" i="4"/>
  <c r="N233" i="4"/>
  <c r="M233" i="4"/>
  <c r="L233" i="4"/>
  <c r="K233" i="4"/>
  <c r="I233" i="4"/>
  <c r="H233" i="4"/>
  <c r="O232" i="4"/>
  <c r="N232" i="4"/>
  <c r="M232" i="4"/>
  <c r="L232" i="4"/>
  <c r="K232" i="4"/>
  <c r="I232" i="4"/>
  <c r="H232" i="4"/>
  <c r="O231" i="4"/>
  <c r="N231" i="4"/>
  <c r="M231" i="4"/>
  <c r="L231" i="4"/>
  <c r="K231" i="4"/>
  <c r="I231" i="4"/>
  <c r="H231" i="4"/>
  <c r="O230" i="4"/>
  <c r="N230" i="4"/>
  <c r="M230" i="4"/>
  <c r="L230" i="4"/>
  <c r="K230" i="4"/>
  <c r="I230" i="4"/>
  <c r="H230" i="4"/>
  <c r="O229" i="4"/>
  <c r="N229" i="4"/>
  <c r="M229" i="4"/>
  <c r="L229" i="4"/>
  <c r="K229" i="4"/>
  <c r="I229" i="4"/>
  <c r="H229" i="4"/>
  <c r="O228" i="4"/>
  <c r="N228" i="4"/>
  <c r="M228" i="4"/>
  <c r="L228" i="4"/>
  <c r="K228" i="4"/>
  <c r="I228" i="4"/>
  <c r="H228" i="4"/>
  <c r="O227" i="4"/>
  <c r="N227" i="4"/>
  <c r="M227" i="4"/>
  <c r="L227" i="4"/>
  <c r="K227" i="4"/>
  <c r="I227" i="4"/>
  <c r="H227" i="4"/>
  <c r="O226" i="4"/>
  <c r="N226" i="4"/>
  <c r="M226" i="4"/>
  <c r="L226" i="4"/>
  <c r="K226" i="4"/>
  <c r="I226" i="4"/>
  <c r="H226" i="4"/>
  <c r="O225" i="4"/>
  <c r="N225" i="4"/>
  <c r="M225" i="4"/>
  <c r="L225" i="4"/>
  <c r="K225" i="4"/>
  <c r="I225" i="4"/>
  <c r="H225" i="4"/>
  <c r="O224" i="4"/>
  <c r="N224" i="4"/>
  <c r="M224" i="4"/>
  <c r="L224" i="4"/>
  <c r="K224" i="4"/>
  <c r="I224" i="4"/>
  <c r="H224" i="4"/>
  <c r="O223" i="4"/>
  <c r="N223" i="4"/>
  <c r="M223" i="4"/>
  <c r="L223" i="4"/>
  <c r="K223" i="4"/>
  <c r="I223" i="4"/>
  <c r="H223" i="4"/>
  <c r="O222" i="4"/>
  <c r="N222" i="4"/>
  <c r="M222" i="4"/>
  <c r="L222" i="4"/>
  <c r="K222" i="4"/>
  <c r="I222" i="4"/>
  <c r="H222" i="4"/>
  <c r="O221" i="4"/>
  <c r="N221" i="4"/>
  <c r="M221" i="4"/>
  <c r="L221" i="4"/>
  <c r="K221" i="4"/>
  <c r="I221" i="4"/>
  <c r="H221" i="4"/>
  <c r="O220" i="4"/>
  <c r="N220" i="4"/>
  <c r="M220" i="4"/>
  <c r="L220" i="4"/>
  <c r="K220" i="4"/>
  <c r="I220" i="4"/>
  <c r="H220" i="4"/>
  <c r="O219" i="4"/>
  <c r="N219" i="4"/>
  <c r="M219" i="4"/>
  <c r="L219" i="4"/>
  <c r="K219" i="4"/>
  <c r="I219" i="4"/>
  <c r="H219" i="4"/>
  <c r="O218" i="4"/>
  <c r="N218" i="4"/>
  <c r="M218" i="4"/>
  <c r="L218" i="4"/>
  <c r="K218" i="4"/>
  <c r="I218" i="4"/>
  <c r="H218" i="4"/>
  <c r="O217" i="4"/>
  <c r="N217" i="4"/>
  <c r="M217" i="4"/>
  <c r="L217" i="4"/>
  <c r="K217" i="4"/>
  <c r="I217" i="4"/>
  <c r="H217" i="4"/>
  <c r="O216" i="4"/>
  <c r="N216" i="4"/>
  <c r="M216" i="4"/>
  <c r="L216" i="4"/>
  <c r="K216" i="4"/>
  <c r="I216" i="4"/>
  <c r="H216" i="4"/>
  <c r="O215" i="4"/>
  <c r="N215" i="4"/>
  <c r="M215" i="4"/>
  <c r="L215" i="4"/>
  <c r="K215" i="4"/>
  <c r="I215" i="4"/>
  <c r="H215" i="4"/>
  <c r="O214" i="4"/>
  <c r="N214" i="4"/>
  <c r="M214" i="4"/>
  <c r="L214" i="4"/>
  <c r="K214" i="4"/>
  <c r="I214" i="4"/>
  <c r="H214" i="4"/>
  <c r="O213" i="4"/>
  <c r="N213" i="4"/>
  <c r="M213" i="4"/>
  <c r="L213" i="4"/>
  <c r="K213" i="4"/>
  <c r="I213" i="4"/>
  <c r="H213" i="4"/>
  <c r="O212" i="4"/>
  <c r="N212" i="4"/>
  <c r="M212" i="4"/>
  <c r="L212" i="4"/>
  <c r="K212" i="4"/>
  <c r="I212" i="4"/>
  <c r="H212" i="4"/>
  <c r="O211" i="4"/>
  <c r="N211" i="4"/>
  <c r="M211" i="4"/>
  <c r="L211" i="4"/>
  <c r="K211" i="4"/>
  <c r="I211" i="4"/>
  <c r="H211" i="4"/>
  <c r="O210" i="4"/>
  <c r="N210" i="4"/>
  <c r="M210" i="4"/>
  <c r="L210" i="4"/>
  <c r="K210" i="4"/>
  <c r="I210" i="4"/>
  <c r="H210" i="4"/>
  <c r="O209" i="4"/>
  <c r="N209" i="4"/>
  <c r="M209" i="4"/>
  <c r="L209" i="4"/>
  <c r="K209" i="4"/>
  <c r="I209" i="4"/>
  <c r="H209" i="4"/>
  <c r="O208" i="4"/>
  <c r="N208" i="4"/>
  <c r="M208" i="4"/>
  <c r="L208" i="4"/>
  <c r="K208" i="4"/>
  <c r="I208" i="4"/>
  <c r="H208" i="4"/>
  <c r="O207" i="4"/>
  <c r="N207" i="4"/>
  <c r="M207" i="4"/>
  <c r="L207" i="4"/>
  <c r="K207" i="4"/>
  <c r="I207" i="4"/>
  <c r="H207" i="4"/>
  <c r="O206" i="4"/>
  <c r="N206" i="4"/>
  <c r="M206" i="4"/>
  <c r="L206" i="4"/>
  <c r="K206" i="4"/>
  <c r="I206" i="4"/>
  <c r="H206" i="4"/>
  <c r="O205" i="4"/>
  <c r="N205" i="4"/>
  <c r="M205" i="4"/>
  <c r="L205" i="4"/>
  <c r="K205" i="4"/>
  <c r="I205" i="4"/>
  <c r="H205" i="4"/>
  <c r="O204" i="4"/>
  <c r="N204" i="4"/>
  <c r="M204" i="4"/>
  <c r="L204" i="4"/>
  <c r="K204" i="4"/>
  <c r="I204" i="4"/>
  <c r="H204" i="4"/>
  <c r="O203" i="4"/>
  <c r="N203" i="4"/>
  <c r="M203" i="4"/>
  <c r="L203" i="4"/>
  <c r="K203" i="4"/>
  <c r="I203" i="4"/>
  <c r="H203" i="4"/>
  <c r="O202" i="4"/>
  <c r="N202" i="4"/>
  <c r="M202" i="4"/>
  <c r="L202" i="4"/>
  <c r="K202" i="4"/>
  <c r="I202" i="4"/>
  <c r="H202" i="4"/>
  <c r="O201" i="4"/>
  <c r="N201" i="4"/>
  <c r="M201" i="4"/>
  <c r="L201" i="4"/>
  <c r="K201" i="4"/>
  <c r="I201" i="4"/>
  <c r="H201" i="4"/>
  <c r="O200" i="4"/>
  <c r="N200" i="4"/>
  <c r="M200" i="4"/>
  <c r="L200" i="4"/>
  <c r="K200" i="4"/>
  <c r="I200" i="4"/>
  <c r="H200" i="4"/>
  <c r="O199" i="4"/>
  <c r="N199" i="4"/>
  <c r="M199" i="4"/>
  <c r="L199" i="4"/>
  <c r="K199" i="4"/>
  <c r="I199" i="4"/>
  <c r="H199" i="4"/>
  <c r="O198" i="4"/>
  <c r="N198" i="4"/>
  <c r="M198" i="4"/>
  <c r="L198" i="4"/>
  <c r="K198" i="4"/>
  <c r="I198" i="4"/>
  <c r="H198" i="4"/>
  <c r="O197" i="4"/>
  <c r="N197" i="4"/>
  <c r="M197" i="4"/>
  <c r="L197" i="4"/>
  <c r="K197" i="4"/>
  <c r="I197" i="4"/>
  <c r="H197" i="4"/>
  <c r="O196" i="4"/>
  <c r="N196" i="4"/>
  <c r="M196" i="4"/>
  <c r="L196" i="4"/>
  <c r="K196" i="4"/>
  <c r="I196" i="4"/>
  <c r="H196" i="4"/>
  <c r="O195" i="4"/>
  <c r="N195" i="4"/>
  <c r="M195" i="4"/>
  <c r="L195" i="4"/>
  <c r="K195" i="4"/>
  <c r="I195" i="4"/>
  <c r="H195" i="4"/>
  <c r="O194" i="4"/>
  <c r="N194" i="4"/>
  <c r="M194" i="4"/>
  <c r="L194" i="4"/>
  <c r="K194" i="4"/>
  <c r="I194" i="4"/>
  <c r="H194" i="4"/>
  <c r="O193" i="4"/>
  <c r="N193" i="4"/>
  <c r="M193" i="4"/>
  <c r="L193" i="4"/>
  <c r="K193" i="4"/>
  <c r="I193" i="4"/>
  <c r="H193" i="4"/>
  <c r="O192" i="4"/>
  <c r="N192" i="4"/>
  <c r="M192" i="4"/>
  <c r="L192" i="4"/>
  <c r="K192" i="4"/>
  <c r="I192" i="4"/>
  <c r="H192" i="4"/>
  <c r="O191" i="4"/>
  <c r="N191" i="4"/>
  <c r="M191" i="4"/>
  <c r="L191" i="4"/>
  <c r="K191" i="4"/>
  <c r="I191" i="4"/>
  <c r="H191" i="4"/>
  <c r="O190" i="4"/>
  <c r="N190" i="4"/>
  <c r="M190" i="4"/>
  <c r="L190" i="4"/>
  <c r="K190" i="4"/>
  <c r="I190" i="4"/>
  <c r="H190" i="4"/>
  <c r="O189" i="4"/>
  <c r="N189" i="4"/>
  <c r="M189" i="4"/>
  <c r="L189" i="4"/>
  <c r="K189" i="4"/>
  <c r="I189" i="4"/>
  <c r="H189" i="4"/>
  <c r="O188" i="4"/>
  <c r="N188" i="4"/>
  <c r="M188" i="4"/>
  <c r="L188" i="4"/>
  <c r="K188" i="4"/>
  <c r="I188" i="4"/>
  <c r="H188" i="4"/>
  <c r="O187" i="4"/>
  <c r="N187" i="4"/>
  <c r="M187" i="4"/>
  <c r="L187" i="4"/>
  <c r="K187" i="4"/>
  <c r="I187" i="4"/>
  <c r="H187" i="4"/>
  <c r="O186" i="4"/>
  <c r="N186" i="4"/>
  <c r="M186" i="4"/>
  <c r="L186" i="4"/>
  <c r="K186" i="4"/>
  <c r="I186" i="4"/>
  <c r="H186" i="4"/>
  <c r="O185" i="4"/>
  <c r="N185" i="4"/>
  <c r="M185" i="4"/>
  <c r="L185" i="4"/>
  <c r="K185" i="4"/>
  <c r="I185" i="4"/>
  <c r="H185" i="4"/>
  <c r="O184" i="4"/>
  <c r="N184" i="4"/>
  <c r="M184" i="4"/>
  <c r="L184" i="4"/>
  <c r="K184" i="4"/>
  <c r="I184" i="4"/>
  <c r="H184" i="4"/>
  <c r="O183" i="4"/>
  <c r="N183" i="4"/>
  <c r="M183" i="4"/>
  <c r="L183" i="4"/>
  <c r="K183" i="4"/>
  <c r="I183" i="4"/>
  <c r="H183" i="4"/>
  <c r="O182" i="4"/>
  <c r="N182" i="4"/>
  <c r="M182" i="4"/>
  <c r="L182" i="4"/>
  <c r="K182" i="4"/>
  <c r="I182" i="4"/>
  <c r="H182" i="4"/>
  <c r="O181" i="4"/>
  <c r="N181" i="4"/>
  <c r="M181" i="4"/>
  <c r="L181" i="4"/>
  <c r="K181" i="4"/>
  <c r="I181" i="4"/>
  <c r="H181" i="4"/>
  <c r="O180" i="4"/>
  <c r="N180" i="4"/>
  <c r="M180" i="4"/>
  <c r="L180" i="4"/>
  <c r="K180" i="4"/>
  <c r="I180" i="4"/>
  <c r="H180" i="4"/>
  <c r="O179" i="4"/>
  <c r="N179" i="4"/>
  <c r="M179" i="4"/>
  <c r="L179" i="4"/>
  <c r="K179" i="4"/>
  <c r="I179" i="4"/>
  <c r="H179" i="4"/>
  <c r="O178" i="4"/>
  <c r="N178" i="4"/>
  <c r="M178" i="4"/>
  <c r="L178" i="4"/>
  <c r="K178" i="4"/>
  <c r="I178" i="4"/>
  <c r="H178" i="4"/>
  <c r="O177" i="4"/>
  <c r="N177" i="4"/>
  <c r="M177" i="4"/>
  <c r="L177" i="4"/>
  <c r="K177" i="4"/>
  <c r="I177" i="4"/>
  <c r="H177" i="4"/>
  <c r="O176" i="4"/>
  <c r="N176" i="4"/>
  <c r="M176" i="4"/>
  <c r="L176" i="4"/>
  <c r="K176" i="4"/>
  <c r="I176" i="4"/>
  <c r="H176" i="4"/>
  <c r="O175" i="4"/>
  <c r="N175" i="4"/>
  <c r="M175" i="4"/>
  <c r="L175" i="4"/>
  <c r="K175" i="4"/>
  <c r="I175" i="4"/>
  <c r="H175" i="4"/>
  <c r="O174" i="4"/>
  <c r="N174" i="4"/>
  <c r="M174" i="4"/>
  <c r="L174" i="4"/>
  <c r="K174" i="4"/>
  <c r="I174" i="4"/>
  <c r="H174" i="4"/>
  <c r="O173" i="4"/>
  <c r="N173" i="4"/>
  <c r="M173" i="4"/>
  <c r="L173" i="4"/>
  <c r="K173" i="4"/>
  <c r="I173" i="4"/>
  <c r="H173" i="4"/>
  <c r="O172" i="4"/>
  <c r="N172" i="4"/>
  <c r="M172" i="4"/>
  <c r="L172" i="4"/>
  <c r="K172" i="4"/>
  <c r="I172" i="4"/>
  <c r="H172" i="4"/>
  <c r="O171" i="4"/>
  <c r="N171" i="4"/>
  <c r="M171" i="4"/>
  <c r="L171" i="4"/>
  <c r="K171" i="4"/>
  <c r="I171" i="4"/>
  <c r="H171" i="4"/>
  <c r="O170" i="4"/>
  <c r="N170" i="4"/>
  <c r="M170" i="4"/>
  <c r="L170" i="4"/>
  <c r="K170" i="4"/>
  <c r="I170" i="4"/>
  <c r="H170" i="4"/>
  <c r="O169" i="4"/>
  <c r="N169" i="4"/>
  <c r="M169" i="4"/>
  <c r="L169" i="4"/>
  <c r="K169" i="4"/>
  <c r="I169" i="4"/>
  <c r="H169" i="4"/>
  <c r="O168" i="4"/>
  <c r="N168" i="4"/>
  <c r="M168" i="4"/>
  <c r="L168" i="4"/>
  <c r="K168" i="4"/>
  <c r="I168" i="4"/>
  <c r="H168" i="4"/>
  <c r="O167" i="4"/>
  <c r="N167" i="4"/>
  <c r="M167" i="4"/>
  <c r="L167" i="4"/>
  <c r="K167" i="4"/>
  <c r="I167" i="4"/>
  <c r="H167" i="4"/>
  <c r="O166" i="4"/>
  <c r="N166" i="4"/>
  <c r="M166" i="4"/>
  <c r="L166" i="4"/>
  <c r="K166" i="4"/>
  <c r="I166" i="4"/>
  <c r="H166" i="4"/>
  <c r="O165" i="4"/>
  <c r="N165" i="4"/>
  <c r="M165" i="4"/>
  <c r="L165" i="4"/>
  <c r="K165" i="4"/>
  <c r="I165" i="4"/>
  <c r="H165" i="4"/>
  <c r="O164" i="4"/>
  <c r="N164" i="4"/>
  <c r="M164" i="4"/>
  <c r="L164" i="4"/>
  <c r="K164" i="4"/>
  <c r="I164" i="4"/>
  <c r="H164" i="4"/>
  <c r="O163" i="4"/>
  <c r="N163" i="4"/>
  <c r="M163" i="4"/>
  <c r="L163" i="4"/>
  <c r="K163" i="4"/>
  <c r="I163" i="4"/>
  <c r="H163" i="4"/>
  <c r="O162" i="4"/>
  <c r="N162" i="4"/>
  <c r="M162" i="4"/>
  <c r="L162" i="4"/>
  <c r="K162" i="4"/>
  <c r="I162" i="4"/>
  <c r="H162" i="4"/>
  <c r="O161" i="4"/>
  <c r="N161" i="4"/>
  <c r="M161" i="4"/>
  <c r="L161" i="4"/>
  <c r="K161" i="4"/>
  <c r="I161" i="4"/>
  <c r="H161" i="4"/>
  <c r="O160" i="4"/>
  <c r="N160" i="4"/>
  <c r="M160" i="4"/>
  <c r="L160" i="4"/>
  <c r="K160" i="4"/>
  <c r="I160" i="4"/>
  <c r="H160" i="4"/>
  <c r="O159" i="4"/>
  <c r="N159" i="4"/>
  <c r="M159" i="4"/>
  <c r="L159" i="4"/>
  <c r="K159" i="4"/>
  <c r="I159" i="4"/>
  <c r="H159" i="4"/>
  <c r="O158" i="4"/>
  <c r="N158" i="4"/>
  <c r="M158" i="4"/>
  <c r="L158" i="4"/>
  <c r="K158" i="4"/>
  <c r="I158" i="4"/>
  <c r="H158" i="4"/>
  <c r="O157" i="4"/>
  <c r="N157" i="4"/>
  <c r="M157" i="4"/>
  <c r="L157" i="4"/>
  <c r="K157" i="4"/>
  <c r="I157" i="4"/>
  <c r="H157" i="4"/>
  <c r="O156" i="4"/>
  <c r="N156" i="4"/>
  <c r="M156" i="4"/>
  <c r="L156" i="4"/>
  <c r="K156" i="4"/>
  <c r="I156" i="4"/>
  <c r="H156" i="4"/>
  <c r="O155" i="4"/>
  <c r="N155" i="4"/>
  <c r="M155" i="4"/>
  <c r="L155" i="4"/>
  <c r="K155" i="4"/>
  <c r="I155" i="4"/>
  <c r="H155" i="4"/>
  <c r="O154" i="4"/>
  <c r="N154" i="4"/>
  <c r="M154" i="4"/>
  <c r="L154" i="4"/>
  <c r="K154" i="4"/>
  <c r="I154" i="4"/>
  <c r="H154" i="4"/>
  <c r="O153" i="4"/>
  <c r="N153" i="4"/>
  <c r="M153" i="4"/>
  <c r="L153" i="4"/>
  <c r="K153" i="4"/>
  <c r="I153" i="4"/>
  <c r="H153" i="4"/>
  <c r="O152" i="4"/>
  <c r="N152" i="4"/>
  <c r="M152" i="4"/>
  <c r="L152" i="4"/>
  <c r="K152" i="4"/>
  <c r="I152" i="4"/>
  <c r="H152" i="4"/>
  <c r="O151" i="4"/>
  <c r="N151" i="4"/>
  <c r="M151" i="4"/>
  <c r="L151" i="4"/>
  <c r="K151" i="4"/>
  <c r="I151" i="4"/>
  <c r="H151" i="4"/>
  <c r="O150" i="4"/>
  <c r="N150" i="4"/>
  <c r="M150" i="4"/>
  <c r="L150" i="4"/>
  <c r="K150" i="4"/>
  <c r="I150" i="4"/>
  <c r="H150" i="4"/>
  <c r="O149" i="4"/>
  <c r="N149" i="4"/>
  <c r="M149" i="4"/>
  <c r="L149" i="4"/>
  <c r="K149" i="4"/>
  <c r="I149" i="4"/>
  <c r="H149" i="4"/>
  <c r="O148" i="4"/>
  <c r="N148" i="4"/>
  <c r="M148" i="4"/>
  <c r="L148" i="4"/>
  <c r="K148" i="4"/>
  <c r="I148" i="4"/>
  <c r="H148" i="4"/>
  <c r="O147" i="4"/>
  <c r="N147" i="4"/>
  <c r="M147" i="4"/>
  <c r="L147" i="4"/>
  <c r="K147" i="4"/>
  <c r="I147" i="4"/>
  <c r="H147" i="4"/>
  <c r="O146" i="4"/>
  <c r="N146" i="4"/>
  <c r="M146" i="4"/>
  <c r="L146" i="4"/>
  <c r="K146" i="4"/>
  <c r="I146" i="4"/>
  <c r="H146" i="4"/>
  <c r="O145" i="4"/>
  <c r="N145" i="4"/>
  <c r="M145" i="4"/>
  <c r="L145" i="4"/>
  <c r="K145" i="4"/>
  <c r="I145" i="4"/>
  <c r="H145" i="4"/>
  <c r="O144" i="4"/>
  <c r="N144" i="4"/>
  <c r="M144" i="4"/>
  <c r="L144" i="4"/>
  <c r="K144" i="4"/>
  <c r="I144" i="4"/>
  <c r="H144" i="4"/>
  <c r="O143" i="4"/>
  <c r="N143" i="4"/>
  <c r="M143" i="4"/>
  <c r="L143" i="4"/>
  <c r="K143" i="4"/>
  <c r="I143" i="4"/>
  <c r="H143" i="4"/>
  <c r="O142" i="4"/>
  <c r="N142" i="4"/>
  <c r="M142" i="4"/>
  <c r="L142" i="4"/>
  <c r="K142" i="4"/>
  <c r="I142" i="4"/>
  <c r="H142" i="4"/>
  <c r="O141" i="4"/>
  <c r="N141" i="4"/>
  <c r="M141" i="4"/>
  <c r="L141" i="4"/>
  <c r="K141" i="4"/>
  <c r="I141" i="4"/>
  <c r="H141" i="4"/>
  <c r="O140" i="4"/>
  <c r="N140" i="4"/>
  <c r="M140" i="4"/>
  <c r="L140" i="4"/>
  <c r="K140" i="4"/>
  <c r="I140" i="4"/>
  <c r="H140" i="4"/>
  <c r="O139" i="4"/>
  <c r="N139" i="4"/>
  <c r="M139" i="4"/>
  <c r="L139" i="4"/>
  <c r="K139" i="4"/>
  <c r="I139" i="4"/>
  <c r="H139" i="4"/>
  <c r="O138" i="4"/>
  <c r="N138" i="4"/>
  <c r="M138" i="4"/>
  <c r="L138" i="4"/>
  <c r="K138" i="4"/>
  <c r="I138" i="4"/>
  <c r="H138" i="4"/>
  <c r="O137" i="4"/>
  <c r="N137" i="4"/>
  <c r="M137" i="4"/>
  <c r="L137" i="4"/>
  <c r="K137" i="4"/>
  <c r="I137" i="4"/>
  <c r="H137" i="4"/>
  <c r="O136" i="4"/>
  <c r="N136" i="4"/>
  <c r="M136" i="4"/>
  <c r="L136" i="4"/>
  <c r="K136" i="4"/>
  <c r="I136" i="4"/>
  <c r="H136" i="4"/>
  <c r="O135" i="4"/>
  <c r="N135" i="4"/>
  <c r="M135" i="4"/>
  <c r="L135" i="4"/>
  <c r="K135" i="4"/>
  <c r="I135" i="4"/>
  <c r="H135" i="4"/>
  <c r="O134" i="4"/>
  <c r="N134" i="4"/>
  <c r="M134" i="4"/>
  <c r="L134" i="4"/>
  <c r="K134" i="4"/>
  <c r="I134" i="4"/>
  <c r="H134" i="4"/>
  <c r="O133" i="4"/>
  <c r="N133" i="4"/>
  <c r="M133" i="4"/>
  <c r="L133" i="4"/>
  <c r="K133" i="4"/>
  <c r="I133" i="4"/>
  <c r="H133" i="4"/>
  <c r="O132" i="4"/>
  <c r="N132" i="4"/>
  <c r="M132" i="4"/>
  <c r="L132" i="4"/>
  <c r="K132" i="4"/>
  <c r="I132" i="4"/>
  <c r="H132" i="4"/>
  <c r="O131" i="4"/>
  <c r="N131" i="4"/>
  <c r="M131" i="4"/>
  <c r="L131" i="4"/>
  <c r="K131" i="4"/>
  <c r="I131" i="4"/>
  <c r="H131" i="4"/>
  <c r="O130" i="4"/>
  <c r="N130" i="4"/>
  <c r="M130" i="4"/>
  <c r="L130" i="4"/>
  <c r="K130" i="4"/>
  <c r="I130" i="4"/>
  <c r="H130" i="4"/>
  <c r="O129" i="4"/>
  <c r="N129" i="4"/>
  <c r="M129" i="4"/>
  <c r="L129" i="4"/>
  <c r="K129" i="4"/>
  <c r="I129" i="4"/>
  <c r="H129" i="4"/>
  <c r="O128" i="4"/>
  <c r="N128" i="4"/>
  <c r="M128" i="4"/>
  <c r="L128" i="4"/>
  <c r="K128" i="4"/>
  <c r="I128" i="4"/>
  <c r="H128" i="4"/>
  <c r="O127" i="4"/>
  <c r="N127" i="4"/>
  <c r="M127" i="4"/>
  <c r="L127" i="4"/>
  <c r="K127" i="4"/>
  <c r="I127" i="4"/>
  <c r="H127" i="4"/>
  <c r="O126" i="4"/>
  <c r="N126" i="4"/>
  <c r="M126" i="4"/>
  <c r="L126" i="4"/>
  <c r="K126" i="4"/>
  <c r="I126" i="4"/>
  <c r="H126" i="4"/>
  <c r="O125" i="4"/>
  <c r="N125" i="4"/>
  <c r="M125" i="4"/>
  <c r="L125" i="4"/>
  <c r="K125" i="4"/>
  <c r="I125" i="4"/>
  <c r="H125" i="4"/>
  <c r="O124" i="4"/>
  <c r="N124" i="4"/>
  <c r="M124" i="4"/>
  <c r="L124" i="4"/>
  <c r="K124" i="4"/>
  <c r="I124" i="4"/>
  <c r="H124" i="4"/>
  <c r="O123" i="4"/>
  <c r="N123" i="4"/>
  <c r="M123" i="4"/>
  <c r="L123" i="4"/>
  <c r="K123" i="4"/>
  <c r="I123" i="4"/>
  <c r="H123" i="4"/>
  <c r="O122" i="4"/>
  <c r="N122" i="4"/>
  <c r="M122" i="4"/>
  <c r="L122" i="4"/>
  <c r="K122" i="4"/>
  <c r="I122" i="4"/>
  <c r="H122" i="4"/>
  <c r="O121" i="4"/>
  <c r="N121" i="4"/>
  <c r="M121" i="4"/>
  <c r="L121" i="4"/>
  <c r="K121" i="4"/>
  <c r="I121" i="4"/>
  <c r="H121" i="4"/>
  <c r="O120" i="4"/>
  <c r="N120" i="4"/>
  <c r="M120" i="4"/>
  <c r="L120" i="4"/>
  <c r="K120" i="4"/>
  <c r="I120" i="4"/>
  <c r="H120" i="4"/>
  <c r="O119" i="4"/>
  <c r="N119" i="4"/>
  <c r="M119" i="4"/>
  <c r="L119" i="4"/>
  <c r="K119" i="4"/>
  <c r="I119" i="4"/>
  <c r="H119" i="4"/>
  <c r="O118" i="4"/>
  <c r="N118" i="4"/>
  <c r="M118" i="4"/>
  <c r="L118" i="4"/>
  <c r="K118" i="4"/>
  <c r="I118" i="4"/>
  <c r="H118" i="4"/>
  <c r="O117" i="4"/>
  <c r="N117" i="4"/>
  <c r="M117" i="4"/>
  <c r="L117" i="4"/>
  <c r="K117" i="4"/>
  <c r="I117" i="4"/>
  <c r="H117" i="4"/>
  <c r="O116" i="4"/>
  <c r="N116" i="4"/>
  <c r="M116" i="4"/>
  <c r="L116" i="4"/>
  <c r="K116" i="4"/>
  <c r="I116" i="4"/>
  <c r="H116" i="4"/>
  <c r="O115" i="4"/>
  <c r="N115" i="4"/>
  <c r="M115" i="4"/>
  <c r="L115" i="4"/>
  <c r="K115" i="4"/>
  <c r="I115" i="4"/>
  <c r="H115" i="4"/>
  <c r="O114" i="4"/>
  <c r="N114" i="4"/>
  <c r="M114" i="4"/>
  <c r="L114" i="4"/>
  <c r="K114" i="4"/>
  <c r="I114" i="4"/>
  <c r="H114" i="4"/>
  <c r="O113" i="4"/>
  <c r="N113" i="4"/>
  <c r="M113" i="4"/>
  <c r="L113" i="4"/>
  <c r="K113" i="4"/>
  <c r="I113" i="4"/>
  <c r="H113" i="4"/>
  <c r="O112" i="4"/>
  <c r="N112" i="4"/>
  <c r="M112" i="4"/>
  <c r="L112" i="4"/>
  <c r="K112" i="4"/>
  <c r="I112" i="4"/>
  <c r="H112" i="4"/>
  <c r="O111" i="4"/>
  <c r="N111" i="4"/>
  <c r="M111" i="4"/>
  <c r="L111" i="4"/>
  <c r="K111" i="4"/>
  <c r="I111" i="4"/>
  <c r="H111" i="4"/>
  <c r="O110" i="4"/>
  <c r="N110" i="4"/>
  <c r="M110" i="4"/>
  <c r="L110" i="4"/>
  <c r="K110" i="4"/>
  <c r="I110" i="4"/>
  <c r="H110" i="4"/>
  <c r="O109" i="4"/>
  <c r="N109" i="4"/>
  <c r="M109" i="4"/>
  <c r="L109" i="4"/>
  <c r="K109" i="4"/>
  <c r="I109" i="4"/>
  <c r="H109" i="4"/>
  <c r="O108" i="4"/>
  <c r="N108" i="4"/>
  <c r="M108" i="4"/>
  <c r="L108" i="4"/>
  <c r="K108" i="4"/>
  <c r="I108" i="4"/>
  <c r="H108" i="4"/>
  <c r="O107" i="4"/>
  <c r="N107" i="4"/>
  <c r="M107" i="4"/>
  <c r="L107" i="4"/>
  <c r="K107" i="4"/>
  <c r="I107" i="4"/>
  <c r="H107" i="4"/>
  <c r="O106" i="4"/>
  <c r="N106" i="4"/>
  <c r="M106" i="4"/>
  <c r="L106" i="4"/>
  <c r="K106" i="4"/>
  <c r="I106" i="4"/>
  <c r="H106" i="4"/>
  <c r="O105" i="4"/>
  <c r="N105" i="4"/>
  <c r="M105" i="4"/>
  <c r="L105" i="4"/>
  <c r="K105" i="4"/>
  <c r="I105" i="4"/>
  <c r="H105" i="4"/>
  <c r="O104" i="4"/>
  <c r="N104" i="4"/>
  <c r="M104" i="4"/>
  <c r="L104" i="4"/>
  <c r="K104" i="4"/>
  <c r="I104" i="4"/>
  <c r="H104" i="4"/>
  <c r="O103" i="4"/>
  <c r="N103" i="4"/>
  <c r="M103" i="4"/>
  <c r="L103" i="4"/>
  <c r="K103" i="4"/>
  <c r="I103" i="4"/>
  <c r="H103" i="4"/>
  <c r="O102" i="4"/>
  <c r="N102" i="4"/>
  <c r="M102" i="4"/>
  <c r="L102" i="4"/>
  <c r="K102" i="4"/>
  <c r="I102" i="4"/>
  <c r="H102" i="4"/>
  <c r="O101" i="4"/>
  <c r="N101" i="4"/>
  <c r="M101" i="4"/>
  <c r="L101" i="4"/>
  <c r="K101" i="4"/>
  <c r="I101" i="4"/>
  <c r="H101" i="4"/>
  <c r="O100" i="4"/>
  <c r="N100" i="4"/>
  <c r="M100" i="4"/>
  <c r="L100" i="4"/>
  <c r="K100" i="4"/>
  <c r="I100" i="4"/>
  <c r="H100" i="4"/>
  <c r="O99" i="4"/>
  <c r="N99" i="4"/>
  <c r="M99" i="4"/>
  <c r="L99" i="4"/>
  <c r="K99" i="4"/>
  <c r="I99" i="4"/>
  <c r="H99" i="4"/>
  <c r="O98" i="4"/>
  <c r="N98" i="4"/>
  <c r="M98" i="4"/>
  <c r="L98" i="4"/>
  <c r="K98" i="4"/>
  <c r="I98" i="4"/>
  <c r="H98" i="4"/>
  <c r="O97" i="4"/>
  <c r="N97" i="4"/>
  <c r="M97" i="4"/>
  <c r="L97" i="4"/>
  <c r="K97" i="4"/>
  <c r="I97" i="4"/>
  <c r="H97" i="4"/>
  <c r="O96" i="4"/>
  <c r="N96" i="4"/>
  <c r="M96" i="4"/>
  <c r="L96" i="4"/>
  <c r="K96" i="4"/>
  <c r="I96" i="4"/>
  <c r="H96" i="4"/>
  <c r="O95" i="4"/>
  <c r="N95" i="4"/>
  <c r="M95" i="4"/>
  <c r="L95" i="4"/>
  <c r="K95" i="4"/>
  <c r="I95" i="4"/>
  <c r="H95" i="4"/>
  <c r="O94" i="4"/>
  <c r="N94" i="4"/>
  <c r="M94" i="4"/>
  <c r="L94" i="4"/>
  <c r="K94" i="4"/>
  <c r="I94" i="4"/>
  <c r="H94" i="4"/>
  <c r="O93" i="4"/>
  <c r="N93" i="4"/>
  <c r="M93" i="4"/>
  <c r="L93" i="4"/>
  <c r="K93" i="4"/>
  <c r="I93" i="4"/>
  <c r="H93" i="4"/>
  <c r="O92" i="4"/>
  <c r="N92" i="4"/>
  <c r="M92" i="4"/>
  <c r="L92" i="4"/>
  <c r="K92" i="4"/>
  <c r="I92" i="4"/>
  <c r="H92" i="4"/>
  <c r="O91" i="4"/>
  <c r="N91" i="4"/>
  <c r="M91" i="4"/>
  <c r="L91" i="4"/>
  <c r="K91" i="4"/>
  <c r="I91" i="4"/>
  <c r="H91" i="4"/>
  <c r="O90" i="4"/>
  <c r="N90" i="4"/>
  <c r="M90" i="4"/>
  <c r="L90" i="4"/>
  <c r="K90" i="4"/>
  <c r="I90" i="4"/>
  <c r="H90" i="4"/>
  <c r="O89" i="4"/>
  <c r="N89" i="4"/>
  <c r="M89" i="4"/>
  <c r="L89" i="4"/>
  <c r="K89" i="4"/>
  <c r="I89" i="4"/>
  <c r="H89" i="4"/>
  <c r="O88" i="4"/>
  <c r="N88" i="4"/>
  <c r="M88" i="4"/>
  <c r="L88" i="4"/>
  <c r="K88" i="4"/>
  <c r="I88" i="4"/>
  <c r="H88" i="4"/>
  <c r="O87" i="4"/>
  <c r="N87" i="4"/>
  <c r="M87" i="4"/>
  <c r="L87" i="4"/>
  <c r="K87" i="4"/>
  <c r="I87" i="4"/>
  <c r="H87" i="4"/>
  <c r="O86" i="4"/>
  <c r="N86" i="4"/>
  <c r="M86" i="4"/>
  <c r="L86" i="4"/>
  <c r="K86" i="4"/>
  <c r="I86" i="4"/>
  <c r="H86" i="4"/>
  <c r="O85" i="4"/>
  <c r="N85" i="4"/>
  <c r="M85" i="4"/>
  <c r="L85" i="4"/>
  <c r="K85" i="4"/>
  <c r="I85" i="4"/>
  <c r="H85" i="4"/>
  <c r="O84" i="4"/>
  <c r="N84" i="4"/>
  <c r="M84" i="4"/>
  <c r="L84" i="4"/>
  <c r="K84" i="4"/>
  <c r="I84" i="4"/>
  <c r="H84" i="4"/>
  <c r="O83" i="4"/>
  <c r="N83" i="4"/>
  <c r="M83" i="4"/>
  <c r="L83" i="4"/>
  <c r="K83" i="4"/>
  <c r="I83" i="4"/>
  <c r="H83" i="4"/>
  <c r="O82" i="4"/>
  <c r="N82" i="4"/>
  <c r="M82" i="4"/>
  <c r="L82" i="4"/>
  <c r="K82" i="4"/>
  <c r="I82" i="4"/>
  <c r="H82" i="4"/>
  <c r="O81" i="4"/>
  <c r="N81" i="4"/>
  <c r="M81" i="4"/>
  <c r="L81" i="4"/>
  <c r="K81" i="4"/>
  <c r="I81" i="4"/>
  <c r="H81" i="4"/>
  <c r="O80" i="4"/>
  <c r="N80" i="4"/>
  <c r="M80" i="4"/>
  <c r="L80" i="4"/>
  <c r="K80" i="4"/>
  <c r="I80" i="4"/>
  <c r="H80" i="4"/>
  <c r="O79" i="4"/>
  <c r="N79" i="4"/>
  <c r="M79" i="4"/>
  <c r="L79" i="4"/>
  <c r="K79" i="4"/>
  <c r="I79" i="4"/>
  <c r="H79" i="4"/>
  <c r="O78" i="4"/>
  <c r="N78" i="4"/>
  <c r="M78" i="4"/>
  <c r="L78" i="4"/>
  <c r="K78" i="4"/>
  <c r="I78" i="4"/>
  <c r="H78" i="4"/>
  <c r="O77" i="4"/>
  <c r="N77" i="4"/>
  <c r="M77" i="4"/>
  <c r="L77" i="4"/>
  <c r="K77" i="4"/>
  <c r="I77" i="4"/>
  <c r="H77" i="4"/>
  <c r="O76" i="4"/>
  <c r="N76" i="4"/>
  <c r="M76" i="4"/>
  <c r="L76" i="4"/>
  <c r="K76" i="4"/>
  <c r="I76" i="4"/>
  <c r="H76" i="4"/>
  <c r="O75" i="4"/>
  <c r="N75" i="4"/>
  <c r="M75" i="4"/>
  <c r="L75" i="4"/>
  <c r="K75" i="4"/>
  <c r="I75" i="4"/>
  <c r="H75" i="4"/>
  <c r="O74" i="4"/>
  <c r="N74" i="4"/>
  <c r="M74" i="4"/>
  <c r="L74" i="4"/>
  <c r="K74" i="4"/>
  <c r="I74" i="4"/>
  <c r="H74" i="4"/>
  <c r="O73" i="4"/>
  <c r="N73" i="4"/>
  <c r="M73" i="4"/>
  <c r="L73" i="4"/>
  <c r="K73" i="4"/>
  <c r="I73" i="4"/>
  <c r="H73" i="4"/>
  <c r="O72" i="4"/>
  <c r="N72" i="4"/>
  <c r="M72" i="4"/>
  <c r="L72" i="4"/>
  <c r="K72" i="4"/>
  <c r="I72" i="4"/>
  <c r="H72" i="4"/>
  <c r="O71" i="4"/>
  <c r="N71" i="4"/>
  <c r="M71" i="4"/>
  <c r="L71" i="4"/>
  <c r="K71" i="4"/>
  <c r="I71" i="4"/>
  <c r="H71" i="4"/>
  <c r="O70" i="4"/>
  <c r="N70" i="4"/>
  <c r="M70" i="4"/>
  <c r="L70" i="4"/>
  <c r="K70" i="4"/>
  <c r="I70" i="4"/>
  <c r="H70" i="4"/>
  <c r="O69" i="4"/>
  <c r="N69" i="4"/>
  <c r="M69" i="4"/>
  <c r="L69" i="4"/>
  <c r="K69" i="4"/>
  <c r="I69" i="4"/>
  <c r="H69" i="4"/>
  <c r="O68" i="4"/>
  <c r="N68" i="4"/>
  <c r="M68" i="4"/>
  <c r="L68" i="4"/>
  <c r="K68" i="4"/>
  <c r="I68" i="4"/>
  <c r="H68" i="4"/>
  <c r="O67" i="4"/>
  <c r="N67" i="4"/>
  <c r="M67" i="4"/>
  <c r="L67" i="4"/>
  <c r="K67" i="4"/>
  <c r="I67" i="4"/>
  <c r="H67" i="4"/>
  <c r="O66" i="4"/>
  <c r="N66" i="4"/>
  <c r="M66" i="4"/>
  <c r="L66" i="4"/>
  <c r="K66" i="4"/>
  <c r="I66" i="4"/>
  <c r="H66" i="4"/>
  <c r="O65" i="4"/>
  <c r="N65" i="4"/>
  <c r="M65" i="4"/>
  <c r="L65" i="4"/>
  <c r="K65" i="4"/>
  <c r="I65" i="4"/>
  <c r="H65" i="4"/>
  <c r="O64" i="4"/>
  <c r="N64" i="4"/>
  <c r="M64" i="4"/>
  <c r="L64" i="4"/>
  <c r="K64" i="4"/>
  <c r="I64" i="4"/>
  <c r="H64" i="4"/>
  <c r="O63" i="4"/>
  <c r="N63" i="4"/>
  <c r="M63" i="4"/>
  <c r="L63" i="4"/>
  <c r="K63" i="4"/>
  <c r="I63" i="4"/>
  <c r="H63" i="4"/>
  <c r="O62" i="4"/>
  <c r="N62" i="4"/>
  <c r="M62" i="4"/>
  <c r="L62" i="4"/>
  <c r="K62" i="4"/>
  <c r="I62" i="4"/>
  <c r="H62" i="4"/>
  <c r="O61" i="4"/>
  <c r="N61" i="4"/>
  <c r="M61" i="4"/>
  <c r="L61" i="4"/>
  <c r="K61" i="4"/>
  <c r="I61" i="4"/>
  <c r="H61" i="4"/>
  <c r="O60" i="4"/>
  <c r="N60" i="4"/>
  <c r="M60" i="4"/>
  <c r="L60" i="4"/>
  <c r="K60" i="4"/>
  <c r="I60" i="4"/>
  <c r="H60" i="4"/>
  <c r="O59" i="4"/>
  <c r="N59" i="4"/>
  <c r="M59" i="4"/>
  <c r="L59" i="4"/>
  <c r="K59" i="4"/>
  <c r="I59" i="4"/>
  <c r="H59" i="4"/>
  <c r="O58" i="4"/>
  <c r="N58" i="4"/>
  <c r="M58" i="4"/>
  <c r="L58" i="4"/>
  <c r="K58" i="4"/>
  <c r="I58" i="4"/>
  <c r="H58" i="4"/>
  <c r="O57" i="4"/>
  <c r="N57" i="4"/>
  <c r="M57" i="4"/>
  <c r="L57" i="4"/>
  <c r="K57" i="4"/>
  <c r="I57" i="4"/>
  <c r="H57" i="4"/>
  <c r="O56" i="4"/>
  <c r="N56" i="4"/>
  <c r="M56" i="4"/>
  <c r="L56" i="4"/>
  <c r="K56" i="4"/>
  <c r="I56" i="4"/>
  <c r="H56" i="4"/>
  <c r="O55" i="4"/>
  <c r="N55" i="4"/>
  <c r="M55" i="4"/>
  <c r="L55" i="4"/>
  <c r="K55" i="4"/>
  <c r="I55" i="4"/>
  <c r="H55" i="4"/>
  <c r="O54" i="4"/>
  <c r="N54" i="4"/>
  <c r="M54" i="4"/>
  <c r="L54" i="4"/>
  <c r="K54" i="4"/>
  <c r="I54" i="4"/>
  <c r="H54" i="4"/>
  <c r="O53" i="4"/>
  <c r="N53" i="4"/>
  <c r="M53" i="4"/>
  <c r="L53" i="4"/>
  <c r="K53" i="4"/>
  <c r="I53" i="4"/>
  <c r="H53" i="4"/>
  <c r="O52" i="4"/>
  <c r="N52" i="4"/>
  <c r="M52" i="4"/>
  <c r="L52" i="4"/>
  <c r="K52" i="4"/>
  <c r="I52" i="4"/>
  <c r="H52" i="4"/>
  <c r="O51" i="4"/>
  <c r="N51" i="4"/>
  <c r="M51" i="4"/>
  <c r="L51" i="4"/>
  <c r="K51" i="4"/>
  <c r="I51" i="4"/>
  <c r="H51" i="4"/>
  <c r="O50" i="4"/>
  <c r="N50" i="4"/>
  <c r="M50" i="4"/>
  <c r="L50" i="4"/>
  <c r="K50" i="4"/>
  <c r="I50" i="4"/>
  <c r="H50" i="4"/>
  <c r="O49" i="4"/>
  <c r="N49" i="4"/>
  <c r="M49" i="4"/>
  <c r="L49" i="4"/>
  <c r="K49" i="4"/>
  <c r="I49" i="4"/>
  <c r="H49" i="4"/>
  <c r="O48" i="4"/>
  <c r="N48" i="4"/>
  <c r="M48" i="4"/>
  <c r="L48" i="4"/>
  <c r="K48" i="4"/>
  <c r="I48" i="4"/>
  <c r="H48" i="4"/>
  <c r="O47" i="4"/>
  <c r="N47" i="4"/>
  <c r="M47" i="4"/>
  <c r="L47" i="4"/>
  <c r="K47" i="4"/>
  <c r="I47" i="4"/>
  <c r="H47" i="4"/>
  <c r="O46" i="4"/>
  <c r="N46" i="4"/>
  <c r="M46" i="4"/>
  <c r="L46" i="4"/>
  <c r="K46" i="4"/>
  <c r="I46" i="4"/>
  <c r="H46" i="4"/>
  <c r="O45" i="4"/>
  <c r="N45" i="4"/>
  <c r="M45" i="4"/>
  <c r="L45" i="4"/>
  <c r="K45" i="4"/>
  <c r="I45" i="4"/>
  <c r="H45" i="4"/>
  <c r="O44" i="4"/>
  <c r="N44" i="4"/>
  <c r="M44" i="4"/>
  <c r="L44" i="4"/>
  <c r="K44" i="4"/>
  <c r="I44" i="4"/>
  <c r="H44" i="4"/>
  <c r="O43" i="4"/>
  <c r="N43" i="4"/>
  <c r="M43" i="4"/>
  <c r="L43" i="4"/>
  <c r="K43" i="4"/>
  <c r="I43" i="4"/>
  <c r="H43" i="4"/>
  <c r="O42" i="4"/>
  <c r="N42" i="4"/>
  <c r="M42" i="4"/>
  <c r="L42" i="4"/>
  <c r="K42" i="4"/>
  <c r="I42" i="4"/>
  <c r="H42" i="4"/>
  <c r="O41" i="4"/>
  <c r="N41" i="4"/>
  <c r="M41" i="4"/>
  <c r="L41" i="4"/>
  <c r="K41" i="4"/>
  <c r="I41" i="4"/>
  <c r="H41" i="4"/>
  <c r="O40" i="4"/>
  <c r="N40" i="4"/>
  <c r="M40" i="4"/>
  <c r="L40" i="4"/>
  <c r="K40" i="4"/>
  <c r="I40" i="4"/>
  <c r="H40" i="4"/>
  <c r="O39" i="4"/>
  <c r="N39" i="4"/>
  <c r="M39" i="4"/>
  <c r="L39" i="4"/>
  <c r="K39" i="4"/>
  <c r="I39" i="4"/>
  <c r="H39" i="4"/>
  <c r="O38" i="4"/>
  <c r="N38" i="4"/>
  <c r="M38" i="4"/>
  <c r="L38" i="4"/>
  <c r="K38" i="4"/>
  <c r="I38" i="4"/>
  <c r="H38" i="4"/>
  <c r="O37" i="4"/>
  <c r="N37" i="4"/>
  <c r="M37" i="4"/>
  <c r="L37" i="4"/>
  <c r="K37" i="4"/>
  <c r="I37" i="4"/>
  <c r="H37" i="4"/>
  <c r="O36" i="4"/>
  <c r="N36" i="4"/>
  <c r="M36" i="4"/>
  <c r="L36" i="4"/>
  <c r="K36" i="4"/>
  <c r="I36" i="4"/>
  <c r="H36" i="4"/>
  <c r="O35" i="4"/>
  <c r="N35" i="4"/>
  <c r="M35" i="4"/>
  <c r="L35" i="4"/>
  <c r="K35" i="4"/>
  <c r="I35" i="4"/>
  <c r="H35" i="4"/>
  <c r="O34" i="4"/>
  <c r="N34" i="4"/>
  <c r="M34" i="4"/>
  <c r="L34" i="4"/>
  <c r="K34" i="4"/>
  <c r="I34" i="4"/>
  <c r="H34" i="4"/>
  <c r="O33" i="4"/>
  <c r="N33" i="4"/>
  <c r="M33" i="4"/>
  <c r="L33" i="4"/>
  <c r="K33" i="4"/>
  <c r="I33" i="4"/>
  <c r="H33" i="4"/>
  <c r="O32" i="4"/>
  <c r="N32" i="4"/>
  <c r="M32" i="4"/>
  <c r="L32" i="4"/>
  <c r="K32" i="4"/>
  <c r="I32" i="4"/>
  <c r="H32" i="4"/>
  <c r="O31" i="4"/>
  <c r="N31" i="4"/>
  <c r="M31" i="4"/>
  <c r="L31" i="4"/>
  <c r="K31" i="4"/>
  <c r="I31" i="4"/>
  <c r="H31" i="4"/>
  <c r="O30" i="4"/>
  <c r="N30" i="4"/>
  <c r="M30" i="4"/>
  <c r="L30" i="4"/>
  <c r="K30" i="4"/>
  <c r="I30" i="4"/>
  <c r="H30" i="4"/>
  <c r="O29" i="4"/>
  <c r="N29" i="4"/>
  <c r="M29" i="4"/>
  <c r="L29" i="4"/>
  <c r="K29" i="4"/>
  <c r="I29" i="4"/>
  <c r="H29" i="4"/>
  <c r="O28" i="4"/>
  <c r="N28" i="4"/>
  <c r="M28" i="4"/>
  <c r="L28" i="4"/>
  <c r="K28" i="4"/>
  <c r="I28" i="4"/>
  <c r="H28" i="4"/>
  <c r="O27" i="4"/>
  <c r="N27" i="4"/>
  <c r="M27" i="4"/>
  <c r="L27" i="4"/>
  <c r="K27" i="4"/>
  <c r="I27" i="4"/>
  <c r="H27" i="4"/>
  <c r="O26" i="4"/>
  <c r="N26" i="4"/>
  <c r="M26" i="4"/>
  <c r="L26" i="4"/>
  <c r="K26" i="4"/>
  <c r="I26" i="4"/>
  <c r="H26" i="4"/>
  <c r="O25" i="4"/>
  <c r="N25" i="4"/>
  <c r="M25" i="4"/>
  <c r="L25" i="4"/>
  <c r="K25" i="4"/>
  <c r="I25" i="4"/>
  <c r="H25" i="4"/>
  <c r="O24" i="4"/>
  <c r="N24" i="4"/>
  <c r="M24" i="4"/>
  <c r="L24" i="4"/>
  <c r="K24" i="4"/>
  <c r="I24" i="4"/>
  <c r="H24" i="4"/>
  <c r="O23" i="4"/>
  <c r="N23" i="4"/>
  <c r="M23" i="4"/>
  <c r="L23" i="4"/>
  <c r="K23" i="4"/>
  <c r="I23" i="4"/>
  <c r="H23" i="4"/>
  <c r="O22" i="4"/>
  <c r="N22" i="4"/>
  <c r="M22" i="4"/>
  <c r="L22" i="4"/>
  <c r="K22" i="4"/>
  <c r="I22" i="4"/>
  <c r="H22" i="4"/>
  <c r="O21" i="4"/>
  <c r="N21" i="4"/>
  <c r="M21" i="4"/>
  <c r="L21" i="4"/>
  <c r="K21" i="4"/>
  <c r="I21" i="4"/>
  <c r="H21" i="4"/>
  <c r="O20" i="4"/>
  <c r="N20" i="4"/>
  <c r="M20" i="4"/>
  <c r="L20" i="4"/>
  <c r="K20" i="4"/>
  <c r="I20" i="4"/>
  <c r="H20" i="4"/>
  <c r="O19" i="4"/>
  <c r="N19" i="4"/>
  <c r="M19" i="4"/>
  <c r="L19" i="4"/>
  <c r="K19" i="4"/>
  <c r="I19" i="4"/>
  <c r="H19" i="4"/>
  <c r="O18" i="4"/>
  <c r="N18" i="4"/>
  <c r="M18" i="4"/>
  <c r="L18" i="4"/>
  <c r="K18" i="4"/>
  <c r="I18" i="4"/>
  <c r="H18" i="4"/>
  <c r="O17" i="4"/>
  <c r="N17" i="4"/>
  <c r="M17" i="4"/>
  <c r="L17" i="4"/>
  <c r="K17" i="4"/>
  <c r="I17" i="4"/>
  <c r="H17" i="4"/>
  <c r="O16" i="4"/>
  <c r="N16" i="4"/>
  <c r="M16" i="4"/>
  <c r="L16" i="4"/>
  <c r="K16" i="4"/>
  <c r="I16" i="4"/>
  <c r="H16" i="4"/>
  <c r="O15" i="4"/>
  <c r="N15" i="4"/>
  <c r="M15" i="4"/>
  <c r="L15" i="4"/>
  <c r="K15" i="4"/>
  <c r="I15" i="4"/>
  <c r="H15" i="4"/>
  <c r="O14" i="4"/>
  <c r="N14" i="4"/>
  <c r="M14" i="4"/>
  <c r="L14" i="4"/>
  <c r="K14" i="4"/>
  <c r="I14" i="4"/>
  <c r="H14" i="4"/>
  <c r="O13" i="4"/>
  <c r="N13" i="4"/>
  <c r="M13" i="4"/>
  <c r="L13" i="4"/>
  <c r="K13" i="4"/>
  <c r="I13" i="4"/>
  <c r="H13" i="4"/>
  <c r="O12" i="4"/>
  <c r="N12" i="4"/>
  <c r="M12" i="4"/>
  <c r="L12" i="4"/>
  <c r="K12" i="4"/>
  <c r="I12" i="4"/>
  <c r="H12" i="4"/>
  <c r="O11" i="4"/>
  <c r="N11" i="4"/>
  <c r="M11" i="4"/>
  <c r="L11" i="4"/>
  <c r="K11" i="4"/>
  <c r="I11" i="4"/>
  <c r="H11" i="4"/>
  <c r="O10" i="4"/>
  <c r="N10" i="4"/>
  <c r="M10" i="4"/>
  <c r="L10" i="4"/>
  <c r="K10" i="4"/>
  <c r="I10" i="4"/>
  <c r="H10" i="4"/>
  <c r="O9" i="4"/>
  <c r="N9" i="4"/>
  <c r="M9" i="4"/>
  <c r="L9" i="4"/>
  <c r="K9" i="4"/>
  <c r="D36" i="5" s="1"/>
  <c r="I9" i="4"/>
  <c r="H9" i="4"/>
  <c r="F5" i="6" s="1"/>
  <c r="N8" i="4"/>
  <c r="M8" i="4"/>
  <c r="L8" i="4"/>
  <c r="K8" i="4"/>
  <c r="I8" i="4"/>
  <c r="H8" i="4"/>
  <c r="C11" i="2" s="1"/>
  <c r="O7" i="4"/>
  <c r="N7" i="4"/>
  <c r="M7" i="4"/>
  <c r="L7" i="4"/>
  <c r="K7" i="4"/>
  <c r="I7" i="4"/>
  <c r="H7" i="4"/>
  <c r="N6" i="4"/>
  <c r="M6" i="4"/>
  <c r="L6" i="4"/>
  <c r="K6" i="4"/>
  <c r="I6" i="4"/>
  <c r="D41" i="5" s="1"/>
  <c r="H6" i="4"/>
  <c r="E5" i="2" s="1"/>
  <c r="O5" i="4"/>
  <c r="N5" i="4"/>
  <c r="M5" i="4"/>
  <c r="L5" i="4"/>
  <c r="K5" i="4"/>
  <c r="D39" i="5" s="1"/>
  <c r="I5" i="4"/>
  <c r="D42" i="5" s="1"/>
  <c r="H5" i="4"/>
  <c r="E8" i="5" s="1"/>
  <c r="E11" i="5" s="1"/>
  <c r="E18" i="5" s="1"/>
  <c r="C15" i="2"/>
  <c r="C14" i="2"/>
  <c r="C13" i="2"/>
  <c r="F12" i="2"/>
  <c r="C12" i="2"/>
  <c r="F11" i="2"/>
  <c r="F10" i="2"/>
  <c r="H12" i="5" l="1"/>
  <c r="E17" i="2"/>
  <c r="H5" i="2"/>
  <c r="M7" i="6"/>
  <c r="K7" i="6"/>
  <c r="L7" i="6" s="1"/>
  <c r="F32" i="5"/>
  <c r="E40" i="5"/>
  <c r="I9" i="6"/>
  <c r="D23" i="6"/>
  <c r="E50" i="6"/>
  <c r="D56" i="6"/>
  <c r="H59" i="6"/>
  <c r="G59" i="6"/>
  <c r="F59" i="6"/>
  <c r="E59" i="6"/>
  <c r="D59" i="6"/>
  <c r="M59" i="6"/>
  <c r="L59" i="6"/>
  <c r="J59" i="6"/>
  <c r="I59" i="6"/>
  <c r="D71" i="6"/>
  <c r="K74" i="6"/>
  <c r="J74" i="6"/>
  <c r="I74" i="6"/>
  <c r="H74" i="6"/>
  <c r="G74" i="6"/>
  <c r="M74" i="6"/>
  <c r="L74" i="6"/>
  <c r="D113" i="6"/>
  <c r="G32" i="5"/>
  <c r="F40" i="5"/>
  <c r="E23" i="6"/>
  <c r="D34" i="6"/>
  <c r="M36" i="6"/>
  <c r="E56" i="6"/>
  <c r="K59" i="6"/>
  <c r="E71" i="6"/>
  <c r="D74" i="6"/>
  <c r="M82" i="6"/>
  <c r="E113" i="6"/>
  <c r="F25" i="5"/>
  <c r="F33" i="5"/>
  <c r="E41" i="5"/>
  <c r="D10" i="6"/>
  <c r="H23" i="6"/>
  <c r="E26" i="6"/>
  <c r="G34" i="6"/>
  <c r="E37" i="6"/>
  <c r="G51" i="6"/>
  <c r="M54" i="6"/>
  <c r="L54" i="6"/>
  <c r="K54" i="6"/>
  <c r="H56" i="6"/>
  <c r="E60" i="6"/>
  <c r="H71" i="6"/>
  <c r="E75" i="6"/>
  <c r="D75" i="6"/>
  <c r="F80" i="6"/>
  <c r="F95" i="6"/>
  <c r="E98" i="6"/>
  <c r="D104" i="6"/>
  <c r="H107" i="6"/>
  <c r="G107" i="6"/>
  <c r="F107" i="6"/>
  <c r="E107" i="6"/>
  <c r="D107" i="6"/>
  <c r="M107" i="6"/>
  <c r="L107" i="6"/>
  <c r="J107" i="6"/>
  <c r="I107" i="6"/>
  <c r="E119" i="6"/>
  <c r="F31" i="5"/>
  <c r="G39" i="5"/>
  <c r="D40" i="5"/>
  <c r="F9" i="6"/>
  <c r="E9" i="6"/>
  <c r="D9" i="6"/>
  <c r="K9" i="6"/>
  <c r="J9" i="6"/>
  <c r="H9" i="6"/>
  <c r="G9" i="6"/>
  <c r="M113" i="6"/>
  <c r="L113" i="6"/>
  <c r="K113" i="6"/>
  <c r="J113" i="6"/>
  <c r="F23" i="6"/>
  <c r="E34" i="6"/>
  <c r="F56" i="6"/>
  <c r="F71" i="6"/>
  <c r="H83" i="6"/>
  <c r="G83" i="6"/>
  <c r="F83" i="6"/>
  <c r="E83" i="6"/>
  <c r="D83" i="6"/>
  <c r="M83" i="6"/>
  <c r="L83" i="6"/>
  <c r="J83" i="6"/>
  <c r="I83" i="6"/>
  <c r="F113" i="6"/>
  <c r="E33" i="5"/>
  <c r="D26" i="6"/>
  <c r="F34" i="6"/>
  <c r="L63" i="6"/>
  <c r="K63" i="6"/>
  <c r="J63" i="6"/>
  <c r="I63" i="6"/>
  <c r="H63" i="6"/>
  <c r="M63" i="6"/>
  <c r="G71" i="6"/>
  <c r="K83" i="6"/>
  <c r="D98" i="6"/>
  <c r="G113" i="6"/>
  <c r="K122" i="6"/>
  <c r="J122" i="6"/>
  <c r="I122" i="6"/>
  <c r="H122" i="6"/>
  <c r="G122" i="6"/>
  <c r="M122" i="6"/>
  <c r="L122" i="6"/>
  <c r="O6" i="4"/>
  <c r="E26" i="5"/>
  <c r="G33" i="5"/>
  <c r="F41" i="5"/>
  <c r="E10" i="6"/>
  <c r="J13" i="6"/>
  <c r="I13" i="6"/>
  <c r="H13" i="6"/>
  <c r="L13" i="6"/>
  <c r="K13" i="6"/>
  <c r="I23" i="6"/>
  <c r="F26" i="6"/>
  <c r="H34" i="6"/>
  <c r="F37" i="6"/>
  <c r="H51" i="6"/>
  <c r="D54" i="6"/>
  <c r="I56" i="6"/>
  <c r="F60" i="6"/>
  <c r="E63" i="6"/>
  <c r="I71" i="6"/>
  <c r="F75" i="6"/>
  <c r="G80" i="6"/>
  <c r="D84" i="6"/>
  <c r="L87" i="6"/>
  <c r="K87" i="6"/>
  <c r="J87" i="6"/>
  <c r="I87" i="6"/>
  <c r="H87" i="6"/>
  <c r="M87" i="6"/>
  <c r="G95" i="6"/>
  <c r="E104" i="6"/>
  <c r="K107" i="6"/>
  <c r="I113" i="6"/>
  <c r="F119" i="6"/>
  <c r="E122" i="6"/>
  <c r="F74" i="6"/>
  <c r="C10" i="2"/>
  <c r="F26" i="5"/>
  <c r="D34" i="5"/>
  <c r="G41" i="5"/>
  <c r="F10" i="6"/>
  <c r="D13" i="6"/>
  <c r="J23" i="6"/>
  <c r="I34" i="6"/>
  <c r="D45" i="6"/>
  <c r="E54" i="6"/>
  <c r="J56" i="6"/>
  <c r="G60" i="6"/>
  <c r="F63" i="6"/>
  <c r="J71" i="6"/>
  <c r="G75" i="6"/>
  <c r="M78" i="6"/>
  <c r="L78" i="6"/>
  <c r="K78" i="6"/>
  <c r="H80" i="6"/>
  <c r="E84" i="6"/>
  <c r="D87" i="6"/>
  <c r="H95" i="6"/>
  <c r="E99" i="6"/>
  <c r="D99" i="6"/>
  <c r="F104" i="6"/>
  <c r="G119" i="6"/>
  <c r="F122" i="6"/>
  <c r="K50" i="6"/>
  <c r="J50" i="6"/>
  <c r="I50" i="6"/>
  <c r="H50" i="6"/>
  <c r="G50" i="6"/>
  <c r="M50" i="6"/>
  <c r="L50" i="6"/>
  <c r="E32" i="5"/>
  <c r="D50" i="6"/>
  <c r="D33" i="5"/>
  <c r="G40" i="5"/>
  <c r="M9" i="6"/>
  <c r="K26" i="6"/>
  <c r="J26" i="6"/>
  <c r="I26" i="6"/>
  <c r="M26" i="6"/>
  <c r="L26" i="6"/>
  <c r="J37" i="6"/>
  <c r="I37" i="6"/>
  <c r="H37" i="6"/>
  <c r="L37" i="6"/>
  <c r="K37" i="6"/>
  <c r="E51" i="6"/>
  <c r="D51" i="6"/>
  <c r="E74" i="6"/>
  <c r="K98" i="6"/>
  <c r="J98" i="6"/>
  <c r="I98" i="6"/>
  <c r="H98" i="6"/>
  <c r="G98" i="6"/>
  <c r="M98" i="6"/>
  <c r="L98" i="6"/>
  <c r="G23" i="6"/>
  <c r="D37" i="6"/>
  <c r="F51" i="6"/>
  <c r="G56" i="6"/>
  <c r="D60" i="6"/>
  <c r="D119" i="6"/>
  <c r="G26" i="5"/>
  <c r="E34" i="5"/>
  <c r="G10" i="6"/>
  <c r="E13" i="6"/>
  <c r="K23" i="6"/>
  <c r="H26" i="6"/>
  <c r="J34" i="6"/>
  <c r="M37" i="6"/>
  <c r="E45" i="6"/>
  <c r="I48" i="6"/>
  <c r="H48" i="6"/>
  <c r="G48" i="6"/>
  <c r="F48" i="6"/>
  <c r="M48" i="6"/>
  <c r="K48" i="6"/>
  <c r="J48" i="6"/>
  <c r="J51" i="6"/>
  <c r="F54" i="6"/>
  <c r="K56" i="6"/>
  <c r="H60" i="6"/>
  <c r="G63" i="6"/>
  <c r="K71" i="6"/>
  <c r="H75" i="6"/>
  <c r="I80" i="6"/>
  <c r="F84" i="6"/>
  <c r="E87" i="6"/>
  <c r="I95" i="6"/>
  <c r="G104" i="6"/>
  <c r="L111" i="6"/>
  <c r="K111" i="6"/>
  <c r="J111" i="6"/>
  <c r="I111" i="6"/>
  <c r="H111" i="6"/>
  <c r="M111" i="6"/>
  <c r="H119" i="6"/>
  <c r="E123" i="6"/>
  <c r="D123" i="6"/>
  <c r="D27" i="5"/>
  <c r="F34" i="5"/>
  <c r="H10" i="6"/>
  <c r="F13" i="6"/>
  <c r="E27" i="6"/>
  <c r="D27" i="6"/>
  <c r="F45" i="6"/>
  <c r="D48" i="6"/>
  <c r="K51" i="6"/>
  <c r="G54" i="6"/>
  <c r="L56" i="6"/>
  <c r="I75" i="6"/>
  <c r="E78" i="6"/>
  <c r="J80" i="6"/>
  <c r="G84" i="6"/>
  <c r="F87" i="6"/>
  <c r="G99" i="6"/>
  <c r="M102" i="6"/>
  <c r="L102" i="6"/>
  <c r="K102" i="6"/>
  <c r="H104" i="6"/>
  <c r="D111" i="6"/>
  <c r="I119" i="6"/>
  <c r="F123" i="6"/>
  <c r="F35" i="5"/>
  <c r="D19" i="6"/>
  <c r="E24" i="6"/>
  <c r="F32" i="6"/>
  <c r="D35" i="6"/>
  <c r="M41" i="6"/>
  <c r="L41" i="6"/>
  <c r="D52" i="6"/>
  <c r="L72" i="6"/>
  <c r="E93" i="6"/>
  <c r="I96" i="6"/>
  <c r="H96" i="6"/>
  <c r="G96" i="6"/>
  <c r="F96" i="6"/>
  <c r="E96" i="6"/>
  <c r="M96" i="6"/>
  <c r="K96" i="6"/>
  <c r="J96" i="6"/>
  <c r="D117" i="6"/>
  <c r="E28" i="5"/>
  <c r="G35" i="5"/>
  <c r="D8" i="6"/>
  <c r="G8" i="6" s="1"/>
  <c r="J8" i="6" s="1"/>
  <c r="E19" i="6"/>
  <c r="F24" i="6"/>
  <c r="D30" i="6"/>
  <c r="G32" i="6"/>
  <c r="D41" i="6"/>
  <c r="E52" i="6"/>
  <c r="J61" i="6"/>
  <c r="I61" i="6"/>
  <c r="H61" i="6"/>
  <c r="G61" i="6"/>
  <c r="F61" i="6"/>
  <c r="L61" i="6"/>
  <c r="K61" i="6"/>
  <c r="M67" i="6"/>
  <c r="L67" i="6"/>
  <c r="M76" i="6"/>
  <c r="L76" i="6"/>
  <c r="K76" i="6"/>
  <c r="J76" i="6"/>
  <c r="I76" i="6"/>
  <c r="F93" i="6"/>
  <c r="D96" i="6"/>
  <c r="E117" i="6"/>
  <c r="I120" i="6"/>
  <c r="H120" i="6"/>
  <c r="G120" i="6"/>
  <c r="F120" i="6"/>
  <c r="E120" i="6"/>
  <c r="M120" i="6"/>
  <c r="K120" i="6"/>
  <c r="J120" i="6"/>
  <c r="K123" i="6"/>
  <c r="D29" i="5"/>
  <c r="E38" i="5"/>
  <c r="E11" i="6"/>
  <c r="D17" i="6"/>
  <c r="H19" i="6"/>
  <c r="G30" i="6"/>
  <c r="J32" i="6"/>
  <c r="D36" i="6"/>
  <c r="G41" i="6"/>
  <c r="G46" i="6"/>
  <c r="F46" i="6"/>
  <c r="E46" i="6"/>
  <c r="L46" i="6"/>
  <c r="K46" i="6"/>
  <c r="I46" i="6"/>
  <c r="H46" i="6"/>
  <c r="D82" i="6"/>
  <c r="D85" i="6"/>
  <c r="D91" i="6"/>
  <c r="I93" i="6"/>
  <c r="D100" i="6"/>
  <c r="H117" i="6"/>
  <c r="M124" i="6"/>
  <c r="L124" i="6"/>
  <c r="K124" i="6"/>
  <c r="J124" i="6"/>
  <c r="I124" i="6"/>
  <c r="D35" i="5"/>
  <c r="E35" i="5"/>
  <c r="G93" i="6"/>
  <c r="F37" i="5"/>
  <c r="G19" i="6"/>
  <c r="F41" i="6"/>
  <c r="G117" i="6"/>
  <c r="D5" i="6"/>
  <c r="G5" i="6" s="1"/>
  <c r="J5" i="6" s="1"/>
  <c r="G42" i="5"/>
  <c r="F42" i="5"/>
  <c r="E42" i="5"/>
  <c r="E29" i="5"/>
  <c r="F38" i="5"/>
  <c r="D6" i="6"/>
  <c r="G6" i="6" s="1"/>
  <c r="J6" i="6" s="1"/>
  <c r="H8" i="6"/>
  <c r="E17" i="6"/>
  <c r="I19" i="6"/>
  <c r="M28" i="6"/>
  <c r="L28" i="6"/>
  <c r="K28" i="6"/>
  <c r="H30" i="6"/>
  <c r="K32" i="6"/>
  <c r="E36" i="6"/>
  <c r="H41" i="6"/>
  <c r="D46" i="6"/>
  <c r="G58" i="6"/>
  <c r="G67" i="6"/>
  <c r="G76" i="6"/>
  <c r="E82" i="6"/>
  <c r="E91" i="6"/>
  <c r="J93" i="6"/>
  <c r="E100" i="6"/>
  <c r="J109" i="6"/>
  <c r="I109" i="6"/>
  <c r="H109" i="6"/>
  <c r="G109" i="6"/>
  <c r="F109" i="6"/>
  <c r="L109" i="6"/>
  <c r="K109" i="6"/>
  <c r="M115" i="6"/>
  <c r="L115" i="6"/>
  <c r="I117" i="6"/>
  <c r="D124" i="6"/>
  <c r="H76" i="6"/>
  <c r="F82" i="6"/>
  <c r="F91" i="6"/>
  <c r="K93" i="6"/>
  <c r="F100" i="6"/>
  <c r="J117" i="6"/>
  <c r="O8" i="4"/>
  <c r="G28" i="5" s="1"/>
  <c r="G29" i="5"/>
  <c r="F6" i="6"/>
  <c r="D12" i="6"/>
  <c r="K19" i="6"/>
  <c r="G22" i="6"/>
  <c r="F22" i="6"/>
  <c r="E22" i="6"/>
  <c r="L22" i="6"/>
  <c r="K22" i="6"/>
  <c r="I22" i="6"/>
  <c r="H22" i="6"/>
  <c r="E28" i="6"/>
  <c r="J30" i="6"/>
  <c r="M32" i="6"/>
  <c r="G36" i="6"/>
  <c r="D39" i="6"/>
  <c r="J41" i="6"/>
  <c r="M46" i="6"/>
  <c r="I58" i="6"/>
  <c r="M65" i="6"/>
  <c r="L65" i="6"/>
  <c r="K65" i="6"/>
  <c r="J65" i="6"/>
  <c r="I67" i="6"/>
  <c r="G82" i="6"/>
  <c r="L93" i="6"/>
  <c r="E106" i="6"/>
  <c r="E109" i="6"/>
  <c r="E115" i="6"/>
  <c r="K117" i="6"/>
  <c r="F124" i="6"/>
  <c r="G34" i="5"/>
  <c r="D32" i="6"/>
  <c r="I72" i="6"/>
  <c r="H72" i="6"/>
  <c r="G72" i="6"/>
  <c r="F72" i="6"/>
  <c r="E72" i="6"/>
  <c r="M72" i="6"/>
  <c r="K72" i="6"/>
  <c r="J72" i="6"/>
  <c r="D24" i="6"/>
  <c r="E32" i="6"/>
  <c r="M52" i="6"/>
  <c r="L52" i="6"/>
  <c r="K52" i="6"/>
  <c r="J52" i="6"/>
  <c r="I52" i="6"/>
  <c r="H32" i="6"/>
  <c r="F117" i="6"/>
  <c r="M17" i="6"/>
  <c r="L17" i="6"/>
  <c r="I32" i="6"/>
  <c r="M91" i="6"/>
  <c r="L91" i="6"/>
  <c r="M100" i="6"/>
  <c r="L100" i="6"/>
  <c r="K100" i="6"/>
  <c r="J100" i="6"/>
  <c r="I100" i="6"/>
  <c r="G36" i="5"/>
  <c r="G30" i="5"/>
  <c r="F36" i="5"/>
  <c r="E36" i="5"/>
  <c r="E30" i="5"/>
  <c r="D38" i="5"/>
  <c r="D32" i="5"/>
  <c r="D26" i="5"/>
  <c r="G37" i="5"/>
  <c r="G31" i="5"/>
  <c r="G25" i="5"/>
  <c r="E37" i="5"/>
  <c r="E31" i="5"/>
  <c r="E25" i="5"/>
  <c r="D37" i="5"/>
  <c r="D31" i="5"/>
  <c r="D25" i="5"/>
  <c r="F29" i="5"/>
  <c r="I30" i="6"/>
  <c r="F36" i="6"/>
  <c r="I41" i="6"/>
  <c r="H67" i="6"/>
  <c r="D30" i="5"/>
  <c r="E39" i="5"/>
  <c r="E12" i="6"/>
  <c r="H17" i="6"/>
  <c r="L19" i="6"/>
  <c r="D22" i="6"/>
  <c r="F28" i="6"/>
  <c r="K30" i="6"/>
  <c r="F33" i="6"/>
  <c r="E33" i="6"/>
  <c r="D33" i="6"/>
  <c r="K33" i="6"/>
  <c r="J33" i="6"/>
  <c r="H33" i="6"/>
  <c r="G33" i="6"/>
  <c r="H36" i="6"/>
  <c r="K41" i="6"/>
  <c r="J58" i="6"/>
  <c r="D65" i="6"/>
  <c r="J67" i="6"/>
  <c r="H82" i="6"/>
  <c r="H91" i="6"/>
  <c r="M93" i="6"/>
  <c r="H100" i="6"/>
  <c r="F106" i="6"/>
  <c r="M109" i="6"/>
  <c r="F115" i="6"/>
  <c r="L117" i="6"/>
  <c r="G124" i="6"/>
  <c r="I24" i="6"/>
  <c r="H24" i="6"/>
  <c r="G24" i="6"/>
  <c r="M24" i="6"/>
  <c r="K24" i="6"/>
  <c r="J24" i="6"/>
  <c r="H35" i="6"/>
  <c r="G35" i="6"/>
  <c r="F35" i="6"/>
  <c r="M35" i="6"/>
  <c r="L35" i="6"/>
  <c r="J35" i="6"/>
  <c r="I35" i="6"/>
  <c r="D93" i="6"/>
  <c r="H11" i="6"/>
  <c r="G11" i="6"/>
  <c r="F11" i="6"/>
  <c r="M11" i="6"/>
  <c r="L11" i="6"/>
  <c r="J11" i="6"/>
  <c r="I11" i="6"/>
  <c r="F19" i="6"/>
  <c r="K35" i="6"/>
  <c r="F52" i="6"/>
  <c r="F8" i="6"/>
  <c r="D11" i="6"/>
  <c r="F30" i="6"/>
  <c r="G52" i="6"/>
  <c r="J85" i="6"/>
  <c r="I85" i="6"/>
  <c r="H85" i="6"/>
  <c r="G85" i="6"/>
  <c r="F85" i="6"/>
  <c r="L85" i="6"/>
  <c r="K85" i="6"/>
  <c r="G38" i="5"/>
  <c r="E6" i="6"/>
  <c r="I8" i="6"/>
  <c r="F17" i="6"/>
  <c r="J19" i="6"/>
  <c r="L39" i="6"/>
  <c r="K39" i="6"/>
  <c r="J39" i="6"/>
  <c r="M39" i="6"/>
  <c r="J46" i="6"/>
  <c r="H58" i="6"/>
  <c r="M85" i="6"/>
  <c r="E124" i="6"/>
  <c r="F30" i="5"/>
  <c r="F39" i="5"/>
  <c r="H6" i="6"/>
  <c r="L15" i="6"/>
  <c r="K15" i="6"/>
  <c r="J15" i="6"/>
  <c r="M15" i="6"/>
  <c r="I17" i="6"/>
  <c r="J22" i="6"/>
  <c r="G28" i="6"/>
  <c r="L30" i="6"/>
  <c r="F39" i="6"/>
  <c r="E65" i="6"/>
  <c r="K67" i="6"/>
  <c r="M89" i="6"/>
  <c r="L89" i="6"/>
  <c r="K89" i="6"/>
  <c r="J89" i="6"/>
  <c r="I91" i="6"/>
  <c r="G115" i="6"/>
  <c r="H124" i="6"/>
  <c r="G57" i="6"/>
  <c r="H70" i="6"/>
  <c r="G81" i="6"/>
  <c r="H94" i="6"/>
  <c r="G105" i="6"/>
  <c r="H118" i="6"/>
  <c r="H57" i="6"/>
  <c r="I70" i="6"/>
  <c r="H81" i="6"/>
  <c r="I94" i="6"/>
  <c r="H105" i="6"/>
  <c r="I118" i="6"/>
  <c r="J57" i="6"/>
  <c r="K70" i="6"/>
  <c r="J81" i="6"/>
  <c r="K94" i="6"/>
  <c r="J105" i="6"/>
  <c r="K118" i="6"/>
  <c r="K57" i="6"/>
  <c r="L70" i="6"/>
  <c r="K81" i="6"/>
  <c r="L94" i="6"/>
  <c r="K105" i="6"/>
  <c r="L118" i="6"/>
  <c r="D57" i="6"/>
  <c r="E70" i="6"/>
  <c r="D81" i="6"/>
  <c r="E94" i="6"/>
  <c r="D105" i="6"/>
  <c r="E118" i="6"/>
  <c r="E57" i="6"/>
  <c r="F70" i="6"/>
  <c r="E81" i="6"/>
  <c r="F94" i="6"/>
  <c r="E105" i="6"/>
  <c r="D116" i="6"/>
  <c r="F118" i="6"/>
  <c r="K6" i="6" l="1"/>
  <c r="L6" i="6" s="1"/>
  <c r="M6" i="6"/>
  <c r="M8" i="6"/>
  <c r="K8" i="6"/>
  <c r="L8" i="6" s="1"/>
  <c r="M5" i="6"/>
  <c r="K5" i="6"/>
  <c r="L5" i="6" s="1"/>
  <c r="F13" i="2"/>
  <c r="K5" i="2"/>
  <c r="N5" i="2" s="1"/>
  <c r="H15" i="5"/>
  <c r="H13" i="5"/>
  <c r="H14" i="5" s="1"/>
  <c r="H16" i="5"/>
</calcChain>
</file>

<file path=xl/sharedStrings.xml><?xml version="1.0" encoding="utf-8"?>
<sst xmlns="http://schemas.openxmlformats.org/spreadsheetml/2006/main" count="150" uniqueCount="122">
  <si>
    <t>COSTEO Y PRECIO DE PRODUCTOS PARA PYMES</t>
  </si>
  <si>
    <t>Calcula el costo real de tus productos y define un precio rentable sin tocar fórmulas.</t>
  </si>
  <si>
    <t>Promesa de la plantilla</t>
  </si>
  <si>
    <t>Ingresa productos, materiales, mano de obra y gastos. El Excel calcula costo total, precio sugerido, utilidad, margen y estado del precio.</t>
  </si>
  <si>
    <t>Paso</t>
  </si>
  <si>
    <t>Hoja</t>
  </si>
  <si>
    <t>Qué hace</t>
  </si>
  <si>
    <t>Idea clave</t>
  </si>
  <si>
    <t>1</t>
  </si>
  <si>
    <t>Productos</t>
  </si>
  <si>
    <t>Registra los productos que quieres costear.</t>
  </si>
  <si>
    <t>La plantilla usa una Base de Costos flexible. Si un producto necesita más materiales, agrega más filas con el mismo nombre del producto. La calculadora suma automáticamente por producto y grupo.</t>
  </si>
  <si>
    <t>2</t>
  </si>
  <si>
    <t>Base de Costos</t>
  </si>
  <si>
    <t>Agrega todos los materiales, mano de obra y gastos por producto.</t>
  </si>
  <si>
    <t>3</t>
  </si>
  <si>
    <t>Calculadora</t>
  </si>
  <si>
    <t>Elige un producto y revisa su costo, precio sugerido y margen.</t>
  </si>
  <si>
    <t>4</t>
  </si>
  <si>
    <t>Resumen Productos</t>
  </si>
  <si>
    <t>Compara todos los productos costeados.</t>
  </si>
  <si>
    <t>5</t>
  </si>
  <si>
    <t>Dashboard</t>
  </si>
  <si>
    <t>Visualiza precios, costos y composición del producto.</t>
  </si>
  <si>
    <t>DASHBOARD DE COSTEO</t>
  </si>
  <si>
    <t>Visualiza composición del costo, precios de referencia y rentabilidad del producto seleccionado.</t>
  </si>
  <si>
    <t>Producto a analizar</t>
  </si>
  <si>
    <t>Valor total unitario</t>
  </si>
  <si>
    <t>Precio sugerido</t>
  </si>
  <si>
    <t>Utilidad por unidad</t>
  </si>
  <si>
    <t>Margen real</t>
  </si>
  <si>
    <t>Camisa</t>
  </si>
  <si>
    <t>Composición</t>
  </si>
  <si>
    <t>Monto</t>
  </si>
  <si>
    <t>Precio</t>
  </si>
  <si>
    <t>Materia prima</t>
  </si>
  <si>
    <t>Cliente</t>
  </si>
  <si>
    <t>Mano de obra</t>
  </si>
  <si>
    <t>Competencia</t>
  </si>
  <si>
    <t>CIF</t>
  </si>
  <si>
    <t>Deseado PYME</t>
  </si>
  <si>
    <t>Publicidad</t>
  </si>
  <si>
    <t>Sugerido</t>
  </si>
  <si>
    <t>Administración</t>
  </si>
  <si>
    <t>Otros gastos</t>
  </si>
  <si>
    <t>Estado</t>
  </si>
  <si>
    <t>Uso recomendado: registra todos los componentes en Base de Costos. Si un producto necesita más materiales, agrega más filas con el mismo nombre del producto. La calculadora y el dashboard se actualizan automáticamente.</t>
  </si>
  <si>
    <t>Esta hoja muestra un resumen automático del producto seleccionado. Aquí puedes revisar su costo total unitario, precio al cliente, precio de la competencia, precio sugerido, utilidad estimada y estado general del precio. No es necesario escribir cálculos en esta hoja; los resultados se actualizan con la información ingresada en Productos y Base de Costos.</t>
  </si>
  <si>
    <t>PRODUCTOS</t>
  </si>
  <si>
    <t>Registra aquí los productos que quieres costear. Puedes usar las filas vacías disponibles.</t>
  </si>
  <si>
    <t>Producto</t>
  </si>
  <si>
    <t>Descripción</t>
  </si>
  <si>
    <t>Unidad venta</t>
  </si>
  <si>
    <t>Precio cliente</t>
  </si>
  <si>
    <t>Precio competencia</t>
  </si>
  <si>
    <t>Precio deseado PYME</t>
  </si>
  <si>
    <t>% utilidad deseada</t>
  </si>
  <si>
    <t>Camisa manga corta</t>
  </si>
  <si>
    <t>1 unidad</t>
  </si>
  <si>
    <t>Usa las filas vacías para agregar nuevos productos. Luego usa el mismo nombre del producto en la hoja Base de Costos.</t>
  </si>
  <si>
    <t>Puff</t>
  </si>
  <si>
    <t>Puff exterior</t>
  </si>
  <si>
    <t>Banqueta</t>
  </si>
  <si>
    <t>Banqueta madera</t>
  </si>
  <si>
    <t>Servicio diseño</t>
  </si>
  <si>
    <t>Servicio personalizado</t>
  </si>
  <si>
    <t>1 servicio</t>
  </si>
  <si>
    <t>BASE DE COSTOS</t>
  </si>
  <si>
    <t>Agrega una fila por cada material, mano de obra, costo indirecto o gasto de cada producto.</t>
  </si>
  <si>
    <t>Grupo</t>
  </si>
  <si>
    <t>Detalle</t>
  </si>
  <si>
    <t>Cantidad</t>
  </si>
  <si>
    <t>Costo unitario</t>
  </si>
  <si>
    <t>Total</t>
  </si>
  <si>
    <t>Tela</t>
  </si>
  <si>
    <t>En esta hoja se ingresan los costos de cada producto. Agrega una fila por cada material, mano de obra, costo indirecto o gasto asociado. Selecciona el producto, el grupo de costo, escribe el detalle, la cantidad y el costo unitario. El total se calcula automáticamente. Si ingresas gastos como publicidad o administración, deben estar estimados por unidad de producto para que el cálculo sea claro.</t>
  </si>
  <si>
    <t>Hilo de coser</t>
  </si>
  <si>
    <t>Gasto publicidad</t>
  </si>
  <si>
    <t>Botones</t>
  </si>
  <si>
    <t>Salarios operativos</t>
  </si>
  <si>
    <t>Costo indirecto fabricación</t>
  </si>
  <si>
    <t>Depreciación equipos operativos</t>
  </si>
  <si>
    <t>Otro gasto</t>
  </si>
  <si>
    <t>Etiquetas</t>
  </si>
  <si>
    <t>CALCULADORA DE COSTEO Y PRECIO</t>
  </si>
  <si>
    <t>Elige un producto y revisa automáticamente su costo, utilidad, margen y precio sugerido.</t>
  </si>
  <si>
    <t>Producto seleccionado</t>
  </si>
  <si>
    <t>Unidad de venta</t>
  </si>
  <si>
    <t>En esta hoja puedes seleccionar un producto y ver su análisis completo. La calculadora muestra automáticamente los costos por grupo, el valor total unitario, el precio sugerido, la utilidad estimada, el margen real y el detalle de los componentes ingresados en Base de Costos. Sirve para revisar si el precio actual es suficiente o si conviene ajustarlo.</t>
  </si>
  <si>
    <t>RESUMEN DE COSTOS</t>
  </si>
  <si>
    <t>PRECIO Y DECISIÓN</t>
  </si>
  <si>
    <t>(+) Materias primas</t>
  </si>
  <si>
    <t>PRECIO CLIENTE</t>
  </si>
  <si>
    <t>(+) Mano de obra</t>
  </si>
  <si>
    <t>PRECIO COMPETENCIA</t>
  </si>
  <si>
    <t>(+) Costos indirectos fabricación</t>
  </si>
  <si>
    <t>PRECIO DESEADO PYME</t>
  </si>
  <si>
    <t>(=) Costo total producción</t>
  </si>
  <si>
    <t>% UTILIDAD DESEADA</t>
  </si>
  <si>
    <t>PRECIO SUGERIDO</t>
  </si>
  <si>
    <t>(+) Gastos publicidad</t>
  </si>
  <si>
    <t>UTILIDAD POR UNIDAD</t>
  </si>
  <si>
    <t>(+) Gastos administrativos</t>
  </si>
  <si>
    <t>MARGEN REAL</t>
  </si>
  <si>
    <t>(+) Otros gastos</t>
  </si>
  <si>
    <t>DIF. VS COMPETENCIA</t>
  </si>
  <si>
    <t>(=) Gasto total</t>
  </si>
  <si>
    <t>ESTADO</t>
  </si>
  <si>
    <t>VALOR TOTAL UNITARIO</t>
  </si>
  <si>
    <t>Fórmula usada: Precio de venta = Valor total unitario / (1 - % utilidad deseada)</t>
  </si>
  <si>
    <t>DETALLE DEL PRODUCTO SELECCIONADO</t>
  </si>
  <si>
    <t>RESUMEN DE PRODUCTOS</t>
  </si>
  <si>
    <t>Comparación automática de costo, precio sugerido, utilidad y estado por producto.</t>
  </si>
  <si>
    <t>Mano obra</t>
  </si>
  <si>
    <t>Costo producción</t>
  </si>
  <si>
    <t>Gastos</t>
  </si>
  <si>
    <t>% utilidad</t>
  </si>
  <si>
    <t>Valor total</t>
  </si>
  <si>
    <t>Utilidad</t>
  </si>
  <si>
    <t>Esta hoja compara todos los productos registrados. Permite revisar rápidamente el costo unitario, precio al cliente, precio competencia, precio sugerido, utilidad y estado de cada producto. Es útil para identificar qué productos son rentables, cuáles están bajo costo y cuáles necesitan revisión de precio.</t>
  </si>
  <si>
    <t>Auxiliar</t>
  </si>
  <si>
    <t>Auxiliar búsqueda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</si>
</sst>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0.0%;[Red]\(0.0%\);\-"/>
    <numFmt numFmtId="166" formatCode="[$$-340A]\ #,##0"/>
  </numFmts>
  <fonts count="16" x14ac:knownFonts="1">
    <font>
      <sz val="11"/>
      <color theme="1"/>
      <name val="Calibri"/>
    </font>
    <font>
      <b/>
      <sz val="16"/>
      <color rgb="FFFFFFFF"/>
      <name val="Segoe UI"/>
    </font>
    <font>
      <sz val="10"/>
      <color rgb="FFFFFFFF"/>
      <name val="Segoe UI"/>
    </font>
    <font>
      <b/>
      <sz val="10"/>
      <color rgb="FF161524"/>
      <name val="Segoe UI"/>
    </font>
    <font>
      <b/>
      <sz val="15"/>
      <color rgb="FF161524"/>
      <name val="Segoe UI"/>
    </font>
    <font>
      <b/>
      <sz val="12"/>
      <color rgb="FF161524"/>
      <name val="Segoe UI"/>
    </font>
    <font>
      <b/>
      <sz val="10"/>
      <color rgb="FFFFFFFF"/>
      <name val="Segoe UI"/>
    </font>
    <font>
      <sz val="10"/>
      <color rgb="FF161524"/>
      <name val="Segoe UI"/>
    </font>
    <font>
      <b/>
      <sz val="11"/>
      <color rgb="FF161524"/>
      <name val="Segoe UI"/>
    </font>
    <font>
      <b/>
      <sz val="16"/>
      <color theme="0"/>
      <name val="Calibri"/>
    </font>
    <font>
      <sz val="11"/>
      <color theme="1"/>
      <name val="Calibri"/>
    </font>
    <font>
      <sz val="11"/>
      <color theme="0"/>
      <name val="Calibri"/>
    </font>
    <font>
      <b/>
      <sz val="18"/>
      <color theme="0"/>
      <name val="Calibri"/>
    </font>
    <font>
      <sz val="10"/>
      <color theme="1"/>
      <name val="Segoe UI"/>
    </font>
    <font>
      <sz val="11"/>
      <color rgb="FFFFFFFF"/>
      <name val="Calibri"/>
    </font>
    <font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/>
    </fill>
    <fill>
      <patternFill patternType="solid">
        <fgColor rgb="FF8B3333"/>
      </patternFill>
    </fill>
    <fill>
      <patternFill patternType="solid">
        <fgColor rgb="FFD4AF37"/>
      </patternFill>
    </fill>
    <fill>
      <patternFill patternType="solid">
        <fgColor rgb="FFFFFEF9"/>
      </patternFill>
    </fill>
    <fill>
      <patternFill patternType="solid">
        <fgColor rgb="FFDCEAED"/>
      </patternFill>
    </fill>
    <fill>
      <patternFill patternType="solid">
        <fgColor rgb="FF244765"/>
      </patternFill>
    </fill>
    <fill>
      <patternFill patternType="solid">
        <fgColor theme="1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0"/>
      </patternFill>
    </fill>
    <fill>
      <patternFill patternType="solid">
        <fgColor rgb="FFFFF6D8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11" borderId="0" xfId="0" applyFill="1"/>
    <xf numFmtId="0" fontId="0" fillId="11" borderId="0" xfId="0" applyFill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164" fontId="13" fillId="12" borderId="1" xfId="0" applyNumberFormat="1" applyFont="1" applyFill="1" applyBorder="1" applyAlignment="1">
      <alignment horizontal="center" vertical="center" wrapText="1"/>
    </xf>
    <xf numFmtId="165" fontId="13" fillId="12" borderId="1" xfId="0" applyNumberFormat="1" applyFont="1" applyFill="1" applyBorder="1" applyAlignment="1">
      <alignment horizontal="center" vertical="center" wrapText="1"/>
    </xf>
    <xf numFmtId="0" fontId="0" fillId="11" borderId="0" xfId="0" applyFill="1" applyAlignment="1"/>
    <xf numFmtId="166" fontId="13" fillId="12" borderId="1" xfId="0" applyNumberFormat="1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9" fontId="7" fillId="6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6" fontId="0" fillId="11" borderId="0" xfId="0" applyNumberFormat="1" applyFont="1" applyFill="1" applyBorder="1"/>
    <xf numFmtId="9" fontId="3" fillId="4" borderId="1" xfId="0" applyNumberFormat="1" applyFont="1" applyFill="1" applyBorder="1" applyAlignment="1">
      <alignment horizontal="center" vertical="center" wrapText="1"/>
    </xf>
    <xf numFmtId="0" fontId="14" fillId="11" borderId="0" xfId="0" applyNumberFormat="1" applyFont="1" applyFill="1" applyBorder="1"/>
    <xf numFmtId="0" fontId="0" fillId="13" borderId="0" xfId="0" applyFill="1"/>
    <xf numFmtId="0" fontId="15" fillId="13" borderId="0" xfId="0" applyNumberFormat="1" applyFont="1" applyFill="1" applyBorder="1"/>
    <xf numFmtId="0" fontId="15" fillId="13" borderId="0" xfId="0" applyFont="1" applyFill="1"/>
    <xf numFmtId="0" fontId="6" fillId="3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ont="1" applyFill="1" applyBorder="1"/>
    <xf numFmtId="9" fontId="3" fillId="4" borderId="2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3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0" formatCode="General"/>
    </dxf>
    <dxf>
      <font>
        <b/>
        <color rgb="FF161524"/>
      </font>
      <fill>
        <patternFill>
          <bgColor rgb="FFD4AF3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/>
              <a:t>Composición del costo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172222222222233E-2"/>
          <c:y val="0.15370980242244056"/>
          <c:w val="0.55819090909090907"/>
          <c:h val="0.77098568342247331"/>
        </c:manualLayout>
      </c:layout>
      <c:pieChart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Monto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Dashboard!$B$10:$B$15</c:f>
              <c:strCache>
                <c:ptCount val="6"/>
                <c:pt idx="0">
                  <c:v>Materia prima</c:v>
                </c:pt>
                <c:pt idx="1">
                  <c:v>Mano de obra</c:v>
                </c:pt>
                <c:pt idx="2">
                  <c:v>CIF</c:v>
                </c:pt>
                <c:pt idx="3">
                  <c:v>Publicidad</c:v>
                </c:pt>
                <c:pt idx="4">
                  <c:v>Administración</c:v>
                </c:pt>
                <c:pt idx="5">
                  <c:v>Otros gastos</c:v>
                </c:pt>
              </c:strCache>
            </c:strRef>
          </c:cat>
          <c:val>
            <c:numRef>
              <c:f>Dashboard!$C$10:$C$15</c:f>
              <c:numCache>
                <c:formatCode>[$$-340A]\ #,##0</c:formatCode>
                <c:ptCount val="6"/>
                <c:pt idx="0">
                  <c:v>9100</c:v>
                </c:pt>
                <c:pt idx="1">
                  <c:v>4500</c:v>
                </c:pt>
                <c:pt idx="2">
                  <c:v>50</c:v>
                </c:pt>
                <c:pt idx="3">
                  <c:v>400</c:v>
                </c:pt>
                <c:pt idx="4">
                  <c:v>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5-4D61-B586-E51510D3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  <c:txPr>
        <a:bodyPr anchorCtr="1"/>
        <a:lstStyle/>
        <a:p>
          <a:pPr>
            <a:defRPr sz="1100"/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/>
              <a:t>Comparación de precios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Dashboard!$F$9</c:f>
              <c:strCache>
                <c:ptCount val="1"/>
                <c:pt idx="0">
                  <c:v>Monto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Dashboard!$E$10:$E$13</c:f>
              <c:strCache>
                <c:ptCount val="4"/>
                <c:pt idx="0">
                  <c:v>Cliente</c:v>
                </c:pt>
                <c:pt idx="1">
                  <c:v>Competencia</c:v>
                </c:pt>
                <c:pt idx="2">
                  <c:v>Deseado PYME</c:v>
                </c:pt>
                <c:pt idx="3">
                  <c:v>Sugerido</c:v>
                </c:pt>
              </c:strCache>
            </c:strRef>
          </c:cat>
          <c:val>
            <c:numRef>
              <c:f>Dashboard!$F$10:$F$13</c:f>
              <c:numCache>
                <c:formatCode>[$$-340A]\ #,##0</c:formatCode>
                <c:ptCount val="4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17612.5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2-4E99-90DD-14F9AE6E1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es-CL"/>
                  <a:t>Referencia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es-CL"/>
                  <a:t>Monto</a:t>
                </a:r>
              </a:p>
            </c:rich>
          </c:tx>
          <c:overlay val="0"/>
        </c:title>
        <c:numFmt formatCode="[$$-340A]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sz="1050"/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304800</xdr:colOff>
      <xdr:row>7</xdr:row>
      <xdr:rowOff>200025</xdr:rowOff>
    </xdr:from>
    <xdr:ext cx="3960000" cy="2867026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800100</xdr:colOff>
      <xdr:row>7</xdr:row>
      <xdr:rowOff>200025</xdr:rowOff>
    </xdr:from>
    <xdr:ext cx="3960000" cy="288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ductos" displayName="TablaProductos" ref="B4:H124">
  <autoFilter ref="B4:H124" xr:uid="{00000000-0009-0000-0100-000001000000}"/>
  <tableColumns count="7">
    <tableColumn id="2" xr3:uid="{00000000-0010-0000-0000-000002000000}" name="Producto"/>
    <tableColumn id="3" xr3:uid="{00000000-0010-0000-0000-000003000000}" name="Descripción"/>
    <tableColumn id="4" xr3:uid="{00000000-0010-0000-0000-000004000000}" name="Unidad venta"/>
    <tableColumn id="5" xr3:uid="{00000000-0010-0000-0000-000005000000}" name="Precio cliente"/>
    <tableColumn id="6" xr3:uid="{00000000-0010-0000-0000-000006000000}" name="Precio competencia"/>
    <tableColumn id="7" xr3:uid="{00000000-0010-0000-0000-000007000000}" name="Precio deseado PYME"/>
    <tableColumn id="8" xr3:uid="{00000000-0010-0000-0000-000008000000}" name="% utilidad desea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BaseCostos" displayName="TablaBaseCostos" ref="C4:H504">
  <autoFilter ref="C4:H504" xr:uid="{00000000-0009-0000-0100-000002000000}"/>
  <tableColumns count="6">
    <tableColumn id="1" xr3:uid="{00000000-0010-0000-0100-000001000000}" name="Producto"/>
    <tableColumn id="2" xr3:uid="{00000000-0010-0000-0100-000002000000}" name="Grupo"/>
    <tableColumn id="3" xr3:uid="{00000000-0010-0000-0100-000003000000}" name="Detalle"/>
    <tableColumn id="4" xr3:uid="{00000000-0010-0000-0100-000004000000}" name="Cantidad" dataDxfId="0"/>
    <tableColumn id="5" xr3:uid="{00000000-0010-0000-0100-000005000000}" name="Costo unitario"/>
    <tableColumn id="6" xr3:uid="{00000000-0010-0000-0100-000006000000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ResumenProductos" displayName="TablaResumenProductos" ref="C4:M124">
  <autoFilter ref="C4:M124" xr:uid="{00000000-0009-0000-0100-000003000000}"/>
  <tableColumns count="11">
    <tableColumn id="2" xr3:uid="{00000000-0010-0000-0200-000002000000}" name="Producto"/>
    <tableColumn id="3" xr3:uid="{00000000-0010-0000-0200-000003000000}" name="Materia prima"/>
    <tableColumn id="4" xr3:uid="{00000000-0010-0000-0200-000004000000}" name="Mano obra"/>
    <tableColumn id="5" xr3:uid="{00000000-0010-0000-0200-000005000000}" name="CIF"/>
    <tableColumn id="6" xr3:uid="{00000000-0010-0000-0200-000006000000}" name="Costo producción"/>
    <tableColumn id="7" xr3:uid="{00000000-0010-0000-0200-000007000000}" name="Gastos"/>
    <tableColumn id="8" xr3:uid="{00000000-0010-0000-0200-000008000000}" name="% utilidad"/>
    <tableColumn id="9" xr3:uid="{00000000-0010-0000-0200-000009000000}" name="Valor total"/>
    <tableColumn id="10" xr3:uid="{00000000-0010-0000-0200-00000A000000}" name="Precio sugerido"/>
    <tableColumn id="11" xr3:uid="{00000000-0010-0000-0200-00000B000000}" name="Utilidad"/>
    <tableColumn id="12" xr3:uid="{00000000-0010-0000-0200-00000C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P536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1.140625" style="10" customWidth="1"/>
    <col min="2" max="2" width="13.140625" style="10" customWidth="1"/>
    <col min="3" max="3" width="13.85546875" customWidth="1"/>
    <col min="4" max="4" width="19" customWidth="1"/>
    <col min="5" max="5" width="25" customWidth="1"/>
    <col min="6" max="7" width="22" customWidth="1"/>
    <col min="8" max="8" width="14" customWidth="1"/>
    <col min="9" max="9" width="8.85546875" customWidth="1"/>
    <col min="10" max="13" width="22" style="10" customWidth="1"/>
    <col min="14" max="16" width="9.140625" style="10"/>
  </cols>
  <sheetData>
    <row r="1" spans="3:9" ht="21.95" customHeight="1" x14ac:dyDescent="0.25">
      <c r="C1" s="30" t="s">
        <v>0</v>
      </c>
      <c r="D1" s="30"/>
      <c r="E1" s="30"/>
      <c r="F1" s="30"/>
      <c r="G1" s="30"/>
      <c r="H1" s="30"/>
      <c r="I1" s="30"/>
    </row>
    <row r="2" spans="3:9" ht="21.95" customHeight="1" x14ac:dyDescent="0.25">
      <c r="C2" s="31" t="s">
        <v>1</v>
      </c>
      <c r="D2" s="31"/>
      <c r="E2" s="31"/>
      <c r="F2" s="31"/>
      <c r="G2" s="31"/>
      <c r="H2" s="31"/>
      <c r="I2" s="31"/>
    </row>
    <row r="3" spans="3:9" s="10" customFormat="1" ht="21.95" customHeight="1" x14ac:dyDescent="0.25"/>
    <row r="4" spans="3:9" ht="21" customHeight="1" x14ac:dyDescent="0.25">
      <c r="C4" s="10"/>
      <c r="D4" s="32" t="s">
        <v>2</v>
      </c>
      <c r="E4" s="32"/>
      <c r="F4" s="32"/>
      <c r="G4" s="32"/>
      <c r="H4" s="32"/>
      <c r="I4" s="10"/>
    </row>
    <row r="5" spans="3:9" ht="18" customHeight="1" x14ac:dyDescent="0.25">
      <c r="C5" s="10"/>
      <c r="D5" s="33" t="s">
        <v>3</v>
      </c>
      <c r="E5" s="33"/>
      <c r="F5" s="33"/>
      <c r="G5" s="33"/>
      <c r="H5" s="33"/>
      <c r="I5" s="10"/>
    </row>
    <row r="6" spans="3:9" ht="17.25" customHeight="1" x14ac:dyDescent="0.25">
      <c r="C6" s="10"/>
      <c r="D6" s="33"/>
      <c r="E6" s="33"/>
      <c r="F6" s="33"/>
      <c r="G6" s="33"/>
      <c r="H6" s="33"/>
      <c r="I6" s="10"/>
    </row>
    <row r="7" spans="3:9" ht="17.25" customHeight="1" x14ac:dyDescent="0.25">
      <c r="C7" s="10"/>
      <c r="D7" s="33"/>
      <c r="E7" s="33"/>
      <c r="F7" s="33"/>
      <c r="G7" s="33"/>
      <c r="H7" s="33"/>
      <c r="I7" s="10"/>
    </row>
    <row r="8" spans="3:9" s="10" customFormat="1" ht="21.95" customHeight="1" x14ac:dyDescent="0.25"/>
    <row r="9" spans="3:9" ht="21.95" customHeight="1" x14ac:dyDescent="0.25">
      <c r="C9" s="1" t="s">
        <v>4</v>
      </c>
      <c r="D9" s="1" t="s">
        <v>5</v>
      </c>
      <c r="E9" s="1" t="s">
        <v>6</v>
      </c>
      <c r="G9" s="28" t="s">
        <v>7</v>
      </c>
      <c r="H9" s="28"/>
      <c r="I9" s="28"/>
    </row>
    <row r="10" spans="3:9" ht="32.25" customHeight="1" x14ac:dyDescent="0.25">
      <c r="C10" s="2" t="s">
        <v>8</v>
      </c>
      <c r="D10" s="3" t="s">
        <v>9</v>
      </c>
      <c r="E10" s="3" t="s">
        <v>10</v>
      </c>
      <c r="F10" s="10"/>
      <c r="G10" s="29" t="s">
        <v>11</v>
      </c>
      <c r="H10" s="29"/>
      <c r="I10" s="29"/>
    </row>
    <row r="11" spans="3:9" ht="45" customHeight="1" x14ac:dyDescent="0.25">
      <c r="C11" s="4" t="s">
        <v>12</v>
      </c>
      <c r="D11" s="5" t="s">
        <v>13</v>
      </c>
      <c r="E11" s="5" t="s">
        <v>14</v>
      </c>
      <c r="F11" s="10"/>
      <c r="G11" s="29"/>
      <c r="H11" s="29"/>
      <c r="I11" s="29"/>
    </row>
    <row r="12" spans="3:9" ht="47.25" customHeight="1" x14ac:dyDescent="0.25">
      <c r="C12" s="2" t="s">
        <v>15</v>
      </c>
      <c r="D12" s="3" t="s">
        <v>16</v>
      </c>
      <c r="E12" s="3" t="s">
        <v>17</v>
      </c>
      <c r="F12" s="10"/>
      <c r="G12" s="10"/>
      <c r="H12" s="10"/>
      <c r="I12" s="10"/>
    </row>
    <row r="13" spans="3:9" ht="39" customHeight="1" x14ac:dyDescent="0.25">
      <c r="C13" s="4" t="s">
        <v>18</v>
      </c>
      <c r="D13" s="5" t="s">
        <v>19</v>
      </c>
      <c r="E13" s="5" t="s">
        <v>20</v>
      </c>
      <c r="F13" s="10"/>
      <c r="G13" s="10"/>
      <c r="H13" s="10"/>
      <c r="I13" s="10"/>
    </row>
    <row r="14" spans="3:9" ht="49.5" customHeight="1" x14ac:dyDescent="0.25">
      <c r="C14" s="2" t="s">
        <v>21</v>
      </c>
      <c r="D14" s="3" t="s">
        <v>22</v>
      </c>
      <c r="E14" s="3" t="s">
        <v>23</v>
      </c>
      <c r="F14" s="10"/>
      <c r="G14" s="10"/>
      <c r="H14" s="10"/>
      <c r="I14" s="10"/>
    </row>
    <row r="15" spans="3:9" ht="21.95" customHeight="1" x14ac:dyDescent="0.25">
      <c r="C15" s="10"/>
      <c r="D15" s="10"/>
      <c r="E15" s="10"/>
      <c r="F15" s="10"/>
      <c r="G15" s="10"/>
      <c r="H15" s="10"/>
      <c r="I15" s="10"/>
    </row>
    <row r="16" spans="3:9" ht="21.95" customHeight="1" x14ac:dyDescent="0.25">
      <c r="C16" s="10"/>
      <c r="D16" s="10"/>
      <c r="E16" s="10"/>
      <c r="F16" s="10"/>
      <c r="G16" s="10"/>
      <c r="H16" s="10"/>
      <c r="I16" s="10"/>
    </row>
    <row r="17" spans="3:9" ht="21.95" customHeight="1" x14ac:dyDescent="0.25">
      <c r="C17" s="10"/>
      <c r="D17" s="10"/>
      <c r="E17" s="10"/>
      <c r="F17" s="10"/>
      <c r="G17" s="10"/>
      <c r="H17" s="10"/>
      <c r="I17" s="10"/>
    </row>
    <row r="18" spans="3:9" ht="21.95" customHeight="1" x14ac:dyDescent="0.25">
      <c r="C18" s="10"/>
      <c r="D18" s="10"/>
      <c r="E18" s="10"/>
      <c r="F18" s="10"/>
      <c r="G18" s="10"/>
      <c r="H18" s="10"/>
      <c r="I18" s="10"/>
    </row>
    <row r="19" spans="3:9" ht="21.95" customHeight="1" x14ac:dyDescent="0.25">
      <c r="C19" s="10"/>
      <c r="D19" s="10"/>
      <c r="E19" s="10"/>
      <c r="F19" s="10"/>
      <c r="G19" s="10"/>
      <c r="H19" s="10"/>
      <c r="I19" s="10"/>
    </row>
    <row r="20" spans="3:9" ht="21.95" customHeight="1" x14ac:dyDescent="0.25">
      <c r="C20" s="10"/>
      <c r="D20" s="10"/>
      <c r="E20" s="10"/>
      <c r="F20" s="10"/>
      <c r="G20" s="10"/>
      <c r="H20" s="10"/>
      <c r="I20" s="10"/>
    </row>
    <row r="21" spans="3:9" ht="21.95" customHeight="1" x14ac:dyDescent="0.25">
      <c r="C21" s="10"/>
      <c r="D21" s="10"/>
      <c r="E21" s="10"/>
      <c r="F21" s="10"/>
      <c r="G21" s="10"/>
      <c r="H21" s="10"/>
      <c r="I21" s="10"/>
    </row>
    <row r="22" spans="3:9" ht="21.95" customHeight="1" x14ac:dyDescent="0.25">
      <c r="C22" s="10"/>
      <c r="D22" s="10"/>
      <c r="E22" s="10"/>
      <c r="F22" s="10"/>
      <c r="G22" s="10"/>
      <c r="H22" s="10"/>
      <c r="I22" s="10"/>
    </row>
    <row r="23" spans="3:9" ht="21.95" customHeight="1" x14ac:dyDescent="0.25">
      <c r="C23" s="10"/>
      <c r="D23" s="10"/>
      <c r="E23" s="10"/>
      <c r="F23" s="10"/>
      <c r="G23" s="10"/>
      <c r="H23" s="10"/>
      <c r="I23" s="10"/>
    </row>
    <row r="24" spans="3:9" ht="21.95" customHeight="1" x14ac:dyDescent="0.25">
      <c r="C24" s="10"/>
      <c r="D24" s="10"/>
      <c r="E24" s="10"/>
      <c r="F24" s="10"/>
      <c r="G24" s="10"/>
      <c r="H24" s="10"/>
      <c r="I24" s="10"/>
    </row>
    <row r="25" spans="3:9" ht="21.95" customHeight="1" x14ac:dyDescent="0.25">
      <c r="C25" s="10"/>
      <c r="D25" s="10"/>
      <c r="E25" s="10"/>
      <c r="F25" s="10"/>
      <c r="G25" s="10"/>
      <c r="H25" s="10"/>
      <c r="I25" s="10"/>
    </row>
    <row r="26" spans="3:9" ht="21.95" customHeight="1" x14ac:dyDescent="0.25">
      <c r="C26" s="10"/>
      <c r="D26" s="10"/>
      <c r="E26" s="10"/>
      <c r="F26" s="10"/>
      <c r="G26" s="10"/>
      <c r="H26" s="10"/>
      <c r="I26" s="10"/>
    </row>
    <row r="27" spans="3:9" ht="21.95" customHeight="1" x14ac:dyDescent="0.25">
      <c r="C27" s="10"/>
      <c r="D27" s="10"/>
      <c r="E27" s="10"/>
      <c r="F27" s="10"/>
      <c r="G27" s="10"/>
      <c r="H27" s="10"/>
      <c r="I27" s="10"/>
    </row>
    <row r="28" spans="3:9" ht="21.95" customHeight="1" x14ac:dyDescent="0.25">
      <c r="C28" s="10"/>
      <c r="D28" s="10"/>
      <c r="E28" s="10"/>
      <c r="F28" s="10"/>
      <c r="G28" s="10"/>
      <c r="H28" s="10"/>
      <c r="I28" s="10"/>
    </row>
    <row r="29" spans="3:9" ht="21.95" customHeight="1" x14ac:dyDescent="0.25">
      <c r="C29" s="10"/>
      <c r="D29" s="10"/>
      <c r="E29" s="10"/>
      <c r="F29" s="10"/>
      <c r="G29" s="10"/>
      <c r="H29" s="10"/>
      <c r="I29" s="10"/>
    </row>
    <row r="30" spans="3:9" ht="21.95" customHeight="1" x14ac:dyDescent="0.25">
      <c r="C30" s="10"/>
      <c r="D30" s="10"/>
      <c r="E30" s="10"/>
      <c r="F30" s="10"/>
      <c r="G30" s="10"/>
      <c r="H30" s="10"/>
      <c r="I30" s="10"/>
    </row>
    <row r="31" spans="3:9" ht="21.95" customHeight="1" x14ac:dyDescent="0.25">
      <c r="C31" s="10"/>
      <c r="D31" s="10"/>
      <c r="E31" s="10"/>
      <c r="F31" s="10"/>
      <c r="G31" s="10"/>
      <c r="H31" s="10"/>
      <c r="I31" s="10"/>
    </row>
    <row r="32" spans="3:9" ht="21.95" customHeight="1" x14ac:dyDescent="0.25">
      <c r="C32" s="10"/>
      <c r="D32" s="10"/>
      <c r="E32" s="10"/>
      <c r="F32" s="10"/>
      <c r="G32" s="10"/>
      <c r="H32" s="10"/>
      <c r="I32" s="10"/>
    </row>
    <row r="33" spans="3:9" ht="21.95" customHeight="1" x14ac:dyDescent="0.25">
      <c r="C33" s="10"/>
      <c r="D33" s="10"/>
      <c r="E33" s="10"/>
      <c r="F33" s="10"/>
      <c r="G33" s="10"/>
      <c r="H33" s="10"/>
      <c r="I33" s="10"/>
    </row>
    <row r="34" spans="3:9" ht="21.95" customHeight="1" x14ac:dyDescent="0.25">
      <c r="C34" s="10"/>
      <c r="D34" s="10"/>
      <c r="E34" s="10"/>
      <c r="F34" s="10"/>
      <c r="G34" s="10"/>
      <c r="H34" s="10"/>
      <c r="I34" s="10"/>
    </row>
    <row r="35" spans="3:9" ht="21.95" customHeight="1" x14ac:dyDescent="0.25">
      <c r="C35" s="10"/>
      <c r="D35" s="10"/>
      <c r="E35" s="10"/>
      <c r="F35" s="10"/>
      <c r="G35" s="10"/>
      <c r="H35" s="10"/>
      <c r="I35" s="10"/>
    </row>
    <row r="36" spans="3:9" ht="21.95" customHeight="1" x14ac:dyDescent="0.25"/>
    <row r="37" spans="3:9" ht="21.95" customHeight="1" x14ac:dyDescent="0.25"/>
    <row r="38" spans="3:9" ht="21.95" customHeight="1" x14ac:dyDescent="0.25"/>
    <row r="39" spans="3:9" ht="21.95" customHeight="1" x14ac:dyDescent="0.25"/>
    <row r="40" spans="3:9" ht="21.95" customHeight="1" x14ac:dyDescent="0.25"/>
    <row r="41" spans="3:9" ht="21.95" customHeight="1" x14ac:dyDescent="0.25"/>
    <row r="42" spans="3:9" ht="21.95" customHeight="1" x14ac:dyDescent="0.25"/>
    <row r="43" spans="3:9" ht="21.95" customHeight="1" x14ac:dyDescent="0.25"/>
    <row r="44" spans="3:9" ht="21.95" customHeight="1" x14ac:dyDescent="0.25"/>
    <row r="45" spans="3:9" ht="21.95" customHeight="1" x14ac:dyDescent="0.25"/>
    <row r="46" spans="3:9" ht="21.95" customHeight="1" x14ac:dyDescent="0.25"/>
    <row r="47" spans="3:9" ht="21.95" customHeight="1" x14ac:dyDescent="0.25"/>
    <row r="48" spans="3:9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</sheetData>
  <mergeCells count="6">
    <mergeCell ref="G9:I9"/>
    <mergeCell ref="G10:I11"/>
    <mergeCell ref="C1:I1"/>
    <mergeCell ref="C2:I2"/>
    <mergeCell ref="D4:H4"/>
    <mergeCell ref="D5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AG539"/>
  <sheetViews>
    <sheetView workbookViewId="0">
      <selection activeCell="B5" sqref="B5:D6"/>
    </sheetView>
  </sheetViews>
  <sheetFormatPr baseColWidth="10" defaultColWidth="9.140625" defaultRowHeight="15" x14ac:dyDescent="0.25"/>
  <cols>
    <col min="1" max="1" width="9.140625" style="10"/>
    <col min="2" max="2" width="15.5703125" customWidth="1"/>
    <col min="3" max="15" width="14" customWidth="1"/>
    <col min="17" max="33" width="9.140625" style="10"/>
  </cols>
  <sheetData>
    <row r="1" spans="2:16" ht="21.95" customHeight="1" x14ac:dyDescent="0.25">
      <c r="B1" s="30" t="s">
        <v>24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2:16" ht="21.95" customHeight="1" x14ac:dyDescent="0.25">
      <c r="B2" s="31" t="s">
        <v>25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2:16" s="10" customFormat="1" ht="21.95" customHeight="1" x14ac:dyDescent="0.25"/>
    <row r="4" spans="2:16" ht="21.95" customHeight="1" x14ac:dyDescent="0.25">
      <c r="B4" s="28" t="s">
        <v>26</v>
      </c>
      <c r="C4" s="28"/>
      <c r="D4" s="28"/>
      <c r="E4" s="28" t="s">
        <v>27</v>
      </c>
      <c r="F4" s="34"/>
      <c r="G4" s="34"/>
      <c r="H4" s="28" t="s">
        <v>28</v>
      </c>
      <c r="I4" s="34"/>
      <c r="J4" s="34"/>
      <c r="K4" s="28" t="s">
        <v>29</v>
      </c>
      <c r="L4" s="34"/>
      <c r="M4" s="34"/>
      <c r="N4" s="28" t="s">
        <v>30</v>
      </c>
      <c r="O4" s="34"/>
      <c r="P4" s="34"/>
    </row>
    <row r="5" spans="2:16" ht="21.95" customHeight="1" x14ac:dyDescent="0.25">
      <c r="B5" s="36" t="s">
        <v>31</v>
      </c>
      <c r="C5" s="36"/>
      <c r="D5" s="36"/>
      <c r="E5" s="46">
        <f>SUMIFS('Base de Costos'!$H$5:$H$504,'Base de Costos'!$C$5:$C$504,$B$5)</f>
        <v>14090</v>
      </c>
      <c r="F5" s="47"/>
      <c r="G5" s="47"/>
      <c r="H5" s="46">
        <f>IFERROR(E5/(1-IFERROR(VLOOKUP($B$5,Productos!$B$5:$H$124,7,FALSE),0)),0)</f>
        <v>17612.5</v>
      </c>
      <c r="I5" s="47"/>
      <c r="J5" s="47"/>
      <c r="K5" s="46">
        <f>H5-E5</f>
        <v>3522.5</v>
      </c>
      <c r="L5" s="47"/>
      <c r="M5" s="47"/>
      <c r="N5" s="48">
        <f>IFERROR(K5/H5,0)</f>
        <v>0.2</v>
      </c>
      <c r="O5" s="34"/>
      <c r="P5" s="34"/>
    </row>
    <row r="6" spans="2:16" ht="21.95" customHeight="1" x14ac:dyDescent="0.2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2:16" s="10" customFormat="1" ht="21.95" customHeight="1" x14ac:dyDescent="0.25"/>
    <row r="8" spans="2:16" s="10" customFormat="1" ht="21.95" customHeight="1" x14ac:dyDescent="0.25"/>
    <row r="9" spans="2:16" ht="21.95" customHeight="1" x14ac:dyDescent="0.25">
      <c r="B9" s="1" t="s">
        <v>32</v>
      </c>
      <c r="C9" s="1" t="s">
        <v>33</v>
      </c>
      <c r="D9" s="10"/>
      <c r="E9" s="1" t="s">
        <v>34</v>
      </c>
      <c r="F9" s="1" t="s">
        <v>33</v>
      </c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2:16" ht="21.95" customHeight="1" x14ac:dyDescent="0.25">
      <c r="B10" s="7" t="s">
        <v>35</v>
      </c>
      <c r="C10" s="17">
        <f>SUMIFS('Base de Costos'!$H$5:$H$504,'Base de Costos'!$C$5:$C$504,$B$5,'Base de Costos'!$D$5:$D$504,"Materia prima")</f>
        <v>9100</v>
      </c>
      <c r="D10" s="10"/>
      <c r="E10" s="7" t="s">
        <v>36</v>
      </c>
      <c r="F10" s="17">
        <f>IFERROR(VLOOKUP($B$5,Productos!$B$5:$H$124,4,FALSE),0)</f>
        <v>20000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2:16" ht="21.95" customHeight="1" x14ac:dyDescent="0.25">
      <c r="B11" s="7" t="s">
        <v>37</v>
      </c>
      <c r="C11" s="17">
        <f>SUMIFS('Base de Costos'!$H$5:$H$504,'Base de Costos'!$C$5:$C$504,$B$5,'Base de Costos'!$D$5:$D$504,"Mano de obra")</f>
        <v>4500</v>
      </c>
      <c r="D11" s="10"/>
      <c r="E11" s="7" t="s">
        <v>38</v>
      </c>
      <c r="F11" s="17">
        <f>IFERROR(VLOOKUP($B$5,Productos!$B$5:$H$124,5,FALSE),0)</f>
        <v>30000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2:16" ht="27" customHeight="1" x14ac:dyDescent="0.25">
      <c r="B12" s="7" t="s">
        <v>39</v>
      </c>
      <c r="C12" s="17">
        <f>SUMIFS('Base de Costos'!$H$5:$H$504,'Base de Costos'!$C$5:$C$504,$B$5,'Base de Costos'!$D$5:$D$504,"Costo indirecto fabricación")</f>
        <v>50</v>
      </c>
      <c r="D12" s="10"/>
      <c r="E12" s="7" t="s">
        <v>40</v>
      </c>
      <c r="F12" s="17">
        <f>IFERROR(VLOOKUP($B$5,Productos!$B$5:$H$124,6,FALSE),0)</f>
        <v>40000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2:16" ht="21.95" customHeight="1" x14ac:dyDescent="0.25">
      <c r="B13" s="7" t="s">
        <v>41</v>
      </c>
      <c r="C13" s="17">
        <f>SUMIFS('Base de Costos'!$H$5:$H$504,'Base de Costos'!$C$5:$C$504,$B$5,'Base de Costos'!$D$5:$D$504,"Gasto publicidad")</f>
        <v>400</v>
      </c>
      <c r="D13" s="10"/>
      <c r="E13" s="7" t="s">
        <v>42</v>
      </c>
      <c r="F13" s="17">
        <f>H5</f>
        <v>17612.5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2:16" ht="21.95" customHeight="1" x14ac:dyDescent="0.25">
      <c r="B14" s="7" t="s">
        <v>43</v>
      </c>
      <c r="C14" s="17">
        <f>SUMIFS('Base de Costos'!$H$5:$H$504,'Base de Costos'!$C$5:$C$504,$B$5,'Base de Costos'!$D$5:$D$504,"Gasto administrativo")</f>
        <v>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2:16" ht="21.95" customHeight="1" x14ac:dyDescent="0.25">
      <c r="B15" s="7" t="s">
        <v>44</v>
      </c>
      <c r="C15" s="17">
        <f>SUMIFS('Base de Costos'!$H$5:$H$504,'Base de Costos'!$C$5:$C$504,$B$5,'Base de Costos'!$D$5:$D$504,"Otro gasto")</f>
        <v>40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2:16" ht="21.95" customHeight="1" x14ac:dyDescent="0.25">
      <c r="B16" s="10"/>
      <c r="C16" s="10"/>
      <c r="D16" s="10"/>
      <c r="E16" s="28" t="s">
        <v>45</v>
      </c>
      <c r="F16" s="34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2:16" ht="21.95" customHeight="1" x14ac:dyDescent="0.25">
      <c r="B17" s="10"/>
      <c r="C17" s="10"/>
      <c r="D17" s="10"/>
      <c r="E17" s="35" t="str">
        <f>IF($B$5="","",IF($E$5=0,"Sin datos",IF(F10&lt;$E$5,"Riesgo: cliente bajo costo",IF($H$5&gt;F10,"Revisar: sugerido sobre cliente",IF($H$5&gt;F11,"Precio sobre competencia","Precio competitivo")))))</f>
        <v>Precio competitivo</v>
      </c>
      <c r="F17" s="34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2:16" ht="21.95" customHeight="1" x14ac:dyDescent="0.25">
      <c r="B18" s="10"/>
      <c r="C18" s="10"/>
      <c r="D18" s="10"/>
      <c r="E18" s="34"/>
      <c r="F18" s="34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2:16" s="10" customFormat="1" ht="21.95" customHeight="1" x14ac:dyDescent="0.25"/>
    <row r="20" spans="2:16" ht="21.95" customHeight="1" x14ac:dyDescent="0.25">
      <c r="B20" s="29" t="s">
        <v>46</v>
      </c>
      <c r="C20" s="34"/>
      <c r="D20" s="34"/>
      <c r="E20" s="34"/>
      <c r="F20" s="34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2:16" ht="21.95" customHeight="1" x14ac:dyDescent="0.25">
      <c r="B21" s="34"/>
      <c r="C21" s="34"/>
      <c r="D21" s="34"/>
      <c r="E21" s="34"/>
      <c r="F21" s="34"/>
      <c r="G21" s="10"/>
      <c r="H21" s="37" t="s">
        <v>47</v>
      </c>
      <c r="I21" s="38"/>
      <c r="J21" s="38"/>
      <c r="K21" s="38"/>
      <c r="L21" s="38"/>
      <c r="M21" s="38"/>
      <c r="N21" s="38"/>
      <c r="O21" s="39"/>
      <c r="P21" s="10"/>
    </row>
    <row r="22" spans="2:16" ht="21.95" customHeight="1" x14ac:dyDescent="0.25">
      <c r="B22" s="34"/>
      <c r="C22" s="34"/>
      <c r="D22" s="34"/>
      <c r="E22" s="34"/>
      <c r="F22" s="34"/>
      <c r="G22" s="10"/>
      <c r="H22" s="40"/>
      <c r="I22" s="41"/>
      <c r="J22" s="41"/>
      <c r="K22" s="41"/>
      <c r="L22" s="41"/>
      <c r="M22" s="41"/>
      <c r="N22" s="41"/>
      <c r="O22" s="42"/>
      <c r="P22" s="10"/>
    </row>
    <row r="23" spans="2:16" ht="21.95" customHeight="1" x14ac:dyDescent="0.25">
      <c r="B23" s="34"/>
      <c r="C23" s="34"/>
      <c r="D23" s="34"/>
      <c r="E23" s="34"/>
      <c r="F23" s="34"/>
      <c r="G23" s="10"/>
      <c r="H23" s="43"/>
      <c r="I23" s="44"/>
      <c r="J23" s="44"/>
      <c r="K23" s="44"/>
      <c r="L23" s="44"/>
      <c r="M23" s="44"/>
      <c r="N23" s="44"/>
      <c r="O23" s="45"/>
      <c r="P23" s="10"/>
    </row>
    <row r="24" spans="2:16" ht="21.95" customHeight="1" x14ac:dyDescent="0.25">
      <c r="B24" s="34"/>
      <c r="C24" s="34"/>
      <c r="D24" s="34"/>
      <c r="E24" s="34"/>
      <c r="F24" s="34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2:16" ht="21.95" customHeight="1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2:16" ht="21.95" customHeight="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2:16" ht="21.95" customHeight="1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2:16" ht="21.95" customHeight="1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2:16" ht="21.95" customHeight="1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2:16" ht="21.95" customHeight="1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2:16" ht="21.95" customHeight="1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2:16" ht="21.95" customHeight="1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2:16" ht="21.95" customHeight="1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2:16" ht="21.95" customHeight="1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2:16" ht="21.95" customHeight="1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2:16" ht="21.95" customHeight="1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2:16" ht="21.95" customHeight="1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2:16" ht="21.95" customHeight="1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2:16" ht="21.95" customHeight="1" x14ac:dyDescent="0.2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6" ht="21.9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6" ht="21.95" customHeight="1" x14ac:dyDescent="0.2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6" ht="21.95" customHeight="1" x14ac:dyDescent="0.2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6" ht="21.95" customHeight="1" x14ac:dyDescent="0.2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6" ht="21.95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2:16" ht="21.9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2:16" ht="21.95" customHeight="1" x14ac:dyDescent="0.2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2:16" ht="21.95" customHeight="1" x14ac:dyDescent="0.2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2:16" ht="21.95" customHeight="1" x14ac:dyDescent="0.2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2:16" ht="21.95" customHeight="1" x14ac:dyDescent="0.2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2:16" ht="21.95" customHeight="1" x14ac:dyDescent="0.2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2:16" ht="21.95" customHeight="1" x14ac:dyDescent="0.2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2:16" ht="21.95" customHeight="1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2:16" ht="21.95" customHeight="1" x14ac:dyDescent="0.2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2:16" ht="21.95" customHeight="1" x14ac:dyDescent="0.25"/>
    <row r="55" spans="2:16" ht="21.95" customHeight="1" x14ac:dyDescent="0.25"/>
    <row r="56" spans="2:16" ht="21.95" customHeight="1" x14ac:dyDescent="0.25"/>
    <row r="57" spans="2:16" ht="21.95" customHeight="1" x14ac:dyDescent="0.25"/>
    <row r="58" spans="2:16" ht="21.95" customHeight="1" x14ac:dyDescent="0.25"/>
    <row r="59" spans="2:16" ht="21.95" customHeight="1" x14ac:dyDescent="0.25"/>
    <row r="60" spans="2:16" ht="21.95" customHeight="1" x14ac:dyDescent="0.25"/>
    <row r="61" spans="2:16" ht="21.95" customHeight="1" x14ac:dyDescent="0.25"/>
    <row r="62" spans="2:16" ht="21.95" customHeight="1" x14ac:dyDescent="0.25"/>
    <row r="63" spans="2:16" ht="21.95" customHeight="1" x14ac:dyDescent="0.25"/>
    <row r="64" spans="2:16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</sheetData>
  <mergeCells count="16">
    <mergeCell ref="B1:P1"/>
    <mergeCell ref="B2:P2"/>
    <mergeCell ref="K5:M6"/>
    <mergeCell ref="K4:M4"/>
    <mergeCell ref="N4:P4"/>
    <mergeCell ref="E5:G6"/>
    <mergeCell ref="N5:P6"/>
    <mergeCell ref="H5:J6"/>
    <mergeCell ref="E16:F16"/>
    <mergeCell ref="E17:F18"/>
    <mergeCell ref="H4:J4"/>
    <mergeCell ref="B20:F24"/>
    <mergeCell ref="E4:G4"/>
    <mergeCell ref="B5:D6"/>
    <mergeCell ref="B4:D4"/>
    <mergeCell ref="H21:O2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Productos!$B$5:$B$124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287A5"/>
  </sheetPr>
  <dimension ref="A1:S544"/>
  <sheetViews>
    <sheetView tabSelected="1" workbookViewId="0"/>
  </sheetViews>
  <sheetFormatPr baseColWidth="10" defaultColWidth="9.140625" defaultRowHeight="15" x14ac:dyDescent="0.25"/>
  <cols>
    <col min="1" max="1" width="9.140625" style="10"/>
    <col min="2" max="2" width="24" customWidth="1"/>
    <col min="3" max="3" width="34" customWidth="1"/>
    <col min="4" max="5" width="18" customWidth="1"/>
    <col min="6" max="7" width="20" customWidth="1"/>
    <col min="8" max="8" width="18" customWidth="1"/>
    <col min="9" max="9" width="8.7109375" style="10" customWidth="1"/>
    <col min="10" max="10" width="18" customWidth="1"/>
    <col min="12" max="19" width="9.140625" style="10"/>
  </cols>
  <sheetData>
    <row r="1" spans="2:11" ht="21.95" customHeight="1" x14ac:dyDescent="0.35">
      <c r="B1" s="50" t="s">
        <v>48</v>
      </c>
      <c r="C1" s="50"/>
      <c r="D1" s="50"/>
      <c r="E1" s="50"/>
      <c r="F1" s="50"/>
      <c r="G1" s="50"/>
      <c r="H1" s="50"/>
      <c r="J1" s="10"/>
      <c r="K1" s="10"/>
    </row>
    <row r="2" spans="2:11" ht="21.95" customHeight="1" x14ac:dyDescent="0.25">
      <c r="B2" s="31" t="s">
        <v>49</v>
      </c>
      <c r="C2" s="31"/>
      <c r="D2" s="31"/>
      <c r="E2" s="31"/>
      <c r="F2" s="31"/>
      <c r="G2" s="31"/>
      <c r="H2" s="31"/>
      <c r="J2" s="10"/>
      <c r="K2" s="10"/>
    </row>
    <row r="3" spans="2:11" s="10" customFormat="1" ht="21.95" customHeight="1" x14ac:dyDescent="0.25"/>
    <row r="4" spans="2:11" ht="21.95" customHeight="1" x14ac:dyDescent="0.25"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1"/>
      <c r="J4" s="11"/>
      <c r="K4" s="10"/>
    </row>
    <row r="5" spans="2:11" ht="21.95" customHeight="1" x14ac:dyDescent="0.25">
      <c r="B5" s="12" t="s">
        <v>31</v>
      </c>
      <c r="C5" s="12" t="s">
        <v>57</v>
      </c>
      <c r="D5" s="12" t="s">
        <v>58</v>
      </c>
      <c r="E5" s="13">
        <v>20000</v>
      </c>
      <c r="F5" s="13">
        <v>30000</v>
      </c>
      <c r="G5" s="13">
        <v>40000</v>
      </c>
      <c r="H5" s="14">
        <v>0.2</v>
      </c>
      <c r="I5" s="11"/>
      <c r="J5" s="49" t="s">
        <v>59</v>
      </c>
      <c r="K5" s="49"/>
    </row>
    <row r="6" spans="2:11" ht="21.95" customHeight="1" x14ac:dyDescent="0.25">
      <c r="B6" s="12" t="s">
        <v>60</v>
      </c>
      <c r="C6" s="12" t="s">
        <v>61</v>
      </c>
      <c r="D6" s="12" t="s">
        <v>58</v>
      </c>
      <c r="E6" s="13">
        <v>45000</v>
      </c>
      <c r="F6" s="13">
        <v>60000</v>
      </c>
      <c r="G6" s="13">
        <v>70000</v>
      </c>
      <c r="H6" s="14">
        <v>0.3</v>
      </c>
      <c r="I6" s="11"/>
      <c r="J6" s="49"/>
      <c r="K6" s="49"/>
    </row>
    <row r="7" spans="2:11" ht="21.95" customHeight="1" x14ac:dyDescent="0.25">
      <c r="B7" s="12" t="s">
        <v>62</v>
      </c>
      <c r="C7" s="12" t="s">
        <v>63</v>
      </c>
      <c r="D7" s="12" t="s">
        <v>58</v>
      </c>
      <c r="E7" s="13">
        <v>35000</v>
      </c>
      <c r="F7" s="13">
        <v>42000</v>
      </c>
      <c r="G7" s="13">
        <v>50000</v>
      </c>
      <c r="H7" s="14">
        <v>0.25</v>
      </c>
      <c r="I7" s="11"/>
      <c r="J7" s="49"/>
      <c r="K7" s="49"/>
    </row>
    <row r="8" spans="2:11" ht="21.95" customHeight="1" x14ac:dyDescent="0.25">
      <c r="B8" s="12" t="s">
        <v>64</v>
      </c>
      <c r="C8" s="12" t="s">
        <v>65</v>
      </c>
      <c r="D8" s="12" t="s">
        <v>66</v>
      </c>
      <c r="E8" s="13">
        <v>50000</v>
      </c>
      <c r="F8" s="13">
        <v>55000</v>
      </c>
      <c r="G8" s="13">
        <v>65000</v>
      </c>
      <c r="H8" s="14">
        <v>0.35</v>
      </c>
      <c r="I8" s="11"/>
      <c r="J8" s="49"/>
      <c r="K8" s="49"/>
    </row>
    <row r="9" spans="2:11" ht="21.95" customHeight="1" x14ac:dyDescent="0.25">
      <c r="B9" s="12"/>
      <c r="C9" s="12"/>
      <c r="D9" s="12"/>
      <c r="E9" s="13"/>
      <c r="F9" s="13"/>
      <c r="G9" s="13"/>
      <c r="H9" s="14"/>
      <c r="I9" s="11"/>
      <c r="J9" s="49"/>
      <c r="K9" s="49"/>
    </row>
    <row r="10" spans="2:11" ht="21.95" customHeight="1" x14ac:dyDescent="0.25">
      <c r="B10" s="12"/>
      <c r="C10" s="12"/>
      <c r="D10" s="12"/>
      <c r="E10" s="13"/>
      <c r="F10" s="13"/>
      <c r="G10" s="13"/>
      <c r="H10" s="14"/>
      <c r="I10" s="11"/>
      <c r="J10" s="11"/>
      <c r="K10" s="10"/>
    </row>
    <row r="11" spans="2:11" ht="21.95" customHeight="1" x14ac:dyDescent="0.25">
      <c r="B11" s="12"/>
      <c r="C11" s="12"/>
      <c r="D11" s="12"/>
      <c r="E11" s="13"/>
      <c r="F11" s="13"/>
      <c r="G11" s="13"/>
      <c r="H11" s="14"/>
      <c r="I11" s="11"/>
      <c r="J11" s="11"/>
      <c r="K11" s="10"/>
    </row>
    <row r="12" spans="2:11" ht="21.95" customHeight="1" x14ac:dyDescent="0.25">
      <c r="B12" s="12"/>
      <c r="C12" s="12"/>
      <c r="D12" s="12"/>
      <c r="E12" s="13"/>
      <c r="F12" s="13"/>
      <c r="G12" s="13"/>
      <c r="H12" s="14"/>
      <c r="I12" s="11"/>
      <c r="J12" s="11"/>
      <c r="K12" s="10"/>
    </row>
    <row r="13" spans="2:11" ht="21.95" customHeight="1" x14ac:dyDescent="0.25">
      <c r="B13" s="12"/>
      <c r="C13" s="12"/>
      <c r="D13" s="12"/>
      <c r="E13" s="13"/>
      <c r="F13" s="13"/>
      <c r="G13" s="13"/>
      <c r="H13" s="14"/>
      <c r="J13" s="10"/>
      <c r="K13" s="10"/>
    </row>
    <row r="14" spans="2:11" ht="21.95" customHeight="1" x14ac:dyDescent="0.25">
      <c r="B14" s="12"/>
      <c r="C14" s="12"/>
      <c r="D14" s="12"/>
      <c r="E14" s="13"/>
      <c r="F14" s="13"/>
      <c r="G14" s="13"/>
      <c r="H14" s="14"/>
      <c r="J14" s="10"/>
      <c r="K14" s="10"/>
    </row>
    <row r="15" spans="2:11" ht="21.95" customHeight="1" x14ac:dyDescent="0.25">
      <c r="B15" s="12"/>
      <c r="C15" s="12"/>
      <c r="D15" s="12"/>
      <c r="E15" s="13"/>
      <c r="F15" s="13"/>
      <c r="G15" s="13"/>
      <c r="H15" s="14"/>
      <c r="J15" s="10"/>
      <c r="K15" s="10"/>
    </row>
    <row r="16" spans="2:11" ht="21.95" customHeight="1" x14ac:dyDescent="0.25">
      <c r="B16" s="12"/>
      <c r="C16" s="12"/>
      <c r="D16" s="12"/>
      <c r="E16" s="13"/>
      <c r="F16" s="13"/>
      <c r="G16" s="13"/>
      <c r="H16" s="14"/>
      <c r="J16" s="10"/>
      <c r="K16" s="10"/>
    </row>
    <row r="17" spans="2:11" ht="21.95" customHeight="1" x14ac:dyDescent="0.25">
      <c r="B17" s="12"/>
      <c r="C17" s="12"/>
      <c r="D17" s="12"/>
      <c r="E17" s="13"/>
      <c r="F17" s="13"/>
      <c r="G17" s="13"/>
      <c r="H17" s="14"/>
      <c r="J17" s="10"/>
      <c r="K17" s="10"/>
    </row>
    <row r="18" spans="2:11" ht="21.95" customHeight="1" x14ac:dyDescent="0.25">
      <c r="B18" s="12"/>
      <c r="C18" s="12"/>
      <c r="D18" s="12"/>
      <c r="E18" s="13"/>
      <c r="F18" s="13"/>
      <c r="G18" s="13"/>
      <c r="H18" s="14"/>
      <c r="J18" s="10"/>
      <c r="K18" s="10"/>
    </row>
    <row r="19" spans="2:11" ht="21.95" customHeight="1" x14ac:dyDescent="0.25">
      <c r="B19" s="12"/>
      <c r="C19" s="12"/>
      <c r="D19" s="12"/>
      <c r="E19" s="13"/>
      <c r="F19" s="13"/>
      <c r="G19" s="13"/>
      <c r="H19" s="14"/>
      <c r="J19" s="10"/>
      <c r="K19" s="10"/>
    </row>
    <row r="20" spans="2:11" ht="21.95" customHeight="1" x14ac:dyDescent="0.25">
      <c r="B20" s="12"/>
      <c r="C20" s="12"/>
      <c r="D20" s="12"/>
      <c r="E20" s="13"/>
      <c r="F20" s="13"/>
      <c r="G20" s="13"/>
      <c r="H20" s="14"/>
      <c r="J20" s="10"/>
      <c r="K20" s="10"/>
    </row>
    <row r="21" spans="2:11" ht="21.95" customHeight="1" x14ac:dyDescent="0.25">
      <c r="B21" s="12"/>
      <c r="C21" s="12"/>
      <c r="D21" s="12"/>
      <c r="E21" s="13"/>
      <c r="F21" s="13"/>
      <c r="G21" s="13"/>
      <c r="H21" s="14"/>
      <c r="J21" s="10"/>
      <c r="K21" s="10"/>
    </row>
    <row r="22" spans="2:11" ht="21.95" customHeight="1" x14ac:dyDescent="0.25">
      <c r="B22" s="12"/>
      <c r="C22" s="12"/>
      <c r="D22" s="12"/>
      <c r="E22" s="13"/>
      <c r="F22" s="13"/>
      <c r="G22" s="13"/>
      <c r="H22" s="14"/>
      <c r="J22" s="10"/>
      <c r="K22" s="10"/>
    </row>
    <row r="23" spans="2:11" ht="21.95" customHeight="1" x14ac:dyDescent="0.25">
      <c r="B23" s="12"/>
      <c r="C23" s="12"/>
      <c r="D23" s="12"/>
      <c r="E23" s="13"/>
      <c r="F23" s="13"/>
      <c r="G23" s="13"/>
      <c r="H23" s="14"/>
      <c r="J23" s="10"/>
      <c r="K23" s="10"/>
    </row>
    <row r="24" spans="2:11" ht="21.95" customHeight="1" x14ac:dyDescent="0.25">
      <c r="B24" s="12"/>
      <c r="C24" s="12"/>
      <c r="D24" s="12"/>
      <c r="E24" s="13"/>
      <c r="F24" s="13"/>
      <c r="G24" s="13"/>
      <c r="H24" s="14"/>
      <c r="J24" s="10"/>
      <c r="K24" s="10"/>
    </row>
    <row r="25" spans="2:11" ht="21.95" customHeight="1" x14ac:dyDescent="0.25">
      <c r="B25" s="12"/>
      <c r="C25" s="12"/>
      <c r="D25" s="12"/>
      <c r="E25" s="13"/>
      <c r="F25" s="13"/>
      <c r="G25" s="13"/>
      <c r="H25" s="14"/>
      <c r="J25" s="10"/>
      <c r="K25" s="10"/>
    </row>
    <row r="26" spans="2:11" ht="21.95" customHeight="1" x14ac:dyDescent="0.25">
      <c r="B26" s="12"/>
      <c r="C26" s="12"/>
      <c r="D26" s="12"/>
      <c r="E26" s="13"/>
      <c r="F26" s="13"/>
      <c r="G26" s="13"/>
      <c r="H26" s="14"/>
      <c r="J26" s="10"/>
      <c r="K26" s="10"/>
    </row>
    <row r="27" spans="2:11" ht="21.95" customHeight="1" x14ac:dyDescent="0.25">
      <c r="B27" s="12"/>
      <c r="C27" s="12"/>
      <c r="D27" s="12"/>
      <c r="E27" s="13"/>
      <c r="F27" s="13"/>
      <c r="G27" s="13"/>
      <c r="H27" s="14"/>
      <c r="J27" s="10"/>
      <c r="K27" s="10"/>
    </row>
    <row r="28" spans="2:11" ht="21.95" customHeight="1" x14ac:dyDescent="0.25">
      <c r="B28" s="12"/>
      <c r="C28" s="12"/>
      <c r="D28" s="12"/>
      <c r="E28" s="13"/>
      <c r="F28" s="13"/>
      <c r="G28" s="13"/>
      <c r="H28" s="14"/>
      <c r="J28" s="10"/>
      <c r="K28" s="10"/>
    </row>
    <row r="29" spans="2:11" ht="21.95" customHeight="1" x14ac:dyDescent="0.25">
      <c r="B29" s="12"/>
      <c r="C29" s="12"/>
      <c r="D29" s="12"/>
      <c r="E29" s="13"/>
      <c r="F29" s="13"/>
      <c r="G29" s="13"/>
      <c r="H29" s="14"/>
      <c r="J29" s="10"/>
      <c r="K29" s="10"/>
    </row>
    <row r="30" spans="2:11" ht="21.95" customHeight="1" x14ac:dyDescent="0.25">
      <c r="B30" s="12"/>
      <c r="C30" s="12"/>
      <c r="D30" s="12"/>
      <c r="E30" s="13"/>
      <c r="F30" s="13"/>
      <c r="G30" s="13"/>
      <c r="H30" s="14"/>
      <c r="J30" s="10"/>
      <c r="K30" s="10"/>
    </row>
    <row r="31" spans="2:11" ht="21.95" customHeight="1" x14ac:dyDescent="0.25">
      <c r="B31" s="12"/>
      <c r="C31" s="12"/>
      <c r="D31" s="12"/>
      <c r="E31" s="13"/>
      <c r="F31" s="13"/>
      <c r="G31" s="13"/>
      <c r="H31" s="14"/>
      <c r="J31" s="10"/>
      <c r="K31" s="10"/>
    </row>
    <row r="32" spans="2:11" ht="21.95" customHeight="1" x14ac:dyDescent="0.25">
      <c r="B32" s="12"/>
      <c r="C32" s="12"/>
      <c r="D32" s="12"/>
      <c r="E32" s="13"/>
      <c r="F32" s="13"/>
      <c r="G32" s="13"/>
      <c r="H32" s="14"/>
      <c r="J32" s="10"/>
      <c r="K32" s="10"/>
    </row>
    <row r="33" spans="2:11" ht="21.95" customHeight="1" x14ac:dyDescent="0.25">
      <c r="B33" s="12"/>
      <c r="C33" s="12"/>
      <c r="D33" s="12"/>
      <c r="E33" s="13"/>
      <c r="F33" s="13"/>
      <c r="G33" s="13"/>
      <c r="H33" s="14"/>
      <c r="J33" s="10"/>
      <c r="K33" s="10"/>
    </row>
    <row r="34" spans="2:11" ht="21.95" customHeight="1" x14ac:dyDescent="0.25">
      <c r="B34" s="12"/>
      <c r="C34" s="12"/>
      <c r="D34" s="12"/>
      <c r="E34" s="13"/>
      <c r="F34" s="13"/>
      <c r="G34" s="13"/>
      <c r="H34" s="14"/>
      <c r="J34" s="10"/>
      <c r="K34" s="10"/>
    </row>
    <row r="35" spans="2:11" ht="21.95" customHeight="1" x14ac:dyDescent="0.25">
      <c r="B35" s="12"/>
      <c r="C35" s="12"/>
      <c r="D35" s="12"/>
      <c r="E35" s="13"/>
      <c r="F35" s="13"/>
      <c r="G35" s="13"/>
      <c r="H35" s="14"/>
      <c r="J35" s="10"/>
      <c r="K35" s="10"/>
    </row>
    <row r="36" spans="2:11" ht="21.95" customHeight="1" x14ac:dyDescent="0.25">
      <c r="B36" s="12"/>
      <c r="C36" s="12"/>
      <c r="D36" s="12"/>
      <c r="E36" s="13"/>
      <c r="F36" s="13"/>
      <c r="G36" s="13"/>
      <c r="H36" s="14"/>
      <c r="J36" s="10"/>
      <c r="K36" s="10"/>
    </row>
    <row r="37" spans="2:11" ht="21.95" customHeight="1" x14ac:dyDescent="0.25">
      <c r="B37" s="12"/>
      <c r="C37" s="12"/>
      <c r="D37" s="12"/>
      <c r="E37" s="13"/>
      <c r="F37" s="13"/>
      <c r="G37" s="13"/>
      <c r="H37" s="14"/>
      <c r="J37" s="10"/>
      <c r="K37" s="10"/>
    </row>
    <row r="38" spans="2:11" ht="21.95" customHeight="1" x14ac:dyDescent="0.25">
      <c r="B38" s="12"/>
      <c r="C38" s="12"/>
      <c r="D38" s="12"/>
      <c r="E38" s="13"/>
      <c r="F38" s="13"/>
      <c r="G38" s="13"/>
      <c r="H38" s="14"/>
      <c r="J38" s="10"/>
      <c r="K38" s="10"/>
    </row>
    <row r="39" spans="2:11" ht="21.95" customHeight="1" x14ac:dyDescent="0.25">
      <c r="B39" s="12"/>
      <c r="C39" s="12"/>
      <c r="D39" s="12"/>
      <c r="E39" s="13"/>
      <c r="F39" s="13"/>
      <c r="G39" s="13"/>
      <c r="H39" s="14"/>
      <c r="J39" s="10"/>
      <c r="K39" s="10"/>
    </row>
    <row r="40" spans="2:11" ht="21.95" customHeight="1" x14ac:dyDescent="0.25">
      <c r="B40" s="12"/>
      <c r="C40" s="12"/>
      <c r="D40" s="12"/>
      <c r="E40" s="13"/>
      <c r="F40" s="13"/>
      <c r="G40" s="13"/>
      <c r="H40" s="14"/>
      <c r="J40" s="10"/>
      <c r="K40" s="10"/>
    </row>
    <row r="41" spans="2:11" ht="21.95" customHeight="1" x14ac:dyDescent="0.25">
      <c r="B41" s="12"/>
      <c r="C41" s="12"/>
      <c r="D41" s="12"/>
      <c r="E41" s="13"/>
      <c r="F41" s="13"/>
      <c r="G41" s="13"/>
      <c r="H41" s="14"/>
      <c r="J41" s="10"/>
      <c r="K41" s="10"/>
    </row>
    <row r="42" spans="2:11" ht="21.95" customHeight="1" x14ac:dyDescent="0.25">
      <c r="B42" s="12"/>
      <c r="C42" s="12"/>
      <c r="D42" s="12"/>
      <c r="E42" s="13"/>
      <c r="F42" s="13"/>
      <c r="G42" s="13"/>
      <c r="H42" s="14"/>
      <c r="J42" s="10"/>
      <c r="K42" s="10"/>
    </row>
    <row r="43" spans="2:11" ht="21.95" customHeight="1" x14ac:dyDescent="0.25">
      <c r="B43" s="12"/>
      <c r="C43" s="12"/>
      <c r="D43" s="12"/>
      <c r="E43" s="13"/>
      <c r="F43" s="13"/>
      <c r="G43" s="13"/>
      <c r="H43" s="14"/>
      <c r="J43" s="10"/>
      <c r="K43" s="10"/>
    </row>
    <row r="44" spans="2:11" ht="21.95" customHeight="1" x14ac:dyDescent="0.25">
      <c r="B44" s="12"/>
      <c r="C44" s="12"/>
      <c r="D44" s="12"/>
      <c r="E44" s="13"/>
      <c r="F44" s="13"/>
      <c r="G44" s="13"/>
      <c r="H44" s="14"/>
      <c r="J44" s="10"/>
      <c r="K44" s="10"/>
    </row>
    <row r="45" spans="2:11" ht="21.95" customHeight="1" x14ac:dyDescent="0.25">
      <c r="B45" s="12"/>
      <c r="C45" s="12"/>
      <c r="D45" s="12"/>
      <c r="E45" s="13"/>
      <c r="F45" s="13"/>
      <c r="G45" s="13"/>
      <c r="H45" s="14"/>
      <c r="J45" s="10"/>
      <c r="K45" s="10"/>
    </row>
    <row r="46" spans="2:11" ht="21.95" customHeight="1" x14ac:dyDescent="0.25">
      <c r="B46" s="12"/>
      <c r="C46" s="12"/>
      <c r="D46" s="12"/>
      <c r="E46" s="13"/>
      <c r="F46" s="13"/>
      <c r="G46" s="13"/>
      <c r="H46" s="14"/>
      <c r="J46" s="10"/>
      <c r="K46" s="10"/>
    </row>
    <row r="47" spans="2:11" ht="21.95" customHeight="1" x14ac:dyDescent="0.25">
      <c r="B47" s="12"/>
      <c r="C47" s="12"/>
      <c r="D47" s="12"/>
      <c r="E47" s="13"/>
      <c r="F47" s="13"/>
      <c r="G47" s="13"/>
      <c r="H47" s="14"/>
      <c r="J47" s="10"/>
      <c r="K47" s="10"/>
    </row>
    <row r="48" spans="2:11" ht="21.95" customHeight="1" x14ac:dyDescent="0.25">
      <c r="B48" s="12"/>
      <c r="C48" s="12"/>
      <c r="D48" s="12"/>
      <c r="E48" s="13"/>
      <c r="F48" s="13"/>
      <c r="G48" s="13"/>
      <c r="H48" s="14"/>
      <c r="J48" s="10"/>
      <c r="K48" s="10"/>
    </row>
    <row r="49" spans="2:11" ht="21.95" customHeight="1" x14ac:dyDescent="0.25">
      <c r="B49" s="12"/>
      <c r="C49" s="12"/>
      <c r="D49" s="12"/>
      <c r="E49" s="13"/>
      <c r="F49" s="13"/>
      <c r="G49" s="13"/>
      <c r="H49" s="14"/>
      <c r="J49" s="10"/>
      <c r="K49" s="10"/>
    </row>
    <row r="50" spans="2:11" ht="21.95" customHeight="1" x14ac:dyDescent="0.25">
      <c r="B50" s="12"/>
      <c r="C50" s="12"/>
      <c r="D50" s="12"/>
      <c r="E50" s="13"/>
      <c r="F50" s="13"/>
      <c r="G50" s="13"/>
      <c r="H50" s="14"/>
      <c r="J50" s="10"/>
      <c r="K50" s="10"/>
    </row>
    <row r="51" spans="2:11" ht="21.95" customHeight="1" x14ac:dyDescent="0.25">
      <c r="B51" s="12"/>
      <c r="C51" s="12"/>
      <c r="D51" s="12"/>
      <c r="E51" s="13"/>
      <c r="F51" s="13"/>
      <c r="G51" s="13"/>
      <c r="H51" s="14"/>
      <c r="J51" s="10"/>
      <c r="K51" s="10"/>
    </row>
    <row r="52" spans="2:11" ht="21.95" customHeight="1" x14ac:dyDescent="0.25">
      <c r="B52" s="12"/>
      <c r="C52" s="12"/>
      <c r="D52" s="12"/>
      <c r="E52" s="13"/>
      <c r="F52" s="13"/>
      <c r="G52" s="13"/>
      <c r="H52" s="14"/>
      <c r="J52" s="10"/>
      <c r="K52" s="10"/>
    </row>
    <row r="53" spans="2:11" ht="21.95" customHeight="1" x14ac:dyDescent="0.25">
      <c r="B53" s="12"/>
      <c r="C53" s="12"/>
      <c r="D53" s="12"/>
      <c r="E53" s="13"/>
      <c r="F53" s="13"/>
      <c r="G53" s="13"/>
      <c r="H53" s="14"/>
      <c r="J53" s="10"/>
      <c r="K53" s="10"/>
    </row>
    <row r="54" spans="2:11" ht="21.95" customHeight="1" x14ac:dyDescent="0.25">
      <c r="B54" s="12"/>
      <c r="C54" s="12"/>
      <c r="D54" s="12"/>
      <c r="E54" s="13"/>
      <c r="F54" s="13"/>
      <c r="G54" s="13"/>
      <c r="H54" s="14"/>
      <c r="J54" s="10"/>
      <c r="K54" s="10"/>
    </row>
    <row r="55" spans="2:11" ht="21.95" customHeight="1" x14ac:dyDescent="0.25">
      <c r="B55" s="12"/>
      <c r="C55" s="12"/>
      <c r="D55" s="12"/>
      <c r="E55" s="13"/>
      <c r="F55" s="13"/>
      <c r="G55" s="13"/>
      <c r="H55" s="14"/>
      <c r="J55" s="10"/>
      <c r="K55" s="10"/>
    </row>
    <row r="56" spans="2:11" ht="21.95" customHeight="1" x14ac:dyDescent="0.25">
      <c r="B56" s="12"/>
      <c r="C56" s="12"/>
      <c r="D56" s="12"/>
      <c r="E56" s="13"/>
      <c r="F56" s="13"/>
      <c r="G56" s="13"/>
      <c r="H56" s="14"/>
      <c r="J56" s="10"/>
      <c r="K56" s="10"/>
    </row>
    <row r="57" spans="2:11" ht="21.95" customHeight="1" x14ac:dyDescent="0.25">
      <c r="B57" s="12"/>
      <c r="C57" s="12"/>
      <c r="D57" s="12"/>
      <c r="E57" s="13"/>
      <c r="F57" s="13"/>
      <c r="G57" s="13"/>
      <c r="H57" s="14"/>
      <c r="J57" s="10"/>
      <c r="K57" s="10"/>
    </row>
    <row r="58" spans="2:11" ht="21.95" customHeight="1" x14ac:dyDescent="0.25">
      <c r="B58" s="12"/>
      <c r="C58" s="12"/>
      <c r="D58" s="12"/>
      <c r="E58" s="13"/>
      <c r="F58" s="13"/>
      <c r="G58" s="13"/>
      <c r="H58" s="14"/>
      <c r="J58" s="10"/>
      <c r="K58" s="10"/>
    </row>
    <row r="59" spans="2:11" ht="21.95" customHeight="1" x14ac:dyDescent="0.25">
      <c r="B59" s="12"/>
      <c r="C59" s="12"/>
      <c r="D59" s="12"/>
      <c r="E59" s="13"/>
      <c r="F59" s="13"/>
      <c r="G59" s="13"/>
      <c r="H59" s="14"/>
      <c r="J59" s="10"/>
      <c r="K59" s="10"/>
    </row>
    <row r="60" spans="2:11" ht="21.95" customHeight="1" x14ac:dyDescent="0.25">
      <c r="B60" s="12"/>
      <c r="C60" s="12"/>
      <c r="D60" s="12"/>
      <c r="E60" s="13"/>
      <c r="F60" s="13"/>
      <c r="G60" s="13"/>
      <c r="H60" s="14"/>
      <c r="J60" s="10"/>
      <c r="K60" s="10"/>
    </row>
    <row r="61" spans="2:11" ht="21.95" customHeight="1" x14ac:dyDescent="0.25">
      <c r="B61" s="12"/>
      <c r="C61" s="12"/>
      <c r="D61" s="12"/>
      <c r="E61" s="13"/>
      <c r="F61" s="13"/>
      <c r="G61" s="13"/>
      <c r="H61" s="14"/>
      <c r="J61" s="10"/>
      <c r="K61" s="10"/>
    </row>
    <row r="62" spans="2:11" ht="21.95" customHeight="1" x14ac:dyDescent="0.25">
      <c r="B62" s="12"/>
      <c r="C62" s="12"/>
      <c r="D62" s="12"/>
      <c r="E62" s="13"/>
      <c r="F62" s="13"/>
      <c r="G62" s="13"/>
      <c r="H62" s="14"/>
      <c r="J62" s="10"/>
      <c r="K62" s="10"/>
    </row>
    <row r="63" spans="2:11" ht="21.95" customHeight="1" x14ac:dyDescent="0.25">
      <c r="B63" s="12"/>
      <c r="C63" s="12"/>
      <c r="D63" s="12"/>
      <c r="E63" s="13"/>
      <c r="F63" s="13"/>
      <c r="G63" s="13"/>
      <c r="H63" s="14"/>
      <c r="J63" s="10"/>
      <c r="K63" s="10"/>
    </row>
    <row r="64" spans="2:11" ht="21.95" customHeight="1" x14ac:dyDescent="0.25">
      <c r="B64" s="12"/>
      <c r="C64" s="12"/>
      <c r="D64" s="12"/>
      <c r="E64" s="13"/>
      <c r="F64" s="13"/>
      <c r="G64" s="13"/>
      <c r="H64" s="14"/>
      <c r="J64" s="10"/>
      <c r="K64" s="10"/>
    </row>
    <row r="65" spans="2:11" ht="21.95" customHeight="1" x14ac:dyDescent="0.25">
      <c r="B65" s="12"/>
      <c r="C65" s="12"/>
      <c r="D65" s="12"/>
      <c r="E65" s="13"/>
      <c r="F65" s="13"/>
      <c r="G65" s="13"/>
      <c r="H65" s="14"/>
      <c r="J65" s="10"/>
      <c r="K65" s="10"/>
    </row>
    <row r="66" spans="2:11" ht="21.95" customHeight="1" x14ac:dyDescent="0.25">
      <c r="B66" s="12"/>
      <c r="C66" s="12"/>
      <c r="D66" s="12"/>
      <c r="E66" s="13"/>
      <c r="F66" s="13"/>
      <c r="G66" s="13"/>
      <c r="H66" s="14"/>
      <c r="J66" s="10"/>
      <c r="K66" s="10"/>
    </row>
    <row r="67" spans="2:11" ht="21.95" customHeight="1" x14ac:dyDescent="0.25">
      <c r="B67" s="12"/>
      <c r="C67" s="12"/>
      <c r="D67" s="12"/>
      <c r="E67" s="13"/>
      <c r="F67" s="13"/>
      <c r="G67" s="13"/>
      <c r="H67" s="14"/>
      <c r="J67" s="10"/>
      <c r="K67" s="10"/>
    </row>
    <row r="68" spans="2:11" ht="21.95" customHeight="1" x14ac:dyDescent="0.25">
      <c r="B68" s="12"/>
      <c r="C68" s="12"/>
      <c r="D68" s="12"/>
      <c r="E68" s="13"/>
      <c r="F68" s="13"/>
      <c r="G68" s="13"/>
      <c r="H68" s="14"/>
      <c r="J68" s="10"/>
      <c r="K68" s="10"/>
    </row>
    <row r="69" spans="2:11" ht="21.95" customHeight="1" x14ac:dyDescent="0.25">
      <c r="B69" s="12"/>
      <c r="C69" s="12"/>
      <c r="D69" s="12"/>
      <c r="E69" s="13"/>
      <c r="F69" s="13"/>
      <c r="G69" s="13"/>
      <c r="H69" s="14"/>
      <c r="J69" s="10"/>
      <c r="K69" s="10"/>
    </row>
    <row r="70" spans="2:11" ht="21.95" customHeight="1" x14ac:dyDescent="0.25">
      <c r="B70" s="12"/>
      <c r="C70" s="12"/>
      <c r="D70" s="12"/>
      <c r="E70" s="13"/>
      <c r="F70" s="13"/>
      <c r="G70" s="13"/>
      <c r="H70" s="14"/>
      <c r="J70" s="10"/>
      <c r="K70" s="10"/>
    </row>
    <row r="71" spans="2:11" ht="21.95" customHeight="1" x14ac:dyDescent="0.25">
      <c r="B71" s="12"/>
      <c r="C71" s="12"/>
      <c r="D71" s="12"/>
      <c r="E71" s="13"/>
      <c r="F71" s="13"/>
      <c r="G71" s="13"/>
      <c r="H71" s="14"/>
      <c r="J71" s="10"/>
      <c r="K71" s="10"/>
    </row>
    <row r="72" spans="2:11" ht="21.95" customHeight="1" x14ac:dyDescent="0.25">
      <c r="B72" s="12"/>
      <c r="C72" s="12"/>
      <c r="D72" s="12"/>
      <c r="E72" s="13"/>
      <c r="F72" s="13"/>
      <c r="G72" s="13"/>
      <c r="H72" s="14"/>
      <c r="J72" s="10"/>
      <c r="K72" s="10"/>
    </row>
    <row r="73" spans="2:11" ht="21.95" customHeight="1" x14ac:dyDescent="0.25">
      <c r="B73" s="12"/>
      <c r="C73" s="12"/>
      <c r="D73" s="12"/>
      <c r="E73" s="13"/>
      <c r="F73" s="13"/>
      <c r="G73" s="13"/>
      <c r="H73" s="14"/>
      <c r="J73" s="10"/>
      <c r="K73" s="10"/>
    </row>
    <row r="74" spans="2:11" ht="21.95" customHeight="1" x14ac:dyDescent="0.25">
      <c r="B74" s="12"/>
      <c r="C74" s="12"/>
      <c r="D74" s="12"/>
      <c r="E74" s="13"/>
      <c r="F74" s="13"/>
      <c r="G74" s="13"/>
      <c r="H74" s="14"/>
      <c r="J74" s="10"/>
      <c r="K74" s="10"/>
    </row>
    <row r="75" spans="2:11" ht="21.95" customHeight="1" x14ac:dyDescent="0.25">
      <c r="B75" s="12"/>
      <c r="C75" s="12"/>
      <c r="D75" s="12"/>
      <c r="E75" s="13"/>
      <c r="F75" s="13"/>
      <c r="G75" s="13"/>
      <c r="H75" s="14"/>
      <c r="J75" s="10"/>
      <c r="K75" s="10"/>
    </row>
    <row r="76" spans="2:11" ht="21.95" customHeight="1" x14ac:dyDescent="0.25">
      <c r="B76" s="12"/>
      <c r="C76" s="12"/>
      <c r="D76" s="12"/>
      <c r="E76" s="13"/>
      <c r="F76" s="13"/>
      <c r="G76" s="13"/>
      <c r="H76" s="14"/>
      <c r="J76" s="10"/>
      <c r="K76" s="10"/>
    </row>
    <row r="77" spans="2:11" ht="21.95" customHeight="1" x14ac:dyDescent="0.25">
      <c r="B77" s="12"/>
      <c r="C77" s="12"/>
      <c r="D77" s="12"/>
      <c r="E77" s="13"/>
      <c r="F77" s="13"/>
      <c r="G77" s="13"/>
      <c r="H77" s="14"/>
      <c r="J77" s="10"/>
      <c r="K77" s="10"/>
    </row>
    <row r="78" spans="2:11" ht="21.95" customHeight="1" x14ac:dyDescent="0.25">
      <c r="B78" s="12"/>
      <c r="C78" s="12"/>
      <c r="D78" s="12"/>
      <c r="E78" s="13"/>
      <c r="F78" s="13"/>
      <c r="G78" s="13"/>
      <c r="H78" s="14"/>
      <c r="J78" s="10"/>
      <c r="K78" s="10"/>
    </row>
    <row r="79" spans="2:11" ht="21.95" customHeight="1" x14ac:dyDescent="0.25">
      <c r="B79" s="12"/>
      <c r="C79" s="12"/>
      <c r="D79" s="12"/>
      <c r="E79" s="13"/>
      <c r="F79" s="13"/>
      <c r="G79" s="13"/>
      <c r="H79" s="14"/>
      <c r="J79" s="10"/>
      <c r="K79" s="10"/>
    </row>
    <row r="80" spans="2:11" ht="21.95" customHeight="1" x14ac:dyDescent="0.25">
      <c r="B80" s="12"/>
      <c r="C80" s="12"/>
      <c r="D80" s="12"/>
      <c r="E80" s="13"/>
      <c r="F80" s="13"/>
      <c r="G80" s="13"/>
      <c r="H80" s="14"/>
      <c r="J80" s="10"/>
      <c r="K80" s="10"/>
    </row>
    <row r="81" spans="2:11" ht="21.95" customHeight="1" x14ac:dyDescent="0.25">
      <c r="B81" s="12"/>
      <c r="C81" s="12"/>
      <c r="D81" s="12"/>
      <c r="E81" s="13"/>
      <c r="F81" s="13"/>
      <c r="G81" s="13"/>
      <c r="H81" s="14"/>
      <c r="J81" s="10"/>
      <c r="K81" s="10"/>
    </row>
    <row r="82" spans="2:11" ht="21.95" customHeight="1" x14ac:dyDescent="0.25">
      <c r="B82" s="12"/>
      <c r="C82" s="12"/>
      <c r="D82" s="12"/>
      <c r="E82" s="13"/>
      <c r="F82" s="13"/>
      <c r="G82" s="13"/>
      <c r="H82" s="14"/>
      <c r="J82" s="10"/>
      <c r="K82" s="10"/>
    </row>
    <row r="83" spans="2:11" ht="21.95" customHeight="1" x14ac:dyDescent="0.25">
      <c r="B83" s="12"/>
      <c r="C83" s="12"/>
      <c r="D83" s="12"/>
      <c r="E83" s="13"/>
      <c r="F83" s="13"/>
      <c r="G83" s="13"/>
      <c r="H83" s="14"/>
      <c r="J83" s="10"/>
      <c r="K83" s="10"/>
    </row>
    <row r="84" spans="2:11" ht="21.95" customHeight="1" x14ac:dyDescent="0.25">
      <c r="B84" s="12"/>
      <c r="C84" s="12"/>
      <c r="D84" s="12"/>
      <c r="E84" s="13"/>
      <c r="F84" s="13"/>
      <c r="G84" s="13"/>
      <c r="H84" s="14"/>
      <c r="J84" s="10"/>
      <c r="K84" s="10"/>
    </row>
    <row r="85" spans="2:11" ht="21.95" customHeight="1" x14ac:dyDescent="0.25">
      <c r="B85" s="12"/>
      <c r="C85" s="12"/>
      <c r="D85" s="12"/>
      <c r="E85" s="13"/>
      <c r="F85" s="13"/>
      <c r="G85" s="13"/>
      <c r="H85" s="14"/>
      <c r="J85" s="10"/>
      <c r="K85" s="10"/>
    </row>
    <row r="86" spans="2:11" ht="21.95" customHeight="1" x14ac:dyDescent="0.25">
      <c r="B86" s="12"/>
      <c r="C86" s="12"/>
      <c r="D86" s="12"/>
      <c r="E86" s="13"/>
      <c r="F86" s="13"/>
      <c r="G86" s="13"/>
      <c r="H86" s="14"/>
      <c r="J86" s="10"/>
      <c r="K86" s="10"/>
    </row>
    <row r="87" spans="2:11" ht="21.95" customHeight="1" x14ac:dyDescent="0.25">
      <c r="B87" s="12"/>
      <c r="C87" s="12"/>
      <c r="D87" s="12"/>
      <c r="E87" s="13"/>
      <c r="F87" s="13"/>
      <c r="G87" s="13"/>
      <c r="H87" s="14"/>
      <c r="J87" s="10"/>
      <c r="K87" s="10"/>
    </row>
    <row r="88" spans="2:11" ht="21.95" customHeight="1" x14ac:dyDescent="0.25">
      <c r="B88" s="12"/>
      <c r="C88" s="12"/>
      <c r="D88" s="12"/>
      <c r="E88" s="13"/>
      <c r="F88" s="13"/>
      <c r="G88" s="13"/>
      <c r="H88" s="14"/>
      <c r="J88" s="10"/>
      <c r="K88" s="10"/>
    </row>
    <row r="89" spans="2:11" ht="21.95" customHeight="1" x14ac:dyDescent="0.25">
      <c r="B89" s="12"/>
      <c r="C89" s="12"/>
      <c r="D89" s="12"/>
      <c r="E89" s="13"/>
      <c r="F89" s="13"/>
      <c r="G89" s="13"/>
      <c r="H89" s="14"/>
      <c r="J89" s="10"/>
      <c r="K89" s="10"/>
    </row>
    <row r="90" spans="2:11" ht="21.95" customHeight="1" x14ac:dyDescent="0.25">
      <c r="B90" s="12"/>
      <c r="C90" s="12"/>
      <c r="D90" s="12"/>
      <c r="E90" s="13"/>
      <c r="F90" s="13"/>
      <c r="G90" s="13"/>
      <c r="H90" s="14"/>
      <c r="J90" s="10"/>
      <c r="K90" s="10"/>
    </row>
    <row r="91" spans="2:11" ht="21.95" customHeight="1" x14ac:dyDescent="0.25">
      <c r="B91" s="12"/>
      <c r="C91" s="12"/>
      <c r="D91" s="12"/>
      <c r="E91" s="13"/>
      <c r="F91" s="13"/>
      <c r="G91" s="13"/>
      <c r="H91" s="14"/>
      <c r="J91" s="10"/>
      <c r="K91" s="10"/>
    </row>
    <row r="92" spans="2:11" ht="21.95" customHeight="1" x14ac:dyDescent="0.25">
      <c r="B92" s="12"/>
      <c r="C92" s="12"/>
      <c r="D92" s="12"/>
      <c r="E92" s="13"/>
      <c r="F92" s="13"/>
      <c r="G92" s="13"/>
      <c r="H92" s="14"/>
      <c r="J92" s="10"/>
      <c r="K92" s="10"/>
    </row>
    <row r="93" spans="2:11" ht="21.95" customHeight="1" x14ac:dyDescent="0.25">
      <c r="B93" s="12"/>
      <c r="C93" s="12"/>
      <c r="D93" s="12"/>
      <c r="E93" s="13"/>
      <c r="F93" s="13"/>
      <c r="G93" s="13"/>
      <c r="H93" s="14"/>
      <c r="J93" s="10"/>
      <c r="K93" s="10"/>
    </row>
    <row r="94" spans="2:11" ht="21.95" customHeight="1" x14ac:dyDescent="0.25">
      <c r="B94" s="12"/>
      <c r="C94" s="12"/>
      <c r="D94" s="12"/>
      <c r="E94" s="13"/>
      <c r="F94" s="13"/>
      <c r="G94" s="13"/>
      <c r="H94" s="14"/>
      <c r="J94" s="10"/>
      <c r="K94" s="10"/>
    </row>
    <row r="95" spans="2:11" ht="21.95" customHeight="1" x14ac:dyDescent="0.25">
      <c r="B95" s="12"/>
      <c r="C95" s="12"/>
      <c r="D95" s="12"/>
      <c r="E95" s="13"/>
      <c r="F95" s="13"/>
      <c r="G95" s="13"/>
      <c r="H95" s="14"/>
      <c r="J95" s="10"/>
      <c r="K95" s="10"/>
    </row>
    <row r="96" spans="2:11" ht="21.95" customHeight="1" x14ac:dyDescent="0.25">
      <c r="B96" s="12"/>
      <c r="C96" s="12"/>
      <c r="D96" s="12"/>
      <c r="E96" s="13"/>
      <c r="F96" s="13"/>
      <c r="G96" s="13"/>
      <c r="H96" s="14"/>
      <c r="J96" s="10"/>
      <c r="K96" s="10"/>
    </row>
    <row r="97" spans="2:11" ht="21.95" customHeight="1" x14ac:dyDescent="0.25">
      <c r="B97" s="12"/>
      <c r="C97" s="12"/>
      <c r="D97" s="12"/>
      <c r="E97" s="13"/>
      <c r="F97" s="13"/>
      <c r="G97" s="13"/>
      <c r="H97" s="14"/>
      <c r="J97" s="10"/>
      <c r="K97" s="10"/>
    </row>
    <row r="98" spans="2:11" ht="21.95" customHeight="1" x14ac:dyDescent="0.25">
      <c r="B98" s="12"/>
      <c r="C98" s="12"/>
      <c r="D98" s="12"/>
      <c r="E98" s="13"/>
      <c r="F98" s="13"/>
      <c r="G98" s="13"/>
      <c r="H98" s="14"/>
      <c r="J98" s="10"/>
      <c r="K98" s="10"/>
    </row>
    <row r="99" spans="2:11" ht="21.95" customHeight="1" x14ac:dyDescent="0.25">
      <c r="B99" s="12"/>
      <c r="C99" s="12"/>
      <c r="D99" s="12"/>
      <c r="E99" s="13"/>
      <c r="F99" s="13"/>
      <c r="G99" s="13"/>
      <c r="H99" s="14"/>
      <c r="J99" s="10"/>
      <c r="K99" s="10"/>
    </row>
    <row r="100" spans="2:11" ht="21.95" customHeight="1" x14ac:dyDescent="0.25">
      <c r="B100" s="12"/>
      <c r="C100" s="12"/>
      <c r="D100" s="12"/>
      <c r="E100" s="13"/>
      <c r="F100" s="13"/>
      <c r="G100" s="13"/>
      <c r="H100" s="14"/>
      <c r="J100" s="10"/>
      <c r="K100" s="10"/>
    </row>
    <row r="101" spans="2:11" ht="21.95" customHeight="1" x14ac:dyDescent="0.25">
      <c r="B101" s="12"/>
      <c r="C101" s="12"/>
      <c r="D101" s="12"/>
      <c r="E101" s="13"/>
      <c r="F101" s="13"/>
      <c r="G101" s="13"/>
      <c r="H101" s="14"/>
      <c r="J101" s="10"/>
      <c r="K101" s="10"/>
    </row>
    <row r="102" spans="2:11" ht="21.95" customHeight="1" x14ac:dyDescent="0.25">
      <c r="B102" s="12"/>
      <c r="C102" s="12"/>
      <c r="D102" s="12"/>
      <c r="E102" s="13"/>
      <c r="F102" s="13"/>
      <c r="G102" s="13"/>
      <c r="H102" s="14"/>
      <c r="J102" s="10"/>
      <c r="K102" s="10"/>
    </row>
    <row r="103" spans="2:11" ht="21.95" customHeight="1" x14ac:dyDescent="0.25">
      <c r="B103" s="12"/>
      <c r="C103" s="12"/>
      <c r="D103" s="12"/>
      <c r="E103" s="13"/>
      <c r="F103" s="13"/>
      <c r="G103" s="13"/>
      <c r="H103" s="14"/>
      <c r="J103" s="10"/>
      <c r="K103" s="10"/>
    </row>
    <row r="104" spans="2:11" ht="21.95" customHeight="1" x14ac:dyDescent="0.25">
      <c r="B104" s="12"/>
      <c r="C104" s="12"/>
      <c r="D104" s="12"/>
      <c r="E104" s="13"/>
      <c r="F104" s="13"/>
      <c r="G104" s="13"/>
      <c r="H104" s="14"/>
      <c r="J104" s="10"/>
      <c r="K104" s="10"/>
    </row>
    <row r="105" spans="2:11" ht="21.95" customHeight="1" x14ac:dyDescent="0.25">
      <c r="B105" s="12"/>
      <c r="C105" s="12"/>
      <c r="D105" s="12"/>
      <c r="E105" s="13"/>
      <c r="F105" s="13"/>
      <c r="G105" s="13"/>
      <c r="H105" s="14"/>
      <c r="J105" s="10"/>
      <c r="K105" s="10"/>
    </row>
    <row r="106" spans="2:11" ht="21.95" customHeight="1" x14ac:dyDescent="0.25">
      <c r="B106" s="12"/>
      <c r="C106" s="12"/>
      <c r="D106" s="12"/>
      <c r="E106" s="13"/>
      <c r="F106" s="13"/>
      <c r="G106" s="13"/>
      <c r="H106" s="14"/>
      <c r="J106" s="10"/>
      <c r="K106" s="10"/>
    </row>
    <row r="107" spans="2:11" ht="21.95" customHeight="1" x14ac:dyDescent="0.25">
      <c r="B107" s="12"/>
      <c r="C107" s="12"/>
      <c r="D107" s="12"/>
      <c r="E107" s="13"/>
      <c r="F107" s="13"/>
      <c r="G107" s="13"/>
      <c r="H107" s="14"/>
      <c r="J107" s="10"/>
      <c r="K107" s="10"/>
    </row>
    <row r="108" spans="2:11" ht="21.95" customHeight="1" x14ac:dyDescent="0.25">
      <c r="B108" s="12"/>
      <c r="C108" s="12"/>
      <c r="D108" s="12"/>
      <c r="E108" s="13"/>
      <c r="F108" s="13"/>
      <c r="G108" s="13"/>
      <c r="H108" s="14"/>
      <c r="J108" s="10"/>
      <c r="K108" s="10"/>
    </row>
    <row r="109" spans="2:11" ht="21.95" customHeight="1" x14ac:dyDescent="0.25">
      <c r="B109" s="12"/>
      <c r="C109" s="12"/>
      <c r="D109" s="12"/>
      <c r="E109" s="13"/>
      <c r="F109" s="13"/>
      <c r="G109" s="13"/>
      <c r="H109" s="14"/>
      <c r="J109" s="10"/>
      <c r="K109" s="10"/>
    </row>
    <row r="110" spans="2:11" ht="21.95" customHeight="1" x14ac:dyDescent="0.25">
      <c r="B110" s="12"/>
      <c r="C110" s="12"/>
      <c r="D110" s="12"/>
      <c r="E110" s="13"/>
      <c r="F110" s="13"/>
      <c r="G110" s="13"/>
      <c r="H110" s="14"/>
      <c r="J110" s="10"/>
      <c r="K110" s="10"/>
    </row>
    <row r="111" spans="2:11" ht="21.95" customHeight="1" x14ac:dyDescent="0.25">
      <c r="B111" s="12"/>
      <c r="C111" s="12"/>
      <c r="D111" s="12"/>
      <c r="E111" s="13"/>
      <c r="F111" s="13"/>
      <c r="G111" s="13"/>
      <c r="H111" s="14"/>
      <c r="J111" s="10"/>
      <c r="K111" s="10"/>
    </row>
    <row r="112" spans="2:11" ht="21.95" customHeight="1" x14ac:dyDescent="0.25">
      <c r="B112" s="12"/>
      <c r="C112" s="12"/>
      <c r="D112" s="12"/>
      <c r="E112" s="13"/>
      <c r="F112" s="13"/>
      <c r="G112" s="13"/>
      <c r="H112" s="14"/>
      <c r="J112" s="10"/>
      <c r="K112" s="10"/>
    </row>
    <row r="113" spans="2:11" ht="21.95" customHeight="1" x14ac:dyDescent="0.25">
      <c r="B113" s="12"/>
      <c r="C113" s="12"/>
      <c r="D113" s="12"/>
      <c r="E113" s="13"/>
      <c r="F113" s="13"/>
      <c r="G113" s="13"/>
      <c r="H113" s="14"/>
      <c r="J113" s="10"/>
      <c r="K113" s="10"/>
    </row>
    <row r="114" spans="2:11" ht="21.95" customHeight="1" x14ac:dyDescent="0.25">
      <c r="B114" s="12"/>
      <c r="C114" s="12"/>
      <c r="D114" s="12"/>
      <c r="E114" s="13"/>
      <c r="F114" s="13"/>
      <c r="G114" s="13"/>
      <c r="H114" s="14"/>
      <c r="J114" s="10"/>
      <c r="K114" s="10"/>
    </row>
    <row r="115" spans="2:11" ht="21.95" customHeight="1" x14ac:dyDescent="0.25">
      <c r="B115" s="12"/>
      <c r="C115" s="12"/>
      <c r="D115" s="12"/>
      <c r="E115" s="13"/>
      <c r="F115" s="13"/>
      <c r="G115" s="13"/>
      <c r="H115" s="14"/>
      <c r="J115" s="10"/>
      <c r="K115" s="10"/>
    </row>
    <row r="116" spans="2:11" ht="21.95" customHeight="1" x14ac:dyDescent="0.25">
      <c r="B116" s="12"/>
      <c r="C116" s="12"/>
      <c r="D116" s="12"/>
      <c r="E116" s="13"/>
      <c r="F116" s="13"/>
      <c r="G116" s="13"/>
      <c r="H116" s="14"/>
      <c r="J116" s="10"/>
      <c r="K116" s="10"/>
    </row>
    <row r="117" spans="2:11" ht="21.95" customHeight="1" x14ac:dyDescent="0.25">
      <c r="B117" s="12"/>
      <c r="C117" s="12"/>
      <c r="D117" s="12"/>
      <c r="E117" s="13"/>
      <c r="F117" s="13"/>
      <c r="G117" s="13"/>
      <c r="H117" s="14"/>
      <c r="J117" s="10"/>
      <c r="K117" s="10"/>
    </row>
    <row r="118" spans="2:11" ht="21.95" customHeight="1" x14ac:dyDescent="0.25">
      <c r="B118" s="12"/>
      <c r="C118" s="12"/>
      <c r="D118" s="12"/>
      <c r="E118" s="13"/>
      <c r="F118" s="13"/>
      <c r="G118" s="13"/>
      <c r="H118" s="14"/>
      <c r="J118" s="10"/>
      <c r="K118" s="10"/>
    </row>
    <row r="119" spans="2:11" ht="21.95" customHeight="1" x14ac:dyDescent="0.25">
      <c r="B119" s="12"/>
      <c r="C119" s="12"/>
      <c r="D119" s="12"/>
      <c r="E119" s="13"/>
      <c r="F119" s="13"/>
      <c r="G119" s="13"/>
      <c r="H119" s="14"/>
      <c r="J119" s="10"/>
      <c r="K119" s="10"/>
    </row>
    <row r="120" spans="2:11" ht="21.95" customHeight="1" x14ac:dyDescent="0.25">
      <c r="B120" s="12"/>
      <c r="C120" s="12"/>
      <c r="D120" s="12"/>
      <c r="E120" s="13"/>
      <c r="F120" s="13"/>
      <c r="G120" s="13"/>
      <c r="H120" s="14"/>
      <c r="J120" s="10"/>
      <c r="K120" s="10"/>
    </row>
    <row r="121" spans="2:11" ht="21.95" customHeight="1" x14ac:dyDescent="0.25">
      <c r="B121" s="12"/>
      <c r="C121" s="12"/>
      <c r="D121" s="12"/>
      <c r="E121" s="13"/>
      <c r="F121" s="13"/>
      <c r="G121" s="13"/>
      <c r="H121" s="14"/>
      <c r="J121" s="10"/>
      <c r="K121" s="10"/>
    </row>
    <row r="122" spans="2:11" ht="21.95" customHeight="1" x14ac:dyDescent="0.25">
      <c r="B122" s="12"/>
      <c r="C122" s="12"/>
      <c r="D122" s="12"/>
      <c r="E122" s="13"/>
      <c r="F122" s="13"/>
      <c r="G122" s="13"/>
      <c r="H122" s="14"/>
      <c r="J122" s="10"/>
      <c r="K122" s="10"/>
    </row>
    <row r="123" spans="2:11" ht="21.95" customHeight="1" x14ac:dyDescent="0.25">
      <c r="B123" s="12"/>
      <c r="C123" s="12"/>
      <c r="D123" s="12"/>
      <c r="E123" s="13"/>
      <c r="F123" s="13"/>
      <c r="G123" s="13"/>
      <c r="H123" s="14"/>
      <c r="J123" s="10"/>
      <c r="K123" s="10"/>
    </row>
    <row r="124" spans="2:11" ht="21.95" customHeight="1" x14ac:dyDescent="0.25">
      <c r="B124" s="12"/>
      <c r="C124" s="12"/>
      <c r="D124" s="12"/>
      <c r="E124" s="13"/>
      <c r="F124" s="13"/>
      <c r="G124" s="13"/>
      <c r="H124" s="14"/>
      <c r="J124" s="10"/>
      <c r="K124" s="10"/>
    </row>
    <row r="125" spans="2:11" ht="21.95" customHeight="1" x14ac:dyDescent="0.25">
      <c r="B125" s="10"/>
      <c r="C125" s="10"/>
      <c r="D125" s="10"/>
      <c r="E125" s="10"/>
      <c r="F125" s="10"/>
      <c r="G125" s="10"/>
      <c r="H125" s="10"/>
      <c r="J125" s="10"/>
      <c r="K125" s="10"/>
    </row>
    <row r="126" spans="2:11" ht="21.95" customHeight="1" x14ac:dyDescent="0.25">
      <c r="B126" s="10"/>
      <c r="C126" s="10"/>
      <c r="D126" s="10"/>
      <c r="E126" s="10"/>
      <c r="F126" s="10"/>
      <c r="G126" s="10"/>
      <c r="H126" s="10"/>
      <c r="J126" s="10"/>
      <c r="K126" s="10"/>
    </row>
    <row r="127" spans="2:11" ht="21.95" customHeight="1" x14ac:dyDescent="0.25">
      <c r="B127" s="10"/>
      <c r="C127" s="10"/>
      <c r="D127" s="10"/>
      <c r="E127" s="10"/>
      <c r="F127" s="10"/>
      <c r="G127" s="10"/>
      <c r="H127" s="10"/>
      <c r="J127" s="10"/>
      <c r="K127" s="10"/>
    </row>
    <row r="128" spans="2:11" ht="21.95" customHeight="1" x14ac:dyDescent="0.25">
      <c r="B128" s="10"/>
      <c r="C128" s="10"/>
      <c r="D128" s="10"/>
      <c r="E128" s="10"/>
      <c r="F128" s="10"/>
      <c r="G128" s="10"/>
      <c r="H128" s="10"/>
      <c r="J128" s="10"/>
      <c r="K128" s="10"/>
    </row>
    <row r="129" spans="2:11" ht="21.95" customHeight="1" x14ac:dyDescent="0.25">
      <c r="B129" s="10"/>
      <c r="C129" s="10"/>
      <c r="D129" s="10"/>
      <c r="E129" s="10"/>
      <c r="F129" s="10"/>
      <c r="G129" s="10"/>
      <c r="H129" s="10"/>
      <c r="J129" s="10"/>
      <c r="K129" s="10"/>
    </row>
    <row r="130" spans="2:11" ht="21.95" customHeight="1" x14ac:dyDescent="0.25">
      <c r="B130" s="10"/>
      <c r="C130" s="10"/>
      <c r="D130" s="10"/>
      <c r="E130" s="10"/>
      <c r="F130" s="10"/>
      <c r="G130" s="10"/>
      <c r="H130" s="10"/>
      <c r="J130" s="10"/>
      <c r="K130" s="10"/>
    </row>
    <row r="131" spans="2:11" ht="21.95" customHeight="1" x14ac:dyDescent="0.25">
      <c r="B131" s="10"/>
      <c r="C131" s="10"/>
      <c r="D131" s="10"/>
      <c r="E131" s="10"/>
      <c r="F131" s="10"/>
      <c r="G131" s="10"/>
      <c r="H131" s="10"/>
      <c r="J131" s="10"/>
      <c r="K131" s="10"/>
    </row>
    <row r="132" spans="2:11" ht="21.95" customHeight="1" x14ac:dyDescent="0.25">
      <c r="B132" s="10"/>
      <c r="C132" s="10"/>
      <c r="D132" s="10"/>
      <c r="E132" s="10"/>
      <c r="F132" s="10"/>
      <c r="G132" s="10"/>
      <c r="H132" s="10"/>
      <c r="J132" s="10"/>
      <c r="K132" s="10"/>
    </row>
    <row r="133" spans="2:11" ht="21.95" customHeight="1" x14ac:dyDescent="0.25">
      <c r="B133" s="10"/>
      <c r="C133" s="10"/>
      <c r="D133" s="10"/>
      <c r="E133" s="10"/>
      <c r="F133" s="10"/>
      <c r="G133" s="10"/>
      <c r="H133" s="10"/>
      <c r="J133" s="10"/>
      <c r="K133" s="10"/>
    </row>
    <row r="134" spans="2:11" ht="21.95" customHeight="1" x14ac:dyDescent="0.25">
      <c r="B134" s="10"/>
      <c r="C134" s="10"/>
      <c r="D134" s="10"/>
      <c r="E134" s="10"/>
      <c r="F134" s="10"/>
      <c r="G134" s="10"/>
      <c r="H134" s="10"/>
      <c r="J134" s="10"/>
      <c r="K134" s="10"/>
    </row>
    <row r="135" spans="2:11" ht="21.95" customHeight="1" x14ac:dyDescent="0.25">
      <c r="B135" s="10"/>
      <c r="C135" s="10"/>
      <c r="D135" s="10"/>
      <c r="E135" s="10"/>
      <c r="F135" s="10"/>
      <c r="G135" s="10"/>
      <c r="H135" s="10"/>
      <c r="J135" s="10"/>
      <c r="K135" s="10"/>
    </row>
    <row r="136" spans="2:11" ht="21.95" customHeight="1" x14ac:dyDescent="0.25">
      <c r="B136" s="10"/>
      <c r="C136" s="10"/>
      <c r="D136" s="10"/>
      <c r="E136" s="10"/>
      <c r="F136" s="10"/>
      <c r="G136" s="10"/>
      <c r="H136" s="10"/>
      <c r="J136" s="10"/>
      <c r="K136" s="10"/>
    </row>
    <row r="137" spans="2:11" ht="21.95" customHeight="1" x14ac:dyDescent="0.25">
      <c r="B137" s="10"/>
      <c r="C137" s="10"/>
      <c r="D137" s="10"/>
      <c r="E137" s="10"/>
      <c r="F137" s="10"/>
      <c r="G137" s="10"/>
      <c r="H137" s="10"/>
      <c r="J137" s="10"/>
      <c r="K137" s="10"/>
    </row>
    <row r="138" spans="2:11" ht="21.95" customHeight="1" x14ac:dyDescent="0.25">
      <c r="B138" s="10"/>
      <c r="C138" s="10"/>
      <c r="D138" s="10"/>
      <c r="E138" s="10"/>
      <c r="F138" s="10"/>
      <c r="G138" s="10"/>
      <c r="H138" s="10"/>
      <c r="J138" s="10"/>
      <c r="K138" s="10"/>
    </row>
    <row r="139" spans="2:11" ht="21.95" customHeight="1" x14ac:dyDescent="0.25">
      <c r="B139" s="10"/>
      <c r="C139" s="10"/>
      <c r="D139" s="10"/>
      <c r="E139" s="10"/>
      <c r="F139" s="10"/>
      <c r="G139" s="10"/>
      <c r="H139" s="10"/>
      <c r="J139" s="10"/>
      <c r="K139" s="10"/>
    </row>
    <row r="140" spans="2:11" ht="21.95" customHeight="1" x14ac:dyDescent="0.25">
      <c r="B140" s="10"/>
      <c r="C140" s="10"/>
      <c r="D140" s="10"/>
      <c r="E140" s="10"/>
      <c r="F140" s="10"/>
      <c r="G140" s="10"/>
      <c r="H140" s="10"/>
      <c r="J140" s="10"/>
      <c r="K140" s="10"/>
    </row>
    <row r="141" spans="2:11" ht="21.95" customHeight="1" x14ac:dyDescent="0.25">
      <c r="B141" s="10"/>
      <c r="C141" s="10"/>
      <c r="D141" s="10"/>
      <c r="E141" s="10"/>
      <c r="F141" s="10"/>
      <c r="G141" s="10"/>
      <c r="H141" s="10"/>
      <c r="J141" s="10"/>
      <c r="K141" s="10"/>
    </row>
    <row r="142" spans="2:11" ht="21.95" customHeight="1" x14ac:dyDescent="0.25">
      <c r="B142" s="10"/>
      <c r="C142" s="10"/>
      <c r="D142" s="10"/>
      <c r="E142" s="10"/>
      <c r="F142" s="10"/>
      <c r="G142" s="10"/>
      <c r="H142" s="10"/>
      <c r="J142" s="10"/>
      <c r="K142" s="10"/>
    </row>
    <row r="143" spans="2:11" ht="21.95" customHeight="1" x14ac:dyDescent="0.25">
      <c r="B143" s="10"/>
      <c r="C143" s="10"/>
      <c r="D143" s="10"/>
      <c r="E143" s="10"/>
      <c r="F143" s="10"/>
      <c r="G143" s="10"/>
      <c r="H143" s="10"/>
      <c r="J143" s="10"/>
      <c r="K143" s="10"/>
    </row>
    <row r="144" spans="2:11" ht="21.95" customHeight="1" x14ac:dyDescent="0.25">
      <c r="B144" s="10"/>
      <c r="C144" s="10"/>
      <c r="D144" s="10"/>
      <c r="E144" s="10"/>
      <c r="F144" s="10"/>
      <c r="G144" s="10"/>
      <c r="H144" s="10"/>
      <c r="J144" s="10"/>
      <c r="K144" s="10"/>
    </row>
    <row r="145" spans="2:11" ht="21.95" customHeight="1" x14ac:dyDescent="0.25">
      <c r="B145" s="10"/>
      <c r="C145" s="10"/>
      <c r="D145" s="10"/>
      <c r="E145" s="10"/>
      <c r="F145" s="10"/>
      <c r="G145" s="10"/>
      <c r="H145" s="10"/>
      <c r="J145" s="10"/>
      <c r="K145" s="10"/>
    </row>
    <row r="146" spans="2:11" ht="21.95" customHeight="1" x14ac:dyDescent="0.25">
      <c r="B146" s="10"/>
      <c r="C146" s="10"/>
      <c r="D146" s="10"/>
      <c r="E146" s="10"/>
      <c r="F146" s="10"/>
      <c r="G146" s="10"/>
      <c r="H146" s="10"/>
      <c r="J146" s="10"/>
      <c r="K146" s="10"/>
    </row>
    <row r="147" spans="2:11" ht="21.95" customHeight="1" x14ac:dyDescent="0.25">
      <c r="B147" s="10"/>
      <c r="C147" s="10"/>
      <c r="D147" s="10"/>
      <c r="E147" s="10"/>
      <c r="F147" s="10"/>
      <c r="G147" s="10"/>
      <c r="H147" s="10"/>
      <c r="J147" s="10"/>
      <c r="K147" s="10"/>
    </row>
    <row r="148" spans="2:11" ht="21.95" customHeight="1" x14ac:dyDescent="0.25">
      <c r="B148" s="10"/>
      <c r="C148" s="10"/>
      <c r="D148" s="10"/>
      <c r="E148" s="10"/>
      <c r="F148" s="10"/>
      <c r="G148" s="10"/>
      <c r="H148" s="10"/>
      <c r="J148" s="10"/>
      <c r="K148" s="10"/>
    </row>
    <row r="149" spans="2:11" ht="21.95" customHeight="1" x14ac:dyDescent="0.25">
      <c r="B149" s="10"/>
      <c r="C149" s="10"/>
      <c r="D149" s="10"/>
      <c r="E149" s="10"/>
      <c r="F149" s="10"/>
      <c r="G149" s="10"/>
      <c r="H149" s="10"/>
      <c r="J149" s="10"/>
      <c r="K149" s="10"/>
    </row>
    <row r="150" spans="2:11" ht="21.95" customHeight="1" x14ac:dyDescent="0.25">
      <c r="B150" s="10"/>
      <c r="C150" s="10"/>
      <c r="D150" s="10"/>
      <c r="E150" s="10"/>
      <c r="F150" s="10"/>
      <c r="G150" s="10"/>
      <c r="H150" s="10"/>
      <c r="J150" s="10"/>
      <c r="K150" s="10"/>
    </row>
    <row r="151" spans="2:11" ht="21.95" customHeight="1" x14ac:dyDescent="0.25">
      <c r="B151" s="10"/>
      <c r="C151" s="10"/>
      <c r="D151" s="10"/>
      <c r="E151" s="10"/>
      <c r="F151" s="10"/>
      <c r="G151" s="10"/>
      <c r="H151" s="10"/>
      <c r="J151" s="10"/>
      <c r="K151" s="10"/>
    </row>
    <row r="152" spans="2:11" ht="21.95" customHeight="1" x14ac:dyDescent="0.25">
      <c r="B152" s="10"/>
      <c r="C152" s="10"/>
      <c r="D152" s="10"/>
      <c r="E152" s="10"/>
      <c r="F152" s="10"/>
      <c r="G152" s="10"/>
      <c r="H152" s="10"/>
      <c r="J152" s="10"/>
      <c r="K152" s="10"/>
    </row>
    <row r="153" spans="2:11" ht="21.95" customHeight="1" x14ac:dyDescent="0.25">
      <c r="B153" s="10"/>
      <c r="C153" s="10"/>
      <c r="D153" s="10"/>
      <c r="E153" s="10"/>
      <c r="F153" s="10"/>
      <c r="G153" s="10"/>
      <c r="H153" s="10"/>
      <c r="J153" s="10"/>
      <c r="K153" s="10"/>
    </row>
    <row r="154" spans="2:11" ht="21.95" customHeight="1" x14ac:dyDescent="0.25">
      <c r="B154" s="10"/>
      <c r="C154" s="10"/>
      <c r="D154" s="10"/>
      <c r="E154" s="10"/>
      <c r="F154" s="10"/>
      <c r="G154" s="10"/>
      <c r="H154" s="10"/>
      <c r="J154" s="10"/>
      <c r="K154" s="10"/>
    </row>
    <row r="155" spans="2:11" ht="21.95" customHeight="1" x14ac:dyDescent="0.25">
      <c r="B155" s="10"/>
      <c r="C155" s="10"/>
      <c r="D155" s="10"/>
      <c r="E155" s="10"/>
      <c r="F155" s="10"/>
      <c r="G155" s="10"/>
      <c r="H155" s="10"/>
      <c r="J155" s="10"/>
      <c r="K155" s="10"/>
    </row>
    <row r="156" spans="2:11" ht="21.95" customHeight="1" x14ac:dyDescent="0.25">
      <c r="B156" s="10"/>
      <c r="C156" s="10"/>
      <c r="D156" s="10"/>
      <c r="E156" s="10"/>
      <c r="F156" s="10"/>
      <c r="G156" s="10"/>
      <c r="H156" s="10"/>
      <c r="J156" s="10"/>
      <c r="K156" s="10"/>
    </row>
    <row r="157" spans="2:11" ht="21.95" customHeight="1" x14ac:dyDescent="0.25">
      <c r="B157" s="10"/>
      <c r="C157" s="10"/>
      <c r="D157" s="10"/>
      <c r="E157" s="10"/>
      <c r="F157" s="10"/>
      <c r="G157" s="10"/>
      <c r="H157" s="10"/>
      <c r="J157" s="10"/>
      <c r="K157" s="10"/>
    </row>
    <row r="158" spans="2:11" ht="21.95" customHeight="1" x14ac:dyDescent="0.25">
      <c r="B158" s="10"/>
      <c r="C158" s="10"/>
      <c r="D158" s="10"/>
      <c r="E158" s="10"/>
      <c r="F158" s="10"/>
      <c r="G158" s="10"/>
      <c r="H158" s="10"/>
      <c r="J158" s="10"/>
      <c r="K158" s="10"/>
    </row>
    <row r="159" spans="2:11" ht="21.95" customHeight="1" x14ac:dyDescent="0.25">
      <c r="B159" s="10"/>
      <c r="C159" s="10"/>
      <c r="D159" s="10"/>
      <c r="E159" s="10"/>
      <c r="F159" s="10"/>
      <c r="G159" s="10"/>
      <c r="H159" s="10"/>
      <c r="J159" s="10"/>
      <c r="K159" s="10"/>
    </row>
    <row r="160" spans="2:11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</sheetData>
  <mergeCells count="3">
    <mergeCell ref="J5:K9"/>
    <mergeCell ref="B1:H1"/>
    <mergeCell ref="B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287A5"/>
  </sheetPr>
  <dimension ref="A1:Z541"/>
  <sheetViews>
    <sheetView workbookViewId="0">
      <selection activeCell="F5" sqref="F5:F504"/>
    </sheetView>
  </sheetViews>
  <sheetFormatPr baseColWidth="10" defaultColWidth="9.140625" defaultRowHeight="15" x14ac:dyDescent="0.25"/>
  <cols>
    <col min="1" max="2" width="9.140625" style="10"/>
    <col min="3" max="3" width="24" customWidth="1"/>
    <col min="4" max="4" width="31" customWidth="1"/>
    <col min="5" max="5" width="36" customWidth="1"/>
    <col min="6" max="6" width="14" customWidth="1"/>
    <col min="7" max="7" width="18" customWidth="1"/>
    <col min="8" max="8" width="23.5703125" customWidth="1"/>
    <col min="9" max="9" width="4.28515625" style="26" customWidth="1"/>
    <col min="10" max="10" width="10.5703125" customWidth="1"/>
    <col min="11" max="11" width="11.85546875" customWidth="1"/>
    <col min="12" max="12" width="8.28515625" customWidth="1"/>
    <col min="13" max="13" width="5.7109375" style="26" customWidth="1"/>
    <col min="14" max="14" width="5.28515625" style="26" customWidth="1"/>
    <col min="15" max="15" width="8.5703125" style="26" customWidth="1"/>
    <col min="16" max="20" width="9.140625" style="10"/>
    <col min="21" max="26" width="9.140625" style="24"/>
  </cols>
  <sheetData>
    <row r="1" spans="3:26" ht="21.95" customHeight="1" x14ac:dyDescent="0.25">
      <c r="C1" s="30" t="s">
        <v>67</v>
      </c>
      <c r="D1" s="34"/>
      <c r="E1" s="34"/>
      <c r="F1" s="34"/>
      <c r="G1" s="34"/>
      <c r="H1" s="34"/>
      <c r="I1" s="25"/>
      <c r="J1" s="10"/>
      <c r="K1" s="23"/>
      <c r="L1" s="23"/>
      <c r="M1" s="25"/>
      <c r="N1" s="25"/>
      <c r="O1" s="25"/>
    </row>
    <row r="2" spans="3:26" ht="21.95" customHeight="1" x14ac:dyDescent="0.25">
      <c r="C2" s="31" t="s">
        <v>68</v>
      </c>
      <c r="D2" s="34"/>
      <c r="E2" s="34"/>
      <c r="F2" s="34"/>
      <c r="G2" s="34"/>
      <c r="H2" s="34"/>
      <c r="J2" s="10"/>
      <c r="K2" s="10"/>
      <c r="L2" s="10"/>
    </row>
    <row r="3" spans="3:26" s="10" customFormat="1" ht="13.5" customHeight="1" x14ac:dyDescent="0.25">
      <c r="I3" s="26"/>
      <c r="M3" s="26"/>
      <c r="N3" s="26"/>
      <c r="O3" s="26"/>
      <c r="U3" s="24"/>
      <c r="V3" s="24"/>
      <c r="W3" s="24"/>
      <c r="X3" s="24"/>
      <c r="Y3" s="24"/>
      <c r="Z3" s="24"/>
    </row>
    <row r="4" spans="3:26" ht="21.95" customHeight="1" x14ac:dyDescent="0.25">
      <c r="C4" s="1" t="s">
        <v>50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26" t="s">
        <v>120</v>
      </c>
      <c r="J4" s="10"/>
      <c r="K4" s="26" t="s">
        <v>121</v>
      </c>
      <c r="L4" s="26" t="s">
        <v>69</v>
      </c>
      <c r="M4" s="26" t="s">
        <v>70</v>
      </c>
      <c r="N4" s="26" t="s">
        <v>71</v>
      </c>
      <c r="O4" s="26" t="s">
        <v>73</v>
      </c>
    </row>
    <row r="5" spans="3:26" ht="21.95" customHeight="1" x14ac:dyDescent="0.25">
      <c r="C5" s="12" t="s">
        <v>31</v>
      </c>
      <c r="D5" s="12" t="s">
        <v>35</v>
      </c>
      <c r="E5" s="12" t="s">
        <v>74</v>
      </c>
      <c r="F5" s="61">
        <v>1</v>
      </c>
      <c r="G5" s="16">
        <v>6000</v>
      </c>
      <c r="H5" s="17">
        <f t="shared" ref="H5:H68" si="0">IF(OR(C5="",F5="",G5=""),"",F5*G5)</f>
        <v>6000</v>
      </c>
      <c r="I5" s="26" t="str">
        <f>IF(C5="","",C5&amp;"|"&amp;COUNTIF($C$5:C5,C5))</f>
        <v>Camisa|1</v>
      </c>
      <c r="J5" s="51" t="s">
        <v>75</v>
      </c>
      <c r="K5" s="51" t="str">
        <f>IF($C5="","",$C5&amp;"|"&amp;COUNTIF($C$5:C5,$C5))</f>
        <v>Camisa|1</v>
      </c>
      <c r="L5" s="51" t="str">
        <f t="shared" ref="L5:L68" si="1">IF($C5="","",$D5)</f>
        <v>Materia prima</v>
      </c>
      <c r="M5" s="26" t="str">
        <f t="shared" ref="M5:M68" si="2">IF($C5="","",$E5)</f>
        <v>Tela</v>
      </c>
      <c r="N5" s="26">
        <f t="shared" ref="N5:N68" si="3">IF($C5="","",$F5)</f>
        <v>1</v>
      </c>
      <c r="O5" s="26">
        <f t="shared" ref="O5:O68" si="4">IF($C5="","",$H5)</f>
        <v>6000</v>
      </c>
    </row>
    <row r="6" spans="3:26" ht="21.95" customHeight="1" x14ac:dyDescent="0.25">
      <c r="C6" s="12" t="s">
        <v>31</v>
      </c>
      <c r="D6" s="12" t="s">
        <v>35</v>
      </c>
      <c r="E6" s="12" t="s">
        <v>76</v>
      </c>
      <c r="F6" s="61">
        <v>1</v>
      </c>
      <c r="G6" s="16">
        <v>3100</v>
      </c>
      <c r="H6" s="17">
        <f t="shared" si="0"/>
        <v>3100</v>
      </c>
      <c r="I6" s="26" t="str">
        <f>IF(C6="","",C6&amp;"|"&amp;COUNTIF($C$5:C6,C6))</f>
        <v>Camisa|2</v>
      </c>
      <c r="J6" s="51"/>
      <c r="K6" s="51" t="str">
        <f>IF($C6="","",$C6&amp;"|"&amp;COUNTIF($C$5:C6,$C6))</f>
        <v>Camisa|2</v>
      </c>
      <c r="L6" s="51" t="str">
        <f t="shared" si="1"/>
        <v>Materia prima</v>
      </c>
      <c r="M6" s="26" t="str">
        <f t="shared" si="2"/>
        <v>Hilo de coser</v>
      </c>
      <c r="N6" s="26">
        <f t="shared" si="3"/>
        <v>1</v>
      </c>
      <c r="O6" s="26">
        <f t="shared" si="4"/>
        <v>3100</v>
      </c>
    </row>
    <row r="7" spans="3:26" ht="21.95" customHeight="1" x14ac:dyDescent="0.25">
      <c r="C7" s="12" t="s">
        <v>31</v>
      </c>
      <c r="D7" s="12" t="s">
        <v>77</v>
      </c>
      <c r="E7" s="12" t="s">
        <v>78</v>
      </c>
      <c r="F7" s="61">
        <v>1</v>
      </c>
      <c r="G7" s="16">
        <v>400</v>
      </c>
      <c r="H7" s="17">
        <f t="shared" si="0"/>
        <v>400</v>
      </c>
      <c r="I7" s="26" t="str">
        <f>IF(C7="","",C7&amp;"|"&amp;COUNTIF($C$5:C7,C7))</f>
        <v>Camisa|3</v>
      </c>
      <c r="J7" s="51"/>
      <c r="K7" s="51" t="str">
        <f>IF($C7="","",$C7&amp;"|"&amp;COUNTIF($C$5:C7,$C7))</f>
        <v>Camisa|3</v>
      </c>
      <c r="L7" s="51" t="str">
        <f t="shared" si="1"/>
        <v>Gasto publicidad</v>
      </c>
      <c r="M7" s="26" t="str">
        <f t="shared" si="2"/>
        <v>Botones</v>
      </c>
      <c r="N7" s="26">
        <f t="shared" si="3"/>
        <v>1</v>
      </c>
      <c r="O7" s="26">
        <f t="shared" si="4"/>
        <v>400</v>
      </c>
    </row>
    <row r="8" spans="3:26" ht="21.95" customHeight="1" x14ac:dyDescent="0.25">
      <c r="C8" s="12" t="s">
        <v>31</v>
      </c>
      <c r="D8" s="12" t="s">
        <v>37</v>
      </c>
      <c r="E8" s="12" t="s">
        <v>79</v>
      </c>
      <c r="F8" s="61">
        <v>1</v>
      </c>
      <c r="G8" s="16">
        <v>4500</v>
      </c>
      <c r="H8" s="17">
        <f t="shared" si="0"/>
        <v>4500</v>
      </c>
      <c r="I8" s="26" t="str">
        <f>IF(C8="","",C8&amp;"|"&amp;COUNTIF($C$5:C8,C8))</f>
        <v>Camisa|4</v>
      </c>
      <c r="J8" s="51"/>
      <c r="K8" s="51" t="str">
        <f>IF($C8="","",$C8&amp;"|"&amp;COUNTIF($C$5:C8,$C8))</f>
        <v>Camisa|4</v>
      </c>
      <c r="L8" s="51" t="str">
        <f t="shared" si="1"/>
        <v>Mano de obra</v>
      </c>
      <c r="M8" s="26" t="str">
        <f t="shared" si="2"/>
        <v>Salarios operativos</v>
      </c>
      <c r="N8" s="26">
        <f t="shared" si="3"/>
        <v>1</v>
      </c>
      <c r="O8" s="26">
        <f t="shared" si="4"/>
        <v>4500</v>
      </c>
    </row>
    <row r="9" spans="3:26" ht="21.95" customHeight="1" x14ac:dyDescent="0.25">
      <c r="C9" s="12" t="s">
        <v>31</v>
      </c>
      <c r="D9" s="12" t="s">
        <v>80</v>
      </c>
      <c r="E9" s="12" t="s">
        <v>81</v>
      </c>
      <c r="F9" s="61">
        <v>1</v>
      </c>
      <c r="G9" s="16">
        <v>50</v>
      </c>
      <c r="H9" s="17">
        <f t="shared" si="0"/>
        <v>50</v>
      </c>
      <c r="I9" s="26" t="str">
        <f>IF(C9="","",C9&amp;"|"&amp;COUNTIF($C$5:C9,C9))</f>
        <v>Camisa|5</v>
      </c>
      <c r="J9" s="51"/>
      <c r="K9" s="51" t="str">
        <f>IF($C9="","",$C9&amp;"|"&amp;COUNTIF($C$5:C9,$C9))</f>
        <v>Camisa|5</v>
      </c>
      <c r="L9" s="51" t="str">
        <f t="shared" si="1"/>
        <v>Costo indirecto fabricación</v>
      </c>
      <c r="M9" s="26" t="str">
        <f t="shared" si="2"/>
        <v>Depreciación equipos operativos</v>
      </c>
      <c r="N9" s="26">
        <f t="shared" si="3"/>
        <v>1</v>
      </c>
      <c r="O9" s="26">
        <f t="shared" si="4"/>
        <v>50</v>
      </c>
    </row>
    <row r="10" spans="3:26" ht="21.95" customHeight="1" x14ac:dyDescent="0.25">
      <c r="C10" s="12" t="s">
        <v>31</v>
      </c>
      <c r="D10" s="12" t="s">
        <v>82</v>
      </c>
      <c r="E10" s="12" t="s">
        <v>83</v>
      </c>
      <c r="F10" s="61">
        <v>1</v>
      </c>
      <c r="G10" s="16">
        <v>40</v>
      </c>
      <c r="H10" s="17">
        <f t="shared" si="0"/>
        <v>40</v>
      </c>
      <c r="I10" s="26" t="str">
        <f>IF(C10="","",C10&amp;"|"&amp;COUNTIF($C$5:C10,C10))</f>
        <v>Camisa|6</v>
      </c>
      <c r="J10" s="51"/>
      <c r="K10" s="51" t="str">
        <f>IF($C10="","",$C10&amp;"|"&amp;COUNTIF($C$5:C10,$C10))</f>
        <v>Camisa|6</v>
      </c>
      <c r="L10" s="51" t="str">
        <f t="shared" si="1"/>
        <v>Otro gasto</v>
      </c>
      <c r="M10" s="26" t="str">
        <f t="shared" si="2"/>
        <v>Etiquetas</v>
      </c>
      <c r="N10" s="26">
        <f t="shared" si="3"/>
        <v>1</v>
      </c>
      <c r="O10" s="26">
        <f t="shared" si="4"/>
        <v>40</v>
      </c>
    </row>
    <row r="11" spans="3:26" ht="21.95" customHeight="1" x14ac:dyDescent="0.25">
      <c r="C11" s="12"/>
      <c r="D11" s="12"/>
      <c r="E11" s="12"/>
      <c r="F11" s="61"/>
      <c r="G11" s="16"/>
      <c r="H11" s="17" t="str">
        <f t="shared" si="0"/>
        <v/>
      </c>
      <c r="I11" s="26" t="str">
        <f>IF(C11="","",C11&amp;"|"&amp;COUNTIF($C$5:C11,C11))</f>
        <v/>
      </c>
      <c r="J11" s="51"/>
      <c r="K11" s="51" t="str">
        <f>IF($C11="","",$C11&amp;"|"&amp;COUNTIF($C$5:C11,$C11))</f>
        <v/>
      </c>
      <c r="L11" s="51" t="str">
        <f t="shared" si="1"/>
        <v/>
      </c>
      <c r="M11" s="26" t="str">
        <f t="shared" si="2"/>
        <v/>
      </c>
      <c r="N11" s="26" t="str">
        <f t="shared" si="3"/>
        <v/>
      </c>
      <c r="O11" s="26" t="str">
        <f t="shared" si="4"/>
        <v/>
      </c>
    </row>
    <row r="12" spans="3:26" ht="21.95" customHeight="1" x14ac:dyDescent="0.25">
      <c r="C12" s="12"/>
      <c r="D12" s="12"/>
      <c r="E12" s="12"/>
      <c r="F12" s="61"/>
      <c r="G12" s="16"/>
      <c r="H12" s="17" t="str">
        <f t="shared" si="0"/>
        <v/>
      </c>
      <c r="I12" s="26" t="str">
        <f>IF(C12="","",C12&amp;"|"&amp;COUNTIF($C$5:C12,C12))</f>
        <v/>
      </c>
      <c r="J12" s="51"/>
      <c r="K12" s="51" t="str">
        <f>IF($C12="","",$C12&amp;"|"&amp;COUNTIF($C$5:C12,$C12))</f>
        <v/>
      </c>
      <c r="L12" s="51" t="str">
        <f t="shared" si="1"/>
        <v/>
      </c>
      <c r="M12" s="26" t="str">
        <f t="shared" si="2"/>
        <v/>
      </c>
      <c r="N12" s="26" t="str">
        <f t="shared" si="3"/>
        <v/>
      </c>
      <c r="O12" s="26" t="str">
        <f t="shared" si="4"/>
        <v/>
      </c>
    </row>
    <row r="13" spans="3:26" ht="21.95" customHeight="1" x14ac:dyDescent="0.25">
      <c r="C13" s="12"/>
      <c r="D13" s="12"/>
      <c r="E13" s="12"/>
      <c r="F13" s="61"/>
      <c r="G13" s="16"/>
      <c r="H13" s="17" t="str">
        <f t="shared" si="0"/>
        <v/>
      </c>
      <c r="I13" s="26" t="str">
        <f>IF(C13="","",C13&amp;"|"&amp;COUNTIF($C$5:C13,C13))</f>
        <v/>
      </c>
      <c r="J13" s="51"/>
      <c r="K13" s="51" t="str">
        <f>IF($C13="","",$C13&amp;"|"&amp;COUNTIF($C$5:C13,$C13))</f>
        <v/>
      </c>
      <c r="L13" s="51" t="str">
        <f t="shared" si="1"/>
        <v/>
      </c>
      <c r="M13" s="26" t="str">
        <f t="shared" si="2"/>
        <v/>
      </c>
      <c r="N13" s="26" t="str">
        <f t="shared" si="3"/>
        <v/>
      </c>
      <c r="O13" s="26" t="str">
        <f t="shared" si="4"/>
        <v/>
      </c>
    </row>
    <row r="14" spans="3:26" ht="21.95" customHeight="1" x14ac:dyDescent="0.25">
      <c r="C14" s="12"/>
      <c r="D14" s="12"/>
      <c r="E14" s="12"/>
      <c r="F14" s="61"/>
      <c r="G14" s="16"/>
      <c r="H14" s="17" t="str">
        <f t="shared" si="0"/>
        <v/>
      </c>
      <c r="I14" s="26" t="str">
        <f>IF(C14="","",C14&amp;"|"&amp;COUNTIF($C$5:C14,C14))</f>
        <v/>
      </c>
      <c r="J14" s="51"/>
      <c r="K14" s="51" t="str">
        <f>IF($C14="","",$C14&amp;"|"&amp;COUNTIF($C$5:C14,$C14))</f>
        <v/>
      </c>
      <c r="L14" s="51" t="str">
        <f t="shared" si="1"/>
        <v/>
      </c>
      <c r="M14" s="26" t="str">
        <f t="shared" si="2"/>
        <v/>
      </c>
      <c r="N14" s="26" t="str">
        <f t="shared" si="3"/>
        <v/>
      </c>
      <c r="O14" s="26" t="str">
        <f t="shared" si="4"/>
        <v/>
      </c>
    </row>
    <row r="15" spans="3:26" ht="21.95" customHeight="1" x14ac:dyDescent="0.25">
      <c r="C15" s="12"/>
      <c r="D15" s="12"/>
      <c r="E15" s="12"/>
      <c r="F15" s="61"/>
      <c r="G15" s="16"/>
      <c r="H15" s="17" t="str">
        <f t="shared" si="0"/>
        <v/>
      </c>
      <c r="I15" s="26" t="str">
        <f>IF(C15="","",C15&amp;"|"&amp;COUNTIF($C$5:C15,C15))</f>
        <v/>
      </c>
      <c r="J15" s="10"/>
      <c r="K15" s="10" t="str">
        <f>IF($C15="","",$C15&amp;"|"&amp;COUNTIF($C$5:C15,$C15))</f>
        <v/>
      </c>
      <c r="L15" s="10" t="str">
        <f t="shared" si="1"/>
        <v/>
      </c>
      <c r="M15" s="26" t="str">
        <f t="shared" si="2"/>
        <v/>
      </c>
      <c r="N15" s="26" t="str">
        <f t="shared" si="3"/>
        <v/>
      </c>
      <c r="O15" s="26" t="str">
        <f t="shared" si="4"/>
        <v/>
      </c>
    </row>
    <row r="16" spans="3:26" ht="21.95" customHeight="1" x14ac:dyDescent="0.25">
      <c r="C16" s="12"/>
      <c r="D16" s="12"/>
      <c r="E16" s="12"/>
      <c r="F16" s="61"/>
      <c r="G16" s="16"/>
      <c r="H16" s="17" t="str">
        <f t="shared" si="0"/>
        <v/>
      </c>
      <c r="I16" s="26" t="str">
        <f>IF(C16="","",C16&amp;"|"&amp;COUNTIF($C$5:C16,C16))</f>
        <v/>
      </c>
      <c r="J16" s="10"/>
      <c r="K16" s="10" t="str">
        <f>IF($C16="","",$C16&amp;"|"&amp;COUNTIF($C$5:C16,$C16))</f>
        <v/>
      </c>
      <c r="L16" s="10" t="str">
        <f t="shared" si="1"/>
        <v/>
      </c>
      <c r="M16" s="26" t="str">
        <f t="shared" si="2"/>
        <v/>
      </c>
      <c r="N16" s="26" t="str">
        <f t="shared" si="3"/>
        <v/>
      </c>
      <c r="O16" s="26" t="str">
        <f t="shared" si="4"/>
        <v/>
      </c>
    </row>
    <row r="17" spans="3:15" ht="21.95" customHeight="1" x14ac:dyDescent="0.25">
      <c r="C17" s="12"/>
      <c r="D17" s="12"/>
      <c r="E17" s="12"/>
      <c r="F17" s="61"/>
      <c r="G17" s="16"/>
      <c r="H17" s="17" t="str">
        <f t="shared" si="0"/>
        <v/>
      </c>
      <c r="I17" s="26" t="str">
        <f>IF(C17="","",C17&amp;"|"&amp;COUNTIF($C$5:C17,C17))</f>
        <v/>
      </c>
      <c r="J17" s="10"/>
      <c r="K17" s="10" t="str">
        <f>IF($C17="","",$C17&amp;"|"&amp;COUNTIF($C$5:C17,$C17))</f>
        <v/>
      </c>
      <c r="L17" s="10" t="str">
        <f t="shared" si="1"/>
        <v/>
      </c>
      <c r="M17" s="26" t="str">
        <f t="shared" si="2"/>
        <v/>
      </c>
      <c r="N17" s="26" t="str">
        <f t="shared" si="3"/>
        <v/>
      </c>
      <c r="O17" s="26" t="str">
        <f t="shared" si="4"/>
        <v/>
      </c>
    </row>
    <row r="18" spans="3:15" ht="21.95" customHeight="1" x14ac:dyDescent="0.25">
      <c r="C18" s="12"/>
      <c r="D18" s="12"/>
      <c r="E18" s="12"/>
      <c r="F18" s="61"/>
      <c r="G18" s="16"/>
      <c r="H18" s="17" t="str">
        <f t="shared" si="0"/>
        <v/>
      </c>
      <c r="I18" s="26" t="str">
        <f>IF(C18="","",C18&amp;"|"&amp;COUNTIF($C$5:C18,C18))</f>
        <v/>
      </c>
      <c r="J18" s="10"/>
      <c r="K18" s="10" t="str">
        <f>IF($C18="","",$C18&amp;"|"&amp;COUNTIF($C$5:C18,$C18))</f>
        <v/>
      </c>
      <c r="L18" s="10" t="str">
        <f t="shared" si="1"/>
        <v/>
      </c>
      <c r="M18" s="26" t="str">
        <f t="shared" si="2"/>
        <v/>
      </c>
      <c r="N18" s="26" t="str">
        <f t="shared" si="3"/>
        <v/>
      </c>
      <c r="O18" s="26" t="str">
        <f t="shared" si="4"/>
        <v/>
      </c>
    </row>
    <row r="19" spans="3:15" ht="21.95" customHeight="1" x14ac:dyDescent="0.25">
      <c r="C19" s="12"/>
      <c r="D19" s="12"/>
      <c r="E19" s="12"/>
      <c r="F19" s="61"/>
      <c r="G19" s="16"/>
      <c r="H19" s="17" t="str">
        <f t="shared" si="0"/>
        <v/>
      </c>
      <c r="I19" s="26" t="str">
        <f>IF(C19="","",C19&amp;"|"&amp;COUNTIF($C$5:C19,C19))</f>
        <v/>
      </c>
      <c r="J19" s="10"/>
      <c r="K19" s="10" t="str">
        <f>IF($C19="","",$C19&amp;"|"&amp;COUNTIF($C$5:C19,$C19))</f>
        <v/>
      </c>
      <c r="L19" s="10" t="str">
        <f t="shared" si="1"/>
        <v/>
      </c>
      <c r="M19" s="26" t="str">
        <f t="shared" si="2"/>
        <v/>
      </c>
      <c r="N19" s="26" t="str">
        <f t="shared" si="3"/>
        <v/>
      </c>
      <c r="O19" s="26" t="str">
        <f t="shared" si="4"/>
        <v/>
      </c>
    </row>
    <row r="20" spans="3:15" ht="21.95" customHeight="1" x14ac:dyDescent="0.25">
      <c r="C20" s="12"/>
      <c r="D20" s="12"/>
      <c r="E20" s="12"/>
      <c r="F20" s="61"/>
      <c r="G20" s="16"/>
      <c r="H20" s="17" t="str">
        <f t="shared" si="0"/>
        <v/>
      </c>
      <c r="I20" s="26" t="str">
        <f>IF(C20="","",C20&amp;"|"&amp;COUNTIF($C$5:C20,C20))</f>
        <v/>
      </c>
      <c r="J20" s="10"/>
      <c r="K20" s="10" t="str">
        <f>IF($C20="","",$C20&amp;"|"&amp;COUNTIF($C$5:C20,$C20))</f>
        <v/>
      </c>
      <c r="L20" s="10" t="str">
        <f t="shared" si="1"/>
        <v/>
      </c>
      <c r="M20" s="26" t="str">
        <f t="shared" si="2"/>
        <v/>
      </c>
      <c r="N20" s="26" t="str">
        <f t="shared" si="3"/>
        <v/>
      </c>
      <c r="O20" s="26" t="str">
        <f t="shared" si="4"/>
        <v/>
      </c>
    </row>
    <row r="21" spans="3:15" ht="21.95" customHeight="1" x14ac:dyDescent="0.25">
      <c r="C21" s="12"/>
      <c r="D21" s="12"/>
      <c r="E21" s="12"/>
      <c r="F21" s="61"/>
      <c r="G21" s="16"/>
      <c r="H21" s="17" t="str">
        <f t="shared" si="0"/>
        <v/>
      </c>
      <c r="I21" s="26" t="str">
        <f>IF(C21="","",C21&amp;"|"&amp;COUNTIF($C$5:C21,C21))</f>
        <v/>
      </c>
      <c r="J21" s="10"/>
      <c r="K21" s="10" t="str">
        <f>IF($C21="","",$C21&amp;"|"&amp;COUNTIF($C$5:C21,$C21))</f>
        <v/>
      </c>
      <c r="L21" s="10" t="str">
        <f t="shared" si="1"/>
        <v/>
      </c>
      <c r="M21" s="26" t="str">
        <f t="shared" si="2"/>
        <v/>
      </c>
      <c r="N21" s="26" t="str">
        <f t="shared" si="3"/>
        <v/>
      </c>
      <c r="O21" s="26" t="str">
        <f t="shared" si="4"/>
        <v/>
      </c>
    </row>
    <row r="22" spans="3:15" ht="21.95" customHeight="1" x14ac:dyDescent="0.25">
      <c r="C22" s="12"/>
      <c r="D22" s="12"/>
      <c r="E22" s="12"/>
      <c r="F22" s="61"/>
      <c r="G22" s="16"/>
      <c r="H22" s="17" t="str">
        <f t="shared" si="0"/>
        <v/>
      </c>
      <c r="I22" s="26" t="str">
        <f>IF(C22="","",C22&amp;"|"&amp;COUNTIF($C$5:C22,C22))</f>
        <v/>
      </c>
      <c r="J22" s="10"/>
      <c r="K22" s="10" t="str">
        <f>IF($C22="","",$C22&amp;"|"&amp;COUNTIF($C$5:C22,$C22))</f>
        <v/>
      </c>
      <c r="L22" s="10" t="str">
        <f t="shared" si="1"/>
        <v/>
      </c>
      <c r="M22" s="26" t="str">
        <f t="shared" si="2"/>
        <v/>
      </c>
      <c r="N22" s="26" t="str">
        <f t="shared" si="3"/>
        <v/>
      </c>
      <c r="O22" s="26" t="str">
        <f t="shared" si="4"/>
        <v/>
      </c>
    </row>
    <row r="23" spans="3:15" ht="21.95" customHeight="1" x14ac:dyDescent="0.25">
      <c r="C23" s="12"/>
      <c r="D23" s="12"/>
      <c r="E23" s="12"/>
      <c r="F23" s="61"/>
      <c r="G23" s="16"/>
      <c r="H23" s="17" t="str">
        <f t="shared" si="0"/>
        <v/>
      </c>
      <c r="I23" s="26" t="str">
        <f>IF(C23="","",C23&amp;"|"&amp;COUNTIF($C$5:C23,C23))</f>
        <v/>
      </c>
      <c r="J23" s="10"/>
      <c r="K23" s="10" t="str">
        <f>IF($C23="","",$C23&amp;"|"&amp;COUNTIF($C$5:C23,$C23))</f>
        <v/>
      </c>
      <c r="L23" s="10" t="str">
        <f t="shared" si="1"/>
        <v/>
      </c>
      <c r="M23" s="26" t="str">
        <f t="shared" si="2"/>
        <v/>
      </c>
      <c r="N23" s="26" t="str">
        <f t="shared" si="3"/>
        <v/>
      </c>
      <c r="O23" s="26" t="str">
        <f t="shared" si="4"/>
        <v/>
      </c>
    </row>
    <row r="24" spans="3:15" ht="21.95" customHeight="1" x14ac:dyDescent="0.25">
      <c r="C24" s="12"/>
      <c r="D24" s="12"/>
      <c r="E24" s="12"/>
      <c r="F24" s="61"/>
      <c r="G24" s="16"/>
      <c r="H24" s="17" t="str">
        <f t="shared" si="0"/>
        <v/>
      </c>
      <c r="I24" s="26" t="str">
        <f>IF(C24="","",C24&amp;"|"&amp;COUNTIF($C$5:C24,C24))</f>
        <v/>
      </c>
      <c r="J24" s="10"/>
      <c r="K24" s="10" t="str">
        <f>IF($C24="","",$C24&amp;"|"&amp;COUNTIF($C$5:C24,$C24))</f>
        <v/>
      </c>
      <c r="L24" s="10" t="str">
        <f t="shared" si="1"/>
        <v/>
      </c>
      <c r="M24" s="26" t="str">
        <f t="shared" si="2"/>
        <v/>
      </c>
      <c r="N24" s="26" t="str">
        <f t="shared" si="3"/>
        <v/>
      </c>
      <c r="O24" s="26" t="str">
        <f t="shared" si="4"/>
        <v/>
      </c>
    </row>
    <row r="25" spans="3:15" ht="21.95" customHeight="1" x14ac:dyDescent="0.25">
      <c r="C25" s="12"/>
      <c r="D25" s="12"/>
      <c r="E25" s="12"/>
      <c r="F25" s="61"/>
      <c r="G25" s="16"/>
      <c r="H25" s="17" t="str">
        <f t="shared" si="0"/>
        <v/>
      </c>
      <c r="I25" s="26" t="str">
        <f>IF(C25="","",C25&amp;"|"&amp;COUNTIF($C$5:C25,C25))</f>
        <v/>
      </c>
      <c r="J25" s="10"/>
      <c r="K25" s="10" t="str">
        <f>IF($C25="","",$C25&amp;"|"&amp;COUNTIF($C$5:C25,$C25))</f>
        <v/>
      </c>
      <c r="L25" s="10" t="str">
        <f t="shared" si="1"/>
        <v/>
      </c>
      <c r="M25" s="26" t="str">
        <f t="shared" si="2"/>
        <v/>
      </c>
      <c r="N25" s="26" t="str">
        <f t="shared" si="3"/>
        <v/>
      </c>
      <c r="O25" s="26" t="str">
        <f t="shared" si="4"/>
        <v/>
      </c>
    </row>
    <row r="26" spans="3:15" ht="21.95" customHeight="1" x14ac:dyDescent="0.25">
      <c r="C26" s="12"/>
      <c r="D26" s="12"/>
      <c r="E26" s="12"/>
      <c r="F26" s="61"/>
      <c r="G26" s="16"/>
      <c r="H26" s="17" t="str">
        <f t="shared" si="0"/>
        <v/>
      </c>
      <c r="I26" s="26" t="str">
        <f>IF(C26="","",C26&amp;"|"&amp;COUNTIF($C$5:C26,C26))</f>
        <v/>
      </c>
      <c r="J26" s="10"/>
      <c r="K26" s="10" t="str">
        <f>IF($C26="","",$C26&amp;"|"&amp;COUNTIF($C$5:C26,$C26))</f>
        <v/>
      </c>
      <c r="L26" s="10" t="str">
        <f t="shared" si="1"/>
        <v/>
      </c>
      <c r="M26" s="26" t="str">
        <f t="shared" si="2"/>
        <v/>
      </c>
      <c r="N26" s="26" t="str">
        <f t="shared" si="3"/>
        <v/>
      </c>
      <c r="O26" s="26" t="str">
        <f t="shared" si="4"/>
        <v/>
      </c>
    </row>
    <row r="27" spans="3:15" ht="21.95" customHeight="1" x14ac:dyDescent="0.25">
      <c r="C27" s="12"/>
      <c r="D27" s="12"/>
      <c r="E27" s="12"/>
      <c r="F27" s="61"/>
      <c r="G27" s="16"/>
      <c r="H27" s="17" t="str">
        <f t="shared" si="0"/>
        <v/>
      </c>
      <c r="I27" s="26" t="str">
        <f>IF(C27="","",C27&amp;"|"&amp;COUNTIF($C$5:C27,C27))</f>
        <v/>
      </c>
      <c r="J27" s="10"/>
      <c r="K27" s="10" t="str">
        <f>IF($C27="","",$C27&amp;"|"&amp;COUNTIF($C$5:C27,$C27))</f>
        <v/>
      </c>
      <c r="L27" s="10" t="str">
        <f t="shared" si="1"/>
        <v/>
      </c>
      <c r="M27" s="26" t="str">
        <f t="shared" si="2"/>
        <v/>
      </c>
      <c r="N27" s="26" t="str">
        <f t="shared" si="3"/>
        <v/>
      </c>
      <c r="O27" s="26" t="str">
        <f t="shared" si="4"/>
        <v/>
      </c>
    </row>
    <row r="28" spans="3:15" ht="21.95" customHeight="1" x14ac:dyDescent="0.25">
      <c r="C28" s="12"/>
      <c r="D28" s="12"/>
      <c r="E28" s="12"/>
      <c r="F28" s="61"/>
      <c r="G28" s="16"/>
      <c r="H28" s="17" t="str">
        <f t="shared" si="0"/>
        <v/>
      </c>
      <c r="I28" s="26" t="str">
        <f>IF(C28="","",C28&amp;"|"&amp;COUNTIF($C$5:C28,C28))</f>
        <v/>
      </c>
      <c r="J28" s="10"/>
      <c r="K28" s="10" t="str">
        <f>IF($C28="","",$C28&amp;"|"&amp;COUNTIF($C$5:C28,$C28))</f>
        <v/>
      </c>
      <c r="L28" s="10" t="str">
        <f t="shared" si="1"/>
        <v/>
      </c>
      <c r="M28" s="26" t="str">
        <f t="shared" si="2"/>
        <v/>
      </c>
      <c r="N28" s="26" t="str">
        <f t="shared" si="3"/>
        <v/>
      </c>
      <c r="O28" s="26" t="str">
        <f t="shared" si="4"/>
        <v/>
      </c>
    </row>
    <row r="29" spans="3:15" ht="21.95" customHeight="1" x14ac:dyDescent="0.25">
      <c r="C29" s="12"/>
      <c r="D29" s="12"/>
      <c r="E29" s="12"/>
      <c r="F29" s="61"/>
      <c r="G29" s="16"/>
      <c r="H29" s="17" t="str">
        <f t="shared" si="0"/>
        <v/>
      </c>
      <c r="I29" s="26" t="str">
        <f>IF(C29="","",C29&amp;"|"&amp;COUNTIF($C$5:C29,C29))</f>
        <v/>
      </c>
      <c r="J29" s="10"/>
      <c r="K29" s="10" t="str">
        <f>IF($C29="","",$C29&amp;"|"&amp;COUNTIF($C$5:C29,$C29))</f>
        <v/>
      </c>
      <c r="L29" s="10" t="str">
        <f t="shared" si="1"/>
        <v/>
      </c>
      <c r="M29" s="26" t="str">
        <f t="shared" si="2"/>
        <v/>
      </c>
      <c r="N29" s="26" t="str">
        <f t="shared" si="3"/>
        <v/>
      </c>
      <c r="O29" s="26" t="str">
        <f t="shared" si="4"/>
        <v/>
      </c>
    </row>
    <row r="30" spans="3:15" ht="21.95" customHeight="1" x14ac:dyDescent="0.25">
      <c r="C30" s="12"/>
      <c r="D30" s="12"/>
      <c r="E30" s="12"/>
      <c r="F30" s="61"/>
      <c r="G30" s="16"/>
      <c r="H30" s="17" t="str">
        <f t="shared" si="0"/>
        <v/>
      </c>
      <c r="I30" s="26" t="str">
        <f>IF(C30="","",C30&amp;"|"&amp;COUNTIF($C$5:C30,C30))</f>
        <v/>
      </c>
      <c r="J30" s="10"/>
      <c r="K30" s="10" t="str">
        <f>IF($C30="","",$C30&amp;"|"&amp;COUNTIF($C$5:C30,$C30))</f>
        <v/>
      </c>
      <c r="L30" s="10" t="str">
        <f t="shared" si="1"/>
        <v/>
      </c>
      <c r="M30" s="26" t="str">
        <f t="shared" si="2"/>
        <v/>
      </c>
      <c r="N30" s="26" t="str">
        <f t="shared" si="3"/>
        <v/>
      </c>
      <c r="O30" s="26" t="str">
        <f t="shared" si="4"/>
        <v/>
      </c>
    </row>
    <row r="31" spans="3:15" ht="21.95" customHeight="1" x14ac:dyDescent="0.25">
      <c r="C31" s="12"/>
      <c r="D31" s="12"/>
      <c r="E31" s="12"/>
      <c r="F31" s="61"/>
      <c r="G31" s="16"/>
      <c r="H31" s="17" t="str">
        <f t="shared" si="0"/>
        <v/>
      </c>
      <c r="I31" s="26" t="str">
        <f>IF(C31="","",C31&amp;"|"&amp;COUNTIF($C$5:C31,C31))</f>
        <v/>
      </c>
      <c r="J31" s="10"/>
      <c r="K31" s="10" t="str">
        <f>IF($C31="","",$C31&amp;"|"&amp;COUNTIF($C$5:C31,$C31))</f>
        <v/>
      </c>
      <c r="L31" s="10" t="str">
        <f t="shared" si="1"/>
        <v/>
      </c>
      <c r="M31" s="26" t="str">
        <f t="shared" si="2"/>
        <v/>
      </c>
      <c r="N31" s="26" t="str">
        <f t="shared" si="3"/>
        <v/>
      </c>
      <c r="O31" s="26" t="str">
        <f t="shared" si="4"/>
        <v/>
      </c>
    </row>
    <row r="32" spans="3:15" ht="21.95" customHeight="1" x14ac:dyDescent="0.25">
      <c r="C32" s="12"/>
      <c r="D32" s="12"/>
      <c r="E32" s="12"/>
      <c r="F32" s="61"/>
      <c r="G32" s="16"/>
      <c r="H32" s="17" t="str">
        <f t="shared" si="0"/>
        <v/>
      </c>
      <c r="I32" s="26" t="str">
        <f>IF(C32="","",C32&amp;"|"&amp;COUNTIF($C$5:C32,C32))</f>
        <v/>
      </c>
      <c r="J32" s="10"/>
      <c r="K32" s="10" t="str">
        <f>IF($C32="","",$C32&amp;"|"&amp;COUNTIF($C$5:C32,$C32))</f>
        <v/>
      </c>
      <c r="L32" s="10" t="str">
        <f t="shared" si="1"/>
        <v/>
      </c>
      <c r="M32" s="26" t="str">
        <f t="shared" si="2"/>
        <v/>
      </c>
      <c r="N32" s="26" t="str">
        <f t="shared" si="3"/>
        <v/>
      </c>
      <c r="O32" s="26" t="str">
        <f t="shared" si="4"/>
        <v/>
      </c>
    </row>
    <row r="33" spans="3:15" ht="21.95" customHeight="1" x14ac:dyDescent="0.25">
      <c r="C33" s="12"/>
      <c r="D33" s="12"/>
      <c r="E33" s="12"/>
      <c r="F33" s="61"/>
      <c r="G33" s="16"/>
      <c r="H33" s="17" t="str">
        <f t="shared" si="0"/>
        <v/>
      </c>
      <c r="I33" s="26" t="str">
        <f>IF(C33="","",C33&amp;"|"&amp;COUNTIF($C$5:C33,C33))</f>
        <v/>
      </c>
      <c r="J33" s="10"/>
      <c r="K33" s="10" t="str">
        <f>IF($C33="","",$C33&amp;"|"&amp;COUNTIF($C$5:C33,$C33))</f>
        <v/>
      </c>
      <c r="L33" s="10" t="str">
        <f t="shared" si="1"/>
        <v/>
      </c>
      <c r="M33" s="26" t="str">
        <f t="shared" si="2"/>
        <v/>
      </c>
      <c r="N33" s="26" t="str">
        <f t="shared" si="3"/>
        <v/>
      </c>
      <c r="O33" s="26" t="str">
        <f t="shared" si="4"/>
        <v/>
      </c>
    </row>
    <row r="34" spans="3:15" ht="21.95" customHeight="1" x14ac:dyDescent="0.25">
      <c r="C34" s="12"/>
      <c r="D34" s="12"/>
      <c r="E34" s="12"/>
      <c r="F34" s="61"/>
      <c r="G34" s="16"/>
      <c r="H34" s="17" t="str">
        <f t="shared" si="0"/>
        <v/>
      </c>
      <c r="I34" s="26" t="str">
        <f>IF(C34="","",C34&amp;"|"&amp;COUNTIF($C$5:C34,C34))</f>
        <v/>
      </c>
      <c r="J34" s="10"/>
      <c r="K34" s="10" t="str">
        <f>IF($C34="","",$C34&amp;"|"&amp;COUNTIF($C$5:C34,$C34))</f>
        <v/>
      </c>
      <c r="L34" s="10" t="str">
        <f t="shared" si="1"/>
        <v/>
      </c>
      <c r="M34" s="26" t="str">
        <f t="shared" si="2"/>
        <v/>
      </c>
      <c r="N34" s="26" t="str">
        <f t="shared" si="3"/>
        <v/>
      </c>
      <c r="O34" s="26" t="str">
        <f t="shared" si="4"/>
        <v/>
      </c>
    </row>
    <row r="35" spans="3:15" ht="21.95" customHeight="1" x14ac:dyDescent="0.25">
      <c r="C35" s="12"/>
      <c r="D35" s="12"/>
      <c r="E35" s="12"/>
      <c r="F35" s="61"/>
      <c r="G35" s="16"/>
      <c r="H35" s="17" t="str">
        <f t="shared" si="0"/>
        <v/>
      </c>
      <c r="I35" s="26" t="str">
        <f>IF(C35="","",C35&amp;"|"&amp;COUNTIF($C$5:C35,C35))</f>
        <v/>
      </c>
      <c r="J35" s="10"/>
      <c r="K35" s="10" t="str">
        <f>IF($C35="","",$C35&amp;"|"&amp;COUNTIF($C$5:C35,$C35))</f>
        <v/>
      </c>
      <c r="L35" s="10" t="str">
        <f t="shared" si="1"/>
        <v/>
      </c>
      <c r="M35" s="26" t="str">
        <f t="shared" si="2"/>
        <v/>
      </c>
      <c r="N35" s="26" t="str">
        <f t="shared" si="3"/>
        <v/>
      </c>
      <c r="O35" s="26" t="str">
        <f t="shared" si="4"/>
        <v/>
      </c>
    </row>
    <row r="36" spans="3:15" ht="21.95" customHeight="1" x14ac:dyDescent="0.25">
      <c r="C36" s="12"/>
      <c r="D36" s="12"/>
      <c r="E36" s="12"/>
      <c r="F36" s="61"/>
      <c r="G36" s="16"/>
      <c r="H36" s="17" t="str">
        <f t="shared" si="0"/>
        <v/>
      </c>
      <c r="I36" s="26" t="str">
        <f>IF(C36="","",C36&amp;"|"&amp;COUNTIF($C$5:C36,C36))</f>
        <v/>
      </c>
      <c r="J36" s="10"/>
      <c r="K36" s="10" t="str">
        <f>IF($C36="","",$C36&amp;"|"&amp;COUNTIF($C$5:C36,$C36))</f>
        <v/>
      </c>
      <c r="L36" s="10" t="str">
        <f t="shared" si="1"/>
        <v/>
      </c>
      <c r="M36" s="26" t="str">
        <f t="shared" si="2"/>
        <v/>
      </c>
      <c r="N36" s="26" t="str">
        <f t="shared" si="3"/>
        <v/>
      </c>
      <c r="O36" s="26" t="str">
        <f t="shared" si="4"/>
        <v/>
      </c>
    </row>
    <row r="37" spans="3:15" ht="21.95" customHeight="1" x14ac:dyDescent="0.25">
      <c r="C37" s="12"/>
      <c r="D37" s="12"/>
      <c r="E37" s="12"/>
      <c r="F37" s="61"/>
      <c r="G37" s="16"/>
      <c r="H37" s="17" t="str">
        <f t="shared" si="0"/>
        <v/>
      </c>
      <c r="I37" s="26" t="str">
        <f>IF(C37="","",C37&amp;"|"&amp;COUNTIF($C$5:C37,C37))</f>
        <v/>
      </c>
      <c r="J37" s="10"/>
      <c r="K37" s="10" t="str">
        <f>IF($C37="","",$C37&amp;"|"&amp;COUNTIF($C$5:C37,$C37))</f>
        <v/>
      </c>
      <c r="L37" s="10" t="str">
        <f t="shared" si="1"/>
        <v/>
      </c>
      <c r="M37" s="26" t="str">
        <f t="shared" si="2"/>
        <v/>
      </c>
      <c r="N37" s="26" t="str">
        <f t="shared" si="3"/>
        <v/>
      </c>
      <c r="O37" s="26" t="str">
        <f t="shared" si="4"/>
        <v/>
      </c>
    </row>
    <row r="38" spans="3:15" ht="21.95" customHeight="1" x14ac:dyDescent="0.25">
      <c r="C38" s="12"/>
      <c r="D38" s="12"/>
      <c r="E38" s="12"/>
      <c r="F38" s="61"/>
      <c r="G38" s="16"/>
      <c r="H38" s="17" t="str">
        <f t="shared" si="0"/>
        <v/>
      </c>
      <c r="I38" s="26" t="str">
        <f>IF(C38="","",C38&amp;"|"&amp;COUNTIF($C$5:C38,C38))</f>
        <v/>
      </c>
      <c r="J38" s="10"/>
      <c r="K38" s="10" t="str">
        <f>IF($C38="","",$C38&amp;"|"&amp;COUNTIF($C$5:C38,$C38))</f>
        <v/>
      </c>
      <c r="L38" s="10" t="str">
        <f t="shared" si="1"/>
        <v/>
      </c>
      <c r="M38" s="26" t="str">
        <f t="shared" si="2"/>
        <v/>
      </c>
      <c r="N38" s="26" t="str">
        <f t="shared" si="3"/>
        <v/>
      </c>
      <c r="O38" s="26" t="str">
        <f t="shared" si="4"/>
        <v/>
      </c>
    </row>
    <row r="39" spans="3:15" ht="21.95" customHeight="1" x14ac:dyDescent="0.25">
      <c r="C39" s="12"/>
      <c r="D39" s="12"/>
      <c r="E39" s="12"/>
      <c r="F39" s="61"/>
      <c r="G39" s="16"/>
      <c r="H39" s="17" t="str">
        <f t="shared" si="0"/>
        <v/>
      </c>
      <c r="I39" s="26" t="str">
        <f>IF(C39="","",C39&amp;"|"&amp;COUNTIF($C$5:C39,C39))</f>
        <v/>
      </c>
      <c r="J39" s="10"/>
      <c r="K39" s="10" t="str">
        <f>IF($C39="","",$C39&amp;"|"&amp;COUNTIF($C$5:C39,$C39))</f>
        <v/>
      </c>
      <c r="L39" s="10" t="str">
        <f t="shared" si="1"/>
        <v/>
      </c>
      <c r="M39" s="26" t="str">
        <f t="shared" si="2"/>
        <v/>
      </c>
      <c r="N39" s="26" t="str">
        <f t="shared" si="3"/>
        <v/>
      </c>
      <c r="O39" s="26" t="str">
        <f t="shared" si="4"/>
        <v/>
      </c>
    </row>
    <row r="40" spans="3:15" ht="21.95" customHeight="1" x14ac:dyDescent="0.25">
      <c r="C40" s="12"/>
      <c r="D40" s="12"/>
      <c r="E40" s="12"/>
      <c r="F40" s="61"/>
      <c r="G40" s="16"/>
      <c r="H40" s="17" t="str">
        <f t="shared" si="0"/>
        <v/>
      </c>
      <c r="I40" s="26" t="str">
        <f>IF(C40="","",C40&amp;"|"&amp;COUNTIF($C$5:C40,C40))</f>
        <v/>
      </c>
      <c r="J40" s="10"/>
      <c r="K40" s="10" t="str">
        <f>IF($C40="","",$C40&amp;"|"&amp;COUNTIF($C$5:C40,$C40))</f>
        <v/>
      </c>
      <c r="L40" s="10" t="str">
        <f t="shared" si="1"/>
        <v/>
      </c>
      <c r="M40" s="26" t="str">
        <f t="shared" si="2"/>
        <v/>
      </c>
      <c r="N40" s="26" t="str">
        <f t="shared" si="3"/>
        <v/>
      </c>
      <c r="O40" s="26" t="str">
        <f t="shared" si="4"/>
        <v/>
      </c>
    </row>
    <row r="41" spans="3:15" ht="21.95" customHeight="1" x14ac:dyDescent="0.25">
      <c r="C41" s="12"/>
      <c r="D41" s="12"/>
      <c r="E41" s="12"/>
      <c r="F41" s="61"/>
      <c r="G41" s="16"/>
      <c r="H41" s="17" t="str">
        <f t="shared" si="0"/>
        <v/>
      </c>
      <c r="I41" s="26" t="str">
        <f>IF(C41="","",C41&amp;"|"&amp;COUNTIF($C$5:C41,C41))</f>
        <v/>
      </c>
      <c r="J41" s="10"/>
      <c r="K41" s="10" t="str">
        <f>IF($C41="","",$C41&amp;"|"&amp;COUNTIF($C$5:C41,$C41))</f>
        <v/>
      </c>
      <c r="L41" s="10" t="str">
        <f t="shared" si="1"/>
        <v/>
      </c>
      <c r="M41" s="26" t="str">
        <f t="shared" si="2"/>
        <v/>
      </c>
      <c r="N41" s="26" t="str">
        <f t="shared" si="3"/>
        <v/>
      </c>
      <c r="O41" s="26" t="str">
        <f t="shared" si="4"/>
        <v/>
      </c>
    </row>
    <row r="42" spans="3:15" ht="21.95" customHeight="1" x14ac:dyDescent="0.25">
      <c r="C42" s="12"/>
      <c r="D42" s="12"/>
      <c r="E42" s="12"/>
      <c r="F42" s="61"/>
      <c r="G42" s="16"/>
      <c r="H42" s="17" t="str">
        <f t="shared" si="0"/>
        <v/>
      </c>
      <c r="I42" s="26" t="str">
        <f>IF(C42="","",C42&amp;"|"&amp;COUNTIF($C$5:C42,C42))</f>
        <v/>
      </c>
      <c r="J42" s="10"/>
      <c r="K42" s="10" t="str">
        <f>IF($C42="","",$C42&amp;"|"&amp;COUNTIF($C$5:C42,$C42))</f>
        <v/>
      </c>
      <c r="L42" s="10" t="str">
        <f t="shared" si="1"/>
        <v/>
      </c>
      <c r="M42" s="26" t="str">
        <f t="shared" si="2"/>
        <v/>
      </c>
      <c r="N42" s="26" t="str">
        <f t="shared" si="3"/>
        <v/>
      </c>
      <c r="O42" s="26" t="str">
        <f t="shared" si="4"/>
        <v/>
      </c>
    </row>
    <row r="43" spans="3:15" ht="21.95" customHeight="1" x14ac:dyDescent="0.25">
      <c r="C43" s="12"/>
      <c r="D43" s="12"/>
      <c r="E43" s="12"/>
      <c r="F43" s="61"/>
      <c r="G43" s="16"/>
      <c r="H43" s="17" t="str">
        <f t="shared" si="0"/>
        <v/>
      </c>
      <c r="I43" s="26" t="str">
        <f>IF(C43="","",C43&amp;"|"&amp;COUNTIF($C$5:C43,C43))</f>
        <v/>
      </c>
      <c r="J43" s="10"/>
      <c r="K43" s="10" t="str">
        <f>IF($C43="","",$C43&amp;"|"&amp;COUNTIF($C$5:C43,$C43))</f>
        <v/>
      </c>
      <c r="L43" s="10" t="str">
        <f t="shared" si="1"/>
        <v/>
      </c>
      <c r="M43" s="26" t="str">
        <f t="shared" si="2"/>
        <v/>
      </c>
      <c r="N43" s="26" t="str">
        <f t="shared" si="3"/>
        <v/>
      </c>
      <c r="O43" s="26" t="str">
        <f t="shared" si="4"/>
        <v/>
      </c>
    </row>
    <row r="44" spans="3:15" ht="21.95" customHeight="1" x14ac:dyDescent="0.25">
      <c r="C44" s="12"/>
      <c r="D44" s="12"/>
      <c r="E44" s="12"/>
      <c r="F44" s="61"/>
      <c r="G44" s="16"/>
      <c r="H44" s="17" t="str">
        <f t="shared" si="0"/>
        <v/>
      </c>
      <c r="I44" s="26" t="str">
        <f>IF(C44="","",C44&amp;"|"&amp;COUNTIF($C$5:C44,C44))</f>
        <v/>
      </c>
      <c r="J44" s="10"/>
      <c r="K44" s="10" t="str">
        <f>IF($C44="","",$C44&amp;"|"&amp;COUNTIF($C$5:C44,$C44))</f>
        <v/>
      </c>
      <c r="L44" s="10" t="str">
        <f t="shared" si="1"/>
        <v/>
      </c>
      <c r="M44" s="26" t="str">
        <f t="shared" si="2"/>
        <v/>
      </c>
      <c r="N44" s="26" t="str">
        <f t="shared" si="3"/>
        <v/>
      </c>
      <c r="O44" s="26" t="str">
        <f t="shared" si="4"/>
        <v/>
      </c>
    </row>
    <row r="45" spans="3:15" ht="21.95" customHeight="1" x14ac:dyDescent="0.25">
      <c r="C45" s="12"/>
      <c r="D45" s="12"/>
      <c r="E45" s="12"/>
      <c r="F45" s="61"/>
      <c r="G45" s="16"/>
      <c r="H45" s="17" t="str">
        <f t="shared" si="0"/>
        <v/>
      </c>
      <c r="I45" s="26" t="str">
        <f>IF(C45="","",C45&amp;"|"&amp;COUNTIF($C$5:C45,C45))</f>
        <v/>
      </c>
      <c r="J45" s="10"/>
      <c r="K45" s="10" t="str">
        <f>IF($C45="","",$C45&amp;"|"&amp;COUNTIF($C$5:C45,$C45))</f>
        <v/>
      </c>
      <c r="L45" s="10" t="str">
        <f t="shared" si="1"/>
        <v/>
      </c>
      <c r="M45" s="26" t="str">
        <f t="shared" si="2"/>
        <v/>
      </c>
      <c r="N45" s="26" t="str">
        <f t="shared" si="3"/>
        <v/>
      </c>
      <c r="O45" s="26" t="str">
        <f t="shared" si="4"/>
        <v/>
      </c>
    </row>
    <row r="46" spans="3:15" ht="21.95" customHeight="1" x14ac:dyDescent="0.25">
      <c r="C46" s="12"/>
      <c r="D46" s="12"/>
      <c r="E46" s="12"/>
      <c r="F46" s="61"/>
      <c r="G46" s="16"/>
      <c r="H46" s="17" t="str">
        <f t="shared" si="0"/>
        <v/>
      </c>
      <c r="I46" s="26" t="str">
        <f>IF(C46="","",C46&amp;"|"&amp;COUNTIF($C$5:C46,C46))</f>
        <v/>
      </c>
      <c r="J46" s="10"/>
      <c r="K46" s="10" t="str">
        <f>IF($C46="","",$C46&amp;"|"&amp;COUNTIF($C$5:C46,$C46))</f>
        <v/>
      </c>
      <c r="L46" s="10" t="str">
        <f t="shared" si="1"/>
        <v/>
      </c>
      <c r="M46" s="26" t="str">
        <f t="shared" si="2"/>
        <v/>
      </c>
      <c r="N46" s="26" t="str">
        <f t="shared" si="3"/>
        <v/>
      </c>
      <c r="O46" s="26" t="str">
        <f t="shared" si="4"/>
        <v/>
      </c>
    </row>
    <row r="47" spans="3:15" ht="21.95" customHeight="1" x14ac:dyDescent="0.25">
      <c r="C47" s="12"/>
      <c r="D47" s="12"/>
      <c r="E47" s="12"/>
      <c r="F47" s="61"/>
      <c r="G47" s="16"/>
      <c r="H47" s="17" t="str">
        <f t="shared" si="0"/>
        <v/>
      </c>
      <c r="I47" s="26" t="str">
        <f>IF(C47="","",C47&amp;"|"&amp;COUNTIF($C$5:C47,C47))</f>
        <v/>
      </c>
      <c r="J47" s="10"/>
      <c r="K47" s="10" t="str">
        <f>IF($C47="","",$C47&amp;"|"&amp;COUNTIF($C$5:C47,$C47))</f>
        <v/>
      </c>
      <c r="L47" s="10" t="str">
        <f t="shared" si="1"/>
        <v/>
      </c>
      <c r="M47" s="26" t="str">
        <f t="shared" si="2"/>
        <v/>
      </c>
      <c r="N47" s="26" t="str">
        <f t="shared" si="3"/>
        <v/>
      </c>
      <c r="O47" s="26" t="str">
        <f t="shared" si="4"/>
        <v/>
      </c>
    </row>
    <row r="48" spans="3:15" ht="21.95" customHeight="1" x14ac:dyDescent="0.25">
      <c r="C48" s="12"/>
      <c r="D48" s="12"/>
      <c r="E48" s="12"/>
      <c r="F48" s="61"/>
      <c r="G48" s="16"/>
      <c r="H48" s="17" t="str">
        <f t="shared" si="0"/>
        <v/>
      </c>
      <c r="I48" s="26" t="str">
        <f>IF(C48="","",C48&amp;"|"&amp;COUNTIF($C$5:C48,C48))</f>
        <v/>
      </c>
      <c r="J48" s="10"/>
      <c r="K48" s="10" t="str">
        <f>IF($C48="","",$C48&amp;"|"&amp;COUNTIF($C$5:C48,$C48))</f>
        <v/>
      </c>
      <c r="L48" s="10" t="str">
        <f t="shared" si="1"/>
        <v/>
      </c>
      <c r="M48" s="26" t="str">
        <f t="shared" si="2"/>
        <v/>
      </c>
      <c r="N48" s="26" t="str">
        <f t="shared" si="3"/>
        <v/>
      </c>
      <c r="O48" s="26" t="str">
        <f t="shared" si="4"/>
        <v/>
      </c>
    </row>
    <row r="49" spans="3:15" ht="21.95" customHeight="1" x14ac:dyDescent="0.25">
      <c r="C49" s="12"/>
      <c r="D49" s="12"/>
      <c r="E49" s="12"/>
      <c r="F49" s="61"/>
      <c r="G49" s="16"/>
      <c r="H49" s="17" t="str">
        <f t="shared" si="0"/>
        <v/>
      </c>
      <c r="I49" s="26" t="str">
        <f>IF(C49="","",C49&amp;"|"&amp;COUNTIF($C$5:C49,C49))</f>
        <v/>
      </c>
      <c r="J49" s="10"/>
      <c r="K49" s="10" t="str">
        <f>IF($C49="","",$C49&amp;"|"&amp;COUNTIF($C$5:C49,$C49))</f>
        <v/>
      </c>
      <c r="L49" s="10" t="str">
        <f t="shared" si="1"/>
        <v/>
      </c>
      <c r="M49" s="26" t="str">
        <f t="shared" si="2"/>
        <v/>
      </c>
      <c r="N49" s="26" t="str">
        <f t="shared" si="3"/>
        <v/>
      </c>
      <c r="O49" s="26" t="str">
        <f t="shared" si="4"/>
        <v/>
      </c>
    </row>
    <row r="50" spans="3:15" ht="21.95" customHeight="1" x14ac:dyDescent="0.25">
      <c r="C50" s="12"/>
      <c r="D50" s="12"/>
      <c r="E50" s="12"/>
      <c r="F50" s="61"/>
      <c r="G50" s="16"/>
      <c r="H50" s="17" t="str">
        <f t="shared" si="0"/>
        <v/>
      </c>
      <c r="I50" s="26" t="str">
        <f>IF(C50="","",C50&amp;"|"&amp;COUNTIF($C$5:C50,C50))</f>
        <v/>
      </c>
      <c r="J50" s="10"/>
      <c r="K50" s="10" t="str">
        <f>IF($C50="","",$C50&amp;"|"&amp;COUNTIF($C$5:C50,$C50))</f>
        <v/>
      </c>
      <c r="L50" s="10" t="str">
        <f t="shared" si="1"/>
        <v/>
      </c>
      <c r="M50" s="26" t="str">
        <f t="shared" si="2"/>
        <v/>
      </c>
      <c r="N50" s="26" t="str">
        <f t="shared" si="3"/>
        <v/>
      </c>
      <c r="O50" s="26" t="str">
        <f t="shared" si="4"/>
        <v/>
      </c>
    </row>
    <row r="51" spans="3:15" ht="21.95" customHeight="1" x14ac:dyDescent="0.25">
      <c r="C51" s="12"/>
      <c r="D51" s="12"/>
      <c r="E51" s="12"/>
      <c r="F51" s="61"/>
      <c r="G51" s="16"/>
      <c r="H51" s="17" t="str">
        <f t="shared" si="0"/>
        <v/>
      </c>
      <c r="I51" s="26" t="str">
        <f>IF(C51="","",C51&amp;"|"&amp;COUNTIF($C$5:C51,C51))</f>
        <v/>
      </c>
      <c r="J51" s="10"/>
      <c r="K51" s="10" t="str">
        <f>IF($C51="","",$C51&amp;"|"&amp;COUNTIF($C$5:C51,$C51))</f>
        <v/>
      </c>
      <c r="L51" s="10" t="str">
        <f t="shared" si="1"/>
        <v/>
      </c>
      <c r="M51" s="26" t="str">
        <f t="shared" si="2"/>
        <v/>
      </c>
      <c r="N51" s="26" t="str">
        <f t="shared" si="3"/>
        <v/>
      </c>
      <c r="O51" s="26" t="str">
        <f t="shared" si="4"/>
        <v/>
      </c>
    </row>
    <row r="52" spans="3:15" ht="21.95" customHeight="1" x14ac:dyDescent="0.25">
      <c r="C52" s="12"/>
      <c r="D52" s="12"/>
      <c r="E52" s="12"/>
      <c r="F52" s="61"/>
      <c r="G52" s="16"/>
      <c r="H52" s="17" t="str">
        <f t="shared" si="0"/>
        <v/>
      </c>
      <c r="I52" s="26" t="str">
        <f>IF(C52="","",C52&amp;"|"&amp;COUNTIF($C$5:C52,C52))</f>
        <v/>
      </c>
      <c r="J52" s="10"/>
      <c r="K52" s="10" t="str">
        <f>IF($C52="","",$C52&amp;"|"&amp;COUNTIF($C$5:C52,$C52))</f>
        <v/>
      </c>
      <c r="L52" s="10" t="str">
        <f t="shared" si="1"/>
        <v/>
      </c>
      <c r="M52" s="26" t="str">
        <f t="shared" si="2"/>
        <v/>
      </c>
      <c r="N52" s="26" t="str">
        <f t="shared" si="3"/>
        <v/>
      </c>
      <c r="O52" s="26" t="str">
        <f t="shared" si="4"/>
        <v/>
      </c>
    </row>
    <row r="53" spans="3:15" ht="21.95" customHeight="1" x14ac:dyDescent="0.25">
      <c r="C53" s="12"/>
      <c r="D53" s="12"/>
      <c r="E53" s="12"/>
      <c r="F53" s="61"/>
      <c r="G53" s="16"/>
      <c r="H53" s="17" t="str">
        <f t="shared" si="0"/>
        <v/>
      </c>
      <c r="I53" s="26" t="str">
        <f>IF(C53="","",C53&amp;"|"&amp;COUNTIF($C$5:C53,C53))</f>
        <v/>
      </c>
      <c r="J53" s="10"/>
      <c r="K53" s="10" t="str">
        <f>IF($C53="","",$C53&amp;"|"&amp;COUNTIF($C$5:C53,$C53))</f>
        <v/>
      </c>
      <c r="L53" s="10" t="str">
        <f t="shared" si="1"/>
        <v/>
      </c>
      <c r="M53" s="26" t="str">
        <f t="shared" si="2"/>
        <v/>
      </c>
      <c r="N53" s="26" t="str">
        <f t="shared" si="3"/>
        <v/>
      </c>
      <c r="O53" s="26" t="str">
        <f t="shared" si="4"/>
        <v/>
      </c>
    </row>
    <row r="54" spans="3:15" ht="21.95" customHeight="1" x14ac:dyDescent="0.25">
      <c r="C54" s="12"/>
      <c r="D54" s="12"/>
      <c r="E54" s="12"/>
      <c r="F54" s="61"/>
      <c r="G54" s="16"/>
      <c r="H54" s="17" t="str">
        <f t="shared" si="0"/>
        <v/>
      </c>
      <c r="I54" s="26" t="str">
        <f>IF(C54="","",C54&amp;"|"&amp;COUNTIF($C$5:C54,C54))</f>
        <v/>
      </c>
      <c r="J54" s="10"/>
      <c r="K54" s="10" t="str">
        <f>IF($C54="","",$C54&amp;"|"&amp;COUNTIF($C$5:C54,$C54))</f>
        <v/>
      </c>
      <c r="L54" s="10" t="str">
        <f t="shared" si="1"/>
        <v/>
      </c>
      <c r="M54" s="26" t="str">
        <f t="shared" si="2"/>
        <v/>
      </c>
      <c r="N54" s="26" t="str">
        <f t="shared" si="3"/>
        <v/>
      </c>
      <c r="O54" s="26" t="str">
        <f t="shared" si="4"/>
        <v/>
      </c>
    </row>
    <row r="55" spans="3:15" ht="21.95" customHeight="1" x14ac:dyDescent="0.25">
      <c r="C55" s="12"/>
      <c r="D55" s="12"/>
      <c r="E55" s="12"/>
      <c r="F55" s="61"/>
      <c r="G55" s="16"/>
      <c r="H55" s="17" t="str">
        <f t="shared" si="0"/>
        <v/>
      </c>
      <c r="I55" s="26" t="str">
        <f>IF(C55="","",C55&amp;"|"&amp;COUNTIF($C$5:C55,C55))</f>
        <v/>
      </c>
      <c r="J55" s="10"/>
      <c r="K55" s="10" t="str">
        <f>IF($C55="","",$C55&amp;"|"&amp;COUNTIF($C$5:C55,$C55))</f>
        <v/>
      </c>
      <c r="L55" s="10" t="str">
        <f t="shared" si="1"/>
        <v/>
      </c>
      <c r="M55" s="26" t="str">
        <f t="shared" si="2"/>
        <v/>
      </c>
      <c r="N55" s="26" t="str">
        <f t="shared" si="3"/>
        <v/>
      </c>
      <c r="O55" s="26" t="str">
        <f t="shared" si="4"/>
        <v/>
      </c>
    </row>
    <row r="56" spans="3:15" ht="21.95" customHeight="1" x14ac:dyDescent="0.25">
      <c r="C56" s="12"/>
      <c r="D56" s="12"/>
      <c r="E56" s="12"/>
      <c r="F56" s="61"/>
      <c r="G56" s="16"/>
      <c r="H56" s="17" t="str">
        <f t="shared" si="0"/>
        <v/>
      </c>
      <c r="I56" s="26" t="str">
        <f>IF(C56="","",C56&amp;"|"&amp;COUNTIF($C$5:C56,C56))</f>
        <v/>
      </c>
      <c r="J56" s="10"/>
      <c r="K56" s="10" t="str">
        <f>IF($C56="","",$C56&amp;"|"&amp;COUNTIF($C$5:C56,$C56))</f>
        <v/>
      </c>
      <c r="L56" s="10" t="str">
        <f t="shared" si="1"/>
        <v/>
      </c>
      <c r="M56" s="26" t="str">
        <f t="shared" si="2"/>
        <v/>
      </c>
      <c r="N56" s="26" t="str">
        <f t="shared" si="3"/>
        <v/>
      </c>
      <c r="O56" s="26" t="str">
        <f t="shared" si="4"/>
        <v/>
      </c>
    </row>
    <row r="57" spans="3:15" ht="21.95" customHeight="1" x14ac:dyDescent="0.25">
      <c r="C57" s="12"/>
      <c r="D57" s="12"/>
      <c r="E57" s="12"/>
      <c r="F57" s="61"/>
      <c r="G57" s="16"/>
      <c r="H57" s="17" t="str">
        <f t="shared" si="0"/>
        <v/>
      </c>
      <c r="I57" s="26" t="str">
        <f>IF(C57="","",C57&amp;"|"&amp;COUNTIF($C$5:C57,C57))</f>
        <v/>
      </c>
      <c r="J57" s="10"/>
      <c r="K57" s="10" t="str">
        <f>IF($C57="","",$C57&amp;"|"&amp;COUNTIF($C$5:C57,$C57))</f>
        <v/>
      </c>
      <c r="L57" s="10" t="str">
        <f t="shared" si="1"/>
        <v/>
      </c>
      <c r="M57" s="26" t="str">
        <f t="shared" si="2"/>
        <v/>
      </c>
      <c r="N57" s="26" t="str">
        <f t="shared" si="3"/>
        <v/>
      </c>
      <c r="O57" s="26" t="str">
        <f t="shared" si="4"/>
        <v/>
      </c>
    </row>
    <row r="58" spans="3:15" ht="21.95" customHeight="1" x14ac:dyDescent="0.25">
      <c r="C58" s="12"/>
      <c r="D58" s="12"/>
      <c r="E58" s="12"/>
      <c r="F58" s="61"/>
      <c r="G58" s="16"/>
      <c r="H58" s="17" t="str">
        <f t="shared" si="0"/>
        <v/>
      </c>
      <c r="I58" s="26" t="str">
        <f>IF(C58="","",C58&amp;"|"&amp;COUNTIF($C$5:C58,C58))</f>
        <v/>
      </c>
      <c r="J58" s="10"/>
      <c r="K58" s="10" t="str">
        <f>IF($C58="","",$C58&amp;"|"&amp;COUNTIF($C$5:C58,$C58))</f>
        <v/>
      </c>
      <c r="L58" s="10" t="str">
        <f t="shared" si="1"/>
        <v/>
      </c>
      <c r="M58" s="26" t="str">
        <f t="shared" si="2"/>
        <v/>
      </c>
      <c r="N58" s="26" t="str">
        <f t="shared" si="3"/>
        <v/>
      </c>
      <c r="O58" s="26" t="str">
        <f t="shared" si="4"/>
        <v/>
      </c>
    </row>
    <row r="59" spans="3:15" ht="21.95" customHeight="1" x14ac:dyDescent="0.25">
      <c r="C59" s="12"/>
      <c r="D59" s="12"/>
      <c r="E59" s="12"/>
      <c r="F59" s="61"/>
      <c r="G59" s="16"/>
      <c r="H59" s="17" t="str">
        <f t="shared" si="0"/>
        <v/>
      </c>
      <c r="I59" s="26" t="str">
        <f>IF(C59="","",C59&amp;"|"&amp;COUNTIF($C$5:C59,C59))</f>
        <v/>
      </c>
      <c r="J59" s="10"/>
      <c r="K59" s="10" t="str">
        <f>IF($C59="","",$C59&amp;"|"&amp;COUNTIF($C$5:C59,$C59))</f>
        <v/>
      </c>
      <c r="L59" s="10" t="str">
        <f t="shared" si="1"/>
        <v/>
      </c>
      <c r="M59" s="26" t="str">
        <f t="shared" si="2"/>
        <v/>
      </c>
      <c r="N59" s="26" t="str">
        <f t="shared" si="3"/>
        <v/>
      </c>
      <c r="O59" s="26" t="str">
        <f t="shared" si="4"/>
        <v/>
      </c>
    </row>
    <row r="60" spans="3:15" ht="21.95" customHeight="1" x14ac:dyDescent="0.25">
      <c r="C60" s="12"/>
      <c r="D60" s="12"/>
      <c r="E60" s="12"/>
      <c r="F60" s="61"/>
      <c r="G60" s="16"/>
      <c r="H60" s="17" t="str">
        <f t="shared" si="0"/>
        <v/>
      </c>
      <c r="I60" s="26" t="str">
        <f>IF(C60="","",C60&amp;"|"&amp;COUNTIF($C$5:C60,C60))</f>
        <v/>
      </c>
      <c r="J60" s="10"/>
      <c r="K60" s="10" t="str">
        <f>IF($C60="","",$C60&amp;"|"&amp;COUNTIF($C$5:C60,$C60))</f>
        <v/>
      </c>
      <c r="L60" s="10" t="str">
        <f t="shared" si="1"/>
        <v/>
      </c>
      <c r="M60" s="26" t="str">
        <f t="shared" si="2"/>
        <v/>
      </c>
      <c r="N60" s="26" t="str">
        <f t="shared" si="3"/>
        <v/>
      </c>
      <c r="O60" s="26" t="str">
        <f t="shared" si="4"/>
        <v/>
      </c>
    </row>
    <row r="61" spans="3:15" ht="21.95" customHeight="1" x14ac:dyDescent="0.25">
      <c r="C61" s="12"/>
      <c r="D61" s="12"/>
      <c r="E61" s="12"/>
      <c r="F61" s="61"/>
      <c r="G61" s="16"/>
      <c r="H61" s="17" t="str">
        <f t="shared" si="0"/>
        <v/>
      </c>
      <c r="I61" s="26" t="str">
        <f>IF(C61="","",C61&amp;"|"&amp;COUNTIF($C$5:C61,C61))</f>
        <v/>
      </c>
      <c r="J61" s="10"/>
      <c r="K61" s="10" t="str">
        <f>IF($C61="","",$C61&amp;"|"&amp;COUNTIF($C$5:C61,$C61))</f>
        <v/>
      </c>
      <c r="L61" s="10" t="str">
        <f t="shared" si="1"/>
        <v/>
      </c>
      <c r="M61" s="26" t="str">
        <f t="shared" si="2"/>
        <v/>
      </c>
      <c r="N61" s="26" t="str">
        <f t="shared" si="3"/>
        <v/>
      </c>
      <c r="O61" s="26" t="str">
        <f t="shared" si="4"/>
        <v/>
      </c>
    </row>
    <row r="62" spans="3:15" ht="21.95" customHeight="1" x14ac:dyDescent="0.25">
      <c r="C62" s="12"/>
      <c r="D62" s="12"/>
      <c r="E62" s="12"/>
      <c r="F62" s="61"/>
      <c r="G62" s="16"/>
      <c r="H62" s="17" t="str">
        <f t="shared" si="0"/>
        <v/>
      </c>
      <c r="I62" s="26" t="str">
        <f>IF(C62="","",C62&amp;"|"&amp;COUNTIF($C$5:C62,C62))</f>
        <v/>
      </c>
      <c r="J62" s="10"/>
      <c r="K62" s="10" t="str">
        <f>IF($C62="","",$C62&amp;"|"&amp;COUNTIF($C$5:C62,$C62))</f>
        <v/>
      </c>
      <c r="L62" s="10" t="str">
        <f t="shared" si="1"/>
        <v/>
      </c>
      <c r="M62" s="26" t="str">
        <f t="shared" si="2"/>
        <v/>
      </c>
      <c r="N62" s="26" t="str">
        <f t="shared" si="3"/>
        <v/>
      </c>
      <c r="O62" s="26" t="str">
        <f t="shared" si="4"/>
        <v/>
      </c>
    </row>
    <row r="63" spans="3:15" ht="21.95" customHeight="1" x14ac:dyDescent="0.25">
      <c r="C63" s="12"/>
      <c r="D63" s="12"/>
      <c r="E63" s="12"/>
      <c r="F63" s="61"/>
      <c r="G63" s="16"/>
      <c r="H63" s="17" t="str">
        <f t="shared" si="0"/>
        <v/>
      </c>
      <c r="I63" s="26" t="str">
        <f>IF(C63="","",C63&amp;"|"&amp;COUNTIF($C$5:C63,C63))</f>
        <v/>
      </c>
      <c r="J63" s="10"/>
      <c r="K63" s="10" t="str">
        <f>IF($C63="","",$C63&amp;"|"&amp;COUNTIF($C$5:C63,$C63))</f>
        <v/>
      </c>
      <c r="L63" s="10" t="str">
        <f t="shared" si="1"/>
        <v/>
      </c>
      <c r="M63" s="26" t="str">
        <f t="shared" si="2"/>
        <v/>
      </c>
      <c r="N63" s="26" t="str">
        <f t="shared" si="3"/>
        <v/>
      </c>
      <c r="O63" s="26" t="str">
        <f t="shared" si="4"/>
        <v/>
      </c>
    </row>
    <row r="64" spans="3:15" ht="21.95" customHeight="1" x14ac:dyDescent="0.25">
      <c r="C64" s="12"/>
      <c r="D64" s="12"/>
      <c r="E64" s="12"/>
      <c r="F64" s="61"/>
      <c r="G64" s="16"/>
      <c r="H64" s="17" t="str">
        <f t="shared" si="0"/>
        <v/>
      </c>
      <c r="I64" s="26" t="str">
        <f>IF(C64="","",C64&amp;"|"&amp;COUNTIF($C$5:C64,C64))</f>
        <v/>
      </c>
      <c r="J64" s="10"/>
      <c r="K64" s="10" t="str">
        <f>IF($C64="","",$C64&amp;"|"&amp;COUNTIF($C$5:C64,$C64))</f>
        <v/>
      </c>
      <c r="L64" s="10" t="str">
        <f t="shared" si="1"/>
        <v/>
      </c>
      <c r="M64" s="26" t="str">
        <f t="shared" si="2"/>
        <v/>
      </c>
      <c r="N64" s="26" t="str">
        <f t="shared" si="3"/>
        <v/>
      </c>
      <c r="O64" s="26" t="str">
        <f t="shared" si="4"/>
        <v/>
      </c>
    </row>
    <row r="65" spans="3:15" ht="21.95" customHeight="1" x14ac:dyDescent="0.25">
      <c r="C65" s="12"/>
      <c r="D65" s="12"/>
      <c r="E65" s="12"/>
      <c r="F65" s="61"/>
      <c r="G65" s="16"/>
      <c r="H65" s="17" t="str">
        <f t="shared" si="0"/>
        <v/>
      </c>
      <c r="I65" s="26" t="str">
        <f>IF(C65="","",C65&amp;"|"&amp;COUNTIF($C$5:C65,C65))</f>
        <v/>
      </c>
      <c r="J65" s="10"/>
      <c r="K65" s="10" t="str">
        <f>IF($C65="","",$C65&amp;"|"&amp;COUNTIF($C$5:C65,$C65))</f>
        <v/>
      </c>
      <c r="L65" s="10" t="str">
        <f t="shared" si="1"/>
        <v/>
      </c>
      <c r="M65" s="26" t="str">
        <f t="shared" si="2"/>
        <v/>
      </c>
      <c r="N65" s="26" t="str">
        <f t="shared" si="3"/>
        <v/>
      </c>
      <c r="O65" s="26" t="str">
        <f t="shared" si="4"/>
        <v/>
      </c>
    </row>
    <row r="66" spans="3:15" ht="21.95" customHeight="1" x14ac:dyDescent="0.25">
      <c r="C66" s="12"/>
      <c r="D66" s="12"/>
      <c r="E66" s="12"/>
      <c r="F66" s="61"/>
      <c r="G66" s="16"/>
      <c r="H66" s="17" t="str">
        <f t="shared" si="0"/>
        <v/>
      </c>
      <c r="I66" s="26" t="str">
        <f>IF(C66="","",C66&amp;"|"&amp;COUNTIF($C$5:C66,C66))</f>
        <v/>
      </c>
      <c r="J66" s="10"/>
      <c r="K66" s="10" t="str">
        <f>IF($C66="","",$C66&amp;"|"&amp;COUNTIF($C$5:C66,$C66))</f>
        <v/>
      </c>
      <c r="L66" s="10" t="str">
        <f t="shared" si="1"/>
        <v/>
      </c>
      <c r="M66" s="26" t="str">
        <f t="shared" si="2"/>
        <v/>
      </c>
      <c r="N66" s="26" t="str">
        <f t="shared" si="3"/>
        <v/>
      </c>
      <c r="O66" s="26" t="str">
        <f t="shared" si="4"/>
        <v/>
      </c>
    </row>
    <row r="67" spans="3:15" ht="21.95" customHeight="1" x14ac:dyDescent="0.25">
      <c r="C67" s="12"/>
      <c r="D67" s="12"/>
      <c r="E67" s="12"/>
      <c r="F67" s="61"/>
      <c r="G67" s="16"/>
      <c r="H67" s="17" t="str">
        <f t="shared" si="0"/>
        <v/>
      </c>
      <c r="I67" s="26" t="str">
        <f>IF(C67="","",C67&amp;"|"&amp;COUNTIF($C$5:C67,C67))</f>
        <v/>
      </c>
      <c r="J67" s="10"/>
      <c r="K67" s="10" t="str">
        <f>IF($C67="","",$C67&amp;"|"&amp;COUNTIF($C$5:C67,$C67))</f>
        <v/>
      </c>
      <c r="L67" s="10" t="str">
        <f t="shared" si="1"/>
        <v/>
      </c>
      <c r="M67" s="26" t="str">
        <f t="shared" si="2"/>
        <v/>
      </c>
      <c r="N67" s="26" t="str">
        <f t="shared" si="3"/>
        <v/>
      </c>
      <c r="O67" s="26" t="str">
        <f t="shared" si="4"/>
        <v/>
      </c>
    </row>
    <row r="68" spans="3:15" ht="21.95" customHeight="1" x14ac:dyDescent="0.25">
      <c r="C68" s="12"/>
      <c r="D68" s="12"/>
      <c r="E68" s="12"/>
      <c r="F68" s="61"/>
      <c r="G68" s="16"/>
      <c r="H68" s="17" t="str">
        <f t="shared" si="0"/>
        <v/>
      </c>
      <c r="I68" s="26" t="str">
        <f>IF(C68="","",C68&amp;"|"&amp;COUNTIF($C$5:C68,C68))</f>
        <v/>
      </c>
      <c r="J68" s="10"/>
      <c r="K68" s="10" t="str">
        <f>IF($C68="","",$C68&amp;"|"&amp;COUNTIF($C$5:C68,$C68))</f>
        <v/>
      </c>
      <c r="L68" s="10" t="str">
        <f t="shared" si="1"/>
        <v/>
      </c>
      <c r="M68" s="26" t="str">
        <f t="shared" si="2"/>
        <v/>
      </c>
      <c r="N68" s="26" t="str">
        <f t="shared" si="3"/>
        <v/>
      </c>
      <c r="O68" s="26" t="str">
        <f t="shared" si="4"/>
        <v/>
      </c>
    </row>
    <row r="69" spans="3:15" ht="21.95" customHeight="1" x14ac:dyDescent="0.25">
      <c r="C69" s="12"/>
      <c r="D69" s="12"/>
      <c r="E69" s="12"/>
      <c r="F69" s="61"/>
      <c r="G69" s="16"/>
      <c r="H69" s="17" t="str">
        <f t="shared" ref="H69:H132" si="5">IF(OR(C69="",F69="",G69=""),"",F69*G69)</f>
        <v/>
      </c>
      <c r="I69" s="26" t="str">
        <f>IF(C69="","",C69&amp;"|"&amp;COUNTIF($C$5:C69,C69))</f>
        <v/>
      </c>
      <c r="J69" s="10"/>
      <c r="K69" s="10" t="str">
        <f>IF($C69="","",$C69&amp;"|"&amp;COUNTIF($C$5:C69,$C69))</f>
        <v/>
      </c>
      <c r="L69" s="10" t="str">
        <f t="shared" ref="L69:L132" si="6">IF($C69="","",$D69)</f>
        <v/>
      </c>
      <c r="M69" s="26" t="str">
        <f t="shared" ref="M69:M132" si="7">IF($C69="","",$E69)</f>
        <v/>
      </c>
      <c r="N69" s="26" t="str">
        <f t="shared" ref="N69:N132" si="8">IF($C69="","",$F69)</f>
        <v/>
      </c>
      <c r="O69" s="26" t="str">
        <f t="shared" ref="O69:O132" si="9">IF($C69="","",$H69)</f>
        <v/>
      </c>
    </row>
    <row r="70" spans="3:15" ht="21.95" customHeight="1" x14ac:dyDescent="0.25">
      <c r="C70" s="12"/>
      <c r="D70" s="12"/>
      <c r="E70" s="12"/>
      <c r="F70" s="61"/>
      <c r="G70" s="16"/>
      <c r="H70" s="17" t="str">
        <f t="shared" si="5"/>
        <v/>
      </c>
      <c r="I70" s="26" t="str">
        <f>IF(C70="","",C70&amp;"|"&amp;COUNTIF($C$5:C70,C70))</f>
        <v/>
      </c>
      <c r="J70" s="10"/>
      <c r="K70" s="10" t="str">
        <f>IF($C70="","",$C70&amp;"|"&amp;COUNTIF($C$5:C70,$C70))</f>
        <v/>
      </c>
      <c r="L70" s="10" t="str">
        <f t="shared" si="6"/>
        <v/>
      </c>
      <c r="M70" s="26" t="str">
        <f t="shared" si="7"/>
        <v/>
      </c>
      <c r="N70" s="26" t="str">
        <f t="shared" si="8"/>
        <v/>
      </c>
      <c r="O70" s="26" t="str">
        <f t="shared" si="9"/>
        <v/>
      </c>
    </row>
    <row r="71" spans="3:15" ht="21.95" customHeight="1" x14ac:dyDescent="0.25">
      <c r="C71" s="12"/>
      <c r="D71" s="12"/>
      <c r="E71" s="12"/>
      <c r="F71" s="61"/>
      <c r="G71" s="16"/>
      <c r="H71" s="17" t="str">
        <f t="shared" si="5"/>
        <v/>
      </c>
      <c r="I71" s="26" t="str">
        <f>IF(C71="","",C71&amp;"|"&amp;COUNTIF($C$5:C71,C71))</f>
        <v/>
      </c>
      <c r="J71" s="10"/>
      <c r="K71" s="10" t="str">
        <f>IF($C71="","",$C71&amp;"|"&amp;COUNTIF($C$5:C71,$C71))</f>
        <v/>
      </c>
      <c r="L71" s="10" t="str">
        <f t="shared" si="6"/>
        <v/>
      </c>
      <c r="M71" s="26" t="str">
        <f t="shared" si="7"/>
        <v/>
      </c>
      <c r="N71" s="26" t="str">
        <f t="shared" si="8"/>
        <v/>
      </c>
      <c r="O71" s="26" t="str">
        <f t="shared" si="9"/>
        <v/>
      </c>
    </row>
    <row r="72" spans="3:15" ht="21.95" customHeight="1" x14ac:dyDescent="0.25">
      <c r="C72" s="12"/>
      <c r="D72" s="12"/>
      <c r="E72" s="12"/>
      <c r="F72" s="61"/>
      <c r="G72" s="16"/>
      <c r="H72" s="17" t="str">
        <f t="shared" si="5"/>
        <v/>
      </c>
      <c r="I72" s="26" t="str">
        <f>IF(C72="","",C72&amp;"|"&amp;COUNTIF($C$5:C72,C72))</f>
        <v/>
      </c>
      <c r="J72" s="10"/>
      <c r="K72" s="10" t="str">
        <f>IF($C72="","",$C72&amp;"|"&amp;COUNTIF($C$5:C72,$C72))</f>
        <v/>
      </c>
      <c r="L72" s="10" t="str">
        <f t="shared" si="6"/>
        <v/>
      </c>
      <c r="M72" s="26" t="str">
        <f t="shared" si="7"/>
        <v/>
      </c>
      <c r="N72" s="26" t="str">
        <f t="shared" si="8"/>
        <v/>
      </c>
      <c r="O72" s="26" t="str">
        <f t="shared" si="9"/>
        <v/>
      </c>
    </row>
    <row r="73" spans="3:15" ht="21.95" customHeight="1" x14ac:dyDescent="0.25">
      <c r="C73" s="12"/>
      <c r="D73" s="12"/>
      <c r="E73" s="12"/>
      <c r="F73" s="61"/>
      <c r="G73" s="16"/>
      <c r="H73" s="17" t="str">
        <f t="shared" si="5"/>
        <v/>
      </c>
      <c r="I73" s="26" t="str">
        <f>IF(C73="","",C73&amp;"|"&amp;COUNTIF($C$5:C73,C73))</f>
        <v/>
      </c>
      <c r="J73" s="10"/>
      <c r="K73" s="10" t="str">
        <f>IF($C73="","",$C73&amp;"|"&amp;COUNTIF($C$5:C73,$C73))</f>
        <v/>
      </c>
      <c r="L73" s="10" t="str">
        <f t="shared" si="6"/>
        <v/>
      </c>
      <c r="M73" s="26" t="str">
        <f t="shared" si="7"/>
        <v/>
      </c>
      <c r="N73" s="26" t="str">
        <f t="shared" si="8"/>
        <v/>
      </c>
      <c r="O73" s="26" t="str">
        <f t="shared" si="9"/>
        <v/>
      </c>
    </row>
    <row r="74" spans="3:15" ht="21.95" customHeight="1" x14ac:dyDescent="0.25">
      <c r="C74" s="12"/>
      <c r="D74" s="12"/>
      <c r="E74" s="12"/>
      <c r="F74" s="61"/>
      <c r="G74" s="16"/>
      <c r="H74" s="17" t="str">
        <f t="shared" si="5"/>
        <v/>
      </c>
      <c r="I74" s="26" t="str">
        <f>IF(C74="","",C74&amp;"|"&amp;COUNTIF($C$5:C74,C74))</f>
        <v/>
      </c>
      <c r="J74" s="10"/>
      <c r="K74" s="10" t="str">
        <f>IF($C74="","",$C74&amp;"|"&amp;COUNTIF($C$5:C74,$C74))</f>
        <v/>
      </c>
      <c r="L74" s="10" t="str">
        <f t="shared" si="6"/>
        <v/>
      </c>
      <c r="M74" s="26" t="str">
        <f t="shared" si="7"/>
        <v/>
      </c>
      <c r="N74" s="26" t="str">
        <f t="shared" si="8"/>
        <v/>
      </c>
      <c r="O74" s="26" t="str">
        <f t="shared" si="9"/>
        <v/>
      </c>
    </row>
    <row r="75" spans="3:15" ht="21.95" customHeight="1" x14ac:dyDescent="0.25">
      <c r="C75" s="12"/>
      <c r="D75" s="12"/>
      <c r="E75" s="12"/>
      <c r="F75" s="61"/>
      <c r="G75" s="16"/>
      <c r="H75" s="17" t="str">
        <f t="shared" si="5"/>
        <v/>
      </c>
      <c r="I75" s="26" t="str">
        <f>IF(C75="","",C75&amp;"|"&amp;COUNTIF($C$5:C75,C75))</f>
        <v/>
      </c>
      <c r="J75" s="10"/>
      <c r="K75" s="10" t="str">
        <f>IF($C75="","",$C75&amp;"|"&amp;COUNTIF($C$5:C75,$C75))</f>
        <v/>
      </c>
      <c r="L75" s="10" t="str">
        <f t="shared" si="6"/>
        <v/>
      </c>
      <c r="M75" s="26" t="str">
        <f t="shared" si="7"/>
        <v/>
      </c>
      <c r="N75" s="26" t="str">
        <f t="shared" si="8"/>
        <v/>
      </c>
      <c r="O75" s="26" t="str">
        <f t="shared" si="9"/>
        <v/>
      </c>
    </row>
    <row r="76" spans="3:15" ht="21.95" customHeight="1" x14ac:dyDescent="0.25">
      <c r="C76" s="12"/>
      <c r="D76" s="12"/>
      <c r="E76" s="12"/>
      <c r="F76" s="61"/>
      <c r="G76" s="16"/>
      <c r="H76" s="17" t="str">
        <f t="shared" si="5"/>
        <v/>
      </c>
      <c r="I76" s="26" t="str">
        <f>IF(C76="","",C76&amp;"|"&amp;COUNTIF($C$5:C76,C76))</f>
        <v/>
      </c>
      <c r="J76" s="10"/>
      <c r="K76" s="10" t="str">
        <f>IF($C76="","",$C76&amp;"|"&amp;COUNTIF($C$5:C76,$C76))</f>
        <v/>
      </c>
      <c r="L76" s="10" t="str">
        <f t="shared" si="6"/>
        <v/>
      </c>
      <c r="M76" s="26" t="str">
        <f t="shared" si="7"/>
        <v/>
      </c>
      <c r="N76" s="26" t="str">
        <f t="shared" si="8"/>
        <v/>
      </c>
      <c r="O76" s="26" t="str">
        <f t="shared" si="9"/>
        <v/>
      </c>
    </row>
    <row r="77" spans="3:15" ht="21.95" customHeight="1" x14ac:dyDescent="0.25">
      <c r="C77" s="12"/>
      <c r="D77" s="12"/>
      <c r="E77" s="12"/>
      <c r="F77" s="61"/>
      <c r="G77" s="16"/>
      <c r="H77" s="17" t="str">
        <f t="shared" si="5"/>
        <v/>
      </c>
      <c r="I77" s="26" t="str">
        <f>IF(C77="","",C77&amp;"|"&amp;COUNTIF($C$5:C77,C77))</f>
        <v/>
      </c>
      <c r="J77" s="10"/>
      <c r="K77" s="10" t="str">
        <f>IF($C77="","",$C77&amp;"|"&amp;COUNTIF($C$5:C77,$C77))</f>
        <v/>
      </c>
      <c r="L77" s="10" t="str">
        <f t="shared" si="6"/>
        <v/>
      </c>
      <c r="M77" s="26" t="str">
        <f t="shared" si="7"/>
        <v/>
      </c>
      <c r="N77" s="26" t="str">
        <f t="shared" si="8"/>
        <v/>
      </c>
      <c r="O77" s="26" t="str">
        <f t="shared" si="9"/>
        <v/>
      </c>
    </row>
    <row r="78" spans="3:15" ht="21.95" customHeight="1" x14ac:dyDescent="0.25">
      <c r="C78" s="12"/>
      <c r="D78" s="12"/>
      <c r="E78" s="12"/>
      <c r="F78" s="61"/>
      <c r="G78" s="16"/>
      <c r="H78" s="17" t="str">
        <f t="shared" si="5"/>
        <v/>
      </c>
      <c r="I78" s="26" t="str">
        <f>IF(C78="","",C78&amp;"|"&amp;COUNTIF($C$5:C78,C78))</f>
        <v/>
      </c>
      <c r="J78" s="10"/>
      <c r="K78" s="10" t="str">
        <f>IF($C78="","",$C78&amp;"|"&amp;COUNTIF($C$5:C78,$C78))</f>
        <v/>
      </c>
      <c r="L78" s="10" t="str">
        <f t="shared" si="6"/>
        <v/>
      </c>
      <c r="M78" s="26" t="str">
        <f t="shared" si="7"/>
        <v/>
      </c>
      <c r="N78" s="26" t="str">
        <f t="shared" si="8"/>
        <v/>
      </c>
      <c r="O78" s="26" t="str">
        <f t="shared" si="9"/>
        <v/>
      </c>
    </row>
    <row r="79" spans="3:15" ht="21.95" customHeight="1" x14ac:dyDescent="0.25">
      <c r="C79" s="12"/>
      <c r="D79" s="12"/>
      <c r="E79" s="12"/>
      <c r="F79" s="61"/>
      <c r="G79" s="16"/>
      <c r="H79" s="17" t="str">
        <f t="shared" si="5"/>
        <v/>
      </c>
      <c r="I79" s="26" t="str">
        <f>IF(C79="","",C79&amp;"|"&amp;COUNTIF($C$5:C79,C79))</f>
        <v/>
      </c>
      <c r="J79" s="10"/>
      <c r="K79" s="10" t="str">
        <f>IF($C79="","",$C79&amp;"|"&amp;COUNTIF($C$5:C79,$C79))</f>
        <v/>
      </c>
      <c r="L79" s="10" t="str">
        <f t="shared" si="6"/>
        <v/>
      </c>
      <c r="M79" s="26" t="str">
        <f t="shared" si="7"/>
        <v/>
      </c>
      <c r="N79" s="26" t="str">
        <f t="shared" si="8"/>
        <v/>
      </c>
      <c r="O79" s="26" t="str">
        <f t="shared" si="9"/>
        <v/>
      </c>
    </row>
    <row r="80" spans="3:15" ht="21.95" customHeight="1" x14ac:dyDescent="0.25">
      <c r="C80" s="12"/>
      <c r="D80" s="12"/>
      <c r="E80" s="12"/>
      <c r="F80" s="61"/>
      <c r="G80" s="16"/>
      <c r="H80" s="17" t="str">
        <f t="shared" si="5"/>
        <v/>
      </c>
      <c r="I80" s="26" t="str">
        <f>IF(C80="","",C80&amp;"|"&amp;COUNTIF($C$5:C80,C80))</f>
        <v/>
      </c>
      <c r="J80" s="10"/>
      <c r="K80" s="10" t="str">
        <f>IF($C80="","",$C80&amp;"|"&amp;COUNTIF($C$5:C80,$C80))</f>
        <v/>
      </c>
      <c r="L80" s="10" t="str">
        <f t="shared" si="6"/>
        <v/>
      </c>
      <c r="M80" s="26" t="str">
        <f t="shared" si="7"/>
        <v/>
      </c>
      <c r="N80" s="26" t="str">
        <f t="shared" si="8"/>
        <v/>
      </c>
      <c r="O80" s="26" t="str">
        <f t="shared" si="9"/>
        <v/>
      </c>
    </row>
    <row r="81" spans="3:15" ht="21.95" customHeight="1" x14ac:dyDescent="0.25">
      <c r="C81" s="12"/>
      <c r="D81" s="12"/>
      <c r="E81" s="12"/>
      <c r="F81" s="61"/>
      <c r="G81" s="16"/>
      <c r="H81" s="17" t="str">
        <f t="shared" si="5"/>
        <v/>
      </c>
      <c r="I81" s="26" t="str">
        <f>IF(C81="","",C81&amp;"|"&amp;COUNTIF($C$5:C81,C81))</f>
        <v/>
      </c>
      <c r="J81" s="10"/>
      <c r="K81" s="10" t="str">
        <f>IF($C81="","",$C81&amp;"|"&amp;COUNTIF($C$5:C81,$C81))</f>
        <v/>
      </c>
      <c r="L81" s="10" t="str">
        <f t="shared" si="6"/>
        <v/>
      </c>
      <c r="M81" s="26" t="str">
        <f t="shared" si="7"/>
        <v/>
      </c>
      <c r="N81" s="26" t="str">
        <f t="shared" si="8"/>
        <v/>
      </c>
      <c r="O81" s="26" t="str">
        <f t="shared" si="9"/>
        <v/>
      </c>
    </row>
    <row r="82" spans="3:15" ht="21.95" customHeight="1" x14ac:dyDescent="0.25">
      <c r="C82" s="12"/>
      <c r="D82" s="12"/>
      <c r="E82" s="12"/>
      <c r="F82" s="61"/>
      <c r="G82" s="16"/>
      <c r="H82" s="17" t="str">
        <f t="shared" si="5"/>
        <v/>
      </c>
      <c r="I82" s="26" t="str">
        <f>IF(C82="","",C82&amp;"|"&amp;COUNTIF($C$5:C82,C82))</f>
        <v/>
      </c>
      <c r="J82" s="10"/>
      <c r="K82" s="10" t="str">
        <f>IF($C82="","",$C82&amp;"|"&amp;COUNTIF($C$5:C82,$C82))</f>
        <v/>
      </c>
      <c r="L82" s="10" t="str">
        <f t="shared" si="6"/>
        <v/>
      </c>
      <c r="M82" s="26" t="str">
        <f t="shared" si="7"/>
        <v/>
      </c>
      <c r="N82" s="26" t="str">
        <f t="shared" si="8"/>
        <v/>
      </c>
      <c r="O82" s="26" t="str">
        <f t="shared" si="9"/>
        <v/>
      </c>
    </row>
    <row r="83" spans="3:15" ht="21.95" customHeight="1" x14ac:dyDescent="0.25">
      <c r="C83" s="12"/>
      <c r="D83" s="12"/>
      <c r="E83" s="12"/>
      <c r="F83" s="61"/>
      <c r="G83" s="16"/>
      <c r="H83" s="17" t="str">
        <f t="shared" si="5"/>
        <v/>
      </c>
      <c r="I83" s="26" t="str">
        <f>IF(C83="","",C83&amp;"|"&amp;COUNTIF($C$5:C83,C83))</f>
        <v/>
      </c>
      <c r="J83" s="10"/>
      <c r="K83" s="10" t="str">
        <f>IF($C83="","",$C83&amp;"|"&amp;COUNTIF($C$5:C83,$C83))</f>
        <v/>
      </c>
      <c r="L83" s="10" t="str">
        <f t="shared" si="6"/>
        <v/>
      </c>
      <c r="M83" s="26" t="str">
        <f t="shared" si="7"/>
        <v/>
      </c>
      <c r="N83" s="26" t="str">
        <f t="shared" si="8"/>
        <v/>
      </c>
      <c r="O83" s="26" t="str">
        <f t="shared" si="9"/>
        <v/>
      </c>
    </row>
    <row r="84" spans="3:15" ht="21.95" customHeight="1" x14ac:dyDescent="0.25">
      <c r="C84" s="12"/>
      <c r="D84" s="12"/>
      <c r="E84" s="12"/>
      <c r="F84" s="61"/>
      <c r="G84" s="16"/>
      <c r="H84" s="17" t="str">
        <f t="shared" si="5"/>
        <v/>
      </c>
      <c r="I84" s="26" t="str">
        <f>IF(C84="","",C84&amp;"|"&amp;COUNTIF($C$5:C84,C84))</f>
        <v/>
      </c>
      <c r="J84" s="10"/>
      <c r="K84" s="10" t="str">
        <f>IF($C84="","",$C84&amp;"|"&amp;COUNTIF($C$5:C84,$C84))</f>
        <v/>
      </c>
      <c r="L84" s="10" t="str">
        <f t="shared" si="6"/>
        <v/>
      </c>
      <c r="M84" s="26" t="str">
        <f t="shared" si="7"/>
        <v/>
      </c>
      <c r="N84" s="26" t="str">
        <f t="shared" si="8"/>
        <v/>
      </c>
      <c r="O84" s="26" t="str">
        <f t="shared" si="9"/>
        <v/>
      </c>
    </row>
    <row r="85" spans="3:15" ht="21.95" customHeight="1" x14ac:dyDescent="0.25">
      <c r="C85" s="12"/>
      <c r="D85" s="12"/>
      <c r="E85" s="12"/>
      <c r="F85" s="61"/>
      <c r="G85" s="16"/>
      <c r="H85" s="17" t="str">
        <f t="shared" si="5"/>
        <v/>
      </c>
      <c r="I85" s="26" t="str">
        <f>IF(C85="","",C85&amp;"|"&amp;COUNTIF($C$5:C85,C85))</f>
        <v/>
      </c>
      <c r="J85" s="10"/>
      <c r="K85" s="10" t="str">
        <f>IF($C85="","",$C85&amp;"|"&amp;COUNTIF($C$5:C85,$C85))</f>
        <v/>
      </c>
      <c r="L85" s="10" t="str">
        <f t="shared" si="6"/>
        <v/>
      </c>
      <c r="M85" s="26" t="str">
        <f t="shared" si="7"/>
        <v/>
      </c>
      <c r="N85" s="26" t="str">
        <f t="shared" si="8"/>
        <v/>
      </c>
      <c r="O85" s="26" t="str">
        <f t="shared" si="9"/>
        <v/>
      </c>
    </row>
    <row r="86" spans="3:15" ht="21.95" customHeight="1" x14ac:dyDescent="0.25">
      <c r="C86" s="12"/>
      <c r="D86" s="12"/>
      <c r="E86" s="12"/>
      <c r="F86" s="61"/>
      <c r="G86" s="16"/>
      <c r="H86" s="17" t="str">
        <f t="shared" si="5"/>
        <v/>
      </c>
      <c r="I86" s="26" t="str">
        <f>IF(C86="","",C86&amp;"|"&amp;COUNTIF($C$5:C86,C86))</f>
        <v/>
      </c>
      <c r="J86" s="10"/>
      <c r="K86" s="10" t="str">
        <f>IF($C86="","",$C86&amp;"|"&amp;COUNTIF($C$5:C86,$C86))</f>
        <v/>
      </c>
      <c r="L86" s="10" t="str">
        <f t="shared" si="6"/>
        <v/>
      </c>
      <c r="M86" s="26" t="str">
        <f t="shared" si="7"/>
        <v/>
      </c>
      <c r="N86" s="26" t="str">
        <f t="shared" si="8"/>
        <v/>
      </c>
      <c r="O86" s="26" t="str">
        <f t="shared" si="9"/>
        <v/>
      </c>
    </row>
    <row r="87" spans="3:15" ht="21.95" customHeight="1" x14ac:dyDescent="0.25">
      <c r="C87" s="12"/>
      <c r="D87" s="12"/>
      <c r="E87" s="12"/>
      <c r="F87" s="61"/>
      <c r="G87" s="16"/>
      <c r="H87" s="17" t="str">
        <f t="shared" si="5"/>
        <v/>
      </c>
      <c r="I87" s="26" t="str">
        <f>IF(C87="","",C87&amp;"|"&amp;COUNTIF($C$5:C87,C87))</f>
        <v/>
      </c>
      <c r="J87" s="10"/>
      <c r="K87" s="10" t="str">
        <f>IF($C87="","",$C87&amp;"|"&amp;COUNTIF($C$5:C87,$C87))</f>
        <v/>
      </c>
      <c r="L87" s="10" t="str">
        <f t="shared" si="6"/>
        <v/>
      </c>
      <c r="M87" s="26" t="str">
        <f t="shared" si="7"/>
        <v/>
      </c>
      <c r="N87" s="26" t="str">
        <f t="shared" si="8"/>
        <v/>
      </c>
      <c r="O87" s="26" t="str">
        <f t="shared" si="9"/>
        <v/>
      </c>
    </row>
    <row r="88" spans="3:15" ht="21.95" customHeight="1" x14ac:dyDescent="0.25">
      <c r="C88" s="12"/>
      <c r="D88" s="12"/>
      <c r="E88" s="12"/>
      <c r="F88" s="61"/>
      <c r="G88" s="16"/>
      <c r="H88" s="17" t="str">
        <f t="shared" si="5"/>
        <v/>
      </c>
      <c r="I88" s="26" t="str">
        <f>IF(C88="","",C88&amp;"|"&amp;COUNTIF($C$5:C88,C88))</f>
        <v/>
      </c>
      <c r="J88" s="10"/>
      <c r="K88" s="10" t="str">
        <f>IF($C88="","",$C88&amp;"|"&amp;COUNTIF($C$5:C88,$C88))</f>
        <v/>
      </c>
      <c r="L88" s="10" t="str">
        <f t="shared" si="6"/>
        <v/>
      </c>
      <c r="M88" s="26" t="str">
        <f t="shared" si="7"/>
        <v/>
      </c>
      <c r="N88" s="26" t="str">
        <f t="shared" si="8"/>
        <v/>
      </c>
      <c r="O88" s="26" t="str">
        <f t="shared" si="9"/>
        <v/>
      </c>
    </row>
    <row r="89" spans="3:15" ht="21.95" customHeight="1" x14ac:dyDescent="0.25">
      <c r="C89" s="12"/>
      <c r="D89" s="12"/>
      <c r="E89" s="12"/>
      <c r="F89" s="61"/>
      <c r="G89" s="16"/>
      <c r="H89" s="17" t="str">
        <f t="shared" si="5"/>
        <v/>
      </c>
      <c r="I89" s="26" t="str">
        <f>IF(C89="","",C89&amp;"|"&amp;COUNTIF($C$5:C89,C89))</f>
        <v/>
      </c>
      <c r="J89" s="10"/>
      <c r="K89" s="10" t="str">
        <f>IF($C89="","",$C89&amp;"|"&amp;COUNTIF($C$5:C89,$C89))</f>
        <v/>
      </c>
      <c r="L89" s="10" t="str">
        <f t="shared" si="6"/>
        <v/>
      </c>
      <c r="M89" s="26" t="str">
        <f t="shared" si="7"/>
        <v/>
      </c>
      <c r="N89" s="26" t="str">
        <f t="shared" si="8"/>
        <v/>
      </c>
      <c r="O89" s="26" t="str">
        <f t="shared" si="9"/>
        <v/>
      </c>
    </row>
    <row r="90" spans="3:15" ht="21.95" customHeight="1" x14ac:dyDescent="0.25">
      <c r="C90" s="12"/>
      <c r="D90" s="12"/>
      <c r="E90" s="12"/>
      <c r="F90" s="61"/>
      <c r="G90" s="16"/>
      <c r="H90" s="17" t="str">
        <f t="shared" si="5"/>
        <v/>
      </c>
      <c r="I90" s="26" t="str">
        <f>IF(C90="","",C90&amp;"|"&amp;COUNTIF($C$5:C90,C90))</f>
        <v/>
      </c>
      <c r="J90" s="10"/>
      <c r="K90" s="10" t="str">
        <f>IF($C90="","",$C90&amp;"|"&amp;COUNTIF($C$5:C90,$C90))</f>
        <v/>
      </c>
      <c r="L90" s="10" t="str">
        <f t="shared" si="6"/>
        <v/>
      </c>
      <c r="M90" s="26" t="str">
        <f t="shared" si="7"/>
        <v/>
      </c>
      <c r="N90" s="26" t="str">
        <f t="shared" si="8"/>
        <v/>
      </c>
      <c r="O90" s="26" t="str">
        <f t="shared" si="9"/>
        <v/>
      </c>
    </row>
    <row r="91" spans="3:15" ht="21.95" customHeight="1" x14ac:dyDescent="0.25">
      <c r="C91" s="12"/>
      <c r="D91" s="12"/>
      <c r="E91" s="12"/>
      <c r="F91" s="61"/>
      <c r="G91" s="16"/>
      <c r="H91" s="17" t="str">
        <f t="shared" si="5"/>
        <v/>
      </c>
      <c r="I91" s="26" t="str">
        <f>IF(C91="","",C91&amp;"|"&amp;COUNTIF($C$5:C91,C91))</f>
        <v/>
      </c>
      <c r="J91" s="10"/>
      <c r="K91" s="10" t="str">
        <f>IF($C91="","",$C91&amp;"|"&amp;COUNTIF($C$5:C91,$C91))</f>
        <v/>
      </c>
      <c r="L91" s="10" t="str">
        <f t="shared" si="6"/>
        <v/>
      </c>
      <c r="M91" s="26" t="str">
        <f t="shared" si="7"/>
        <v/>
      </c>
      <c r="N91" s="26" t="str">
        <f t="shared" si="8"/>
        <v/>
      </c>
      <c r="O91" s="26" t="str">
        <f t="shared" si="9"/>
        <v/>
      </c>
    </row>
    <row r="92" spans="3:15" ht="21.95" customHeight="1" x14ac:dyDescent="0.25">
      <c r="C92" s="12"/>
      <c r="D92" s="12"/>
      <c r="E92" s="12"/>
      <c r="F92" s="61"/>
      <c r="G92" s="16"/>
      <c r="H92" s="17" t="str">
        <f t="shared" si="5"/>
        <v/>
      </c>
      <c r="I92" s="26" t="str">
        <f>IF(C92="","",C92&amp;"|"&amp;COUNTIF($C$5:C92,C92))</f>
        <v/>
      </c>
      <c r="J92" s="10"/>
      <c r="K92" s="10" t="str">
        <f>IF($C92="","",$C92&amp;"|"&amp;COUNTIF($C$5:C92,$C92))</f>
        <v/>
      </c>
      <c r="L92" s="10" t="str">
        <f t="shared" si="6"/>
        <v/>
      </c>
      <c r="M92" s="26" t="str">
        <f t="shared" si="7"/>
        <v/>
      </c>
      <c r="N92" s="26" t="str">
        <f t="shared" si="8"/>
        <v/>
      </c>
      <c r="O92" s="26" t="str">
        <f t="shared" si="9"/>
        <v/>
      </c>
    </row>
    <row r="93" spans="3:15" ht="21.95" customHeight="1" x14ac:dyDescent="0.25">
      <c r="C93" s="12"/>
      <c r="D93" s="12"/>
      <c r="E93" s="12"/>
      <c r="F93" s="61"/>
      <c r="G93" s="16"/>
      <c r="H93" s="17" t="str">
        <f t="shared" si="5"/>
        <v/>
      </c>
      <c r="I93" s="26" t="str">
        <f>IF(C93="","",C93&amp;"|"&amp;COUNTIF($C$5:C93,C93))</f>
        <v/>
      </c>
      <c r="J93" s="10"/>
      <c r="K93" s="10" t="str">
        <f>IF($C93="","",$C93&amp;"|"&amp;COUNTIF($C$5:C93,$C93))</f>
        <v/>
      </c>
      <c r="L93" s="10" t="str">
        <f t="shared" si="6"/>
        <v/>
      </c>
      <c r="M93" s="26" t="str">
        <f t="shared" si="7"/>
        <v/>
      </c>
      <c r="N93" s="26" t="str">
        <f t="shared" si="8"/>
        <v/>
      </c>
      <c r="O93" s="26" t="str">
        <f t="shared" si="9"/>
        <v/>
      </c>
    </row>
    <row r="94" spans="3:15" ht="21.95" customHeight="1" x14ac:dyDescent="0.25">
      <c r="C94" s="12"/>
      <c r="D94" s="12"/>
      <c r="E94" s="12"/>
      <c r="F94" s="61"/>
      <c r="G94" s="16"/>
      <c r="H94" s="17" t="str">
        <f t="shared" si="5"/>
        <v/>
      </c>
      <c r="I94" s="26" t="str">
        <f>IF(C94="","",C94&amp;"|"&amp;COUNTIF($C$5:C94,C94))</f>
        <v/>
      </c>
      <c r="J94" s="10"/>
      <c r="K94" s="10" t="str">
        <f>IF($C94="","",$C94&amp;"|"&amp;COUNTIF($C$5:C94,$C94))</f>
        <v/>
      </c>
      <c r="L94" s="10" t="str">
        <f t="shared" si="6"/>
        <v/>
      </c>
      <c r="M94" s="26" t="str">
        <f t="shared" si="7"/>
        <v/>
      </c>
      <c r="N94" s="26" t="str">
        <f t="shared" si="8"/>
        <v/>
      </c>
      <c r="O94" s="26" t="str">
        <f t="shared" si="9"/>
        <v/>
      </c>
    </row>
    <row r="95" spans="3:15" ht="21.95" customHeight="1" x14ac:dyDescent="0.25">
      <c r="C95" s="12"/>
      <c r="D95" s="12"/>
      <c r="E95" s="12"/>
      <c r="F95" s="61"/>
      <c r="G95" s="16"/>
      <c r="H95" s="17" t="str">
        <f t="shared" si="5"/>
        <v/>
      </c>
      <c r="I95" s="26" t="str">
        <f>IF(C95="","",C95&amp;"|"&amp;COUNTIF($C$5:C95,C95))</f>
        <v/>
      </c>
      <c r="J95" s="10"/>
      <c r="K95" s="10" t="str">
        <f>IF($C95="","",$C95&amp;"|"&amp;COUNTIF($C$5:C95,$C95))</f>
        <v/>
      </c>
      <c r="L95" s="10" t="str">
        <f t="shared" si="6"/>
        <v/>
      </c>
      <c r="M95" s="26" t="str">
        <f t="shared" si="7"/>
        <v/>
      </c>
      <c r="N95" s="26" t="str">
        <f t="shared" si="8"/>
        <v/>
      </c>
      <c r="O95" s="26" t="str">
        <f t="shared" si="9"/>
        <v/>
      </c>
    </row>
    <row r="96" spans="3:15" ht="21.95" customHeight="1" x14ac:dyDescent="0.25">
      <c r="C96" s="12"/>
      <c r="D96" s="12"/>
      <c r="E96" s="12"/>
      <c r="F96" s="61"/>
      <c r="G96" s="16"/>
      <c r="H96" s="17" t="str">
        <f t="shared" si="5"/>
        <v/>
      </c>
      <c r="I96" s="26" t="str">
        <f>IF(C96="","",C96&amp;"|"&amp;COUNTIF($C$5:C96,C96))</f>
        <v/>
      </c>
      <c r="J96" s="10"/>
      <c r="K96" s="10" t="str">
        <f>IF($C96="","",$C96&amp;"|"&amp;COUNTIF($C$5:C96,$C96))</f>
        <v/>
      </c>
      <c r="L96" s="10" t="str">
        <f t="shared" si="6"/>
        <v/>
      </c>
      <c r="M96" s="26" t="str">
        <f t="shared" si="7"/>
        <v/>
      </c>
      <c r="N96" s="26" t="str">
        <f t="shared" si="8"/>
        <v/>
      </c>
      <c r="O96" s="26" t="str">
        <f t="shared" si="9"/>
        <v/>
      </c>
    </row>
    <row r="97" spans="3:15" ht="21.95" customHeight="1" x14ac:dyDescent="0.25">
      <c r="C97" s="12"/>
      <c r="D97" s="12"/>
      <c r="E97" s="12"/>
      <c r="F97" s="61"/>
      <c r="G97" s="16"/>
      <c r="H97" s="17" t="str">
        <f t="shared" si="5"/>
        <v/>
      </c>
      <c r="I97" s="26" t="str">
        <f>IF(C97="","",C97&amp;"|"&amp;COUNTIF($C$5:C97,C97))</f>
        <v/>
      </c>
      <c r="J97" s="10"/>
      <c r="K97" s="10" t="str">
        <f>IF($C97="","",$C97&amp;"|"&amp;COUNTIF($C$5:C97,$C97))</f>
        <v/>
      </c>
      <c r="L97" s="10" t="str">
        <f t="shared" si="6"/>
        <v/>
      </c>
      <c r="M97" s="26" t="str">
        <f t="shared" si="7"/>
        <v/>
      </c>
      <c r="N97" s="26" t="str">
        <f t="shared" si="8"/>
        <v/>
      </c>
      <c r="O97" s="26" t="str">
        <f t="shared" si="9"/>
        <v/>
      </c>
    </row>
    <row r="98" spans="3:15" ht="21.95" customHeight="1" x14ac:dyDescent="0.25">
      <c r="C98" s="12"/>
      <c r="D98" s="12"/>
      <c r="E98" s="12"/>
      <c r="F98" s="61"/>
      <c r="G98" s="16"/>
      <c r="H98" s="17" t="str">
        <f t="shared" si="5"/>
        <v/>
      </c>
      <c r="I98" s="26" t="str">
        <f>IF(C98="","",C98&amp;"|"&amp;COUNTIF($C$5:C98,C98))</f>
        <v/>
      </c>
      <c r="J98" s="10"/>
      <c r="K98" s="10" t="str">
        <f>IF($C98="","",$C98&amp;"|"&amp;COUNTIF($C$5:C98,$C98))</f>
        <v/>
      </c>
      <c r="L98" s="10" t="str">
        <f t="shared" si="6"/>
        <v/>
      </c>
      <c r="M98" s="26" t="str">
        <f t="shared" si="7"/>
        <v/>
      </c>
      <c r="N98" s="26" t="str">
        <f t="shared" si="8"/>
        <v/>
      </c>
      <c r="O98" s="26" t="str">
        <f t="shared" si="9"/>
        <v/>
      </c>
    </row>
    <row r="99" spans="3:15" ht="21.95" customHeight="1" x14ac:dyDescent="0.25">
      <c r="C99" s="12"/>
      <c r="D99" s="12"/>
      <c r="E99" s="12"/>
      <c r="F99" s="61"/>
      <c r="G99" s="16"/>
      <c r="H99" s="17" t="str">
        <f t="shared" si="5"/>
        <v/>
      </c>
      <c r="I99" s="26" t="str">
        <f>IF(C99="","",C99&amp;"|"&amp;COUNTIF($C$5:C99,C99))</f>
        <v/>
      </c>
      <c r="J99" s="10"/>
      <c r="K99" s="10" t="str">
        <f>IF($C99="","",$C99&amp;"|"&amp;COUNTIF($C$5:C99,$C99))</f>
        <v/>
      </c>
      <c r="L99" s="10" t="str">
        <f t="shared" si="6"/>
        <v/>
      </c>
      <c r="M99" s="26" t="str">
        <f t="shared" si="7"/>
        <v/>
      </c>
      <c r="N99" s="26" t="str">
        <f t="shared" si="8"/>
        <v/>
      </c>
      <c r="O99" s="26" t="str">
        <f t="shared" si="9"/>
        <v/>
      </c>
    </row>
    <row r="100" spans="3:15" ht="21.95" customHeight="1" x14ac:dyDescent="0.25">
      <c r="C100" s="12"/>
      <c r="D100" s="12"/>
      <c r="E100" s="12"/>
      <c r="F100" s="61"/>
      <c r="G100" s="16"/>
      <c r="H100" s="17" t="str">
        <f t="shared" si="5"/>
        <v/>
      </c>
      <c r="I100" s="26" t="str">
        <f>IF(C100="","",C100&amp;"|"&amp;COUNTIF($C$5:C100,C100))</f>
        <v/>
      </c>
      <c r="J100" s="10"/>
      <c r="K100" s="10" t="str">
        <f>IF($C100="","",$C100&amp;"|"&amp;COUNTIF($C$5:C100,$C100))</f>
        <v/>
      </c>
      <c r="L100" s="10" t="str">
        <f t="shared" si="6"/>
        <v/>
      </c>
      <c r="M100" s="26" t="str">
        <f t="shared" si="7"/>
        <v/>
      </c>
      <c r="N100" s="26" t="str">
        <f t="shared" si="8"/>
        <v/>
      </c>
      <c r="O100" s="26" t="str">
        <f t="shared" si="9"/>
        <v/>
      </c>
    </row>
    <row r="101" spans="3:15" ht="21.95" customHeight="1" x14ac:dyDescent="0.25">
      <c r="C101" s="12"/>
      <c r="D101" s="12"/>
      <c r="E101" s="12"/>
      <c r="F101" s="61"/>
      <c r="G101" s="16"/>
      <c r="H101" s="17" t="str">
        <f t="shared" si="5"/>
        <v/>
      </c>
      <c r="I101" s="26" t="str">
        <f>IF(C101="","",C101&amp;"|"&amp;COUNTIF($C$5:C101,C101))</f>
        <v/>
      </c>
      <c r="J101" s="10"/>
      <c r="K101" s="10" t="str">
        <f>IF($C101="","",$C101&amp;"|"&amp;COUNTIF($C$5:C101,$C101))</f>
        <v/>
      </c>
      <c r="L101" s="10" t="str">
        <f t="shared" si="6"/>
        <v/>
      </c>
      <c r="M101" s="26" t="str">
        <f t="shared" si="7"/>
        <v/>
      </c>
      <c r="N101" s="26" t="str">
        <f t="shared" si="8"/>
        <v/>
      </c>
      <c r="O101" s="26" t="str">
        <f t="shared" si="9"/>
        <v/>
      </c>
    </row>
    <row r="102" spans="3:15" ht="21.95" customHeight="1" x14ac:dyDescent="0.25">
      <c r="C102" s="12"/>
      <c r="D102" s="12"/>
      <c r="E102" s="12"/>
      <c r="F102" s="61"/>
      <c r="G102" s="16"/>
      <c r="H102" s="17" t="str">
        <f t="shared" si="5"/>
        <v/>
      </c>
      <c r="I102" s="26" t="str">
        <f>IF(C102="","",C102&amp;"|"&amp;COUNTIF($C$5:C102,C102))</f>
        <v/>
      </c>
      <c r="J102" s="10"/>
      <c r="K102" s="10" t="str">
        <f>IF($C102="","",$C102&amp;"|"&amp;COUNTIF($C$5:C102,$C102))</f>
        <v/>
      </c>
      <c r="L102" s="10" t="str">
        <f t="shared" si="6"/>
        <v/>
      </c>
      <c r="M102" s="26" t="str">
        <f t="shared" si="7"/>
        <v/>
      </c>
      <c r="N102" s="26" t="str">
        <f t="shared" si="8"/>
        <v/>
      </c>
      <c r="O102" s="26" t="str">
        <f t="shared" si="9"/>
        <v/>
      </c>
    </row>
    <row r="103" spans="3:15" ht="21.95" customHeight="1" x14ac:dyDescent="0.25">
      <c r="C103" s="12"/>
      <c r="D103" s="12"/>
      <c r="E103" s="12"/>
      <c r="F103" s="61"/>
      <c r="G103" s="16"/>
      <c r="H103" s="17" t="str">
        <f t="shared" si="5"/>
        <v/>
      </c>
      <c r="I103" s="26" t="str">
        <f>IF(C103="","",C103&amp;"|"&amp;COUNTIF($C$5:C103,C103))</f>
        <v/>
      </c>
      <c r="J103" s="10"/>
      <c r="K103" s="10" t="str">
        <f>IF($C103="","",$C103&amp;"|"&amp;COUNTIF($C$5:C103,$C103))</f>
        <v/>
      </c>
      <c r="L103" s="10" t="str">
        <f t="shared" si="6"/>
        <v/>
      </c>
      <c r="M103" s="26" t="str">
        <f t="shared" si="7"/>
        <v/>
      </c>
      <c r="N103" s="26" t="str">
        <f t="shared" si="8"/>
        <v/>
      </c>
      <c r="O103" s="26" t="str">
        <f t="shared" si="9"/>
        <v/>
      </c>
    </row>
    <row r="104" spans="3:15" ht="21.95" customHeight="1" x14ac:dyDescent="0.25">
      <c r="C104" s="12"/>
      <c r="D104" s="12"/>
      <c r="E104" s="12"/>
      <c r="F104" s="61"/>
      <c r="G104" s="16"/>
      <c r="H104" s="17" t="str">
        <f t="shared" si="5"/>
        <v/>
      </c>
      <c r="I104" s="26" t="str">
        <f>IF(C104="","",C104&amp;"|"&amp;COUNTIF($C$5:C104,C104))</f>
        <v/>
      </c>
      <c r="J104" s="10"/>
      <c r="K104" s="10" t="str">
        <f>IF($C104="","",$C104&amp;"|"&amp;COUNTIF($C$5:C104,$C104))</f>
        <v/>
      </c>
      <c r="L104" s="10" t="str">
        <f t="shared" si="6"/>
        <v/>
      </c>
      <c r="M104" s="26" t="str">
        <f t="shared" si="7"/>
        <v/>
      </c>
      <c r="N104" s="26" t="str">
        <f t="shared" si="8"/>
        <v/>
      </c>
      <c r="O104" s="26" t="str">
        <f t="shared" si="9"/>
        <v/>
      </c>
    </row>
    <row r="105" spans="3:15" ht="21.95" customHeight="1" x14ac:dyDescent="0.25">
      <c r="C105" s="12"/>
      <c r="D105" s="12"/>
      <c r="E105" s="12"/>
      <c r="F105" s="61"/>
      <c r="G105" s="16"/>
      <c r="H105" s="17" t="str">
        <f t="shared" si="5"/>
        <v/>
      </c>
      <c r="I105" s="26" t="str">
        <f>IF(C105="","",C105&amp;"|"&amp;COUNTIF($C$5:C105,C105))</f>
        <v/>
      </c>
      <c r="J105" s="10"/>
      <c r="K105" s="10" t="str">
        <f>IF($C105="","",$C105&amp;"|"&amp;COUNTIF($C$5:C105,$C105))</f>
        <v/>
      </c>
      <c r="L105" s="10" t="str">
        <f t="shared" si="6"/>
        <v/>
      </c>
      <c r="M105" s="26" t="str">
        <f t="shared" si="7"/>
        <v/>
      </c>
      <c r="N105" s="26" t="str">
        <f t="shared" si="8"/>
        <v/>
      </c>
      <c r="O105" s="26" t="str">
        <f t="shared" si="9"/>
        <v/>
      </c>
    </row>
    <row r="106" spans="3:15" ht="21.95" customHeight="1" x14ac:dyDescent="0.25">
      <c r="C106" s="12"/>
      <c r="D106" s="12"/>
      <c r="E106" s="12"/>
      <c r="F106" s="61"/>
      <c r="G106" s="16"/>
      <c r="H106" s="17" t="str">
        <f t="shared" si="5"/>
        <v/>
      </c>
      <c r="I106" s="26" t="str">
        <f>IF(C106="","",C106&amp;"|"&amp;COUNTIF($C$5:C106,C106))</f>
        <v/>
      </c>
      <c r="J106" s="10"/>
      <c r="K106" s="10" t="str">
        <f>IF($C106="","",$C106&amp;"|"&amp;COUNTIF($C$5:C106,$C106))</f>
        <v/>
      </c>
      <c r="L106" s="10" t="str">
        <f t="shared" si="6"/>
        <v/>
      </c>
      <c r="M106" s="26" t="str">
        <f t="shared" si="7"/>
        <v/>
      </c>
      <c r="N106" s="26" t="str">
        <f t="shared" si="8"/>
        <v/>
      </c>
      <c r="O106" s="26" t="str">
        <f t="shared" si="9"/>
        <v/>
      </c>
    </row>
    <row r="107" spans="3:15" ht="21.95" customHeight="1" x14ac:dyDescent="0.25">
      <c r="C107" s="12"/>
      <c r="D107" s="12"/>
      <c r="E107" s="12"/>
      <c r="F107" s="61"/>
      <c r="G107" s="16"/>
      <c r="H107" s="17" t="str">
        <f t="shared" si="5"/>
        <v/>
      </c>
      <c r="I107" s="26" t="str">
        <f>IF(C107="","",C107&amp;"|"&amp;COUNTIF($C$5:C107,C107))</f>
        <v/>
      </c>
      <c r="J107" s="10"/>
      <c r="K107" s="10" t="str">
        <f>IF($C107="","",$C107&amp;"|"&amp;COUNTIF($C$5:C107,$C107))</f>
        <v/>
      </c>
      <c r="L107" s="10" t="str">
        <f t="shared" si="6"/>
        <v/>
      </c>
      <c r="M107" s="26" t="str">
        <f t="shared" si="7"/>
        <v/>
      </c>
      <c r="N107" s="26" t="str">
        <f t="shared" si="8"/>
        <v/>
      </c>
      <c r="O107" s="26" t="str">
        <f t="shared" si="9"/>
        <v/>
      </c>
    </row>
    <row r="108" spans="3:15" ht="21.95" customHeight="1" x14ac:dyDescent="0.25">
      <c r="C108" s="12"/>
      <c r="D108" s="12"/>
      <c r="E108" s="12"/>
      <c r="F108" s="61"/>
      <c r="G108" s="16"/>
      <c r="H108" s="17" t="str">
        <f t="shared" si="5"/>
        <v/>
      </c>
      <c r="I108" s="26" t="str">
        <f>IF(C108="","",C108&amp;"|"&amp;COUNTIF($C$5:C108,C108))</f>
        <v/>
      </c>
      <c r="J108" s="10"/>
      <c r="K108" s="10" t="str">
        <f>IF($C108="","",$C108&amp;"|"&amp;COUNTIF($C$5:C108,$C108))</f>
        <v/>
      </c>
      <c r="L108" s="10" t="str">
        <f t="shared" si="6"/>
        <v/>
      </c>
      <c r="M108" s="26" t="str">
        <f t="shared" si="7"/>
        <v/>
      </c>
      <c r="N108" s="26" t="str">
        <f t="shared" si="8"/>
        <v/>
      </c>
      <c r="O108" s="26" t="str">
        <f t="shared" si="9"/>
        <v/>
      </c>
    </row>
    <row r="109" spans="3:15" ht="21.95" customHeight="1" x14ac:dyDescent="0.25">
      <c r="C109" s="12"/>
      <c r="D109" s="12"/>
      <c r="E109" s="12"/>
      <c r="F109" s="61"/>
      <c r="G109" s="16"/>
      <c r="H109" s="17" t="str">
        <f t="shared" si="5"/>
        <v/>
      </c>
      <c r="I109" s="26" t="str">
        <f>IF(C109="","",C109&amp;"|"&amp;COUNTIF($C$5:C109,C109))</f>
        <v/>
      </c>
      <c r="J109" s="10"/>
      <c r="K109" s="10" t="str">
        <f>IF($C109="","",$C109&amp;"|"&amp;COUNTIF($C$5:C109,$C109))</f>
        <v/>
      </c>
      <c r="L109" s="10" t="str">
        <f t="shared" si="6"/>
        <v/>
      </c>
      <c r="M109" s="26" t="str">
        <f t="shared" si="7"/>
        <v/>
      </c>
      <c r="N109" s="26" t="str">
        <f t="shared" si="8"/>
        <v/>
      </c>
      <c r="O109" s="26" t="str">
        <f t="shared" si="9"/>
        <v/>
      </c>
    </row>
    <row r="110" spans="3:15" ht="21.95" customHeight="1" x14ac:dyDescent="0.25">
      <c r="C110" s="12"/>
      <c r="D110" s="12"/>
      <c r="E110" s="12"/>
      <c r="F110" s="61"/>
      <c r="G110" s="16"/>
      <c r="H110" s="17" t="str">
        <f t="shared" si="5"/>
        <v/>
      </c>
      <c r="I110" s="26" t="str">
        <f>IF(C110="","",C110&amp;"|"&amp;COUNTIF($C$5:C110,C110))</f>
        <v/>
      </c>
      <c r="J110" s="10"/>
      <c r="K110" s="10" t="str">
        <f>IF($C110="","",$C110&amp;"|"&amp;COUNTIF($C$5:C110,$C110))</f>
        <v/>
      </c>
      <c r="L110" s="10" t="str">
        <f t="shared" si="6"/>
        <v/>
      </c>
      <c r="M110" s="26" t="str">
        <f t="shared" si="7"/>
        <v/>
      </c>
      <c r="N110" s="26" t="str">
        <f t="shared" si="8"/>
        <v/>
      </c>
      <c r="O110" s="26" t="str">
        <f t="shared" si="9"/>
        <v/>
      </c>
    </row>
    <row r="111" spans="3:15" ht="21.95" customHeight="1" x14ac:dyDescent="0.25">
      <c r="C111" s="12"/>
      <c r="D111" s="12"/>
      <c r="E111" s="12"/>
      <c r="F111" s="61"/>
      <c r="G111" s="16"/>
      <c r="H111" s="17" t="str">
        <f t="shared" si="5"/>
        <v/>
      </c>
      <c r="I111" s="26" t="str">
        <f>IF(C111="","",C111&amp;"|"&amp;COUNTIF($C$5:C111,C111))</f>
        <v/>
      </c>
      <c r="J111" s="10"/>
      <c r="K111" s="10" t="str">
        <f>IF($C111="","",$C111&amp;"|"&amp;COUNTIF($C$5:C111,$C111))</f>
        <v/>
      </c>
      <c r="L111" s="10" t="str">
        <f t="shared" si="6"/>
        <v/>
      </c>
      <c r="M111" s="26" t="str">
        <f t="shared" si="7"/>
        <v/>
      </c>
      <c r="N111" s="26" t="str">
        <f t="shared" si="8"/>
        <v/>
      </c>
      <c r="O111" s="26" t="str">
        <f t="shared" si="9"/>
        <v/>
      </c>
    </row>
    <row r="112" spans="3:15" ht="21.95" customHeight="1" x14ac:dyDescent="0.25">
      <c r="C112" s="12"/>
      <c r="D112" s="12"/>
      <c r="E112" s="12"/>
      <c r="F112" s="61"/>
      <c r="G112" s="16"/>
      <c r="H112" s="17" t="str">
        <f t="shared" si="5"/>
        <v/>
      </c>
      <c r="I112" s="26" t="str">
        <f>IF(C112="","",C112&amp;"|"&amp;COUNTIF($C$5:C112,C112))</f>
        <v/>
      </c>
      <c r="J112" s="10"/>
      <c r="K112" s="10" t="str">
        <f>IF($C112="","",$C112&amp;"|"&amp;COUNTIF($C$5:C112,$C112))</f>
        <v/>
      </c>
      <c r="L112" s="10" t="str">
        <f t="shared" si="6"/>
        <v/>
      </c>
      <c r="M112" s="26" t="str">
        <f t="shared" si="7"/>
        <v/>
      </c>
      <c r="N112" s="26" t="str">
        <f t="shared" si="8"/>
        <v/>
      </c>
      <c r="O112" s="26" t="str">
        <f t="shared" si="9"/>
        <v/>
      </c>
    </row>
    <row r="113" spans="3:15" ht="21.95" customHeight="1" x14ac:dyDescent="0.25">
      <c r="C113" s="12"/>
      <c r="D113" s="12"/>
      <c r="E113" s="12"/>
      <c r="F113" s="61"/>
      <c r="G113" s="16"/>
      <c r="H113" s="17" t="str">
        <f t="shared" si="5"/>
        <v/>
      </c>
      <c r="I113" s="26" t="str">
        <f>IF(C113="","",C113&amp;"|"&amp;COUNTIF($C$5:C113,C113))</f>
        <v/>
      </c>
      <c r="J113" s="10"/>
      <c r="K113" s="10" t="str">
        <f>IF($C113="","",$C113&amp;"|"&amp;COUNTIF($C$5:C113,$C113))</f>
        <v/>
      </c>
      <c r="L113" s="10" t="str">
        <f t="shared" si="6"/>
        <v/>
      </c>
      <c r="M113" s="26" t="str">
        <f t="shared" si="7"/>
        <v/>
      </c>
      <c r="N113" s="26" t="str">
        <f t="shared" si="8"/>
        <v/>
      </c>
      <c r="O113" s="26" t="str">
        <f t="shared" si="9"/>
        <v/>
      </c>
    </row>
    <row r="114" spans="3:15" ht="21.95" customHeight="1" x14ac:dyDescent="0.25">
      <c r="C114" s="12"/>
      <c r="D114" s="12"/>
      <c r="E114" s="12"/>
      <c r="F114" s="61"/>
      <c r="G114" s="16"/>
      <c r="H114" s="17" t="str">
        <f t="shared" si="5"/>
        <v/>
      </c>
      <c r="I114" s="26" t="str">
        <f>IF(C114="","",C114&amp;"|"&amp;COUNTIF($C$5:C114,C114))</f>
        <v/>
      </c>
      <c r="J114" s="10"/>
      <c r="K114" s="10" t="str">
        <f>IF($C114="","",$C114&amp;"|"&amp;COUNTIF($C$5:C114,$C114))</f>
        <v/>
      </c>
      <c r="L114" s="10" t="str">
        <f t="shared" si="6"/>
        <v/>
      </c>
      <c r="M114" s="26" t="str">
        <f t="shared" si="7"/>
        <v/>
      </c>
      <c r="N114" s="26" t="str">
        <f t="shared" si="8"/>
        <v/>
      </c>
      <c r="O114" s="26" t="str">
        <f t="shared" si="9"/>
        <v/>
      </c>
    </row>
    <row r="115" spans="3:15" ht="21.95" customHeight="1" x14ac:dyDescent="0.25">
      <c r="C115" s="12"/>
      <c r="D115" s="12"/>
      <c r="E115" s="12"/>
      <c r="F115" s="61"/>
      <c r="G115" s="16"/>
      <c r="H115" s="17" t="str">
        <f t="shared" si="5"/>
        <v/>
      </c>
      <c r="I115" s="26" t="str">
        <f>IF(C115="","",C115&amp;"|"&amp;COUNTIF($C$5:C115,C115))</f>
        <v/>
      </c>
      <c r="J115" s="10"/>
      <c r="K115" s="10" t="str">
        <f>IF($C115="","",$C115&amp;"|"&amp;COUNTIF($C$5:C115,$C115))</f>
        <v/>
      </c>
      <c r="L115" s="10" t="str">
        <f t="shared" si="6"/>
        <v/>
      </c>
      <c r="M115" s="26" t="str">
        <f t="shared" si="7"/>
        <v/>
      </c>
      <c r="N115" s="26" t="str">
        <f t="shared" si="8"/>
        <v/>
      </c>
      <c r="O115" s="26" t="str">
        <f t="shared" si="9"/>
        <v/>
      </c>
    </row>
    <row r="116" spans="3:15" ht="21.95" customHeight="1" x14ac:dyDescent="0.25">
      <c r="C116" s="12"/>
      <c r="D116" s="12"/>
      <c r="E116" s="12"/>
      <c r="F116" s="61"/>
      <c r="G116" s="16"/>
      <c r="H116" s="17" t="str">
        <f t="shared" si="5"/>
        <v/>
      </c>
      <c r="I116" s="26" t="str">
        <f>IF(C116="","",C116&amp;"|"&amp;COUNTIF($C$5:C116,C116))</f>
        <v/>
      </c>
      <c r="J116" s="10"/>
      <c r="K116" s="10" t="str">
        <f>IF($C116="","",$C116&amp;"|"&amp;COUNTIF($C$5:C116,$C116))</f>
        <v/>
      </c>
      <c r="L116" s="10" t="str">
        <f t="shared" si="6"/>
        <v/>
      </c>
      <c r="M116" s="26" t="str">
        <f t="shared" si="7"/>
        <v/>
      </c>
      <c r="N116" s="26" t="str">
        <f t="shared" si="8"/>
        <v/>
      </c>
      <c r="O116" s="26" t="str">
        <f t="shared" si="9"/>
        <v/>
      </c>
    </row>
    <row r="117" spans="3:15" ht="21.95" customHeight="1" x14ac:dyDescent="0.25">
      <c r="C117" s="12"/>
      <c r="D117" s="12"/>
      <c r="E117" s="12"/>
      <c r="F117" s="61"/>
      <c r="G117" s="16"/>
      <c r="H117" s="17" t="str">
        <f t="shared" si="5"/>
        <v/>
      </c>
      <c r="I117" s="26" t="str">
        <f>IF(C117="","",C117&amp;"|"&amp;COUNTIF($C$5:C117,C117))</f>
        <v/>
      </c>
      <c r="J117" s="10"/>
      <c r="K117" s="10" t="str">
        <f>IF($C117="","",$C117&amp;"|"&amp;COUNTIF($C$5:C117,$C117))</f>
        <v/>
      </c>
      <c r="L117" s="10" t="str">
        <f t="shared" si="6"/>
        <v/>
      </c>
      <c r="M117" s="26" t="str">
        <f t="shared" si="7"/>
        <v/>
      </c>
      <c r="N117" s="26" t="str">
        <f t="shared" si="8"/>
        <v/>
      </c>
      <c r="O117" s="26" t="str">
        <f t="shared" si="9"/>
        <v/>
      </c>
    </row>
    <row r="118" spans="3:15" ht="21.95" customHeight="1" x14ac:dyDescent="0.25">
      <c r="C118" s="12"/>
      <c r="D118" s="12"/>
      <c r="E118" s="12"/>
      <c r="F118" s="61"/>
      <c r="G118" s="16"/>
      <c r="H118" s="17" t="str">
        <f t="shared" si="5"/>
        <v/>
      </c>
      <c r="I118" s="26" t="str">
        <f>IF(C118="","",C118&amp;"|"&amp;COUNTIF($C$5:C118,C118))</f>
        <v/>
      </c>
      <c r="J118" s="10"/>
      <c r="K118" s="10" t="str">
        <f>IF($C118="","",$C118&amp;"|"&amp;COUNTIF($C$5:C118,$C118))</f>
        <v/>
      </c>
      <c r="L118" s="10" t="str">
        <f t="shared" si="6"/>
        <v/>
      </c>
      <c r="M118" s="26" t="str">
        <f t="shared" si="7"/>
        <v/>
      </c>
      <c r="N118" s="26" t="str">
        <f t="shared" si="8"/>
        <v/>
      </c>
      <c r="O118" s="26" t="str">
        <f t="shared" si="9"/>
        <v/>
      </c>
    </row>
    <row r="119" spans="3:15" ht="21.95" customHeight="1" x14ac:dyDescent="0.25">
      <c r="C119" s="12"/>
      <c r="D119" s="12"/>
      <c r="E119" s="12"/>
      <c r="F119" s="61"/>
      <c r="G119" s="16"/>
      <c r="H119" s="17" t="str">
        <f t="shared" si="5"/>
        <v/>
      </c>
      <c r="I119" s="26" t="str">
        <f>IF(C119="","",C119&amp;"|"&amp;COUNTIF($C$5:C119,C119))</f>
        <v/>
      </c>
      <c r="J119" s="10"/>
      <c r="K119" s="10" t="str">
        <f>IF($C119="","",$C119&amp;"|"&amp;COUNTIF($C$5:C119,$C119))</f>
        <v/>
      </c>
      <c r="L119" s="10" t="str">
        <f t="shared" si="6"/>
        <v/>
      </c>
      <c r="M119" s="26" t="str">
        <f t="shared" si="7"/>
        <v/>
      </c>
      <c r="N119" s="26" t="str">
        <f t="shared" si="8"/>
        <v/>
      </c>
      <c r="O119" s="26" t="str">
        <f t="shared" si="9"/>
        <v/>
      </c>
    </row>
    <row r="120" spans="3:15" ht="21.95" customHeight="1" x14ac:dyDescent="0.25">
      <c r="C120" s="12"/>
      <c r="D120" s="12"/>
      <c r="E120" s="12"/>
      <c r="F120" s="61"/>
      <c r="G120" s="16"/>
      <c r="H120" s="17" t="str">
        <f t="shared" si="5"/>
        <v/>
      </c>
      <c r="I120" s="26" t="str">
        <f>IF(C120="","",C120&amp;"|"&amp;COUNTIF($C$5:C120,C120))</f>
        <v/>
      </c>
      <c r="J120" s="10"/>
      <c r="K120" s="10" t="str">
        <f>IF($C120="","",$C120&amp;"|"&amp;COUNTIF($C$5:C120,$C120))</f>
        <v/>
      </c>
      <c r="L120" s="10" t="str">
        <f t="shared" si="6"/>
        <v/>
      </c>
      <c r="M120" s="26" t="str">
        <f t="shared" si="7"/>
        <v/>
      </c>
      <c r="N120" s="26" t="str">
        <f t="shared" si="8"/>
        <v/>
      </c>
      <c r="O120" s="26" t="str">
        <f t="shared" si="9"/>
        <v/>
      </c>
    </row>
    <row r="121" spans="3:15" ht="21.95" customHeight="1" x14ac:dyDescent="0.25">
      <c r="C121" s="12"/>
      <c r="D121" s="12"/>
      <c r="E121" s="12"/>
      <c r="F121" s="61"/>
      <c r="G121" s="16"/>
      <c r="H121" s="17" t="str">
        <f t="shared" si="5"/>
        <v/>
      </c>
      <c r="I121" s="26" t="str">
        <f>IF(C121="","",C121&amp;"|"&amp;COUNTIF($C$5:C121,C121))</f>
        <v/>
      </c>
      <c r="J121" s="10"/>
      <c r="K121" s="10" t="str">
        <f>IF($C121="","",$C121&amp;"|"&amp;COUNTIF($C$5:C121,$C121))</f>
        <v/>
      </c>
      <c r="L121" s="10" t="str">
        <f t="shared" si="6"/>
        <v/>
      </c>
      <c r="M121" s="26" t="str">
        <f t="shared" si="7"/>
        <v/>
      </c>
      <c r="N121" s="26" t="str">
        <f t="shared" si="8"/>
        <v/>
      </c>
      <c r="O121" s="26" t="str">
        <f t="shared" si="9"/>
        <v/>
      </c>
    </row>
    <row r="122" spans="3:15" ht="21.95" customHeight="1" x14ac:dyDescent="0.25">
      <c r="C122" s="12"/>
      <c r="D122" s="12"/>
      <c r="E122" s="12"/>
      <c r="F122" s="61"/>
      <c r="G122" s="16"/>
      <c r="H122" s="17" t="str">
        <f t="shared" si="5"/>
        <v/>
      </c>
      <c r="I122" s="26" t="str">
        <f>IF(C122="","",C122&amp;"|"&amp;COUNTIF($C$5:C122,C122))</f>
        <v/>
      </c>
      <c r="J122" s="10"/>
      <c r="K122" s="10" t="str">
        <f>IF($C122="","",$C122&amp;"|"&amp;COUNTIF($C$5:C122,$C122))</f>
        <v/>
      </c>
      <c r="L122" s="10" t="str">
        <f t="shared" si="6"/>
        <v/>
      </c>
      <c r="M122" s="26" t="str">
        <f t="shared" si="7"/>
        <v/>
      </c>
      <c r="N122" s="26" t="str">
        <f t="shared" si="8"/>
        <v/>
      </c>
      <c r="O122" s="26" t="str">
        <f t="shared" si="9"/>
        <v/>
      </c>
    </row>
    <row r="123" spans="3:15" ht="21.95" customHeight="1" x14ac:dyDescent="0.25">
      <c r="C123" s="12"/>
      <c r="D123" s="12"/>
      <c r="E123" s="12"/>
      <c r="F123" s="61"/>
      <c r="G123" s="16"/>
      <c r="H123" s="17" t="str">
        <f t="shared" si="5"/>
        <v/>
      </c>
      <c r="I123" s="26" t="str">
        <f>IF(C123="","",C123&amp;"|"&amp;COUNTIF($C$5:C123,C123))</f>
        <v/>
      </c>
      <c r="J123" s="10"/>
      <c r="K123" s="10" t="str">
        <f>IF($C123="","",$C123&amp;"|"&amp;COUNTIF($C$5:C123,$C123))</f>
        <v/>
      </c>
      <c r="L123" s="10" t="str">
        <f t="shared" si="6"/>
        <v/>
      </c>
      <c r="M123" s="26" t="str">
        <f t="shared" si="7"/>
        <v/>
      </c>
      <c r="N123" s="26" t="str">
        <f t="shared" si="8"/>
        <v/>
      </c>
      <c r="O123" s="26" t="str">
        <f t="shared" si="9"/>
        <v/>
      </c>
    </row>
    <row r="124" spans="3:15" ht="21.95" customHeight="1" x14ac:dyDescent="0.25">
      <c r="C124" s="12"/>
      <c r="D124" s="12"/>
      <c r="E124" s="12"/>
      <c r="F124" s="61"/>
      <c r="G124" s="16"/>
      <c r="H124" s="17" t="str">
        <f t="shared" si="5"/>
        <v/>
      </c>
      <c r="I124" s="26" t="str">
        <f>IF(C124="","",C124&amp;"|"&amp;COUNTIF($C$5:C124,C124))</f>
        <v/>
      </c>
      <c r="J124" s="10"/>
      <c r="K124" s="10" t="str">
        <f>IF($C124="","",$C124&amp;"|"&amp;COUNTIF($C$5:C124,$C124))</f>
        <v/>
      </c>
      <c r="L124" s="10" t="str">
        <f t="shared" si="6"/>
        <v/>
      </c>
      <c r="M124" s="26" t="str">
        <f t="shared" si="7"/>
        <v/>
      </c>
      <c r="N124" s="26" t="str">
        <f t="shared" si="8"/>
        <v/>
      </c>
      <c r="O124" s="26" t="str">
        <f t="shared" si="9"/>
        <v/>
      </c>
    </row>
    <row r="125" spans="3:15" ht="21.95" customHeight="1" x14ac:dyDescent="0.25">
      <c r="C125" s="12"/>
      <c r="D125" s="12"/>
      <c r="E125" s="12"/>
      <c r="F125" s="61"/>
      <c r="G125" s="16"/>
      <c r="H125" s="17" t="str">
        <f t="shared" si="5"/>
        <v/>
      </c>
      <c r="I125" s="26" t="str">
        <f>IF(C125="","",C125&amp;"|"&amp;COUNTIF($C$5:C125,C125))</f>
        <v/>
      </c>
      <c r="J125" s="10"/>
      <c r="K125" s="10" t="str">
        <f>IF($C125="","",$C125&amp;"|"&amp;COUNTIF($C$5:C125,$C125))</f>
        <v/>
      </c>
      <c r="L125" s="10" t="str">
        <f t="shared" si="6"/>
        <v/>
      </c>
      <c r="M125" s="26" t="str">
        <f t="shared" si="7"/>
        <v/>
      </c>
      <c r="N125" s="26" t="str">
        <f t="shared" si="8"/>
        <v/>
      </c>
      <c r="O125" s="26" t="str">
        <f t="shared" si="9"/>
        <v/>
      </c>
    </row>
    <row r="126" spans="3:15" ht="21.95" customHeight="1" x14ac:dyDescent="0.25">
      <c r="C126" s="12"/>
      <c r="D126" s="12"/>
      <c r="E126" s="12"/>
      <c r="F126" s="61"/>
      <c r="G126" s="16"/>
      <c r="H126" s="17" t="str">
        <f t="shared" si="5"/>
        <v/>
      </c>
      <c r="I126" s="26" t="str">
        <f>IF(C126="","",C126&amp;"|"&amp;COUNTIF($C$5:C126,C126))</f>
        <v/>
      </c>
      <c r="J126" s="10"/>
      <c r="K126" s="10" t="str">
        <f>IF($C126="","",$C126&amp;"|"&amp;COUNTIF($C$5:C126,$C126))</f>
        <v/>
      </c>
      <c r="L126" s="10" t="str">
        <f t="shared" si="6"/>
        <v/>
      </c>
      <c r="M126" s="26" t="str">
        <f t="shared" si="7"/>
        <v/>
      </c>
      <c r="N126" s="26" t="str">
        <f t="shared" si="8"/>
        <v/>
      </c>
      <c r="O126" s="26" t="str">
        <f t="shared" si="9"/>
        <v/>
      </c>
    </row>
    <row r="127" spans="3:15" ht="21.95" customHeight="1" x14ac:dyDescent="0.25">
      <c r="C127" s="12"/>
      <c r="D127" s="12"/>
      <c r="E127" s="12"/>
      <c r="F127" s="61"/>
      <c r="G127" s="16"/>
      <c r="H127" s="17" t="str">
        <f t="shared" si="5"/>
        <v/>
      </c>
      <c r="I127" s="26" t="str">
        <f>IF(C127="","",C127&amp;"|"&amp;COUNTIF($C$5:C127,C127))</f>
        <v/>
      </c>
      <c r="J127" s="10"/>
      <c r="K127" s="10" t="str">
        <f>IF($C127="","",$C127&amp;"|"&amp;COUNTIF($C$5:C127,$C127))</f>
        <v/>
      </c>
      <c r="L127" s="10" t="str">
        <f t="shared" si="6"/>
        <v/>
      </c>
      <c r="M127" s="26" t="str">
        <f t="shared" si="7"/>
        <v/>
      </c>
      <c r="N127" s="26" t="str">
        <f t="shared" si="8"/>
        <v/>
      </c>
      <c r="O127" s="26" t="str">
        <f t="shared" si="9"/>
        <v/>
      </c>
    </row>
    <row r="128" spans="3:15" ht="21.95" customHeight="1" x14ac:dyDescent="0.25">
      <c r="C128" s="12"/>
      <c r="D128" s="12"/>
      <c r="E128" s="12"/>
      <c r="F128" s="61"/>
      <c r="G128" s="16"/>
      <c r="H128" s="17" t="str">
        <f t="shared" si="5"/>
        <v/>
      </c>
      <c r="I128" s="26" t="str">
        <f>IF(C128="","",C128&amp;"|"&amp;COUNTIF($C$5:C128,C128))</f>
        <v/>
      </c>
      <c r="J128" s="10"/>
      <c r="K128" s="10" t="str">
        <f>IF($C128="","",$C128&amp;"|"&amp;COUNTIF($C$5:C128,$C128))</f>
        <v/>
      </c>
      <c r="L128" s="10" t="str">
        <f t="shared" si="6"/>
        <v/>
      </c>
      <c r="M128" s="26" t="str">
        <f t="shared" si="7"/>
        <v/>
      </c>
      <c r="N128" s="26" t="str">
        <f t="shared" si="8"/>
        <v/>
      </c>
      <c r="O128" s="26" t="str">
        <f t="shared" si="9"/>
        <v/>
      </c>
    </row>
    <row r="129" spans="3:15" ht="21.95" customHeight="1" x14ac:dyDescent="0.25">
      <c r="C129" s="12"/>
      <c r="D129" s="12"/>
      <c r="E129" s="12"/>
      <c r="F129" s="61"/>
      <c r="G129" s="16"/>
      <c r="H129" s="17" t="str">
        <f t="shared" si="5"/>
        <v/>
      </c>
      <c r="I129" s="26" t="str">
        <f>IF(C129="","",C129&amp;"|"&amp;COUNTIF($C$5:C129,C129))</f>
        <v/>
      </c>
      <c r="J129" s="10"/>
      <c r="K129" s="10" t="str">
        <f>IF($C129="","",$C129&amp;"|"&amp;COUNTIF($C$5:C129,$C129))</f>
        <v/>
      </c>
      <c r="L129" s="10" t="str">
        <f t="shared" si="6"/>
        <v/>
      </c>
      <c r="M129" s="26" t="str">
        <f t="shared" si="7"/>
        <v/>
      </c>
      <c r="N129" s="26" t="str">
        <f t="shared" si="8"/>
        <v/>
      </c>
      <c r="O129" s="26" t="str">
        <f t="shared" si="9"/>
        <v/>
      </c>
    </row>
    <row r="130" spans="3:15" ht="21.95" customHeight="1" x14ac:dyDescent="0.25">
      <c r="C130" s="12"/>
      <c r="D130" s="12"/>
      <c r="E130" s="12"/>
      <c r="F130" s="61"/>
      <c r="G130" s="16"/>
      <c r="H130" s="17" t="str">
        <f t="shared" si="5"/>
        <v/>
      </c>
      <c r="I130" s="26" t="str">
        <f>IF(C130="","",C130&amp;"|"&amp;COUNTIF($C$5:C130,C130))</f>
        <v/>
      </c>
      <c r="J130" s="10"/>
      <c r="K130" s="10" t="str">
        <f>IF($C130="","",$C130&amp;"|"&amp;COUNTIF($C$5:C130,$C130))</f>
        <v/>
      </c>
      <c r="L130" s="10" t="str">
        <f t="shared" si="6"/>
        <v/>
      </c>
      <c r="M130" s="26" t="str">
        <f t="shared" si="7"/>
        <v/>
      </c>
      <c r="N130" s="26" t="str">
        <f t="shared" si="8"/>
        <v/>
      </c>
      <c r="O130" s="26" t="str">
        <f t="shared" si="9"/>
        <v/>
      </c>
    </row>
    <row r="131" spans="3:15" ht="21.95" customHeight="1" x14ac:dyDescent="0.25">
      <c r="C131" s="12"/>
      <c r="D131" s="12"/>
      <c r="E131" s="12"/>
      <c r="F131" s="61"/>
      <c r="G131" s="16"/>
      <c r="H131" s="17" t="str">
        <f t="shared" si="5"/>
        <v/>
      </c>
      <c r="I131" s="26" t="str">
        <f>IF(C131="","",C131&amp;"|"&amp;COUNTIF($C$5:C131,C131))</f>
        <v/>
      </c>
      <c r="J131" s="10"/>
      <c r="K131" s="10" t="str">
        <f>IF($C131="","",$C131&amp;"|"&amp;COUNTIF($C$5:C131,$C131))</f>
        <v/>
      </c>
      <c r="L131" s="10" t="str">
        <f t="shared" si="6"/>
        <v/>
      </c>
      <c r="M131" s="26" t="str">
        <f t="shared" si="7"/>
        <v/>
      </c>
      <c r="N131" s="26" t="str">
        <f t="shared" si="8"/>
        <v/>
      </c>
      <c r="O131" s="26" t="str">
        <f t="shared" si="9"/>
        <v/>
      </c>
    </row>
    <row r="132" spans="3:15" ht="21.95" customHeight="1" x14ac:dyDescent="0.25">
      <c r="C132" s="12"/>
      <c r="D132" s="12"/>
      <c r="E132" s="12"/>
      <c r="F132" s="61"/>
      <c r="G132" s="16"/>
      <c r="H132" s="17" t="str">
        <f t="shared" si="5"/>
        <v/>
      </c>
      <c r="I132" s="26" t="str">
        <f>IF(C132="","",C132&amp;"|"&amp;COUNTIF($C$5:C132,C132))</f>
        <v/>
      </c>
      <c r="J132" s="10"/>
      <c r="K132" s="10" t="str">
        <f>IF($C132="","",$C132&amp;"|"&amp;COUNTIF($C$5:C132,$C132))</f>
        <v/>
      </c>
      <c r="L132" s="10" t="str">
        <f t="shared" si="6"/>
        <v/>
      </c>
      <c r="M132" s="26" t="str">
        <f t="shared" si="7"/>
        <v/>
      </c>
      <c r="N132" s="26" t="str">
        <f t="shared" si="8"/>
        <v/>
      </c>
      <c r="O132" s="26" t="str">
        <f t="shared" si="9"/>
        <v/>
      </c>
    </row>
    <row r="133" spans="3:15" ht="21.95" customHeight="1" x14ac:dyDescent="0.25">
      <c r="C133" s="12"/>
      <c r="D133" s="12"/>
      <c r="E133" s="12"/>
      <c r="F133" s="61"/>
      <c r="G133" s="16"/>
      <c r="H133" s="17" t="str">
        <f t="shared" ref="H133:H196" si="10">IF(OR(C133="",F133="",G133=""),"",F133*G133)</f>
        <v/>
      </c>
      <c r="I133" s="26" t="str">
        <f>IF(C133="","",C133&amp;"|"&amp;COUNTIF($C$5:C133,C133))</f>
        <v/>
      </c>
      <c r="J133" s="10"/>
      <c r="K133" s="10" t="str">
        <f>IF($C133="","",$C133&amp;"|"&amp;COUNTIF($C$5:C133,$C133))</f>
        <v/>
      </c>
      <c r="L133" s="10" t="str">
        <f t="shared" ref="L133:L196" si="11">IF($C133="","",$D133)</f>
        <v/>
      </c>
      <c r="M133" s="26" t="str">
        <f t="shared" ref="M133:M196" si="12">IF($C133="","",$E133)</f>
        <v/>
      </c>
      <c r="N133" s="26" t="str">
        <f t="shared" ref="N133:N196" si="13">IF($C133="","",$F133)</f>
        <v/>
      </c>
      <c r="O133" s="26" t="str">
        <f t="shared" ref="O133:O196" si="14">IF($C133="","",$H133)</f>
        <v/>
      </c>
    </row>
    <row r="134" spans="3:15" ht="21.95" customHeight="1" x14ac:dyDescent="0.25">
      <c r="C134" s="12"/>
      <c r="D134" s="12"/>
      <c r="E134" s="12"/>
      <c r="F134" s="61"/>
      <c r="G134" s="16"/>
      <c r="H134" s="17" t="str">
        <f t="shared" si="10"/>
        <v/>
      </c>
      <c r="I134" s="26" t="str">
        <f>IF(C134="","",C134&amp;"|"&amp;COUNTIF($C$5:C134,C134))</f>
        <v/>
      </c>
      <c r="J134" s="10"/>
      <c r="K134" s="10" t="str">
        <f>IF($C134="","",$C134&amp;"|"&amp;COUNTIF($C$5:C134,$C134))</f>
        <v/>
      </c>
      <c r="L134" s="10" t="str">
        <f t="shared" si="11"/>
        <v/>
      </c>
      <c r="M134" s="26" t="str">
        <f t="shared" si="12"/>
        <v/>
      </c>
      <c r="N134" s="26" t="str">
        <f t="shared" si="13"/>
        <v/>
      </c>
      <c r="O134" s="26" t="str">
        <f t="shared" si="14"/>
        <v/>
      </c>
    </row>
    <row r="135" spans="3:15" ht="21.95" customHeight="1" x14ac:dyDescent="0.25">
      <c r="C135" s="12"/>
      <c r="D135" s="12"/>
      <c r="E135" s="12"/>
      <c r="F135" s="61"/>
      <c r="G135" s="16"/>
      <c r="H135" s="17" t="str">
        <f t="shared" si="10"/>
        <v/>
      </c>
      <c r="I135" s="26" t="str">
        <f>IF(C135="","",C135&amp;"|"&amp;COUNTIF($C$5:C135,C135))</f>
        <v/>
      </c>
      <c r="J135" s="10"/>
      <c r="K135" s="10" t="str">
        <f>IF($C135="","",$C135&amp;"|"&amp;COUNTIF($C$5:C135,$C135))</f>
        <v/>
      </c>
      <c r="L135" s="10" t="str">
        <f t="shared" si="11"/>
        <v/>
      </c>
      <c r="M135" s="26" t="str">
        <f t="shared" si="12"/>
        <v/>
      </c>
      <c r="N135" s="26" t="str">
        <f t="shared" si="13"/>
        <v/>
      </c>
      <c r="O135" s="26" t="str">
        <f t="shared" si="14"/>
        <v/>
      </c>
    </row>
    <row r="136" spans="3:15" ht="21.95" customHeight="1" x14ac:dyDescent="0.25">
      <c r="C136" s="12"/>
      <c r="D136" s="12"/>
      <c r="E136" s="12"/>
      <c r="F136" s="61"/>
      <c r="G136" s="16"/>
      <c r="H136" s="17" t="str">
        <f t="shared" si="10"/>
        <v/>
      </c>
      <c r="I136" s="26" t="str">
        <f>IF(C136="","",C136&amp;"|"&amp;COUNTIF($C$5:C136,C136))</f>
        <v/>
      </c>
      <c r="J136" s="10"/>
      <c r="K136" s="10" t="str">
        <f>IF($C136="","",$C136&amp;"|"&amp;COUNTIF($C$5:C136,$C136))</f>
        <v/>
      </c>
      <c r="L136" s="10" t="str">
        <f t="shared" si="11"/>
        <v/>
      </c>
      <c r="M136" s="26" t="str">
        <f t="shared" si="12"/>
        <v/>
      </c>
      <c r="N136" s="26" t="str">
        <f t="shared" si="13"/>
        <v/>
      </c>
      <c r="O136" s="26" t="str">
        <f t="shared" si="14"/>
        <v/>
      </c>
    </row>
    <row r="137" spans="3:15" ht="21.95" customHeight="1" x14ac:dyDescent="0.25">
      <c r="C137" s="12"/>
      <c r="D137" s="12"/>
      <c r="E137" s="12"/>
      <c r="F137" s="61"/>
      <c r="G137" s="16"/>
      <c r="H137" s="17" t="str">
        <f t="shared" si="10"/>
        <v/>
      </c>
      <c r="I137" s="26" t="str">
        <f>IF(C137="","",C137&amp;"|"&amp;COUNTIF($C$5:C137,C137))</f>
        <v/>
      </c>
      <c r="J137" s="10"/>
      <c r="K137" s="10" t="str">
        <f>IF($C137="","",$C137&amp;"|"&amp;COUNTIF($C$5:C137,$C137))</f>
        <v/>
      </c>
      <c r="L137" s="10" t="str">
        <f t="shared" si="11"/>
        <v/>
      </c>
      <c r="M137" s="26" t="str">
        <f t="shared" si="12"/>
        <v/>
      </c>
      <c r="N137" s="26" t="str">
        <f t="shared" si="13"/>
        <v/>
      </c>
      <c r="O137" s="26" t="str">
        <f t="shared" si="14"/>
        <v/>
      </c>
    </row>
    <row r="138" spans="3:15" ht="21.95" customHeight="1" x14ac:dyDescent="0.25">
      <c r="C138" s="12"/>
      <c r="D138" s="12"/>
      <c r="E138" s="12"/>
      <c r="F138" s="61"/>
      <c r="G138" s="16"/>
      <c r="H138" s="17" t="str">
        <f t="shared" si="10"/>
        <v/>
      </c>
      <c r="I138" s="26" t="str">
        <f>IF(C138="","",C138&amp;"|"&amp;COUNTIF($C$5:C138,C138))</f>
        <v/>
      </c>
      <c r="J138" s="10"/>
      <c r="K138" s="10" t="str">
        <f>IF($C138="","",$C138&amp;"|"&amp;COUNTIF($C$5:C138,$C138))</f>
        <v/>
      </c>
      <c r="L138" s="10" t="str">
        <f t="shared" si="11"/>
        <v/>
      </c>
      <c r="M138" s="26" t="str">
        <f t="shared" si="12"/>
        <v/>
      </c>
      <c r="N138" s="26" t="str">
        <f t="shared" si="13"/>
        <v/>
      </c>
      <c r="O138" s="26" t="str">
        <f t="shared" si="14"/>
        <v/>
      </c>
    </row>
    <row r="139" spans="3:15" ht="21.95" customHeight="1" x14ac:dyDescent="0.25">
      <c r="C139" s="12"/>
      <c r="D139" s="12"/>
      <c r="E139" s="12"/>
      <c r="F139" s="61"/>
      <c r="G139" s="16"/>
      <c r="H139" s="17" t="str">
        <f t="shared" si="10"/>
        <v/>
      </c>
      <c r="I139" s="26" t="str">
        <f>IF(C139="","",C139&amp;"|"&amp;COUNTIF($C$5:C139,C139))</f>
        <v/>
      </c>
      <c r="J139" s="10"/>
      <c r="K139" s="10" t="str">
        <f>IF($C139="","",$C139&amp;"|"&amp;COUNTIF($C$5:C139,$C139))</f>
        <v/>
      </c>
      <c r="L139" s="10" t="str">
        <f t="shared" si="11"/>
        <v/>
      </c>
      <c r="M139" s="26" t="str">
        <f t="shared" si="12"/>
        <v/>
      </c>
      <c r="N139" s="26" t="str">
        <f t="shared" si="13"/>
        <v/>
      </c>
      <c r="O139" s="26" t="str">
        <f t="shared" si="14"/>
        <v/>
      </c>
    </row>
    <row r="140" spans="3:15" ht="21.95" customHeight="1" x14ac:dyDescent="0.25">
      <c r="C140" s="12"/>
      <c r="D140" s="12"/>
      <c r="E140" s="12"/>
      <c r="F140" s="61"/>
      <c r="G140" s="16"/>
      <c r="H140" s="17" t="str">
        <f t="shared" si="10"/>
        <v/>
      </c>
      <c r="I140" s="26" t="str">
        <f>IF(C140="","",C140&amp;"|"&amp;COUNTIF($C$5:C140,C140))</f>
        <v/>
      </c>
      <c r="J140" s="10"/>
      <c r="K140" s="10" t="str">
        <f>IF($C140="","",$C140&amp;"|"&amp;COUNTIF($C$5:C140,$C140))</f>
        <v/>
      </c>
      <c r="L140" s="10" t="str">
        <f t="shared" si="11"/>
        <v/>
      </c>
      <c r="M140" s="26" t="str">
        <f t="shared" si="12"/>
        <v/>
      </c>
      <c r="N140" s="26" t="str">
        <f t="shared" si="13"/>
        <v/>
      </c>
      <c r="O140" s="26" t="str">
        <f t="shared" si="14"/>
        <v/>
      </c>
    </row>
    <row r="141" spans="3:15" ht="21.95" customHeight="1" x14ac:dyDescent="0.25">
      <c r="C141" s="12"/>
      <c r="D141" s="12"/>
      <c r="E141" s="12"/>
      <c r="F141" s="61"/>
      <c r="G141" s="16"/>
      <c r="H141" s="17" t="str">
        <f t="shared" si="10"/>
        <v/>
      </c>
      <c r="I141" s="26" t="str">
        <f>IF(C141="","",C141&amp;"|"&amp;COUNTIF($C$5:C141,C141))</f>
        <v/>
      </c>
      <c r="J141" s="10"/>
      <c r="K141" s="10" t="str">
        <f>IF($C141="","",$C141&amp;"|"&amp;COUNTIF($C$5:C141,$C141))</f>
        <v/>
      </c>
      <c r="L141" s="10" t="str">
        <f t="shared" si="11"/>
        <v/>
      </c>
      <c r="M141" s="26" t="str">
        <f t="shared" si="12"/>
        <v/>
      </c>
      <c r="N141" s="26" t="str">
        <f t="shared" si="13"/>
        <v/>
      </c>
      <c r="O141" s="26" t="str">
        <f t="shared" si="14"/>
        <v/>
      </c>
    </row>
    <row r="142" spans="3:15" ht="21.95" customHeight="1" x14ac:dyDescent="0.25">
      <c r="C142" s="12"/>
      <c r="D142" s="12"/>
      <c r="E142" s="12"/>
      <c r="F142" s="61"/>
      <c r="G142" s="16"/>
      <c r="H142" s="17" t="str">
        <f t="shared" si="10"/>
        <v/>
      </c>
      <c r="I142" s="26" t="str">
        <f>IF(C142="","",C142&amp;"|"&amp;COUNTIF($C$5:C142,C142))</f>
        <v/>
      </c>
      <c r="J142" s="10"/>
      <c r="K142" s="10" t="str">
        <f>IF($C142="","",$C142&amp;"|"&amp;COUNTIF($C$5:C142,$C142))</f>
        <v/>
      </c>
      <c r="L142" s="10" t="str">
        <f t="shared" si="11"/>
        <v/>
      </c>
      <c r="M142" s="26" t="str">
        <f t="shared" si="12"/>
        <v/>
      </c>
      <c r="N142" s="26" t="str">
        <f t="shared" si="13"/>
        <v/>
      </c>
      <c r="O142" s="26" t="str">
        <f t="shared" si="14"/>
        <v/>
      </c>
    </row>
    <row r="143" spans="3:15" ht="21.95" customHeight="1" x14ac:dyDescent="0.25">
      <c r="C143" s="12"/>
      <c r="D143" s="12"/>
      <c r="E143" s="12"/>
      <c r="F143" s="61"/>
      <c r="G143" s="16"/>
      <c r="H143" s="17" t="str">
        <f t="shared" si="10"/>
        <v/>
      </c>
      <c r="I143" s="26" t="str">
        <f>IF(C143="","",C143&amp;"|"&amp;COUNTIF($C$5:C143,C143))</f>
        <v/>
      </c>
      <c r="J143" s="10"/>
      <c r="K143" s="10" t="str">
        <f>IF($C143="","",$C143&amp;"|"&amp;COUNTIF($C$5:C143,$C143))</f>
        <v/>
      </c>
      <c r="L143" s="10" t="str">
        <f t="shared" si="11"/>
        <v/>
      </c>
      <c r="M143" s="26" t="str">
        <f t="shared" si="12"/>
        <v/>
      </c>
      <c r="N143" s="26" t="str">
        <f t="shared" si="13"/>
        <v/>
      </c>
      <c r="O143" s="26" t="str">
        <f t="shared" si="14"/>
        <v/>
      </c>
    </row>
    <row r="144" spans="3:15" ht="21.95" customHeight="1" x14ac:dyDescent="0.25">
      <c r="C144" s="12"/>
      <c r="D144" s="12"/>
      <c r="E144" s="12"/>
      <c r="F144" s="61"/>
      <c r="G144" s="16"/>
      <c r="H144" s="17" t="str">
        <f t="shared" si="10"/>
        <v/>
      </c>
      <c r="I144" s="26" t="str">
        <f>IF(C144="","",C144&amp;"|"&amp;COUNTIF($C$5:C144,C144))</f>
        <v/>
      </c>
      <c r="J144" s="10"/>
      <c r="K144" s="10" t="str">
        <f>IF($C144="","",$C144&amp;"|"&amp;COUNTIF($C$5:C144,$C144))</f>
        <v/>
      </c>
      <c r="L144" s="10" t="str">
        <f t="shared" si="11"/>
        <v/>
      </c>
      <c r="M144" s="26" t="str">
        <f t="shared" si="12"/>
        <v/>
      </c>
      <c r="N144" s="26" t="str">
        <f t="shared" si="13"/>
        <v/>
      </c>
      <c r="O144" s="26" t="str">
        <f t="shared" si="14"/>
        <v/>
      </c>
    </row>
    <row r="145" spans="3:15" ht="21.95" customHeight="1" x14ac:dyDescent="0.25">
      <c r="C145" s="12"/>
      <c r="D145" s="12"/>
      <c r="E145" s="12"/>
      <c r="F145" s="61"/>
      <c r="G145" s="16"/>
      <c r="H145" s="17" t="str">
        <f t="shared" si="10"/>
        <v/>
      </c>
      <c r="I145" s="26" t="str">
        <f>IF(C145="","",C145&amp;"|"&amp;COUNTIF($C$5:C145,C145))</f>
        <v/>
      </c>
      <c r="J145" s="10"/>
      <c r="K145" s="10" t="str">
        <f>IF($C145="","",$C145&amp;"|"&amp;COUNTIF($C$5:C145,$C145))</f>
        <v/>
      </c>
      <c r="L145" s="10" t="str">
        <f t="shared" si="11"/>
        <v/>
      </c>
      <c r="M145" s="26" t="str">
        <f t="shared" si="12"/>
        <v/>
      </c>
      <c r="N145" s="26" t="str">
        <f t="shared" si="13"/>
        <v/>
      </c>
      <c r="O145" s="26" t="str">
        <f t="shared" si="14"/>
        <v/>
      </c>
    </row>
    <row r="146" spans="3:15" ht="21.95" customHeight="1" x14ac:dyDescent="0.25">
      <c r="C146" s="12"/>
      <c r="D146" s="12"/>
      <c r="E146" s="12"/>
      <c r="F146" s="61"/>
      <c r="G146" s="16"/>
      <c r="H146" s="17" t="str">
        <f t="shared" si="10"/>
        <v/>
      </c>
      <c r="I146" s="26" t="str">
        <f>IF(C146="","",C146&amp;"|"&amp;COUNTIF($C$5:C146,C146))</f>
        <v/>
      </c>
      <c r="J146" s="10"/>
      <c r="K146" s="10" t="str">
        <f>IF($C146="","",$C146&amp;"|"&amp;COUNTIF($C$5:C146,$C146))</f>
        <v/>
      </c>
      <c r="L146" s="10" t="str">
        <f t="shared" si="11"/>
        <v/>
      </c>
      <c r="M146" s="26" t="str">
        <f t="shared" si="12"/>
        <v/>
      </c>
      <c r="N146" s="26" t="str">
        <f t="shared" si="13"/>
        <v/>
      </c>
      <c r="O146" s="26" t="str">
        <f t="shared" si="14"/>
        <v/>
      </c>
    </row>
    <row r="147" spans="3:15" ht="21.95" customHeight="1" x14ac:dyDescent="0.25">
      <c r="C147" s="12"/>
      <c r="D147" s="12"/>
      <c r="E147" s="12"/>
      <c r="F147" s="61"/>
      <c r="G147" s="16"/>
      <c r="H147" s="17" t="str">
        <f t="shared" si="10"/>
        <v/>
      </c>
      <c r="I147" s="26" t="str">
        <f>IF(C147="","",C147&amp;"|"&amp;COUNTIF($C$5:C147,C147))</f>
        <v/>
      </c>
      <c r="J147" s="10"/>
      <c r="K147" s="10" t="str">
        <f>IF($C147="","",$C147&amp;"|"&amp;COUNTIF($C$5:C147,$C147))</f>
        <v/>
      </c>
      <c r="L147" s="10" t="str">
        <f t="shared" si="11"/>
        <v/>
      </c>
      <c r="M147" s="26" t="str">
        <f t="shared" si="12"/>
        <v/>
      </c>
      <c r="N147" s="26" t="str">
        <f t="shared" si="13"/>
        <v/>
      </c>
      <c r="O147" s="26" t="str">
        <f t="shared" si="14"/>
        <v/>
      </c>
    </row>
    <row r="148" spans="3:15" ht="21.95" customHeight="1" x14ac:dyDescent="0.25">
      <c r="C148" s="12"/>
      <c r="D148" s="12"/>
      <c r="E148" s="12"/>
      <c r="F148" s="61"/>
      <c r="G148" s="16"/>
      <c r="H148" s="17" t="str">
        <f t="shared" si="10"/>
        <v/>
      </c>
      <c r="I148" s="26" t="str">
        <f>IF(C148="","",C148&amp;"|"&amp;COUNTIF($C$5:C148,C148))</f>
        <v/>
      </c>
      <c r="J148" s="10"/>
      <c r="K148" s="10" t="str">
        <f>IF($C148="","",$C148&amp;"|"&amp;COUNTIF($C$5:C148,$C148))</f>
        <v/>
      </c>
      <c r="L148" s="10" t="str">
        <f t="shared" si="11"/>
        <v/>
      </c>
      <c r="M148" s="26" t="str">
        <f t="shared" si="12"/>
        <v/>
      </c>
      <c r="N148" s="26" t="str">
        <f t="shared" si="13"/>
        <v/>
      </c>
      <c r="O148" s="26" t="str">
        <f t="shared" si="14"/>
        <v/>
      </c>
    </row>
    <row r="149" spans="3:15" ht="21.95" customHeight="1" x14ac:dyDescent="0.25">
      <c r="C149" s="12"/>
      <c r="D149" s="12"/>
      <c r="E149" s="12"/>
      <c r="F149" s="61"/>
      <c r="G149" s="16"/>
      <c r="H149" s="17" t="str">
        <f t="shared" si="10"/>
        <v/>
      </c>
      <c r="I149" s="26" t="str">
        <f>IF(C149="","",C149&amp;"|"&amp;COUNTIF($C$5:C149,C149))</f>
        <v/>
      </c>
      <c r="J149" s="10"/>
      <c r="K149" s="10" t="str">
        <f>IF($C149="","",$C149&amp;"|"&amp;COUNTIF($C$5:C149,$C149))</f>
        <v/>
      </c>
      <c r="L149" s="10" t="str">
        <f t="shared" si="11"/>
        <v/>
      </c>
      <c r="M149" s="26" t="str">
        <f t="shared" si="12"/>
        <v/>
      </c>
      <c r="N149" s="26" t="str">
        <f t="shared" si="13"/>
        <v/>
      </c>
      <c r="O149" s="26" t="str">
        <f t="shared" si="14"/>
        <v/>
      </c>
    </row>
    <row r="150" spans="3:15" ht="21.95" customHeight="1" x14ac:dyDescent="0.25">
      <c r="C150" s="12"/>
      <c r="D150" s="12"/>
      <c r="E150" s="12"/>
      <c r="F150" s="61"/>
      <c r="G150" s="16"/>
      <c r="H150" s="17" t="str">
        <f t="shared" si="10"/>
        <v/>
      </c>
      <c r="I150" s="26" t="str">
        <f>IF(C150="","",C150&amp;"|"&amp;COUNTIF($C$5:C150,C150))</f>
        <v/>
      </c>
      <c r="J150" s="10"/>
      <c r="K150" s="10" t="str">
        <f>IF($C150="","",$C150&amp;"|"&amp;COUNTIF($C$5:C150,$C150))</f>
        <v/>
      </c>
      <c r="L150" s="10" t="str">
        <f t="shared" si="11"/>
        <v/>
      </c>
      <c r="M150" s="26" t="str">
        <f t="shared" si="12"/>
        <v/>
      </c>
      <c r="N150" s="26" t="str">
        <f t="shared" si="13"/>
        <v/>
      </c>
      <c r="O150" s="26" t="str">
        <f t="shared" si="14"/>
        <v/>
      </c>
    </row>
    <row r="151" spans="3:15" ht="21.95" customHeight="1" x14ac:dyDescent="0.25">
      <c r="C151" s="12"/>
      <c r="D151" s="12"/>
      <c r="E151" s="12"/>
      <c r="F151" s="61"/>
      <c r="G151" s="16"/>
      <c r="H151" s="17" t="str">
        <f t="shared" si="10"/>
        <v/>
      </c>
      <c r="I151" s="26" t="str">
        <f>IF(C151="","",C151&amp;"|"&amp;COUNTIF($C$5:C151,C151))</f>
        <v/>
      </c>
      <c r="J151" s="10"/>
      <c r="K151" s="10" t="str">
        <f>IF($C151="","",$C151&amp;"|"&amp;COUNTIF($C$5:C151,$C151))</f>
        <v/>
      </c>
      <c r="L151" s="10" t="str">
        <f t="shared" si="11"/>
        <v/>
      </c>
      <c r="M151" s="26" t="str">
        <f t="shared" si="12"/>
        <v/>
      </c>
      <c r="N151" s="26" t="str">
        <f t="shared" si="13"/>
        <v/>
      </c>
      <c r="O151" s="26" t="str">
        <f t="shared" si="14"/>
        <v/>
      </c>
    </row>
    <row r="152" spans="3:15" ht="21.95" customHeight="1" x14ac:dyDescent="0.25">
      <c r="C152" s="12"/>
      <c r="D152" s="12"/>
      <c r="E152" s="12"/>
      <c r="F152" s="61"/>
      <c r="G152" s="16"/>
      <c r="H152" s="17" t="str">
        <f t="shared" si="10"/>
        <v/>
      </c>
      <c r="I152" s="26" t="str">
        <f>IF(C152="","",C152&amp;"|"&amp;COUNTIF($C$5:C152,C152))</f>
        <v/>
      </c>
      <c r="J152" s="10"/>
      <c r="K152" s="10" t="str">
        <f>IF($C152="","",$C152&amp;"|"&amp;COUNTIF($C$5:C152,$C152))</f>
        <v/>
      </c>
      <c r="L152" s="10" t="str">
        <f t="shared" si="11"/>
        <v/>
      </c>
      <c r="M152" s="26" t="str">
        <f t="shared" si="12"/>
        <v/>
      </c>
      <c r="N152" s="26" t="str">
        <f t="shared" si="13"/>
        <v/>
      </c>
      <c r="O152" s="26" t="str">
        <f t="shared" si="14"/>
        <v/>
      </c>
    </row>
    <row r="153" spans="3:15" ht="21.95" customHeight="1" x14ac:dyDescent="0.25">
      <c r="C153" s="12"/>
      <c r="D153" s="12"/>
      <c r="E153" s="12"/>
      <c r="F153" s="61"/>
      <c r="G153" s="16"/>
      <c r="H153" s="17" t="str">
        <f t="shared" si="10"/>
        <v/>
      </c>
      <c r="I153" s="26" t="str">
        <f>IF(C153="","",C153&amp;"|"&amp;COUNTIF($C$5:C153,C153))</f>
        <v/>
      </c>
      <c r="J153" s="10"/>
      <c r="K153" s="10" t="str">
        <f>IF($C153="","",$C153&amp;"|"&amp;COUNTIF($C$5:C153,$C153))</f>
        <v/>
      </c>
      <c r="L153" s="10" t="str">
        <f t="shared" si="11"/>
        <v/>
      </c>
      <c r="M153" s="26" t="str">
        <f t="shared" si="12"/>
        <v/>
      </c>
      <c r="N153" s="26" t="str">
        <f t="shared" si="13"/>
        <v/>
      </c>
      <c r="O153" s="26" t="str">
        <f t="shared" si="14"/>
        <v/>
      </c>
    </row>
    <row r="154" spans="3:15" ht="21.95" customHeight="1" x14ac:dyDescent="0.25">
      <c r="C154" s="12"/>
      <c r="D154" s="12"/>
      <c r="E154" s="12"/>
      <c r="F154" s="61"/>
      <c r="G154" s="16"/>
      <c r="H154" s="17" t="str">
        <f t="shared" si="10"/>
        <v/>
      </c>
      <c r="I154" s="26" t="str">
        <f>IF(C154="","",C154&amp;"|"&amp;COUNTIF($C$5:C154,C154))</f>
        <v/>
      </c>
      <c r="J154" s="10"/>
      <c r="K154" s="10" t="str">
        <f>IF($C154="","",$C154&amp;"|"&amp;COUNTIF($C$5:C154,$C154))</f>
        <v/>
      </c>
      <c r="L154" s="10" t="str">
        <f t="shared" si="11"/>
        <v/>
      </c>
      <c r="M154" s="26" t="str">
        <f t="shared" si="12"/>
        <v/>
      </c>
      <c r="N154" s="26" t="str">
        <f t="shared" si="13"/>
        <v/>
      </c>
      <c r="O154" s="26" t="str">
        <f t="shared" si="14"/>
        <v/>
      </c>
    </row>
    <row r="155" spans="3:15" ht="21.95" customHeight="1" x14ac:dyDescent="0.25">
      <c r="C155" s="12"/>
      <c r="D155" s="12"/>
      <c r="E155" s="12"/>
      <c r="F155" s="61"/>
      <c r="G155" s="16"/>
      <c r="H155" s="17" t="str">
        <f t="shared" si="10"/>
        <v/>
      </c>
      <c r="I155" s="26" t="str">
        <f>IF(C155="","",C155&amp;"|"&amp;COUNTIF($C$5:C155,C155))</f>
        <v/>
      </c>
      <c r="J155" s="10"/>
      <c r="K155" s="10" t="str">
        <f>IF($C155="","",$C155&amp;"|"&amp;COUNTIF($C$5:C155,$C155))</f>
        <v/>
      </c>
      <c r="L155" s="10" t="str">
        <f t="shared" si="11"/>
        <v/>
      </c>
      <c r="M155" s="26" t="str">
        <f t="shared" si="12"/>
        <v/>
      </c>
      <c r="N155" s="26" t="str">
        <f t="shared" si="13"/>
        <v/>
      </c>
      <c r="O155" s="26" t="str">
        <f t="shared" si="14"/>
        <v/>
      </c>
    </row>
    <row r="156" spans="3:15" ht="21.95" customHeight="1" x14ac:dyDescent="0.25">
      <c r="C156" s="12"/>
      <c r="D156" s="12"/>
      <c r="E156" s="12"/>
      <c r="F156" s="61"/>
      <c r="G156" s="16"/>
      <c r="H156" s="17" t="str">
        <f t="shared" si="10"/>
        <v/>
      </c>
      <c r="I156" s="26" t="str">
        <f>IF(C156="","",C156&amp;"|"&amp;COUNTIF($C$5:C156,C156))</f>
        <v/>
      </c>
      <c r="J156" s="10"/>
      <c r="K156" s="10" t="str">
        <f>IF($C156="","",$C156&amp;"|"&amp;COUNTIF($C$5:C156,$C156))</f>
        <v/>
      </c>
      <c r="L156" s="10" t="str">
        <f t="shared" si="11"/>
        <v/>
      </c>
      <c r="M156" s="26" t="str">
        <f t="shared" si="12"/>
        <v/>
      </c>
      <c r="N156" s="26" t="str">
        <f t="shared" si="13"/>
        <v/>
      </c>
      <c r="O156" s="26" t="str">
        <f t="shared" si="14"/>
        <v/>
      </c>
    </row>
    <row r="157" spans="3:15" ht="21.95" customHeight="1" x14ac:dyDescent="0.25">
      <c r="C157" s="12"/>
      <c r="D157" s="12"/>
      <c r="E157" s="12"/>
      <c r="F157" s="61"/>
      <c r="G157" s="16"/>
      <c r="H157" s="17" t="str">
        <f t="shared" si="10"/>
        <v/>
      </c>
      <c r="I157" s="26" t="str">
        <f>IF(C157="","",C157&amp;"|"&amp;COUNTIF($C$5:C157,C157))</f>
        <v/>
      </c>
      <c r="J157" s="10"/>
      <c r="K157" s="10" t="str">
        <f>IF($C157="","",$C157&amp;"|"&amp;COUNTIF($C$5:C157,$C157))</f>
        <v/>
      </c>
      <c r="L157" s="10" t="str">
        <f t="shared" si="11"/>
        <v/>
      </c>
      <c r="M157" s="26" t="str">
        <f t="shared" si="12"/>
        <v/>
      </c>
      <c r="N157" s="26" t="str">
        <f t="shared" si="13"/>
        <v/>
      </c>
      <c r="O157" s="26" t="str">
        <f t="shared" si="14"/>
        <v/>
      </c>
    </row>
    <row r="158" spans="3:15" ht="21.95" customHeight="1" x14ac:dyDescent="0.25">
      <c r="C158" s="12"/>
      <c r="D158" s="12"/>
      <c r="E158" s="12"/>
      <c r="F158" s="61"/>
      <c r="G158" s="16"/>
      <c r="H158" s="17" t="str">
        <f t="shared" si="10"/>
        <v/>
      </c>
      <c r="I158" s="26" t="str">
        <f>IF(C158="","",C158&amp;"|"&amp;COUNTIF($C$5:C158,C158))</f>
        <v/>
      </c>
      <c r="J158" s="10"/>
      <c r="K158" s="10" t="str">
        <f>IF($C158="","",$C158&amp;"|"&amp;COUNTIF($C$5:C158,$C158))</f>
        <v/>
      </c>
      <c r="L158" s="10" t="str">
        <f t="shared" si="11"/>
        <v/>
      </c>
      <c r="M158" s="26" t="str">
        <f t="shared" si="12"/>
        <v/>
      </c>
      <c r="N158" s="26" t="str">
        <f t="shared" si="13"/>
        <v/>
      </c>
      <c r="O158" s="26" t="str">
        <f t="shared" si="14"/>
        <v/>
      </c>
    </row>
    <row r="159" spans="3:15" ht="21.95" customHeight="1" x14ac:dyDescent="0.25">
      <c r="C159" s="12"/>
      <c r="D159" s="12"/>
      <c r="E159" s="12"/>
      <c r="F159" s="61"/>
      <c r="G159" s="16"/>
      <c r="H159" s="17" t="str">
        <f t="shared" si="10"/>
        <v/>
      </c>
      <c r="I159" s="26" t="str">
        <f>IF(C159="","",C159&amp;"|"&amp;COUNTIF($C$5:C159,C159))</f>
        <v/>
      </c>
      <c r="J159" s="10"/>
      <c r="K159" s="10" t="str">
        <f>IF($C159="","",$C159&amp;"|"&amp;COUNTIF($C$5:C159,$C159))</f>
        <v/>
      </c>
      <c r="L159" s="10" t="str">
        <f t="shared" si="11"/>
        <v/>
      </c>
      <c r="M159" s="26" t="str">
        <f t="shared" si="12"/>
        <v/>
      </c>
      <c r="N159" s="26" t="str">
        <f t="shared" si="13"/>
        <v/>
      </c>
      <c r="O159" s="26" t="str">
        <f t="shared" si="14"/>
        <v/>
      </c>
    </row>
    <row r="160" spans="3:15" ht="21.95" customHeight="1" x14ac:dyDescent="0.25">
      <c r="C160" s="12"/>
      <c r="D160" s="12"/>
      <c r="E160" s="12"/>
      <c r="F160" s="61"/>
      <c r="G160" s="16"/>
      <c r="H160" s="17" t="str">
        <f t="shared" si="10"/>
        <v/>
      </c>
      <c r="I160" s="26" t="str">
        <f>IF(C160="","",C160&amp;"|"&amp;COUNTIF($C$5:C160,C160))</f>
        <v/>
      </c>
      <c r="J160" s="10"/>
      <c r="K160" s="10" t="str">
        <f>IF($C160="","",$C160&amp;"|"&amp;COUNTIF($C$5:C160,$C160))</f>
        <v/>
      </c>
      <c r="L160" s="10" t="str">
        <f t="shared" si="11"/>
        <v/>
      </c>
      <c r="M160" s="26" t="str">
        <f t="shared" si="12"/>
        <v/>
      </c>
      <c r="N160" s="26" t="str">
        <f t="shared" si="13"/>
        <v/>
      </c>
      <c r="O160" s="26" t="str">
        <f t="shared" si="14"/>
        <v/>
      </c>
    </row>
    <row r="161" spans="3:15" ht="21.95" customHeight="1" x14ac:dyDescent="0.25">
      <c r="C161" s="12"/>
      <c r="D161" s="12"/>
      <c r="E161" s="12"/>
      <c r="F161" s="61"/>
      <c r="G161" s="16"/>
      <c r="H161" s="17" t="str">
        <f t="shared" si="10"/>
        <v/>
      </c>
      <c r="I161" s="26" t="str">
        <f>IF(C161="","",C161&amp;"|"&amp;COUNTIF($C$5:C161,C161))</f>
        <v/>
      </c>
      <c r="J161" s="10"/>
      <c r="K161" s="10" t="str">
        <f>IF($C161="","",$C161&amp;"|"&amp;COUNTIF($C$5:C161,$C161))</f>
        <v/>
      </c>
      <c r="L161" s="10" t="str">
        <f t="shared" si="11"/>
        <v/>
      </c>
      <c r="M161" s="26" t="str">
        <f t="shared" si="12"/>
        <v/>
      </c>
      <c r="N161" s="26" t="str">
        <f t="shared" si="13"/>
        <v/>
      </c>
      <c r="O161" s="26" t="str">
        <f t="shared" si="14"/>
        <v/>
      </c>
    </row>
    <row r="162" spans="3:15" ht="21.95" customHeight="1" x14ac:dyDescent="0.25">
      <c r="C162" s="12"/>
      <c r="D162" s="12"/>
      <c r="E162" s="12"/>
      <c r="F162" s="61"/>
      <c r="G162" s="16"/>
      <c r="H162" s="17" t="str">
        <f t="shared" si="10"/>
        <v/>
      </c>
      <c r="I162" s="26" t="str">
        <f>IF(C162="","",C162&amp;"|"&amp;COUNTIF($C$5:C162,C162))</f>
        <v/>
      </c>
      <c r="J162" s="10"/>
      <c r="K162" s="10" t="str">
        <f>IF($C162="","",$C162&amp;"|"&amp;COUNTIF($C$5:C162,$C162))</f>
        <v/>
      </c>
      <c r="L162" s="10" t="str">
        <f t="shared" si="11"/>
        <v/>
      </c>
      <c r="M162" s="26" t="str">
        <f t="shared" si="12"/>
        <v/>
      </c>
      <c r="N162" s="26" t="str">
        <f t="shared" si="13"/>
        <v/>
      </c>
      <c r="O162" s="26" t="str">
        <f t="shared" si="14"/>
        <v/>
      </c>
    </row>
    <row r="163" spans="3:15" ht="21.95" customHeight="1" x14ac:dyDescent="0.25">
      <c r="C163" s="12"/>
      <c r="D163" s="12"/>
      <c r="E163" s="12"/>
      <c r="F163" s="61"/>
      <c r="G163" s="16"/>
      <c r="H163" s="17" t="str">
        <f t="shared" si="10"/>
        <v/>
      </c>
      <c r="I163" s="26" t="str">
        <f>IF(C163="","",C163&amp;"|"&amp;COUNTIF($C$5:C163,C163))</f>
        <v/>
      </c>
      <c r="J163" s="10"/>
      <c r="K163" s="10" t="str">
        <f>IF($C163="","",$C163&amp;"|"&amp;COUNTIF($C$5:C163,$C163))</f>
        <v/>
      </c>
      <c r="L163" s="10" t="str">
        <f t="shared" si="11"/>
        <v/>
      </c>
      <c r="M163" s="26" t="str">
        <f t="shared" si="12"/>
        <v/>
      </c>
      <c r="N163" s="26" t="str">
        <f t="shared" si="13"/>
        <v/>
      </c>
      <c r="O163" s="26" t="str">
        <f t="shared" si="14"/>
        <v/>
      </c>
    </row>
    <row r="164" spans="3:15" ht="21.95" customHeight="1" x14ac:dyDescent="0.25">
      <c r="C164" s="12"/>
      <c r="D164" s="12"/>
      <c r="E164" s="12"/>
      <c r="F164" s="61"/>
      <c r="G164" s="16"/>
      <c r="H164" s="17" t="str">
        <f t="shared" si="10"/>
        <v/>
      </c>
      <c r="I164" s="26" t="str">
        <f>IF(C164="","",C164&amp;"|"&amp;COUNTIF($C$5:C164,C164))</f>
        <v/>
      </c>
      <c r="J164" s="10"/>
      <c r="K164" s="10" t="str">
        <f>IF($C164="","",$C164&amp;"|"&amp;COUNTIF($C$5:C164,$C164))</f>
        <v/>
      </c>
      <c r="L164" s="10" t="str">
        <f t="shared" si="11"/>
        <v/>
      </c>
      <c r="M164" s="26" t="str">
        <f t="shared" si="12"/>
        <v/>
      </c>
      <c r="N164" s="26" t="str">
        <f t="shared" si="13"/>
        <v/>
      </c>
      <c r="O164" s="26" t="str">
        <f t="shared" si="14"/>
        <v/>
      </c>
    </row>
    <row r="165" spans="3:15" ht="21.95" customHeight="1" x14ac:dyDescent="0.25">
      <c r="C165" s="12"/>
      <c r="D165" s="12"/>
      <c r="E165" s="12"/>
      <c r="F165" s="61"/>
      <c r="G165" s="16"/>
      <c r="H165" s="17" t="str">
        <f t="shared" si="10"/>
        <v/>
      </c>
      <c r="I165" s="26" t="str">
        <f>IF(C165="","",C165&amp;"|"&amp;COUNTIF($C$5:C165,C165))</f>
        <v/>
      </c>
      <c r="J165" s="10"/>
      <c r="K165" s="10" t="str">
        <f>IF($C165="","",$C165&amp;"|"&amp;COUNTIF($C$5:C165,$C165))</f>
        <v/>
      </c>
      <c r="L165" s="10" t="str">
        <f t="shared" si="11"/>
        <v/>
      </c>
      <c r="M165" s="26" t="str">
        <f t="shared" si="12"/>
        <v/>
      </c>
      <c r="N165" s="26" t="str">
        <f t="shared" si="13"/>
        <v/>
      </c>
      <c r="O165" s="26" t="str">
        <f t="shared" si="14"/>
        <v/>
      </c>
    </row>
    <row r="166" spans="3:15" ht="21.95" customHeight="1" x14ac:dyDescent="0.25">
      <c r="C166" s="12"/>
      <c r="D166" s="12"/>
      <c r="E166" s="12"/>
      <c r="F166" s="61"/>
      <c r="G166" s="16"/>
      <c r="H166" s="17" t="str">
        <f t="shared" si="10"/>
        <v/>
      </c>
      <c r="I166" s="26" t="str">
        <f>IF(C166="","",C166&amp;"|"&amp;COUNTIF($C$5:C166,C166))</f>
        <v/>
      </c>
      <c r="J166" s="10"/>
      <c r="K166" s="10" t="str">
        <f>IF($C166="","",$C166&amp;"|"&amp;COUNTIF($C$5:C166,$C166))</f>
        <v/>
      </c>
      <c r="L166" s="10" t="str">
        <f t="shared" si="11"/>
        <v/>
      </c>
      <c r="M166" s="26" t="str">
        <f t="shared" si="12"/>
        <v/>
      </c>
      <c r="N166" s="26" t="str">
        <f t="shared" si="13"/>
        <v/>
      </c>
      <c r="O166" s="26" t="str">
        <f t="shared" si="14"/>
        <v/>
      </c>
    </row>
    <row r="167" spans="3:15" ht="21.95" customHeight="1" x14ac:dyDescent="0.25">
      <c r="C167" s="12"/>
      <c r="D167" s="12"/>
      <c r="E167" s="12"/>
      <c r="F167" s="61"/>
      <c r="G167" s="16"/>
      <c r="H167" s="17" t="str">
        <f t="shared" si="10"/>
        <v/>
      </c>
      <c r="I167" s="26" t="str">
        <f>IF(C167="","",C167&amp;"|"&amp;COUNTIF($C$5:C167,C167))</f>
        <v/>
      </c>
      <c r="J167" s="10"/>
      <c r="K167" s="10" t="str">
        <f>IF($C167="","",$C167&amp;"|"&amp;COUNTIF($C$5:C167,$C167))</f>
        <v/>
      </c>
      <c r="L167" s="10" t="str">
        <f t="shared" si="11"/>
        <v/>
      </c>
      <c r="M167" s="26" t="str">
        <f t="shared" si="12"/>
        <v/>
      </c>
      <c r="N167" s="26" t="str">
        <f t="shared" si="13"/>
        <v/>
      </c>
      <c r="O167" s="26" t="str">
        <f t="shared" si="14"/>
        <v/>
      </c>
    </row>
    <row r="168" spans="3:15" ht="21.95" customHeight="1" x14ac:dyDescent="0.25">
      <c r="C168" s="12"/>
      <c r="D168" s="12"/>
      <c r="E168" s="12"/>
      <c r="F168" s="61"/>
      <c r="G168" s="16"/>
      <c r="H168" s="17" t="str">
        <f t="shared" si="10"/>
        <v/>
      </c>
      <c r="I168" s="26" t="str">
        <f>IF(C168="","",C168&amp;"|"&amp;COUNTIF($C$5:C168,C168))</f>
        <v/>
      </c>
      <c r="J168" s="10"/>
      <c r="K168" s="10" t="str">
        <f>IF($C168="","",$C168&amp;"|"&amp;COUNTIF($C$5:C168,$C168))</f>
        <v/>
      </c>
      <c r="L168" s="10" t="str">
        <f t="shared" si="11"/>
        <v/>
      </c>
      <c r="M168" s="26" t="str">
        <f t="shared" si="12"/>
        <v/>
      </c>
      <c r="N168" s="26" t="str">
        <f t="shared" si="13"/>
        <v/>
      </c>
      <c r="O168" s="26" t="str">
        <f t="shared" si="14"/>
        <v/>
      </c>
    </row>
    <row r="169" spans="3:15" ht="21.95" customHeight="1" x14ac:dyDescent="0.25">
      <c r="C169" s="12"/>
      <c r="D169" s="12"/>
      <c r="E169" s="12"/>
      <c r="F169" s="61"/>
      <c r="G169" s="16"/>
      <c r="H169" s="17" t="str">
        <f t="shared" si="10"/>
        <v/>
      </c>
      <c r="I169" s="26" t="str">
        <f>IF(C169="","",C169&amp;"|"&amp;COUNTIF($C$5:C169,C169))</f>
        <v/>
      </c>
      <c r="J169" s="10"/>
      <c r="K169" s="10" t="str">
        <f>IF($C169="","",$C169&amp;"|"&amp;COUNTIF($C$5:C169,$C169))</f>
        <v/>
      </c>
      <c r="L169" s="10" t="str">
        <f t="shared" si="11"/>
        <v/>
      </c>
      <c r="M169" s="26" t="str">
        <f t="shared" si="12"/>
        <v/>
      </c>
      <c r="N169" s="26" t="str">
        <f t="shared" si="13"/>
        <v/>
      </c>
      <c r="O169" s="26" t="str">
        <f t="shared" si="14"/>
        <v/>
      </c>
    </row>
    <row r="170" spans="3:15" ht="21.95" customHeight="1" x14ac:dyDescent="0.25">
      <c r="C170" s="12"/>
      <c r="D170" s="12"/>
      <c r="E170" s="12"/>
      <c r="F170" s="61"/>
      <c r="G170" s="16"/>
      <c r="H170" s="17" t="str">
        <f t="shared" si="10"/>
        <v/>
      </c>
      <c r="I170" s="26" t="str">
        <f>IF(C170="","",C170&amp;"|"&amp;COUNTIF($C$5:C170,C170))</f>
        <v/>
      </c>
      <c r="J170" s="10"/>
      <c r="K170" s="10" t="str">
        <f>IF($C170="","",$C170&amp;"|"&amp;COUNTIF($C$5:C170,$C170))</f>
        <v/>
      </c>
      <c r="L170" s="10" t="str">
        <f t="shared" si="11"/>
        <v/>
      </c>
      <c r="M170" s="26" t="str">
        <f t="shared" si="12"/>
        <v/>
      </c>
      <c r="N170" s="26" t="str">
        <f t="shared" si="13"/>
        <v/>
      </c>
      <c r="O170" s="26" t="str">
        <f t="shared" si="14"/>
        <v/>
      </c>
    </row>
    <row r="171" spans="3:15" ht="21.95" customHeight="1" x14ac:dyDescent="0.25">
      <c r="C171" s="12"/>
      <c r="D171" s="12"/>
      <c r="E171" s="12"/>
      <c r="F171" s="61"/>
      <c r="G171" s="16"/>
      <c r="H171" s="17" t="str">
        <f t="shared" si="10"/>
        <v/>
      </c>
      <c r="I171" s="26" t="str">
        <f>IF(C171="","",C171&amp;"|"&amp;COUNTIF($C$5:C171,C171))</f>
        <v/>
      </c>
      <c r="J171" s="10"/>
      <c r="K171" s="10" t="str">
        <f>IF($C171="","",$C171&amp;"|"&amp;COUNTIF($C$5:C171,$C171))</f>
        <v/>
      </c>
      <c r="L171" s="10" t="str">
        <f t="shared" si="11"/>
        <v/>
      </c>
      <c r="M171" s="26" t="str">
        <f t="shared" si="12"/>
        <v/>
      </c>
      <c r="N171" s="26" t="str">
        <f t="shared" si="13"/>
        <v/>
      </c>
      <c r="O171" s="26" t="str">
        <f t="shared" si="14"/>
        <v/>
      </c>
    </row>
    <row r="172" spans="3:15" ht="21.95" customHeight="1" x14ac:dyDescent="0.25">
      <c r="C172" s="12"/>
      <c r="D172" s="12"/>
      <c r="E172" s="12"/>
      <c r="F172" s="61"/>
      <c r="G172" s="16"/>
      <c r="H172" s="17" t="str">
        <f t="shared" si="10"/>
        <v/>
      </c>
      <c r="I172" s="26" t="str">
        <f>IF(C172="","",C172&amp;"|"&amp;COUNTIF($C$5:C172,C172))</f>
        <v/>
      </c>
      <c r="J172" s="10"/>
      <c r="K172" s="10" t="str">
        <f>IF($C172="","",$C172&amp;"|"&amp;COUNTIF($C$5:C172,$C172))</f>
        <v/>
      </c>
      <c r="L172" s="10" t="str">
        <f t="shared" si="11"/>
        <v/>
      </c>
      <c r="M172" s="26" t="str">
        <f t="shared" si="12"/>
        <v/>
      </c>
      <c r="N172" s="26" t="str">
        <f t="shared" si="13"/>
        <v/>
      </c>
      <c r="O172" s="26" t="str">
        <f t="shared" si="14"/>
        <v/>
      </c>
    </row>
    <row r="173" spans="3:15" ht="21.95" customHeight="1" x14ac:dyDescent="0.25">
      <c r="C173" s="12"/>
      <c r="D173" s="12"/>
      <c r="E173" s="12"/>
      <c r="F173" s="61"/>
      <c r="G173" s="16"/>
      <c r="H173" s="17" t="str">
        <f t="shared" si="10"/>
        <v/>
      </c>
      <c r="I173" s="26" t="str">
        <f>IF(C173="","",C173&amp;"|"&amp;COUNTIF($C$5:C173,C173))</f>
        <v/>
      </c>
      <c r="J173" s="10"/>
      <c r="K173" s="10" t="str">
        <f>IF($C173="","",$C173&amp;"|"&amp;COUNTIF($C$5:C173,$C173))</f>
        <v/>
      </c>
      <c r="L173" s="10" t="str">
        <f t="shared" si="11"/>
        <v/>
      </c>
      <c r="M173" s="26" t="str">
        <f t="shared" si="12"/>
        <v/>
      </c>
      <c r="N173" s="26" t="str">
        <f t="shared" si="13"/>
        <v/>
      </c>
      <c r="O173" s="26" t="str">
        <f t="shared" si="14"/>
        <v/>
      </c>
    </row>
    <row r="174" spans="3:15" ht="21.95" customHeight="1" x14ac:dyDescent="0.25">
      <c r="C174" s="12"/>
      <c r="D174" s="12"/>
      <c r="E174" s="12"/>
      <c r="F174" s="61"/>
      <c r="G174" s="16"/>
      <c r="H174" s="17" t="str">
        <f t="shared" si="10"/>
        <v/>
      </c>
      <c r="I174" s="26" t="str">
        <f>IF(C174="","",C174&amp;"|"&amp;COUNTIF($C$5:C174,C174))</f>
        <v/>
      </c>
      <c r="J174" s="10"/>
      <c r="K174" s="10" t="str">
        <f>IF($C174="","",$C174&amp;"|"&amp;COUNTIF($C$5:C174,$C174))</f>
        <v/>
      </c>
      <c r="L174" s="10" t="str">
        <f t="shared" si="11"/>
        <v/>
      </c>
      <c r="M174" s="26" t="str">
        <f t="shared" si="12"/>
        <v/>
      </c>
      <c r="N174" s="26" t="str">
        <f t="shared" si="13"/>
        <v/>
      </c>
      <c r="O174" s="26" t="str">
        <f t="shared" si="14"/>
        <v/>
      </c>
    </row>
    <row r="175" spans="3:15" ht="21.95" customHeight="1" x14ac:dyDescent="0.25">
      <c r="C175" s="12"/>
      <c r="D175" s="12"/>
      <c r="E175" s="12"/>
      <c r="F175" s="61"/>
      <c r="G175" s="16"/>
      <c r="H175" s="17" t="str">
        <f t="shared" si="10"/>
        <v/>
      </c>
      <c r="I175" s="26" t="str">
        <f>IF(C175="","",C175&amp;"|"&amp;COUNTIF($C$5:C175,C175))</f>
        <v/>
      </c>
      <c r="J175" s="10"/>
      <c r="K175" s="10" t="str">
        <f>IF($C175="","",$C175&amp;"|"&amp;COUNTIF($C$5:C175,$C175))</f>
        <v/>
      </c>
      <c r="L175" s="10" t="str">
        <f t="shared" si="11"/>
        <v/>
      </c>
      <c r="M175" s="26" t="str">
        <f t="shared" si="12"/>
        <v/>
      </c>
      <c r="N175" s="26" t="str">
        <f t="shared" si="13"/>
        <v/>
      </c>
      <c r="O175" s="26" t="str">
        <f t="shared" si="14"/>
        <v/>
      </c>
    </row>
    <row r="176" spans="3:15" ht="21.95" customHeight="1" x14ac:dyDescent="0.25">
      <c r="C176" s="12"/>
      <c r="D176" s="12"/>
      <c r="E176" s="12"/>
      <c r="F176" s="61"/>
      <c r="G176" s="16"/>
      <c r="H176" s="17" t="str">
        <f t="shared" si="10"/>
        <v/>
      </c>
      <c r="I176" s="26" t="str">
        <f>IF(C176="","",C176&amp;"|"&amp;COUNTIF($C$5:C176,C176))</f>
        <v/>
      </c>
      <c r="J176" s="10"/>
      <c r="K176" s="10" t="str">
        <f>IF($C176="","",$C176&amp;"|"&amp;COUNTIF($C$5:C176,$C176))</f>
        <v/>
      </c>
      <c r="L176" s="10" t="str">
        <f t="shared" si="11"/>
        <v/>
      </c>
      <c r="M176" s="26" t="str">
        <f t="shared" si="12"/>
        <v/>
      </c>
      <c r="N176" s="26" t="str">
        <f t="shared" si="13"/>
        <v/>
      </c>
      <c r="O176" s="26" t="str">
        <f t="shared" si="14"/>
        <v/>
      </c>
    </row>
    <row r="177" spans="3:15" ht="21.95" customHeight="1" x14ac:dyDescent="0.25">
      <c r="C177" s="12"/>
      <c r="D177" s="12"/>
      <c r="E177" s="12"/>
      <c r="F177" s="61"/>
      <c r="G177" s="16"/>
      <c r="H177" s="17" t="str">
        <f t="shared" si="10"/>
        <v/>
      </c>
      <c r="I177" s="26" t="str">
        <f>IF(C177="","",C177&amp;"|"&amp;COUNTIF($C$5:C177,C177))</f>
        <v/>
      </c>
      <c r="J177" s="10"/>
      <c r="K177" s="10" t="str">
        <f>IF($C177="","",$C177&amp;"|"&amp;COUNTIF($C$5:C177,$C177))</f>
        <v/>
      </c>
      <c r="L177" s="10" t="str">
        <f t="shared" si="11"/>
        <v/>
      </c>
      <c r="M177" s="26" t="str">
        <f t="shared" si="12"/>
        <v/>
      </c>
      <c r="N177" s="26" t="str">
        <f t="shared" si="13"/>
        <v/>
      </c>
      <c r="O177" s="26" t="str">
        <f t="shared" si="14"/>
        <v/>
      </c>
    </row>
    <row r="178" spans="3:15" ht="21.95" customHeight="1" x14ac:dyDescent="0.25">
      <c r="C178" s="12"/>
      <c r="D178" s="12"/>
      <c r="E178" s="12"/>
      <c r="F178" s="61"/>
      <c r="G178" s="16"/>
      <c r="H178" s="17" t="str">
        <f t="shared" si="10"/>
        <v/>
      </c>
      <c r="I178" s="26" t="str">
        <f>IF(C178="","",C178&amp;"|"&amp;COUNTIF($C$5:C178,C178))</f>
        <v/>
      </c>
      <c r="J178" s="10"/>
      <c r="K178" s="10" t="str">
        <f>IF($C178="","",$C178&amp;"|"&amp;COUNTIF($C$5:C178,$C178))</f>
        <v/>
      </c>
      <c r="L178" s="10" t="str">
        <f t="shared" si="11"/>
        <v/>
      </c>
      <c r="M178" s="26" t="str">
        <f t="shared" si="12"/>
        <v/>
      </c>
      <c r="N178" s="26" t="str">
        <f t="shared" si="13"/>
        <v/>
      </c>
      <c r="O178" s="26" t="str">
        <f t="shared" si="14"/>
        <v/>
      </c>
    </row>
    <row r="179" spans="3:15" ht="21.95" customHeight="1" x14ac:dyDescent="0.25">
      <c r="C179" s="12"/>
      <c r="D179" s="12"/>
      <c r="E179" s="12"/>
      <c r="F179" s="61"/>
      <c r="G179" s="16"/>
      <c r="H179" s="17" t="str">
        <f t="shared" si="10"/>
        <v/>
      </c>
      <c r="I179" s="26" t="str">
        <f>IF(C179="","",C179&amp;"|"&amp;COUNTIF($C$5:C179,C179))</f>
        <v/>
      </c>
      <c r="J179" s="10"/>
      <c r="K179" s="10" t="str">
        <f>IF($C179="","",$C179&amp;"|"&amp;COUNTIF($C$5:C179,$C179))</f>
        <v/>
      </c>
      <c r="L179" s="10" t="str">
        <f t="shared" si="11"/>
        <v/>
      </c>
      <c r="M179" s="26" t="str">
        <f t="shared" si="12"/>
        <v/>
      </c>
      <c r="N179" s="26" t="str">
        <f t="shared" si="13"/>
        <v/>
      </c>
      <c r="O179" s="26" t="str">
        <f t="shared" si="14"/>
        <v/>
      </c>
    </row>
    <row r="180" spans="3:15" ht="21.95" customHeight="1" x14ac:dyDescent="0.25">
      <c r="C180" s="12"/>
      <c r="D180" s="12"/>
      <c r="E180" s="12"/>
      <c r="F180" s="61"/>
      <c r="G180" s="16"/>
      <c r="H180" s="17" t="str">
        <f t="shared" si="10"/>
        <v/>
      </c>
      <c r="I180" s="26" t="str">
        <f>IF(C180="","",C180&amp;"|"&amp;COUNTIF($C$5:C180,C180))</f>
        <v/>
      </c>
      <c r="J180" s="10"/>
      <c r="K180" s="10" t="str">
        <f>IF($C180="","",$C180&amp;"|"&amp;COUNTIF($C$5:C180,$C180))</f>
        <v/>
      </c>
      <c r="L180" s="10" t="str">
        <f t="shared" si="11"/>
        <v/>
      </c>
      <c r="M180" s="26" t="str">
        <f t="shared" si="12"/>
        <v/>
      </c>
      <c r="N180" s="26" t="str">
        <f t="shared" si="13"/>
        <v/>
      </c>
      <c r="O180" s="26" t="str">
        <f t="shared" si="14"/>
        <v/>
      </c>
    </row>
    <row r="181" spans="3:15" ht="21.95" customHeight="1" x14ac:dyDescent="0.25">
      <c r="C181" s="12"/>
      <c r="D181" s="12"/>
      <c r="E181" s="12"/>
      <c r="F181" s="61"/>
      <c r="G181" s="16"/>
      <c r="H181" s="17" t="str">
        <f t="shared" si="10"/>
        <v/>
      </c>
      <c r="I181" s="26" t="str">
        <f>IF(C181="","",C181&amp;"|"&amp;COUNTIF($C$5:C181,C181))</f>
        <v/>
      </c>
      <c r="J181" s="10"/>
      <c r="K181" s="10" t="str">
        <f>IF($C181="","",$C181&amp;"|"&amp;COUNTIF($C$5:C181,$C181))</f>
        <v/>
      </c>
      <c r="L181" s="10" t="str">
        <f t="shared" si="11"/>
        <v/>
      </c>
      <c r="M181" s="26" t="str">
        <f t="shared" si="12"/>
        <v/>
      </c>
      <c r="N181" s="26" t="str">
        <f t="shared" si="13"/>
        <v/>
      </c>
      <c r="O181" s="26" t="str">
        <f t="shared" si="14"/>
        <v/>
      </c>
    </row>
    <row r="182" spans="3:15" ht="21.95" customHeight="1" x14ac:dyDescent="0.25">
      <c r="C182" s="12"/>
      <c r="D182" s="12"/>
      <c r="E182" s="12"/>
      <c r="F182" s="61"/>
      <c r="G182" s="16"/>
      <c r="H182" s="17" t="str">
        <f t="shared" si="10"/>
        <v/>
      </c>
      <c r="I182" s="26" t="str">
        <f>IF(C182="","",C182&amp;"|"&amp;COUNTIF($C$5:C182,C182))</f>
        <v/>
      </c>
      <c r="J182" s="10"/>
      <c r="K182" s="10" t="str">
        <f>IF($C182="","",$C182&amp;"|"&amp;COUNTIF($C$5:C182,$C182))</f>
        <v/>
      </c>
      <c r="L182" s="10" t="str">
        <f t="shared" si="11"/>
        <v/>
      </c>
      <c r="M182" s="26" t="str">
        <f t="shared" si="12"/>
        <v/>
      </c>
      <c r="N182" s="26" t="str">
        <f t="shared" si="13"/>
        <v/>
      </c>
      <c r="O182" s="26" t="str">
        <f t="shared" si="14"/>
        <v/>
      </c>
    </row>
    <row r="183" spans="3:15" ht="21.95" customHeight="1" x14ac:dyDescent="0.25">
      <c r="C183" s="12"/>
      <c r="D183" s="12"/>
      <c r="E183" s="12"/>
      <c r="F183" s="61"/>
      <c r="G183" s="16"/>
      <c r="H183" s="17" t="str">
        <f t="shared" si="10"/>
        <v/>
      </c>
      <c r="I183" s="26" t="str">
        <f>IF(C183="","",C183&amp;"|"&amp;COUNTIF($C$5:C183,C183))</f>
        <v/>
      </c>
      <c r="J183" s="10"/>
      <c r="K183" s="10" t="str">
        <f>IF($C183="","",$C183&amp;"|"&amp;COUNTIF($C$5:C183,$C183))</f>
        <v/>
      </c>
      <c r="L183" s="10" t="str">
        <f t="shared" si="11"/>
        <v/>
      </c>
      <c r="M183" s="26" t="str">
        <f t="shared" si="12"/>
        <v/>
      </c>
      <c r="N183" s="26" t="str">
        <f t="shared" si="13"/>
        <v/>
      </c>
      <c r="O183" s="26" t="str">
        <f t="shared" si="14"/>
        <v/>
      </c>
    </row>
    <row r="184" spans="3:15" ht="21.95" customHeight="1" x14ac:dyDescent="0.25">
      <c r="C184" s="12"/>
      <c r="D184" s="12"/>
      <c r="E184" s="12"/>
      <c r="F184" s="61"/>
      <c r="G184" s="16"/>
      <c r="H184" s="17" t="str">
        <f t="shared" si="10"/>
        <v/>
      </c>
      <c r="I184" s="26" t="str">
        <f>IF(C184="","",C184&amp;"|"&amp;COUNTIF($C$5:C184,C184))</f>
        <v/>
      </c>
      <c r="J184" s="10"/>
      <c r="K184" s="10" t="str">
        <f>IF($C184="","",$C184&amp;"|"&amp;COUNTIF($C$5:C184,$C184))</f>
        <v/>
      </c>
      <c r="L184" s="10" t="str">
        <f t="shared" si="11"/>
        <v/>
      </c>
      <c r="M184" s="26" t="str">
        <f t="shared" si="12"/>
        <v/>
      </c>
      <c r="N184" s="26" t="str">
        <f t="shared" si="13"/>
        <v/>
      </c>
      <c r="O184" s="26" t="str">
        <f t="shared" si="14"/>
        <v/>
      </c>
    </row>
    <row r="185" spans="3:15" ht="21.95" customHeight="1" x14ac:dyDescent="0.25">
      <c r="C185" s="12"/>
      <c r="D185" s="12"/>
      <c r="E185" s="12"/>
      <c r="F185" s="61"/>
      <c r="G185" s="16"/>
      <c r="H185" s="17" t="str">
        <f t="shared" si="10"/>
        <v/>
      </c>
      <c r="I185" s="26" t="str">
        <f>IF(C185="","",C185&amp;"|"&amp;COUNTIF($C$5:C185,C185))</f>
        <v/>
      </c>
      <c r="J185" s="10"/>
      <c r="K185" s="10" t="str">
        <f>IF($C185="","",$C185&amp;"|"&amp;COUNTIF($C$5:C185,$C185))</f>
        <v/>
      </c>
      <c r="L185" s="10" t="str">
        <f t="shared" si="11"/>
        <v/>
      </c>
      <c r="M185" s="26" t="str">
        <f t="shared" si="12"/>
        <v/>
      </c>
      <c r="N185" s="26" t="str">
        <f t="shared" si="13"/>
        <v/>
      </c>
      <c r="O185" s="26" t="str">
        <f t="shared" si="14"/>
        <v/>
      </c>
    </row>
    <row r="186" spans="3:15" ht="21.95" customHeight="1" x14ac:dyDescent="0.25">
      <c r="C186" s="12"/>
      <c r="D186" s="12"/>
      <c r="E186" s="12"/>
      <c r="F186" s="61"/>
      <c r="G186" s="16"/>
      <c r="H186" s="17" t="str">
        <f t="shared" si="10"/>
        <v/>
      </c>
      <c r="I186" s="26" t="str">
        <f>IF(C186="","",C186&amp;"|"&amp;COUNTIF($C$5:C186,C186))</f>
        <v/>
      </c>
      <c r="J186" s="10"/>
      <c r="K186" s="10" t="str">
        <f>IF($C186="","",$C186&amp;"|"&amp;COUNTIF($C$5:C186,$C186))</f>
        <v/>
      </c>
      <c r="L186" s="10" t="str">
        <f t="shared" si="11"/>
        <v/>
      </c>
      <c r="M186" s="26" t="str">
        <f t="shared" si="12"/>
        <v/>
      </c>
      <c r="N186" s="26" t="str">
        <f t="shared" si="13"/>
        <v/>
      </c>
      <c r="O186" s="26" t="str">
        <f t="shared" si="14"/>
        <v/>
      </c>
    </row>
    <row r="187" spans="3:15" ht="21.95" customHeight="1" x14ac:dyDescent="0.25">
      <c r="C187" s="12"/>
      <c r="D187" s="12"/>
      <c r="E187" s="12"/>
      <c r="F187" s="61"/>
      <c r="G187" s="16"/>
      <c r="H187" s="17" t="str">
        <f t="shared" si="10"/>
        <v/>
      </c>
      <c r="I187" s="26" t="str">
        <f>IF(C187="","",C187&amp;"|"&amp;COUNTIF($C$5:C187,C187))</f>
        <v/>
      </c>
      <c r="J187" s="10"/>
      <c r="K187" s="10" t="str">
        <f>IF($C187="","",$C187&amp;"|"&amp;COUNTIF($C$5:C187,$C187))</f>
        <v/>
      </c>
      <c r="L187" s="10" t="str">
        <f t="shared" si="11"/>
        <v/>
      </c>
      <c r="M187" s="26" t="str">
        <f t="shared" si="12"/>
        <v/>
      </c>
      <c r="N187" s="26" t="str">
        <f t="shared" si="13"/>
        <v/>
      </c>
      <c r="O187" s="26" t="str">
        <f t="shared" si="14"/>
        <v/>
      </c>
    </row>
    <row r="188" spans="3:15" ht="21.95" customHeight="1" x14ac:dyDescent="0.25">
      <c r="C188" s="12"/>
      <c r="D188" s="12"/>
      <c r="E188" s="12"/>
      <c r="F188" s="61"/>
      <c r="G188" s="16"/>
      <c r="H188" s="17" t="str">
        <f t="shared" si="10"/>
        <v/>
      </c>
      <c r="I188" s="26" t="str">
        <f>IF(C188="","",C188&amp;"|"&amp;COUNTIF($C$5:C188,C188))</f>
        <v/>
      </c>
      <c r="J188" s="10"/>
      <c r="K188" s="10" t="str">
        <f>IF($C188="","",$C188&amp;"|"&amp;COUNTIF($C$5:C188,$C188))</f>
        <v/>
      </c>
      <c r="L188" s="10" t="str">
        <f t="shared" si="11"/>
        <v/>
      </c>
      <c r="M188" s="26" t="str">
        <f t="shared" si="12"/>
        <v/>
      </c>
      <c r="N188" s="26" t="str">
        <f t="shared" si="13"/>
        <v/>
      </c>
      <c r="O188" s="26" t="str">
        <f t="shared" si="14"/>
        <v/>
      </c>
    </row>
    <row r="189" spans="3:15" ht="21.95" customHeight="1" x14ac:dyDescent="0.25">
      <c r="C189" s="12"/>
      <c r="D189" s="12"/>
      <c r="E189" s="12"/>
      <c r="F189" s="61"/>
      <c r="G189" s="16"/>
      <c r="H189" s="17" t="str">
        <f t="shared" si="10"/>
        <v/>
      </c>
      <c r="I189" s="26" t="str">
        <f>IF(C189="","",C189&amp;"|"&amp;COUNTIF($C$5:C189,C189))</f>
        <v/>
      </c>
      <c r="J189" s="10"/>
      <c r="K189" s="10" t="str">
        <f>IF($C189="","",$C189&amp;"|"&amp;COUNTIF($C$5:C189,$C189))</f>
        <v/>
      </c>
      <c r="L189" s="10" t="str">
        <f t="shared" si="11"/>
        <v/>
      </c>
      <c r="M189" s="26" t="str">
        <f t="shared" si="12"/>
        <v/>
      </c>
      <c r="N189" s="26" t="str">
        <f t="shared" si="13"/>
        <v/>
      </c>
      <c r="O189" s="26" t="str">
        <f t="shared" si="14"/>
        <v/>
      </c>
    </row>
    <row r="190" spans="3:15" ht="21.95" customHeight="1" x14ac:dyDescent="0.25">
      <c r="C190" s="12"/>
      <c r="D190" s="12"/>
      <c r="E190" s="12"/>
      <c r="F190" s="61"/>
      <c r="G190" s="16"/>
      <c r="H190" s="17" t="str">
        <f t="shared" si="10"/>
        <v/>
      </c>
      <c r="I190" s="26" t="str">
        <f>IF(C190="","",C190&amp;"|"&amp;COUNTIF($C$5:C190,C190))</f>
        <v/>
      </c>
      <c r="J190" s="10"/>
      <c r="K190" s="10" t="str">
        <f>IF($C190="","",$C190&amp;"|"&amp;COUNTIF($C$5:C190,$C190))</f>
        <v/>
      </c>
      <c r="L190" s="10" t="str">
        <f t="shared" si="11"/>
        <v/>
      </c>
      <c r="M190" s="26" t="str">
        <f t="shared" si="12"/>
        <v/>
      </c>
      <c r="N190" s="26" t="str">
        <f t="shared" si="13"/>
        <v/>
      </c>
      <c r="O190" s="26" t="str">
        <f t="shared" si="14"/>
        <v/>
      </c>
    </row>
    <row r="191" spans="3:15" ht="21.95" customHeight="1" x14ac:dyDescent="0.25">
      <c r="C191" s="12"/>
      <c r="D191" s="12"/>
      <c r="E191" s="12"/>
      <c r="F191" s="61"/>
      <c r="G191" s="16"/>
      <c r="H191" s="17" t="str">
        <f t="shared" si="10"/>
        <v/>
      </c>
      <c r="I191" s="26" t="str">
        <f>IF(C191="","",C191&amp;"|"&amp;COUNTIF($C$5:C191,C191))</f>
        <v/>
      </c>
      <c r="J191" s="10"/>
      <c r="K191" s="10" t="str">
        <f>IF($C191="","",$C191&amp;"|"&amp;COUNTIF($C$5:C191,$C191))</f>
        <v/>
      </c>
      <c r="L191" s="10" t="str">
        <f t="shared" si="11"/>
        <v/>
      </c>
      <c r="M191" s="26" t="str">
        <f t="shared" si="12"/>
        <v/>
      </c>
      <c r="N191" s="26" t="str">
        <f t="shared" si="13"/>
        <v/>
      </c>
      <c r="O191" s="26" t="str">
        <f t="shared" si="14"/>
        <v/>
      </c>
    </row>
    <row r="192" spans="3:15" ht="21.95" customHeight="1" x14ac:dyDescent="0.25">
      <c r="C192" s="12"/>
      <c r="D192" s="12"/>
      <c r="E192" s="12"/>
      <c r="F192" s="61"/>
      <c r="G192" s="16"/>
      <c r="H192" s="17" t="str">
        <f t="shared" si="10"/>
        <v/>
      </c>
      <c r="I192" s="26" t="str">
        <f>IF(C192="","",C192&amp;"|"&amp;COUNTIF($C$5:C192,C192))</f>
        <v/>
      </c>
      <c r="J192" s="10"/>
      <c r="K192" s="10" t="str">
        <f>IF($C192="","",$C192&amp;"|"&amp;COUNTIF($C$5:C192,$C192))</f>
        <v/>
      </c>
      <c r="L192" s="10" t="str">
        <f t="shared" si="11"/>
        <v/>
      </c>
      <c r="M192" s="26" t="str">
        <f t="shared" si="12"/>
        <v/>
      </c>
      <c r="N192" s="26" t="str">
        <f t="shared" si="13"/>
        <v/>
      </c>
      <c r="O192" s="26" t="str">
        <f t="shared" si="14"/>
        <v/>
      </c>
    </row>
    <row r="193" spans="3:15" ht="21.95" customHeight="1" x14ac:dyDescent="0.25">
      <c r="C193" s="12"/>
      <c r="D193" s="12"/>
      <c r="E193" s="12"/>
      <c r="F193" s="61"/>
      <c r="G193" s="16"/>
      <c r="H193" s="17" t="str">
        <f t="shared" si="10"/>
        <v/>
      </c>
      <c r="I193" s="26" t="str">
        <f>IF(C193="","",C193&amp;"|"&amp;COUNTIF($C$5:C193,C193))</f>
        <v/>
      </c>
      <c r="J193" s="10"/>
      <c r="K193" s="10" t="str">
        <f>IF($C193="","",$C193&amp;"|"&amp;COUNTIF($C$5:C193,$C193))</f>
        <v/>
      </c>
      <c r="L193" s="10" t="str">
        <f t="shared" si="11"/>
        <v/>
      </c>
      <c r="M193" s="26" t="str">
        <f t="shared" si="12"/>
        <v/>
      </c>
      <c r="N193" s="26" t="str">
        <f t="shared" si="13"/>
        <v/>
      </c>
      <c r="O193" s="26" t="str">
        <f t="shared" si="14"/>
        <v/>
      </c>
    </row>
    <row r="194" spans="3:15" ht="21.95" customHeight="1" x14ac:dyDescent="0.25">
      <c r="C194" s="12"/>
      <c r="D194" s="12"/>
      <c r="E194" s="12"/>
      <c r="F194" s="61"/>
      <c r="G194" s="16"/>
      <c r="H194" s="17" t="str">
        <f t="shared" si="10"/>
        <v/>
      </c>
      <c r="I194" s="26" t="str">
        <f>IF(C194="","",C194&amp;"|"&amp;COUNTIF($C$5:C194,C194))</f>
        <v/>
      </c>
      <c r="J194" s="10"/>
      <c r="K194" s="10" t="str">
        <f>IF($C194="","",$C194&amp;"|"&amp;COUNTIF($C$5:C194,$C194))</f>
        <v/>
      </c>
      <c r="L194" s="10" t="str">
        <f t="shared" si="11"/>
        <v/>
      </c>
      <c r="M194" s="26" t="str">
        <f t="shared" si="12"/>
        <v/>
      </c>
      <c r="N194" s="26" t="str">
        <f t="shared" si="13"/>
        <v/>
      </c>
      <c r="O194" s="26" t="str">
        <f t="shared" si="14"/>
        <v/>
      </c>
    </row>
    <row r="195" spans="3:15" ht="21.95" customHeight="1" x14ac:dyDescent="0.25">
      <c r="C195" s="12"/>
      <c r="D195" s="12"/>
      <c r="E195" s="12"/>
      <c r="F195" s="61"/>
      <c r="G195" s="16"/>
      <c r="H195" s="17" t="str">
        <f t="shared" si="10"/>
        <v/>
      </c>
      <c r="I195" s="26" t="str">
        <f>IF(C195="","",C195&amp;"|"&amp;COUNTIF($C$5:C195,C195))</f>
        <v/>
      </c>
      <c r="J195" s="10"/>
      <c r="K195" s="10" t="str">
        <f>IF($C195="","",$C195&amp;"|"&amp;COUNTIF($C$5:C195,$C195))</f>
        <v/>
      </c>
      <c r="L195" s="10" t="str">
        <f t="shared" si="11"/>
        <v/>
      </c>
      <c r="M195" s="26" t="str">
        <f t="shared" si="12"/>
        <v/>
      </c>
      <c r="N195" s="26" t="str">
        <f t="shared" si="13"/>
        <v/>
      </c>
      <c r="O195" s="26" t="str">
        <f t="shared" si="14"/>
        <v/>
      </c>
    </row>
    <row r="196" spans="3:15" ht="21.95" customHeight="1" x14ac:dyDescent="0.25">
      <c r="C196" s="12"/>
      <c r="D196" s="12"/>
      <c r="E196" s="12"/>
      <c r="F196" s="61"/>
      <c r="G196" s="16"/>
      <c r="H196" s="17" t="str">
        <f t="shared" si="10"/>
        <v/>
      </c>
      <c r="I196" s="26" t="str">
        <f>IF(C196="","",C196&amp;"|"&amp;COUNTIF($C$5:C196,C196))</f>
        <v/>
      </c>
      <c r="J196" s="10"/>
      <c r="K196" s="10" t="str">
        <f>IF($C196="","",$C196&amp;"|"&amp;COUNTIF($C$5:C196,$C196))</f>
        <v/>
      </c>
      <c r="L196" s="10" t="str">
        <f t="shared" si="11"/>
        <v/>
      </c>
      <c r="M196" s="26" t="str">
        <f t="shared" si="12"/>
        <v/>
      </c>
      <c r="N196" s="26" t="str">
        <f t="shared" si="13"/>
        <v/>
      </c>
      <c r="O196" s="26" t="str">
        <f t="shared" si="14"/>
        <v/>
      </c>
    </row>
    <row r="197" spans="3:15" ht="21.95" customHeight="1" x14ac:dyDescent="0.25">
      <c r="C197" s="12"/>
      <c r="D197" s="12"/>
      <c r="E197" s="12"/>
      <c r="F197" s="61"/>
      <c r="G197" s="16"/>
      <c r="H197" s="17" t="str">
        <f t="shared" ref="H197:H260" si="15">IF(OR(C197="",F197="",G197=""),"",F197*G197)</f>
        <v/>
      </c>
      <c r="I197" s="26" t="str">
        <f>IF(C197="","",C197&amp;"|"&amp;COUNTIF($C$5:C197,C197))</f>
        <v/>
      </c>
      <c r="J197" s="10"/>
      <c r="K197" s="10" t="str">
        <f>IF($C197="","",$C197&amp;"|"&amp;COUNTIF($C$5:C197,$C197))</f>
        <v/>
      </c>
      <c r="L197" s="10" t="str">
        <f t="shared" ref="L197:L260" si="16">IF($C197="","",$D197)</f>
        <v/>
      </c>
      <c r="M197" s="26" t="str">
        <f t="shared" ref="M197:M260" si="17">IF($C197="","",$E197)</f>
        <v/>
      </c>
      <c r="N197" s="26" t="str">
        <f t="shared" ref="N197:N260" si="18">IF($C197="","",$F197)</f>
        <v/>
      </c>
      <c r="O197" s="26" t="str">
        <f t="shared" ref="O197:O260" si="19">IF($C197="","",$H197)</f>
        <v/>
      </c>
    </row>
    <row r="198" spans="3:15" ht="21.95" customHeight="1" x14ac:dyDescent="0.25">
      <c r="C198" s="12"/>
      <c r="D198" s="12"/>
      <c r="E198" s="12"/>
      <c r="F198" s="61"/>
      <c r="G198" s="16"/>
      <c r="H198" s="17" t="str">
        <f t="shared" si="15"/>
        <v/>
      </c>
      <c r="I198" s="26" t="str">
        <f>IF(C198="","",C198&amp;"|"&amp;COUNTIF($C$5:C198,C198))</f>
        <v/>
      </c>
      <c r="J198" s="10"/>
      <c r="K198" s="10" t="str">
        <f>IF($C198="","",$C198&amp;"|"&amp;COUNTIF($C$5:C198,$C198))</f>
        <v/>
      </c>
      <c r="L198" s="10" t="str">
        <f t="shared" si="16"/>
        <v/>
      </c>
      <c r="M198" s="26" t="str">
        <f t="shared" si="17"/>
        <v/>
      </c>
      <c r="N198" s="26" t="str">
        <f t="shared" si="18"/>
        <v/>
      </c>
      <c r="O198" s="26" t="str">
        <f t="shared" si="19"/>
        <v/>
      </c>
    </row>
    <row r="199" spans="3:15" ht="21.95" customHeight="1" x14ac:dyDescent="0.25">
      <c r="C199" s="12"/>
      <c r="D199" s="12"/>
      <c r="E199" s="12"/>
      <c r="F199" s="61"/>
      <c r="G199" s="16"/>
      <c r="H199" s="17" t="str">
        <f t="shared" si="15"/>
        <v/>
      </c>
      <c r="I199" s="26" t="str">
        <f>IF(C199="","",C199&amp;"|"&amp;COUNTIF($C$5:C199,C199))</f>
        <v/>
      </c>
      <c r="J199" s="10"/>
      <c r="K199" s="10" t="str">
        <f>IF($C199="","",$C199&amp;"|"&amp;COUNTIF($C$5:C199,$C199))</f>
        <v/>
      </c>
      <c r="L199" s="10" t="str">
        <f t="shared" si="16"/>
        <v/>
      </c>
      <c r="M199" s="26" t="str">
        <f t="shared" si="17"/>
        <v/>
      </c>
      <c r="N199" s="26" t="str">
        <f t="shared" si="18"/>
        <v/>
      </c>
      <c r="O199" s="26" t="str">
        <f t="shared" si="19"/>
        <v/>
      </c>
    </row>
    <row r="200" spans="3:15" ht="21.95" customHeight="1" x14ac:dyDescent="0.25">
      <c r="C200" s="12"/>
      <c r="D200" s="12"/>
      <c r="E200" s="12"/>
      <c r="F200" s="61"/>
      <c r="G200" s="16"/>
      <c r="H200" s="17" t="str">
        <f t="shared" si="15"/>
        <v/>
      </c>
      <c r="I200" s="26" t="str">
        <f>IF(C200="","",C200&amp;"|"&amp;COUNTIF($C$5:C200,C200))</f>
        <v/>
      </c>
      <c r="J200" s="10"/>
      <c r="K200" s="10" t="str">
        <f>IF($C200="","",$C200&amp;"|"&amp;COUNTIF($C$5:C200,$C200))</f>
        <v/>
      </c>
      <c r="L200" s="10" t="str">
        <f t="shared" si="16"/>
        <v/>
      </c>
      <c r="M200" s="26" t="str">
        <f t="shared" si="17"/>
        <v/>
      </c>
      <c r="N200" s="26" t="str">
        <f t="shared" si="18"/>
        <v/>
      </c>
      <c r="O200" s="26" t="str">
        <f t="shared" si="19"/>
        <v/>
      </c>
    </row>
    <row r="201" spans="3:15" ht="21.95" customHeight="1" x14ac:dyDescent="0.25">
      <c r="C201" s="12"/>
      <c r="D201" s="12"/>
      <c r="E201" s="12"/>
      <c r="F201" s="61"/>
      <c r="G201" s="16"/>
      <c r="H201" s="17" t="str">
        <f t="shared" si="15"/>
        <v/>
      </c>
      <c r="I201" s="26" t="str">
        <f>IF(C201="","",C201&amp;"|"&amp;COUNTIF($C$5:C201,C201))</f>
        <v/>
      </c>
      <c r="J201" s="10"/>
      <c r="K201" s="10" t="str">
        <f>IF($C201="","",$C201&amp;"|"&amp;COUNTIF($C$5:C201,$C201))</f>
        <v/>
      </c>
      <c r="L201" s="10" t="str">
        <f t="shared" si="16"/>
        <v/>
      </c>
      <c r="M201" s="26" t="str">
        <f t="shared" si="17"/>
        <v/>
      </c>
      <c r="N201" s="26" t="str">
        <f t="shared" si="18"/>
        <v/>
      </c>
      <c r="O201" s="26" t="str">
        <f t="shared" si="19"/>
        <v/>
      </c>
    </row>
    <row r="202" spans="3:15" ht="21.95" customHeight="1" x14ac:dyDescent="0.25">
      <c r="C202" s="12"/>
      <c r="D202" s="12"/>
      <c r="E202" s="12"/>
      <c r="F202" s="61"/>
      <c r="G202" s="16"/>
      <c r="H202" s="17" t="str">
        <f t="shared" si="15"/>
        <v/>
      </c>
      <c r="I202" s="26" t="str">
        <f>IF(C202="","",C202&amp;"|"&amp;COUNTIF($C$5:C202,C202))</f>
        <v/>
      </c>
      <c r="J202" s="10"/>
      <c r="K202" s="10" t="str">
        <f>IF($C202="","",$C202&amp;"|"&amp;COUNTIF($C$5:C202,$C202))</f>
        <v/>
      </c>
      <c r="L202" s="10" t="str">
        <f t="shared" si="16"/>
        <v/>
      </c>
      <c r="M202" s="26" t="str">
        <f t="shared" si="17"/>
        <v/>
      </c>
      <c r="N202" s="26" t="str">
        <f t="shared" si="18"/>
        <v/>
      </c>
      <c r="O202" s="26" t="str">
        <f t="shared" si="19"/>
        <v/>
      </c>
    </row>
    <row r="203" spans="3:15" ht="21.95" customHeight="1" x14ac:dyDescent="0.25">
      <c r="C203" s="12"/>
      <c r="D203" s="12"/>
      <c r="E203" s="12"/>
      <c r="F203" s="61"/>
      <c r="G203" s="16"/>
      <c r="H203" s="17" t="str">
        <f t="shared" si="15"/>
        <v/>
      </c>
      <c r="I203" s="26" t="str">
        <f>IF(C203="","",C203&amp;"|"&amp;COUNTIF($C$5:C203,C203))</f>
        <v/>
      </c>
      <c r="J203" s="10"/>
      <c r="K203" s="10" t="str">
        <f>IF($C203="","",$C203&amp;"|"&amp;COUNTIF($C$5:C203,$C203))</f>
        <v/>
      </c>
      <c r="L203" s="10" t="str">
        <f t="shared" si="16"/>
        <v/>
      </c>
      <c r="M203" s="26" t="str">
        <f t="shared" si="17"/>
        <v/>
      </c>
      <c r="N203" s="26" t="str">
        <f t="shared" si="18"/>
        <v/>
      </c>
      <c r="O203" s="26" t="str">
        <f t="shared" si="19"/>
        <v/>
      </c>
    </row>
    <row r="204" spans="3:15" ht="21.95" customHeight="1" x14ac:dyDescent="0.25">
      <c r="C204" s="12"/>
      <c r="D204" s="12"/>
      <c r="E204" s="12"/>
      <c r="F204" s="61"/>
      <c r="G204" s="16"/>
      <c r="H204" s="17" t="str">
        <f t="shared" si="15"/>
        <v/>
      </c>
      <c r="I204" s="26" t="str">
        <f>IF(C204="","",C204&amp;"|"&amp;COUNTIF($C$5:C204,C204))</f>
        <v/>
      </c>
      <c r="J204" s="10"/>
      <c r="K204" s="10" t="str">
        <f>IF($C204="","",$C204&amp;"|"&amp;COUNTIF($C$5:C204,$C204))</f>
        <v/>
      </c>
      <c r="L204" s="10" t="str">
        <f t="shared" si="16"/>
        <v/>
      </c>
      <c r="M204" s="26" t="str">
        <f t="shared" si="17"/>
        <v/>
      </c>
      <c r="N204" s="26" t="str">
        <f t="shared" si="18"/>
        <v/>
      </c>
      <c r="O204" s="26" t="str">
        <f t="shared" si="19"/>
        <v/>
      </c>
    </row>
    <row r="205" spans="3:15" ht="21.95" customHeight="1" x14ac:dyDescent="0.25">
      <c r="C205" s="12"/>
      <c r="D205" s="12"/>
      <c r="E205" s="12"/>
      <c r="F205" s="61"/>
      <c r="G205" s="16"/>
      <c r="H205" s="17" t="str">
        <f t="shared" si="15"/>
        <v/>
      </c>
      <c r="I205" s="26" t="str">
        <f>IF(C205="","",C205&amp;"|"&amp;COUNTIF($C$5:C205,C205))</f>
        <v/>
      </c>
      <c r="J205" s="10"/>
      <c r="K205" s="10" t="str">
        <f>IF($C205="","",$C205&amp;"|"&amp;COUNTIF($C$5:C205,$C205))</f>
        <v/>
      </c>
      <c r="L205" s="10" t="str">
        <f t="shared" si="16"/>
        <v/>
      </c>
      <c r="M205" s="26" t="str">
        <f t="shared" si="17"/>
        <v/>
      </c>
      <c r="N205" s="26" t="str">
        <f t="shared" si="18"/>
        <v/>
      </c>
      <c r="O205" s="26" t="str">
        <f t="shared" si="19"/>
        <v/>
      </c>
    </row>
    <row r="206" spans="3:15" ht="21.95" customHeight="1" x14ac:dyDescent="0.25">
      <c r="C206" s="12"/>
      <c r="D206" s="12"/>
      <c r="E206" s="12"/>
      <c r="F206" s="61"/>
      <c r="G206" s="16"/>
      <c r="H206" s="17" t="str">
        <f t="shared" si="15"/>
        <v/>
      </c>
      <c r="I206" s="26" t="str">
        <f>IF(C206="","",C206&amp;"|"&amp;COUNTIF($C$5:C206,C206))</f>
        <v/>
      </c>
      <c r="J206" s="10"/>
      <c r="K206" s="10" t="str">
        <f>IF($C206="","",$C206&amp;"|"&amp;COUNTIF($C$5:C206,$C206))</f>
        <v/>
      </c>
      <c r="L206" s="10" t="str">
        <f t="shared" si="16"/>
        <v/>
      </c>
      <c r="M206" s="26" t="str">
        <f t="shared" si="17"/>
        <v/>
      </c>
      <c r="N206" s="26" t="str">
        <f t="shared" si="18"/>
        <v/>
      </c>
      <c r="O206" s="26" t="str">
        <f t="shared" si="19"/>
        <v/>
      </c>
    </row>
    <row r="207" spans="3:15" ht="21.95" customHeight="1" x14ac:dyDescent="0.25">
      <c r="C207" s="12"/>
      <c r="D207" s="12"/>
      <c r="E207" s="12"/>
      <c r="F207" s="61"/>
      <c r="G207" s="16"/>
      <c r="H207" s="17" t="str">
        <f t="shared" si="15"/>
        <v/>
      </c>
      <c r="I207" s="26" t="str">
        <f>IF(C207="","",C207&amp;"|"&amp;COUNTIF($C$5:C207,C207))</f>
        <v/>
      </c>
      <c r="J207" s="10"/>
      <c r="K207" s="10" t="str">
        <f>IF($C207="","",$C207&amp;"|"&amp;COUNTIF($C$5:C207,$C207))</f>
        <v/>
      </c>
      <c r="L207" s="10" t="str">
        <f t="shared" si="16"/>
        <v/>
      </c>
      <c r="M207" s="26" t="str">
        <f t="shared" si="17"/>
        <v/>
      </c>
      <c r="N207" s="26" t="str">
        <f t="shared" si="18"/>
        <v/>
      </c>
      <c r="O207" s="26" t="str">
        <f t="shared" si="19"/>
        <v/>
      </c>
    </row>
    <row r="208" spans="3:15" ht="21.95" customHeight="1" x14ac:dyDescent="0.25">
      <c r="C208" s="12"/>
      <c r="D208" s="12"/>
      <c r="E208" s="12"/>
      <c r="F208" s="61"/>
      <c r="G208" s="16"/>
      <c r="H208" s="17" t="str">
        <f t="shared" si="15"/>
        <v/>
      </c>
      <c r="I208" s="26" t="str">
        <f>IF(C208="","",C208&amp;"|"&amp;COUNTIF($C$5:C208,C208))</f>
        <v/>
      </c>
      <c r="J208" s="10"/>
      <c r="K208" s="10" t="str">
        <f>IF($C208="","",$C208&amp;"|"&amp;COUNTIF($C$5:C208,$C208))</f>
        <v/>
      </c>
      <c r="L208" s="10" t="str">
        <f t="shared" si="16"/>
        <v/>
      </c>
      <c r="M208" s="26" t="str">
        <f t="shared" si="17"/>
        <v/>
      </c>
      <c r="N208" s="26" t="str">
        <f t="shared" si="18"/>
        <v/>
      </c>
      <c r="O208" s="26" t="str">
        <f t="shared" si="19"/>
        <v/>
      </c>
    </row>
    <row r="209" spans="3:15" ht="21.95" customHeight="1" x14ac:dyDescent="0.25">
      <c r="C209" s="12"/>
      <c r="D209" s="12"/>
      <c r="E209" s="12"/>
      <c r="F209" s="61"/>
      <c r="G209" s="16"/>
      <c r="H209" s="17" t="str">
        <f t="shared" si="15"/>
        <v/>
      </c>
      <c r="I209" s="26" t="str">
        <f>IF(C209="","",C209&amp;"|"&amp;COUNTIF($C$5:C209,C209))</f>
        <v/>
      </c>
      <c r="J209" s="10"/>
      <c r="K209" s="10" t="str">
        <f>IF($C209="","",$C209&amp;"|"&amp;COUNTIF($C$5:C209,$C209))</f>
        <v/>
      </c>
      <c r="L209" s="10" t="str">
        <f t="shared" si="16"/>
        <v/>
      </c>
      <c r="M209" s="26" t="str">
        <f t="shared" si="17"/>
        <v/>
      </c>
      <c r="N209" s="26" t="str">
        <f t="shared" si="18"/>
        <v/>
      </c>
      <c r="O209" s="26" t="str">
        <f t="shared" si="19"/>
        <v/>
      </c>
    </row>
    <row r="210" spans="3:15" ht="21.95" customHeight="1" x14ac:dyDescent="0.25">
      <c r="C210" s="12"/>
      <c r="D210" s="12"/>
      <c r="E210" s="12"/>
      <c r="F210" s="61"/>
      <c r="G210" s="16"/>
      <c r="H210" s="17" t="str">
        <f t="shared" si="15"/>
        <v/>
      </c>
      <c r="I210" s="26" t="str">
        <f>IF(C210="","",C210&amp;"|"&amp;COUNTIF($C$5:C210,C210))</f>
        <v/>
      </c>
      <c r="J210" s="10"/>
      <c r="K210" s="10" t="str">
        <f>IF($C210="","",$C210&amp;"|"&amp;COUNTIF($C$5:C210,$C210))</f>
        <v/>
      </c>
      <c r="L210" s="10" t="str">
        <f t="shared" si="16"/>
        <v/>
      </c>
      <c r="M210" s="26" t="str">
        <f t="shared" si="17"/>
        <v/>
      </c>
      <c r="N210" s="26" t="str">
        <f t="shared" si="18"/>
        <v/>
      </c>
      <c r="O210" s="26" t="str">
        <f t="shared" si="19"/>
        <v/>
      </c>
    </row>
    <row r="211" spans="3:15" ht="21.95" customHeight="1" x14ac:dyDescent="0.25">
      <c r="C211" s="12"/>
      <c r="D211" s="12"/>
      <c r="E211" s="12"/>
      <c r="F211" s="61"/>
      <c r="G211" s="16"/>
      <c r="H211" s="17" t="str">
        <f t="shared" si="15"/>
        <v/>
      </c>
      <c r="I211" s="26" t="str">
        <f>IF(C211="","",C211&amp;"|"&amp;COUNTIF($C$5:C211,C211))</f>
        <v/>
      </c>
      <c r="J211" s="10"/>
      <c r="K211" s="10" t="str">
        <f>IF($C211="","",$C211&amp;"|"&amp;COUNTIF($C$5:C211,$C211))</f>
        <v/>
      </c>
      <c r="L211" s="10" t="str">
        <f t="shared" si="16"/>
        <v/>
      </c>
      <c r="M211" s="26" t="str">
        <f t="shared" si="17"/>
        <v/>
      </c>
      <c r="N211" s="26" t="str">
        <f t="shared" si="18"/>
        <v/>
      </c>
      <c r="O211" s="26" t="str">
        <f t="shared" si="19"/>
        <v/>
      </c>
    </row>
    <row r="212" spans="3:15" ht="21.95" customHeight="1" x14ac:dyDescent="0.25">
      <c r="C212" s="12"/>
      <c r="D212" s="12"/>
      <c r="E212" s="12"/>
      <c r="F212" s="61"/>
      <c r="G212" s="16"/>
      <c r="H212" s="17" t="str">
        <f t="shared" si="15"/>
        <v/>
      </c>
      <c r="I212" s="26" t="str">
        <f>IF(C212="","",C212&amp;"|"&amp;COUNTIF($C$5:C212,C212))</f>
        <v/>
      </c>
      <c r="J212" s="10"/>
      <c r="K212" s="10" t="str">
        <f>IF($C212="","",$C212&amp;"|"&amp;COUNTIF($C$5:C212,$C212))</f>
        <v/>
      </c>
      <c r="L212" s="10" t="str">
        <f t="shared" si="16"/>
        <v/>
      </c>
      <c r="M212" s="26" t="str">
        <f t="shared" si="17"/>
        <v/>
      </c>
      <c r="N212" s="26" t="str">
        <f t="shared" si="18"/>
        <v/>
      </c>
      <c r="O212" s="26" t="str">
        <f t="shared" si="19"/>
        <v/>
      </c>
    </row>
    <row r="213" spans="3:15" ht="21.95" customHeight="1" x14ac:dyDescent="0.25">
      <c r="C213" s="12"/>
      <c r="D213" s="12"/>
      <c r="E213" s="12"/>
      <c r="F213" s="61"/>
      <c r="G213" s="16"/>
      <c r="H213" s="17" t="str">
        <f t="shared" si="15"/>
        <v/>
      </c>
      <c r="I213" s="26" t="str">
        <f>IF(C213="","",C213&amp;"|"&amp;COUNTIF($C$5:C213,C213))</f>
        <v/>
      </c>
      <c r="J213" s="10"/>
      <c r="K213" s="10" t="str">
        <f>IF($C213="","",$C213&amp;"|"&amp;COUNTIF($C$5:C213,$C213))</f>
        <v/>
      </c>
      <c r="L213" s="10" t="str">
        <f t="shared" si="16"/>
        <v/>
      </c>
      <c r="M213" s="26" t="str">
        <f t="shared" si="17"/>
        <v/>
      </c>
      <c r="N213" s="26" t="str">
        <f t="shared" si="18"/>
        <v/>
      </c>
      <c r="O213" s="26" t="str">
        <f t="shared" si="19"/>
        <v/>
      </c>
    </row>
    <row r="214" spans="3:15" ht="21.95" customHeight="1" x14ac:dyDescent="0.25">
      <c r="C214" s="12"/>
      <c r="D214" s="12"/>
      <c r="E214" s="12"/>
      <c r="F214" s="61"/>
      <c r="G214" s="16"/>
      <c r="H214" s="17" t="str">
        <f t="shared" si="15"/>
        <v/>
      </c>
      <c r="I214" s="26" t="str">
        <f>IF(C214="","",C214&amp;"|"&amp;COUNTIF($C$5:C214,C214))</f>
        <v/>
      </c>
      <c r="J214" s="10"/>
      <c r="K214" s="10" t="str">
        <f>IF($C214="","",$C214&amp;"|"&amp;COUNTIF($C$5:C214,$C214))</f>
        <v/>
      </c>
      <c r="L214" s="10" t="str">
        <f t="shared" si="16"/>
        <v/>
      </c>
      <c r="M214" s="26" t="str">
        <f t="shared" si="17"/>
        <v/>
      </c>
      <c r="N214" s="26" t="str">
        <f t="shared" si="18"/>
        <v/>
      </c>
      <c r="O214" s="26" t="str">
        <f t="shared" si="19"/>
        <v/>
      </c>
    </row>
    <row r="215" spans="3:15" ht="21.95" customHeight="1" x14ac:dyDescent="0.25">
      <c r="C215" s="12"/>
      <c r="D215" s="12"/>
      <c r="E215" s="12"/>
      <c r="F215" s="61"/>
      <c r="G215" s="16"/>
      <c r="H215" s="17" t="str">
        <f t="shared" si="15"/>
        <v/>
      </c>
      <c r="I215" s="26" t="str">
        <f>IF(C215="","",C215&amp;"|"&amp;COUNTIF($C$5:C215,C215))</f>
        <v/>
      </c>
      <c r="J215" s="10"/>
      <c r="K215" s="10" t="str">
        <f>IF($C215="","",$C215&amp;"|"&amp;COUNTIF($C$5:C215,$C215))</f>
        <v/>
      </c>
      <c r="L215" s="10" t="str">
        <f t="shared" si="16"/>
        <v/>
      </c>
      <c r="M215" s="26" t="str">
        <f t="shared" si="17"/>
        <v/>
      </c>
      <c r="N215" s="26" t="str">
        <f t="shared" si="18"/>
        <v/>
      </c>
      <c r="O215" s="26" t="str">
        <f t="shared" si="19"/>
        <v/>
      </c>
    </row>
    <row r="216" spans="3:15" ht="21.95" customHeight="1" x14ac:dyDescent="0.25">
      <c r="C216" s="12"/>
      <c r="D216" s="12"/>
      <c r="E216" s="12"/>
      <c r="F216" s="61"/>
      <c r="G216" s="16"/>
      <c r="H216" s="17" t="str">
        <f t="shared" si="15"/>
        <v/>
      </c>
      <c r="I216" s="26" t="str">
        <f>IF(C216="","",C216&amp;"|"&amp;COUNTIF($C$5:C216,C216))</f>
        <v/>
      </c>
      <c r="J216" s="10"/>
      <c r="K216" s="10" t="str">
        <f>IF($C216="","",$C216&amp;"|"&amp;COUNTIF($C$5:C216,$C216))</f>
        <v/>
      </c>
      <c r="L216" s="10" t="str">
        <f t="shared" si="16"/>
        <v/>
      </c>
      <c r="M216" s="26" t="str">
        <f t="shared" si="17"/>
        <v/>
      </c>
      <c r="N216" s="26" t="str">
        <f t="shared" si="18"/>
        <v/>
      </c>
      <c r="O216" s="26" t="str">
        <f t="shared" si="19"/>
        <v/>
      </c>
    </row>
    <row r="217" spans="3:15" ht="21.95" customHeight="1" x14ac:dyDescent="0.25">
      <c r="C217" s="12"/>
      <c r="D217" s="12"/>
      <c r="E217" s="12"/>
      <c r="F217" s="61"/>
      <c r="G217" s="16"/>
      <c r="H217" s="17" t="str">
        <f t="shared" si="15"/>
        <v/>
      </c>
      <c r="I217" s="26" t="str">
        <f>IF(C217="","",C217&amp;"|"&amp;COUNTIF($C$5:C217,C217))</f>
        <v/>
      </c>
      <c r="J217" s="10"/>
      <c r="K217" s="10" t="str">
        <f>IF($C217="","",$C217&amp;"|"&amp;COUNTIF($C$5:C217,$C217))</f>
        <v/>
      </c>
      <c r="L217" s="10" t="str">
        <f t="shared" si="16"/>
        <v/>
      </c>
      <c r="M217" s="26" t="str">
        <f t="shared" si="17"/>
        <v/>
      </c>
      <c r="N217" s="26" t="str">
        <f t="shared" si="18"/>
        <v/>
      </c>
      <c r="O217" s="26" t="str">
        <f t="shared" si="19"/>
        <v/>
      </c>
    </row>
    <row r="218" spans="3:15" ht="21.95" customHeight="1" x14ac:dyDescent="0.25">
      <c r="C218" s="12"/>
      <c r="D218" s="12"/>
      <c r="E218" s="12"/>
      <c r="F218" s="61"/>
      <c r="G218" s="16"/>
      <c r="H218" s="17" t="str">
        <f t="shared" si="15"/>
        <v/>
      </c>
      <c r="I218" s="26" t="str">
        <f>IF(C218="","",C218&amp;"|"&amp;COUNTIF($C$5:C218,C218))</f>
        <v/>
      </c>
      <c r="J218" s="10"/>
      <c r="K218" s="10" t="str">
        <f>IF($C218="","",$C218&amp;"|"&amp;COUNTIF($C$5:C218,$C218))</f>
        <v/>
      </c>
      <c r="L218" s="10" t="str">
        <f t="shared" si="16"/>
        <v/>
      </c>
      <c r="M218" s="26" t="str">
        <f t="shared" si="17"/>
        <v/>
      </c>
      <c r="N218" s="26" t="str">
        <f t="shared" si="18"/>
        <v/>
      </c>
      <c r="O218" s="26" t="str">
        <f t="shared" si="19"/>
        <v/>
      </c>
    </row>
    <row r="219" spans="3:15" ht="21.95" customHeight="1" x14ac:dyDescent="0.25">
      <c r="C219" s="12"/>
      <c r="D219" s="12"/>
      <c r="E219" s="12"/>
      <c r="F219" s="61"/>
      <c r="G219" s="16"/>
      <c r="H219" s="17" t="str">
        <f t="shared" si="15"/>
        <v/>
      </c>
      <c r="I219" s="26" t="str">
        <f>IF(C219="","",C219&amp;"|"&amp;COUNTIF($C$5:C219,C219))</f>
        <v/>
      </c>
      <c r="J219" s="10"/>
      <c r="K219" s="10" t="str">
        <f>IF($C219="","",$C219&amp;"|"&amp;COUNTIF($C$5:C219,$C219))</f>
        <v/>
      </c>
      <c r="L219" s="10" t="str">
        <f t="shared" si="16"/>
        <v/>
      </c>
      <c r="M219" s="26" t="str">
        <f t="shared" si="17"/>
        <v/>
      </c>
      <c r="N219" s="26" t="str">
        <f t="shared" si="18"/>
        <v/>
      </c>
      <c r="O219" s="26" t="str">
        <f t="shared" si="19"/>
        <v/>
      </c>
    </row>
    <row r="220" spans="3:15" ht="21.95" customHeight="1" x14ac:dyDescent="0.25">
      <c r="C220" s="12"/>
      <c r="D220" s="12"/>
      <c r="E220" s="12"/>
      <c r="F220" s="61"/>
      <c r="G220" s="16"/>
      <c r="H220" s="17" t="str">
        <f t="shared" si="15"/>
        <v/>
      </c>
      <c r="I220" s="26" t="str">
        <f>IF(C220="","",C220&amp;"|"&amp;COUNTIF($C$5:C220,C220))</f>
        <v/>
      </c>
      <c r="J220" s="10"/>
      <c r="K220" s="10" t="str">
        <f>IF($C220="","",$C220&amp;"|"&amp;COUNTIF($C$5:C220,$C220))</f>
        <v/>
      </c>
      <c r="L220" s="10" t="str">
        <f t="shared" si="16"/>
        <v/>
      </c>
      <c r="M220" s="26" t="str">
        <f t="shared" si="17"/>
        <v/>
      </c>
      <c r="N220" s="26" t="str">
        <f t="shared" si="18"/>
        <v/>
      </c>
      <c r="O220" s="26" t="str">
        <f t="shared" si="19"/>
        <v/>
      </c>
    </row>
    <row r="221" spans="3:15" ht="21.95" customHeight="1" x14ac:dyDescent="0.25">
      <c r="C221" s="12"/>
      <c r="D221" s="12"/>
      <c r="E221" s="12"/>
      <c r="F221" s="61"/>
      <c r="G221" s="16"/>
      <c r="H221" s="17" t="str">
        <f t="shared" si="15"/>
        <v/>
      </c>
      <c r="I221" s="26" t="str">
        <f>IF(C221="","",C221&amp;"|"&amp;COUNTIF($C$5:C221,C221))</f>
        <v/>
      </c>
      <c r="J221" s="10"/>
      <c r="K221" s="10" t="str">
        <f>IF($C221="","",$C221&amp;"|"&amp;COUNTIF($C$5:C221,$C221))</f>
        <v/>
      </c>
      <c r="L221" s="10" t="str">
        <f t="shared" si="16"/>
        <v/>
      </c>
      <c r="M221" s="26" t="str">
        <f t="shared" si="17"/>
        <v/>
      </c>
      <c r="N221" s="26" t="str">
        <f t="shared" si="18"/>
        <v/>
      </c>
      <c r="O221" s="26" t="str">
        <f t="shared" si="19"/>
        <v/>
      </c>
    </row>
    <row r="222" spans="3:15" ht="21.95" customHeight="1" x14ac:dyDescent="0.25">
      <c r="C222" s="12"/>
      <c r="D222" s="12"/>
      <c r="E222" s="12"/>
      <c r="F222" s="61"/>
      <c r="G222" s="16"/>
      <c r="H222" s="17" t="str">
        <f t="shared" si="15"/>
        <v/>
      </c>
      <c r="I222" s="26" t="str">
        <f>IF(C222="","",C222&amp;"|"&amp;COUNTIF($C$5:C222,C222))</f>
        <v/>
      </c>
      <c r="J222" s="10"/>
      <c r="K222" s="10" t="str">
        <f>IF($C222="","",$C222&amp;"|"&amp;COUNTIF($C$5:C222,$C222))</f>
        <v/>
      </c>
      <c r="L222" s="10" t="str">
        <f t="shared" si="16"/>
        <v/>
      </c>
      <c r="M222" s="26" t="str">
        <f t="shared" si="17"/>
        <v/>
      </c>
      <c r="N222" s="26" t="str">
        <f t="shared" si="18"/>
        <v/>
      </c>
      <c r="O222" s="26" t="str">
        <f t="shared" si="19"/>
        <v/>
      </c>
    </row>
    <row r="223" spans="3:15" ht="21.95" customHeight="1" x14ac:dyDescent="0.25">
      <c r="C223" s="12"/>
      <c r="D223" s="12"/>
      <c r="E223" s="12"/>
      <c r="F223" s="61"/>
      <c r="G223" s="16"/>
      <c r="H223" s="17" t="str">
        <f t="shared" si="15"/>
        <v/>
      </c>
      <c r="I223" s="26" t="str">
        <f>IF(C223="","",C223&amp;"|"&amp;COUNTIF($C$5:C223,C223))</f>
        <v/>
      </c>
      <c r="J223" s="10"/>
      <c r="K223" s="10" t="str">
        <f>IF($C223="","",$C223&amp;"|"&amp;COUNTIF($C$5:C223,$C223))</f>
        <v/>
      </c>
      <c r="L223" s="10" t="str">
        <f t="shared" si="16"/>
        <v/>
      </c>
      <c r="M223" s="26" t="str">
        <f t="shared" si="17"/>
        <v/>
      </c>
      <c r="N223" s="26" t="str">
        <f t="shared" si="18"/>
        <v/>
      </c>
      <c r="O223" s="26" t="str">
        <f t="shared" si="19"/>
        <v/>
      </c>
    </row>
    <row r="224" spans="3:15" ht="21.95" customHeight="1" x14ac:dyDescent="0.25">
      <c r="C224" s="12"/>
      <c r="D224" s="12"/>
      <c r="E224" s="12"/>
      <c r="F224" s="61"/>
      <c r="G224" s="16"/>
      <c r="H224" s="17" t="str">
        <f t="shared" si="15"/>
        <v/>
      </c>
      <c r="I224" s="26" t="str">
        <f>IF(C224="","",C224&amp;"|"&amp;COUNTIF($C$5:C224,C224))</f>
        <v/>
      </c>
      <c r="J224" s="10"/>
      <c r="K224" s="10" t="str">
        <f>IF($C224="","",$C224&amp;"|"&amp;COUNTIF($C$5:C224,$C224))</f>
        <v/>
      </c>
      <c r="L224" s="10" t="str">
        <f t="shared" si="16"/>
        <v/>
      </c>
      <c r="M224" s="26" t="str">
        <f t="shared" si="17"/>
        <v/>
      </c>
      <c r="N224" s="26" t="str">
        <f t="shared" si="18"/>
        <v/>
      </c>
      <c r="O224" s="26" t="str">
        <f t="shared" si="19"/>
        <v/>
      </c>
    </row>
    <row r="225" spans="3:15" ht="21.95" customHeight="1" x14ac:dyDescent="0.25">
      <c r="C225" s="12"/>
      <c r="D225" s="12"/>
      <c r="E225" s="12"/>
      <c r="F225" s="61"/>
      <c r="G225" s="16"/>
      <c r="H225" s="17" t="str">
        <f t="shared" si="15"/>
        <v/>
      </c>
      <c r="I225" s="26" t="str">
        <f>IF(C225="","",C225&amp;"|"&amp;COUNTIF($C$5:C225,C225))</f>
        <v/>
      </c>
      <c r="J225" s="10"/>
      <c r="K225" s="10" t="str">
        <f>IF($C225="","",$C225&amp;"|"&amp;COUNTIF($C$5:C225,$C225))</f>
        <v/>
      </c>
      <c r="L225" s="10" t="str">
        <f t="shared" si="16"/>
        <v/>
      </c>
      <c r="M225" s="26" t="str">
        <f t="shared" si="17"/>
        <v/>
      </c>
      <c r="N225" s="26" t="str">
        <f t="shared" si="18"/>
        <v/>
      </c>
      <c r="O225" s="26" t="str">
        <f t="shared" si="19"/>
        <v/>
      </c>
    </row>
    <row r="226" spans="3:15" ht="21.95" customHeight="1" x14ac:dyDescent="0.25">
      <c r="C226" s="12"/>
      <c r="D226" s="12"/>
      <c r="E226" s="12"/>
      <c r="F226" s="61"/>
      <c r="G226" s="16"/>
      <c r="H226" s="17" t="str">
        <f t="shared" si="15"/>
        <v/>
      </c>
      <c r="I226" s="26" t="str">
        <f>IF(C226="","",C226&amp;"|"&amp;COUNTIF($C$5:C226,C226))</f>
        <v/>
      </c>
      <c r="J226" s="10"/>
      <c r="K226" s="10" t="str">
        <f>IF($C226="","",$C226&amp;"|"&amp;COUNTIF($C$5:C226,$C226))</f>
        <v/>
      </c>
      <c r="L226" s="10" t="str">
        <f t="shared" si="16"/>
        <v/>
      </c>
      <c r="M226" s="26" t="str">
        <f t="shared" si="17"/>
        <v/>
      </c>
      <c r="N226" s="26" t="str">
        <f t="shared" si="18"/>
        <v/>
      </c>
      <c r="O226" s="26" t="str">
        <f t="shared" si="19"/>
        <v/>
      </c>
    </row>
    <row r="227" spans="3:15" ht="21.95" customHeight="1" x14ac:dyDescent="0.25">
      <c r="C227" s="12"/>
      <c r="D227" s="12"/>
      <c r="E227" s="12"/>
      <c r="F227" s="61"/>
      <c r="G227" s="16"/>
      <c r="H227" s="17" t="str">
        <f t="shared" si="15"/>
        <v/>
      </c>
      <c r="I227" s="26" t="str">
        <f>IF(C227="","",C227&amp;"|"&amp;COUNTIF($C$5:C227,C227))</f>
        <v/>
      </c>
      <c r="J227" s="10"/>
      <c r="K227" s="10" t="str">
        <f>IF($C227="","",$C227&amp;"|"&amp;COUNTIF($C$5:C227,$C227))</f>
        <v/>
      </c>
      <c r="L227" s="10" t="str">
        <f t="shared" si="16"/>
        <v/>
      </c>
      <c r="M227" s="26" t="str">
        <f t="shared" si="17"/>
        <v/>
      </c>
      <c r="N227" s="26" t="str">
        <f t="shared" si="18"/>
        <v/>
      </c>
      <c r="O227" s="26" t="str">
        <f t="shared" si="19"/>
        <v/>
      </c>
    </row>
    <row r="228" spans="3:15" ht="21.95" customHeight="1" x14ac:dyDescent="0.25">
      <c r="C228" s="12"/>
      <c r="D228" s="12"/>
      <c r="E228" s="12"/>
      <c r="F228" s="61"/>
      <c r="G228" s="16"/>
      <c r="H228" s="17" t="str">
        <f t="shared" si="15"/>
        <v/>
      </c>
      <c r="I228" s="26" t="str">
        <f>IF(C228="","",C228&amp;"|"&amp;COUNTIF($C$5:C228,C228))</f>
        <v/>
      </c>
      <c r="J228" s="10"/>
      <c r="K228" s="10" t="str">
        <f>IF($C228="","",$C228&amp;"|"&amp;COUNTIF($C$5:C228,$C228))</f>
        <v/>
      </c>
      <c r="L228" s="10" t="str">
        <f t="shared" si="16"/>
        <v/>
      </c>
      <c r="M228" s="26" t="str">
        <f t="shared" si="17"/>
        <v/>
      </c>
      <c r="N228" s="26" t="str">
        <f t="shared" si="18"/>
        <v/>
      </c>
      <c r="O228" s="26" t="str">
        <f t="shared" si="19"/>
        <v/>
      </c>
    </row>
    <row r="229" spans="3:15" ht="21.95" customHeight="1" x14ac:dyDescent="0.25">
      <c r="C229" s="12"/>
      <c r="D229" s="12"/>
      <c r="E229" s="12"/>
      <c r="F229" s="61"/>
      <c r="G229" s="16"/>
      <c r="H229" s="17" t="str">
        <f t="shared" si="15"/>
        <v/>
      </c>
      <c r="I229" s="26" t="str">
        <f>IF(C229="","",C229&amp;"|"&amp;COUNTIF($C$5:C229,C229))</f>
        <v/>
      </c>
      <c r="J229" s="10"/>
      <c r="K229" s="10" t="str">
        <f>IF($C229="","",$C229&amp;"|"&amp;COUNTIF($C$5:C229,$C229))</f>
        <v/>
      </c>
      <c r="L229" s="10" t="str">
        <f t="shared" si="16"/>
        <v/>
      </c>
      <c r="M229" s="26" t="str">
        <f t="shared" si="17"/>
        <v/>
      </c>
      <c r="N229" s="26" t="str">
        <f t="shared" si="18"/>
        <v/>
      </c>
      <c r="O229" s="26" t="str">
        <f t="shared" si="19"/>
        <v/>
      </c>
    </row>
    <row r="230" spans="3:15" ht="21.95" customHeight="1" x14ac:dyDescent="0.25">
      <c r="C230" s="12"/>
      <c r="D230" s="12"/>
      <c r="E230" s="12"/>
      <c r="F230" s="61"/>
      <c r="G230" s="16"/>
      <c r="H230" s="17" t="str">
        <f t="shared" si="15"/>
        <v/>
      </c>
      <c r="I230" s="26" t="str">
        <f>IF(C230="","",C230&amp;"|"&amp;COUNTIF($C$5:C230,C230))</f>
        <v/>
      </c>
      <c r="J230" s="10"/>
      <c r="K230" s="10" t="str">
        <f>IF($C230="","",$C230&amp;"|"&amp;COUNTIF($C$5:C230,$C230))</f>
        <v/>
      </c>
      <c r="L230" s="10" t="str">
        <f t="shared" si="16"/>
        <v/>
      </c>
      <c r="M230" s="26" t="str">
        <f t="shared" si="17"/>
        <v/>
      </c>
      <c r="N230" s="26" t="str">
        <f t="shared" si="18"/>
        <v/>
      </c>
      <c r="O230" s="26" t="str">
        <f t="shared" si="19"/>
        <v/>
      </c>
    </row>
    <row r="231" spans="3:15" ht="21.95" customHeight="1" x14ac:dyDescent="0.25">
      <c r="C231" s="12"/>
      <c r="D231" s="12"/>
      <c r="E231" s="12"/>
      <c r="F231" s="61"/>
      <c r="G231" s="16"/>
      <c r="H231" s="17" t="str">
        <f t="shared" si="15"/>
        <v/>
      </c>
      <c r="I231" s="26" t="str">
        <f>IF(C231="","",C231&amp;"|"&amp;COUNTIF($C$5:C231,C231))</f>
        <v/>
      </c>
      <c r="J231" s="10"/>
      <c r="K231" s="10" t="str">
        <f>IF($C231="","",$C231&amp;"|"&amp;COUNTIF($C$5:C231,$C231))</f>
        <v/>
      </c>
      <c r="L231" s="10" t="str">
        <f t="shared" si="16"/>
        <v/>
      </c>
      <c r="M231" s="26" t="str">
        <f t="shared" si="17"/>
        <v/>
      </c>
      <c r="N231" s="26" t="str">
        <f t="shared" si="18"/>
        <v/>
      </c>
      <c r="O231" s="26" t="str">
        <f t="shared" si="19"/>
        <v/>
      </c>
    </row>
    <row r="232" spans="3:15" ht="21.95" customHeight="1" x14ac:dyDescent="0.25">
      <c r="C232" s="12"/>
      <c r="D232" s="12"/>
      <c r="E232" s="12"/>
      <c r="F232" s="61"/>
      <c r="G232" s="16"/>
      <c r="H232" s="17" t="str">
        <f t="shared" si="15"/>
        <v/>
      </c>
      <c r="I232" s="26" t="str">
        <f>IF(C232="","",C232&amp;"|"&amp;COUNTIF($C$5:C232,C232))</f>
        <v/>
      </c>
      <c r="J232" s="10"/>
      <c r="K232" s="10" t="str">
        <f>IF($C232="","",$C232&amp;"|"&amp;COUNTIF($C$5:C232,$C232))</f>
        <v/>
      </c>
      <c r="L232" s="10" t="str">
        <f t="shared" si="16"/>
        <v/>
      </c>
      <c r="M232" s="26" t="str">
        <f t="shared" si="17"/>
        <v/>
      </c>
      <c r="N232" s="26" t="str">
        <f t="shared" si="18"/>
        <v/>
      </c>
      <c r="O232" s="26" t="str">
        <f t="shared" si="19"/>
        <v/>
      </c>
    </row>
    <row r="233" spans="3:15" ht="21.95" customHeight="1" x14ac:dyDescent="0.25">
      <c r="C233" s="12"/>
      <c r="D233" s="12"/>
      <c r="E233" s="12"/>
      <c r="F233" s="61"/>
      <c r="G233" s="16"/>
      <c r="H233" s="17" t="str">
        <f t="shared" si="15"/>
        <v/>
      </c>
      <c r="I233" s="26" t="str">
        <f>IF(C233="","",C233&amp;"|"&amp;COUNTIF($C$5:C233,C233))</f>
        <v/>
      </c>
      <c r="J233" s="10"/>
      <c r="K233" s="10" t="str">
        <f>IF($C233="","",$C233&amp;"|"&amp;COUNTIF($C$5:C233,$C233))</f>
        <v/>
      </c>
      <c r="L233" s="10" t="str">
        <f t="shared" si="16"/>
        <v/>
      </c>
      <c r="M233" s="26" t="str">
        <f t="shared" si="17"/>
        <v/>
      </c>
      <c r="N233" s="26" t="str">
        <f t="shared" si="18"/>
        <v/>
      </c>
      <c r="O233" s="26" t="str">
        <f t="shared" si="19"/>
        <v/>
      </c>
    </row>
    <row r="234" spans="3:15" ht="21.95" customHeight="1" x14ac:dyDescent="0.25">
      <c r="C234" s="12"/>
      <c r="D234" s="12"/>
      <c r="E234" s="12"/>
      <c r="F234" s="61"/>
      <c r="G234" s="16"/>
      <c r="H234" s="17" t="str">
        <f t="shared" si="15"/>
        <v/>
      </c>
      <c r="I234" s="26" t="str">
        <f>IF(C234="","",C234&amp;"|"&amp;COUNTIF($C$5:C234,C234))</f>
        <v/>
      </c>
      <c r="J234" s="10"/>
      <c r="K234" s="10" t="str">
        <f>IF($C234="","",$C234&amp;"|"&amp;COUNTIF($C$5:C234,$C234))</f>
        <v/>
      </c>
      <c r="L234" s="10" t="str">
        <f t="shared" si="16"/>
        <v/>
      </c>
      <c r="M234" s="26" t="str">
        <f t="shared" si="17"/>
        <v/>
      </c>
      <c r="N234" s="26" t="str">
        <f t="shared" si="18"/>
        <v/>
      </c>
      <c r="O234" s="26" t="str">
        <f t="shared" si="19"/>
        <v/>
      </c>
    </row>
    <row r="235" spans="3:15" ht="21.95" customHeight="1" x14ac:dyDescent="0.25">
      <c r="C235" s="12"/>
      <c r="D235" s="12"/>
      <c r="E235" s="12"/>
      <c r="F235" s="61"/>
      <c r="G235" s="16"/>
      <c r="H235" s="17" t="str">
        <f t="shared" si="15"/>
        <v/>
      </c>
      <c r="I235" s="26" t="str">
        <f>IF(C235="","",C235&amp;"|"&amp;COUNTIF($C$5:C235,C235))</f>
        <v/>
      </c>
      <c r="J235" s="10"/>
      <c r="K235" s="10" t="str">
        <f>IF($C235="","",$C235&amp;"|"&amp;COUNTIF($C$5:C235,$C235))</f>
        <v/>
      </c>
      <c r="L235" s="10" t="str">
        <f t="shared" si="16"/>
        <v/>
      </c>
      <c r="M235" s="26" t="str">
        <f t="shared" si="17"/>
        <v/>
      </c>
      <c r="N235" s="26" t="str">
        <f t="shared" si="18"/>
        <v/>
      </c>
      <c r="O235" s="26" t="str">
        <f t="shared" si="19"/>
        <v/>
      </c>
    </row>
    <row r="236" spans="3:15" ht="21.95" customHeight="1" x14ac:dyDescent="0.25">
      <c r="C236" s="12"/>
      <c r="D236" s="12"/>
      <c r="E236" s="12"/>
      <c r="F236" s="61"/>
      <c r="G236" s="16"/>
      <c r="H236" s="17" t="str">
        <f t="shared" si="15"/>
        <v/>
      </c>
      <c r="I236" s="26" t="str">
        <f>IF(C236="","",C236&amp;"|"&amp;COUNTIF($C$5:C236,C236))</f>
        <v/>
      </c>
      <c r="J236" s="10"/>
      <c r="K236" s="10" t="str">
        <f>IF($C236="","",$C236&amp;"|"&amp;COUNTIF($C$5:C236,$C236))</f>
        <v/>
      </c>
      <c r="L236" s="10" t="str">
        <f t="shared" si="16"/>
        <v/>
      </c>
      <c r="M236" s="26" t="str">
        <f t="shared" si="17"/>
        <v/>
      </c>
      <c r="N236" s="26" t="str">
        <f t="shared" si="18"/>
        <v/>
      </c>
      <c r="O236" s="26" t="str">
        <f t="shared" si="19"/>
        <v/>
      </c>
    </row>
    <row r="237" spans="3:15" ht="21.95" customHeight="1" x14ac:dyDescent="0.25">
      <c r="C237" s="12"/>
      <c r="D237" s="12"/>
      <c r="E237" s="12"/>
      <c r="F237" s="61"/>
      <c r="G237" s="16"/>
      <c r="H237" s="17" t="str">
        <f t="shared" si="15"/>
        <v/>
      </c>
      <c r="I237" s="26" t="str">
        <f>IF(C237="","",C237&amp;"|"&amp;COUNTIF($C$5:C237,C237))</f>
        <v/>
      </c>
      <c r="J237" s="10"/>
      <c r="K237" s="10" t="str">
        <f>IF($C237="","",$C237&amp;"|"&amp;COUNTIF($C$5:C237,$C237))</f>
        <v/>
      </c>
      <c r="L237" s="10" t="str">
        <f t="shared" si="16"/>
        <v/>
      </c>
      <c r="M237" s="26" t="str">
        <f t="shared" si="17"/>
        <v/>
      </c>
      <c r="N237" s="26" t="str">
        <f t="shared" si="18"/>
        <v/>
      </c>
      <c r="O237" s="26" t="str">
        <f t="shared" si="19"/>
        <v/>
      </c>
    </row>
    <row r="238" spans="3:15" ht="21.95" customHeight="1" x14ac:dyDescent="0.25">
      <c r="C238" s="12"/>
      <c r="D238" s="12"/>
      <c r="E238" s="12"/>
      <c r="F238" s="61"/>
      <c r="G238" s="16"/>
      <c r="H238" s="17" t="str">
        <f t="shared" si="15"/>
        <v/>
      </c>
      <c r="I238" s="26" t="str">
        <f>IF(C238="","",C238&amp;"|"&amp;COUNTIF($C$5:C238,C238))</f>
        <v/>
      </c>
      <c r="J238" s="10"/>
      <c r="K238" s="10" t="str">
        <f>IF($C238="","",$C238&amp;"|"&amp;COUNTIF($C$5:C238,$C238))</f>
        <v/>
      </c>
      <c r="L238" s="10" t="str">
        <f t="shared" si="16"/>
        <v/>
      </c>
      <c r="M238" s="26" t="str">
        <f t="shared" si="17"/>
        <v/>
      </c>
      <c r="N238" s="26" t="str">
        <f t="shared" si="18"/>
        <v/>
      </c>
      <c r="O238" s="26" t="str">
        <f t="shared" si="19"/>
        <v/>
      </c>
    </row>
    <row r="239" spans="3:15" ht="21.95" customHeight="1" x14ac:dyDescent="0.25">
      <c r="C239" s="12"/>
      <c r="D239" s="12"/>
      <c r="E239" s="12"/>
      <c r="F239" s="61"/>
      <c r="G239" s="16"/>
      <c r="H239" s="17" t="str">
        <f t="shared" si="15"/>
        <v/>
      </c>
      <c r="I239" s="26" t="str">
        <f>IF(C239="","",C239&amp;"|"&amp;COUNTIF($C$5:C239,C239))</f>
        <v/>
      </c>
      <c r="J239" s="10"/>
      <c r="K239" s="10" t="str">
        <f>IF($C239="","",$C239&amp;"|"&amp;COUNTIF($C$5:C239,$C239))</f>
        <v/>
      </c>
      <c r="L239" s="10" t="str">
        <f t="shared" si="16"/>
        <v/>
      </c>
      <c r="M239" s="26" t="str">
        <f t="shared" si="17"/>
        <v/>
      </c>
      <c r="N239" s="26" t="str">
        <f t="shared" si="18"/>
        <v/>
      </c>
      <c r="O239" s="26" t="str">
        <f t="shared" si="19"/>
        <v/>
      </c>
    </row>
    <row r="240" spans="3:15" ht="21.95" customHeight="1" x14ac:dyDescent="0.25">
      <c r="C240" s="12"/>
      <c r="D240" s="12"/>
      <c r="E240" s="12"/>
      <c r="F240" s="61"/>
      <c r="G240" s="16"/>
      <c r="H240" s="17" t="str">
        <f t="shared" si="15"/>
        <v/>
      </c>
      <c r="I240" s="26" t="str">
        <f>IF(C240="","",C240&amp;"|"&amp;COUNTIF($C$5:C240,C240))</f>
        <v/>
      </c>
      <c r="J240" s="10"/>
      <c r="K240" s="10" t="str">
        <f>IF($C240="","",$C240&amp;"|"&amp;COUNTIF($C$5:C240,$C240))</f>
        <v/>
      </c>
      <c r="L240" s="10" t="str">
        <f t="shared" si="16"/>
        <v/>
      </c>
      <c r="M240" s="26" t="str">
        <f t="shared" si="17"/>
        <v/>
      </c>
      <c r="N240" s="26" t="str">
        <f t="shared" si="18"/>
        <v/>
      </c>
      <c r="O240" s="26" t="str">
        <f t="shared" si="19"/>
        <v/>
      </c>
    </row>
    <row r="241" spans="3:15" ht="21.95" customHeight="1" x14ac:dyDescent="0.25">
      <c r="C241" s="12"/>
      <c r="D241" s="12"/>
      <c r="E241" s="12"/>
      <c r="F241" s="61"/>
      <c r="G241" s="16"/>
      <c r="H241" s="17" t="str">
        <f t="shared" si="15"/>
        <v/>
      </c>
      <c r="I241" s="26" t="str">
        <f>IF(C241="","",C241&amp;"|"&amp;COUNTIF($C$5:C241,C241))</f>
        <v/>
      </c>
      <c r="J241" s="10"/>
      <c r="K241" s="10" t="str">
        <f>IF($C241="","",$C241&amp;"|"&amp;COUNTIF($C$5:C241,$C241))</f>
        <v/>
      </c>
      <c r="L241" s="10" t="str">
        <f t="shared" si="16"/>
        <v/>
      </c>
      <c r="M241" s="26" t="str">
        <f t="shared" si="17"/>
        <v/>
      </c>
      <c r="N241" s="26" t="str">
        <f t="shared" si="18"/>
        <v/>
      </c>
      <c r="O241" s="26" t="str">
        <f t="shared" si="19"/>
        <v/>
      </c>
    </row>
    <row r="242" spans="3:15" ht="21.95" customHeight="1" x14ac:dyDescent="0.25">
      <c r="C242" s="12"/>
      <c r="D242" s="12"/>
      <c r="E242" s="12"/>
      <c r="F242" s="61"/>
      <c r="G242" s="16"/>
      <c r="H242" s="17" t="str">
        <f t="shared" si="15"/>
        <v/>
      </c>
      <c r="I242" s="26" t="str">
        <f>IF(C242="","",C242&amp;"|"&amp;COUNTIF($C$5:C242,C242))</f>
        <v/>
      </c>
      <c r="J242" s="10"/>
      <c r="K242" s="10" t="str">
        <f>IF($C242="","",$C242&amp;"|"&amp;COUNTIF($C$5:C242,$C242))</f>
        <v/>
      </c>
      <c r="L242" s="10" t="str">
        <f t="shared" si="16"/>
        <v/>
      </c>
      <c r="M242" s="26" t="str">
        <f t="shared" si="17"/>
        <v/>
      </c>
      <c r="N242" s="26" t="str">
        <f t="shared" si="18"/>
        <v/>
      </c>
      <c r="O242" s="26" t="str">
        <f t="shared" si="19"/>
        <v/>
      </c>
    </row>
    <row r="243" spans="3:15" ht="21.95" customHeight="1" x14ac:dyDescent="0.25">
      <c r="C243" s="12"/>
      <c r="D243" s="12"/>
      <c r="E243" s="12"/>
      <c r="F243" s="61"/>
      <c r="G243" s="16"/>
      <c r="H243" s="17" t="str">
        <f t="shared" si="15"/>
        <v/>
      </c>
      <c r="I243" s="26" t="str">
        <f>IF(C243="","",C243&amp;"|"&amp;COUNTIF($C$5:C243,C243))</f>
        <v/>
      </c>
      <c r="J243" s="10"/>
      <c r="K243" s="10" t="str">
        <f>IF($C243="","",$C243&amp;"|"&amp;COUNTIF($C$5:C243,$C243))</f>
        <v/>
      </c>
      <c r="L243" s="10" t="str">
        <f t="shared" si="16"/>
        <v/>
      </c>
      <c r="M243" s="26" t="str">
        <f t="shared" si="17"/>
        <v/>
      </c>
      <c r="N243" s="26" t="str">
        <f t="shared" si="18"/>
        <v/>
      </c>
      <c r="O243" s="26" t="str">
        <f t="shared" si="19"/>
        <v/>
      </c>
    </row>
    <row r="244" spans="3:15" ht="21.95" customHeight="1" x14ac:dyDescent="0.25">
      <c r="C244" s="12"/>
      <c r="D244" s="12"/>
      <c r="E244" s="12"/>
      <c r="F244" s="61"/>
      <c r="G244" s="16"/>
      <c r="H244" s="17" t="str">
        <f t="shared" si="15"/>
        <v/>
      </c>
      <c r="I244" s="26" t="str">
        <f>IF(C244="","",C244&amp;"|"&amp;COUNTIF($C$5:C244,C244))</f>
        <v/>
      </c>
      <c r="J244" s="10"/>
      <c r="K244" s="10" t="str">
        <f>IF($C244="","",$C244&amp;"|"&amp;COUNTIF($C$5:C244,$C244))</f>
        <v/>
      </c>
      <c r="L244" s="10" t="str">
        <f t="shared" si="16"/>
        <v/>
      </c>
      <c r="M244" s="26" t="str">
        <f t="shared" si="17"/>
        <v/>
      </c>
      <c r="N244" s="26" t="str">
        <f t="shared" si="18"/>
        <v/>
      </c>
      <c r="O244" s="26" t="str">
        <f t="shared" si="19"/>
        <v/>
      </c>
    </row>
    <row r="245" spans="3:15" ht="21.95" customHeight="1" x14ac:dyDescent="0.25">
      <c r="C245" s="12"/>
      <c r="D245" s="12"/>
      <c r="E245" s="12"/>
      <c r="F245" s="61"/>
      <c r="G245" s="16"/>
      <c r="H245" s="17" t="str">
        <f t="shared" si="15"/>
        <v/>
      </c>
      <c r="I245" s="26" t="str">
        <f>IF(C245="","",C245&amp;"|"&amp;COUNTIF($C$5:C245,C245))</f>
        <v/>
      </c>
      <c r="J245" s="10"/>
      <c r="K245" s="10" t="str">
        <f>IF($C245="","",$C245&amp;"|"&amp;COUNTIF($C$5:C245,$C245))</f>
        <v/>
      </c>
      <c r="L245" s="10" t="str">
        <f t="shared" si="16"/>
        <v/>
      </c>
      <c r="M245" s="26" t="str">
        <f t="shared" si="17"/>
        <v/>
      </c>
      <c r="N245" s="26" t="str">
        <f t="shared" si="18"/>
        <v/>
      </c>
      <c r="O245" s="26" t="str">
        <f t="shared" si="19"/>
        <v/>
      </c>
    </row>
    <row r="246" spans="3:15" ht="21.95" customHeight="1" x14ac:dyDescent="0.25">
      <c r="C246" s="12"/>
      <c r="D246" s="12"/>
      <c r="E246" s="12"/>
      <c r="F246" s="61"/>
      <c r="G246" s="16"/>
      <c r="H246" s="17" t="str">
        <f t="shared" si="15"/>
        <v/>
      </c>
      <c r="I246" s="26" t="str">
        <f>IF(C246="","",C246&amp;"|"&amp;COUNTIF($C$5:C246,C246))</f>
        <v/>
      </c>
      <c r="J246" s="10"/>
      <c r="K246" s="10" t="str">
        <f>IF($C246="","",$C246&amp;"|"&amp;COUNTIF($C$5:C246,$C246))</f>
        <v/>
      </c>
      <c r="L246" s="10" t="str">
        <f t="shared" si="16"/>
        <v/>
      </c>
      <c r="M246" s="26" t="str">
        <f t="shared" si="17"/>
        <v/>
      </c>
      <c r="N246" s="26" t="str">
        <f t="shared" si="18"/>
        <v/>
      </c>
      <c r="O246" s="26" t="str">
        <f t="shared" si="19"/>
        <v/>
      </c>
    </row>
    <row r="247" spans="3:15" ht="21.95" customHeight="1" x14ac:dyDescent="0.25">
      <c r="C247" s="12"/>
      <c r="D247" s="12"/>
      <c r="E247" s="12"/>
      <c r="F247" s="61"/>
      <c r="G247" s="16"/>
      <c r="H247" s="17" t="str">
        <f t="shared" si="15"/>
        <v/>
      </c>
      <c r="I247" s="26" t="str">
        <f>IF(C247="","",C247&amp;"|"&amp;COUNTIF($C$5:C247,C247))</f>
        <v/>
      </c>
      <c r="J247" s="10"/>
      <c r="K247" s="10" t="str">
        <f>IF($C247="","",$C247&amp;"|"&amp;COUNTIF($C$5:C247,$C247))</f>
        <v/>
      </c>
      <c r="L247" s="10" t="str">
        <f t="shared" si="16"/>
        <v/>
      </c>
      <c r="M247" s="26" t="str">
        <f t="shared" si="17"/>
        <v/>
      </c>
      <c r="N247" s="26" t="str">
        <f t="shared" si="18"/>
        <v/>
      </c>
      <c r="O247" s="26" t="str">
        <f t="shared" si="19"/>
        <v/>
      </c>
    </row>
    <row r="248" spans="3:15" ht="21.95" customHeight="1" x14ac:dyDescent="0.25">
      <c r="C248" s="12"/>
      <c r="D248" s="12"/>
      <c r="E248" s="12"/>
      <c r="F248" s="61"/>
      <c r="G248" s="16"/>
      <c r="H248" s="17" t="str">
        <f t="shared" si="15"/>
        <v/>
      </c>
      <c r="I248" s="26" t="str">
        <f>IF(C248="","",C248&amp;"|"&amp;COUNTIF($C$5:C248,C248))</f>
        <v/>
      </c>
      <c r="J248" s="10"/>
      <c r="K248" s="10" t="str">
        <f>IF($C248="","",$C248&amp;"|"&amp;COUNTIF($C$5:C248,$C248))</f>
        <v/>
      </c>
      <c r="L248" s="10" t="str">
        <f t="shared" si="16"/>
        <v/>
      </c>
      <c r="M248" s="26" t="str">
        <f t="shared" si="17"/>
        <v/>
      </c>
      <c r="N248" s="26" t="str">
        <f t="shared" si="18"/>
        <v/>
      </c>
      <c r="O248" s="26" t="str">
        <f t="shared" si="19"/>
        <v/>
      </c>
    </row>
    <row r="249" spans="3:15" ht="21.95" customHeight="1" x14ac:dyDescent="0.25">
      <c r="C249" s="12"/>
      <c r="D249" s="12"/>
      <c r="E249" s="12"/>
      <c r="F249" s="61"/>
      <c r="G249" s="16"/>
      <c r="H249" s="17" t="str">
        <f t="shared" si="15"/>
        <v/>
      </c>
      <c r="I249" s="26" t="str">
        <f>IF(C249="","",C249&amp;"|"&amp;COUNTIF($C$5:C249,C249))</f>
        <v/>
      </c>
      <c r="J249" s="10"/>
      <c r="K249" s="10" t="str">
        <f>IF($C249="","",$C249&amp;"|"&amp;COUNTIF($C$5:C249,$C249))</f>
        <v/>
      </c>
      <c r="L249" s="10" t="str">
        <f t="shared" si="16"/>
        <v/>
      </c>
      <c r="M249" s="26" t="str">
        <f t="shared" si="17"/>
        <v/>
      </c>
      <c r="N249" s="26" t="str">
        <f t="shared" si="18"/>
        <v/>
      </c>
      <c r="O249" s="26" t="str">
        <f t="shared" si="19"/>
        <v/>
      </c>
    </row>
    <row r="250" spans="3:15" ht="21.95" customHeight="1" x14ac:dyDescent="0.25">
      <c r="C250" s="12"/>
      <c r="D250" s="12"/>
      <c r="E250" s="12"/>
      <c r="F250" s="61"/>
      <c r="G250" s="16"/>
      <c r="H250" s="17" t="str">
        <f t="shared" si="15"/>
        <v/>
      </c>
      <c r="I250" s="26" t="str">
        <f>IF(C250="","",C250&amp;"|"&amp;COUNTIF($C$5:C250,C250))</f>
        <v/>
      </c>
      <c r="J250" s="10"/>
      <c r="K250" s="10" t="str">
        <f>IF($C250="","",$C250&amp;"|"&amp;COUNTIF($C$5:C250,$C250))</f>
        <v/>
      </c>
      <c r="L250" s="10" t="str">
        <f t="shared" si="16"/>
        <v/>
      </c>
      <c r="M250" s="26" t="str">
        <f t="shared" si="17"/>
        <v/>
      </c>
      <c r="N250" s="26" t="str">
        <f t="shared" si="18"/>
        <v/>
      </c>
      <c r="O250" s="26" t="str">
        <f t="shared" si="19"/>
        <v/>
      </c>
    </row>
    <row r="251" spans="3:15" ht="21.95" customHeight="1" x14ac:dyDescent="0.25">
      <c r="C251" s="12"/>
      <c r="D251" s="12"/>
      <c r="E251" s="12"/>
      <c r="F251" s="61"/>
      <c r="G251" s="16"/>
      <c r="H251" s="17" t="str">
        <f t="shared" si="15"/>
        <v/>
      </c>
      <c r="I251" s="26" t="str">
        <f>IF(C251="","",C251&amp;"|"&amp;COUNTIF($C$5:C251,C251))</f>
        <v/>
      </c>
      <c r="J251" s="10"/>
      <c r="K251" s="10" t="str">
        <f>IF($C251="","",$C251&amp;"|"&amp;COUNTIF($C$5:C251,$C251))</f>
        <v/>
      </c>
      <c r="L251" s="10" t="str">
        <f t="shared" si="16"/>
        <v/>
      </c>
      <c r="M251" s="26" t="str">
        <f t="shared" si="17"/>
        <v/>
      </c>
      <c r="N251" s="26" t="str">
        <f t="shared" si="18"/>
        <v/>
      </c>
      <c r="O251" s="26" t="str">
        <f t="shared" si="19"/>
        <v/>
      </c>
    </row>
    <row r="252" spans="3:15" ht="21.95" customHeight="1" x14ac:dyDescent="0.25">
      <c r="C252" s="12"/>
      <c r="D252" s="12"/>
      <c r="E252" s="12"/>
      <c r="F252" s="61"/>
      <c r="G252" s="16"/>
      <c r="H252" s="17" t="str">
        <f t="shared" si="15"/>
        <v/>
      </c>
      <c r="I252" s="26" t="str">
        <f>IF(C252="","",C252&amp;"|"&amp;COUNTIF($C$5:C252,C252))</f>
        <v/>
      </c>
      <c r="J252" s="10"/>
      <c r="K252" s="10" t="str">
        <f>IF($C252="","",$C252&amp;"|"&amp;COUNTIF($C$5:C252,$C252))</f>
        <v/>
      </c>
      <c r="L252" s="10" t="str">
        <f t="shared" si="16"/>
        <v/>
      </c>
      <c r="M252" s="26" t="str">
        <f t="shared" si="17"/>
        <v/>
      </c>
      <c r="N252" s="26" t="str">
        <f t="shared" si="18"/>
        <v/>
      </c>
      <c r="O252" s="26" t="str">
        <f t="shared" si="19"/>
        <v/>
      </c>
    </row>
    <row r="253" spans="3:15" ht="21.95" customHeight="1" x14ac:dyDescent="0.25">
      <c r="C253" s="12"/>
      <c r="D253" s="12"/>
      <c r="E253" s="12"/>
      <c r="F253" s="61"/>
      <c r="G253" s="16"/>
      <c r="H253" s="17" t="str">
        <f t="shared" si="15"/>
        <v/>
      </c>
      <c r="I253" s="26" t="str">
        <f>IF(C253="","",C253&amp;"|"&amp;COUNTIF($C$5:C253,C253))</f>
        <v/>
      </c>
      <c r="J253" s="10"/>
      <c r="K253" s="10" t="str">
        <f>IF($C253="","",$C253&amp;"|"&amp;COUNTIF($C$5:C253,$C253))</f>
        <v/>
      </c>
      <c r="L253" s="10" t="str">
        <f t="shared" si="16"/>
        <v/>
      </c>
      <c r="M253" s="26" t="str">
        <f t="shared" si="17"/>
        <v/>
      </c>
      <c r="N253" s="26" t="str">
        <f t="shared" si="18"/>
        <v/>
      </c>
      <c r="O253" s="26" t="str">
        <f t="shared" si="19"/>
        <v/>
      </c>
    </row>
    <row r="254" spans="3:15" ht="21.95" customHeight="1" x14ac:dyDescent="0.25">
      <c r="C254" s="12"/>
      <c r="D254" s="12"/>
      <c r="E254" s="12"/>
      <c r="F254" s="61"/>
      <c r="G254" s="16"/>
      <c r="H254" s="17" t="str">
        <f t="shared" si="15"/>
        <v/>
      </c>
      <c r="I254" s="26" t="str">
        <f>IF(C254="","",C254&amp;"|"&amp;COUNTIF($C$5:C254,C254))</f>
        <v/>
      </c>
      <c r="J254" s="10"/>
      <c r="K254" s="10" t="str">
        <f>IF($C254="","",$C254&amp;"|"&amp;COUNTIF($C$5:C254,$C254))</f>
        <v/>
      </c>
      <c r="L254" s="10" t="str">
        <f t="shared" si="16"/>
        <v/>
      </c>
      <c r="M254" s="26" t="str">
        <f t="shared" si="17"/>
        <v/>
      </c>
      <c r="N254" s="26" t="str">
        <f t="shared" si="18"/>
        <v/>
      </c>
      <c r="O254" s="26" t="str">
        <f t="shared" si="19"/>
        <v/>
      </c>
    </row>
    <row r="255" spans="3:15" ht="21.95" customHeight="1" x14ac:dyDescent="0.25">
      <c r="C255" s="12"/>
      <c r="D255" s="12"/>
      <c r="E255" s="12"/>
      <c r="F255" s="61"/>
      <c r="G255" s="16"/>
      <c r="H255" s="17" t="str">
        <f t="shared" si="15"/>
        <v/>
      </c>
      <c r="I255" s="26" t="str">
        <f>IF(C255="","",C255&amp;"|"&amp;COUNTIF($C$5:C255,C255))</f>
        <v/>
      </c>
      <c r="J255" s="10"/>
      <c r="K255" s="10" t="str">
        <f>IF($C255="","",$C255&amp;"|"&amp;COUNTIF($C$5:C255,$C255))</f>
        <v/>
      </c>
      <c r="L255" s="10" t="str">
        <f t="shared" si="16"/>
        <v/>
      </c>
      <c r="M255" s="26" t="str">
        <f t="shared" si="17"/>
        <v/>
      </c>
      <c r="N255" s="26" t="str">
        <f t="shared" si="18"/>
        <v/>
      </c>
      <c r="O255" s="26" t="str">
        <f t="shared" si="19"/>
        <v/>
      </c>
    </row>
    <row r="256" spans="3:15" ht="21.95" customHeight="1" x14ac:dyDescent="0.25">
      <c r="C256" s="12"/>
      <c r="D256" s="12"/>
      <c r="E256" s="12"/>
      <c r="F256" s="61"/>
      <c r="G256" s="16"/>
      <c r="H256" s="17" t="str">
        <f t="shared" si="15"/>
        <v/>
      </c>
      <c r="I256" s="26" t="str">
        <f>IF(C256="","",C256&amp;"|"&amp;COUNTIF($C$5:C256,C256))</f>
        <v/>
      </c>
      <c r="J256" s="10"/>
      <c r="K256" s="10" t="str">
        <f>IF($C256="","",$C256&amp;"|"&amp;COUNTIF($C$5:C256,$C256))</f>
        <v/>
      </c>
      <c r="L256" s="10" t="str">
        <f t="shared" si="16"/>
        <v/>
      </c>
      <c r="M256" s="26" t="str">
        <f t="shared" si="17"/>
        <v/>
      </c>
      <c r="N256" s="26" t="str">
        <f t="shared" si="18"/>
        <v/>
      </c>
      <c r="O256" s="26" t="str">
        <f t="shared" si="19"/>
        <v/>
      </c>
    </row>
    <row r="257" spans="3:15" ht="21.95" customHeight="1" x14ac:dyDescent="0.25">
      <c r="C257" s="12"/>
      <c r="D257" s="12"/>
      <c r="E257" s="12"/>
      <c r="F257" s="61"/>
      <c r="G257" s="16"/>
      <c r="H257" s="17" t="str">
        <f t="shared" si="15"/>
        <v/>
      </c>
      <c r="I257" s="26" t="str">
        <f>IF(C257="","",C257&amp;"|"&amp;COUNTIF($C$5:C257,C257))</f>
        <v/>
      </c>
      <c r="J257" s="10"/>
      <c r="K257" s="10" t="str">
        <f>IF($C257="","",$C257&amp;"|"&amp;COUNTIF($C$5:C257,$C257))</f>
        <v/>
      </c>
      <c r="L257" s="10" t="str">
        <f t="shared" si="16"/>
        <v/>
      </c>
      <c r="M257" s="26" t="str">
        <f t="shared" si="17"/>
        <v/>
      </c>
      <c r="N257" s="26" t="str">
        <f t="shared" si="18"/>
        <v/>
      </c>
      <c r="O257" s="26" t="str">
        <f t="shared" si="19"/>
        <v/>
      </c>
    </row>
    <row r="258" spans="3:15" ht="21.95" customHeight="1" x14ac:dyDescent="0.25">
      <c r="C258" s="12"/>
      <c r="D258" s="12"/>
      <c r="E258" s="12"/>
      <c r="F258" s="61"/>
      <c r="G258" s="16"/>
      <c r="H258" s="17" t="str">
        <f t="shared" si="15"/>
        <v/>
      </c>
      <c r="I258" s="26" t="str">
        <f>IF(C258="","",C258&amp;"|"&amp;COUNTIF($C$5:C258,C258))</f>
        <v/>
      </c>
      <c r="J258" s="10"/>
      <c r="K258" s="10" t="str">
        <f>IF($C258="","",$C258&amp;"|"&amp;COUNTIF($C$5:C258,$C258))</f>
        <v/>
      </c>
      <c r="L258" s="10" t="str">
        <f t="shared" si="16"/>
        <v/>
      </c>
      <c r="M258" s="26" t="str">
        <f t="shared" si="17"/>
        <v/>
      </c>
      <c r="N258" s="26" t="str">
        <f t="shared" si="18"/>
        <v/>
      </c>
      <c r="O258" s="26" t="str">
        <f t="shared" si="19"/>
        <v/>
      </c>
    </row>
    <row r="259" spans="3:15" ht="21.95" customHeight="1" x14ac:dyDescent="0.25">
      <c r="C259" s="12"/>
      <c r="D259" s="12"/>
      <c r="E259" s="12"/>
      <c r="F259" s="61"/>
      <c r="G259" s="16"/>
      <c r="H259" s="17" t="str">
        <f t="shared" si="15"/>
        <v/>
      </c>
      <c r="I259" s="26" t="str">
        <f>IF(C259="","",C259&amp;"|"&amp;COUNTIF($C$5:C259,C259))</f>
        <v/>
      </c>
      <c r="J259" s="10"/>
      <c r="K259" s="10" t="str">
        <f>IF($C259="","",$C259&amp;"|"&amp;COUNTIF($C$5:C259,$C259))</f>
        <v/>
      </c>
      <c r="L259" s="10" t="str">
        <f t="shared" si="16"/>
        <v/>
      </c>
      <c r="M259" s="26" t="str">
        <f t="shared" si="17"/>
        <v/>
      </c>
      <c r="N259" s="26" t="str">
        <f t="shared" si="18"/>
        <v/>
      </c>
      <c r="O259" s="26" t="str">
        <f t="shared" si="19"/>
        <v/>
      </c>
    </row>
    <row r="260" spans="3:15" ht="21.95" customHeight="1" x14ac:dyDescent="0.25">
      <c r="C260" s="12"/>
      <c r="D260" s="12"/>
      <c r="E260" s="12"/>
      <c r="F260" s="61"/>
      <c r="G260" s="16"/>
      <c r="H260" s="17" t="str">
        <f t="shared" si="15"/>
        <v/>
      </c>
      <c r="I260" s="26" t="str">
        <f>IF(C260="","",C260&amp;"|"&amp;COUNTIF($C$5:C260,C260))</f>
        <v/>
      </c>
      <c r="J260" s="10"/>
      <c r="K260" s="10" t="str">
        <f>IF($C260="","",$C260&amp;"|"&amp;COUNTIF($C$5:C260,$C260))</f>
        <v/>
      </c>
      <c r="L260" s="10" t="str">
        <f t="shared" si="16"/>
        <v/>
      </c>
      <c r="M260" s="26" t="str">
        <f t="shared" si="17"/>
        <v/>
      </c>
      <c r="N260" s="26" t="str">
        <f t="shared" si="18"/>
        <v/>
      </c>
      <c r="O260" s="26" t="str">
        <f t="shared" si="19"/>
        <v/>
      </c>
    </row>
    <row r="261" spans="3:15" ht="21.95" customHeight="1" x14ac:dyDescent="0.25">
      <c r="C261" s="12"/>
      <c r="D261" s="12"/>
      <c r="E261" s="12"/>
      <c r="F261" s="61"/>
      <c r="G261" s="16"/>
      <c r="H261" s="17" t="str">
        <f t="shared" ref="H261:H324" si="20">IF(OR(C261="",F261="",G261=""),"",F261*G261)</f>
        <v/>
      </c>
      <c r="I261" s="26" t="str">
        <f>IF(C261="","",C261&amp;"|"&amp;COUNTIF($C$5:C261,C261))</f>
        <v/>
      </c>
      <c r="J261" s="10"/>
      <c r="K261" s="10" t="str">
        <f>IF($C261="","",$C261&amp;"|"&amp;COUNTIF($C$5:C261,$C261))</f>
        <v/>
      </c>
      <c r="L261" s="10" t="str">
        <f t="shared" ref="L261:L324" si="21">IF($C261="","",$D261)</f>
        <v/>
      </c>
      <c r="M261" s="26" t="str">
        <f t="shared" ref="M261:M324" si="22">IF($C261="","",$E261)</f>
        <v/>
      </c>
      <c r="N261" s="26" t="str">
        <f t="shared" ref="N261:N324" si="23">IF($C261="","",$F261)</f>
        <v/>
      </c>
      <c r="O261" s="26" t="str">
        <f t="shared" ref="O261:O324" si="24">IF($C261="","",$H261)</f>
        <v/>
      </c>
    </row>
    <row r="262" spans="3:15" ht="21.95" customHeight="1" x14ac:dyDescent="0.25">
      <c r="C262" s="12"/>
      <c r="D262" s="12"/>
      <c r="E262" s="12"/>
      <c r="F262" s="61"/>
      <c r="G262" s="16"/>
      <c r="H262" s="17" t="str">
        <f t="shared" si="20"/>
        <v/>
      </c>
      <c r="I262" s="26" t="str">
        <f>IF(C262="","",C262&amp;"|"&amp;COUNTIF($C$5:C262,C262))</f>
        <v/>
      </c>
      <c r="J262" s="10"/>
      <c r="K262" s="10" t="str">
        <f>IF($C262="","",$C262&amp;"|"&amp;COUNTIF($C$5:C262,$C262))</f>
        <v/>
      </c>
      <c r="L262" s="10" t="str">
        <f t="shared" si="21"/>
        <v/>
      </c>
      <c r="M262" s="26" t="str">
        <f t="shared" si="22"/>
        <v/>
      </c>
      <c r="N262" s="26" t="str">
        <f t="shared" si="23"/>
        <v/>
      </c>
      <c r="O262" s="26" t="str">
        <f t="shared" si="24"/>
        <v/>
      </c>
    </row>
    <row r="263" spans="3:15" ht="21.95" customHeight="1" x14ac:dyDescent="0.25">
      <c r="C263" s="12"/>
      <c r="D263" s="12"/>
      <c r="E263" s="12"/>
      <c r="F263" s="61"/>
      <c r="G263" s="16"/>
      <c r="H263" s="17" t="str">
        <f t="shared" si="20"/>
        <v/>
      </c>
      <c r="I263" s="26" t="str">
        <f>IF(C263="","",C263&amp;"|"&amp;COUNTIF($C$5:C263,C263))</f>
        <v/>
      </c>
      <c r="J263" s="10"/>
      <c r="K263" s="10" t="str">
        <f>IF($C263="","",$C263&amp;"|"&amp;COUNTIF($C$5:C263,$C263))</f>
        <v/>
      </c>
      <c r="L263" s="10" t="str">
        <f t="shared" si="21"/>
        <v/>
      </c>
      <c r="M263" s="26" t="str">
        <f t="shared" si="22"/>
        <v/>
      </c>
      <c r="N263" s="26" t="str">
        <f t="shared" si="23"/>
        <v/>
      </c>
      <c r="O263" s="26" t="str">
        <f t="shared" si="24"/>
        <v/>
      </c>
    </row>
    <row r="264" spans="3:15" ht="21.95" customHeight="1" x14ac:dyDescent="0.25">
      <c r="C264" s="12"/>
      <c r="D264" s="12"/>
      <c r="E264" s="12"/>
      <c r="F264" s="61"/>
      <c r="G264" s="16"/>
      <c r="H264" s="17" t="str">
        <f t="shared" si="20"/>
        <v/>
      </c>
      <c r="I264" s="26" t="str">
        <f>IF(C264="","",C264&amp;"|"&amp;COUNTIF($C$5:C264,C264))</f>
        <v/>
      </c>
      <c r="J264" s="10"/>
      <c r="K264" s="10" t="str">
        <f>IF($C264="","",$C264&amp;"|"&amp;COUNTIF($C$5:C264,$C264))</f>
        <v/>
      </c>
      <c r="L264" s="10" t="str">
        <f t="shared" si="21"/>
        <v/>
      </c>
      <c r="M264" s="26" t="str">
        <f t="shared" si="22"/>
        <v/>
      </c>
      <c r="N264" s="26" t="str">
        <f t="shared" si="23"/>
        <v/>
      </c>
      <c r="O264" s="26" t="str">
        <f t="shared" si="24"/>
        <v/>
      </c>
    </row>
    <row r="265" spans="3:15" ht="21.95" customHeight="1" x14ac:dyDescent="0.25">
      <c r="C265" s="12"/>
      <c r="D265" s="12"/>
      <c r="E265" s="12"/>
      <c r="F265" s="61"/>
      <c r="G265" s="16"/>
      <c r="H265" s="17" t="str">
        <f t="shared" si="20"/>
        <v/>
      </c>
      <c r="I265" s="26" t="str">
        <f>IF(C265="","",C265&amp;"|"&amp;COUNTIF($C$5:C265,C265))</f>
        <v/>
      </c>
      <c r="J265" s="10"/>
      <c r="K265" s="10" t="str">
        <f>IF($C265="","",$C265&amp;"|"&amp;COUNTIF($C$5:C265,$C265))</f>
        <v/>
      </c>
      <c r="L265" s="10" t="str">
        <f t="shared" si="21"/>
        <v/>
      </c>
      <c r="M265" s="26" t="str">
        <f t="shared" si="22"/>
        <v/>
      </c>
      <c r="N265" s="26" t="str">
        <f t="shared" si="23"/>
        <v/>
      </c>
      <c r="O265" s="26" t="str">
        <f t="shared" si="24"/>
        <v/>
      </c>
    </row>
    <row r="266" spans="3:15" ht="21.95" customHeight="1" x14ac:dyDescent="0.25">
      <c r="C266" s="12"/>
      <c r="D266" s="12"/>
      <c r="E266" s="12"/>
      <c r="F266" s="61"/>
      <c r="G266" s="16"/>
      <c r="H266" s="17" t="str">
        <f t="shared" si="20"/>
        <v/>
      </c>
      <c r="I266" s="26" t="str">
        <f>IF(C266="","",C266&amp;"|"&amp;COUNTIF($C$5:C266,C266))</f>
        <v/>
      </c>
      <c r="J266" s="10"/>
      <c r="K266" s="10" t="str">
        <f>IF($C266="","",$C266&amp;"|"&amp;COUNTIF($C$5:C266,$C266))</f>
        <v/>
      </c>
      <c r="L266" s="10" t="str">
        <f t="shared" si="21"/>
        <v/>
      </c>
      <c r="M266" s="26" t="str">
        <f t="shared" si="22"/>
        <v/>
      </c>
      <c r="N266" s="26" t="str">
        <f t="shared" si="23"/>
        <v/>
      </c>
      <c r="O266" s="26" t="str">
        <f t="shared" si="24"/>
        <v/>
      </c>
    </row>
    <row r="267" spans="3:15" ht="21.95" customHeight="1" x14ac:dyDescent="0.25">
      <c r="C267" s="12"/>
      <c r="D267" s="12"/>
      <c r="E267" s="12"/>
      <c r="F267" s="61"/>
      <c r="G267" s="16"/>
      <c r="H267" s="17" t="str">
        <f t="shared" si="20"/>
        <v/>
      </c>
      <c r="I267" s="26" t="str">
        <f>IF(C267="","",C267&amp;"|"&amp;COUNTIF($C$5:C267,C267))</f>
        <v/>
      </c>
      <c r="J267" s="10"/>
      <c r="K267" s="10" t="str">
        <f>IF($C267="","",$C267&amp;"|"&amp;COUNTIF($C$5:C267,$C267))</f>
        <v/>
      </c>
      <c r="L267" s="10" t="str">
        <f t="shared" si="21"/>
        <v/>
      </c>
      <c r="M267" s="26" t="str">
        <f t="shared" si="22"/>
        <v/>
      </c>
      <c r="N267" s="26" t="str">
        <f t="shared" si="23"/>
        <v/>
      </c>
      <c r="O267" s="26" t="str">
        <f t="shared" si="24"/>
        <v/>
      </c>
    </row>
    <row r="268" spans="3:15" ht="21.95" customHeight="1" x14ac:dyDescent="0.25">
      <c r="C268" s="12"/>
      <c r="D268" s="12"/>
      <c r="E268" s="12"/>
      <c r="F268" s="61"/>
      <c r="G268" s="16"/>
      <c r="H268" s="17" t="str">
        <f t="shared" si="20"/>
        <v/>
      </c>
      <c r="I268" s="26" t="str">
        <f>IF(C268="","",C268&amp;"|"&amp;COUNTIF($C$5:C268,C268))</f>
        <v/>
      </c>
      <c r="J268" s="10"/>
      <c r="K268" s="10" t="str">
        <f>IF($C268="","",$C268&amp;"|"&amp;COUNTIF($C$5:C268,$C268))</f>
        <v/>
      </c>
      <c r="L268" s="10" t="str">
        <f t="shared" si="21"/>
        <v/>
      </c>
      <c r="M268" s="26" t="str">
        <f t="shared" si="22"/>
        <v/>
      </c>
      <c r="N268" s="26" t="str">
        <f t="shared" si="23"/>
        <v/>
      </c>
      <c r="O268" s="26" t="str">
        <f t="shared" si="24"/>
        <v/>
      </c>
    </row>
    <row r="269" spans="3:15" ht="21.95" customHeight="1" x14ac:dyDescent="0.25">
      <c r="C269" s="12"/>
      <c r="D269" s="12"/>
      <c r="E269" s="12"/>
      <c r="F269" s="61"/>
      <c r="G269" s="16"/>
      <c r="H269" s="17" t="str">
        <f t="shared" si="20"/>
        <v/>
      </c>
      <c r="I269" s="26" t="str">
        <f>IF(C269="","",C269&amp;"|"&amp;COUNTIF($C$5:C269,C269))</f>
        <v/>
      </c>
      <c r="J269" s="10"/>
      <c r="K269" s="10" t="str">
        <f>IF($C269="","",$C269&amp;"|"&amp;COUNTIF($C$5:C269,$C269))</f>
        <v/>
      </c>
      <c r="L269" s="10" t="str">
        <f t="shared" si="21"/>
        <v/>
      </c>
      <c r="M269" s="26" t="str">
        <f t="shared" si="22"/>
        <v/>
      </c>
      <c r="N269" s="26" t="str">
        <f t="shared" si="23"/>
        <v/>
      </c>
      <c r="O269" s="26" t="str">
        <f t="shared" si="24"/>
        <v/>
      </c>
    </row>
    <row r="270" spans="3:15" ht="21.95" customHeight="1" x14ac:dyDescent="0.25">
      <c r="C270" s="12"/>
      <c r="D270" s="12"/>
      <c r="E270" s="12"/>
      <c r="F270" s="61"/>
      <c r="G270" s="16"/>
      <c r="H270" s="17" t="str">
        <f t="shared" si="20"/>
        <v/>
      </c>
      <c r="I270" s="26" t="str">
        <f>IF(C270="","",C270&amp;"|"&amp;COUNTIF($C$5:C270,C270))</f>
        <v/>
      </c>
      <c r="J270" s="10"/>
      <c r="K270" s="10" t="str">
        <f>IF($C270="","",$C270&amp;"|"&amp;COUNTIF($C$5:C270,$C270))</f>
        <v/>
      </c>
      <c r="L270" s="10" t="str">
        <f t="shared" si="21"/>
        <v/>
      </c>
      <c r="M270" s="26" t="str">
        <f t="shared" si="22"/>
        <v/>
      </c>
      <c r="N270" s="26" t="str">
        <f t="shared" si="23"/>
        <v/>
      </c>
      <c r="O270" s="26" t="str">
        <f t="shared" si="24"/>
        <v/>
      </c>
    </row>
    <row r="271" spans="3:15" ht="21.95" customHeight="1" x14ac:dyDescent="0.25">
      <c r="C271" s="12"/>
      <c r="D271" s="12"/>
      <c r="E271" s="12"/>
      <c r="F271" s="61"/>
      <c r="G271" s="16"/>
      <c r="H271" s="17" t="str">
        <f t="shared" si="20"/>
        <v/>
      </c>
      <c r="I271" s="26" t="str">
        <f>IF(C271="","",C271&amp;"|"&amp;COUNTIF($C$5:C271,C271))</f>
        <v/>
      </c>
      <c r="J271" s="10"/>
      <c r="K271" s="10" t="str">
        <f>IF($C271="","",$C271&amp;"|"&amp;COUNTIF($C$5:C271,$C271))</f>
        <v/>
      </c>
      <c r="L271" s="10" t="str">
        <f t="shared" si="21"/>
        <v/>
      </c>
      <c r="M271" s="26" t="str">
        <f t="shared" si="22"/>
        <v/>
      </c>
      <c r="N271" s="26" t="str">
        <f t="shared" si="23"/>
        <v/>
      </c>
      <c r="O271" s="26" t="str">
        <f t="shared" si="24"/>
        <v/>
      </c>
    </row>
    <row r="272" spans="3:15" ht="21.95" customHeight="1" x14ac:dyDescent="0.25">
      <c r="C272" s="12"/>
      <c r="D272" s="12"/>
      <c r="E272" s="12"/>
      <c r="F272" s="61"/>
      <c r="G272" s="16"/>
      <c r="H272" s="17" t="str">
        <f t="shared" si="20"/>
        <v/>
      </c>
      <c r="I272" s="26" t="str">
        <f>IF(C272="","",C272&amp;"|"&amp;COUNTIF($C$5:C272,C272))</f>
        <v/>
      </c>
      <c r="J272" s="10"/>
      <c r="K272" s="10" t="str">
        <f>IF($C272="","",$C272&amp;"|"&amp;COUNTIF($C$5:C272,$C272))</f>
        <v/>
      </c>
      <c r="L272" s="10" t="str">
        <f t="shared" si="21"/>
        <v/>
      </c>
      <c r="M272" s="26" t="str">
        <f t="shared" si="22"/>
        <v/>
      </c>
      <c r="N272" s="26" t="str">
        <f t="shared" si="23"/>
        <v/>
      </c>
      <c r="O272" s="26" t="str">
        <f t="shared" si="24"/>
        <v/>
      </c>
    </row>
    <row r="273" spans="3:15" ht="21.95" customHeight="1" x14ac:dyDescent="0.25">
      <c r="C273" s="12"/>
      <c r="D273" s="12"/>
      <c r="E273" s="12"/>
      <c r="F273" s="61"/>
      <c r="G273" s="16"/>
      <c r="H273" s="17" t="str">
        <f t="shared" si="20"/>
        <v/>
      </c>
      <c r="I273" s="26" t="str">
        <f>IF(C273="","",C273&amp;"|"&amp;COUNTIF($C$5:C273,C273))</f>
        <v/>
      </c>
      <c r="J273" s="10"/>
      <c r="K273" s="10" t="str">
        <f>IF($C273="","",$C273&amp;"|"&amp;COUNTIF($C$5:C273,$C273))</f>
        <v/>
      </c>
      <c r="L273" s="10" t="str">
        <f t="shared" si="21"/>
        <v/>
      </c>
      <c r="M273" s="26" t="str">
        <f t="shared" si="22"/>
        <v/>
      </c>
      <c r="N273" s="26" t="str">
        <f t="shared" si="23"/>
        <v/>
      </c>
      <c r="O273" s="26" t="str">
        <f t="shared" si="24"/>
        <v/>
      </c>
    </row>
    <row r="274" spans="3:15" ht="21.95" customHeight="1" x14ac:dyDescent="0.25">
      <c r="C274" s="12"/>
      <c r="D274" s="12"/>
      <c r="E274" s="12"/>
      <c r="F274" s="61"/>
      <c r="G274" s="16"/>
      <c r="H274" s="17" t="str">
        <f t="shared" si="20"/>
        <v/>
      </c>
      <c r="I274" s="26" t="str">
        <f>IF(C274="","",C274&amp;"|"&amp;COUNTIF($C$5:C274,C274))</f>
        <v/>
      </c>
      <c r="J274" s="10"/>
      <c r="K274" s="10" t="str">
        <f>IF($C274="","",$C274&amp;"|"&amp;COUNTIF($C$5:C274,$C274))</f>
        <v/>
      </c>
      <c r="L274" s="10" t="str">
        <f t="shared" si="21"/>
        <v/>
      </c>
      <c r="M274" s="26" t="str">
        <f t="shared" si="22"/>
        <v/>
      </c>
      <c r="N274" s="26" t="str">
        <f t="shared" si="23"/>
        <v/>
      </c>
      <c r="O274" s="26" t="str">
        <f t="shared" si="24"/>
        <v/>
      </c>
    </row>
    <row r="275" spans="3:15" ht="21.95" customHeight="1" x14ac:dyDescent="0.25">
      <c r="C275" s="12"/>
      <c r="D275" s="12"/>
      <c r="E275" s="12"/>
      <c r="F275" s="61"/>
      <c r="G275" s="16"/>
      <c r="H275" s="17" t="str">
        <f t="shared" si="20"/>
        <v/>
      </c>
      <c r="I275" s="26" t="str">
        <f>IF(C275="","",C275&amp;"|"&amp;COUNTIF($C$5:C275,C275))</f>
        <v/>
      </c>
      <c r="J275" s="10"/>
      <c r="K275" s="10" t="str">
        <f>IF($C275="","",$C275&amp;"|"&amp;COUNTIF($C$5:C275,$C275))</f>
        <v/>
      </c>
      <c r="L275" s="10" t="str">
        <f t="shared" si="21"/>
        <v/>
      </c>
      <c r="M275" s="26" t="str">
        <f t="shared" si="22"/>
        <v/>
      </c>
      <c r="N275" s="26" t="str">
        <f t="shared" si="23"/>
        <v/>
      </c>
      <c r="O275" s="26" t="str">
        <f t="shared" si="24"/>
        <v/>
      </c>
    </row>
    <row r="276" spans="3:15" ht="21.95" customHeight="1" x14ac:dyDescent="0.25">
      <c r="C276" s="12"/>
      <c r="D276" s="12"/>
      <c r="E276" s="12"/>
      <c r="F276" s="61"/>
      <c r="G276" s="16"/>
      <c r="H276" s="17" t="str">
        <f t="shared" si="20"/>
        <v/>
      </c>
      <c r="I276" s="26" t="str">
        <f>IF(C276="","",C276&amp;"|"&amp;COUNTIF($C$5:C276,C276))</f>
        <v/>
      </c>
      <c r="J276" s="10"/>
      <c r="K276" s="10" t="str">
        <f>IF($C276="","",$C276&amp;"|"&amp;COUNTIF($C$5:C276,$C276))</f>
        <v/>
      </c>
      <c r="L276" s="10" t="str">
        <f t="shared" si="21"/>
        <v/>
      </c>
      <c r="M276" s="26" t="str">
        <f t="shared" si="22"/>
        <v/>
      </c>
      <c r="N276" s="26" t="str">
        <f t="shared" si="23"/>
        <v/>
      </c>
      <c r="O276" s="26" t="str">
        <f t="shared" si="24"/>
        <v/>
      </c>
    </row>
    <row r="277" spans="3:15" ht="21.95" customHeight="1" x14ac:dyDescent="0.25">
      <c r="C277" s="12"/>
      <c r="D277" s="12"/>
      <c r="E277" s="12"/>
      <c r="F277" s="61"/>
      <c r="G277" s="16"/>
      <c r="H277" s="17" t="str">
        <f t="shared" si="20"/>
        <v/>
      </c>
      <c r="I277" s="26" t="str">
        <f>IF(C277="","",C277&amp;"|"&amp;COUNTIF($C$5:C277,C277))</f>
        <v/>
      </c>
      <c r="J277" s="10"/>
      <c r="K277" s="10" t="str">
        <f>IF($C277="","",$C277&amp;"|"&amp;COUNTIF($C$5:C277,$C277))</f>
        <v/>
      </c>
      <c r="L277" s="10" t="str">
        <f t="shared" si="21"/>
        <v/>
      </c>
      <c r="M277" s="26" t="str">
        <f t="shared" si="22"/>
        <v/>
      </c>
      <c r="N277" s="26" t="str">
        <f t="shared" si="23"/>
        <v/>
      </c>
      <c r="O277" s="26" t="str">
        <f t="shared" si="24"/>
        <v/>
      </c>
    </row>
    <row r="278" spans="3:15" ht="21.95" customHeight="1" x14ac:dyDescent="0.25">
      <c r="C278" s="12"/>
      <c r="D278" s="12"/>
      <c r="E278" s="12"/>
      <c r="F278" s="61"/>
      <c r="G278" s="16"/>
      <c r="H278" s="17" t="str">
        <f t="shared" si="20"/>
        <v/>
      </c>
      <c r="I278" s="26" t="str">
        <f>IF(C278="","",C278&amp;"|"&amp;COUNTIF($C$5:C278,C278))</f>
        <v/>
      </c>
      <c r="J278" s="10"/>
      <c r="K278" s="10" t="str">
        <f>IF($C278="","",$C278&amp;"|"&amp;COUNTIF($C$5:C278,$C278))</f>
        <v/>
      </c>
      <c r="L278" s="10" t="str">
        <f t="shared" si="21"/>
        <v/>
      </c>
      <c r="M278" s="26" t="str">
        <f t="shared" si="22"/>
        <v/>
      </c>
      <c r="N278" s="26" t="str">
        <f t="shared" si="23"/>
        <v/>
      </c>
      <c r="O278" s="26" t="str">
        <f t="shared" si="24"/>
        <v/>
      </c>
    </row>
    <row r="279" spans="3:15" ht="21.95" customHeight="1" x14ac:dyDescent="0.25">
      <c r="C279" s="12"/>
      <c r="D279" s="12"/>
      <c r="E279" s="12"/>
      <c r="F279" s="61"/>
      <c r="G279" s="16"/>
      <c r="H279" s="17" t="str">
        <f t="shared" si="20"/>
        <v/>
      </c>
      <c r="I279" s="26" t="str">
        <f>IF(C279="","",C279&amp;"|"&amp;COUNTIF($C$5:C279,C279))</f>
        <v/>
      </c>
      <c r="J279" s="10"/>
      <c r="K279" s="10" t="str">
        <f>IF($C279="","",$C279&amp;"|"&amp;COUNTIF($C$5:C279,$C279))</f>
        <v/>
      </c>
      <c r="L279" s="10" t="str">
        <f t="shared" si="21"/>
        <v/>
      </c>
      <c r="M279" s="26" t="str">
        <f t="shared" si="22"/>
        <v/>
      </c>
      <c r="N279" s="26" t="str">
        <f t="shared" si="23"/>
        <v/>
      </c>
      <c r="O279" s="26" t="str">
        <f t="shared" si="24"/>
        <v/>
      </c>
    </row>
    <row r="280" spans="3:15" ht="21.95" customHeight="1" x14ac:dyDescent="0.25">
      <c r="C280" s="12"/>
      <c r="D280" s="12"/>
      <c r="E280" s="12"/>
      <c r="F280" s="61"/>
      <c r="G280" s="16"/>
      <c r="H280" s="17" t="str">
        <f t="shared" si="20"/>
        <v/>
      </c>
      <c r="I280" s="26" t="str">
        <f>IF(C280="","",C280&amp;"|"&amp;COUNTIF($C$5:C280,C280))</f>
        <v/>
      </c>
      <c r="J280" s="10"/>
      <c r="K280" s="10" t="str">
        <f>IF($C280="","",$C280&amp;"|"&amp;COUNTIF($C$5:C280,$C280))</f>
        <v/>
      </c>
      <c r="L280" s="10" t="str">
        <f t="shared" si="21"/>
        <v/>
      </c>
      <c r="M280" s="26" t="str">
        <f t="shared" si="22"/>
        <v/>
      </c>
      <c r="N280" s="26" t="str">
        <f t="shared" si="23"/>
        <v/>
      </c>
      <c r="O280" s="26" t="str">
        <f t="shared" si="24"/>
        <v/>
      </c>
    </row>
    <row r="281" spans="3:15" ht="21.95" customHeight="1" x14ac:dyDescent="0.25">
      <c r="C281" s="12"/>
      <c r="D281" s="12"/>
      <c r="E281" s="12"/>
      <c r="F281" s="61"/>
      <c r="G281" s="16"/>
      <c r="H281" s="17" t="str">
        <f t="shared" si="20"/>
        <v/>
      </c>
      <c r="I281" s="26" t="str">
        <f>IF(C281="","",C281&amp;"|"&amp;COUNTIF($C$5:C281,C281))</f>
        <v/>
      </c>
      <c r="J281" s="10"/>
      <c r="K281" s="10" t="str">
        <f>IF($C281="","",$C281&amp;"|"&amp;COUNTIF($C$5:C281,$C281))</f>
        <v/>
      </c>
      <c r="L281" s="10" t="str">
        <f t="shared" si="21"/>
        <v/>
      </c>
      <c r="M281" s="26" t="str">
        <f t="shared" si="22"/>
        <v/>
      </c>
      <c r="N281" s="26" t="str">
        <f t="shared" si="23"/>
        <v/>
      </c>
      <c r="O281" s="26" t="str">
        <f t="shared" si="24"/>
        <v/>
      </c>
    </row>
    <row r="282" spans="3:15" ht="21.95" customHeight="1" x14ac:dyDescent="0.25">
      <c r="C282" s="12"/>
      <c r="D282" s="12"/>
      <c r="E282" s="12"/>
      <c r="F282" s="61"/>
      <c r="G282" s="16"/>
      <c r="H282" s="17" t="str">
        <f t="shared" si="20"/>
        <v/>
      </c>
      <c r="I282" s="26" t="str">
        <f>IF(C282="","",C282&amp;"|"&amp;COUNTIF($C$5:C282,C282))</f>
        <v/>
      </c>
      <c r="J282" s="10"/>
      <c r="K282" s="10" t="str">
        <f>IF($C282="","",$C282&amp;"|"&amp;COUNTIF($C$5:C282,$C282))</f>
        <v/>
      </c>
      <c r="L282" s="10" t="str">
        <f t="shared" si="21"/>
        <v/>
      </c>
      <c r="M282" s="26" t="str">
        <f t="shared" si="22"/>
        <v/>
      </c>
      <c r="N282" s="26" t="str">
        <f t="shared" si="23"/>
        <v/>
      </c>
      <c r="O282" s="26" t="str">
        <f t="shared" si="24"/>
        <v/>
      </c>
    </row>
    <row r="283" spans="3:15" ht="21.95" customHeight="1" x14ac:dyDescent="0.25">
      <c r="C283" s="12"/>
      <c r="D283" s="12"/>
      <c r="E283" s="12"/>
      <c r="F283" s="61"/>
      <c r="G283" s="16"/>
      <c r="H283" s="17" t="str">
        <f t="shared" si="20"/>
        <v/>
      </c>
      <c r="I283" s="26" t="str">
        <f>IF(C283="","",C283&amp;"|"&amp;COUNTIF($C$5:C283,C283))</f>
        <v/>
      </c>
      <c r="J283" s="10"/>
      <c r="K283" s="10" t="str">
        <f>IF($C283="","",$C283&amp;"|"&amp;COUNTIF($C$5:C283,$C283))</f>
        <v/>
      </c>
      <c r="L283" s="10" t="str">
        <f t="shared" si="21"/>
        <v/>
      </c>
      <c r="M283" s="26" t="str">
        <f t="shared" si="22"/>
        <v/>
      </c>
      <c r="N283" s="26" t="str">
        <f t="shared" si="23"/>
        <v/>
      </c>
      <c r="O283" s="26" t="str">
        <f t="shared" si="24"/>
        <v/>
      </c>
    </row>
    <row r="284" spans="3:15" ht="21.95" customHeight="1" x14ac:dyDescent="0.25">
      <c r="C284" s="12"/>
      <c r="D284" s="12"/>
      <c r="E284" s="12"/>
      <c r="F284" s="61"/>
      <c r="G284" s="16"/>
      <c r="H284" s="17" t="str">
        <f t="shared" si="20"/>
        <v/>
      </c>
      <c r="I284" s="26" t="str">
        <f>IF(C284="","",C284&amp;"|"&amp;COUNTIF($C$5:C284,C284))</f>
        <v/>
      </c>
      <c r="J284" s="10"/>
      <c r="K284" s="10" t="str">
        <f>IF($C284="","",$C284&amp;"|"&amp;COUNTIF($C$5:C284,$C284))</f>
        <v/>
      </c>
      <c r="L284" s="10" t="str">
        <f t="shared" si="21"/>
        <v/>
      </c>
      <c r="M284" s="26" t="str">
        <f t="shared" si="22"/>
        <v/>
      </c>
      <c r="N284" s="26" t="str">
        <f t="shared" si="23"/>
        <v/>
      </c>
      <c r="O284" s="26" t="str">
        <f t="shared" si="24"/>
        <v/>
      </c>
    </row>
    <row r="285" spans="3:15" ht="21.95" customHeight="1" x14ac:dyDescent="0.25">
      <c r="C285" s="12"/>
      <c r="D285" s="12"/>
      <c r="E285" s="12"/>
      <c r="F285" s="61"/>
      <c r="G285" s="16"/>
      <c r="H285" s="17" t="str">
        <f t="shared" si="20"/>
        <v/>
      </c>
      <c r="I285" s="26" t="str">
        <f>IF(C285="","",C285&amp;"|"&amp;COUNTIF($C$5:C285,C285))</f>
        <v/>
      </c>
      <c r="J285" s="10"/>
      <c r="K285" s="10" t="str">
        <f>IF($C285="","",$C285&amp;"|"&amp;COUNTIF($C$5:C285,$C285))</f>
        <v/>
      </c>
      <c r="L285" s="10" t="str">
        <f t="shared" si="21"/>
        <v/>
      </c>
      <c r="M285" s="26" t="str">
        <f t="shared" si="22"/>
        <v/>
      </c>
      <c r="N285" s="26" t="str">
        <f t="shared" si="23"/>
        <v/>
      </c>
      <c r="O285" s="26" t="str">
        <f t="shared" si="24"/>
        <v/>
      </c>
    </row>
    <row r="286" spans="3:15" ht="21.95" customHeight="1" x14ac:dyDescent="0.25">
      <c r="C286" s="12"/>
      <c r="D286" s="12"/>
      <c r="E286" s="12"/>
      <c r="F286" s="61"/>
      <c r="G286" s="16"/>
      <c r="H286" s="17" t="str">
        <f t="shared" si="20"/>
        <v/>
      </c>
      <c r="I286" s="26" t="str">
        <f>IF(C286="","",C286&amp;"|"&amp;COUNTIF($C$5:C286,C286))</f>
        <v/>
      </c>
      <c r="J286" s="10"/>
      <c r="K286" s="10" t="str">
        <f>IF($C286="","",$C286&amp;"|"&amp;COUNTIF($C$5:C286,$C286))</f>
        <v/>
      </c>
      <c r="L286" s="10" t="str">
        <f t="shared" si="21"/>
        <v/>
      </c>
      <c r="M286" s="26" t="str">
        <f t="shared" si="22"/>
        <v/>
      </c>
      <c r="N286" s="26" t="str">
        <f t="shared" si="23"/>
        <v/>
      </c>
      <c r="O286" s="26" t="str">
        <f t="shared" si="24"/>
        <v/>
      </c>
    </row>
    <row r="287" spans="3:15" ht="21.95" customHeight="1" x14ac:dyDescent="0.25">
      <c r="C287" s="12"/>
      <c r="D287" s="12"/>
      <c r="E287" s="12"/>
      <c r="F287" s="61"/>
      <c r="G287" s="16"/>
      <c r="H287" s="17" t="str">
        <f t="shared" si="20"/>
        <v/>
      </c>
      <c r="I287" s="26" t="str">
        <f>IF(C287="","",C287&amp;"|"&amp;COUNTIF($C$5:C287,C287))</f>
        <v/>
      </c>
      <c r="J287" s="10"/>
      <c r="K287" s="10" t="str">
        <f>IF($C287="","",$C287&amp;"|"&amp;COUNTIF($C$5:C287,$C287))</f>
        <v/>
      </c>
      <c r="L287" s="10" t="str">
        <f t="shared" si="21"/>
        <v/>
      </c>
      <c r="M287" s="26" t="str">
        <f t="shared" si="22"/>
        <v/>
      </c>
      <c r="N287" s="26" t="str">
        <f t="shared" si="23"/>
        <v/>
      </c>
      <c r="O287" s="26" t="str">
        <f t="shared" si="24"/>
        <v/>
      </c>
    </row>
    <row r="288" spans="3:15" ht="21.95" customHeight="1" x14ac:dyDescent="0.25">
      <c r="C288" s="12"/>
      <c r="D288" s="12"/>
      <c r="E288" s="12"/>
      <c r="F288" s="61"/>
      <c r="G288" s="16"/>
      <c r="H288" s="17" t="str">
        <f t="shared" si="20"/>
        <v/>
      </c>
      <c r="I288" s="26" t="str">
        <f>IF(C288="","",C288&amp;"|"&amp;COUNTIF($C$5:C288,C288))</f>
        <v/>
      </c>
      <c r="J288" s="10"/>
      <c r="K288" s="10" t="str">
        <f>IF($C288="","",$C288&amp;"|"&amp;COUNTIF($C$5:C288,$C288))</f>
        <v/>
      </c>
      <c r="L288" s="10" t="str">
        <f t="shared" si="21"/>
        <v/>
      </c>
      <c r="M288" s="26" t="str">
        <f t="shared" si="22"/>
        <v/>
      </c>
      <c r="N288" s="26" t="str">
        <f t="shared" si="23"/>
        <v/>
      </c>
      <c r="O288" s="26" t="str">
        <f t="shared" si="24"/>
        <v/>
      </c>
    </row>
    <row r="289" spans="3:15" ht="21.95" customHeight="1" x14ac:dyDescent="0.25">
      <c r="C289" s="12"/>
      <c r="D289" s="12"/>
      <c r="E289" s="12"/>
      <c r="F289" s="61"/>
      <c r="G289" s="16"/>
      <c r="H289" s="17" t="str">
        <f t="shared" si="20"/>
        <v/>
      </c>
      <c r="I289" s="26" t="str">
        <f>IF(C289="","",C289&amp;"|"&amp;COUNTIF($C$5:C289,C289))</f>
        <v/>
      </c>
      <c r="J289" s="10"/>
      <c r="K289" s="10" t="str">
        <f>IF($C289="","",$C289&amp;"|"&amp;COUNTIF($C$5:C289,$C289))</f>
        <v/>
      </c>
      <c r="L289" s="10" t="str">
        <f t="shared" si="21"/>
        <v/>
      </c>
      <c r="M289" s="26" t="str">
        <f t="shared" si="22"/>
        <v/>
      </c>
      <c r="N289" s="26" t="str">
        <f t="shared" si="23"/>
        <v/>
      </c>
      <c r="O289" s="26" t="str">
        <f t="shared" si="24"/>
        <v/>
      </c>
    </row>
    <row r="290" spans="3:15" ht="21.95" customHeight="1" x14ac:dyDescent="0.25">
      <c r="C290" s="12"/>
      <c r="D290" s="12"/>
      <c r="E290" s="12"/>
      <c r="F290" s="61"/>
      <c r="G290" s="16"/>
      <c r="H290" s="17" t="str">
        <f t="shared" si="20"/>
        <v/>
      </c>
      <c r="I290" s="26" t="str">
        <f>IF(C290="","",C290&amp;"|"&amp;COUNTIF($C$5:C290,C290))</f>
        <v/>
      </c>
      <c r="J290" s="10"/>
      <c r="K290" s="10" t="str">
        <f>IF($C290="","",$C290&amp;"|"&amp;COUNTIF($C$5:C290,$C290))</f>
        <v/>
      </c>
      <c r="L290" s="10" t="str">
        <f t="shared" si="21"/>
        <v/>
      </c>
      <c r="M290" s="26" t="str">
        <f t="shared" si="22"/>
        <v/>
      </c>
      <c r="N290" s="26" t="str">
        <f t="shared" si="23"/>
        <v/>
      </c>
      <c r="O290" s="26" t="str">
        <f t="shared" si="24"/>
        <v/>
      </c>
    </row>
    <row r="291" spans="3:15" ht="21.95" customHeight="1" x14ac:dyDescent="0.25">
      <c r="C291" s="12"/>
      <c r="D291" s="12"/>
      <c r="E291" s="12"/>
      <c r="F291" s="61"/>
      <c r="G291" s="16"/>
      <c r="H291" s="17" t="str">
        <f t="shared" si="20"/>
        <v/>
      </c>
      <c r="I291" s="26" t="str">
        <f>IF(C291="","",C291&amp;"|"&amp;COUNTIF($C$5:C291,C291))</f>
        <v/>
      </c>
      <c r="J291" s="10"/>
      <c r="K291" s="10" t="str">
        <f>IF($C291="","",$C291&amp;"|"&amp;COUNTIF($C$5:C291,$C291))</f>
        <v/>
      </c>
      <c r="L291" s="10" t="str">
        <f t="shared" si="21"/>
        <v/>
      </c>
      <c r="M291" s="26" t="str">
        <f t="shared" si="22"/>
        <v/>
      </c>
      <c r="N291" s="26" t="str">
        <f t="shared" si="23"/>
        <v/>
      </c>
      <c r="O291" s="26" t="str">
        <f t="shared" si="24"/>
        <v/>
      </c>
    </row>
    <row r="292" spans="3:15" ht="21.95" customHeight="1" x14ac:dyDescent="0.25">
      <c r="C292" s="12"/>
      <c r="D292" s="12"/>
      <c r="E292" s="12"/>
      <c r="F292" s="61"/>
      <c r="G292" s="16"/>
      <c r="H292" s="17" t="str">
        <f t="shared" si="20"/>
        <v/>
      </c>
      <c r="I292" s="26" t="str">
        <f>IF(C292="","",C292&amp;"|"&amp;COUNTIF($C$5:C292,C292))</f>
        <v/>
      </c>
      <c r="J292" s="10"/>
      <c r="K292" s="10" t="str">
        <f>IF($C292="","",$C292&amp;"|"&amp;COUNTIF($C$5:C292,$C292))</f>
        <v/>
      </c>
      <c r="L292" s="10" t="str">
        <f t="shared" si="21"/>
        <v/>
      </c>
      <c r="M292" s="26" t="str">
        <f t="shared" si="22"/>
        <v/>
      </c>
      <c r="N292" s="26" t="str">
        <f t="shared" si="23"/>
        <v/>
      </c>
      <c r="O292" s="26" t="str">
        <f t="shared" si="24"/>
        <v/>
      </c>
    </row>
    <row r="293" spans="3:15" ht="21.95" customHeight="1" x14ac:dyDescent="0.25">
      <c r="C293" s="12"/>
      <c r="D293" s="12"/>
      <c r="E293" s="12"/>
      <c r="F293" s="61"/>
      <c r="G293" s="16"/>
      <c r="H293" s="17" t="str">
        <f t="shared" si="20"/>
        <v/>
      </c>
      <c r="I293" s="26" t="str">
        <f>IF(C293="","",C293&amp;"|"&amp;COUNTIF($C$5:C293,C293))</f>
        <v/>
      </c>
      <c r="J293" s="10"/>
      <c r="K293" s="10" t="str">
        <f>IF($C293="","",$C293&amp;"|"&amp;COUNTIF($C$5:C293,$C293))</f>
        <v/>
      </c>
      <c r="L293" s="10" t="str">
        <f t="shared" si="21"/>
        <v/>
      </c>
      <c r="M293" s="26" t="str">
        <f t="shared" si="22"/>
        <v/>
      </c>
      <c r="N293" s="26" t="str">
        <f t="shared" si="23"/>
        <v/>
      </c>
      <c r="O293" s="26" t="str">
        <f t="shared" si="24"/>
        <v/>
      </c>
    </row>
    <row r="294" spans="3:15" ht="21.95" customHeight="1" x14ac:dyDescent="0.25">
      <c r="C294" s="12"/>
      <c r="D294" s="12"/>
      <c r="E294" s="12"/>
      <c r="F294" s="61"/>
      <c r="G294" s="16"/>
      <c r="H294" s="17" t="str">
        <f t="shared" si="20"/>
        <v/>
      </c>
      <c r="I294" s="26" t="str">
        <f>IF(C294="","",C294&amp;"|"&amp;COUNTIF($C$5:C294,C294))</f>
        <v/>
      </c>
      <c r="J294" s="10"/>
      <c r="K294" s="10" t="str">
        <f>IF($C294="","",$C294&amp;"|"&amp;COUNTIF($C$5:C294,$C294))</f>
        <v/>
      </c>
      <c r="L294" s="10" t="str">
        <f t="shared" si="21"/>
        <v/>
      </c>
      <c r="M294" s="26" t="str">
        <f t="shared" si="22"/>
        <v/>
      </c>
      <c r="N294" s="26" t="str">
        <f t="shared" si="23"/>
        <v/>
      </c>
      <c r="O294" s="26" t="str">
        <f t="shared" si="24"/>
        <v/>
      </c>
    </row>
    <row r="295" spans="3:15" ht="21.95" customHeight="1" x14ac:dyDescent="0.25">
      <c r="C295" s="12"/>
      <c r="D295" s="12"/>
      <c r="E295" s="12"/>
      <c r="F295" s="61"/>
      <c r="G295" s="16"/>
      <c r="H295" s="17" t="str">
        <f t="shared" si="20"/>
        <v/>
      </c>
      <c r="I295" s="26" t="str">
        <f>IF(C295="","",C295&amp;"|"&amp;COUNTIF($C$5:C295,C295))</f>
        <v/>
      </c>
      <c r="J295" s="10"/>
      <c r="K295" s="10" t="str">
        <f>IF($C295="","",$C295&amp;"|"&amp;COUNTIF($C$5:C295,$C295))</f>
        <v/>
      </c>
      <c r="L295" s="10" t="str">
        <f t="shared" si="21"/>
        <v/>
      </c>
      <c r="M295" s="26" t="str">
        <f t="shared" si="22"/>
        <v/>
      </c>
      <c r="N295" s="26" t="str">
        <f t="shared" si="23"/>
        <v/>
      </c>
      <c r="O295" s="26" t="str">
        <f t="shared" si="24"/>
        <v/>
      </c>
    </row>
    <row r="296" spans="3:15" ht="21.95" customHeight="1" x14ac:dyDescent="0.25">
      <c r="C296" s="12"/>
      <c r="D296" s="12"/>
      <c r="E296" s="12"/>
      <c r="F296" s="61"/>
      <c r="G296" s="16"/>
      <c r="H296" s="17" t="str">
        <f t="shared" si="20"/>
        <v/>
      </c>
      <c r="I296" s="26" t="str">
        <f>IF(C296="","",C296&amp;"|"&amp;COUNTIF($C$5:C296,C296))</f>
        <v/>
      </c>
      <c r="J296" s="10"/>
      <c r="K296" s="10" t="str">
        <f>IF($C296="","",$C296&amp;"|"&amp;COUNTIF($C$5:C296,$C296))</f>
        <v/>
      </c>
      <c r="L296" s="10" t="str">
        <f t="shared" si="21"/>
        <v/>
      </c>
      <c r="M296" s="26" t="str">
        <f t="shared" si="22"/>
        <v/>
      </c>
      <c r="N296" s="26" t="str">
        <f t="shared" si="23"/>
        <v/>
      </c>
      <c r="O296" s="26" t="str">
        <f t="shared" si="24"/>
        <v/>
      </c>
    </row>
    <row r="297" spans="3:15" ht="21.95" customHeight="1" x14ac:dyDescent="0.25">
      <c r="C297" s="12"/>
      <c r="D297" s="12"/>
      <c r="E297" s="12"/>
      <c r="F297" s="61"/>
      <c r="G297" s="16"/>
      <c r="H297" s="17" t="str">
        <f t="shared" si="20"/>
        <v/>
      </c>
      <c r="I297" s="26" t="str">
        <f>IF(C297="","",C297&amp;"|"&amp;COUNTIF($C$5:C297,C297))</f>
        <v/>
      </c>
      <c r="J297" s="10"/>
      <c r="K297" s="10" t="str">
        <f>IF($C297="","",$C297&amp;"|"&amp;COUNTIF($C$5:C297,$C297))</f>
        <v/>
      </c>
      <c r="L297" s="10" t="str">
        <f t="shared" si="21"/>
        <v/>
      </c>
      <c r="M297" s="26" t="str">
        <f t="shared" si="22"/>
        <v/>
      </c>
      <c r="N297" s="26" t="str">
        <f t="shared" si="23"/>
        <v/>
      </c>
      <c r="O297" s="26" t="str">
        <f t="shared" si="24"/>
        <v/>
      </c>
    </row>
    <row r="298" spans="3:15" ht="21.95" customHeight="1" x14ac:dyDescent="0.25">
      <c r="C298" s="12"/>
      <c r="D298" s="12"/>
      <c r="E298" s="12"/>
      <c r="F298" s="61"/>
      <c r="G298" s="16"/>
      <c r="H298" s="17" t="str">
        <f t="shared" si="20"/>
        <v/>
      </c>
      <c r="I298" s="26" t="str">
        <f>IF(C298="","",C298&amp;"|"&amp;COUNTIF($C$5:C298,C298))</f>
        <v/>
      </c>
      <c r="J298" s="10"/>
      <c r="K298" s="10" t="str">
        <f>IF($C298="","",$C298&amp;"|"&amp;COUNTIF($C$5:C298,$C298))</f>
        <v/>
      </c>
      <c r="L298" s="10" t="str">
        <f t="shared" si="21"/>
        <v/>
      </c>
      <c r="M298" s="26" t="str">
        <f t="shared" si="22"/>
        <v/>
      </c>
      <c r="N298" s="26" t="str">
        <f t="shared" si="23"/>
        <v/>
      </c>
      <c r="O298" s="26" t="str">
        <f t="shared" si="24"/>
        <v/>
      </c>
    </row>
    <row r="299" spans="3:15" ht="21.95" customHeight="1" x14ac:dyDescent="0.25">
      <c r="C299" s="12"/>
      <c r="D299" s="12"/>
      <c r="E299" s="12"/>
      <c r="F299" s="61"/>
      <c r="G299" s="16"/>
      <c r="H299" s="17" t="str">
        <f t="shared" si="20"/>
        <v/>
      </c>
      <c r="I299" s="26" t="str">
        <f>IF(C299="","",C299&amp;"|"&amp;COUNTIF($C$5:C299,C299))</f>
        <v/>
      </c>
      <c r="J299" s="10"/>
      <c r="K299" s="10" t="str">
        <f>IF($C299="","",$C299&amp;"|"&amp;COUNTIF($C$5:C299,$C299))</f>
        <v/>
      </c>
      <c r="L299" s="10" t="str">
        <f t="shared" si="21"/>
        <v/>
      </c>
      <c r="M299" s="26" t="str">
        <f t="shared" si="22"/>
        <v/>
      </c>
      <c r="N299" s="26" t="str">
        <f t="shared" si="23"/>
        <v/>
      </c>
      <c r="O299" s="26" t="str">
        <f t="shared" si="24"/>
        <v/>
      </c>
    </row>
    <row r="300" spans="3:15" ht="21.95" customHeight="1" x14ac:dyDescent="0.25">
      <c r="C300" s="12"/>
      <c r="D300" s="12"/>
      <c r="E300" s="12"/>
      <c r="F300" s="61"/>
      <c r="G300" s="16"/>
      <c r="H300" s="17" t="str">
        <f t="shared" si="20"/>
        <v/>
      </c>
      <c r="I300" s="26" t="str">
        <f>IF(C300="","",C300&amp;"|"&amp;COUNTIF($C$5:C300,C300))</f>
        <v/>
      </c>
      <c r="J300" s="10"/>
      <c r="K300" s="10" t="str">
        <f>IF($C300="","",$C300&amp;"|"&amp;COUNTIF($C$5:C300,$C300))</f>
        <v/>
      </c>
      <c r="L300" s="10" t="str">
        <f t="shared" si="21"/>
        <v/>
      </c>
      <c r="M300" s="26" t="str">
        <f t="shared" si="22"/>
        <v/>
      </c>
      <c r="N300" s="26" t="str">
        <f t="shared" si="23"/>
        <v/>
      </c>
      <c r="O300" s="26" t="str">
        <f t="shared" si="24"/>
        <v/>
      </c>
    </row>
    <row r="301" spans="3:15" ht="21.95" customHeight="1" x14ac:dyDescent="0.25">
      <c r="C301" s="12"/>
      <c r="D301" s="12"/>
      <c r="E301" s="12"/>
      <c r="F301" s="61"/>
      <c r="G301" s="16"/>
      <c r="H301" s="17" t="str">
        <f t="shared" si="20"/>
        <v/>
      </c>
      <c r="I301" s="26" t="str">
        <f>IF(C301="","",C301&amp;"|"&amp;COUNTIF($C$5:C301,C301))</f>
        <v/>
      </c>
      <c r="J301" s="10"/>
      <c r="K301" s="10" t="str">
        <f>IF($C301="","",$C301&amp;"|"&amp;COUNTIF($C$5:C301,$C301))</f>
        <v/>
      </c>
      <c r="L301" s="10" t="str">
        <f t="shared" si="21"/>
        <v/>
      </c>
      <c r="M301" s="26" t="str">
        <f t="shared" si="22"/>
        <v/>
      </c>
      <c r="N301" s="26" t="str">
        <f t="shared" si="23"/>
        <v/>
      </c>
      <c r="O301" s="26" t="str">
        <f t="shared" si="24"/>
        <v/>
      </c>
    </row>
    <row r="302" spans="3:15" ht="21.95" customHeight="1" x14ac:dyDescent="0.25">
      <c r="C302" s="12"/>
      <c r="D302" s="12"/>
      <c r="E302" s="12"/>
      <c r="F302" s="61"/>
      <c r="G302" s="16"/>
      <c r="H302" s="17" t="str">
        <f t="shared" si="20"/>
        <v/>
      </c>
      <c r="I302" s="26" t="str">
        <f>IF(C302="","",C302&amp;"|"&amp;COUNTIF($C$5:C302,C302))</f>
        <v/>
      </c>
      <c r="J302" s="10"/>
      <c r="K302" s="10" t="str">
        <f>IF($C302="","",$C302&amp;"|"&amp;COUNTIF($C$5:C302,$C302))</f>
        <v/>
      </c>
      <c r="L302" s="10" t="str">
        <f t="shared" si="21"/>
        <v/>
      </c>
      <c r="M302" s="26" t="str">
        <f t="shared" si="22"/>
        <v/>
      </c>
      <c r="N302" s="26" t="str">
        <f t="shared" si="23"/>
        <v/>
      </c>
      <c r="O302" s="26" t="str">
        <f t="shared" si="24"/>
        <v/>
      </c>
    </row>
    <row r="303" spans="3:15" ht="21.95" customHeight="1" x14ac:dyDescent="0.25">
      <c r="C303" s="12"/>
      <c r="D303" s="12"/>
      <c r="E303" s="12"/>
      <c r="F303" s="61"/>
      <c r="G303" s="16"/>
      <c r="H303" s="17" t="str">
        <f t="shared" si="20"/>
        <v/>
      </c>
      <c r="I303" s="26" t="str">
        <f>IF(C303="","",C303&amp;"|"&amp;COUNTIF($C$5:C303,C303))</f>
        <v/>
      </c>
      <c r="J303" s="10"/>
      <c r="K303" s="10" t="str">
        <f>IF($C303="","",$C303&amp;"|"&amp;COUNTIF($C$5:C303,$C303))</f>
        <v/>
      </c>
      <c r="L303" s="10" t="str">
        <f t="shared" si="21"/>
        <v/>
      </c>
      <c r="M303" s="26" t="str">
        <f t="shared" si="22"/>
        <v/>
      </c>
      <c r="N303" s="26" t="str">
        <f t="shared" si="23"/>
        <v/>
      </c>
      <c r="O303" s="26" t="str">
        <f t="shared" si="24"/>
        <v/>
      </c>
    </row>
    <row r="304" spans="3:15" ht="21.95" customHeight="1" x14ac:dyDescent="0.25">
      <c r="C304" s="12"/>
      <c r="D304" s="12"/>
      <c r="E304" s="12"/>
      <c r="F304" s="61"/>
      <c r="G304" s="16"/>
      <c r="H304" s="17" t="str">
        <f t="shared" si="20"/>
        <v/>
      </c>
      <c r="I304" s="26" t="str">
        <f>IF(C304="","",C304&amp;"|"&amp;COUNTIF($C$5:C304,C304))</f>
        <v/>
      </c>
      <c r="J304" s="10"/>
      <c r="K304" s="10" t="str">
        <f>IF($C304="","",$C304&amp;"|"&amp;COUNTIF($C$5:C304,$C304))</f>
        <v/>
      </c>
      <c r="L304" s="10" t="str">
        <f t="shared" si="21"/>
        <v/>
      </c>
      <c r="M304" s="26" t="str">
        <f t="shared" si="22"/>
        <v/>
      </c>
      <c r="N304" s="26" t="str">
        <f t="shared" si="23"/>
        <v/>
      </c>
      <c r="O304" s="26" t="str">
        <f t="shared" si="24"/>
        <v/>
      </c>
    </row>
    <row r="305" spans="3:15" ht="21.95" customHeight="1" x14ac:dyDescent="0.25">
      <c r="C305" s="12"/>
      <c r="D305" s="12"/>
      <c r="E305" s="12"/>
      <c r="F305" s="61"/>
      <c r="G305" s="16"/>
      <c r="H305" s="17" t="str">
        <f t="shared" si="20"/>
        <v/>
      </c>
      <c r="I305" s="26" t="str">
        <f>IF(C305="","",C305&amp;"|"&amp;COUNTIF($C$5:C305,C305))</f>
        <v/>
      </c>
      <c r="J305" s="10"/>
      <c r="K305" s="10" t="str">
        <f>IF($C305="","",$C305&amp;"|"&amp;COUNTIF($C$5:C305,$C305))</f>
        <v/>
      </c>
      <c r="L305" s="10" t="str">
        <f t="shared" si="21"/>
        <v/>
      </c>
      <c r="M305" s="26" t="str">
        <f t="shared" si="22"/>
        <v/>
      </c>
      <c r="N305" s="26" t="str">
        <f t="shared" si="23"/>
        <v/>
      </c>
      <c r="O305" s="26" t="str">
        <f t="shared" si="24"/>
        <v/>
      </c>
    </row>
    <row r="306" spans="3:15" ht="21.95" customHeight="1" x14ac:dyDescent="0.25">
      <c r="C306" s="12"/>
      <c r="D306" s="12"/>
      <c r="E306" s="12"/>
      <c r="F306" s="61"/>
      <c r="G306" s="16"/>
      <c r="H306" s="17" t="str">
        <f t="shared" si="20"/>
        <v/>
      </c>
      <c r="I306" s="26" t="str">
        <f>IF(C306="","",C306&amp;"|"&amp;COUNTIF($C$5:C306,C306))</f>
        <v/>
      </c>
      <c r="J306" s="10"/>
      <c r="K306" s="10" t="str">
        <f>IF($C306="","",$C306&amp;"|"&amp;COUNTIF($C$5:C306,$C306))</f>
        <v/>
      </c>
      <c r="L306" s="10" t="str">
        <f t="shared" si="21"/>
        <v/>
      </c>
      <c r="M306" s="26" t="str">
        <f t="shared" si="22"/>
        <v/>
      </c>
      <c r="N306" s="26" t="str">
        <f t="shared" si="23"/>
        <v/>
      </c>
      <c r="O306" s="26" t="str">
        <f t="shared" si="24"/>
        <v/>
      </c>
    </row>
    <row r="307" spans="3:15" ht="21.95" customHeight="1" x14ac:dyDescent="0.25">
      <c r="C307" s="12"/>
      <c r="D307" s="12"/>
      <c r="E307" s="12"/>
      <c r="F307" s="61"/>
      <c r="G307" s="16"/>
      <c r="H307" s="17" t="str">
        <f t="shared" si="20"/>
        <v/>
      </c>
      <c r="I307" s="26" t="str">
        <f>IF(C307="","",C307&amp;"|"&amp;COUNTIF($C$5:C307,C307))</f>
        <v/>
      </c>
      <c r="J307" s="10"/>
      <c r="K307" s="10" t="str">
        <f>IF($C307="","",$C307&amp;"|"&amp;COUNTIF($C$5:C307,$C307))</f>
        <v/>
      </c>
      <c r="L307" s="10" t="str">
        <f t="shared" si="21"/>
        <v/>
      </c>
      <c r="M307" s="26" t="str">
        <f t="shared" si="22"/>
        <v/>
      </c>
      <c r="N307" s="26" t="str">
        <f t="shared" si="23"/>
        <v/>
      </c>
      <c r="O307" s="26" t="str">
        <f t="shared" si="24"/>
        <v/>
      </c>
    </row>
    <row r="308" spans="3:15" ht="21.95" customHeight="1" x14ac:dyDescent="0.25">
      <c r="C308" s="12"/>
      <c r="D308" s="12"/>
      <c r="E308" s="12"/>
      <c r="F308" s="61"/>
      <c r="G308" s="16"/>
      <c r="H308" s="17" t="str">
        <f t="shared" si="20"/>
        <v/>
      </c>
      <c r="I308" s="26" t="str">
        <f>IF(C308="","",C308&amp;"|"&amp;COUNTIF($C$5:C308,C308))</f>
        <v/>
      </c>
      <c r="J308" s="10"/>
      <c r="K308" s="10" t="str">
        <f>IF($C308="","",$C308&amp;"|"&amp;COUNTIF($C$5:C308,$C308))</f>
        <v/>
      </c>
      <c r="L308" s="10" t="str">
        <f t="shared" si="21"/>
        <v/>
      </c>
      <c r="M308" s="26" t="str">
        <f t="shared" si="22"/>
        <v/>
      </c>
      <c r="N308" s="26" t="str">
        <f t="shared" si="23"/>
        <v/>
      </c>
      <c r="O308" s="26" t="str">
        <f t="shared" si="24"/>
        <v/>
      </c>
    </row>
    <row r="309" spans="3:15" ht="21.95" customHeight="1" x14ac:dyDescent="0.25">
      <c r="C309" s="12"/>
      <c r="D309" s="12"/>
      <c r="E309" s="12"/>
      <c r="F309" s="61"/>
      <c r="G309" s="16"/>
      <c r="H309" s="17" t="str">
        <f t="shared" si="20"/>
        <v/>
      </c>
      <c r="I309" s="26" t="str">
        <f>IF(C309="","",C309&amp;"|"&amp;COUNTIF($C$5:C309,C309))</f>
        <v/>
      </c>
      <c r="J309" s="10"/>
      <c r="K309" s="10" t="str">
        <f>IF($C309="","",$C309&amp;"|"&amp;COUNTIF($C$5:C309,$C309))</f>
        <v/>
      </c>
      <c r="L309" s="10" t="str">
        <f t="shared" si="21"/>
        <v/>
      </c>
      <c r="M309" s="26" t="str">
        <f t="shared" si="22"/>
        <v/>
      </c>
      <c r="N309" s="26" t="str">
        <f t="shared" si="23"/>
        <v/>
      </c>
      <c r="O309" s="26" t="str">
        <f t="shared" si="24"/>
        <v/>
      </c>
    </row>
    <row r="310" spans="3:15" ht="21.95" customHeight="1" x14ac:dyDescent="0.25">
      <c r="C310" s="12"/>
      <c r="D310" s="12"/>
      <c r="E310" s="12"/>
      <c r="F310" s="61"/>
      <c r="G310" s="16"/>
      <c r="H310" s="17" t="str">
        <f t="shared" si="20"/>
        <v/>
      </c>
      <c r="I310" s="26" t="str">
        <f>IF(C310="","",C310&amp;"|"&amp;COUNTIF($C$5:C310,C310))</f>
        <v/>
      </c>
      <c r="J310" s="10"/>
      <c r="K310" s="10" t="str">
        <f>IF($C310="","",$C310&amp;"|"&amp;COUNTIF($C$5:C310,$C310))</f>
        <v/>
      </c>
      <c r="L310" s="10" t="str">
        <f t="shared" si="21"/>
        <v/>
      </c>
      <c r="M310" s="26" t="str">
        <f t="shared" si="22"/>
        <v/>
      </c>
      <c r="N310" s="26" t="str">
        <f t="shared" si="23"/>
        <v/>
      </c>
      <c r="O310" s="26" t="str">
        <f t="shared" si="24"/>
        <v/>
      </c>
    </row>
    <row r="311" spans="3:15" ht="21.95" customHeight="1" x14ac:dyDescent="0.25">
      <c r="C311" s="12"/>
      <c r="D311" s="12"/>
      <c r="E311" s="12"/>
      <c r="F311" s="61"/>
      <c r="G311" s="16"/>
      <c r="H311" s="17" t="str">
        <f t="shared" si="20"/>
        <v/>
      </c>
      <c r="I311" s="26" t="str">
        <f>IF(C311="","",C311&amp;"|"&amp;COUNTIF($C$5:C311,C311))</f>
        <v/>
      </c>
      <c r="J311" s="10"/>
      <c r="K311" s="10" t="str">
        <f>IF($C311="","",$C311&amp;"|"&amp;COUNTIF($C$5:C311,$C311))</f>
        <v/>
      </c>
      <c r="L311" s="10" t="str">
        <f t="shared" si="21"/>
        <v/>
      </c>
      <c r="M311" s="26" t="str">
        <f t="shared" si="22"/>
        <v/>
      </c>
      <c r="N311" s="26" t="str">
        <f t="shared" si="23"/>
        <v/>
      </c>
      <c r="O311" s="26" t="str">
        <f t="shared" si="24"/>
        <v/>
      </c>
    </row>
    <row r="312" spans="3:15" ht="21.95" customHeight="1" x14ac:dyDescent="0.25">
      <c r="C312" s="12"/>
      <c r="D312" s="12"/>
      <c r="E312" s="12"/>
      <c r="F312" s="61"/>
      <c r="G312" s="16"/>
      <c r="H312" s="17" t="str">
        <f t="shared" si="20"/>
        <v/>
      </c>
      <c r="I312" s="26" t="str">
        <f>IF(C312="","",C312&amp;"|"&amp;COUNTIF($C$5:C312,C312))</f>
        <v/>
      </c>
      <c r="J312" s="10"/>
      <c r="K312" s="10" t="str">
        <f>IF($C312="","",$C312&amp;"|"&amp;COUNTIF($C$5:C312,$C312))</f>
        <v/>
      </c>
      <c r="L312" s="10" t="str">
        <f t="shared" si="21"/>
        <v/>
      </c>
      <c r="M312" s="26" t="str">
        <f t="shared" si="22"/>
        <v/>
      </c>
      <c r="N312" s="26" t="str">
        <f t="shared" si="23"/>
        <v/>
      </c>
      <c r="O312" s="26" t="str">
        <f t="shared" si="24"/>
        <v/>
      </c>
    </row>
    <row r="313" spans="3:15" ht="21.95" customHeight="1" x14ac:dyDescent="0.25">
      <c r="C313" s="12"/>
      <c r="D313" s="12"/>
      <c r="E313" s="12"/>
      <c r="F313" s="61"/>
      <c r="G313" s="16"/>
      <c r="H313" s="17" t="str">
        <f t="shared" si="20"/>
        <v/>
      </c>
      <c r="I313" s="26" t="str">
        <f>IF(C313="","",C313&amp;"|"&amp;COUNTIF($C$5:C313,C313))</f>
        <v/>
      </c>
      <c r="J313" s="10"/>
      <c r="K313" s="10" t="str">
        <f>IF($C313="","",$C313&amp;"|"&amp;COUNTIF($C$5:C313,$C313))</f>
        <v/>
      </c>
      <c r="L313" s="10" t="str">
        <f t="shared" si="21"/>
        <v/>
      </c>
      <c r="M313" s="26" t="str">
        <f t="shared" si="22"/>
        <v/>
      </c>
      <c r="N313" s="26" t="str">
        <f t="shared" si="23"/>
        <v/>
      </c>
      <c r="O313" s="26" t="str">
        <f t="shared" si="24"/>
        <v/>
      </c>
    </row>
    <row r="314" spans="3:15" ht="21.95" customHeight="1" x14ac:dyDescent="0.25">
      <c r="C314" s="12"/>
      <c r="D314" s="12"/>
      <c r="E314" s="12"/>
      <c r="F314" s="61"/>
      <c r="G314" s="16"/>
      <c r="H314" s="17" t="str">
        <f t="shared" si="20"/>
        <v/>
      </c>
      <c r="I314" s="26" t="str">
        <f>IF(C314="","",C314&amp;"|"&amp;COUNTIF($C$5:C314,C314))</f>
        <v/>
      </c>
      <c r="J314" s="10"/>
      <c r="K314" s="10" t="str">
        <f>IF($C314="","",$C314&amp;"|"&amp;COUNTIF($C$5:C314,$C314))</f>
        <v/>
      </c>
      <c r="L314" s="10" t="str">
        <f t="shared" si="21"/>
        <v/>
      </c>
      <c r="M314" s="26" t="str">
        <f t="shared" si="22"/>
        <v/>
      </c>
      <c r="N314" s="26" t="str">
        <f t="shared" si="23"/>
        <v/>
      </c>
      <c r="O314" s="26" t="str">
        <f t="shared" si="24"/>
        <v/>
      </c>
    </row>
    <row r="315" spans="3:15" ht="21.95" customHeight="1" x14ac:dyDescent="0.25">
      <c r="C315" s="12"/>
      <c r="D315" s="12"/>
      <c r="E315" s="12"/>
      <c r="F315" s="61"/>
      <c r="G315" s="16"/>
      <c r="H315" s="17" t="str">
        <f t="shared" si="20"/>
        <v/>
      </c>
      <c r="I315" s="26" t="str">
        <f>IF(C315="","",C315&amp;"|"&amp;COUNTIF($C$5:C315,C315))</f>
        <v/>
      </c>
      <c r="J315" s="10"/>
      <c r="K315" s="10" t="str">
        <f>IF($C315="","",$C315&amp;"|"&amp;COUNTIF($C$5:C315,$C315))</f>
        <v/>
      </c>
      <c r="L315" s="10" t="str">
        <f t="shared" si="21"/>
        <v/>
      </c>
      <c r="M315" s="26" t="str">
        <f t="shared" si="22"/>
        <v/>
      </c>
      <c r="N315" s="26" t="str">
        <f t="shared" si="23"/>
        <v/>
      </c>
      <c r="O315" s="26" t="str">
        <f t="shared" si="24"/>
        <v/>
      </c>
    </row>
    <row r="316" spans="3:15" ht="21.95" customHeight="1" x14ac:dyDescent="0.25">
      <c r="C316" s="12"/>
      <c r="D316" s="12"/>
      <c r="E316" s="12"/>
      <c r="F316" s="61"/>
      <c r="G316" s="16"/>
      <c r="H316" s="17" t="str">
        <f t="shared" si="20"/>
        <v/>
      </c>
      <c r="I316" s="26" t="str">
        <f>IF(C316="","",C316&amp;"|"&amp;COUNTIF($C$5:C316,C316))</f>
        <v/>
      </c>
      <c r="J316" s="10"/>
      <c r="K316" s="10" t="str">
        <f>IF($C316="","",$C316&amp;"|"&amp;COUNTIF($C$5:C316,$C316))</f>
        <v/>
      </c>
      <c r="L316" s="10" t="str">
        <f t="shared" si="21"/>
        <v/>
      </c>
      <c r="M316" s="26" t="str">
        <f t="shared" si="22"/>
        <v/>
      </c>
      <c r="N316" s="26" t="str">
        <f t="shared" si="23"/>
        <v/>
      </c>
      <c r="O316" s="26" t="str">
        <f t="shared" si="24"/>
        <v/>
      </c>
    </row>
    <row r="317" spans="3:15" ht="21.95" customHeight="1" x14ac:dyDescent="0.25">
      <c r="C317" s="12"/>
      <c r="D317" s="12"/>
      <c r="E317" s="12"/>
      <c r="F317" s="61"/>
      <c r="G317" s="16"/>
      <c r="H317" s="17" t="str">
        <f t="shared" si="20"/>
        <v/>
      </c>
      <c r="I317" s="26" t="str">
        <f>IF(C317="","",C317&amp;"|"&amp;COUNTIF($C$5:C317,C317))</f>
        <v/>
      </c>
      <c r="J317" s="10"/>
      <c r="K317" s="10" t="str">
        <f>IF($C317="","",$C317&amp;"|"&amp;COUNTIF($C$5:C317,$C317))</f>
        <v/>
      </c>
      <c r="L317" s="10" t="str">
        <f t="shared" si="21"/>
        <v/>
      </c>
      <c r="M317" s="26" t="str">
        <f t="shared" si="22"/>
        <v/>
      </c>
      <c r="N317" s="26" t="str">
        <f t="shared" si="23"/>
        <v/>
      </c>
      <c r="O317" s="26" t="str">
        <f t="shared" si="24"/>
        <v/>
      </c>
    </row>
    <row r="318" spans="3:15" ht="21.95" customHeight="1" x14ac:dyDescent="0.25">
      <c r="C318" s="12"/>
      <c r="D318" s="12"/>
      <c r="E318" s="12"/>
      <c r="F318" s="61"/>
      <c r="G318" s="16"/>
      <c r="H318" s="17" t="str">
        <f t="shared" si="20"/>
        <v/>
      </c>
      <c r="I318" s="26" t="str">
        <f>IF(C318="","",C318&amp;"|"&amp;COUNTIF($C$5:C318,C318))</f>
        <v/>
      </c>
      <c r="J318" s="10"/>
      <c r="K318" s="10" t="str">
        <f>IF($C318="","",$C318&amp;"|"&amp;COUNTIF($C$5:C318,$C318))</f>
        <v/>
      </c>
      <c r="L318" s="10" t="str">
        <f t="shared" si="21"/>
        <v/>
      </c>
      <c r="M318" s="26" t="str">
        <f t="shared" si="22"/>
        <v/>
      </c>
      <c r="N318" s="26" t="str">
        <f t="shared" si="23"/>
        <v/>
      </c>
      <c r="O318" s="26" t="str">
        <f t="shared" si="24"/>
        <v/>
      </c>
    </row>
    <row r="319" spans="3:15" ht="21.95" customHeight="1" x14ac:dyDescent="0.25">
      <c r="C319" s="12"/>
      <c r="D319" s="12"/>
      <c r="E319" s="12"/>
      <c r="F319" s="61"/>
      <c r="G319" s="16"/>
      <c r="H319" s="17" t="str">
        <f t="shared" si="20"/>
        <v/>
      </c>
      <c r="I319" s="26" t="str">
        <f>IF(C319="","",C319&amp;"|"&amp;COUNTIF($C$5:C319,C319))</f>
        <v/>
      </c>
      <c r="J319" s="10"/>
      <c r="K319" s="10" t="str">
        <f>IF($C319="","",$C319&amp;"|"&amp;COUNTIF($C$5:C319,$C319))</f>
        <v/>
      </c>
      <c r="L319" s="10" t="str">
        <f t="shared" si="21"/>
        <v/>
      </c>
      <c r="M319" s="26" t="str">
        <f t="shared" si="22"/>
        <v/>
      </c>
      <c r="N319" s="26" t="str">
        <f t="shared" si="23"/>
        <v/>
      </c>
      <c r="O319" s="26" t="str">
        <f t="shared" si="24"/>
        <v/>
      </c>
    </row>
    <row r="320" spans="3:15" ht="21.95" customHeight="1" x14ac:dyDescent="0.25">
      <c r="C320" s="12"/>
      <c r="D320" s="12"/>
      <c r="E320" s="12"/>
      <c r="F320" s="61"/>
      <c r="G320" s="16"/>
      <c r="H320" s="17" t="str">
        <f t="shared" si="20"/>
        <v/>
      </c>
      <c r="I320" s="26" t="str">
        <f>IF(C320="","",C320&amp;"|"&amp;COUNTIF($C$5:C320,C320))</f>
        <v/>
      </c>
      <c r="J320" s="10"/>
      <c r="K320" s="10" t="str">
        <f>IF($C320="","",$C320&amp;"|"&amp;COUNTIF($C$5:C320,$C320))</f>
        <v/>
      </c>
      <c r="L320" s="10" t="str">
        <f t="shared" si="21"/>
        <v/>
      </c>
      <c r="M320" s="26" t="str">
        <f t="shared" si="22"/>
        <v/>
      </c>
      <c r="N320" s="26" t="str">
        <f t="shared" si="23"/>
        <v/>
      </c>
      <c r="O320" s="26" t="str">
        <f t="shared" si="24"/>
        <v/>
      </c>
    </row>
    <row r="321" spans="3:15" ht="21.95" customHeight="1" x14ac:dyDescent="0.25">
      <c r="C321" s="12"/>
      <c r="D321" s="12"/>
      <c r="E321" s="12"/>
      <c r="F321" s="61"/>
      <c r="G321" s="16"/>
      <c r="H321" s="17" t="str">
        <f t="shared" si="20"/>
        <v/>
      </c>
      <c r="I321" s="26" t="str">
        <f>IF(C321="","",C321&amp;"|"&amp;COUNTIF($C$5:C321,C321))</f>
        <v/>
      </c>
      <c r="J321" s="10"/>
      <c r="K321" s="10" t="str">
        <f>IF($C321="","",$C321&amp;"|"&amp;COUNTIF($C$5:C321,$C321))</f>
        <v/>
      </c>
      <c r="L321" s="10" t="str">
        <f t="shared" si="21"/>
        <v/>
      </c>
      <c r="M321" s="26" t="str">
        <f t="shared" si="22"/>
        <v/>
      </c>
      <c r="N321" s="26" t="str">
        <f t="shared" si="23"/>
        <v/>
      </c>
      <c r="O321" s="26" t="str">
        <f t="shared" si="24"/>
        <v/>
      </c>
    </row>
    <row r="322" spans="3:15" ht="21.95" customHeight="1" x14ac:dyDescent="0.25">
      <c r="C322" s="12"/>
      <c r="D322" s="12"/>
      <c r="E322" s="12"/>
      <c r="F322" s="61"/>
      <c r="G322" s="16"/>
      <c r="H322" s="17" t="str">
        <f t="shared" si="20"/>
        <v/>
      </c>
      <c r="I322" s="26" t="str">
        <f>IF(C322="","",C322&amp;"|"&amp;COUNTIF($C$5:C322,C322))</f>
        <v/>
      </c>
      <c r="J322" s="10"/>
      <c r="K322" s="10" t="str">
        <f>IF($C322="","",$C322&amp;"|"&amp;COUNTIF($C$5:C322,$C322))</f>
        <v/>
      </c>
      <c r="L322" s="10" t="str">
        <f t="shared" si="21"/>
        <v/>
      </c>
      <c r="M322" s="26" t="str">
        <f t="shared" si="22"/>
        <v/>
      </c>
      <c r="N322" s="26" t="str">
        <f t="shared" si="23"/>
        <v/>
      </c>
      <c r="O322" s="26" t="str">
        <f t="shared" si="24"/>
        <v/>
      </c>
    </row>
    <row r="323" spans="3:15" ht="21.95" customHeight="1" x14ac:dyDescent="0.25">
      <c r="C323" s="12"/>
      <c r="D323" s="12"/>
      <c r="E323" s="12"/>
      <c r="F323" s="61"/>
      <c r="G323" s="16"/>
      <c r="H323" s="17" t="str">
        <f t="shared" si="20"/>
        <v/>
      </c>
      <c r="I323" s="26" t="str">
        <f>IF(C323="","",C323&amp;"|"&amp;COUNTIF($C$5:C323,C323))</f>
        <v/>
      </c>
      <c r="J323" s="10"/>
      <c r="K323" s="10" t="str">
        <f>IF($C323="","",$C323&amp;"|"&amp;COUNTIF($C$5:C323,$C323))</f>
        <v/>
      </c>
      <c r="L323" s="10" t="str">
        <f t="shared" si="21"/>
        <v/>
      </c>
      <c r="M323" s="26" t="str">
        <f t="shared" si="22"/>
        <v/>
      </c>
      <c r="N323" s="26" t="str">
        <f t="shared" si="23"/>
        <v/>
      </c>
      <c r="O323" s="26" t="str">
        <f t="shared" si="24"/>
        <v/>
      </c>
    </row>
    <row r="324" spans="3:15" ht="21.95" customHeight="1" x14ac:dyDescent="0.25">
      <c r="C324" s="12"/>
      <c r="D324" s="12"/>
      <c r="E324" s="12"/>
      <c r="F324" s="61"/>
      <c r="G324" s="16"/>
      <c r="H324" s="17" t="str">
        <f t="shared" si="20"/>
        <v/>
      </c>
      <c r="I324" s="26" t="str">
        <f>IF(C324="","",C324&amp;"|"&amp;COUNTIF($C$5:C324,C324))</f>
        <v/>
      </c>
      <c r="J324" s="10"/>
      <c r="K324" s="10" t="str">
        <f>IF($C324="","",$C324&amp;"|"&amp;COUNTIF($C$5:C324,$C324))</f>
        <v/>
      </c>
      <c r="L324" s="10" t="str">
        <f t="shared" si="21"/>
        <v/>
      </c>
      <c r="M324" s="26" t="str">
        <f t="shared" si="22"/>
        <v/>
      </c>
      <c r="N324" s="26" t="str">
        <f t="shared" si="23"/>
        <v/>
      </c>
      <c r="O324" s="26" t="str">
        <f t="shared" si="24"/>
        <v/>
      </c>
    </row>
    <row r="325" spans="3:15" ht="21.95" customHeight="1" x14ac:dyDescent="0.25">
      <c r="C325" s="12"/>
      <c r="D325" s="12"/>
      <c r="E325" s="12"/>
      <c r="F325" s="61"/>
      <c r="G325" s="16"/>
      <c r="H325" s="17" t="str">
        <f t="shared" ref="H325:H388" si="25">IF(OR(C325="",F325="",G325=""),"",F325*G325)</f>
        <v/>
      </c>
      <c r="I325" s="26" t="str">
        <f>IF(C325="","",C325&amp;"|"&amp;COUNTIF($C$5:C325,C325))</f>
        <v/>
      </c>
      <c r="J325" s="10"/>
      <c r="K325" s="10" t="str">
        <f>IF($C325="","",$C325&amp;"|"&amp;COUNTIF($C$5:C325,$C325))</f>
        <v/>
      </c>
      <c r="L325" s="10" t="str">
        <f t="shared" ref="L325:L388" si="26">IF($C325="","",$D325)</f>
        <v/>
      </c>
      <c r="M325" s="26" t="str">
        <f t="shared" ref="M325:M388" si="27">IF($C325="","",$E325)</f>
        <v/>
      </c>
      <c r="N325" s="26" t="str">
        <f t="shared" ref="N325:N388" si="28">IF($C325="","",$F325)</f>
        <v/>
      </c>
      <c r="O325" s="26" t="str">
        <f t="shared" ref="O325:O388" si="29">IF($C325="","",$H325)</f>
        <v/>
      </c>
    </row>
    <row r="326" spans="3:15" ht="21.95" customHeight="1" x14ac:dyDescent="0.25">
      <c r="C326" s="12"/>
      <c r="D326" s="12"/>
      <c r="E326" s="12"/>
      <c r="F326" s="61"/>
      <c r="G326" s="16"/>
      <c r="H326" s="17" t="str">
        <f t="shared" si="25"/>
        <v/>
      </c>
      <c r="I326" s="26" t="str">
        <f>IF(C326="","",C326&amp;"|"&amp;COUNTIF($C$5:C326,C326))</f>
        <v/>
      </c>
      <c r="J326" s="10"/>
      <c r="K326" s="10" t="str">
        <f>IF($C326="","",$C326&amp;"|"&amp;COUNTIF($C$5:C326,$C326))</f>
        <v/>
      </c>
      <c r="L326" s="10" t="str">
        <f t="shared" si="26"/>
        <v/>
      </c>
      <c r="M326" s="26" t="str">
        <f t="shared" si="27"/>
        <v/>
      </c>
      <c r="N326" s="26" t="str">
        <f t="shared" si="28"/>
        <v/>
      </c>
      <c r="O326" s="26" t="str">
        <f t="shared" si="29"/>
        <v/>
      </c>
    </row>
    <row r="327" spans="3:15" ht="21.95" customHeight="1" x14ac:dyDescent="0.25">
      <c r="C327" s="12"/>
      <c r="D327" s="12"/>
      <c r="E327" s="12"/>
      <c r="F327" s="61"/>
      <c r="G327" s="16"/>
      <c r="H327" s="17" t="str">
        <f t="shared" si="25"/>
        <v/>
      </c>
      <c r="I327" s="26" t="str">
        <f>IF(C327="","",C327&amp;"|"&amp;COUNTIF($C$5:C327,C327))</f>
        <v/>
      </c>
      <c r="J327" s="10"/>
      <c r="K327" s="10" t="str">
        <f>IF($C327="","",$C327&amp;"|"&amp;COUNTIF($C$5:C327,$C327))</f>
        <v/>
      </c>
      <c r="L327" s="10" t="str">
        <f t="shared" si="26"/>
        <v/>
      </c>
      <c r="M327" s="26" t="str">
        <f t="shared" si="27"/>
        <v/>
      </c>
      <c r="N327" s="26" t="str">
        <f t="shared" si="28"/>
        <v/>
      </c>
      <c r="O327" s="26" t="str">
        <f t="shared" si="29"/>
        <v/>
      </c>
    </row>
    <row r="328" spans="3:15" ht="21.95" customHeight="1" x14ac:dyDescent="0.25">
      <c r="C328" s="12"/>
      <c r="D328" s="12"/>
      <c r="E328" s="12"/>
      <c r="F328" s="61"/>
      <c r="G328" s="16"/>
      <c r="H328" s="17" t="str">
        <f t="shared" si="25"/>
        <v/>
      </c>
      <c r="I328" s="26" t="str">
        <f>IF(C328="","",C328&amp;"|"&amp;COUNTIF($C$5:C328,C328))</f>
        <v/>
      </c>
      <c r="J328" s="10"/>
      <c r="K328" s="10" t="str">
        <f>IF($C328="","",$C328&amp;"|"&amp;COUNTIF($C$5:C328,$C328))</f>
        <v/>
      </c>
      <c r="L328" s="10" t="str">
        <f t="shared" si="26"/>
        <v/>
      </c>
      <c r="M328" s="26" t="str">
        <f t="shared" si="27"/>
        <v/>
      </c>
      <c r="N328" s="26" t="str">
        <f t="shared" si="28"/>
        <v/>
      </c>
      <c r="O328" s="26" t="str">
        <f t="shared" si="29"/>
        <v/>
      </c>
    </row>
    <row r="329" spans="3:15" ht="21.95" customHeight="1" x14ac:dyDescent="0.25">
      <c r="C329" s="12"/>
      <c r="D329" s="12"/>
      <c r="E329" s="12"/>
      <c r="F329" s="61"/>
      <c r="G329" s="16"/>
      <c r="H329" s="17" t="str">
        <f t="shared" si="25"/>
        <v/>
      </c>
      <c r="I329" s="26" t="str">
        <f>IF(C329="","",C329&amp;"|"&amp;COUNTIF($C$5:C329,C329))</f>
        <v/>
      </c>
      <c r="J329" s="10"/>
      <c r="K329" s="10" t="str">
        <f>IF($C329="","",$C329&amp;"|"&amp;COUNTIF($C$5:C329,$C329))</f>
        <v/>
      </c>
      <c r="L329" s="10" t="str">
        <f t="shared" si="26"/>
        <v/>
      </c>
      <c r="M329" s="26" t="str">
        <f t="shared" si="27"/>
        <v/>
      </c>
      <c r="N329" s="26" t="str">
        <f t="shared" si="28"/>
        <v/>
      </c>
      <c r="O329" s="26" t="str">
        <f t="shared" si="29"/>
        <v/>
      </c>
    </row>
    <row r="330" spans="3:15" ht="21.95" customHeight="1" x14ac:dyDescent="0.25">
      <c r="C330" s="12"/>
      <c r="D330" s="12"/>
      <c r="E330" s="12"/>
      <c r="F330" s="61"/>
      <c r="G330" s="16"/>
      <c r="H330" s="17" t="str">
        <f t="shared" si="25"/>
        <v/>
      </c>
      <c r="I330" s="26" t="str">
        <f>IF(C330="","",C330&amp;"|"&amp;COUNTIF($C$5:C330,C330))</f>
        <v/>
      </c>
      <c r="J330" s="10"/>
      <c r="K330" s="10" t="str">
        <f>IF($C330="","",$C330&amp;"|"&amp;COUNTIF($C$5:C330,$C330))</f>
        <v/>
      </c>
      <c r="L330" s="10" t="str">
        <f t="shared" si="26"/>
        <v/>
      </c>
      <c r="M330" s="26" t="str">
        <f t="shared" si="27"/>
        <v/>
      </c>
      <c r="N330" s="26" t="str">
        <f t="shared" si="28"/>
        <v/>
      </c>
      <c r="O330" s="26" t="str">
        <f t="shared" si="29"/>
        <v/>
      </c>
    </row>
    <row r="331" spans="3:15" ht="21.95" customHeight="1" x14ac:dyDescent="0.25">
      <c r="C331" s="12"/>
      <c r="D331" s="12"/>
      <c r="E331" s="12"/>
      <c r="F331" s="61"/>
      <c r="G331" s="16"/>
      <c r="H331" s="17" t="str">
        <f t="shared" si="25"/>
        <v/>
      </c>
      <c r="I331" s="26" t="str">
        <f>IF(C331="","",C331&amp;"|"&amp;COUNTIF($C$5:C331,C331))</f>
        <v/>
      </c>
      <c r="J331" s="10"/>
      <c r="K331" s="10" t="str">
        <f>IF($C331="","",$C331&amp;"|"&amp;COUNTIF($C$5:C331,$C331))</f>
        <v/>
      </c>
      <c r="L331" s="10" t="str">
        <f t="shared" si="26"/>
        <v/>
      </c>
      <c r="M331" s="26" t="str">
        <f t="shared" si="27"/>
        <v/>
      </c>
      <c r="N331" s="26" t="str">
        <f t="shared" si="28"/>
        <v/>
      </c>
      <c r="O331" s="26" t="str">
        <f t="shared" si="29"/>
        <v/>
      </c>
    </row>
    <row r="332" spans="3:15" ht="21.95" customHeight="1" x14ac:dyDescent="0.25">
      <c r="C332" s="12"/>
      <c r="D332" s="12"/>
      <c r="E332" s="12"/>
      <c r="F332" s="61"/>
      <c r="G332" s="16"/>
      <c r="H332" s="17" t="str">
        <f t="shared" si="25"/>
        <v/>
      </c>
      <c r="I332" s="26" t="str">
        <f>IF(C332="","",C332&amp;"|"&amp;COUNTIF($C$5:C332,C332))</f>
        <v/>
      </c>
      <c r="J332" s="10"/>
      <c r="K332" s="10" t="str">
        <f>IF($C332="","",$C332&amp;"|"&amp;COUNTIF($C$5:C332,$C332))</f>
        <v/>
      </c>
      <c r="L332" s="10" t="str">
        <f t="shared" si="26"/>
        <v/>
      </c>
      <c r="M332" s="26" t="str">
        <f t="shared" si="27"/>
        <v/>
      </c>
      <c r="N332" s="26" t="str">
        <f t="shared" si="28"/>
        <v/>
      </c>
      <c r="O332" s="26" t="str">
        <f t="shared" si="29"/>
        <v/>
      </c>
    </row>
    <row r="333" spans="3:15" ht="21.95" customHeight="1" x14ac:dyDescent="0.25">
      <c r="C333" s="12"/>
      <c r="D333" s="12"/>
      <c r="E333" s="12"/>
      <c r="F333" s="61"/>
      <c r="G333" s="16"/>
      <c r="H333" s="17" t="str">
        <f t="shared" si="25"/>
        <v/>
      </c>
      <c r="I333" s="26" t="str">
        <f>IF(C333="","",C333&amp;"|"&amp;COUNTIF($C$5:C333,C333))</f>
        <v/>
      </c>
      <c r="J333" s="10"/>
      <c r="K333" s="10" t="str">
        <f>IF($C333="","",$C333&amp;"|"&amp;COUNTIF($C$5:C333,$C333))</f>
        <v/>
      </c>
      <c r="L333" s="10" t="str">
        <f t="shared" si="26"/>
        <v/>
      </c>
      <c r="M333" s="26" t="str">
        <f t="shared" si="27"/>
        <v/>
      </c>
      <c r="N333" s="26" t="str">
        <f t="shared" si="28"/>
        <v/>
      </c>
      <c r="O333" s="26" t="str">
        <f t="shared" si="29"/>
        <v/>
      </c>
    </row>
    <row r="334" spans="3:15" ht="21.95" customHeight="1" x14ac:dyDescent="0.25">
      <c r="C334" s="12"/>
      <c r="D334" s="12"/>
      <c r="E334" s="12"/>
      <c r="F334" s="61"/>
      <c r="G334" s="16"/>
      <c r="H334" s="17" t="str">
        <f t="shared" si="25"/>
        <v/>
      </c>
      <c r="I334" s="26" t="str">
        <f>IF(C334="","",C334&amp;"|"&amp;COUNTIF($C$5:C334,C334))</f>
        <v/>
      </c>
      <c r="J334" s="10"/>
      <c r="K334" s="10" t="str">
        <f>IF($C334="","",$C334&amp;"|"&amp;COUNTIF($C$5:C334,$C334))</f>
        <v/>
      </c>
      <c r="L334" s="10" t="str">
        <f t="shared" si="26"/>
        <v/>
      </c>
      <c r="M334" s="26" t="str">
        <f t="shared" si="27"/>
        <v/>
      </c>
      <c r="N334" s="26" t="str">
        <f t="shared" si="28"/>
        <v/>
      </c>
      <c r="O334" s="26" t="str">
        <f t="shared" si="29"/>
        <v/>
      </c>
    </row>
    <row r="335" spans="3:15" ht="21.95" customHeight="1" x14ac:dyDescent="0.25">
      <c r="C335" s="12"/>
      <c r="D335" s="12"/>
      <c r="E335" s="12"/>
      <c r="F335" s="61"/>
      <c r="G335" s="16"/>
      <c r="H335" s="17" t="str">
        <f t="shared" si="25"/>
        <v/>
      </c>
      <c r="I335" s="26" t="str">
        <f>IF(C335="","",C335&amp;"|"&amp;COUNTIF($C$5:C335,C335))</f>
        <v/>
      </c>
      <c r="J335" s="10"/>
      <c r="K335" s="10" t="str">
        <f>IF($C335="","",$C335&amp;"|"&amp;COUNTIF($C$5:C335,$C335))</f>
        <v/>
      </c>
      <c r="L335" s="10" t="str">
        <f t="shared" si="26"/>
        <v/>
      </c>
      <c r="M335" s="26" t="str">
        <f t="shared" si="27"/>
        <v/>
      </c>
      <c r="N335" s="26" t="str">
        <f t="shared" si="28"/>
        <v/>
      </c>
      <c r="O335" s="26" t="str">
        <f t="shared" si="29"/>
        <v/>
      </c>
    </row>
    <row r="336" spans="3:15" ht="21.95" customHeight="1" x14ac:dyDescent="0.25">
      <c r="C336" s="12"/>
      <c r="D336" s="12"/>
      <c r="E336" s="12"/>
      <c r="F336" s="61"/>
      <c r="G336" s="16"/>
      <c r="H336" s="17" t="str">
        <f t="shared" si="25"/>
        <v/>
      </c>
      <c r="I336" s="26" t="str">
        <f>IF(C336="","",C336&amp;"|"&amp;COUNTIF($C$5:C336,C336))</f>
        <v/>
      </c>
      <c r="J336" s="10"/>
      <c r="K336" s="10" t="str">
        <f>IF($C336="","",$C336&amp;"|"&amp;COUNTIF($C$5:C336,$C336))</f>
        <v/>
      </c>
      <c r="L336" s="10" t="str">
        <f t="shared" si="26"/>
        <v/>
      </c>
      <c r="M336" s="26" t="str">
        <f t="shared" si="27"/>
        <v/>
      </c>
      <c r="N336" s="26" t="str">
        <f t="shared" si="28"/>
        <v/>
      </c>
      <c r="O336" s="26" t="str">
        <f t="shared" si="29"/>
        <v/>
      </c>
    </row>
    <row r="337" spans="3:15" ht="21.95" customHeight="1" x14ac:dyDescent="0.25">
      <c r="C337" s="12"/>
      <c r="D337" s="12"/>
      <c r="E337" s="12"/>
      <c r="F337" s="61"/>
      <c r="G337" s="16"/>
      <c r="H337" s="17" t="str">
        <f t="shared" si="25"/>
        <v/>
      </c>
      <c r="I337" s="26" t="str">
        <f>IF(C337="","",C337&amp;"|"&amp;COUNTIF($C$5:C337,C337))</f>
        <v/>
      </c>
      <c r="J337" s="10"/>
      <c r="K337" s="10" t="str">
        <f>IF($C337="","",$C337&amp;"|"&amp;COUNTIF($C$5:C337,$C337))</f>
        <v/>
      </c>
      <c r="L337" s="10" t="str">
        <f t="shared" si="26"/>
        <v/>
      </c>
      <c r="M337" s="26" t="str">
        <f t="shared" si="27"/>
        <v/>
      </c>
      <c r="N337" s="26" t="str">
        <f t="shared" si="28"/>
        <v/>
      </c>
      <c r="O337" s="26" t="str">
        <f t="shared" si="29"/>
        <v/>
      </c>
    </row>
    <row r="338" spans="3:15" ht="21.95" customHeight="1" x14ac:dyDescent="0.25">
      <c r="C338" s="12"/>
      <c r="D338" s="12"/>
      <c r="E338" s="12"/>
      <c r="F338" s="61"/>
      <c r="G338" s="16"/>
      <c r="H338" s="17" t="str">
        <f t="shared" si="25"/>
        <v/>
      </c>
      <c r="I338" s="26" t="str">
        <f>IF(C338="","",C338&amp;"|"&amp;COUNTIF($C$5:C338,C338))</f>
        <v/>
      </c>
      <c r="J338" s="10"/>
      <c r="K338" s="10" t="str">
        <f>IF($C338="","",$C338&amp;"|"&amp;COUNTIF($C$5:C338,$C338))</f>
        <v/>
      </c>
      <c r="L338" s="10" t="str">
        <f t="shared" si="26"/>
        <v/>
      </c>
      <c r="M338" s="26" t="str">
        <f t="shared" si="27"/>
        <v/>
      </c>
      <c r="N338" s="26" t="str">
        <f t="shared" si="28"/>
        <v/>
      </c>
      <c r="O338" s="26" t="str">
        <f t="shared" si="29"/>
        <v/>
      </c>
    </row>
    <row r="339" spans="3:15" ht="21.95" customHeight="1" x14ac:dyDescent="0.25">
      <c r="C339" s="12"/>
      <c r="D339" s="12"/>
      <c r="E339" s="12"/>
      <c r="F339" s="61"/>
      <c r="G339" s="16"/>
      <c r="H339" s="17" t="str">
        <f t="shared" si="25"/>
        <v/>
      </c>
      <c r="I339" s="26" t="str">
        <f>IF(C339="","",C339&amp;"|"&amp;COUNTIF($C$5:C339,C339))</f>
        <v/>
      </c>
      <c r="J339" s="10"/>
      <c r="K339" s="10" t="str">
        <f>IF($C339="","",$C339&amp;"|"&amp;COUNTIF($C$5:C339,$C339))</f>
        <v/>
      </c>
      <c r="L339" s="10" t="str">
        <f t="shared" si="26"/>
        <v/>
      </c>
      <c r="M339" s="26" t="str">
        <f t="shared" si="27"/>
        <v/>
      </c>
      <c r="N339" s="26" t="str">
        <f t="shared" si="28"/>
        <v/>
      </c>
      <c r="O339" s="26" t="str">
        <f t="shared" si="29"/>
        <v/>
      </c>
    </row>
    <row r="340" spans="3:15" ht="21.95" customHeight="1" x14ac:dyDescent="0.25">
      <c r="C340" s="12"/>
      <c r="D340" s="12"/>
      <c r="E340" s="12"/>
      <c r="F340" s="61"/>
      <c r="G340" s="16"/>
      <c r="H340" s="17" t="str">
        <f t="shared" si="25"/>
        <v/>
      </c>
      <c r="I340" s="26" t="str">
        <f>IF(C340="","",C340&amp;"|"&amp;COUNTIF($C$5:C340,C340))</f>
        <v/>
      </c>
      <c r="J340" s="10"/>
      <c r="K340" s="10" t="str">
        <f>IF($C340="","",$C340&amp;"|"&amp;COUNTIF($C$5:C340,$C340))</f>
        <v/>
      </c>
      <c r="L340" s="10" t="str">
        <f t="shared" si="26"/>
        <v/>
      </c>
      <c r="M340" s="26" t="str">
        <f t="shared" si="27"/>
        <v/>
      </c>
      <c r="N340" s="26" t="str">
        <f t="shared" si="28"/>
        <v/>
      </c>
      <c r="O340" s="26" t="str">
        <f t="shared" si="29"/>
        <v/>
      </c>
    </row>
    <row r="341" spans="3:15" ht="21.95" customHeight="1" x14ac:dyDescent="0.25">
      <c r="C341" s="12"/>
      <c r="D341" s="12"/>
      <c r="E341" s="12"/>
      <c r="F341" s="61"/>
      <c r="G341" s="16"/>
      <c r="H341" s="17" t="str">
        <f t="shared" si="25"/>
        <v/>
      </c>
      <c r="I341" s="26" t="str">
        <f>IF(C341="","",C341&amp;"|"&amp;COUNTIF($C$5:C341,C341))</f>
        <v/>
      </c>
      <c r="J341" s="10"/>
      <c r="K341" s="10" t="str">
        <f>IF($C341="","",$C341&amp;"|"&amp;COUNTIF($C$5:C341,$C341))</f>
        <v/>
      </c>
      <c r="L341" s="10" t="str">
        <f t="shared" si="26"/>
        <v/>
      </c>
      <c r="M341" s="26" t="str">
        <f t="shared" si="27"/>
        <v/>
      </c>
      <c r="N341" s="26" t="str">
        <f t="shared" si="28"/>
        <v/>
      </c>
      <c r="O341" s="26" t="str">
        <f t="shared" si="29"/>
        <v/>
      </c>
    </row>
    <row r="342" spans="3:15" ht="21.95" customHeight="1" x14ac:dyDescent="0.25">
      <c r="C342" s="12"/>
      <c r="D342" s="12"/>
      <c r="E342" s="12"/>
      <c r="F342" s="61"/>
      <c r="G342" s="16"/>
      <c r="H342" s="17" t="str">
        <f t="shared" si="25"/>
        <v/>
      </c>
      <c r="I342" s="26" t="str">
        <f>IF(C342="","",C342&amp;"|"&amp;COUNTIF($C$5:C342,C342))</f>
        <v/>
      </c>
      <c r="J342" s="10"/>
      <c r="K342" s="10" t="str">
        <f>IF($C342="","",$C342&amp;"|"&amp;COUNTIF($C$5:C342,$C342))</f>
        <v/>
      </c>
      <c r="L342" s="10" t="str">
        <f t="shared" si="26"/>
        <v/>
      </c>
      <c r="M342" s="26" t="str">
        <f t="shared" si="27"/>
        <v/>
      </c>
      <c r="N342" s="26" t="str">
        <f t="shared" si="28"/>
        <v/>
      </c>
      <c r="O342" s="26" t="str">
        <f t="shared" si="29"/>
        <v/>
      </c>
    </row>
    <row r="343" spans="3:15" ht="21.95" customHeight="1" x14ac:dyDescent="0.25">
      <c r="C343" s="12"/>
      <c r="D343" s="12"/>
      <c r="E343" s="12"/>
      <c r="F343" s="61"/>
      <c r="G343" s="16"/>
      <c r="H343" s="17" t="str">
        <f t="shared" si="25"/>
        <v/>
      </c>
      <c r="I343" s="26" t="str">
        <f>IF(C343="","",C343&amp;"|"&amp;COUNTIF($C$5:C343,C343))</f>
        <v/>
      </c>
      <c r="J343" s="10"/>
      <c r="K343" s="10" t="str">
        <f>IF($C343="","",$C343&amp;"|"&amp;COUNTIF($C$5:C343,$C343))</f>
        <v/>
      </c>
      <c r="L343" s="10" t="str">
        <f t="shared" si="26"/>
        <v/>
      </c>
      <c r="M343" s="26" t="str">
        <f t="shared" si="27"/>
        <v/>
      </c>
      <c r="N343" s="26" t="str">
        <f t="shared" si="28"/>
        <v/>
      </c>
      <c r="O343" s="26" t="str">
        <f t="shared" si="29"/>
        <v/>
      </c>
    </row>
    <row r="344" spans="3:15" ht="21.95" customHeight="1" x14ac:dyDescent="0.25">
      <c r="C344" s="12"/>
      <c r="D344" s="12"/>
      <c r="E344" s="12"/>
      <c r="F344" s="61"/>
      <c r="G344" s="16"/>
      <c r="H344" s="17" t="str">
        <f t="shared" si="25"/>
        <v/>
      </c>
      <c r="I344" s="26" t="str">
        <f>IF(C344="","",C344&amp;"|"&amp;COUNTIF($C$5:C344,C344))</f>
        <v/>
      </c>
      <c r="J344" s="10"/>
      <c r="K344" s="10" t="str">
        <f>IF($C344="","",$C344&amp;"|"&amp;COUNTIF($C$5:C344,$C344))</f>
        <v/>
      </c>
      <c r="L344" s="10" t="str">
        <f t="shared" si="26"/>
        <v/>
      </c>
      <c r="M344" s="26" t="str">
        <f t="shared" si="27"/>
        <v/>
      </c>
      <c r="N344" s="26" t="str">
        <f t="shared" si="28"/>
        <v/>
      </c>
      <c r="O344" s="26" t="str">
        <f t="shared" si="29"/>
        <v/>
      </c>
    </row>
    <row r="345" spans="3:15" ht="21.95" customHeight="1" x14ac:dyDescent="0.25">
      <c r="C345" s="12"/>
      <c r="D345" s="12"/>
      <c r="E345" s="12"/>
      <c r="F345" s="61"/>
      <c r="G345" s="16"/>
      <c r="H345" s="17" t="str">
        <f t="shared" si="25"/>
        <v/>
      </c>
      <c r="I345" s="26" t="str">
        <f>IF(C345="","",C345&amp;"|"&amp;COUNTIF($C$5:C345,C345))</f>
        <v/>
      </c>
      <c r="J345" s="10"/>
      <c r="K345" s="10" t="str">
        <f>IF($C345="","",$C345&amp;"|"&amp;COUNTIF($C$5:C345,$C345))</f>
        <v/>
      </c>
      <c r="L345" s="10" t="str">
        <f t="shared" si="26"/>
        <v/>
      </c>
      <c r="M345" s="26" t="str">
        <f t="shared" si="27"/>
        <v/>
      </c>
      <c r="N345" s="26" t="str">
        <f t="shared" si="28"/>
        <v/>
      </c>
      <c r="O345" s="26" t="str">
        <f t="shared" si="29"/>
        <v/>
      </c>
    </row>
    <row r="346" spans="3:15" ht="21.95" customHeight="1" x14ac:dyDescent="0.25">
      <c r="C346" s="12"/>
      <c r="D346" s="12"/>
      <c r="E346" s="12"/>
      <c r="F346" s="61"/>
      <c r="G346" s="16"/>
      <c r="H346" s="17" t="str">
        <f t="shared" si="25"/>
        <v/>
      </c>
      <c r="I346" s="26" t="str">
        <f>IF(C346="","",C346&amp;"|"&amp;COUNTIF($C$5:C346,C346))</f>
        <v/>
      </c>
      <c r="J346" s="10"/>
      <c r="K346" s="10" t="str">
        <f>IF($C346="","",$C346&amp;"|"&amp;COUNTIF($C$5:C346,$C346))</f>
        <v/>
      </c>
      <c r="L346" s="10" t="str">
        <f t="shared" si="26"/>
        <v/>
      </c>
      <c r="M346" s="26" t="str">
        <f t="shared" si="27"/>
        <v/>
      </c>
      <c r="N346" s="26" t="str">
        <f t="shared" si="28"/>
        <v/>
      </c>
      <c r="O346" s="26" t="str">
        <f t="shared" si="29"/>
        <v/>
      </c>
    </row>
    <row r="347" spans="3:15" ht="21.95" customHeight="1" x14ac:dyDescent="0.25">
      <c r="C347" s="12"/>
      <c r="D347" s="12"/>
      <c r="E347" s="12"/>
      <c r="F347" s="61"/>
      <c r="G347" s="16"/>
      <c r="H347" s="17" t="str">
        <f t="shared" si="25"/>
        <v/>
      </c>
      <c r="I347" s="26" t="str">
        <f>IF(C347="","",C347&amp;"|"&amp;COUNTIF($C$5:C347,C347))</f>
        <v/>
      </c>
      <c r="J347" s="10"/>
      <c r="K347" s="10" t="str">
        <f>IF($C347="","",$C347&amp;"|"&amp;COUNTIF($C$5:C347,$C347))</f>
        <v/>
      </c>
      <c r="L347" s="10" t="str">
        <f t="shared" si="26"/>
        <v/>
      </c>
      <c r="M347" s="26" t="str">
        <f t="shared" si="27"/>
        <v/>
      </c>
      <c r="N347" s="26" t="str">
        <f t="shared" si="28"/>
        <v/>
      </c>
      <c r="O347" s="26" t="str">
        <f t="shared" si="29"/>
        <v/>
      </c>
    </row>
    <row r="348" spans="3:15" ht="21.95" customHeight="1" x14ac:dyDescent="0.25">
      <c r="C348" s="12"/>
      <c r="D348" s="12"/>
      <c r="E348" s="12"/>
      <c r="F348" s="61"/>
      <c r="G348" s="16"/>
      <c r="H348" s="17" t="str">
        <f t="shared" si="25"/>
        <v/>
      </c>
      <c r="I348" s="26" t="str">
        <f>IF(C348="","",C348&amp;"|"&amp;COUNTIF($C$5:C348,C348))</f>
        <v/>
      </c>
      <c r="J348" s="10"/>
      <c r="K348" s="10" t="str">
        <f>IF($C348="","",$C348&amp;"|"&amp;COUNTIF($C$5:C348,$C348))</f>
        <v/>
      </c>
      <c r="L348" s="10" t="str">
        <f t="shared" si="26"/>
        <v/>
      </c>
      <c r="M348" s="26" t="str">
        <f t="shared" si="27"/>
        <v/>
      </c>
      <c r="N348" s="26" t="str">
        <f t="shared" si="28"/>
        <v/>
      </c>
      <c r="O348" s="26" t="str">
        <f t="shared" si="29"/>
        <v/>
      </c>
    </row>
    <row r="349" spans="3:15" ht="21.95" customHeight="1" x14ac:dyDescent="0.25">
      <c r="C349" s="12"/>
      <c r="D349" s="12"/>
      <c r="E349" s="12"/>
      <c r="F349" s="61"/>
      <c r="G349" s="16"/>
      <c r="H349" s="17" t="str">
        <f t="shared" si="25"/>
        <v/>
      </c>
      <c r="I349" s="26" t="str">
        <f>IF(C349="","",C349&amp;"|"&amp;COUNTIF($C$5:C349,C349))</f>
        <v/>
      </c>
      <c r="J349" s="10"/>
      <c r="K349" s="10" t="str">
        <f>IF($C349="","",$C349&amp;"|"&amp;COUNTIF($C$5:C349,$C349))</f>
        <v/>
      </c>
      <c r="L349" s="10" t="str">
        <f t="shared" si="26"/>
        <v/>
      </c>
      <c r="M349" s="26" t="str">
        <f t="shared" si="27"/>
        <v/>
      </c>
      <c r="N349" s="26" t="str">
        <f t="shared" si="28"/>
        <v/>
      </c>
      <c r="O349" s="26" t="str">
        <f t="shared" si="29"/>
        <v/>
      </c>
    </row>
    <row r="350" spans="3:15" ht="21.95" customHeight="1" x14ac:dyDescent="0.25">
      <c r="C350" s="12"/>
      <c r="D350" s="12"/>
      <c r="E350" s="12"/>
      <c r="F350" s="61"/>
      <c r="G350" s="16"/>
      <c r="H350" s="17" t="str">
        <f t="shared" si="25"/>
        <v/>
      </c>
      <c r="I350" s="26" t="str">
        <f>IF(C350="","",C350&amp;"|"&amp;COUNTIF($C$5:C350,C350))</f>
        <v/>
      </c>
      <c r="J350" s="10"/>
      <c r="K350" s="10" t="str">
        <f>IF($C350="","",$C350&amp;"|"&amp;COUNTIF($C$5:C350,$C350))</f>
        <v/>
      </c>
      <c r="L350" s="10" t="str">
        <f t="shared" si="26"/>
        <v/>
      </c>
      <c r="M350" s="26" t="str">
        <f t="shared" si="27"/>
        <v/>
      </c>
      <c r="N350" s="26" t="str">
        <f t="shared" si="28"/>
        <v/>
      </c>
      <c r="O350" s="26" t="str">
        <f t="shared" si="29"/>
        <v/>
      </c>
    </row>
    <row r="351" spans="3:15" ht="21.95" customHeight="1" x14ac:dyDescent="0.25">
      <c r="C351" s="12"/>
      <c r="D351" s="12"/>
      <c r="E351" s="12"/>
      <c r="F351" s="61"/>
      <c r="G351" s="16"/>
      <c r="H351" s="17" t="str">
        <f t="shared" si="25"/>
        <v/>
      </c>
      <c r="I351" s="26" t="str">
        <f>IF(C351="","",C351&amp;"|"&amp;COUNTIF($C$5:C351,C351))</f>
        <v/>
      </c>
      <c r="J351" s="10"/>
      <c r="K351" s="10" t="str">
        <f>IF($C351="","",$C351&amp;"|"&amp;COUNTIF($C$5:C351,$C351))</f>
        <v/>
      </c>
      <c r="L351" s="10" t="str">
        <f t="shared" si="26"/>
        <v/>
      </c>
      <c r="M351" s="26" t="str">
        <f t="shared" si="27"/>
        <v/>
      </c>
      <c r="N351" s="26" t="str">
        <f t="shared" si="28"/>
        <v/>
      </c>
      <c r="O351" s="26" t="str">
        <f t="shared" si="29"/>
        <v/>
      </c>
    </row>
    <row r="352" spans="3:15" ht="21.95" customHeight="1" x14ac:dyDescent="0.25">
      <c r="C352" s="12"/>
      <c r="D352" s="12"/>
      <c r="E352" s="12"/>
      <c r="F352" s="61"/>
      <c r="G352" s="16"/>
      <c r="H352" s="17" t="str">
        <f t="shared" si="25"/>
        <v/>
      </c>
      <c r="I352" s="26" t="str">
        <f>IF(C352="","",C352&amp;"|"&amp;COUNTIF($C$5:C352,C352))</f>
        <v/>
      </c>
      <c r="J352" s="10"/>
      <c r="K352" s="10" t="str">
        <f>IF($C352="","",$C352&amp;"|"&amp;COUNTIF($C$5:C352,$C352))</f>
        <v/>
      </c>
      <c r="L352" s="10" t="str">
        <f t="shared" si="26"/>
        <v/>
      </c>
      <c r="M352" s="26" t="str">
        <f t="shared" si="27"/>
        <v/>
      </c>
      <c r="N352" s="26" t="str">
        <f t="shared" si="28"/>
        <v/>
      </c>
      <c r="O352" s="26" t="str">
        <f t="shared" si="29"/>
        <v/>
      </c>
    </row>
    <row r="353" spans="3:15" ht="21.95" customHeight="1" x14ac:dyDescent="0.25">
      <c r="C353" s="12"/>
      <c r="D353" s="12"/>
      <c r="E353" s="12"/>
      <c r="F353" s="61"/>
      <c r="G353" s="16"/>
      <c r="H353" s="17" t="str">
        <f t="shared" si="25"/>
        <v/>
      </c>
      <c r="I353" s="26" t="str">
        <f>IF(C353="","",C353&amp;"|"&amp;COUNTIF($C$5:C353,C353))</f>
        <v/>
      </c>
      <c r="J353" s="10"/>
      <c r="K353" s="10" t="str">
        <f>IF($C353="","",$C353&amp;"|"&amp;COUNTIF($C$5:C353,$C353))</f>
        <v/>
      </c>
      <c r="L353" s="10" t="str">
        <f t="shared" si="26"/>
        <v/>
      </c>
      <c r="M353" s="26" t="str">
        <f t="shared" si="27"/>
        <v/>
      </c>
      <c r="N353" s="26" t="str">
        <f t="shared" si="28"/>
        <v/>
      </c>
      <c r="O353" s="26" t="str">
        <f t="shared" si="29"/>
        <v/>
      </c>
    </row>
    <row r="354" spans="3:15" ht="21.95" customHeight="1" x14ac:dyDescent="0.25">
      <c r="C354" s="12"/>
      <c r="D354" s="12"/>
      <c r="E354" s="12"/>
      <c r="F354" s="61"/>
      <c r="G354" s="16"/>
      <c r="H354" s="17" t="str">
        <f t="shared" si="25"/>
        <v/>
      </c>
      <c r="I354" s="26" t="str">
        <f>IF(C354="","",C354&amp;"|"&amp;COUNTIF($C$5:C354,C354))</f>
        <v/>
      </c>
      <c r="J354" s="10"/>
      <c r="K354" s="10" t="str">
        <f>IF($C354="","",$C354&amp;"|"&amp;COUNTIF($C$5:C354,$C354))</f>
        <v/>
      </c>
      <c r="L354" s="10" t="str">
        <f t="shared" si="26"/>
        <v/>
      </c>
      <c r="M354" s="26" t="str">
        <f t="shared" si="27"/>
        <v/>
      </c>
      <c r="N354" s="26" t="str">
        <f t="shared" si="28"/>
        <v/>
      </c>
      <c r="O354" s="26" t="str">
        <f t="shared" si="29"/>
        <v/>
      </c>
    </row>
    <row r="355" spans="3:15" ht="21.95" customHeight="1" x14ac:dyDescent="0.25">
      <c r="C355" s="12"/>
      <c r="D355" s="12"/>
      <c r="E355" s="12"/>
      <c r="F355" s="61"/>
      <c r="G355" s="16"/>
      <c r="H355" s="17" t="str">
        <f t="shared" si="25"/>
        <v/>
      </c>
      <c r="I355" s="26" t="str">
        <f>IF(C355="","",C355&amp;"|"&amp;COUNTIF($C$5:C355,C355))</f>
        <v/>
      </c>
      <c r="J355" s="10"/>
      <c r="K355" s="10" t="str">
        <f>IF($C355="","",$C355&amp;"|"&amp;COUNTIF($C$5:C355,$C355))</f>
        <v/>
      </c>
      <c r="L355" s="10" t="str">
        <f t="shared" si="26"/>
        <v/>
      </c>
      <c r="M355" s="26" t="str">
        <f t="shared" si="27"/>
        <v/>
      </c>
      <c r="N355" s="26" t="str">
        <f t="shared" si="28"/>
        <v/>
      </c>
      <c r="O355" s="26" t="str">
        <f t="shared" si="29"/>
        <v/>
      </c>
    </row>
    <row r="356" spans="3:15" ht="21.95" customHeight="1" x14ac:dyDescent="0.25">
      <c r="C356" s="12"/>
      <c r="D356" s="12"/>
      <c r="E356" s="12"/>
      <c r="F356" s="61"/>
      <c r="G356" s="16"/>
      <c r="H356" s="17" t="str">
        <f t="shared" si="25"/>
        <v/>
      </c>
      <c r="I356" s="26" t="str">
        <f>IF(C356="","",C356&amp;"|"&amp;COUNTIF($C$5:C356,C356))</f>
        <v/>
      </c>
      <c r="J356" s="10"/>
      <c r="K356" s="10" t="str">
        <f>IF($C356="","",$C356&amp;"|"&amp;COUNTIF($C$5:C356,$C356))</f>
        <v/>
      </c>
      <c r="L356" s="10" t="str">
        <f t="shared" si="26"/>
        <v/>
      </c>
      <c r="M356" s="26" t="str">
        <f t="shared" si="27"/>
        <v/>
      </c>
      <c r="N356" s="26" t="str">
        <f t="shared" si="28"/>
        <v/>
      </c>
      <c r="O356" s="26" t="str">
        <f t="shared" si="29"/>
        <v/>
      </c>
    </row>
    <row r="357" spans="3:15" ht="21.95" customHeight="1" x14ac:dyDescent="0.25">
      <c r="C357" s="12"/>
      <c r="D357" s="12"/>
      <c r="E357" s="12"/>
      <c r="F357" s="61"/>
      <c r="G357" s="16"/>
      <c r="H357" s="17" t="str">
        <f t="shared" si="25"/>
        <v/>
      </c>
      <c r="I357" s="26" t="str">
        <f>IF(C357="","",C357&amp;"|"&amp;COUNTIF($C$5:C357,C357))</f>
        <v/>
      </c>
      <c r="J357" s="10"/>
      <c r="K357" s="10" t="str">
        <f>IF($C357="","",$C357&amp;"|"&amp;COUNTIF($C$5:C357,$C357))</f>
        <v/>
      </c>
      <c r="L357" s="10" t="str">
        <f t="shared" si="26"/>
        <v/>
      </c>
      <c r="M357" s="26" t="str">
        <f t="shared" si="27"/>
        <v/>
      </c>
      <c r="N357" s="26" t="str">
        <f t="shared" si="28"/>
        <v/>
      </c>
      <c r="O357" s="26" t="str">
        <f t="shared" si="29"/>
        <v/>
      </c>
    </row>
    <row r="358" spans="3:15" ht="21.95" customHeight="1" x14ac:dyDescent="0.25">
      <c r="C358" s="12"/>
      <c r="D358" s="12"/>
      <c r="E358" s="12"/>
      <c r="F358" s="61"/>
      <c r="G358" s="16"/>
      <c r="H358" s="17" t="str">
        <f t="shared" si="25"/>
        <v/>
      </c>
      <c r="I358" s="26" t="str">
        <f>IF(C358="","",C358&amp;"|"&amp;COUNTIF($C$5:C358,C358))</f>
        <v/>
      </c>
      <c r="J358" s="10"/>
      <c r="K358" s="10" t="str">
        <f>IF($C358="","",$C358&amp;"|"&amp;COUNTIF($C$5:C358,$C358))</f>
        <v/>
      </c>
      <c r="L358" s="10" t="str">
        <f t="shared" si="26"/>
        <v/>
      </c>
      <c r="M358" s="26" t="str">
        <f t="shared" si="27"/>
        <v/>
      </c>
      <c r="N358" s="26" t="str">
        <f t="shared" si="28"/>
        <v/>
      </c>
      <c r="O358" s="26" t="str">
        <f t="shared" si="29"/>
        <v/>
      </c>
    </row>
    <row r="359" spans="3:15" ht="21.95" customHeight="1" x14ac:dyDescent="0.25">
      <c r="C359" s="12"/>
      <c r="D359" s="12"/>
      <c r="E359" s="12"/>
      <c r="F359" s="61"/>
      <c r="G359" s="16"/>
      <c r="H359" s="17" t="str">
        <f t="shared" si="25"/>
        <v/>
      </c>
      <c r="I359" s="26" t="str">
        <f>IF(C359="","",C359&amp;"|"&amp;COUNTIF($C$5:C359,C359))</f>
        <v/>
      </c>
      <c r="J359" s="10"/>
      <c r="K359" s="10" t="str">
        <f>IF($C359="","",$C359&amp;"|"&amp;COUNTIF($C$5:C359,$C359))</f>
        <v/>
      </c>
      <c r="L359" s="10" t="str">
        <f t="shared" si="26"/>
        <v/>
      </c>
      <c r="M359" s="26" t="str">
        <f t="shared" si="27"/>
        <v/>
      </c>
      <c r="N359" s="26" t="str">
        <f t="shared" si="28"/>
        <v/>
      </c>
      <c r="O359" s="26" t="str">
        <f t="shared" si="29"/>
        <v/>
      </c>
    </row>
    <row r="360" spans="3:15" ht="21.95" customHeight="1" x14ac:dyDescent="0.25">
      <c r="C360" s="12"/>
      <c r="D360" s="12"/>
      <c r="E360" s="12"/>
      <c r="F360" s="61"/>
      <c r="G360" s="16"/>
      <c r="H360" s="17" t="str">
        <f t="shared" si="25"/>
        <v/>
      </c>
      <c r="I360" s="26" t="str">
        <f>IF(C360="","",C360&amp;"|"&amp;COUNTIF($C$5:C360,C360))</f>
        <v/>
      </c>
      <c r="J360" s="10"/>
      <c r="K360" s="10" t="str">
        <f>IF($C360="","",$C360&amp;"|"&amp;COUNTIF($C$5:C360,$C360))</f>
        <v/>
      </c>
      <c r="L360" s="10" t="str">
        <f t="shared" si="26"/>
        <v/>
      </c>
      <c r="M360" s="26" t="str">
        <f t="shared" si="27"/>
        <v/>
      </c>
      <c r="N360" s="26" t="str">
        <f t="shared" si="28"/>
        <v/>
      </c>
      <c r="O360" s="26" t="str">
        <f t="shared" si="29"/>
        <v/>
      </c>
    </row>
    <row r="361" spans="3:15" ht="21.95" customHeight="1" x14ac:dyDescent="0.25">
      <c r="C361" s="12"/>
      <c r="D361" s="12"/>
      <c r="E361" s="12"/>
      <c r="F361" s="61"/>
      <c r="G361" s="16"/>
      <c r="H361" s="17" t="str">
        <f t="shared" si="25"/>
        <v/>
      </c>
      <c r="I361" s="26" t="str">
        <f>IF(C361="","",C361&amp;"|"&amp;COUNTIF($C$5:C361,C361))</f>
        <v/>
      </c>
      <c r="J361" s="10"/>
      <c r="K361" s="10" t="str">
        <f>IF($C361="","",$C361&amp;"|"&amp;COUNTIF($C$5:C361,$C361))</f>
        <v/>
      </c>
      <c r="L361" s="10" t="str">
        <f t="shared" si="26"/>
        <v/>
      </c>
      <c r="M361" s="26" t="str">
        <f t="shared" si="27"/>
        <v/>
      </c>
      <c r="N361" s="26" t="str">
        <f t="shared" si="28"/>
        <v/>
      </c>
      <c r="O361" s="26" t="str">
        <f t="shared" si="29"/>
        <v/>
      </c>
    </row>
    <row r="362" spans="3:15" ht="21.95" customHeight="1" x14ac:dyDescent="0.25">
      <c r="C362" s="12"/>
      <c r="D362" s="12"/>
      <c r="E362" s="12"/>
      <c r="F362" s="61"/>
      <c r="G362" s="16"/>
      <c r="H362" s="17" t="str">
        <f t="shared" si="25"/>
        <v/>
      </c>
      <c r="I362" s="26" t="str">
        <f>IF(C362="","",C362&amp;"|"&amp;COUNTIF($C$5:C362,C362))</f>
        <v/>
      </c>
      <c r="J362" s="10"/>
      <c r="K362" s="10" t="str">
        <f>IF($C362="","",$C362&amp;"|"&amp;COUNTIF($C$5:C362,$C362))</f>
        <v/>
      </c>
      <c r="L362" s="10" t="str">
        <f t="shared" si="26"/>
        <v/>
      </c>
      <c r="M362" s="26" t="str">
        <f t="shared" si="27"/>
        <v/>
      </c>
      <c r="N362" s="26" t="str">
        <f t="shared" si="28"/>
        <v/>
      </c>
      <c r="O362" s="26" t="str">
        <f t="shared" si="29"/>
        <v/>
      </c>
    </row>
    <row r="363" spans="3:15" ht="21.95" customHeight="1" x14ac:dyDescent="0.25">
      <c r="C363" s="12"/>
      <c r="D363" s="12"/>
      <c r="E363" s="12"/>
      <c r="F363" s="61"/>
      <c r="G363" s="16"/>
      <c r="H363" s="17" t="str">
        <f t="shared" si="25"/>
        <v/>
      </c>
      <c r="I363" s="26" t="str">
        <f>IF(C363="","",C363&amp;"|"&amp;COUNTIF($C$5:C363,C363))</f>
        <v/>
      </c>
      <c r="J363" s="10"/>
      <c r="K363" s="10" t="str">
        <f>IF($C363="","",$C363&amp;"|"&amp;COUNTIF($C$5:C363,$C363))</f>
        <v/>
      </c>
      <c r="L363" s="10" t="str">
        <f t="shared" si="26"/>
        <v/>
      </c>
      <c r="M363" s="26" t="str">
        <f t="shared" si="27"/>
        <v/>
      </c>
      <c r="N363" s="26" t="str">
        <f t="shared" si="28"/>
        <v/>
      </c>
      <c r="O363" s="26" t="str">
        <f t="shared" si="29"/>
        <v/>
      </c>
    </row>
    <row r="364" spans="3:15" ht="21.95" customHeight="1" x14ac:dyDescent="0.25">
      <c r="C364" s="12"/>
      <c r="D364" s="12"/>
      <c r="E364" s="12"/>
      <c r="F364" s="61"/>
      <c r="G364" s="16"/>
      <c r="H364" s="17" t="str">
        <f t="shared" si="25"/>
        <v/>
      </c>
      <c r="I364" s="26" t="str">
        <f>IF(C364="","",C364&amp;"|"&amp;COUNTIF($C$5:C364,C364))</f>
        <v/>
      </c>
      <c r="J364" s="10"/>
      <c r="K364" s="10" t="str">
        <f>IF($C364="","",$C364&amp;"|"&amp;COUNTIF($C$5:C364,$C364))</f>
        <v/>
      </c>
      <c r="L364" s="10" t="str">
        <f t="shared" si="26"/>
        <v/>
      </c>
      <c r="M364" s="26" t="str">
        <f t="shared" si="27"/>
        <v/>
      </c>
      <c r="N364" s="26" t="str">
        <f t="shared" si="28"/>
        <v/>
      </c>
      <c r="O364" s="26" t="str">
        <f t="shared" si="29"/>
        <v/>
      </c>
    </row>
    <row r="365" spans="3:15" ht="21.95" customHeight="1" x14ac:dyDescent="0.25">
      <c r="C365" s="12"/>
      <c r="D365" s="12"/>
      <c r="E365" s="12"/>
      <c r="F365" s="61"/>
      <c r="G365" s="16"/>
      <c r="H365" s="17" t="str">
        <f t="shared" si="25"/>
        <v/>
      </c>
      <c r="I365" s="26" t="str">
        <f>IF(C365="","",C365&amp;"|"&amp;COUNTIF($C$5:C365,C365))</f>
        <v/>
      </c>
      <c r="J365" s="10"/>
      <c r="K365" s="10" t="str">
        <f>IF($C365="","",$C365&amp;"|"&amp;COUNTIF($C$5:C365,$C365))</f>
        <v/>
      </c>
      <c r="L365" s="10" t="str">
        <f t="shared" si="26"/>
        <v/>
      </c>
      <c r="M365" s="26" t="str">
        <f t="shared" si="27"/>
        <v/>
      </c>
      <c r="N365" s="26" t="str">
        <f t="shared" si="28"/>
        <v/>
      </c>
      <c r="O365" s="26" t="str">
        <f t="shared" si="29"/>
        <v/>
      </c>
    </row>
    <row r="366" spans="3:15" ht="21.95" customHeight="1" x14ac:dyDescent="0.25">
      <c r="C366" s="12"/>
      <c r="D366" s="12"/>
      <c r="E366" s="12"/>
      <c r="F366" s="61"/>
      <c r="G366" s="16"/>
      <c r="H366" s="17" t="str">
        <f t="shared" si="25"/>
        <v/>
      </c>
      <c r="I366" s="26" t="str">
        <f>IF(C366="","",C366&amp;"|"&amp;COUNTIF($C$5:C366,C366))</f>
        <v/>
      </c>
      <c r="J366" s="10"/>
      <c r="K366" s="10" t="str">
        <f>IF($C366="","",$C366&amp;"|"&amp;COUNTIF($C$5:C366,$C366))</f>
        <v/>
      </c>
      <c r="L366" s="10" t="str">
        <f t="shared" si="26"/>
        <v/>
      </c>
      <c r="M366" s="26" t="str">
        <f t="shared" si="27"/>
        <v/>
      </c>
      <c r="N366" s="26" t="str">
        <f t="shared" si="28"/>
        <v/>
      </c>
      <c r="O366" s="26" t="str">
        <f t="shared" si="29"/>
        <v/>
      </c>
    </row>
    <row r="367" spans="3:15" ht="21.95" customHeight="1" x14ac:dyDescent="0.25">
      <c r="C367" s="12"/>
      <c r="D367" s="12"/>
      <c r="E367" s="12"/>
      <c r="F367" s="61"/>
      <c r="G367" s="16"/>
      <c r="H367" s="17" t="str">
        <f t="shared" si="25"/>
        <v/>
      </c>
      <c r="I367" s="26" t="str">
        <f>IF(C367="","",C367&amp;"|"&amp;COUNTIF($C$5:C367,C367))</f>
        <v/>
      </c>
      <c r="J367" s="10"/>
      <c r="K367" s="10" t="str">
        <f>IF($C367="","",$C367&amp;"|"&amp;COUNTIF($C$5:C367,$C367))</f>
        <v/>
      </c>
      <c r="L367" s="10" t="str">
        <f t="shared" si="26"/>
        <v/>
      </c>
      <c r="M367" s="26" t="str">
        <f t="shared" si="27"/>
        <v/>
      </c>
      <c r="N367" s="26" t="str">
        <f t="shared" si="28"/>
        <v/>
      </c>
      <c r="O367" s="26" t="str">
        <f t="shared" si="29"/>
        <v/>
      </c>
    </row>
    <row r="368" spans="3:15" ht="21.95" customHeight="1" x14ac:dyDescent="0.25">
      <c r="C368" s="12"/>
      <c r="D368" s="12"/>
      <c r="E368" s="12"/>
      <c r="F368" s="61"/>
      <c r="G368" s="16"/>
      <c r="H368" s="17" t="str">
        <f t="shared" si="25"/>
        <v/>
      </c>
      <c r="I368" s="26" t="str">
        <f>IF(C368="","",C368&amp;"|"&amp;COUNTIF($C$5:C368,C368))</f>
        <v/>
      </c>
      <c r="J368" s="10"/>
      <c r="K368" s="10" t="str">
        <f>IF($C368="","",$C368&amp;"|"&amp;COUNTIF($C$5:C368,$C368))</f>
        <v/>
      </c>
      <c r="L368" s="10" t="str">
        <f t="shared" si="26"/>
        <v/>
      </c>
      <c r="M368" s="26" t="str">
        <f t="shared" si="27"/>
        <v/>
      </c>
      <c r="N368" s="26" t="str">
        <f t="shared" si="28"/>
        <v/>
      </c>
      <c r="O368" s="26" t="str">
        <f t="shared" si="29"/>
        <v/>
      </c>
    </row>
    <row r="369" spans="3:15" ht="21.95" customHeight="1" x14ac:dyDescent="0.25">
      <c r="C369" s="12"/>
      <c r="D369" s="12"/>
      <c r="E369" s="12"/>
      <c r="F369" s="61"/>
      <c r="G369" s="16"/>
      <c r="H369" s="17" t="str">
        <f t="shared" si="25"/>
        <v/>
      </c>
      <c r="I369" s="26" t="str">
        <f>IF(C369="","",C369&amp;"|"&amp;COUNTIF($C$5:C369,C369))</f>
        <v/>
      </c>
      <c r="J369" s="10"/>
      <c r="K369" s="10" t="str">
        <f>IF($C369="","",$C369&amp;"|"&amp;COUNTIF($C$5:C369,$C369))</f>
        <v/>
      </c>
      <c r="L369" s="10" t="str">
        <f t="shared" si="26"/>
        <v/>
      </c>
      <c r="M369" s="26" t="str">
        <f t="shared" si="27"/>
        <v/>
      </c>
      <c r="N369" s="26" t="str">
        <f t="shared" si="28"/>
        <v/>
      </c>
      <c r="O369" s="26" t="str">
        <f t="shared" si="29"/>
        <v/>
      </c>
    </row>
    <row r="370" spans="3:15" ht="21.95" customHeight="1" x14ac:dyDescent="0.25">
      <c r="C370" s="12"/>
      <c r="D370" s="12"/>
      <c r="E370" s="12"/>
      <c r="F370" s="61"/>
      <c r="G370" s="16"/>
      <c r="H370" s="17" t="str">
        <f t="shared" si="25"/>
        <v/>
      </c>
      <c r="I370" s="26" t="str">
        <f>IF(C370="","",C370&amp;"|"&amp;COUNTIF($C$5:C370,C370))</f>
        <v/>
      </c>
      <c r="J370" s="10"/>
      <c r="K370" s="10" t="str">
        <f>IF($C370="","",$C370&amp;"|"&amp;COUNTIF($C$5:C370,$C370))</f>
        <v/>
      </c>
      <c r="L370" s="10" t="str">
        <f t="shared" si="26"/>
        <v/>
      </c>
      <c r="M370" s="26" t="str">
        <f t="shared" si="27"/>
        <v/>
      </c>
      <c r="N370" s="26" t="str">
        <f t="shared" si="28"/>
        <v/>
      </c>
      <c r="O370" s="26" t="str">
        <f t="shared" si="29"/>
        <v/>
      </c>
    </row>
    <row r="371" spans="3:15" ht="21.95" customHeight="1" x14ac:dyDescent="0.25">
      <c r="C371" s="12"/>
      <c r="D371" s="12"/>
      <c r="E371" s="12"/>
      <c r="F371" s="61"/>
      <c r="G371" s="16"/>
      <c r="H371" s="17" t="str">
        <f t="shared" si="25"/>
        <v/>
      </c>
      <c r="I371" s="26" t="str">
        <f>IF(C371="","",C371&amp;"|"&amp;COUNTIF($C$5:C371,C371))</f>
        <v/>
      </c>
      <c r="J371" s="10"/>
      <c r="K371" s="10" t="str">
        <f>IF($C371="","",$C371&amp;"|"&amp;COUNTIF($C$5:C371,$C371))</f>
        <v/>
      </c>
      <c r="L371" s="10" t="str">
        <f t="shared" si="26"/>
        <v/>
      </c>
      <c r="M371" s="26" t="str">
        <f t="shared" si="27"/>
        <v/>
      </c>
      <c r="N371" s="26" t="str">
        <f t="shared" si="28"/>
        <v/>
      </c>
      <c r="O371" s="26" t="str">
        <f t="shared" si="29"/>
        <v/>
      </c>
    </row>
    <row r="372" spans="3:15" ht="21.95" customHeight="1" x14ac:dyDescent="0.25">
      <c r="C372" s="12"/>
      <c r="D372" s="12"/>
      <c r="E372" s="12"/>
      <c r="F372" s="61"/>
      <c r="G372" s="16"/>
      <c r="H372" s="17" t="str">
        <f t="shared" si="25"/>
        <v/>
      </c>
      <c r="I372" s="26" t="str">
        <f>IF(C372="","",C372&amp;"|"&amp;COUNTIF($C$5:C372,C372))</f>
        <v/>
      </c>
      <c r="J372" s="10"/>
      <c r="K372" s="10" t="str">
        <f>IF($C372="","",$C372&amp;"|"&amp;COUNTIF($C$5:C372,$C372))</f>
        <v/>
      </c>
      <c r="L372" s="10" t="str">
        <f t="shared" si="26"/>
        <v/>
      </c>
      <c r="M372" s="26" t="str">
        <f t="shared" si="27"/>
        <v/>
      </c>
      <c r="N372" s="26" t="str">
        <f t="shared" si="28"/>
        <v/>
      </c>
      <c r="O372" s="26" t="str">
        <f t="shared" si="29"/>
        <v/>
      </c>
    </row>
    <row r="373" spans="3:15" ht="21.95" customHeight="1" x14ac:dyDescent="0.25">
      <c r="C373" s="12"/>
      <c r="D373" s="12"/>
      <c r="E373" s="12"/>
      <c r="F373" s="61"/>
      <c r="G373" s="16"/>
      <c r="H373" s="17" t="str">
        <f t="shared" si="25"/>
        <v/>
      </c>
      <c r="I373" s="26" t="str">
        <f>IF(C373="","",C373&amp;"|"&amp;COUNTIF($C$5:C373,C373))</f>
        <v/>
      </c>
      <c r="J373" s="10"/>
      <c r="K373" s="10" t="str">
        <f>IF($C373="","",$C373&amp;"|"&amp;COUNTIF($C$5:C373,$C373))</f>
        <v/>
      </c>
      <c r="L373" s="10" t="str">
        <f t="shared" si="26"/>
        <v/>
      </c>
      <c r="M373" s="26" t="str">
        <f t="shared" si="27"/>
        <v/>
      </c>
      <c r="N373" s="26" t="str">
        <f t="shared" si="28"/>
        <v/>
      </c>
      <c r="O373" s="26" t="str">
        <f t="shared" si="29"/>
        <v/>
      </c>
    </row>
    <row r="374" spans="3:15" ht="21.95" customHeight="1" x14ac:dyDescent="0.25">
      <c r="C374" s="12"/>
      <c r="D374" s="12"/>
      <c r="E374" s="12"/>
      <c r="F374" s="61"/>
      <c r="G374" s="16"/>
      <c r="H374" s="17" t="str">
        <f t="shared" si="25"/>
        <v/>
      </c>
      <c r="I374" s="26" t="str">
        <f>IF(C374="","",C374&amp;"|"&amp;COUNTIF($C$5:C374,C374))</f>
        <v/>
      </c>
      <c r="J374" s="10"/>
      <c r="K374" s="10" t="str">
        <f>IF($C374="","",$C374&amp;"|"&amp;COUNTIF($C$5:C374,$C374))</f>
        <v/>
      </c>
      <c r="L374" s="10" t="str">
        <f t="shared" si="26"/>
        <v/>
      </c>
      <c r="M374" s="26" t="str">
        <f t="shared" si="27"/>
        <v/>
      </c>
      <c r="N374" s="26" t="str">
        <f t="shared" si="28"/>
        <v/>
      </c>
      <c r="O374" s="26" t="str">
        <f t="shared" si="29"/>
        <v/>
      </c>
    </row>
    <row r="375" spans="3:15" ht="21.95" customHeight="1" x14ac:dyDescent="0.25">
      <c r="C375" s="12"/>
      <c r="D375" s="12"/>
      <c r="E375" s="12"/>
      <c r="F375" s="61"/>
      <c r="G375" s="16"/>
      <c r="H375" s="17" t="str">
        <f t="shared" si="25"/>
        <v/>
      </c>
      <c r="I375" s="26" t="str">
        <f>IF(C375="","",C375&amp;"|"&amp;COUNTIF($C$5:C375,C375))</f>
        <v/>
      </c>
      <c r="J375" s="10"/>
      <c r="K375" s="10" t="str">
        <f>IF($C375="","",$C375&amp;"|"&amp;COUNTIF($C$5:C375,$C375))</f>
        <v/>
      </c>
      <c r="L375" s="10" t="str">
        <f t="shared" si="26"/>
        <v/>
      </c>
      <c r="M375" s="26" t="str">
        <f t="shared" si="27"/>
        <v/>
      </c>
      <c r="N375" s="26" t="str">
        <f t="shared" si="28"/>
        <v/>
      </c>
      <c r="O375" s="26" t="str">
        <f t="shared" si="29"/>
        <v/>
      </c>
    </row>
    <row r="376" spans="3:15" ht="21.95" customHeight="1" x14ac:dyDescent="0.25">
      <c r="C376" s="12"/>
      <c r="D376" s="12"/>
      <c r="E376" s="12"/>
      <c r="F376" s="61"/>
      <c r="G376" s="16"/>
      <c r="H376" s="17" t="str">
        <f t="shared" si="25"/>
        <v/>
      </c>
      <c r="I376" s="26" t="str">
        <f>IF(C376="","",C376&amp;"|"&amp;COUNTIF($C$5:C376,C376))</f>
        <v/>
      </c>
      <c r="J376" s="10"/>
      <c r="K376" s="10" t="str">
        <f>IF($C376="","",$C376&amp;"|"&amp;COUNTIF($C$5:C376,$C376))</f>
        <v/>
      </c>
      <c r="L376" s="10" t="str">
        <f t="shared" si="26"/>
        <v/>
      </c>
      <c r="M376" s="26" t="str">
        <f t="shared" si="27"/>
        <v/>
      </c>
      <c r="N376" s="26" t="str">
        <f t="shared" si="28"/>
        <v/>
      </c>
      <c r="O376" s="26" t="str">
        <f t="shared" si="29"/>
        <v/>
      </c>
    </row>
    <row r="377" spans="3:15" ht="21.95" customHeight="1" x14ac:dyDescent="0.25">
      <c r="C377" s="12"/>
      <c r="D377" s="12"/>
      <c r="E377" s="12"/>
      <c r="F377" s="61"/>
      <c r="G377" s="16"/>
      <c r="H377" s="17" t="str">
        <f t="shared" si="25"/>
        <v/>
      </c>
      <c r="I377" s="26" t="str">
        <f>IF(C377="","",C377&amp;"|"&amp;COUNTIF($C$5:C377,C377))</f>
        <v/>
      </c>
      <c r="J377" s="10"/>
      <c r="K377" s="10" t="str">
        <f>IF($C377="","",$C377&amp;"|"&amp;COUNTIF($C$5:C377,$C377))</f>
        <v/>
      </c>
      <c r="L377" s="10" t="str">
        <f t="shared" si="26"/>
        <v/>
      </c>
      <c r="M377" s="26" t="str">
        <f t="shared" si="27"/>
        <v/>
      </c>
      <c r="N377" s="26" t="str">
        <f t="shared" si="28"/>
        <v/>
      </c>
      <c r="O377" s="26" t="str">
        <f t="shared" si="29"/>
        <v/>
      </c>
    </row>
    <row r="378" spans="3:15" ht="21.95" customHeight="1" x14ac:dyDescent="0.25">
      <c r="C378" s="12"/>
      <c r="D378" s="12"/>
      <c r="E378" s="12"/>
      <c r="F378" s="61"/>
      <c r="G378" s="16"/>
      <c r="H378" s="17" t="str">
        <f t="shared" si="25"/>
        <v/>
      </c>
      <c r="I378" s="26" t="str">
        <f>IF(C378="","",C378&amp;"|"&amp;COUNTIF($C$5:C378,C378))</f>
        <v/>
      </c>
      <c r="J378" s="10"/>
      <c r="K378" s="10" t="str">
        <f>IF($C378="","",$C378&amp;"|"&amp;COUNTIF($C$5:C378,$C378))</f>
        <v/>
      </c>
      <c r="L378" s="10" t="str">
        <f t="shared" si="26"/>
        <v/>
      </c>
      <c r="M378" s="26" t="str">
        <f t="shared" si="27"/>
        <v/>
      </c>
      <c r="N378" s="26" t="str">
        <f t="shared" si="28"/>
        <v/>
      </c>
      <c r="O378" s="26" t="str">
        <f t="shared" si="29"/>
        <v/>
      </c>
    </row>
    <row r="379" spans="3:15" ht="21.95" customHeight="1" x14ac:dyDescent="0.25">
      <c r="C379" s="12"/>
      <c r="D379" s="12"/>
      <c r="E379" s="12"/>
      <c r="F379" s="61"/>
      <c r="G379" s="16"/>
      <c r="H379" s="17" t="str">
        <f t="shared" si="25"/>
        <v/>
      </c>
      <c r="I379" s="26" t="str">
        <f>IF(C379="","",C379&amp;"|"&amp;COUNTIF($C$5:C379,C379))</f>
        <v/>
      </c>
      <c r="J379" s="10"/>
      <c r="K379" s="10" t="str">
        <f>IF($C379="","",$C379&amp;"|"&amp;COUNTIF($C$5:C379,$C379))</f>
        <v/>
      </c>
      <c r="L379" s="10" t="str">
        <f t="shared" si="26"/>
        <v/>
      </c>
      <c r="M379" s="26" t="str">
        <f t="shared" si="27"/>
        <v/>
      </c>
      <c r="N379" s="26" t="str">
        <f t="shared" si="28"/>
        <v/>
      </c>
      <c r="O379" s="26" t="str">
        <f t="shared" si="29"/>
        <v/>
      </c>
    </row>
    <row r="380" spans="3:15" ht="21.95" customHeight="1" x14ac:dyDescent="0.25">
      <c r="C380" s="12"/>
      <c r="D380" s="12"/>
      <c r="E380" s="12"/>
      <c r="F380" s="61"/>
      <c r="G380" s="16"/>
      <c r="H380" s="17" t="str">
        <f t="shared" si="25"/>
        <v/>
      </c>
      <c r="I380" s="26" t="str">
        <f>IF(C380="","",C380&amp;"|"&amp;COUNTIF($C$5:C380,C380))</f>
        <v/>
      </c>
      <c r="J380" s="10"/>
      <c r="K380" s="10" t="str">
        <f>IF($C380="","",$C380&amp;"|"&amp;COUNTIF($C$5:C380,$C380))</f>
        <v/>
      </c>
      <c r="L380" s="10" t="str">
        <f t="shared" si="26"/>
        <v/>
      </c>
      <c r="M380" s="26" t="str">
        <f t="shared" si="27"/>
        <v/>
      </c>
      <c r="N380" s="26" t="str">
        <f t="shared" si="28"/>
        <v/>
      </c>
      <c r="O380" s="26" t="str">
        <f t="shared" si="29"/>
        <v/>
      </c>
    </row>
    <row r="381" spans="3:15" ht="21.95" customHeight="1" x14ac:dyDescent="0.25">
      <c r="C381" s="12"/>
      <c r="D381" s="12"/>
      <c r="E381" s="12"/>
      <c r="F381" s="61"/>
      <c r="G381" s="16"/>
      <c r="H381" s="17" t="str">
        <f t="shared" si="25"/>
        <v/>
      </c>
      <c r="I381" s="26" t="str">
        <f>IF(C381="","",C381&amp;"|"&amp;COUNTIF($C$5:C381,C381))</f>
        <v/>
      </c>
      <c r="J381" s="10"/>
      <c r="K381" s="10" t="str">
        <f>IF($C381="","",$C381&amp;"|"&amp;COUNTIF($C$5:C381,$C381))</f>
        <v/>
      </c>
      <c r="L381" s="10" t="str">
        <f t="shared" si="26"/>
        <v/>
      </c>
      <c r="M381" s="26" t="str">
        <f t="shared" si="27"/>
        <v/>
      </c>
      <c r="N381" s="26" t="str">
        <f t="shared" si="28"/>
        <v/>
      </c>
      <c r="O381" s="26" t="str">
        <f t="shared" si="29"/>
        <v/>
      </c>
    </row>
    <row r="382" spans="3:15" ht="21.95" customHeight="1" x14ac:dyDescent="0.25">
      <c r="C382" s="12"/>
      <c r="D382" s="12"/>
      <c r="E382" s="12"/>
      <c r="F382" s="61"/>
      <c r="G382" s="16"/>
      <c r="H382" s="17" t="str">
        <f t="shared" si="25"/>
        <v/>
      </c>
      <c r="I382" s="26" t="str">
        <f>IF(C382="","",C382&amp;"|"&amp;COUNTIF($C$5:C382,C382))</f>
        <v/>
      </c>
      <c r="J382" s="10"/>
      <c r="K382" s="10" t="str">
        <f>IF($C382="","",$C382&amp;"|"&amp;COUNTIF($C$5:C382,$C382))</f>
        <v/>
      </c>
      <c r="L382" s="10" t="str">
        <f t="shared" si="26"/>
        <v/>
      </c>
      <c r="M382" s="26" t="str">
        <f t="shared" si="27"/>
        <v/>
      </c>
      <c r="N382" s="26" t="str">
        <f t="shared" si="28"/>
        <v/>
      </c>
      <c r="O382" s="26" t="str">
        <f t="shared" si="29"/>
        <v/>
      </c>
    </row>
    <row r="383" spans="3:15" ht="21.95" customHeight="1" x14ac:dyDescent="0.25">
      <c r="C383" s="12"/>
      <c r="D383" s="12"/>
      <c r="E383" s="12"/>
      <c r="F383" s="61"/>
      <c r="G383" s="16"/>
      <c r="H383" s="17" t="str">
        <f t="shared" si="25"/>
        <v/>
      </c>
      <c r="I383" s="26" t="str">
        <f>IF(C383="","",C383&amp;"|"&amp;COUNTIF($C$5:C383,C383))</f>
        <v/>
      </c>
      <c r="J383" s="10"/>
      <c r="K383" s="10" t="str">
        <f>IF($C383="","",$C383&amp;"|"&amp;COUNTIF($C$5:C383,$C383))</f>
        <v/>
      </c>
      <c r="L383" s="10" t="str">
        <f t="shared" si="26"/>
        <v/>
      </c>
      <c r="M383" s="26" t="str">
        <f t="shared" si="27"/>
        <v/>
      </c>
      <c r="N383" s="26" t="str">
        <f t="shared" si="28"/>
        <v/>
      </c>
      <c r="O383" s="26" t="str">
        <f t="shared" si="29"/>
        <v/>
      </c>
    </row>
    <row r="384" spans="3:15" ht="21.95" customHeight="1" x14ac:dyDescent="0.25">
      <c r="C384" s="12"/>
      <c r="D384" s="12"/>
      <c r="E384" s="12"/>
      <c r="F384" s="61"/>
      <c r="G384" s="16"/>
      <c r="H384" s="17" t="str">
        <f t="shared" si="25"/>
        <v/>
      </c>
      <c r="I384" s="26" t="str">
        <f>IF(C384="","",C384&amp;"|"&amp;COUNTIF($C$5:C384,C384))</f>
        <v/>
      </c>
      <c r="J384" s="10"/>
      <c r="K384" s="10" t="str">
        <f>IF($C384="","",$C384&amp;"|"&amp;COUNTIF($C$5:C384,$C384))</f>
        <v/>
      </c>
      <c r="L384" s="10" t="str">
        <f t="shared" si="26"/>
        <v/>
      </c>
      <c r="M384" s="26" t="str">
        <f t="shared" si="27"/>
        <v/>
      </c>
      <c r="N384" s="26" t="str">
        <f t="shared" si="28"/>
        <v/>
      </c>
      <c r="O384" s="26" t="str">
        <f t="shared" si="29"/>
        <v/>
      </c>
    </row>
    <row r="385" spans="3:15" ht="21.95" customHeight="1" x14ac:dyDescent="0.25">
      <c r="C385" s="12"/>
      <c r="D385" s="12"/>
      <c r="E385" s="12"/>
      <c r="F385" s="61"/>
      <c r="G385" s="16"/>
      <c r="H385" s="17" t="str">
        <f t="shared" si="25"/>
        <v/>
      </c>
      <c r="I385" s="26" t="str">
        <f>IF(C385="","",C385&amp;"|"&amp;COUNTIF($C$5:C385,C385))</f>
        <v/>
      </c>
      <c r="J385" s="10"/>
      <c r="K385" s="10" t="str">
        <f>IF($C385="","",$C385&amp;"|"&amp;COUNTIF($C$5:C385,$C385))</f>
        <v/>
      </c>
      <c r="L385" s="10" t="str">
        <f t="shared" si="26"/>
        <v/>
      </c>
      <c r="M385" s="26" t="str">
        <f t="shared" si="27"/>
        <v/>
      </c>
      <c r="N385" s="26" t="str">
        <f t="shared" si="28"/>
        <v/>
      </c>
      <c r="O385" s="26" t="str">
        <f t="shared" si="29"/>
        <v/>
      </c>
    </row>
    <row r="386" spans="3:15" ht="21.95" customHeight="1" x14ac:dyDescent="0.25">
      <c r="C386" s="12"/>
      <c r="D386" s="12"/>
      <c r="E386" s="12"/>
      <c r="F386" s="61"/>
      <c r="G386" s="16"/>
      <c r="H386" s="17" t="str">
        <f t="shared" si="25"/>
        <v/>
      </c>
      <c r="I386" s="26" t="str">
        <f>IF(C386="","",C386&amp;"|"&amp;COUNTIF($C$5:C386,C386))</f>
        <v/>
      </c>
      <c r="J386" s="10"/>
      <c r="K386" s="10" t="str">
        <f>IF($C386="","",$C386&amp;"|"&amp;COUNTIF($C$5:C386,$C386))</f>
        <v/>
      </c>
      <c r="L386" s="10" t="str">
        <f t="shared" si="26"/>
        <v/>
      </c>
      <c r="M386" s="26" t="str">
        <f t="shared" si="27"/>
        <v/>
      </c>
      <c r="N386" s="26" t="str">
        <f t="shared" si="28"/>
        <v/>
      </c>
      <c r="O386" s="26" t="str">
        <f t="shared" si="29"/>
        <v/>
      </c>
    </row>
    <row r="387" spans="3:15" ht="21.95" customHeight="1" x14ac:dyDescent="0.25">
      <c r="C387" s="12"/>
      <c r="D387" s="12"/>
      <c r="E387" s="12"/>
      <c r="F387" s="61"/>
      <c r="G387" s="16"/>
      <c r="H387" s="17" t="str">
        <f t="shared" si="25"/>
        <v/>
      </c>
      <c r="I387" s="26" t="str">
        <f>IF(C387="","",C387&amp;"|"&amp;COUNTIF($C$5:C387,C387))</f>
        <v/>
      </c>
      <c r="J387" s="10"/>
      <c r="K387" s="10" t="str">
        <f>IF($C387="","",$C387&amp;"|"&amp;COUNTIF($C$5:C387,$C387))</f>
        <v/>
      </c>
      <c r="L387" s="10" t="str">
        <f t="shared" si="26"/>
        <v/>
      </c>
      <c r="M387" s="26" t="str">
        <f t="shared" si="27"/>
        <v/>
      </c>
      <c r="N387" s="26" t="str">
        <f t="shared" si="28"/>
        <v/>
      </c>
      <c r="O387" s="26" t="str">
        <f t="shared" si="29"/>
        <v/>
      </c>
    </row>
    <row r="388" spans="3:15" ht="21.95" customHeight="1" x14ac:dyDescent="0.25">
      <c r="C388" s="12"/>
      <c r="D388" s="12"/>
      <c r="E388" s="12"/>
      <c r="F388" s="61"/>
      <c r="G388" s="16"/>
      <c r="H388" s="17" t="str">
        <f t="shared" si="25"/>
        <v/>
      </c>
      <c r="I388" s="26" t="str">
        <f>IF(C388="","",C388&amp;"|"&amp;COUNTIF($C$5:C388,C388))</f>
        <v/>
      </c>
      <c r="J388" s="10"/>
      <c r="K388" s="10" t="str">
        <f>IF($C388="","",$C388&amp;"|"&amp;COUNTIF($C$5:C388,$C388))</f>
        <v/>
      </c>
      <c r="L388" s="10" t="str">
        <f t="shared" si="26"/>
        <v/>
      </c>
      <c r="M388" s="26" t="str">
        <f t="shared" si="27"/>
        <v/>
      </c>
      <c r="N388" s="26" t="str">
        <f t="shared" si="28"/>
        <v/>
      </c>
      <c r="O388" s="26" t="str">
        <f t="shared" si="29"/>
        <v/>
      </c>
    </row>
    <row r="389" spans="3:15" ht="21.95" customHeight="1" x14ac:dyDescent="0.25">
      <c r="C389" s="12"/>
      <c r="D389" s="12"/>
      <c r="E389" s="12"/>
      <c r="F389" s="61"/>
      <c r="G389" s="16"/>
      <c r="H389" s="17" t="str">
        <f t="shared" ref="H389:H452" si="30">IF(OR(C389="",F389="",G389=""),"",F389*G389)</f>
        <v/>
      </c>
      <c r="I389" s="26" t="str">
        <f>IF(C389="","",C389&amp;"|"&amp;COUNTIF($C$5:C389,C389))</f>
        <v/>
      </c>
      <c r="J389" s="10"/>
      <c r="K389" s="10" t="str">
        <f>IF($C389="","",$C389&amp;"|"&amp;COUNTIF($C$5:C389,$C389))</f>
        <v/>
      </c>
      <c r="L389" s="10" t="str">
        <f t="shared" ref="L389:L452" si="31">IF($C389="","",$D389)</f>
        <v/>
      </c>
      <c r="M389" s="26" t="str">
        <f t="shared" ref="M389:M452" si="32">IF($C389="","",$E389)</f>
        <v/>
      </c>
      <c r="N389" s="26" t="str">
        <f t="shared" ref="N389:N452" si="33">IF($C389="","",$F389)</f>
        <v/>
      </c>
      <c r="O389" s="26" t="str">
        <f t="shared" ref="O389:O452" si="34">IF($C389="","",$H389)</f>
        <v/>
      </c>
    </row>
    <row r="390" spans="3:15" ht="21.95" customHeight="1" x14ac:dyDescent="0.25">
      <c r="C390" s="12"/>
      <c r="D390" s="12"/>
      <c r="E390" s="12"/>
      <c r="F390" s="61"/>
      <c r="G390" s="16"/>
      <c r="H390" s="17" t="str">
        <f t="shared" si="30"/>
        <v/>
      </c>
      <c r="I390" s="26" t="str">
        <f>IF(C390="","",C390&amp;"|"&amp;COUNTIF($C$5:C390,C390))</f>
        <v/>
      </c>
      <c r="J390" s="10"/>
      <c r="K390" s="10" t="str">
        <f>IF($C390="","",$C390&amp;"|"&amp;COUNTIF($C$5:C390,$C390))</f>
        <v/>
      </c>
      <c r="L390" s="10" t="str">
        <f t="shared" si="31"/>
        <v/>
      </c>
      <c r="M390" s="26" t="str">
        <f t="shared" si="32"/>
        <v/>
      </c>
      <c r="N390" s="26" t="str">
        <f t="shared" si="33"/>
        <v/>
      </c>
      <c r="O390" s="26" t="str">
        <f t="shared" si="34"/>
        <v/>
      </c>
    </row>
    <row r="391" spans="3:15" ht="21.95" customHeight="1" x14ac:dyDescent="0.25">
      <c r="C391" s="12"/>
      <c r="D391" s="12"/>
      <c r="E391" s="12"/>
      <c r="F391" s="61"/>
      <c r="G391" s="16"/>
      <c r="H391" s="17" t="str">
        <f t="shared" si="30"/>
        <v/>
      </c>
      <c r="I391" s="26" t="str">
        <f>IF(C391="","",C391&amp;"|"&amp;COUNTIF($C$5:C391,C391))</f>
        <v/>
      </c>
      <c r="J391" s="10"/>
      <c r="K391" s="10" t="str">
        <f>IF($C391="","",$C391&amp;"|"&amp;COUNTIF($C$5:C391,$C391))</f>
        <v/>
      </c>
      <c r="L391" s="10" t="str">
        <f t="shared" si="31"/>
        <v/>
      </c>
      <c r="M391" s="26" t="str">
        <f t="shared" si="32"/>
        <v/>
      </c>
      <c r="N391" s="26" t="str">
        <f t="shared" si="33"/>
        <v/>
      </c>
      <c r="O391" s="26" t="str">
        <f t="shared" si="34"/>
        <v/>
      </c>
    </row>
    <row r="392" spans="3:15" ht="21.95" customHeight="1" x14ac:dyDescent="0.25">
      <c r="C392" s="12"/>
      <c r="D392" s="12"/>
      <c r="E392" s="12"/>
      <c r="F392" s="61"/>
      <c r="G392" s="16"/>
      <c r="H392" s="17" t="str">
        <f t="shared" si="30"/>
        <v/>
      </c>
      <c r="I392" s="26" t="str">
        <f>IF(C392="","",C392&amp;"|"&amp;COUNTIF($C$5:C392,C392))</f>
        <v/>
      </c>
      <c r="J392" s="10"/>
      <c r="K392" s="10" t="str">
        <f>IF($C392="","",$C392&amp;"|"&amp;COUNTIF($C$5:C392,$C392))</f>
        <v/>
      </c>
      <c r="L392" s="10" t="str">
        <f t="shared" si="31"/>
        <v/>
      </c>
      <c r="M392" s="26" t="str">
        <f t="shared" si="32"/>
        <v/>
      </c>
      <c r="N392" s="26" t="str">
        <f t="shared" si="33"/>
        <v/>
      </c>
      <c r="O392" s="26" t="str">
        <f t="shared" si="34"/>
        <v/>
      </c>
    </row>
    <row r="393" spans="3:15" ht="21.95" customHeight="1" x14ac:dyDescent="0.25">
      <c r="C393" s="12"/>
      <c r="D393" s="12"/>
      <c r="E393" s="12"/>
      <c r="F393" s="61"/>
      <c r="G393" s="16"/>
      <c r="H393" s="17" t="str">
        <f t="shared" si="30"/>
        <v/>
      </c>
      <c r="I393" s="26" t="str">
        <f>IF(C393="","",C393&amp;"|"&amp;COUNTIF($C$5:C393,C393))</f>
        <v/>
      </c>
      <c r="J393" s="10"/>
      <c r="K393" s="10" t="str">
        <f>IF($C393="","",$C393&amp;"|"&amp;COUNTIF($C$5:C393,$C393))</f>
        <v/>
      </c>
      <c r="L393" s="10" t="str">
        <f t="shared" si="31"/>
        <v/>
      </c>
      <c r="M393" s="26" t="str">
        <f t="shared" si="32"/>
        <v/>
      </c>
      <c r="N393" s="26" t="str">
        <f t="shared" si="33"/>
        <v/>
      </c>
      <c r="O393" s="26" t="str">
        <f t="shared" si="34"/>
        <v/>
      </c>
    </row>
    <row r="394" spans="3:15" ht="21.95" customHeight="1" x14ac:dyDescent="0.25">
      <c r="C394" s="12"/>
      <c r="D394" s="12"/>
      <c r="E394" s="12"/>
      <c r="F394" s="61"/>
      <c r="G394" s="16"/>
      <c r="H394" s="17" t="str">
        <f t="shared" si="30"/>
        <v/>
      </c>
      <c r="I394" s="26" t="str">
        <f>IF(C394="","",C394&amp;"|"&amp;COUNTIF($C$5:C394,C394))</f>
        <v/>
      </c>
      <c r="J394" s="10"/>
      <c r="K394" s="10" t="str">
        <f>IF($C394="","",$C394&amp;"|"&amp;COUNTIF($C$5:C394,$C394))</f>
        <v/>
      </c>
      <c r="L394" s="10" t="str">
        <f t="shared" si="31"/>
        <v/>
      </c>
      <c r="M394" s="26" t="str">
        <f t="shared" si="32"/>
        <v/>
      </c>
      <c r="N394" s="26" t="str">
        <f t="shared" si="33"/>
        <v/>
      </c>
      <c r="O394" s="26" t="str">
        <f t="shared" si="34"/>
        <v/>
      </c>
    </row>
    <row r="395" spans="3:15" ht="21.95" customHeight="1" x14ac:dyDescent="0.25">
      <c r="C395" s="12"/>
      <c r="D395" s="12"/>
      <c r="E395" s="12"/>
      <c r="F395" s="61"/>
      <c r="G395" s="16"/>
      <c r="H395" s="17" t="str">
        <f t="shared" si="30"/>
        <v/>
      </c>
      <c r="I395" s="26" t="str">
        <f>IF(C395="","",C395&amp;"|"&amp;COUNTIF($C$5:C395,C395))</f>
        <v/>
      </c>
      <c r="J395" s="10"/>
      <c r="K395" s="10" t="str">
        <f>IF($C395="","",$C395&amp;"|"&amp;COUNTIF($C$5:C395,$C395))</f>
        <v/>
      </c>
      <c r="L395" s="10" t="str">
        <f t="shared" si="31"/>
        <v/>
      </c>
      <c r="M395" s="26" t="str">
        <f t="shared" si="32"/>
        <v/>
      </c>
      <c r="N395" s="26" t="str">
        <f t="shared" si="33"/>
        <v/>
      </c>
      <c r="O395" s="26" t="str">
        <f t="shared" si="34"/>
        <v/>
      </c>
    </row>
    <row r="396" spans="3:15" ht="21.95" customHeight="1" x14ac:dyDescent="0.25">
      <c r="C396" s="12"/>
      <c r="D396" s="12"/>
      <c r="E396" s="12"/>
      <c r="F396" s="61"/>
      <c r="G396" s="16"/>
      <c r="H396" s="17" t="str">
        <f t="shared" si="30"/>
        <v/>
      </c>
      <c r="I396" s="26" t="str">
        <f>IF(C396="","",C396&amp;"|"&amp;COUNTIF($C$5:C396,C396))</f>
        <v/>
      </c>
      <c r="J396" s="10"/>
      <c r="K396" s="10" t="str">
        <f>IF($C396="","",$C396&amp;"|"&amp;COUNTIF($C$5:C396,$C396))</f>
        <v/>
      </c>
      <c r="L396" s="10" t="str">
        <f t="shared" si="31"/>
        <v/>
      </c>
      <c r="M396" s="26" t="str">
        <f t="shared" si="32"/>
        <v/>
      </c>
      <c r="N396" s="26" t="str">
        <f t="shared" si="33"/>
        <v/>
      </c>
      <c r="O396" s="26" t="str">
        <f t="shared" si="34"/>
        <v/>
      </c>
    </row>
    <row r="397" spans="3:15" ht="21.95" customHeight="1" x14ac:dyDescent="0.25">
      <c r="C397" s="12"/>
      <c r="D397" s="12"/>
      <c r="E397" s="12"/>
      <c r="F397" s="61"/>
      <c r="G397" s="16"/>
      <c r="H397" s="17" t="str">
        <f t="shared" si="30"/>
        <v/>
      </c>
      <c r="I397" s="26" t="str">
        <f>IF(C397="","",C397&amp;"|"&amp;COUNTIF($C$5:C397,C397))</f>
        <v/>
      </c>
      <c r="J397" s="10"/>
      <c r="K397" s="10" t="str">
        <f>IF($C397="","",$C397&amp;"|"&amp;COUNTIF($C$5:C397,$C397))</f>
        <v/>
      </c>
      <c r="L397" s="10" t="str">
        <f t="shared" si="31"/>
        <v/>
      </c>
      <c r="M397" s="26" t="str">
        <f t="shared" si="32"/>
        <v/>
      </c>
      <c r="N397" s="26" t="str">
        <f t="shared" si="33"/>
        <v/>
      </c>
      <c r="O397" s="26" t="str">
        <f t="shared" si="34"/>
        <v/>
      </c>
    </row>
    <row r="398" spans="3:15" ht="21.95" customHeight="1" x14ac:dyDescent="0.25">
      <c r="C398" s="12"/>
      <c r="D398" s="12"/>
      <c r="E398" s="12"/>
      <c r="F398" s="61"/>
      <c r="G398" s="16"/>
      <c r="H398" s="17" t="str">
        <f t="shared" si="30"/>
        <v/>
      </c>
      <c r="I398" s="26" t="str">
        <f>IF(C398="","",C398&amp;"|"&amp;COUNTIF($C$5:C398,C398))</f>
        <v/>
      </c>
      <c r="J398" s="10"/>
      <c r="K398" s="10" t="str">
        <f>IF($C398="","",$C398&amp;"|"&amp;COUNTIF($C$5:C398,$C398))</f>
        <v/>
      </c>
      <c r="L398" s="10" t="str">
        <f t="shared" si="31"/>
        <v/>
      </c>
      <c r="M398" s="26" t="str">
        <f t="shared" si="32"/>
        <v/>
      </c>
      <c r="N398" s="26" t="str">
        <f t="shared" si="33"/>
        <v/>
      </c>
      <c r="O398" s="26" t="str">
        <f t="shared" si="34"/>
        <v/>
      </c>
    </row>
    <row r="399" spans="3:15" ht="21.95" customHeight="1" x14ac:dyDescent="0.25">
      <c r="C399" s="12"/>
      <c r="D399" s="12"/>
      <c r="E399" s="12"/>
      <c r="F399" s="61"/>
      <c r="G399" s="16"/>
      <c r="H399" s="17" t="str">
        <f t="shared" si="30"/>
        <v/>
      </c>
      <c r="I399" s="26" t="str">
        <f>IF(C399="","",C399&amp;"|"&amp;COUNTIF($C$5:C399,C399))</f>
        <v/>
      </c>
      <c r="J399" s="10"/>
      <c r="K399" s="10" t="str">
        <f>IF($C399="","",$C399&amp;"|"&amp;COUNTIF($C$5:C399,$C399))</f>
        <v/>
      </c>
      <c r="L399" s="10" t="str">
        <f t="shared" si="31"/>
        <v/>
      </c>
      <c r="M399" s="26" t="str">
        <f t="shared" si="32"/>
        <v/>
      </c>
      <c r="N399" s="26" t="str">
        <f t="shared" si="33"/>
        <v/>
      </c>
      <c r="O399" s="26" t="str">
        <f t="shared" si="34"/>
        <v/>
      </c>
    </row>
    <row r="400" spans="3:15" ht="21.95" customHeight="1" x14ac:dyDescent="0.25">
      <c r="C400" s="12"/>
      <c r="D400" s="12"/>
      <c r="E400" s="12"/>
      <c r="F400" s="61"/>
      <c r="G400" s="16"/>
      <c r="H400" s="17" t="str">
        <f t="shared" si="30"/>
        <v/>
      </c>
      <c r="I400" s="26" t="str">
        <f>IF(C400="","",C400&amp;"|"&amp;COUNTIF($C$5:C400,C400))</f>
        <v/>
      </c>
      <c r="J400" s="10"/>
      <c r="K400" s="10" t="str">
        <f>IF($C400="","",$C400&amp;"|"&amp;COUNTIF($C$5:C400,$C400))</f>
        <v/>
      </c>
      <c r="L400" s="10" t="str">
        <f t="shared" si="31"/>
        <v/>
      </c>
      <c r="M400" s="26" t="str">
        <f t="shared" si="32"/>
        <v/>
      </c>
      <c r="N400" s="26" t="str">
        <f t="shared" si="33"/>
        <v/>
      </c>
      <c r="O400" s="26" t="str">
        <f t="shared" si="34"/>
        <v/>
      </c>
    </row>
    <row r="401" spans="3:15" ht="21.95" customHeight="1" x14ac:dyDescent="0.25">
      <c r="C401" s="12"/>
      <c r="D401" s="12"/>
      <c r="E401" s="12"/>
      <c r="F401" s="61"/>
      <c r="G401" s="16"/>
      <c r="H401" s="17" t="str">
        <f t="shared" si="30"/>
        <v/>
      </c>
      <c r="I401" s="26" t="str">
        <f>IF(C401="","",C401&amp;"|"&amp;COUNTIF($C$5:C401,C401))</f>
        <v/>
      </c>
      <c r="J401" s="10"/>
      <c r="K401" s="10" t="str">
        <f>IF($C401="","",$C401&amp;"|"&amp;COUNTIF($C$5:C401,$C401))</f>
        <v/>
      </c>
      <c r="L401" s="10" t="str">
        <f t="shared" si="31"/>
        <v/>
      </c>
      <c r="M401" s="26" t="str">
        <f t="shared" si="32"/>
        <v/>
      </c>
      <c r="N401" s="26" t="str">
        <f t="shared" si="33"/>
        <v/>
      </c>
      <c r="O401" s="26" t="str">
        <f t="shared" si="34"/>
        <v/>
      </c>
    </row>
    <row r="402" spans="3:15" ht="21.95" customHeight="1" x14ac:dyDescent="0.25">
      <c r="C402" s="12"/>
      <c r="D402" s="12"/>
      <c r="E402" s="12"/>
      <c r="F402" s="61"/>
      <c r="G402" s="16"/>
      <c r="H402" s="17" t="str">
        <f t="shared" si="30"/>
        <v/>
      </c>
      <c r="I402" s="26" t="str">
        <f>IF(C402="","",C402&amp;"|"&amp;COUNTIF($C$5:C402,C402))</f>
        <v/>
      </c>
      <c r="J402" s="10"/>
      <c r="K402" s="10" t="str">
        <f>IF($C402="","",$C402&amp;"|"&amp;COUNTIF($C$5:C402,$C402))</f>
        <v/>
      </c>
      <c r="L402" s="10" t="str">
        <f t="shared" si="31"/>
        <v/>
      </c>
      <c r="M402" s="26" t="str">
        <f t="shared" si="32"/>
        <v/>
      </c>
      <c r="N402" s="26" t="str">
        <f t="shared" si="33"/>
        <v/>
      </c>
      <c r="O402" s="26" t="str">
        <f t="shared" si="34"/>
        <v/>
      </c>
    </row>
    <row r="403" spans="3:15" ht="21.95" customHeight="1" x14ac:dyDescent="0.25">
      <c r="C403" s="12"/>
      <c r="D403" s="12"/>
      <c r="E403" s="12"/>
      <c r="F403" s="61"/>
      <c r="G403" s="16"/>
      <c r="H403" s="17" t="str">
        <f t="shared" si="30"/>
        <v/>
      </c>
      <c r="I403" s="26" t="str">
        <f>IF(C403="","",C403&amp;"|"&amp;COUNTIF($C$5:C403,C403))</f>
        <v/>
      </c>
      <c r="J403" s="10"/>
      <c r="K403" s="10" t="str">
        <f>IF($C403="","",$C403&amp;"|"&amp;COUNTIF($C$5:C403,$C403))</f>
        <v/>
      </c>
      <c r="L403" s="10" t="str">
        <f t="shared" si="31"/>
        <v/>
      </c>
      <c r="M403" s="26" t="str">
        <f t="shared" si="32"/>
        <v/>
      </c>
      <c r="N403" s="26" t="str">
        <f t="shared" si="33"/>
        <v/>
      </c>
      <c r="O403" s="26" t="str">
        <f t="shared" si="34"/>
        <v/>
      </c>
    </row>
    <row r="404" spans="3:15" ht="21.95" customHeight="1" x14ac:dyDescent="0.25">
      <c r="C404" s="12"/>
      <c r="D404" s="12"/>
      <c r="E404" s="12"/>
      <c r="F404" s="61"/>
      <c r="G404" s="16"/>
      <c r="H404" s="17" t="str">
        <f t="shared" si="30"/>
        <v/>
      </c>
      <c r="I404" s="26" t="str">
        <f>IF(C404="","",C404&amp;"|"&amp;COUNTIF($C$5:C404,C404))</f>
        <v/>
      </c>
      <c r="J404" s="10"/>
      <c r="K404" s="10" t="str">
        <f>IF($C404="","",$C404&amp;"|"&amp;COUNTIF($C$5:C404,$C404))</f>
        <v/>
      </c>
      <c r="L404" s="10" t="str">
        <f t="shared" si="31"/>
        <v/>
      </c>
      <c r="M404" s="26" t="str">
        <f t="shared" si="32"/>
        <v/>
      </c>
      <c r="N404" s="26" t="str">
        <f t="shared" si="33"/>
        <v/>
      </c>
      <c r="O404" s="26" t="str">
        <f t="shared" si="34"/>
        <v/>
      </c>
    </row>
    <row r="405" spans="3:15" ht="21.95" customHeight="1" x14ac:dyDescent="0.25">
      <c r="C405" s="12"/>
      <c r="D405" s="12"/>
      <c r="E405" s="12"/>
      <c r="F405" s="61"/>
      <c r="G405" s="16"/>
      <c r="H405" s="17" t="str">
        <f t="shared" si="30"/>
        <v/>
      </c>
      <c r="I405" s="26" t="str">
        <f>IF(C405="","",C405&amp;"|"&amp;COUNTIF($C$5:C405,C405))</f>
        <v/>
      </c>
      <c r="J405" s="10"/>
      <c r="K405" s="10" t="str">
        <f>IF($C405="","",$C405&amp;"|"&amp;COUNTIF($C$5:C405,$C405))</f>
        <v/>
      </c>
      <c r="L405" s="10" t="str">
        <f t="shared" si="31"/>
        <v/>
      </c>
      <c r="M405" s="26" t="str">
        <f t="shared" si="32"/>
        <v/>
      </c>
      <c r="N405" s="26" t="str">
        <f t="shared" si="33"/>
        <v/>
      </c>
      <c r="O405" s="26" t="str">
        <f t="shared" si="34"/>
        <v/>
      </c>
    </row>
    <row r="406" spans="3:15" ht="21.95" customHeight="1" x14ac:dyDescent="0.25">
      <c r="C406" s="12"/>
      <c r="D406" s="12"/>
      <c r="E406" s="12"/>
      <c r="F406" s="61"/>
      <c r="G406" s="16"/>
      <c r="H406" s="17" t="str">
        <f t="shared" si="30"/>
        <v/>
      </c>
      <c r="I406" s="26" t="str">
        <f>IF(C406="","",C406&amp;"|"&amp;COUNTIF($C$5:C406,C406))</f>
        <v/>
      </c>
      <c r="J406" s="10"/>
      <c r="K406" s="10" t="str">
        <f>IF($C406="","",$C406&amp;"|"&amp;COUNTIF($C$5:C406,$C406))</f>
        <v/>
      </c>
      <c r="L406" s="10" t="str">
        <f t="shared" si="31"/>
        <v/>
      </c>
      <c r="M406" s="26" t="str">
        <f t="shared" si="32"/>
        <v/>
      </c>
      <c r="N406" s="26" t="str">
        <f t="shared" si="33"/>
        <v/>
      </c>
      <c r="O406" s="26" t="str">
        <f t="shared" si="34"/>
        <v/>
      </c>
    </row>
    <row r="407" spans="3:15" ht="21.95" customHeight="1" x14ac:dyDescent="0.25">
      <c r="C407" s="12"/>
      <c r="D407" s="12"/>
      <c r="E407" s="12"/>
      <c r="F407" s="61"/>
      <c r="G407" s="16"/>
      <c r="H407" s="17" t="str">
        <f t="shared" si="30"/>
        <v/>
      </c>
      <c r="I407" s="26" t="str">
        <f>IF(C407="","",C407&amp;"|"&amp;COUNTIF($C$5:C407,C407))</f>
        <v/>
      </c>
      <c r="J407" s="10"/>
      <c r="K407" s="10" t="str">
        <f>IF($C407="","",$C407&amp;"|"&amp;COUNTIF($C$5:C407,$C407))</f>
        <v/>
      </c>
      <c r="L407" s="10" t="str">
        <f t="shared" si="31"/>
        <v/>
      </c>
      <c r="M407" s="26" t="str">
        <f t="shared" si="32"/>
        <v/>
      </c>
      <c r="N407" s="26" t="str">
        <f t="shared" si="33"/>
        <v/>
      </c>
      <c r="O407" s="26" t="str">
        <f t="shared" si="34"/>
        <v/>
      </c>
    </row>
    <row r="408" spans="3:15" ht="21.95" customHeight="1" x14ac:dyDescent="0.25">
      <c r="C408" s="12"/>
      <c r="D408" s="12"/>
      <c r="E408" s="12"/>
      <c r="F408" s="61"/>
      <c r="G408" s="16"/>
      <c r="H408" s="17" t="str">
        <f t="shared" si="30"/>
        <v/>
      </c>
      <c r="I408" s="26" t="str">
        <f>IF(C408="","",C408&amp;"|"&amp;COUNTIF($C$5:C408,C408))</f>
        <v/>
      </c>
      <c r="J408" s="10"/>
      <c r="K408" s="10" t="str">
        <f>IF($C408="","",$C408&amp;"|"&amp;COUNTIF($C$5:C408,$C408))</f>
        <v/>
      </c>
      <c r="L408" s="10" t="str">
        <f t="shared" si="31"/>
        <v/>
      </c>
      <c r="M408" s="26" t="str">
        <f t="shared" si="32"/>
        <v/>
      </c>
      <c r="N408" s="26" t="str">
        <f t="shared" si="33"/>
        <v/>
      </c>
      <c r="O408" s="26" t="str">
        <f t="shared" si="34"/>
        <v/>
      </c>
    </row>
    <row r="409" spans="3:15" ht="21.95" customHeight="1" x14ac:dyDescent="0.25">
      <c r="C409" s="12"/>
      <c r="D409" s="12"/>
      <c r="E409" s="12"/>
      <c r="F409" s="61"/>
      <c r="G409" s="16"/>
      <c r="H409" s="17" t="str">
        <f t="shared" si="30"/>
        <v/>
      </c>
      <c r="I409" s="26" t="str">
        <f>IF(C409="","",C409&amp;"|"&amp;COUNTIF($C$5:C409,C409))</f>
        <v/>
      </c>
      <c r="J409" s="10"/>
      <c r="K409" s="10" t="str">
        <f>IF($C409="","",$C409&amp;"|"&amp;COUNTIF($C$5:C409,$C409))</f>
        <v/>
      </c>
      <c r="L409" s="10" t="str">
        <f t="shared" si="31"/>
        <v/>
      </c>
      <c r="M409" s="26" t="str">
        <f t="shared" si="32"/>
        <v/>
      </c>
      <c r="N409" s="26" t="str">
        <f t="shared" si="33"/>
        <v/>
      </c>
      <c r="O409" s="26" t="str">
        <f t="shared" si="34"/>
        <v/>
      </c>
    </row>
    <row r="410" spans="3:15" ht="21.95" customHeight="1" x14ac:dyDescent="0.25">
      <c r="C410" s="12"/>
      <c r="D410" s="12"/>
      <c r="E410" s="12"/>
      <c r="F410" s="61"/>
      <c r="G410" s="16"/>
      <c r="H410" s="17" t="str">
        <f t="shared" si="30"/>
        <v/>
      </c>
      <c r="I410" s="26" t="str">
        <f>IF(C410="","",C410&amp;"|"&amp;COUNTIF($C$5:C410,C410))</f>
        <v/>
      </c>
      <c r="J410" s="10"/>
      <c r="K410" s="10" t="str">
        <f>IF($C410="","",$C410&amp;"|"&amp;COUNTIF($C$5:C410,$C410))</f>
        <v/>
      </c>
      <c r="L410" s="10" t="str">
        <f t="shared" si="31"/>
        <v/>
      </c>
      <c r="M410" s="26" t="str">
        <f t="shared" si="32"/>
        <v/>
      </c>
      <c r="N410" s="26" t="str">
        <f t="shared" si="33"/>
        <v/>
      </c>
      <c r="O410" s="26" t="str">
        <f t="shared" si="34"/>
        <v/>
      </c>
    </row>
    <row r="411" spans="3:15" ht="21.95" customHeight="1" x14ac:dyDescent="0.25">
      <c r="C411" s="12"/>
      <c r="D411" s="12"/>
      <c r="E411" s="12"/>
      <c r="F411" s="61"/>
      <c r="G411" s="16"/>
      <c r="H411" s="17" t="str">
        <f t="shared" si="30"/>
        <v/>
      </c>
      <c r="I411" s="26" t="str">
        <f>IF(C411="","",C411&amp;"|"&amp;COUNTIF($C$5:C411,C411))</f>
        <v/>
      </c>
      <c r="J411" s="10"/>
      <c r="K411" s="10" t="str">
        <f>IF($C411="","",$C411&amp;"|"&amp;COUNTIF($C$5:C411,$C411))</f>
        <v/>
      </c>
      <c r="L411" s="10" t="str">
        <f t="shared" si="31"/>
        <v/>
      </c>
      <c r="M411" s="26" t="str">
        <f t="shared" si="32"/>
        <v/>
      </c>
      <c r="N411" s="26" t="str">
        <f t="shared" si="33"/>
        <v/>
      </c>
      <c r="O411" s="26" t="str">
        <f t="shared" si="34"/>
        <v/>
      </c>
    </row>
    <row r="412" spans="3:15" ht="21.95" customHeight="1" x14ac:dyDescent="0.25">
      <c r="C412" s="12"/>
      <c r="D412" s="12"/>
      <c r="E412" s="12"/>
      <c r="F412" s="61"/>
      <c r="G412" s="16"/>
      <c r="H412" s="17" t="str">
        <f t="shared" si="30"/>
        <v/>
      </c>
      <c r="I412" s="26" t="str">
        <f>IF(C412="","",C412&amp;"|"&amp;COUNTIF($C$5:C412,C412))</f>
        <v/>
      </c>
      <c r="J412" s="10"/>
      <c r="K412" s="10" t="str">
        <f>IF($C412="","",$C412&amp;"|"&amp;COUNTIF($C$5:C412,$C412))</f>
        <v/>
      </c>
      <c r="L412" s="10" t="str">
        <f t="shared" si="31"/>
        <v/>
      </c>
      <c r="M412" s="26" t="str">
        <f t="shared" si="32"/>
        <v/>
      </c>
      <c r="N412" s="26" t="str">
        <f t="shared" si="33"/>
        <v/>
      </c>
      <c r="O412" s="26" t="str">
        <f t="shared" si="34"/>
        <v/>
      </c>
    </row>
    <row r="413" spans="3:15" ht="21.95" customHeight="1" x14ac:dyDescent="0.25">
      <c r="C413" s="12"/>
      <c r="D413" s="12"/>
      <c r="E413" s="12"/>
      <c r="F413" s="61"/>
      <c r="G413" s="16"/>
      <c r="H413" s="17" t="str">
        <f t="shared" si="30"/>
        <v/>
      </c>
      <c r="I413" s="26" t="str">
        <f>IF(C413="","",C413&amp;"|"&amp;COUNTIF($C$5:C413,C413))</f>
        <v/>
      </c>
      <c r="J413" s="10"/>
      <c r="K413" s="10" t="str">
        <f>IF($C413="","",$C413&amp;"|"&amp;COUNTIF($C$5:C413,$C413))</f>
        <v/>
      </c>
      <c r="L413" s="10" t="str">
        <f t="shared" si="31"/>
        <v/>
      </c>
      <c r="M413" s="26" t="str">
        <f t="shared" si="32"/>
        <v/>
      </c>
      <c r="N413" s="26" t="str">
        <f t="shared" si="33"/>
        <v/>
      </c>
      <c r="O413" s="26" t="str">
        <f t="shared" si="34"/>
        <v/>
      </c>
    </row>
    <row r="414" spans="3:15" ht="21.95" customHeight="1" x14ac:dyDescent="0.25">
      <c r="C414" s="12"/>
      <c r="D414" s="12"/>
      <c r="E414" s="12"/>
      <c r="F414" s="61"/>
      <c r="G414" s="16"/>
      <c r="H414" s="17" t="str">
        <f t="shared" si="30"/>
        <v/>
      </c>
      <c r="I414" s="26" t="str">
        <f>IF(C414="","",C414&amp;"|"&amp;COUNTIF($C$5:C414,C414))</f>
        <v/>
      </c>
      <c r="J414" s="10"/>
      <c r="K414" s="10" t="str">
        <f>IF($C414="","",$C414&amp;"|"&amp;COUNTIF($C$5:C414,$C414))</f>
        <v/>
      </c>
      <c r="L414" s="10" t="str">
        <f t="shared" si="31"/>
        <v/>
      </c>
      <c r="M414" s="26" t="str">
        <f t="shared" si="32"/>
        <v/>
      </c>
      <c r="N414" s="26" t="str">
        <f t="shared" si="33"/>
        <v/>
      </c>
      <c r="O414" s="26" t="str">
        <f t="shared" si="34"/>
        <v/>
      </c>
    </row>
    <row r="415" spans="3:15" ht="21.95" customHeight="1" x14ac:dyDescent="0.25">
      <c r="C415" s="12"/>
      <c r="D415" s="12"/>
      <c r="E415" s="12"/>
      <c r="F415" s="61"/>
      <c r="G415" s="16"/>
      <c r="H415" s="17" t="str">
        <f t="shared" si="30"/>
        <v/>
      </c>
      <c r="I415" s="26" t="str">
        <f>IF(C415="","",C415&amp;"|"&amp;COUNTIF($C$5:C415,C415))</f>
        <v/>
      </c>
      <c r="J415" s="10"/>
      <c r="K415" s="10" t="str">
        <f>IF($C415="","",$C415&amp;"|"&amp;COUNTIF($C$5:C415,$C415))</f>
        <v/>
      </c>
      <c r="L415" s="10" t="str">
        <f t="shared" si="31"/>
        <v/>
      </c>
      <c r="M415" s="26" t="str">
        <f t="shared" si="32"/>
        <v/>
      </c>
      <c r="N415" s="26" t="str">
        <f t="shared" si="33"/>
        <v/>
      </c>
      <c r="O415" s="26" t="str">
        <f t="shared" si="34"/>
        <v/>
      </c>
    </row>
    <row r="416" spans="3:15" ht="21.95" customHeight="1" x14ac:dyDescent="0.25">
      <c r="C416" s="12"/>
      <c r="D416" s="12"/>
      <c r="E416" s="12"/>
      <c r="F416" s="61"/>
      <c r="G416" s="16"/>
      <c r="H416" s="17" t="str">
        <f t="shared" si="30"/>
        <v/>
      </c>
      <c r="I416" s="26" t="str">
        <f>IF(C416="","",C416&amp;"|"&amp;COUNTIF($C$5:C416,C416))</f>
        <v/>
      </c>
      <c r="J416" s="10"/>
      <c r="K416" s="10" t="str">
        <f>IF($C416="","",$C416&amp;"|"&amp;COUNTIF($C$5:C416,$C416))</f>
        <v/>
      </c>
      <c r="L416" s="10" t="str">
        <f t="shared" si="31"/>
        <v/>
      </c>
      <c r="M416" s="26" t="str">
        <f t="shared" si="32"/>
        <v/>
      </c>
      <c r="N416" s="26" t="str">
        <f t="shared" si="33"/>
        <v/>
      </c>
      <c r="O416" s="26" t="str">
        <f t="shared" si="34"/>
        <v/>
      </c>
    </row>
    <row r="417" spans="3:15" ht="21.95" customHeight="1" x14ac:dyDescent="0.25">
      <c r="C417" s="12"/>
      <c r="D417" s="12"/>
      <c r="E417" s="12"/>
      <c r="F417" s="61"/>
      <c r="G417" s="16"/>
      <c r="H417" s="17" t="str">
        <f t="shared" si="30"/>
        <v/>
      </c>
      <c r="I417" s="26" t="str">
        <f>IF(C417="","",C417&amp;"|"&amp;COUNTIF($C$5:C417,C417))</f>
        <v/>
      </c>
      <c r="J417" s="10"/>
      <c r="K417" s="10" t="str">
        <f>IF($C417="","",$C417&amp;"|"&amp;COUNTIF($C$5:C417,$C417))</f>
        <v/>
      </c>
      <c r="L417" s="10" t="str">
        <f t="shared" si="31"/>
        <v/>
      </c>
      <c r="M417" s="26" t="str">
        <f t="shared" si="32"/>
        <v/>
      </c>
      <c r="N417" s="26" t="str">
        <f t="shared" si="33"/>
        <v/>
      </c>
      <c r="O417" s="26" t="str">
        <f t="shared" si="34"/>
        <v/>
      </c>
    </row>
    <row r="418" spans="3:15" ht="21.95" customHeight="1" x14ac:dyDescent="0.25">
      <c r="C418" s="12"/>
      <c r="D418" s="12"/>
      <c r="E418" s="12"/>
      <c r="F418" s="61"/>
      <c r="G418" s="16"/>
      <c r="H418" s="17" t="str">
        <f t="shared" si="30"/>
        <v/>
      </c>
      <c r="I418" s="26" t="str">
        <f>IF(C418="","",C418&amp;"|"&amp;COUNTIF($C$5:C418,C418))</f>
        <v/>
      </c>
      <c r="J418" s="10"/>
      <c r="K418" s="10" t="str">
        <f>IF($C418="","",$C418&amp;"|"&amp;COUNTIF($C$5:C418,$C418))</f>
        <v/>
      </c>
      <c r="L418" s="10" t="str">
        <f t="shared" si="31"/>
        <v/>
      </c>
      <c r="M418" s="26" t="str">
        <f t="shared" si="32"/>
        <v/>
      </c>
      <c r="N418" s="26" t="str">
        <f t="shared" si="33"/>
        <v/>
      </c>
      <c r="O418" s="26" t="str">
        <f t="shared" si="34"/>
        <v/>
      </c>
    </row>
    <row r="419" spans="3:15" ht="21.95" customHeight="1" x14ac:dyDescent="0.25">
      <c r="C419" s="12"/>
      <c r="D419" s="12"/>
      <c r="E419" s="12"/>
      <c r="F419" s="61"/>
      <c r="G419" s="16"/>
      <c r="H419" s="17" t="str">
        <f t="shared" si="30"/>
        <v/>
      </c>
      <c r="I419" s="26" t="str">
        <f>IF(C419="","",C419&amp;"|"&amp;COUNTIF($C$5:C419,C419))</f>
        <v/>
      </c>
      <c r="J419" s="10"/>
      <c r="K419" s="10" t="str">
        <f>IF($C419="","",$C419&amp;"|"&amp;COUNTIF($C$5:C419,$C419))</f>
        <v/>
      </c>
      <c r="L419" s="10" t="str">
        <f t="shared" si="31"/>
        <v/>
      </c>
      <c r="M419" s="26" t="str">
        <f t="shared" si="32"/>
        <v/>
      </c>
      <c r="N419" s="26" t="str">
        <f t="shared" si="33"/>
        <v/>
      </c>
      <c r="O419" s="26" t="str">
        <f t="shared" si="34"/>
        <v/>
      </c>
    </row>
    <row r="420" spans="3:15" ht="21.95" customHeight="1" x14ac:dyDescent="0.25">
      <c r="C420" s="12"/>
      <c r="D420" s="12"/>
      <c r="E420" s="12"/>
      <c r="F420" s="61"/>
      <c r="G420" s="16"/>
      <c r="H420" s="17" t="str">
        <f t="shared" si="30"/>
        <v/>
      </c>
      <c r="I420" s="26" t="str">
        <f>IF(C420="","",C420&amp;"|"&amp;COUNTIF($C$5:C420,C420))</f>
        <v/>
      </c>
      <c r="J420" s="10"/>
      <c r="K420" s="10" t="str">
        <f>IF($C420="","",$C420&amp;"|"&amp;COUNTIF($C$5:C420,$C420))</f>
        <v/>
      </c>
      <c r="L420" s="10" t="str">
        <f t="shared" si="31"/>
        <v/>
      </c>
      <c r="M420" s="26" t="str">
        <f t="shared" si="32"/>
        <v/>
      </c>
      <c r="N420" s="26" t="str">
        <f t="shared" si="33"/>
        <v/>
      </c>
      <c r="O420" s="26" t="str">
        <f t="shared" si="34"/>
        <v/>
      </c>
    </row>
    <row r="421" spans="3:15" ht="21.95" customHeight="1" x14ac:dyDescent="0.25">
      <c r="C421" s="12"/>
      <c r="D421" s="12"/>
      <c r="E421" s="12"/>
      <c r="F421" s="61"/>
      <c r="G421" s="16"/>
      <c r="H421" s="17" t="str">
        <f t="shared" si="30"/>
        <v/>
      </c>
      <c r="I421" s="26" t="str">
        <f>IF(C421="","",C421&amp;"|"&amp;COUNTIF($C$5:C421,C421))</f>
        <v/>
      </c>
      <c r="J421" s="10"/>
      <c r="K421" s="10" t="str">
        <f>IF($C421="","",$C421&amp;"|"&amp;COUNTIF($C$5:C421,$C421))</f>
        <v/>
      </c>
      <c r="L421" s="10" t="str">
        <f t="shared" si="31"/>
        <v/>
      </c>
      <c r="M421" s="26" t="str">
        <f t="shared" si="32"/>
        <v/>
      </c>
      <c r="N421" s="26" t="str">
        <f t="shared" si="33"/>
        <v/>
      </c>
      <c r="O421" s="26" t="str">
        <f t="shared" si="34"/>
        <v/>
      </c>
    </row>
    <row r="422" spans="3:15" ht="21.95" customHeight="1" x14ac:dyDescent="0.25">
      <c r="C422" s="12"/>
      <c r="D422" s="12"/>
      <c r="E422" s="12"/>
      <c r="F422" s="61"/>
      <c r="G422" s="16"/>
      <c r="H422" s="17" t="str">
        <f t="shared" si="30"/>
        <v/>
      </c>
      <c r="I422" s="26" t="str">
        <f>IF(C422="","",C422&amp;"|"&amp;COUNTIF($C$5:C422,C422))</f>
        <v/>
      </c>
      <c r="J422" s="10"/>
      <c r="K422" s="10" t="str">
        <f>IF($C422="","",$C422&amp;"|"&amp;COUNTIF($C$5:C422,$C422))</f>
        <v/>
      </c>
      <c r="L422" s="10" t="str">
        <f t="shared" si="31"/>
        <v/>
      </c>
      <c r="M422" s="26" t="str">
        <f t="shared" si="32"/>
        <v/>
      </c>
      <c r="N422" s="26" t="str">
        <f t="shared" si="33"/>
        <v/>
      </c>
      <c r="O422" s="26" t="str">
        <f t="shared" si="34"/>
        <v/>
      </c>
    </row>
    <row r="423" spans="3:15" ht="21.95" customHeight="1" x14ac:dyDescent="0.25">
      <c r="C423" s="12"/>
      <c r="D423" s="12"/>
      <c r="E423" s="12"/>
      <c r="F423" s="61"/>
      <c r="G423" s="16"/>
      <c r="H423" s="17" t="str">
        <f t="shared" si="30"/>
        <v/>
      </c>
      <c r="I423" s="26" t="str">
        <f>IF(C423="","",C423&amp;"|"&amp;COUNTIF($C$5:C423,C423))</f>
        <v/>
      </c>
      <c r="J423" s="10"/>
      <c r="K423" s="10" t="str">
        <f>IF($C423="","",$C423&amp;"|"&amp;COUNTIF($C$5:C423,$C423))</f>
        <v/>
      </c>
      <c r="L423" s="10" t="str">
        <f t="shared" si="31"/>
        <v/>
      </c>
      <c r="M423" s="26" t="str">
        <f t="shared" si="32"/>
        <v/>
      </c>
      <c r="N423" s="26" t="str">
        <f t="shared" si="33"/>
        <v/>
      </c>
      <c r="O423" s="26" t="str">
        <f t="shared" si="34"/>
        <v/>
      </c>
    </row>
    <row r="424" spans="3:15" ht="21.95" customHeight="1" x14ac:dyDescent="0.25">
      <c r="C424" s="12"/>
      <c r="D424" s="12"/>
      <c r="E424" s="12"/>
      <c r="F424" s="61"/>
      <c r="G424" s="16"/>
      <c r="H424" s="17" t="str">
        <f t="shared" si="30"/>
        <v/>
      </c>
      <c r="I424" s="26" t="str">
        <f>IF(C424="","",C424&amp;"|"&amp;COUNTIF($C$5:C424,C424))</f>
        <v/>
      </c>
      <c r="J424" s="10"/>
      <c r="K424" s="10" t="str">
        <f>IF($C424="","",$C424&amp;"|"&amp;COUNTIF($C$5:C424,$C424))</f>
        <v/>
      </c>
      <c r="L424" s="10" t="str">
        <f t="shared" si="31"/>
        <v/>
      </c>
      <c r="M424" s="26" t="str">
        <f t="shared" si="32"/>
        <v/>
      </c>
      <c r="N424" s="26" t="str">
        <f t="shared" si="33"/>
        <v/>
      </c>
      <c r="O424" s="26" t="str">
        <f t="shared" si="34"/>
        <v/>
      </c>
    </row>
    <row r="425" spans="3:15" ht="21.95" customHeight="1" x14ac:dyDescent="0.25">
      <c r="C425" s="12"/>
      <c r="D425" s="12"/>
      <c r="E425" s="12"/>
      <c r="F425" s="61"/>
      <c r="G425" s="16"/>
      <c r="H425" s="17" t="str">
        <f t="shared" si="30"/>
        <v/>
      </c>
      <c r="I425" s="26" t="str">
        <f>IF(C425="","",C425&amp;"|"&amp;COUNTIF($C$5:C425,C425))</f>
        <v/>
      </c>
      <c r="J425" s="10"/>
      <c r="K425" s="10" t="str">
        <f>IF($C425="","",$C425&amp;"|"&amp;COUNTIF($C$5:C425,$C425))</f>
        <v/>
      </c>
      <c r="L425" s="10" t="str">
        <f t="shared" si="31"/>
        <v/>
      </c>
      <c r="M425" s="26" t="str">
        <f t="shared" si="32"/>
        <v/>
      </c>
      <c r="N425" s="26" t="str">
        <f t="shared" si="33"/>
        <v/>
      </c>
      <c r="O425" s="26" t="str">
        <f t="shared" si="34"/>
        <v/>
      </c>
    </row>
    <row r="426" spans="3:15" ht="21.95" customHeight="1" x14ac:dyDescent="0.25">
      <c r="C426" s="12"/>
      <c r="D426" s="12"/>
      <c r="E426" s="12"/>
      <c r="F426" s="61"/>
      <c r="G426" s="16"/>
      <c r="H426" s="17" t="str">
        <f t="shared" si="30"/>
        <v/>
      </c>
      <c r="I426" s="26" t="str">
        <f>IF(C426="","",C426&amp;"|"&amp;COUNTIF($C$5:C426,C426))</f>
        <v/>
      </c>
      <c r="J426" s="10"/>
      <c r="K426" s="10" t="str">
        <f>IF($C426="","",$C426&amp;"|"&amp;COUNTIF($C$5:C426,$C426))</f>
        <v/>
      </c>
      <c r="L426" s="10" t="str">
        <f t="shared" si="31"/>
        <v/>
      </c>
      <c r="M426" s="26" t="str">
        <f t="shared" si="32"/>
        <v/>
      </c>
      <c r="N426" s="26" t="str">
        <f t="shared" si="33"/>
        <v/>
      </c>
      <c r="O426" s="26" t="str">
        <f t="shared" si="34"/>
        <v/>
      </c>
    </row>
    <row r="427" spans="3:15" ht="21.95" customHeight="1" x14ac:dyDescent="0.25">
      <c r="C427" s="12"/>
      <c r="D427" s="12"/>
      <c r="E427" s="12"/>
      <c r="F427" s="61"/>
      <c r="G427" s="16"/>
      <c r="H427" s="17" t="str">
        <f t="shared" si="30"/>
        <v/>
      </c>
      <c r="I427" s="26" t="str">
        <f>IF(C427="","",C427&amp;"|"&amp;COUNTIF($C$5:C427,C427))</f>
        <v/>
      </c>
      <c r="J427" s="10"/>
      <c r="K427" s="10" t="str">
        <f>IF($C427="","",$C427&amp;"|"&amp;COUNTIF($C$5:C427,$C427))</f>
        <v/>
      </c>
      <c r="L427" s="10" t="str">
        <f t="shared" si="31"/>
        <v/>
      </c>
      <c r="M427" s="26" t="str">
        <f t="shared" si="32"/>
        <v/>
      </c>
      <c r="N427" s="26" t="str">
        <f t="shared" si="33"/>
        <v/>
      </c>
      <c r="O427" s="26" t="str">
        <f t="shared" si="34"/>
        <v/>
      </c>
    </row>
    <row r="428" spans="3:15" ht="21.95" customHeight="1" x14ac:dyDescent="0.25">
      <c r="C428" s="12"/>
      <c r="D428" s="12"/>
      <c r="E428" s="12"/>
      <c r="F428" s="61"/>
      <c r="G428" s="16"/>
      <c r="H428" s="17" t="str">
        <f t="shared" si="30"/>
        <v/>
      </c>
      <c r="I428" s="26" t="str">
        <f>IF(C428="","",C428&amp;"|"&amp;COUNTIF($C$5:C428,C428))</f>
        <v/>
      </c>
      <c r="J428" s="10"/>
      <c r="K428" s="10" t="str">
        <f>IF($C428="","",$C428&amp;"|"&amp;COUNTIF($C$5:C428,$C428))</f>
        <v/>
      </c>
      <c r="L428" s="10" t="str">
        <f t="shared" si="31"/>
        <v/>
      </c>
      <c r="M428" s="26" t="str">
        <f t="shared" si="32"/>
        <v/>
      </c>
      <c r="N428" s="26" t="str">
        <f t="shared" si="33"/>
        <v/>
      </c>
      <c r="O428" s="26" t="str">
        <f t="shared" si="34"/>
        <v/>
      </c>
    </row>
    <row r="429" spans="3:15" ht="21.95" customHeight="1" x14ac:dyDescent="0.25">
      <c r="C429" s="12"/>
      <c r="D429" s="12"/>
      <c r="E429" s="12"/>
      <c r="F429" s="61"/>
      <c r="G429" s="16"/>
      <c r="H429" s="17" t="str">
        <f t="shared" si="30"/>
        <v/>
      </c>
      <c r="I429" s="26" t="str">
        <f>IF(C429="","",C429&amp;"|"&amp;COUNTIF($C$5:C429,C429))</f>
        <v/>
      </c>
      <c r="J429" s="10"/>
      <c r="K429" s="10" t="str">
        <f>IF($C429="","",$C429&amp;"|"&amp;COUNTIF($C$5:C429,$C429))</f>
        <v/>
      </c>
      <c r="L429" s="10" t="str">
        <f t="shared" si="31"/>
        <v/>
      </c>
      <c r="M429" s="26" t="str">
        <f t="shared" si="32"/>
        <v/>
      </c>
      <c r="N429" s="26" t="str">
        <f t="shared" si="33"/>
        <v/>
      </c>
      <c r="O429" s="26" t="str">
        <f t="shared" si="34"/>
        <v/>
      </c>
    </row>
    <row r="430" spans="3:15" ht="21.95" customHeight="1" x14ac:dyDescent="0.25">
      <c r="C430" s="12"/>
      <c r="D430" s="12"/>
      <c r="E430" s="12"/>
      <c r="F430" s="61"/>
      <c r="G430" s="16"/>
      <c r="H430" s="17" t="str">
        <f t="shared" si="30"/>
        <v/>
      </c>
      <c r="I430" s="26" t="str">
        <f>IF(C430="","",C430&amp;"|"&amp;COUNTIF($C$5:C430,C430))</f>
        <v/>
      </c>
      <c r="J430" s="10"/>
      <c r="K430" s="10" t="str">
        <f>IF($C430="","",$C430&amp;"|"&amp;COUNTIF($C$5:C430,$C430))</f>
        <v/>
      </c>
      <c r="L430" s="10" t="str">
        <f t="shared" si="31"/>
        <v/>
      </c>
      <c r="M430" s="26" t="str">
        <f t="shared" si="32"/>
        <v/>
      </c>
      <c r="N430" s="26" t="str">
        <f t="shared" si="33"/>
        <v/>
      </c>
      <c r="O430" s="26" t="str">
        <f t="shared" si="34"/>
        <v/>
      </c>
    </row>
    <row r="431" spans="3:15" ht="21.95" customHeight="1" x14ac:dyDescent="0.25">
      <c r="C431" s="12"/>
      <c r="D431" s="12"/>
      <c r="E431" s="12"/>
      <c r="F431" s="61"/>
      <c r="G431" s="16"/>
      <c r="H431" s="17" t="str">
        <f t="shared" si="30"/>
        <v/>
      </c>
      <c r="I431" s="26" t="str">
        <f>IF(C431="","",C431&amp;"|"&amp;COUNTIF($C$5:C431,C431))</f>
        <v/>
      </c>
      <c r="J431" s="10"/>
      <c r="K431" s="10" t="str">
        <f>IF($C431="","",$C431&amp;"|"&amp;COUNTIF($C$5:C431,$C431))</f>
        <v/>
      </c>
      <c r="L431" s="10" t="str">
        <f t="shared" si="31"/>
        <v/>
      </c>
      <c r="M431" s="26" t="str">
        <f t="shared" si="32"/>
        <v/>
      </c>
      <c r="N431" s="26" t="str">
        <f t="shared" si="33"/>
        <v/>
      </c>
      <c r="O431" s="26" t="str">
        <f t="shared" si="34"/>
        <v/>
      </c>
    </row>
    <row r="432" spans="3:15" ht="21.95" customHeight="1" x14ac:dyDescent="0.25">
      <c r="C432" s="12"/>
      <c r="D432" s="12"/>
      <c r="E432" s="12"/>
      <c r="F432" s="61"/>
      <c r="G432" s="16"/>
      <c r="H432" s="17" t="str">
        <f t="shared" si="30"/>
        <v/>
      </c>
      <c r="I432" s="26" t="str">
        <f>IF(C432="","",C432&amp;"|"&amp;COUNTIF($C$5:C432,C432))</f>
        <v/>
      </c>
      <c r="J432" s="10"/>
      <c r="K432" s="10" t="str">
        <f>IF($C432="","",$C432&amp;"|"&amp;COUNTIF($C$5:C432,$C432))</f>
        <v/>
      </c>
      <c r="L432" s="10" t="str">
        <f t="shared" si="31"/>
        <v/>
      </c>
      <c r="M432" s="26" t="str">
        <f t="shared" si="32"/>
        <v/>
      </c>
      <c r="N432" s="26" t="str">
        <f t="shared" si="33"/>
        <v/>
      </c>
      <c r="O432" s="26" t="str">
        <f t="shared" si="34"/>
        <v/>
      </c>
    </row>
    <row r="433" spans="3:15" ht="21.95" customHeight="1" x14ac:dyDescent="0.25">
      <c r="C433" s="12"/>
      <c r="D433" s="12"/>
      <c r="E433" s="12"/>
      <c r="F433" s="61"/>
      <c r="G433" s="16"/>
      <c r="H433" s="17" t="str">
        <f t="shared" si="30"/>
        <v/>
      </c>
      <c r="I433" s="26" t="str">
        <f>IF(C433="","",C433&amp;"|"&amp;COUNTIF($C$5:C433,C433))</f>
        <v/>
      </c>
      <c r="J433" s="10"/>
      <c r="K433" s="10" t="str">
        <f>IF($C433="","",$C433&amp;"|"&amp;COUNTIF($C$5:C433,$C433))</f>
        <v/>
      </c>
      <c r="L433" s="10" t="str">
        <f t="shared" si="31"/>
        <v/>
      </c>
      <c r="M433" s="26" t="str">
        <f t="shared" si="32"/>
        <v/>
      </c>
      <c r="N433" s="26" t="str">
        <f t="shared" si="33"/>
        <v/>
      </c>
      <c r="O433" s="26" t="str">
        <f t="shared" si="34"/>
        <v/>
      </c>
    </row>
    <row r="434" spans="3:15" ht="21.95" customHeight="1" x14ac:dyDescent="0.25">
      <c r="C434" s="12"/>
      <c r="D434" s="12"/>
      <c r="E434" s="12"/>
      <c r="F434" s="61"/>
      <c r="G434" s="16"/>
      <c r="H434" s="17" t="str">
        <f t="shared" si="30"/>
        <v/>
      </c>
      <c r="I434" s="26" t="str">
        <f>IF(C434="","",C434&amp;"|"&amp;COUNTIF($C$5:C434,C434))</f>
        <v/>
      </c>
      <c r="J434" s="10"/>
      <c r="K434" s="10" t="str">
        <f>IF($C434="","",$C434&amp;"|"&amp;COUNTIF($C$5:C434,$C434))</f>
        <v/>
      </c>
      <c r="L434" s="10" t="str">
        <f t="shared" si="31"/>
        <v/>
      </c>
      <c r="M434" s="26" t="str">
        <f t="shared" si="32"/>
        <v/>
      </c>
      <c r="N434" s="26" t="str">
        <f t="shared" si="33"/>
        <v/>
      </c>
      <c r="O434" s="26" t="str">
        <f t="shared" si="34"/>
        <v/>
      </c>
    </row>
    <row r="435" spans="3:15" ht="21.95" customHeight="1" x14ac:dyDescent="0.25">
      <c r="C435" s="12"/>
      <c r="D435" s="12"/>
      <c r="E435" s="12"/>
      <c r="F435" s="61"/>
      <c r="G435" s="16"/>
      <c r="H435" s="17" t="str">
        <f t="shared" si="30"/>
        <v/>
      </c>
      <c r="I435" s="26" t="str">
        <f>IF(C435="","",C435&amp;"|"&amp;COUNTIF($C$5:C435,C435))</f>
        <v/>
      </c>
      <c r="J435" s="10"/>
      <c r="K435" s="10" t="str">
        <f>IF($C435="","",$C435&amp;"|"&amp;COUNTIF($C$5:C435,$C435))</f>
        <v/>
      </c>
      <c r="L435" s="10" t="str">
        <f t="shared" si="31"/>
        <v/>
      </c>
      <c r="M435" s="26" t="str">
        <f t="shared" si="32"/>
        <v/>
      </c>
      <c r="N435" s="26" t="str">
        <f t="shared" si="33"/>
        <v/>
      </c>
      <c r="O435" s="26" t="str">
        <f t="shared" si="34"/>
        <v/>
      </c>
    </row>
    <row r="436" spans="3:15" ht="21.95" customHeight="1" x14ac:dyDescent="0.25">
      <c r="C436" s="12"/>
      <c r="D436" s="12"/>
      <c r="E436" s="12"/>
      <c r="F436" s="61"/>
      <c r="G436" s="16"/>
      <c r="H436" s="17" t="str">
        <f t="shared" si="30"/>
        <v/>
      </c>
      <c r="I436" s="26" t="str">
        <f>IF(C436="","",C436&amp;"|"&amp;COUNTIF($C$5:C436,C436))</f>
        <v/>
      </c>
      <c r="J436" s="10"/>
      <c r="K436" s="10" t="str">
        <f>IF($C436="","",$C436&amp;"|"&amp;COUNTIF($C$5:C436,$C436))</f>
        <v/>
      </c>
      <c r="L436" s="10" t="str">
        <f t="shared" si="31"/>
        <v/>
      </c>
      <c r="M436" s="26" t="str">
        <f t="shared" si="32"/>
        <v/>
      </c>
      <c r="N436" s="26" t="str">
        <f t="shared" si="33"/>
        <v/>
      </c>
      <c r="O436" s="26" t="str">
        <f t="shared" si="34"/>
        <v/>
      </c>
    </row>
    <row r="437" spans="3:15" ht="21.95" customHeight="1" x14ac:dyDescent="0.25">
      <c r="C437" s="12"/>
      <c r="D437" s="12"/>
      <c r="E437" s="12"/>
      <c r="F437" s="61"/>
      <c r="G437" s="16"/>
      <c r="H437" s="17" t="str">
        <f t="shared" si="30"/>
        <v/>
      </c>
      <c r="I437" s="26" t="str">
        <f>IF(C437="","",C437&amp;"|"&amp;COUNTIF($C$5:C437,C437))</f>
        <v/>
      </c>
      <c r="J437" s="10"/>
      <c r="K437" s="10" t="str">
        <f>IF($C437="","",$C437&amp;"|"&amp;COUNTIF($C$5:C437,$C437))</f>
        <v/>
      </c>
      <c r="L437" s="10" t="str">
        <f t="shared" si="31"/>
        <v/>
      </c>
      <c r="M437" s="26" t="str">
        <f t="shared" si="32"/>
        <v/>
      </c>
      <c r="N437" s="26" t="str">
        <f t="shared" si="33"/>
        <v/>
      </c>
      <c r="O437" s="26" t="str">
        <f t="shared" si="34"/>
        <v/>
      </c>
    </row>
    <row r="438" spans="3:15" ht="21.95" customHeight="1" x14ac:dyDescent="0.25">
      <c r="C438" s="12"/>
      <c r="D438" s="12"/>
      <c r="E438" s="12"/>
      <c r="F438" s="61"/>
      <c r="G438" s="16"/>
      <c r="H438" s="17" t="str">
        <f t="shared" si="30"/>
        <v/>
      </c>
      <c r="I438" s="26" t="str">
        <f>IF(C438="","",C438&amp;"|"&amp;COUNTIF($C$5:C438,C438))</f>
        <v/>
      </c>
      <c r="J438" s="10"/>
      <c r="K438" s="10" t="str">
        <f>IF($C438="","",$C438&amp;"|"&amp;COUNTIF($C$5:C438,$C438))</f>
        <v/>
      </c>
      <c r="L438" s="10" t="str">
        <f t="shared" si="31"/>
        <v/>
      </c>
      <c r="M438" s="26" t="str">
        <f t="shared" si="32"/>
        <v/>
      </c>
      <c r="N438" s="26" t="str">
        <f t="shared" si="33"/>
        <v/>
      </c>
      <c r="O438" s="26" t="str">
        <f t="shared" si="34"/>
        <v/>
      </c>
    </row>
    <row r="439" spans="3:15" ht="21.95" customHeight="1" x14ac:dyDescent="0.25">
      <c r="C439" s="12"/>
      <c r="D439" s="12"/>
      <c r="E439" s="12"/>
      <c r="F439" s="61"/>
      <c r="G439" s="16"/>
      <c r="H439" s="17" t="str">
        <f t="shared" si="30"/>
        <v/>
      </c>
      <c r="I439" s="26" t="str">
        <f>IF(C439="","",C439&amp;"|"&amp;COUNTIF($C$5:C439,C439))</f>
        <v/>
      </c>
      <c r="J439" s="10"/>
      <c r="K439" s="10" t="str">
        <f>IF($C439="","",$C439&amp;"|"&amp;COUNTIF($C$5:C439,$C439))</f>
        <v/>
      </c>
      <c r="L439" s="10" t="str">
        <f t="shared" si="31"/>
        <v/>
      </c>
      <c r="M439" s="26" t="str">
        <f t="shared" si="32"/>
        <v/>
      </c>
      <c r="N439" s="26" t="str">
        <f t="shared" si="33"/>
        <v/>
      </c>
      <c r="O439" s="26" t="str">
        <f t="shared" si="34"/>
        <v/>
      </c>
    </row>
    <row r="440" spans="3:15" ht="21.95" customHeight="1" x14ac:dyDescent="0.25">
      <c r="C440" s="12"/>
      <c r="D440" s="12"/>
      <c r="E440" s="12"/>
      <c r="F440" s="61"/>
      <c r="G440" s="16"/>
      <c r="H440" s="17" t="str">
        <f t="shared" si="30"/>
        <v/>
      </c>
      <c r="I440" s="26" t="str">
        <f>IF(C440="","",C440&amp;"|"&amp;COUNTIF($C$5:C440,C440))</f>
        <v/>
      </c>
      <c r="J440" s="10"/>
      <c r="K440" s="10" t="str">
        <f>IF($C440="","",$C440&amp;"|"&amp;COUNTIF($C$5:C440,$C440))</f>
        <v/>
      </c>
      <c r="L440" s="10" t="str">
        <f t="shared" si="31"/>
        <v/>
      </c>
      <c r="M440" s="26" t="str">
        <f t="shared" si="32"/>
        <v/>
      </c>
      <c r="N440" s="26" t="str">
        <f t="shared" si="33"/>
        <v/>
      </c>
      <c r="O440" s="26" t="str">
        <f t="shared" si="34"/>
        <v/>
      </c>
    </row>
    <row r="441" spans="3:15" ht="21.95" customHeight="1" x14ac:dyDescent="0.25">
      <c r="C441" s="12"/>
      <c r="D441" s="12"/>
      <c r="E441" s="12"/>
      <c r="F441" s="61"/>
      <c r="G441" s="16"/>
      <c r="H441" s="17" t="str">
        <f t="shared" si="30"/>
        <v/>
      </c>
      <c r="I441" s="26" t="str">
        <f>IF(C441="","",C441&amp;"|"&amp;COUNTIF($C$5:C441,C441))</f>
        <v/>
      </c>
      <c r="J441" s="10"/>
      <c r="K441" s="10" t="str">
        <f>IF($C441="","",$C441&amp;"|"&amp;COUNTIF($C$5:C441,$C441))</f>
        <v/>
      </c>
      <c r="L441" s="10" t="str">
        <f t="shared" si="31"/>
        <v/>
      </c>
      <c r="M441" s="26" t="str">
        <f t="shared" si="32"/>
        <v/>
      </c>
      <c r="N441" s="26" t="str">
        <f t="shared" si="33"/>
        <v/>
      </c>
      <c r="O441" s="26" t="str">
        <f t="shared" si="34"/>
        <v/>
      </c>
    </row>
    <row r="442" spans="3:15" ht="21.95" customHeight="1" x14ac:dyDescent="0.25">
      <c r="C442" s="12"/>
      <c r="D442" s="12"/>
      <c r="E442" s="12"/>
      <c r="F442" s="61"/>
      <c r="G442" s="16"/>
      <c r="H442" s="17" t="str">
        <f t="shared" si="30"/>
        <v/>
      </c>
      <c r="I442" s="26" t="str">
        <f>IF(C442="","",C442&amp;"|"&amp;COUNTIF($C$5:C442,C442))</f>
        <v/>
      </c>
      <c r="J442" s="10"/>
      <c r="K442" s="10" t="str">
        <f>IF($C442="","",$C442&amp;"|"&amp;COUNTIF($C$5:C442,$C442))</f>
        <v/>
      </c>
      <c r="L442" s="10" t="str">
        <f t="shared" si="31"/>
        <v/>
      </c>
      <c r="M442" s="26" t="str">
        <f t="shared" si="32"/>
        <v/>
      </c>
      <c r="N442" s="26" t="str">
        <f t="shared" si="33"/>
        <v/>
      </c>
      <c r="O442" s="26" t="str">
        <f t="shared" si="34"/>
        <v/>
      </c>
    </row>
    <row r="443" spans="3:15" ht="21.95" customHeight="1" x14ac:dyDescent="0.25">
      <c r="C443" s="12"/>
      <c r="D443" s="12"/>
      <c r="E443" s="12"/>
      <c r="F443" s="61"/>
      <c r="G443" s="16"/>
      <c r="H443" s="17" t="str">
        <f t="shared" si="30"/>
        <v/>
      </c>
      <c r="I443" s="26" t="str">
        <f>IF(C443="","",C443&amp;"|"&amp;COUNTIF($C$5:C443,C443))</f>
        <v/>
      </c>
      <c r="J443" s="10"/>
      <c r="K443" s="10" t="str">
        <f>IF($C443="","",$C443&amp;"|"&amp;COUNTIF($C$5:C443,$C443))</f>
        <v/>
      </c>
      <c r="L443" s="10" t="str">
        <f t="shared" si="31"/>
        <v/>
      </c>
      <c r="M443" s="26" t="str">
        <f t="shared" si="32"/>
        <v/>
      </c>
      <c r="N443" s="26" t="str">
        <f t="shared" si="33"/>
        <v/>
      </c>
      <c r="O443" s="26" t="str">
        <f t="shared" si="34"/>
        <v/>
      </c>
    </row>
    <row r="444" spans="3:15" ht="21.95" customHeight="1" x14ac:dyDescent="0.25">
      <c r="C444" s="12"/>
      <c r="D444" s="12"/>
      <c r="E444" s="12"/>
      <c r="F444" s="61"/>
      <c r="G444" s="16"/>
      <c r="H444" s="17" t="str">
        <f t="shared" si="30"/>
        <v/>
      </c>
      <c r="I444" s="26" t="str">
        <f>IF(C444="","",C444&amp;"|"&amp;COUNTIF($C$5:C444,C444))</f>
        <v/>
      </c>
      <c r="J444" s="10"/>
      <c r="K444" s="10" t="str">
        <f>IF($C444="","",$C444&amp;"|"&amp;COUNTIF($C$5:C444,$C444))</f>
        <v/>
      </c>
      <c r="L444" s="10" t="str">
        <f t="shared" si="31"/>
        <v/>
      </c>
      <c r="M444" s="26" t="str">
        <f t="shared" si="32"/>
        <v/>
      </c>
      <c r="N444" s="26" t="str">
        <f t="shared" si="33"/>
        <v/>
      </c>
      <c r="O444" s="26" t="str">
        <f t="shared" si="34"/>
        <v/>
      </c>
    </row>
    <row r="445" spans="3:15" ht="21.95" customHeight="1" x14ac:dyDescent="0.25">
      <c r="C445" s="12"/>
      <c r="D445" s="12"/>
      <c r="E445" s="12"/>
      <c r="F445" s="61"/>
      <c r="G445" s="16"/>
      <c r="H445" s="17" t="str">
        <f t="shared" si="30"/>
        <v/>
      </c>
      <c r="I445" s="26" t="str">
        <f>IF(C445="","",C445&amp;"|"&amp;COUNTIF($C$5:C445,C445))</f>
        <v/>
      </c>
      <c r="J445" s="10"/>
      <c r="K445" s="10" t="str">
        <f>IF($C445="","",$C445&amp;"|"&amp;COUNTIF($C$5:C445,$C445))</f>
        <v/>
      </c>
      <c r="L445" s="10" t="str">
        <f t="shared" si="31"/>
        <v/>
      </c>
      <c r="M445" s="26" t="str">
        <f t="shared" si="32"/>
        <v/>
      </c>
      <c r="N445" s="26" t="str">
        <f t="shared" si="33"/>
        <v/>
      </c>
      <c r="O445" s="26" t="str">
        <f t="shared" si="34"/>
        <v/>
      </c>
    </row>
    <row r="446" spans="3:15" ht="21.95" customHeight="1" x14ac:dyDescent="0.25">
      <c r="C446" s="12"/>
      <c r="D446" s="12"/>
      <c r="E446" s="12"/>
      <c r="F446" s="61"/>
      <c r="G446" s="16"/>
      <c r="H446" s="17" t="str">
        <f t="shared" si="30"/>
        <v/>
      </c>
      <c r="I446" s="26" t="str">
        <f>IF(C446="","",C446&amp;"|"&amp;COUNTIF($C$5:C446,C446))</f>
        <v/>
      </c>
      <c r="J446" s="10"/>
      <c r="K446" s="10" t="str">
        <f>IF($C446="","",$C446&amp;"|"&amp;COUNTIF($C$5:C446,$C446))</f>
        <v/>
      </c>
      <c r="L446" s="10" t="str">
        <f t="shared" si="31"/>
        <v/>
      </c>
      <c r="M446" s="26" t="str">
        <f t="shared" si="32"/>
        <v/>
      </c>
      <c r="N446" s="26" t="str">
        <f t="shared" si="33"/>
        <v/>
      </c>
      <c r="O446" s="26" t="str">
        <f t="shared" si="34"/>
        <v/>
      </c>
    </row>
    <row r="447" spans="3:15" ht="21.95" customHeight="1" x14ac:dyDescent="0.25">
      <c r="C447" s="12"/>
      <c r="D447" s="12"/>
      <c r="E447" s="12"/>
      <c r="F447" s="61"/>
      <c r="G447" s="16"/>
      <c r="H447" s="17" t="str">
        <f t="shared" si="30"/>
        <v/>
      </c>
      <c r="I447" s="26" t="str">
        <f>IF(C447="","",C447&amp;"|"&amp;COUNTIF($C$5:C447,C447))</f>
        <v/>
      </c>
      <c r="J447" s="10"/>
      <c r="K447" s="10" t="str">
        <f>IF($C447="","",$C447&amp;"|"&amp;COUNTIF($C$5:C447,$C447))</f>
        <v/>
      </c>
      <c r="L447" s="10" t="str">
        <f t="shared" si="31"/>
        <v/>
      </c>
      <c r="M447" s="26" t="str">
        <f t="shared" si="32"/>
        <v/>
      </c>
      <c r="N447" s="26" t="str">
        <f t="shared" si="33"/>
        <v/>
      </c>
      <c r="O447" s="26" t="str">
        <f t="shared" si="34"/>
        <v/>
      </c>
    </row>
    <row r="448" spans="3:15" ht="21.95" customHeight="1" x14ac:dyDescent="0.25">
      <c r="C448" s="12"/>
      <c r="D448" s="12"/>
      <c r="E448" s="12"/>
      <c r="F448" s="61"/>
      <c r="G448" s="16"/>
      <c r="H448" s="17" t="str">
        <f t="shared" si="30"/>
        <v/>
      </c>
      <c r="I448" s="26" t="str">
        <f>IF(C448="","",C448&amp;"|"&amp;COUNTIF($C$5:C448,C448))</f>
        <v/>
      </c>
      <c r="J448" s="10"/>
      <c r="K448" s="10" t="str">
        <f>IF($C448="","",$C448&amp;"|"&amp;COUNTIF($C$5:C448,$C448))</f>
        <v/>
      </c>
      <c r="L448" s="10" t="str">
        <f t="shared" si="31"/>
        <v/>
      </c>
      <c r="M448" s="26" t="str">
        <f t="shared" si="32"/>
        <v/>
      </c>
      <c r="N448" s="26" t="str">
        <f t="shared" si="33"/>
        <v/>
      </c>
      <c r="O448" s="26" t="str">
        <f t="shared" si="34"/>
        <v/>
      </c>
    </row>
    <row r="449" spans="3:15" ht="21.95" customHeight="1" x14ac:dyDescent="0.25">
      <c r="C449" s="12"/>
      <c r="D449" s="12"/>
      <c r="E449" s="12"/>
      <c r="F449" s="61"/>
      <c r="G449" s="16"/>
      <c r="H449" s="17" t="str">
        <f t="shared" si="30"/>
        <v/>
      </c>
      <c r="I449" s="26" t="str">
        <f>IF(C449="","",C449&amp;"|"&amp;COUNTIF($C$5:C449,C449))</f>
        <v/>
      </c>
      <c r="J449" s="10"/>
      <c r="K449" s="10" t="str">
        <f>IF($C449="","",$C449&amp;"|"&amp;COUNTIF($C$5:C449,$C449))</f>
        <v/>
      </c>
      <c r="L449" s="10" t="str">
        <f t="shared" si="31"/>
        <v/>
      </c>
      <c r="M449" s="26" t="str">
        <f t="shared" si="32"/>
        <v/>
      </c>
      <c r="N449" s="26" t="str">
        <f t="shared" si="33"/>
        <v/>
      </c>
      <c r="O449" s="26" t="str">
        <f t="shared" si="34"/>
        <v/>
      </c>
    </row>
    <row r="450" spans="3:15" ht="21.95" customHeight="1" x14ac:dyDescent="0.25">
      <c r="C450" s="12"/>
      <c r="D450" s="12"/>
      <c r="E450" s="12"/>
      <c r="F450" s="61"/>
      <c r="G450" s="16"/>
      <c r="H450" s="17" t="str">
        <f t="shared" si="30"/>
        <v/>
      </c>
      <c r="I450" s="26" t="str">
        <f>IF(C450="","",C450&amp;"|"&amp;COUNTIF($C$5:C450,C450))</f>
        <v/>
      </c>
      <c r="J450" s="10"/>
      <c r="K450" s="10" t="str">
        <f>IF($C450="","",$C450&amp;"|"&amp;COUNTIF($C$5:C450,$C450))</f>
        <v/>
      </c>
      <c r="L450" s="10" t="str">
        <f t="shared" si="31"/>
        <v/>
      </c>
      <c r="M450" s="26" t="str">
        <f t="shared" si="32"/>
        <v/>
      </c>
      <c r="N450" s="26" t="str">
        <f t="shared" si="33"/>
        <v/>
      </c>
      <c r="O450" s="26" t="str">
        <f t="shared" si="34"/>
        <v/>
      </c>
    </row>
    <row r="451" spans="3:15" ht="21.95" customHeight="1" x14ac:dyDescent="0.25">
      <c r="C451" s="12"/>
      <c r="D451" s="12"/>
      <c r="E451" s="12"/>
      <c r="F451" s="61"/>
      <c r="G451" s="16"/>
      <c r="H451" s="17" t="str">
        <f t="shared" si="30"/>
        <v/>
      </c>
      <c r="I451" s="26" t="str">
        <f>IF(C451="","",C451&amp;"|"&amp;COUNTIF($C$5:C451,C451))</f>
        <v/>
      </c>
      <c r="J451" s="10"/>
      <c r="K451" s="10" t="str">
        <f>IF($C451="","",$C451&amp;"|"&amp;COUNTIF($C$5:C451,$C451))</f>
        <v/>
      </c>
      <c r="L451" s="10" t="str">
        <f t="shared" si="31"/>
        <v/>
      </c>
      <c r="M451" s="26" t="str">
        <f t="shared" si="32"/>
        <v/>
      </c>
      <c r="N451" s="26" t="str">
        <f t="shared" si="33"/>
        <v/>
      </c>
      <c r="O451" s="26" t="str">
        <f t="shared" si="34"/>
        <v/>
      </c>
    </row>
    <row r="452" spans="3:15" ht="21.95" customHeight="1" x14ac:dyDescent="0.25">
      <c r="C452" s="12"/>
      <c r="D452" s="12"/>
      <c r="E452" s="12"/>
      <c r="F452" s="61"/>
      <c r="G452" s="16"/>
      <c r="H452" s="17" t="str">
        <f t="shared" si="30"/>
        <v/>
      </c>
      <c r="I452" s="26" t="str">
        <f>IF(C452="","",C452&amp;"|"&amp;COUNTIF($C$5:C452,C452))</f>
        <v/>
      </c>
      <c r="J452" s="10"/>
      <c r="K452" s="10" t="str">
        <f>IF($C452="","",$C452&amp;"|"&amp;COUNTIF($C$5:C452,$C452))</f>
        <v/>
      </c>
      <c r="L452" s="10" t="str">
        <f t="shared" si="31"/>
        <v/>
      </c>
      <c r="M452" s="26" t="str">
        <f t="shared" si="32"/>
        <v/>
      </c>
      <c r="N452" s="26" t="str">
        <f t="shared" si="33"/>
        <v/>
      </c>
      <c r="O452" s="26" t="str">
        <f t="shared" si="34"/>
        <v/>
      </c>
    </row>
    <row r="453" spans="3:15" ht="21.95" customHeight="1" x14ac:dyDescent="0.25">
      <c r="C453" s="12"/>
      <c r="D453" s="12"/>
      <c r="E453" s="12"/>
      <c r="F453" s="61"/>
      <c r="G453" s="16"/>
      <c r="H453" s="17" t="str">
        <f t="shared" ref="H453:H504" si="35">IF(OR(C453="",F453="",G453=""),"",F453*G453)</f>
        <v/>
      </c>
      <c r="I453" s="26" t="str">
        <f>IF(C453="","",C453&amp;"|"&amp;COUNTIF($C$5:C453,C453))</f>
        <v/>
      </c>
      <c r="J453" s="10"/>
      <c r="K453" s="10" t="str">
        <f>IF($C453="","",$C453&amp;"|"&amp;COUNTIF($C$5:C453,$C453))</f>
        <v/>
      </c>
      <c r="L453" s="10" t="str">
        <f t="shared" ref="L453:L504" si="36">IF($C453="","",$D453)</f>
        <v/>
      </c>
      <c r="M453" s="26" t="str">
        <f t="shared" ref="M453:M504" si="37">IF($C453="","",$E453)</f>
        <v/>
      </c>
      <c r="N453" s="26" t="str">
        <f t="shared" ref="N453:N504" si="38">IF($C453="","",$F453)</f>
        <v/>
      </c>
      <c r="O453" s="26" t="str">
        <f t="shared" ref="O453:O504" si="39">IF($C453="","",$H453)</f>
        <v/>
      </c>
    </row>
    <row r="454" spans="3:15" ht="21.95" customHeight="1" x14ac:dyDescent="0.25">
      <c r="C454" s="12"/>
      <c r="D454" s="12"/>
      <c r="E454" s="12"/>
      <c r="F454" s="61"/>
      <c r="G454" s="16"/>
      <c r="H454" s="17" t="str">
        <f t="shared" si="35"/>
        <v/>
      </c>
      <c r="I454" s="26" t="str">
        <f>IF(C454="","",C454&amp;"|"&amp;COUNTIF($C$5:C454,C454))</f>
        <v/>
      </c>
      <c r="J454" s="10"/>
      <c r="K454" s="10" t="str">
        <f>IF($C454="","",$C454&amp;"|"&amp;COUNTIF($C$5:C454,$C454))</f>
        <v/>
      </c>
      <c r="L454" s="10" t="str">
        <f t="shared" si="36"/>
        <v/>
      </c>
      <c r="M454" s="26" t="str">
        <f t="shared" si="37"/>
        <v/>
      </c>
      <c r="N454" s="26" t="str">
        <f t="shared" si="38"/>
        <v/>
      </c>
      <c r="O454" s="26" t="str">
        <f t="shared" si="39"/>
        <v/>
      </c>
    </row>
    <row r="455" spans="3:15" ht="21.95" customHeight="1" x14ac:dyDescent="0.25">
      <c r="C455" s="12"/>
      <c r="D455" s="12"/>
      <c r="E455" s="12"/>
      <c r="F455" s="61"/>
      <c r="G455" s="16"/>
      <c r="H455" s="17" t="str">
        <f t="shared" si="35"/>
        <v/>
      </c>
      <c r="I455" s="26" t="str">
        <f>IF(C455="","",C455&amp;"|"&amp;COUNTIF($C$5:C455,C455))</f>
        <v/>
      </c>
      <c r="J455" s="10"/>
      <c r="K455" s="10" t="str">
        <f>IF($C455="","",$C455&amp;"|"&amp;COUNTIF($C$5:C455,$C455))</f>
        <v/>
      </c>
      <c r="L455" s="10" t="str">
        <f t="shared" si="36"/>
        <v/>
      </c>
      <c r="M455" s="26" t="str">
        <f t="shared" si="37"/>
        <v/>
      </c>
      <c r="N455" s="26" t="str">
        <f t="shared" si="38"/>
        <v/>
      </c>
      <c r="O455" s="26" t="str">
        <f t="shared" si="39"/>
        <v/>
      </c>
    </row>
    <row r="456" spans="3:15" ht="21.95" customHeight="1" x14ac:dyDescent="0.25">
      <c r="C456" s="12"/>
      <c r="D456" s="12"/>
      <c r="E456" s="12"/>
      <c r="F456" s="61"/>
      <c r="G456" s="16"/>
      <c r="H456" s="17" t="str">
        <f t="shared" si="35"/>
        <v/>
      </c>
      <c r="I456" s="26" t="str">
        <f>IF(C456="","",C456&amp;"|"&amp;COUNTIF($C$5:C456,C456))</f>
        <v/>
      </c>
      <c r="J456" s="10"/>
      <c r="K456" s="10" t="str">
        <f>IF($C456="","",$C456&amp;"|"&amp;COUNTIF($C$5:C456,$C456))</f>
        <v/>
      </c>
      <c r="L456" s="10" t="str">
        <f t="shared" si="36"/>
        <v/>
      </c>
      <c r="M456" s="26" t="str">
        <f t="shared" si="37"/>
        <v/>
      </c>
      <c r="N456" s="26" t="str">
        <f t="shared" si="38"/>
        <v/>
      </c>
      <c r="O456" s="26" t="str">
        <f t="shared" si="39"/>
        <v/>
      </c>
    </row>
    <row r="457" spans="3:15" ht="21.95" customHeight="1" x14ac:dyDescent="0.25">
      <c r="C457" s="12"/>
      <c r="D457" s="12"/>
      <c r="E457" s="12"/>
      <c r="F457" s="61"/>
      <c r="G457" s="16"/>
      <c r="H457" s="17" t="str">
        <f t="shared" si="35"/>
        <v/>
      </c>
      <c r="I457" s="26" t="str">
        <f>IF(C457="","",C457&amp;"|"&amp;COUNTIF($C$5:C457,C457))</f>
        <v/>
      </c>
      <c r="J457" s="10"/>
      <c r="K457" s="10" t="str">
        <f>IF($C457="","",$C457&amp;"|"&amp;COUNTIF($C$5:C457,$C457))</f>
        <v/>
      </c>
      <c r="L457" s="10" t="str">
        <f t="shared" si="36"/>
        <v/>
      </c>
      <c r="M457" s="26" t="str">
        <f t="shared" si="37"/>
        <v/>
      </c>
      <c r="N457" s="26" t="str">
        <f t="shared" si="38"/>
        <v/>
      </c>
      <c r="O457" s="26" t="str">
        <f t="shared" si="39"/>
        <v/>
      </c>
    </row>
    <row r="458" spans="3:15" ht="21.95" customHeight="1" x14ac:dyDescent="0.25">
      <c r="C458" s="12"/>
      <c r="D458" s="12"/>
      <c r="E458" s="12"/>
      <c r="F458" s="61"/>
      <c r="G458" s="16"/>
      <c r="H458" s="17" t="str">
        <f t="shared" si="35"/>
        <v/>
      </c>
      <c r="I458" s="26" t="str">
        <f>IF(C458="","",C458&amp;"|"&amp;COUNTIF($C$5:C458,C458))</f>
        <v/>
      </c>
      <c r="J458" s="10"/>
      <c r="K458" s="10" t="str">
        <f>IF($C458="","",$C458&amp;"|"&amp;COUNTIF($C$5:C458,$C458))</f>
        <v/>
      </c>
      <c r="L458" s="10" t="str">
        <f t="shared" si="36"/>
        <v/>
      </c>
      <c r="M458" s="26" t="str">
        <f t="shared" si="37"/>
        <v/>
      </c>
      <c r="N458" s="26" t="str">
        <f t="shared" si="38"/>
        <v/>
      </c>
      <c r="O458" s="26" t="str">
        <f t="shared" si="39"/>
        <v/>
      </c>
    </row>
    <row r="459" spans="3:15" ht="21.95" customHeight="1" x14ac:dyDescent="0.25">
      <c r="C459" s="12"/>
      <c r="D459" s="12"/>
      <c r="E459" s="12"/>
      <c r="F459" s="61"/>
      <c r="G459" s="16"/>
      <c r="H459" s="17" t="str">
        <f t="shared" si="35"/>
        <v/>
      </c>
      <c r="I459" s="26" t="str">
        <f>IF(C459="","",C459&amp;"|"&amp;COUNTIF($C$5:C459,C459))</f>
        <v/>
      </c>
      <c r="J459" s="10"/>
      <c r="K459" s="10" t="str">
        <f>IF($C459="","",$C459&amp;"|"&amp;COUNTIF($C$5:C459,$C459))</f>
        <v/>
      </c>
      <c r="L459" s="10" t="str">
        <f t="shared" si="36"/>
        <v/>
      </c>
      <c r="M459" s="26" t="str">
        <f t="shared" si="37"/>
        <v/>
      </c>
      <c r="N459" s="26" t="str">
        <f t="shared" si="38"/>
        <v/>
      </c>
      <c r="O459" s="26" t="str">
        <f t="shared" si="39"/>
        <v/>
      </c>
    </row>
    <row r="460" spans="3:15" ht="21.95" customHeight="1" x14ac:dyDescent="0.25">
      <c r="C460" s="12"/>
      <c r="D460" s="12"/>
      <c r="E460" s="12"/>
      <c r="F460" s="61"/>
      <c r="G460" s="16"/>
      <c r="H460" s="17" t="str">
        <f t="shared" si="35"/>
        <v/>
      </c>
      <c r="I460" s="26" t="str">
        <f>IF(C460="","",C460&amp;"|"&amp;COUNTIF($C$5:C460,C460))</f>
        <v/>
      </c>
      <c r="J460" s="10"/>
      <c r="K460" s="10" t="str">
        <f>IF($C460="","",$C460&amp;"|"&amp;COUNTIF($C$5:C460,$C460))</f>
        <v/>
      </c>
      <c r="L460" s="10" t="str">
        <f t="shared" si="36"/>
        <v/>
      </c>
      <c r="M460" s="26" t="str">
        <f t="shared" si="37"/>
        <v/>
      </c>
      <c r="N460" s="26" t="str">
        <f t="shared" si="38"/>
        <v/>
      </c>
      <c r="O460" s="26" t="str">
        <f t="shared" si="39"/>
        <v/>
      </c>
    </row>
    <row r="461" spans="3:15" ht="21.95" customHeight="1" x14ac:dyDescent="0.25">
      <c r="C461" s="12"/>
      <c r="D461" s="12"/>
      <c r="E461" s="12"/>
      <c r="F461" s="61"/>
      <c r="G461" s="16"/>
      <c r="H461" s="17" t="str">
        <f t="shared" si="35"/>
        <v/>
      </c>
      <c r="I461" s="26" t="str">
        <f>IF(C461="","",C461&amp;"|"&amp;COUNTIF($C$5:C461,C461))</f>
        <v/>
      </c>
      <c r="J461" s="10"/>
      <c r="K461" s="10" t="str">
        <f>IF($C461="","",$C461&amp;"|"&amp;COUNTIF($C$5:C461,$C461))</f>
        <v/>
      </c>
      <c r="L461" s="10" t="str">
        <f t="shared" si="36"/>
        <v/>
      </c>
      <c r="M461" s="26" t="str">
        <f t="shared" si="37"/>
        <v/>
      </c>
      <c r="N461" s="26" t="str">
        <f t="shared" si="38"/>
        <v/>
      </c>
      <c r="O461" s="26" t="str">
        <f t="shared" si="39"/>
        <v/>
      </c>
    </row>
    <row r="462" spans="3:15" ht="21.95" customHeight="1" x14ac:dyDescent="0.25">
      <c r="C462" s="12"/>
      <c r="D462" s="12"/>
      <c r="E462" s="12"/>
      <c r="F462" s="61"/>
      <c r="G462" s="16"/>
      <c r="H462" s="17" t="str">
        <f t="shared" si="35"/>
        <v/>
      </c>
      <c r="I462" s="26" t="str">
        <f>IF(C462="","",C462&amp;"|"&amp;COUNTIF($C$5:C462,C462))</f>
        <v/>
      </c>
      <c r="J462" s="10"/>
      <c r="K462" s="10" t="str">
        <f>IF($C462="","",$C462&amp;"|"&amp;COUNTIF($C$5:C462,$C462))</f>
        <v/>
      </c>
      <c r="L462" s="10" t="str">
        <f t="shared" si="36"/>
        <v/>
      </c>
      <c r="M462" s="26" t="str">
        <f t="shared" si="37"/>
        <v/>
      </c>
      <c r="N462" s="26" t="str">
        <f t="shared" si="38"/>
        <v/>
      </c>
      <c r="O462" s="26" t="str">
        <f t="shared" si="39"/>
        <v/>
      </c>
    </row>
    <row r="463" spans="3:15" ht="21.95" customHeight="1" x14ac:dyDescent="0.25">
      <c r="C463" s="12"/>
      <c r="D463" s="12"/>
      <c r="E463" s="12"/>
      <c r="F463" s="61"/>
      <c r="G463" s="16"/>
      <c r="H463" s="17" t="str">
        <f t="shared" si="35"/>
        <v/>
      </c>
      <c r="I463" s="26" t="str">
        <f>IF(C463="","",C463&amp;"|"&amp;COUNTIF($C$5:C463,C463))</f>
        <v/>
      </c>
      <c r="J463" s="10"/>
      <c r="K463" s="10" t="str">
        <f>IF($C463="","",$C463&amp;"|"&amp;COUNTIF($C$5:C463,$C463))</f>
        <v/>
      </c>
      <c r="L463" s="10" t="str">
        <f t="shared" si="36"/>
        <v/>
      </c>
      <c r="M463" s="26" t="str">
        <f t="shared" si="37"/>
        <v/>
      </c>
      <c r="N463" s="26" t="str">
        <f t="shared" si="38"/>
        <v/>
      </c>
      <c r="O463" s="26" t="str">
        <f t="shared" si="39"/>
        <v/>
      </c>
    </row>
    <row r="464" spans="3:15" ht="21.95" customHeight="1" x14ac:dyDescent="0.25">
      <c r="C464" s="12"/>
      <c r="D464" s="12"/>
      <c r="E464" s="12"/>
      <c r="F464" s="61"/>
      <c r="G464" s="16"/>
      <c r="H464" s="17" t="str">
        <f t="shared" si="35"/>
        <v/>
      </c>
      <c r="I464" s="26" t="str">
        <f>IF(C464="","",C464&amp;"|"&amp;COUNTIF($C$5:C464,C464))</f>
        <v/>
      </c>
      <c r="J464" s="10"/>
      <c r="K464" s="10" t="str">
        <f>IF($C464="","",$C464&amp;"|"&amp;COUNTIF($C$5:C464,$C464))</f>
        <v/>
      </c>
      <c r="L464" s="10" t="str">
        <f t="shared" si="36"/>
        <v/>
      </c>
      <c r="M464" s="26" t="str">
        <f t="shared" si="37"/>
        <v/>
      </c>
      <c r="N464" s="26" t="str">
        <f t="shared" si="38"/>
        <v/>
      </c>
      <c r="O464" s="26" t="str">
        <f t="shared" si="39"/>
        <v/>
      </c>
    </row>
    <row r="465" spans="3:15" ht="21.95" customHeight="1" x14ac:dyDescent="0.25">
      <c r="C465" s="12"/>
      <c r="D465" s="12"/>
      <c r="E465" s="12"/>
      <c r="F465" s="61"/>
      <c r="G465" s="16"/>
      <c r="H465" s="17" t="str">
        <f t="shared" si="35"/>
        <v/>
      </c>
      <c r="I465" s="26" t="str">
        <f>IF(C465="","",C465&amp;"|"&amp;COUNTIF($C$5:C465,C465))</f>
        <v/>
      </c>
      <c r="J465" s="10"/>
      <c r="K465" s="10" t="str">
        <f>IF($C465="","",$C465&amp;"|"&amp;COUNTIF($C$5:C465,$C465))</f>
        <v/>
      </c>
      <c r="L465" s="10" t="str">
        <f t="shared" si="36"/>
        <v/>
      </c>
      <c r="M465" s="26" t="str">
        <f t="shared" si="37"/>
        <v/>
      </c>
      <c r="N465" s="26" t="str">
        <f t="shared" si="38"/>
        <v/>
      </c>
      <c r="O465" s="26" t="str">
        <f t="shared" si="39"/>
        <v/>
      </c>
    </row>
    <row r="466" spans="3:15" ht="21.95" customHeight="1" x14ac:dyDescent="0.25">
      <c r="C466" s="12"/>
      <c r="D466" s="12"/>
      <c r="E466" s="12"/>
      <c r="F466" s="61"/>
      <c r="G466" s="16"/>
      <c r="H466" s="17" t="str">
        <f t="shared" si="35"/>
        <v/>
      </c>
      <c r="I466" s="26" t="str">
        <f>IF(C466="","",C466&amp;"|"&amp;COUNTIF($C$5:C466,C466))</f>
        <v/>
      </c>
      <c r="J466" s="10"/>
      <c r="K466" s="10" t="str">
        <f>IF($C466="","",$C466&amp;"|"&amp;COUNTIF($C$5:C466,$C466))</f>
        <v/>
      </c>
      <c r="L466" s="10" t="str">
        <f t="shared" si="36"/>
        <v/>
      </c>
      <c r="M466" s="26" t="str">
        <f t="shared" si="37"/>
        <v/>
      </c>
      <c r="N466" s="26" t="str">
        <f t="shared" si="38"/>
        <v/>
      </c>
      <c r="O466" s="26" t="str">
        <f t="shared" si="39"/>
        <v/>
      </c>
    </row>
    <row r="467" spans="3:15" ht="21.95" customHeight="1" x14ac:dyDescent="0.25">
      <c r="C467" s="12"/>
      <c r="D467" s="12"/>
      <c r="E467" s="12"/>
      <c r="F467" s="61"/>
      <c r="G467" s="16"/>
      <c r="H467" s="17" t="str">
        <f t="shared" si="35"/>
        <v/>
      </c>
      <c r="I467" s="26" t="str">
        <f>IF(C467="","",C467&amp;"|"&amp;COUNTIF($C$5:C467,C467))</f>
        <v/>
      </c>
      <c r="J467" s="10"/>
      <c r="K467" s="10" t="str">
        <f>IF($C467="","",$C467&amp;"|"&amp;COUNTIF($C$5:C467,$C467))</f>
        <v/>
      </c>
      <c r="L467" s="10" t="str">
        <f t="shared" si="36"/>
        <v/>
      </c>
      <c r="M467" s="26" t="str">
        <f t="shared" si="37"/>
        <v/>
      </c>
      <c r="N467" s="26" t="str">
        <f t="shared" si="38"/>
        <v/>
      </c>
      <c r="O467" s="26" t="str">
        <f t="shared" si="39"/>
        <v/>
      </c>
    </row>
    <row r="468" spans="3:15" ht="21.95" customHeight="1" x14ac:dyDescent="0.25">
      <c r="C468" s="12"/>
      <c r="D468" s="12"/>
      <c r="E468" s="12"/>
      <c r="F468" s="61"/>
      <c r="G468" s="16"/>
      <c r="H468" s="17" t="str">
        <f t="shared" si="35"/>
        <v/>
      </c>
      <c r="I468" s="26" t="str">
        <f>IF(C468="","",C468&amp;"|"&amp;COUNTIF($C$5:C468,C468))</f>
        <v/>
      </c>
      <c r="J468" s="10"/>
      <c r="K468" s="10" t="str">
        <f>IF($C468="","",$C468&amp;"|"&amp;COUNTIF($C$5:C468,$C468))</f>
        <v/>
      </c>
      <c r="L468" s="10" t="str">
        <f t="shared" si="36"/>
        <v/>
      </c>
      <c r="M468" s="26" t="str">
        <f t="shared" si="37"/>
        <v/>
      </c>
      <c r="N468" s="26" t="str">
        <f t="shared" si="38"/>
        <v/>
      </c>
      <c r="O468" s="26" t="str">
        <f t="shared" si="39"/>
        <v/>
      </c>
    </row>
    <row r="469" spans="3:15" ht="21.95" customHeight="1" x14ac:dyDescent="0.25">
      <c r="C469" s="12"/>
      <c r="D469" s="12"/>
      <c r="E469" s="12"/>
      <c r="F469" s="61"/>
      <c r="G469" s="16"/>
      <c r="H469" s="17" t="str">
        <f t="shared" si="35"/>
        <v/>
      </c>
      <c r="I469" s="26" t="str">
        <f>IF(C469="","",C469&amp;"|"&amp;COUNTIF($C$5:C469,C469))</f>
        <v/>
      </c>
      <c r="J469" s="10"/>
      <c r="K469" s="10" t="str">
        <f>IF($C469="","",$C469&amp;"|"&amp;COUNTIF($C$5:C469,$C469))</f>
        <v/>
      </c>
      <c r="L469" s="10" t="str">
        <f t="shared" si="36"/>
        <v/>
      </c>
      <c r="M469" s="26" t="str">
        <f t="shared" si="37"/>
        <v/>
      </c>
      <c r="N469" s="26" t="str">
        <f t="shared" si="38"/>
        <v/>
      </c>
      <c r="O469" s="26" t="str">
        <f t="shared" si="39"/>
        <v/>
      </c>
    </row>
    <row r="470" spans="3:15" ht="21.95" customHeight="1" x14ac:dyDescent="0.25">
      <c r="C470" s="12"/>
      <c r="D470" s="12"/>
      <c r="E470" s="12"/>
      <c r="F470" s="61"/>
      <c r="G470" s="16"/>
      <c r="H470" s="17" t="str">
        <f t="shared" si="35"/>
        <v/>
      </c>
      <c r="I470" s="26" t="str">
        <f>IF(C470="","",C470&amp;"|"&amp;COUNTIF($C$5:C470,C470))</f>
        <v/>
      </c>
      <c r="J470" s="10"/>
      <c r="K470" s="10" t="str">
        <f>IF($C470="","",$C470&amp;"|"&amp;COUNTIF($C$5:C470,$C470))</f>
        <v/>
      </c>
      <c r="L470" s="10" t="str">
        <f t="shared" si="36"/>
        <v/>
      </c>
      <c r="M470" s="26" t="str">
        <f t="shared" si="37"/>
        <v/>
      </c>
      <c r="N470" s="26" t="str">
        <f t="shared" si="38"/>
        <v/>
      </c>
      <c r="O470" s="26" t="str">
        <f t="shared" si="39"/>
        <v/>
      </c>
    </row>
    <row r="471" spans="3:15" ht="21.95" customHeight="1" x14ac:dyDescent="0.25">
      <c r="C471" s="12"/>
      <c r="D471" s="12"/>
      <c r="E471" s="12"/>
      <c r="F471" s="61"/>
      <c r="G471" s="16"/>
      <c r="H471" s="17" t="str">
        <f t="shared" si="35"/>
        <v/>
      </c>
      <c r="I471" s="26" t="str">
        <f>IF(C471="","",C471&amp;"|"&amp;COUNTIF($C$5:C471,C471))</f>
        <v/>
      </c>
      <c r="J471" s="10"/>
      <c r="K471" s="10" t="str">
        <f>IF($C471="","",$C471&amp;"|"&amp;COUNTIF($C$5:C471,$C471))</f>
        <v/>
      </c>
      <c r="L471" s="10" t="str">
        <f t="shared" si="36"/>
        <v/>
      </c>
      <c r="M471" s="26" t="str">
        <f t="shared" si="37"/>
        <v/>
      </c>
      <c r="N471" s="26" t="str">
        <f t="shared" si="38"/>
        <v/>
      </c>
      <c r="O471" s="26" t="str">
        <f t="shared" si="39"/>
        <v/>
      </c>
    </row>
    <row r="472" spans="3:15" ht="21.95" customHeight="1" x14ac:dyDescent="0.25">
      <c r="C472" s="12"/>
      <c r="D472" s="12"/>
      <c r="E472" s="12"/>
      <c r="F472" s="61"/>
      <c r="G472" s="16"/>
      <c r="H472" s="17" t="str">
        <f t="shared" si="35"/>
        <v/>
      </c>
      <c r="I472" s="26" t="str">
        <f>IF(C472="","",C472&amp;"|"&amp;COUNTIF($C$5:C472,C472))</f>
        <v/>
      </c>
      <c r="J472" s="10"/>
      <c r="K472" s="10" t="str">
        <f>IF($C472="","",$C472&amp;"|"&amp;COUNTIF($C$5:C472,$C472))</f>
        <v/>
      </c>
      <c r="L472" s="10" t="str">
        <f t="shared" si="36"/>
        <v/>
      </c>
      <c r="M472" s="26" t="str">
        <f t="shared" si="37"/>
        <v/>
      </c>
      <c r="N472" s="26" t="str">
        <f t="shared" si="38"/>
        <v/>
      </c>
      <c r="O472" s="26" t="str">
        <f t="shared" si="39"/>
        <v/>
      </c>
    </row>
    <row r="473" spans="3:15" ht="21.95" customHeight="1" x14ac:dyDescent="0.25">
      <c r="C473" s="12"/>
      <c r="D473" s="12"/>
      <c r="E473" s="12"/>
      <c r="F473" s="61"/>
      <c r="G473" s="16"/>
      <c r="H473" s="17" t="str">
        <f t="shared" si="35"/>
        <v/>
      </c>
      <c r="I473" s="26" t="str">
        <f>IF(C473="","",C473&amp;"|"&amp;COUNTIF($C$5:C473,C473))</f>
        <v/>
      </c>
      <c r="J473" s="10"/>
      <c r="K473" s="10" t="str">
        <f>IF($C473="","",$C473&amp;"|"&amp;COUNTIF($C$5:C473,$C473))</f>
        <v/>
      </c>
      <c r="L473" s="10" t="str">
        <f t="shared" si="36"/>
        <v/>
      </c>
      <c r="M473" s="26" t="str">
        <f t="shared" si="37"/>
        <v/>
      </c>
      <c r="N473" s="26" t="str">
        <f t="shared" si="38"/>
        <v/>
      </c>
      <c r="O473" s="26" t="str">
        <f t="shared" si="39"/>
        <v/>
      </c>
    </row>
    <row r="474" spans="3:15" ht="21.95" customHeight="1" x14ac:dyDescent="0.25">
      <c r="C474" s="12"/>
      <c r="D474" s="12"/>
      <c r="E474" s="12"/>
      <c r="F474" s="61"/>
      <c r="G474" s="16"/>
      <c r="H474" s="17" t="str">
        <f t="shared" si="35"/>
        <v/>
      </c>
      <c r="I474" s="26" t="str">
        <f>IF(C474="","",C474&amp;"|"&amp;COUNTIF($C$5:C474,C474))</f>
        <v/>
      </c>
      <c r="J474" s="10"/>
      <c r="K474" s="10" t="str">
        <f>IF($C474="","",$C474&amp;"|"&amp;COUNTIF($C$5:C474,$C474))</f>
        <v/>
      </c>
      <c r="L474" s="10" t="str">
        <f t="shared" si="36"/>
        <v/>
      </c>
      <c r="M474" s="26" t="str">
        <f t="shared" si="37"/>
        <v/>
      </c>
      <c r="N474" s="26" t="str">
        <f t="shared" si="38"/>
        <v/>
      </c>
      <c r="O474" s="26" t="str">
        <f t="shared" si="39"/>
        <v/>
      </c>
    </row>
    <row r="475" spans="3:15" ht="21.95" customHeight="1" x14ac:dyDescent="0.25">
      <c r="C475" s="12"/>
      <c r="D475" s="12"/>
      <c r="E475" s="12"/>
      <c r="F475" s="61"/>
      <c r="G475" s="16"/>
      <c r="H475" s="17" t="str">
        <f t="shared" si="35"/>
        <v/>
      </c>
      <c r="I475" s="26" t="str">
        <f>IF(C475="","",C475&amp;"|"&amp;COUNTIF($C$5:C475,C475))</f>
        <v/>
      </c>
      <c r="J475" s="10"/>
      <c r="K475" s="10" t="str">
        <f>IF($C475="","",$C475&amp;"|"&amp;COUNTIF($C$5:C475,$C475))</f>
        <v/>
      </c>
      <c r="L475" s="10" t="str">
        <f t="shared" si="36"/>
        <v/>
      </c>
      <c r="M475" s="26" t="str">
        <f t="shared" si="37"/>
        <v/>
      </c>
      <c r="N475" s="26" t="str">
        <f t="shared" si="38"/>
        <v/>
      </c>
      <c r="O475" s="26" t="str">
        <f t="shared" si="39"/>
        <v/>
      </c>
    </row>
    <row r="476" spans="3:15" ht="21.95" customHeight="1" x14ac:dyDescent="0.25">
      <c r="C476" s="12"/>
      <c r="D476" s="12"/>
      <c r="E476" s="12"/>
      <c r="F476" s="61"/>
      <c r="G476" s="16"/>
      <c r="H476" s="17" t="str">
        <f t="shared" si="35"/>
        <v/>
      </c>
      <c r="I476" s="26" t="str">
        <f>IF(C476="","",C476&amp;"|"&amp;COUNTIF($C$5:C476,C476))</f>
        <v/>
      </c>
      <c r="J476" s="10"/>
      <c r="K476" s="10" t="str">
        <f>IF($C476="","",$C476&amp;"|"&amp;COUNTIF($C$5:C476,$C476))</f>
        <v/>
      </c>
      <c r="L476" s="10" t="str">
        <f t="shared" si="36"/>
        <v/>
      </c>
      <c r="M476" s="26" t="str">
        <f t="shared" si="37"/>
        <v/>
      </c>
      <c r="N476" s="26" t="str">
        <f t="shared" si="38"/>
        <v/>
      </c>
      <c r="O476" s="26" t="str">
        <f t="shared" si="39"/>
        <v/>
      </c>
    </row>
    <row r="477" spans="3:15" ht="21.95" customHeight="1" x14ac:dyDescent="0.25">
      <c r="C477" s="12"/>
      <c r="D477" s="12"/>
      <c r="E477" s="12"/>
      <c r="F477" s="61"/>
      <c r="G477" s="16"/>
      <c r="H477" s="17" t="str">
        <f t="shared" si="35"/>
        <v/>
      </c>
      <c r="I477" s="26" t="str">
        <f>IF(C477="","",C477&amp;"|"&amp;COUNTIF($C$5:C477,C477))</f>
        <v/>
      </c>
      <c r="J477" s="10"/>
      <c r="K477" s="10" t="str">
        <f>IF($C477="","",$C477&amp;"|"&amp;COUNTIF($C$5:C477,$C477))</f>
        <v/>
      </c>
      <c r="L477" s="10" t="str">
        <f t="shared" si="36"/>
        <v/>
      </c>
      <c r="M477" s="26" t="str">
        <f t="shared" si="37"/>
        <v/>
      </c>
      <c r="N477" s="26" t="str">
        <f t="shared" si="38"/>
        <v/>
      </c>
      <c r="O477" s="26" t="str">
        <f t="shared" si="39"/>
        <v/>
      </c>
    </row>
    <row r="478" spans="3:15" ht="21.95" customHeight="1" x14ac:dyDescent="0.25">
      <c r="C478" s="12"/>
      <c r="D478" s="12"/>
      <c r="E478" s="12"/>
      <c r="F478" s="61"/>
      <c r="G478" s="16"/>
      <c r="H478" s="17" t="str">
        <f t="shared" si="35"/>
        <v/>
      </c>
      <c r="I478" s="26" t="str">
        <f>IF(C478="","",C478&amp;"|"&amp;COUNTIF($C$5:C478,C478))</f>
        <v/>
      </c>
      <c r="J478" s="10"/>
      <c r="K478" s="10" t="str">
        <f>IF($C478="","",$C478&amp;"|"&amp;COUNTIF($C$5:C478,$C478))</f>
        <v/>
      </c>
      <c r="L478" s="10" t="str">
        <f t="shared" si="36"/>
        <v/>
      </c>
      <c r="M478" s="26" t="str">
        <f t="shared" si="37"/>
        <v/>
      </c>
      <c r="N478" s="26" t="str">
        <f t="shared" si="38"/>
        <v/>
      </c>
      <c r="O478" s="26" t="str">
        <f t="shared" si="39"/>
        <v/>
      </c>
    </row>
    <row r="479" spans="3:15" ht="21.95" customHeight="1" x14ac:dyDescent="0.25">
      <c r="C479" s="12"/>
      <c r="D479" s="12"/>
      <c r="E479" s="12"/>
      <c r="F479" s="61"/>
      <c r="G479" s="16"/>
      <c r="H479" s="17" t="str">
        <f t="shared" si="35"/>
        <v/>
      </c>
      <c r="I479" s="26" t="str">
        <f>IF(C479="","",C479&amp;"|"&amp;COUNTIF($C$5:C479,C479))</f>
        <v/>
      </c>
      <c r="J479" s="10"/>
      <c r="K479" s="10" t="str">
        <f>IF($C479="","",$C479&amp;"|"&amp;COUNTIF($C$5:C479,$C479))</f>
        <v/>
      </c>
      <c r="L479" s="10" t="str">
        <f t="shared" si="36"/>
        <v/>
      </c>
      <c r="M479" s="26" t="str">
        <f t="shared" si="37"/>
        <v/>
      </c>
      <c r="N479" s="26" t="str">
        <f t="shared" si="38"/>
        <v/>
      </c>
      <c r="O479" s="26" t="str">
        <f t="shared" si="39"/>
        <v/>
      </c>
    </row>
    <row r="480" spans="3:15" ht="21.95" customHeight="1" x14ac:dyDescent="0.25">
      <c r="C480" s="12"/>
      <c r="D480" s="12"/>
      <c r="E480" s="12"/>
      <c r="F480" s="61"/>
      <c r="G480" s="16"/>
      <c r="H480" s="17" t="str">
        <f t="shared" si="35"/>
        <v/>
      </c>
      <c r="I480" s="26" t="str">
        <f>IF(C480="","",C480&amp;"|"&amp;COUNTIF($C$5:C480,C480))</f>
        <v/>
      </c>
      <c r="J480" s="10"/>
      <c r="K480" s="10" t="str">
        <f>IF($C480="","",$C480&amp;"|"&amp;COUNTIF($C$5:C480,$C480))</f>
        <v/>
      </c>
      <c r="L480" s="10" t="str">
        <f t="shared" si="36"/>
        <v/>
      </c>
      <c r="M480" s="26" t="str">
        <f t="shared" si="37"/>
        <v/>
      </c>
      <c r="N480" s="26" t="str">
        <f t="shared" si="38"/>
        <v/>
      </c>
      <c r="O480" s="26" t="str">
        <f t="shared" si="39"/>
        <v/>
      </c>
    </row>
    <row r="481" spans="3:15" ht="21.95" customHeight="1" x14ac:dyDescent="0.25">
      <c r="C481" s="12"/>
      <c r="D481" s="12"/>
      <c r="E481" s="12"/>
      <c r="F481" s="61"/>
      <c r="G481" s="16"/>
      <c r="H481" s="17" t="str">
        <f t="shared" si="35"/>
        <v/>
      </c>
      <c r="I481" s="26" t="str">
        <f>IF(C481="","",C481&amp;"|"&amp;COUNTIF($C$5:C481,C481))</f>
        <v/>
      </c>
      <c r="J481" s="10"/>
      <c r="K481" s="10" t="str">
        <f>IF($C481="","",$C481&amp;"|"&amp;COUNTIF($C$5:C481,$C481))</f>
        <v/>
      </c>
      <c r="L481" s="10" t="str">
        <f t="shared" si="36"/>
        <v/>
      </c>
      <c r="M481" s="26" t="str">
        <f t="shared" si="37"/>
        <v/>
      </c>
      <c r="N481" s="26" t="str">
        <f t="shared" si="38"/>
        <v/>
      </c>
      <c r="O481" s="26" t="str">
        <f t="shared" si="39"/>
        <v/>
      </c>
    </row>
    <row r="482" spans="3:15" ht="21.95" customHeight="1" x14ac:dyDescent="0.25">
      <c r="C482" s="12"/>
      <c r="D482" s="12"/>
      <c r="E482" s="12"/>
      <c r="F482" s="61"/>
      <c r="G482" s="16"/>
      <c r="H482" s="17" t="str">
        <f t="shared" si="35"/>
        <v/>
      </c>
      <c r="I482" s="26" t="str">
        <f>IF(C482="","",C482&amp;"|"&amp;COUNTIF($C$5:C482,C482))</f>
        <v/>
      </c>
      <c r="J482" s="10"/>
      <c r="K482" s="10" t="str">
        <f>IF($C482="","",$C482&amp;"|"&amp;COUNTIF($C$5:C482,$C482))</f>
        <v/>
      </c>
      <c r="L482" s="10" t="str">
        <f t="shared" si="36"/>
        <v/>
      </c>
      <c r="M482" s="26" t="str">
        <f t="shared" si="37"/>
        <v/>
      </c>
      <c r="N482" s="26" t="str">
        <f t="shared" si="38"/>
        <v/>
      </c>
      <c r="O482" s="26" t="str">
        <f t="shared" si="39"/>
        <v/>
      </c>
    </row>
    <row r="483" spans="3:15" ht="21.95" customHeight="1" x14ac:dyDescent="0.25">
      <c r="C483" s="12"/>
      <c r="D483" s="12"/>
      <c r="E483" s="12"/>
      <c r="F483" s="61"/>
      <c r="G483" s="16"/>
      <c r="H483" s="17" t="str">
        <f t="shared" si="35"/>
        <v/>
      </c>
      <c r="I483" s="26" t="str">
        <f>IF(C483="","",C483&amp;"|"&amp;COUNTIF($C$5:C483,C483))</f>
        <v/>
      </c>
      <c r="J483" s="10"/>
      <c r="K483" s="10" t="str">
        <f>IF($C483="","",$C483&amp;"|"&amp;COUNTIF($C$5:C483,$C483))</f>
        <v/>
      </c>
      <c r="L483" s="10" t="str">
        <f t="shared" si="36"/>
        <v/>
      </c>
      <c r="M483" s="26" t="str">
        <f t="shared" si="37"/>
        <v/>
      </c>
      <c r="N483" s="26" t="str">
        <f t="shared" si="38"/>
        <v/>
      </c>
      <c r="O483" s="26" t="str">
        <f t="shared" si="39"/>
        <v/>
      </c>
    </row>
    <row r="484" spans="3:15" ht="21.95" customHeight="1" x14ac:dyDescent="0.25">
      <c r="C484" s="12"/>
      <c r="D484" s="12"/>
      <c r="E484" s="12"/>
      <c r="F484" s="61"/>
      <c r="G484" s="16"/>
      <c r="H484" s="17" t="str">
        <f t="shared" si="35"/>
        <v/>
      </c>
      <c r="I484" s="26" t="str">
        <f>IF(C484="","",C484&amp;"|"&amp;COUNTIF($C$5:C484,C484))</f>
        <v/>
      </c>
      <c r="J484" s="10"/>
      <c r="K484" s="10" t="str">
        <f>IF($C484="","",$C484&amp;"|"&amp;COUNTIF($C$5:C484,$C484))</f>
        <v/>
      </c>
      <c r="L484" s="10" t="str">
        <f t="shared" si="36"/>
        <v/>
      </c>
      <c r="M484" s="26" t="str">
        <f t="shared" si="37"/>
        <v/>
      </c>
      <c r="N484" s="26" t="str">
        <f t="shared" si="38"/>
        <v/>
      </c>
      <c r="O484" s="26" t="str">
        <f t="shared" si="39"/>
        <v/>
      </c>
    </row>
    <row r="485" spans="3:15" ht="21.95" customHeight="1" x14ac:dyDescent="0.25">
      <c r="C485" s="12"/>
      <c r="D485" s="12"/>
      <c r="E485" s="12"/>
      <c r="F485" s="61"/>
      <c r="G485" s="16"/>
      <c r="H485" s="17" t="str">
        <f t="shared" si="35"/>
        <v/>
      </c>
      <c r="I485" s="26" t="str">
        <f>IF(C485="","",C485&amp;"|"&amp;COUNTIF($C$5:C485,C485))</f>
        <v/>
      </c>
      <c r="J485" s="10"/>
      <c r="K485" s="10" t="str">
        <f>IF($C485="","",$C485&amp;"|"&amp;COUNTIF($C$5:C485,$C485))</f>
        <v/>
      </c>
      <c r="L485" s="10" t="str">
        <f t="shared" si="36"/>
        <v/>
      </c>
      <c r="M485" s="26" t="str">
        <f t="shared" si="37"/>
        <v/>
      </c>
      <c r="N485" s="26" t="str">
        <f t="shared" si="38"/>
        <v/>
      </c>
      <c r="O485" s="26" t="str">
        <f t="shared" si="39"/>
        <v/>
      </c>
    </row>
    <row r="486" spans="3:15" ht="21.95" customHeight="1" x14ac:dyDescent="0.25">
      <c r="C486" s="12"/>
      <c r="D486" s="12"/>
      <c r="E486" s="12"/>
      <c r="F486" s="61"/>
      <c r="G486" s="16"/>
      <c r="H486" s="17" t="str">
        <f t="shared" si="35"/>
        <v/>
      </c>
      <c r="I486" s="26" t="str">
        <f>IF(C486="","",C486&amp;"|"&amp;COUNTIF($C$5:C486,C486))</f>
        <v/>
      </c>
      <c r="J486" s="10"/>
      <c r="K486" s="10" t="str">
        <f>IF($C486="","",$C486&amp;"|"&amp;COUNTIF($C$5:C486,$C486))</f>
        <v/>
      </c>
      <c r="L486" s="10" t="str">
        <f t="shared" si="36"/>
        <v/>
      </c>
      <c r="M486" s="26" t="str">
        <f t="shared" si="37"/>
        <v/>
      </c>
      <c r="N486" s="26" t="str">
        <f t="shared" si="38"/>
        <v/>
      </c>
      <c r="O486" s="26" t="str">
        <f t="shared" si="39"/>
        <v/>
      </c>
    </row>
    <row r="487" spans="3:15" ht="21.95" customHeight="1" x14ac:dyDescent="0.25">
      <c r="C487" s="12"/>
      <c r="D487" s="12"/>
      <c r="E487" s="12"/>
      <c r="F487" s="61"/>
      <c r="G487" s="16"/>
      <c r="H487" s="17" t="str">
        <f t="shared" si="35"/>
        <v/>
      </c>
      <c r="I487" s="26" t="str">
        <f>IF(C487="","",C487&amp;"|"&amp;COUNTIF($C$5:C487,C487))</f>
        <v/>
      </c>
      <c r="J487" s="10"/>
      <c r="K487" s="10" t="str">
        <f>IF($C487="","",$C487&amp;"|"&amp;COUNTIF($C$5:C487,$C487))</f>
        <v/>
      </c>
      <c r="L487" s="10" t="str">
        <f t="shared" si="36"/>
        <v/>
      </c>
      <c r="M487" s="26" t="str">
        <f t="shared" si="37"/>
        <v/>
      </c>
      <c r="N487" s="26" t="str">
        <f t="shared" si="38"/>
        <v/>
      </c>
      <c r="O487" s="26" t="str">
        <f t="shared" si="39"/>
        <v/>
      </c>
    </row>
    <row r="488" spans="3:15" ht="21.95" customHeight="1" x14ac:dyDescent="0.25">
      <c r="C488" s="12"/>
      <c r="D488" s="12"/>
      <c r="E488" s="12"/>
      <c r="F488" s="61"/>
      <c r="G488" s="16"/>
      <c r="H488" s="17" t="str">
        <f t="shared" si="35"/>
        <v/>
      </c>
      <c r="I488" s="26" t="str">
        <f>IF(C488="","",C488&amp;"|"&amp;COUNTIF($C$5:C488,C488))</f>
        <v/>
      </c>
      <c r="J488" s="10"/>
      <c r="K488" s="10" t="str">
        <f>IF($C488="","",$C488&amp;"|"&amp;COUNTIF($C$5:C488,$C488))</f>
        <v/>
      </c>
      <c r="L488" s="10" t="str">
        <f t="shared" si="36"/>
        <v/>
      </c>
      <c r="M488" s="26" t="str">
        <f t="shared" si="37"/>
        <v/>
      </c>
      <c r="N488" s="26" t="str">
        <f t="shared" si="38"/>
        <v/>
      </c>
      <c r="O488" s="26" t="str">
        <f t="shared" si="39"/>
        <v/>
      </c>
    </row>
    <row r="489" spans="3:15" ht="21.95" customHeight="1" x14ac:dyDescent="0.25">
      <c r="C489" s="12"/>
      <c r="D489" s="12"/>
      <c r="E489" s="12"/>
      <c r="F489" s="61"/>
      <c r="G489" s="16"/>
      <c r="H489" s="17" t="str">
        <f t="shared" si="35"/>
        <v/>
      </c>
      <c r="I489" s="26" t="str">
        <f>IF(C489="","",C489&amp;"|"&amp;COUNTIF($C$5:C489,C489))</f>
        <v/>
      </c>
      <c r="J489" s="10"/>
      <c r="K489" s="10" t="str">
        <f>IF($C489="","",$C489&amp;"|"&amp;COUNTIF($C$5:C489,$C489))</f>
        <v/>
      </c>
      <c r="L489" s="10" t="str">
        <f t="shared" si="36"/>
        <v/>
      </c>
      <c r="M489" s="26" t="str">
        <f t="shared" si="37"/>
        <v/>
      </c>
      <c r="N489" s="26" t="str">
        <f t="shared" si="38"/>
        <v/>
      </c>
      <c r="O489" s="26" t="str">
        <f t="shared" si="39"/>
        <v/>
      </c>
    </row>
    <row r="490" spans="3:15" ht="21.95" customHeight="1" x14ac:dyDescent="0.25">
      <c r="C490" s="12"/>
      <c r="D490" s="12"/>
      <c r="E490" s="12"/>
      <c r="F490" s="61"/>
      <c r="G490" s="16"/>
      <c r="H490" s="17" t="str">
        <f t="shared" si="35"/>
        <v/>
      </c>
      <c r="I490" s="26" t="str">
        <f>IF(C490="","",C490&amp;"|"&amp;COUNTIF($C$5:C490,C490))</f>
        <v/>
      </c>
      <c r="J490" s="10"/>
      <c r="K490" s="10" t="str">
        <f>IF($C490="","",$C490&amp;"|"&amp;COUNTIF($C$5:C490,$C490))</f>
        <v/>
      </c>
      <c r="L490" s="10" t="str">
        <f t="shared" si="36"/>
        <v/>
      </c>
      <c r="M490" s="26" t="str">
        <f t="shared" si="37"/>
        <v/>
      </c>
      <c r="N490" s="26" t="str">
        <f t="shared" si="38"/>
        <v/>
      </c>
      <c r="O490" s="26" t="str">
        <f t="shared" si="39"/>
        <v/>
      </c>
    </row>
    <row r="491" spans="3:15" ht="21.95" customHeight="1" x14ac:dyDescent="0.25">
      <c r="C491" s="12"/>
      <c r="D491" s="12"/>
      <c r="E491" s="12"/>
      <c r="F491" s="61"/>
      <c r="G491" s="16"/>
      <c r="H491" s="17" t="str">
        <f t="shared" si="35"/>
        <v/>
      </c>
      <c r="I491" s="26" t="str">
        <f>IF(C491="","",C491&amp;"|"&amp;COUNTIF($C$5:C491,C491))</f>
        <v/>
      </c>
      <c r="J491" s="10"/>
      <c r="K491" s="10" t="str">
        <f>IF($C491="","",$C491&amp;"|"&amp;COUNTIF($C$5:C491,$C491))</f>
        <v/>
      </c>
      <c r="L491" s="10" t="str">
        <f t="shared" si="36"/>
        <v/>
      </c>
      <c r="M491" s="26" t="str">
        <f t="shared" si="37"/>
        <v/>
      </c>
      <c r="N491" s="26" t="str">
        <f t="shared" si="38"/>
        <v/>
      </c>
      <c r="O491" s="26" t="str">
        <f t="shared" si="39"/>
        <v/>
      </c>
    </row>
    <row r="492" spans="3:15" ht="21.95" customHeight="1" x14ac:dyDescent="0.25">
      <c r="C492" s="12"/>
      <c r="D492" s="12"/>
      <c r="E492" s="12"/>
      <c r="F492" s="61"/>
      <c r="G492" s="16"/>
      <c r="H492" s="17" t="str">
        <f t="shared" si="35"/>
        <v/>
      </c>
      <c r="I492" s="26" t="str">
        <f>IF(C492="","",C492&amp;"|"&amp;COUNTIF($C$5:C492,C492))</f>
        <v/>
      </c>
      <c r="J492" s="10"/>
      <c r="K492" s="10" t="str">
        <f>IF($C492="","",$C492&amp;"|"&amp;COUNTIF($C$5:C492,$C492))</f>
        <v/>
      </c>
      <c r="L492" s="10" t="str">
        <f t="shared" si="36"/>
        <v/>
      </c>
      <c r="M492" s="26" t="str">
        <f t="shared" si="37"/>
        <v/>
      </c>
      <c r="N492" s="26" t="str">
        <f t="shared" si="38"/>
        <v/>
      </c>
      <c r="O492" s="26" t="str">
        <f t="shared" si="39"/>
        <v/>
      </c>
    </row>
    <row r="493" spans="3:15" ht="21.95" customHeight="1" x14ac:dyDescent="0.25">
      <c r="C493" s="12"/>
      <c r="D493" s="12"/>
      <c r="E493" s="12"/>
      <c r="F493" s="61"/>
      <c r="G493" s="16"/>
      <c r="H493" s="17" t="str">
        <f t="shared" si="35"/>
        <v/>
      </c>
      <c r="I493" s="26" t="str">
        <f>IF(C493="","",C493&amp;"|"&amp;COUNTIF($C$5:C493,C493))</f>
        <v/>
      </c>
      <c r="J493" s="10"/>
      <c r="K493" s="10" t="str">
        <f>IF($C493="","",$C493&amp;"|"&amp;COUNTIF($C$5:C493,$C493))</f>
        <v/>
      </c>
      <c r="L493" s="10" t="str">
        <f t="shared" si="36"/>
        <v/>
      </c>
      <c r="M493" s="26" t="str">
        <f t="shared" si="37"/>
        <v/>
      </c>
      <c r="N493" s="26" t="str">
        <f t="shared" si="38"/>
        <v/>
      </c>
      <c r="O493" s="26" t="str">
        <f t="shared" si="39"/>
        <v/>
      </c>
    </row>
    <row r="494" spans="3:15" ht="21.95" customHeight="1" x14ac:dyDescent="0.25">
      <c r="C494" s="12"/>
      <c r="D494" s="12"/>
      <c r="E494" s="12"/>
      <c r="F494" s="61"/>
      <c r="G494" s="16"/>
      <c r="H494" s="17" t="str">
        <f t="shared" si="35"/>
        <v/>
      </c>
      <c r="I494" s="26" t="str">
        <f>IF(C494="","",C494&amp;"|"&amp;COUNTIF($C$5:C494,C494))</f>
        <v/>
      </c>
      <c r="J494" s="10"/>
      <c r="K494" s="10" t="str">
        <f>IF($C494="","",$C494&amp;"|"&amp;COUNTIF($C$5:C494,$C494))</f>
        <v/>
      </c>
      <c r="L494" s="10" t="str">
        <f t="shared" si="36"/>
        <v/>
      </c>
      <c r="M494" s="26" t="str">
        <f t="shared" si="37"/>
        <v/>
      </c>
      <c r="N494" s="26" t="str">
        <f t="shared" si="38"/>
        <v/>
      </c>
      <c r="O494" s="26" t="str">
        <f t="shared" si="39"/>
        <v/>
      </c>
    </row>
    <row r="495" spans="3:15" ht="21.95" customHeight="1" x14ac:dyDescent="0.25">
      <c r="C495" s="12"/>
      <c r="D495" s="12"/>
      <c r="E495" s="12"/>
      <c r="F495" s="61"/>
      <c r="G495" s="16"/>
      <c r="H495" s="17" t="str">
        <f t="shared" si="35"/>
        <v/>
      </c>
      <c r="I495" s="26" t="str">
        <f>IF(C495="","",C495&amp;"|"&amp;COUNTIF($C$5:C495,C495))</f>
        <v/>
      </c>
      <c r="J495" s="10"/>
      <c r="K495" s="10" t="str">
        <f>IF($C495="","",$C495&amp;"|"&amp;COUNTIF($C$5:C495,$C495))</f>
        <v/>
      </c>
      <c r="L495" s="10" t="str">
        <f t="shared" si="36"/>
        <v/>
      </c>
      <c r="M495" s="26" t="str">
        <f t="shared" si="37"/>
        <v/>
      </c>
      <c r="N495" s="26" t="str">
        <f t="shared" si="38"/>
        <v/>
      </c>
      <c r="O495" s="26" t="str">
        <f t="shared" si="39"/>
        <v/>
      </c>
    </row>
    <row r="496" spans="3:15" ht="21.95" customHeight="1" x14ac:dyDescent="0.25">
      <c r="C496" s="12"/>
      <c r="D496" s="12"/>
      <c r="E496" s="12"/>
      <c r="F496" s="61"/>
      <c r="G496" s="16"/>
      <c r="H496" s="17" t="str">
        <f t="shared" si="35"/>
        <v/>
      </c>
      <c r="I496" s="26" t="str">
        <f>IF(C496="","",C496&amp;"|"&amp;COUNTIF($C$5:C496,C496))</f>
        <v/>
      </c>
      <c r="J496" s="10"/>
      <c r="K496" s="10" t="str">
        <f>IF($C496="","",$C496&amp;"|"&amp;COUNTIF($C$5:C496,$C496))</f>
        <v/>
      </c>
      <c r="L496" s="10" t="str">
        <f t="shared" si="36"/>
        <v/>
      </c>
      <c r="M496" s="26" t="str">
        <f t="shared" si="37"/>
        <v/>
      </c>
      <c r="N496" s="26" t="str">
        <f t="shared" si="38"/>
        <v/>
      </c>
      <c r="O496" s="26" t="str">
        <f t="shared" si="39"/>
        <v/>
      </c>
    </row>
    <row r="497" spans="3:15" ht="21.95" customHeight="1" x14ac:dyDescent="0.25">
      <c r="C497" s="12"/>
      <c r="D497" s="12"/>
      <c r="E497" s="12"/>
      <c r="F497" s="61"/>
      <c r="G497" s="16"/>
      <c r="H497" s="17" t="str">
        <f t="shared" si="35"/>
        <v/>
      </c>
      <c r="I497" s="26" t="str">
        <f>IF(C497="","",C497&amp;"|"&amp;COUNTIF($C$5:C497,C497))</f>
        <v/>
      </c>
      <c r="J497" s="10"/>
      <c r="K497" s="10" t="str">
        <f>IF($C497="","",$C497&amp;"|"&amp;COUNTIF($C$5:C497,$C497))</f>
        <v/>
      </c>
      <c r="L497" s="10" t="str">
        <f t="shared" si="36"/>
        <v/>
      </c>
      <c r="M497" s="26" t="str">
        <f t="shared" si="37"/>
        <v/>
      </c>
      <c r="N497" s="26" t="str">
        <f t="shared" si="38"/>
        <v/>
      </c>
      <c r="O497" s="26" t="str">
        <f t="shared" si="39"/>
        <v/>
      </c>
    </row>
    <row r="498" spans="3:15" ht="21.95" customHeight="1" x14ac:dyDescent="0.25">
      <c r="C498" s="12"/>
      <c r="D498" s="12"/>
      <c r="E498" s="12"/>
      <c r="F498" s="61"/>
      <c r="G498" s="16"/>
      <c r="H498" s="17" t="str">
        <f t="shared" si="35"/>
        <v/>
      </c>
      <c r="I498" s="26" t="str">
        <f>IF(C498="","",C498&amp;"|"&amp;COUNTIF($C$5:C498,C498))</f>
        <v/>
      </c>
      <c r="J498" s="10"/>
      <c r="K498" s="10" t="str">
        <f>IF($C498="","",$C498&amp;"|"&amp;COUNTIF($C$5:C498,$C498))</f>
        <v/>
      </c>
      <c r="L498" s="10" t="str">
        <f t="shared" si="36"/>
        <v/>
      </c>
      <c r="M498" s="26" t="str">
        <f t="shared" si="37"/>
        <v/>
      </c>
      <c r="N498" s="26" t="str">
        <f t="shared" si="38"/>
        <v/>
      </c>
      <c r="O498" s="26" t="str">
        <f t="shared" si="39"/>
        <v/>
      </c>
    </row>
    <row r="499" spans="3:15" ht="21.95" customHeight="1" x14ac:dyDescent="0.25">
      <c r="C499" s="12"/>
      <c r="D499" s="12"/>
      <c r="E499" s="12"/>
      <c r="F499" s="61"/>
      <c r="G499" s="16"/>
      <c r="H499" s="17" t="str">
        <f t="shared" si="35"/>
        <v/>
      </c>
      <c r="I499" s="26" t="str">
        <f>IF(C499="","",C499&amp;"|"&amp;COUNTIF($C$5:C499,C499))</f>
        <v/>
      </c>
      <c r="J499" s="10"/>
      <c r="K499" s="10" t="str">
        <f>IF($C499="","",$C499&amp;"|"&amp;COUNTIF($C$5:C499,$C499))</f>
        <v/>
      </c>
      <c r="L499" s="10" t="str">
        <f t="shared" si="36"/>
        <v/>
      </c>
      <c r="M499" s="26" t="str">
        <f t="shared" si="37"/>
        <v/>
      </c>
      <c r="N499" s="26" t="str">
        <f t="shared" si="38"/>
        <v/>
      </c>
      <c r="O499" s="26" t="str">
        <f t="shared" si="39"/>
        <v/>
      </c>
    </row>
    <row r="500" spans="3:15" ht="21.95" customHeight="1" x14ac:dyDescent="0.25">
      <c r="C500" s="12"/>
      <c r="D500" s="12"/>
      <c r="E500" s="12"/>
      <c r="F500" s="61"/>
      <c r="G500" s="16"/>
      <c r="H500" s="17" t="str">
        <f t="shared" si="35"/>
        <v/>
      </c>
      <c r="I500" s="26" t="str">
        <f>IF(C500="","",C500&amp;"|"&amp;COUNTIF($C$5:C500,C500))</f>
        <v/>
      </c>
      <c r="J500" s="10"/>
      <c r="K500" s="10" t="str">
        <f>IF($C500="","",$C500&amp;"|"&amp;COUNTIF($C$5:C500,$C500))</f>
        <v/>
      </c>
      <c r="L500" s="10" t="str">
        <f t="shared" si="36"/>
        <v/>
      </c>
      <c r="M500" s="26" t="str">
        <f t="shared" si="37"/>
        <v/>
      </c>
      <c r="N500" s="26" t="str">
        <f t="shared" si="38"/>
        <v/>
      </c>
      <c r="O500" s="26" t="str">
        <f t="shared" si="39"/>
        <v/>
      </c>
    </row>
    <row r="501" spans="3:15" ht="21.95" customHeight="1" x14ac:dyDescent="0.25">
      <c r="C501" s="12"/>
      <c r="D501" s="12"/>
      <c r="E501" s="12"/>
      <c r="F501" s="61"/>
      <c r="G501" s="16"/>
      <c r="H501" s="17" t="str">
        <f t="shared" si="35"/>
        <v/>
      </c>
      <c r="I501" s="26" t="str">
        <f>IF(C501="","",C501&amp;"|"&amp;COUNTIF($C$5:C501,C501))</f>
        <v/>
      </c>
      <c r="J501" s="10"/>
      <c r="K501" s="10" t="str">
        <f>IF($C501="","",$C501&amp;"|"&amp;COUNTIF($C$5:C501,$C501))</f>
        <v/>
      </c>
      <c r="L501" s="10" t="str">
        <f t="shared" si="36"/>
        <v/>
      </c>
      <c r="M501" s="26" t="str">
        <f t="shared" si="37"/>
        <v/>
      </c>
      <c r="N501" s="26" t="str">
        <f t="shared" si="38"/>
        <v/>
      </c>
      <c r="O501" s="26" t="str">
        <f t="shared" si="39"/>
        <v/>
      </c>
    </row>
    <row r="502" spans="3:15" ht="21.95" customHeight="1" x14ac:dyDescent="0.25">
      <c r="C502" s="12"/>
      <c r="D502" s="12"/>
      <c r="E502" s="12"/>
      <c r="F502" s="61"/>
      <c r="G502" s="16"/>
      <c r="H502" s="17" t="str">
        <f t="shared" si="35"/>
        <v/>
      </c>
      <c r="I502" s="26" t="str">
        <f>IF(C502="","",C502&amp;"|"&amp;COUNTIF($C$5:C502,C502))</f>
        <v/>
      </c>
      <c r="J502" s="10"/>
      <c r="K502" s="10" t="str">
        <f>IF($C502="","",$C502&amp;"|"&amp;COUNTIF($C$5:C502,$C502))</f>
        <v/>
      </c>
      <c r="L502" s="10" t="str">
        <f t="shared" si="36"/>
        <v/>
      </c>
      <c r="M502" s="26" t="str">
        <f t="shared" si="37"/>
        <v/>
      </c>
      <c r="N502" s="26" t="str">
        <f t="shared" si="38"/>
        <v/>
      </c>
      <c r="O502" s="26" t="str">
        <f t="shared" si="39"/>
        <v/>
      </c>
    </row>
    <row r="503" spans="3:15" ht="21.95" customHeight="1" x14ac:dyDescent="0.25">
      <c r="C503" s="12"/>
      <c r="D503" s="12"/>
      <c r="E503" s="12"/>
      <c r="F503" s="61"/>
      <c r="G503" s="16"/>
      <c r="H503" s="17" t="str">
        <f t="shared" si="35"/>
        <v/>
      </c>
      <c r="I503" s="26" t="str">
        <f>IF(C503="","",C503&amp;"|"&amp;COUNTIF($C$5:C503,C503))</f>
        <v/>
      </c>
      <c r="J503" s="10"/>
      <c r="K503" s="10" t="str">
        <f>IF($C503="","",$C503&amp;"|"&amp;COUNTIF($C$5:C503,$C503))</f>
        <v/>
      </c>
      <c r="L503" s="10" t="str">
        <f t="shared" si="36"/>
        <v/>
      </c>
      <c r="M503" s="26" t="str">
        <f t="shared" si="37"/>
        <v/>
      </c>
      <c r="N503" s="26" t="str">
        <f t="shared" si="38"/>
        <v/>
      </c>
      <c r="O503" s="26" t="str">
        <f t="shared" si="39"/>
        <v/>
      </c>
    </row>
    <row r="504" spans="3:15" ht="21.95" customHeight="1" x14ac:dyDescent="0.25">
      <c r="C504" s="12"/>
      <c r="D504" s="12"/>
      <c r="E504" s="12"/>
      <c r="F504" s="61"/>
      <c r="G504" s="16"/>
      <c r="H504" s="17" t="str">
        <f t="shared" si="35"/>
        <v/>
      </c>
      <c r="I504" s="26" t="str">
        <f>IF(C504="","",C504&amp;"|"&amp;COUNTIF($C$5:C504,C504))</f>
        <v/>
      </c>
      <c r="J504" s="10"/>
      <c r="K504" s="10" t="str">
        <f>IF($C504="","",$C504&amp;"|"&amp;COUNTIF($C$5:C504,$C504))</f>
        <v/>
      </c>
      <c r="L504" s="10" t="str">
        <f t="shared" si="36"/>
        <v/>
      </c>
      <c r="M504" s="26" t="str">
        <f t="shared" si="37"/>
        <v/>
      </c>
      <c r="N504" s="26" t="str">
        <f t="shared" si="38"/>
        <v/>
      </c>
      <c r="O504" s="26" t="str">
        <f t="shared" si="39"/>
        <v/>
      </c>
    </row>
    <row r="505" spans="3:15" ht="21.95" customHeight="1" x14ac:dyDescent="0.25">
      <c r="C505" s="10"/>
      <c r="D505" s="10"/>
      <c r="E505" s="10"/>
      <c r="F505" s="10"/>
      <c r="G505" s="10"/>
      <c r="H505" s="10"/>
      <c r="J505" s="10"/>
      <c r="K505" s="10"/>
      <c r="L505" s="10"/>
    </row>
    <row r="506" spans="3:15" ht="21.95" customHeight="1" x14ac:dyDescent="0.25">
      <c r="C506" s="10"/>
      <c r="D506" s="10"/>
      <c r="E506" s="10"/>
      <c r="F506" s="10"/>
      <c r="G506" s="10"/>
      <c r="H506" s="10"/>
      <c r="J506" s="10"/>
      <c r="K506" s="10"/>
      <c r="L506" s="10"/>
    </row>
    <row r="507" spans="3:15" ht="21.95" customHeight="1" x14ac:dyDescent="0.25">
      <c r="C507" s="10"/>
      <c r="D507" s="10"/>
      <c r="E507" s="10"/>
      <c r="F507" s="10"/>
      <c r="G507" s="10"/>
      <c r="H507" s="10"/>
      <c r="J507" s="10"/>
      <c r="K507" s="10"/>
      <c r="L507" s="10"/>
    </row>
    <row r="508" spans="3:15" ht="21.95" customHeight="1" x14ac:dyDescent="0.25">
      <c r="C508" s="10"/>
      <c r="D508" s="10"/>
      <c r="E508" s="10"/>
      <c r="F508" s="10"/>
      <c r="G508" s="10"/>
      <c r="H508" s="10"/>
      <c r="J508" s="10"/>
      <c r="K508" s="10"/>
      <c r="L508" s="10"/>
    </row>
    <row r="509" spans="3:15" ht="21.95" customHeight="1" x14ac:dyDescent="0.25">
      <c r="C509" s="10"/>
      <c r="D509" s="10"/>
      <c r="E509" s="10"/>
      <c r="F509" s="10"/>
      <c r="G509" s="10"/>
      <c r="H509" s="10"/>
      <c r="J509" s="10"/>
      <c r="K509" s="10"/>
      <c r="L509" s="10"/>
    </row>
    <row r="510" spans="3:15" ht="21.95" customHeight="1" x14ac:dyDescent="0.25">
      <c r="C510" s="10"/>
      <c r="D510" s="10"/>
      <c r="E510" s="10"/>
      <c r="F510" s="10"/>
      <c r="G510" s="10"/>
      <c r="H510" s="10"/>
      <c r="J510" s="10"/>
      <c r="K510" s="10"/>
      <c r="L510" s="10"/>
    </row>
    <row r="511" spans="3:15" ht="21.95" customHeight="1" x14ac:dyDescent="0.25">
      <c r="C511" s="10"/>
      <c r="D511" s="10"/>
      <c r="E511" s="10"/>
      <c r="F511" s="10"/>
      <c r="G511" s="10"/>
      <c r="H511" s="10"/>
      <c r="J511" s="10"/>
      <c r="K511" s="10"/>
      <c r="L511" s="10"/>
    </row>
    <row r="512" spans="3:15" ht="21.95" customHeight="1" x14ac:dyDescent="0.25">
      <c r="C512" s="10"/>
      <c r="D512" s="10"/>
      <c r="E512" s="10"/>
      <c r="F512" s="10"/>
      <c r="G512" s="10"/>
      <c r="H512" s="10"/>
      <c r="J512" s="10"/>
      <c r="K512" s="10"/>
      <c r="L512" s="10"/>
    </row>
    <row r="513" spans="3:12" ht="21.95" customHeight="1" x14ac:dyDescent="0.25">
      <c r="C513" s="10"/>
      <c r="D513" s="10"/>
      <c r="E513" s="10"/>
      <c r="F513" s="10"/>
      <c r="G513" s="10"/>
      <c r="H513" s="10"/>
      <c r="J513" s="10"/>
      <c r="K513" s="10"/>
      <c r="L513" s="10"/>
    </row>
    <row r="514" spans="3:12" ht="21.95" customHeight="1" x14ac:dyDescent="0.25">
      <c r="C514" s="10"/>
      <c r="D514" s="10"/>
      <c r="E514" s="10"/>
      <c r="F514" s="10"/>
      <c r="G514" s="10"/>
      <c r="H514" s="10"/>
      <c r="J514" s="10"/>
      <c r="K514" s="10"/>
      <c r="L514" s="10"/>
    </row>
    <row r="515" spans="3:12" ht="21.95" customHeight="1" x14ac:dyDescent="0.25">
      <c r="C515" s="10"/>
      <c r="D515" s="10"/>
      <c r="E515" s="10"/>
      <c r="F515" s="10"/>
      <c r="G515" s="10"/>
      <c r="H515" s="10"/>
      <c r="J515" s="10"/>
      <c r="K515" s="10"/>
      <c r="L515" s="10"/>
    </row>
    <row r="516" spans="3:12" ht="21.95" customHeight="1" x14ac:dyDescent="0.25">
      <c r="C516" s="10"/>
      <c r="D516" s="10"/>
      <c r="E516" s="10"/>
      <c r="F516" s="10"/>
      <c r="G516" s="10"/>
      <c r="H516" s="10"/>
      <c r="J516" s="10"/>
      <c r="K516" s="10"/>
      <c r="L516" s="10"/>
    </row>
    <row r="517" spans="3:12" ht="21.95" customHeight="1" x14ac:dyDescent="0.25">
      <c r="C517" s="10"/>
      <c r="D517" s="10"/>
      <c r="E517" s="10"/>
      <c r="F517" s="10"/>
      <c r="G517" s="10"/>
      <c r="H517" s="10"/>
      <c r="J517" s="10"/>
      <c r="K517" s="10"/>
      <c r="L517" s="10"/>
    </row>
    <row r="518" spans="3:12" ht="21.95" customHeight="1" x14ac:dyDescent="0.25">
      <c r="C518" s="10"/>
      <c r="D518" s="10"/>
      <c r="E518" s="10"/>
      <c r="F518" s="10"/>
      <c r="G518" s="10"/>
      <c r="H518" s="10"/>
      <c r="J518" s="10"/>
      <c r="K518" s="10"/>
      <c r="L518" s="10"/>
    </row>
    <row r="519" spans="3:12" ht="21.95" customHeight="1" x14ac:dyDescent="0.25">
      <c r="C519" s="10"/>
      <c r="D519" s="10"/>
      <c r="E519" s="10"/>
      <c r="F519" s="10"/>
      <c r="G519" s="10"/>
      <c r="H519" s="10"/>
      <c r="J519" s="10"/>
      <c r="K519" s="10"/>
      <c r="L519" s="10"/>
    </row>
    <row r="520" spans="3:12" ht="21.95" customHeight="1" x14ac:dyDescent="0.25">
      <c r="C520" s="10"/>
      <c r="D520" s="10"/>
      <c r="E520" s="10"/>
      <c r="F520" s="10"/>
      <c r="G520" s="10"/>
      <c r="H520" s="10"/>
      <c r="J520" s="10"/>
      <c r="K520" s="10"/>
      <c r="L520" s="10"/>
    </row>
    <row r="521" spans="3:12" ht="21.95" customHeight="1" x14ac:dyDescent="0.25">
      <c r="C521" s="10"/>
      <c r="D521" s="10"/>
      <c r="E521" s="10"/>
      <c r="F521" s="10"/>
      <c r="G521" s="10"/>
      <c r="H521" s="10"/>
      <c r="J521" s="10"/>
      <c r="K521" s="10"/>
      <c r="L521" s="10"/>
    </row>
    <row r="522" spans="3:12" ht="21.95" customHeight="1" x14ac:dyDescent="0.25">
      <c r="C522" s="10"/>
      <c r="D522" s="10"/>
      <c r="E522" s="10"/>
      <c r="F522" s="10"/>
      <c r="G522" s="10"/>
      <c r="H522" s="10"/>
      <c r="J522" s="10"/>
      <c r="K522" s="10"/>
      <c r="L522" s="10"/>
    </row>
    <row r="523" spans="3:12" ht="21.95" customHeight="1" x14ac:dyDescent="0.25">
      <c r="C523" s="10"/>
      <c r="D523" s="10"/>
      <c r="E523" s="10"/>
      <c r="F523" s="10"/>
      <c r="G523" s="10"/>
      <c r="H523" s="10"/>
      <c r="J523" s="10"/>
      <c r="K523" s="10"/>
      <c r="L523" s="10"/>
    </row>
    <row r="524" spans="3:12" ht="21.95" customHeight="1" x14ac:dyDescent="0.25">
      <c r="C524" s="10"/>
      <c r="D524" s="10"/>
      <c r="E524" s="10"/>
      <c r="F524" s="10"/>
      <c r="G524" s="10"/>
      <c r="H524" s="10"/>
      <c r="J524" s="10"/>
      <c r="K524" s="10"/>
      <c r="L524" s="10"/>
    </row>
    <row r="525" spans="3:12" ht="21.95" customHeight="1" x14ac:dyDescent="0.25">
      <c r="C525" s="10"/>
      <c r="D525" s="10"/>
      <c r="E525" s="10"/>
      <c r="F525" s="10"/>
      <c r="G525" s="10"/>
      <c r="H525" s="10"/>
      <c r="J525" s="10"/>
      <c r="K525" s="10"/>
      <c r="L525" s="10"/>
    </row>
    <row r="526" spans="3:12" ht="21.95" customHeight="1" x14ac:dyDescent="0.25">
      <c r="C526" s="10"/>
      <c r="D526" s="10"/>
      <c r="E526" s="10"/>
      <c r="F526" s="10"/>
      <c r="G526" s="10"/>
      <c r="H526" s="10"/>
      <c r="J526" s="10"/>
      <c r="K526" s="10"/>
      <c r="L526" s="10"/>
    </row>
    <row r="527" spans="3:12" ht="21.95" customHeight="1" x14ac:dyDescent="0.25">
      <c r="C527" s="10"/>
      <c r="D527" s="10"/>
      <c r="E527" s="10"/>
      <c r="F527" s="10"/>
      <c r="G527" s="10"/>
      <c r="H527" s="10"/>
      <c r="J527" s="10"/>
      <c r="K527" s="10"/>
      <c r="L527" s="10"/>
    </row>
    <row r="528" spans="3:12" ht="21.95" customHeight="1" x14ac:dyDescent="0.25">
      <c r="C528" s="10"/>
      <c r="D528" s="10"/>
      <c r="E528" s="10"/>
      <c r="F528" s="10"/>
      <c r="G528" s="10"/>
      <c r="H528" s="10"/>
      <c r="J528" s="10"/>
      <c r="K528" s="10"/>
      <c r="L528" s="10"/>
    </row>
    <row r="529" spans="3:12" ht="21.95" customHeight="1" x14ac:dyDescent="0.25">
      <c r="C529" s="10"/>
      <c r="D529" s="10"/>
      <c r="E529" s="10"/>
      <c r="F529" s="10"/>
      <c r="G529" s="10"/>
      <c r="H529" s="10"/>
      <c r="J529" s="10"/>
      <c r="K529" s="10"/>
      <c r="L529" s="10"/>
    </row>
    <row r="530" spans="3:12" ht="21.95" customHeight="1" x14ac:dyDescent="0.25">
      <c r="C530" s="10"/>
      <c r="D530" s="10"/>
      <c r="E530" s="10"/>
      <c r="F530" s="10"/>
      <c r="G530" s="10"/>
      <c r="H530" s="10"/>
      <c r="J530" s="10"/>
      <c r="K530" s="10"/>
      <c r="L530" s="10"/>
    </row>
    <row r="531" spans="3:12" ht="21.95" customHeight="1" x14ac:dyDescent="0.25">
      <c r="C531" s="10"/>
      <c r="D531" s="10"/>
      <c r="E531" s="10"/>
      <c r="F531" s="10"/>
      <c r="G531" s="10"/>
      <c r="H531" s="10"/>
      <c r="J531" s="10"/>
      <c r="K531" s="10"/>
      <c r="L531" s="10"/>
    </row>
    <row r="532" spans="3:12" ht="21.95" customHeight="1" x14ac:dyDescent="0.25">
      <c r="C532" s="10"/>
      <c r="D532" s="10"/>
      <c r="E532" s="10"/>
      <c r="F532" s="10"/>
      <c r="G532" s="10"/>
      <c r="H532" s="10"/>
      <c r="J532" s="10"/>
      <c r="K532" s="10"/>
      <c r="L532" s="10"/>
    </row>
    <row r="533" spans="3:12" ht="21.95" customHeight="1" x14ac:dyDescent="0.25"/>
    <row r="534" spans="3:12" ht="21.95" customHeight="1" x14ac:dyDescent="0.25"/>
    <row r="535" spans="3:12" ht="21.95" customHeight="1" x14ac:dyDescent="0.25"/>
    <row r="536" spans="3:12" ht="21.95" customHeight="1" x14ac:dyDescent="0.25"/>
    <row r="537" spans="3:12" ht="21.95" customHeight="1" x14ac:dyDescent="0.25"/>
    <row r="538" spans="3:12" ht="21.95" customHeight="1" x14ac:dyDescent="0.25"/>
    <row r="539" spans="3:12" ht="21.95" customHeight="1" x14ac:dyDescent="0.25"/>
    <row r="540" spans="3:12" ht="21.95" customHeight="1" x14ac:dyDescent="0.25"/>
    <row r="541" spans="3:12" ht="21.95" customHeight="1" x14ac:dyDescent="0.25"/>
  </sheetData>
  <mergeCells count="3">
    <mergeCell ref="C2:H2"/>
    <mergeCell ref="C1:H1"/>
    <mergeCell ref="J5:L14"/>
  </mergeCells>
  <dataValidations count="1">
    <dataValidation type="list" allowBlank="1" sqref="D5:D504" xr:uid="{00000000-0002-0000-0300-000000000000}">
      <formula1>"Materia prima,Mano de obra,Costo indirecto fabricación,Gasto publicidad,Gasto administrativo,Otro gasto"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1000000}">
          <x14:formula1>
            <xm:f>Productos!$B$5:$B$124</xm:f>
          </x14:formula1>
          <xm:sqref>C5:C504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3333"/>
  </sheetPr>
  <dimension ref="A1:V540"/>
  <sheetViews>
    <sheetView topLeftCell="A7" workbookViewId="0">
      <selection activeCell="M29" sqref="M29"/>
    </sheetView>
  </sheetViews>
  <sheetFormatPr baseColWidth="10" defaultColWidth="9.140625" defaultRowHeight="15" x14ac:dyDescent="0.25"/>
  <cols>
    <col min="1" max="2" width="9.140625" style="10"/>
    <col min="3" max="3" width="4" customWidth="1"/>
    <col min="4" max="4" width="32" customWidth="1"/>
    <col min="5" max="5" width="18" customWidth="1"/>
    <col min="6" max="6" width="10.140625" customWidth="1"/>
    <col min="7" max="7" width="27.85546875" customWidth="1"/>
    <col min="8" max="8" width="18" customWidth="1"/>
    <col min="9" max="9" width="9.42578125" customWidth="1"/>
    <col min="15" max="22" width="9.140625" style="10"/>
  </cols>
  <sheetData>
    <row r="1" spans="3:14" ht="21.95" customHeight="1" x14ac:dyDescent="0.25">
      <c r="C1" s="30" t="s">
        <v>84</v>
      </c>
      <c r="D1" s="30"/>
      <c r="E1" s="30"/>
      <c r="F1" s="30"/>
      <c r="G1" s="30"/>
      <c r="H1" s="30"/>
      <c r="I1" s="30"/>
      <c r="J1" s="10"/>
      <c r="K1" s="10"/>
      <c r="L1" s="10"/>
      <c r="M1" s="10"/>
      <c r="N1" s="10"/>
    </row>
    <row r="2" spans="3:14" ht="21.95" customHeight="1" x14ac:dyDescent="0.25">
      <c r="C2" s="31" t="s">
        <v>85</v>
      </c>
      <c r="D2" s="34"/>
      <c r="E2" s="34"/>
      <c r="F2" s="34"/>
      <c r="G2" s="34"/>
      <c r="H2" s="34"/>
      <c r="I2" s="34"/>
      <c r="J2" s="10"/>
      <c r="K2" s="10"/>
      <c r="L2" s="10"/>
      <c r="M2" s="10"/>
      <c r="N2" s="10"/>
    </row>
    <row r="3" spans="3:14" s="10" customFormat="1" ht="21.95" customHeight="1" x14ac:dyDescent="0.25"/>
    <row r="4" spans="3:14" ht="21.95" customHeight="1" x14ac:dyDescent="0.25">
      <c r="C4" s="10"/>
      <c r="D4" s="28" t="s">
        <v>86</v>
      </c>
      <c r="E4" s="34"/>
      <c r="F4" s="10"/>
      <c r="G4" s="57" t="s">
        <v>87</v>
      </c>
      <c r="H4" s="54"/>
      <c r="I4" s="10"/>
      <c r="J4" s="10"/>
      <c r="K4" s="10"/>
      <c r="L4" s="10"/>
      <c r="M4" s="10"/>
      <c r="N4" s="10"/>
    </row>
    <row r="5" spans="3:14" ht="21.95" customHeight="1" x14ac:dyDescent="0.25">
      <c r="C5" s="10"/>
      <c r="D5" s="36" t="s">
        <v>31</v>
      </c>
      <c r="E5" s="34"/>
      <c r="F5" s="10"/>
      <c r="G5" s="58" t="str">
        <f>IFERROR(VLOOKUP($D$5,Productos!$B$5:$H$124,3,FALSE),"")</f>
        <v>1 unidad</v>
      </c>
      <c r="H5" s="34"/>
      <c r="I5" s="10"/>
      <c r="J5" s="10"/>
      <c r="K5" s="10"/>
      <c r="L5" s="10"/>
      <c r="M5" s="10"/>
      <c r="N5" s="10"/>
    </row>
    <row r="6" spans="3:14" ht="21.95" customHeight="1" x14ac:dyDescent="0.25">
      <c r="C6" s="10"/>
      <c r="D6" s="10"/>
      <c r="E6" s="10"/>
      <c r="F6" s="10"/>
      <c r="G6" s="10"/>
      <c r="H6" s="10"/>
      <c r="I6" s="10"/>
      <c r="J6" s="51" t="s">
        <v>88</v>
      </c>
      <c r="K6" s="51"/>
      <c r="L6" s="51"/>
      <c r="M6" s="10"/>
      <c r="N6" s="10"/>
    </row>
    <row r="7" spans="3:14" ht="21.95" customHeight="1" x14ac:dyDescent="0.25">
      <c r="C7" s="10"/>
      <c r="D7" s="53" t="s">
        <v>89</v>
      </c>
      <c r="E7" s="54"/>
      <c r="F7" s="10"/>
      <c r="G7" s="53" t="s">
        <v>90</v>
      </c>
      <c r="H7" s="54"/>
      <c r="I7" s="10"/>
      <c r="J7" s="51"/>
      <c r="K7" s="51"/>
      <c r="L7" s="51"/>
      <c r="M7" s="10"/>
      <c r="N7" s="10"/>
    </row>
    <row r="8" spans="3:14" ht="21.95" customHeight="1" x14ac:dyDescent="0.25">
      <c r="C8" s="10"/>
      <c r="D8" s="7" t="s">
        <v>91</v>
      </c>
      <c r="E8" s="17">
        <f>SUMIFS('Base de Costos'!$H$5:$H$504,'Base de Costos'!$C$5:$C$504,$D$5,'Base de Costos'!$D$5:$D$504,"Materia prima")</f>
        <v>9100</v>
      </c>
      <c r="F8" s="10"/>
      <c r="G8" s="27" t="s">
        <v>92</v>
      </c>
      <c r="H8" s="17">
        <f>IFERROR(VLOOKUP($D$5,Productos!$B$5:$H$124,4,FALSE),0)</f>
        <v>20000</v>
      </c>
      <c r="I8" s="10"/>
      <c r="J8" s="51"/>
      <c r="K8" s="51"/>
      <c r="L8" s="51"/>
      <c r="M8" s="10"/>
      <c r="N8" s="10"/>
    </row>
    <row r="9" spans="3:14" ht="21.95" customHeight="1" x14ac:dyDescent="0.25">
      <c r="C9" s="10"/>
      <c r="D9" s="7" t="s">
        <v>93</v>
      </c>
      <c r="E9" s="17">
        <f>SUMIFS('Base de Costos'!$H$5:$H$504,'Base de Costos'!$C$5:$C$504,$D$5,'Base de Costos'!$D$5:$D$504,"Mano de obra")</f>
        <v>4500</v>
      </c>
      <c r="F9" s="10"/>
      <c r="G9" s="27" t="s">
        <v>94</v>
      </c>
      <c r="H9" s="17">
        <f>IFERROR(VLOOKUP($D$5,Productos!$B$5:$H$124,5,FALSE),0)</f>
        <v>30000</v>
      </c>
      <c r="I9" s="10"/>
      <c r="J9" s="51"/>
      <c r="K9" s="51"/>
      <c r="L9" s="51"/>
      <c r="M9" s="10"/>
      <c r="N9" s="10"/>
    </row>
    <row r="10" spans="3:14" ht="21.95" customHeight="1" x14ac:dyDescent="0.25">
      <c r="C10" s="10"/>
      <c r="D10" s="7" t="s">
        <v>95</v>
      </c>
      <c r="E10" s="17">
        <f>SUMIFS('Base de Costos'!$H$5:$H$504,'Base de Costos'!$C$5:$C$504,$D$5,'Base de Costos'!$D$5:$D$504,"Costo indirecto fabricación")</f>
        <v>50</v>
      </c>
      <c r="F10" s="10"/>
      <c r="G10" s="27" t="s">
        <v>96</v>
      </c>
      <c r="H10" s="17">
        <f>IFERROR(VLOOKUP($D$5,Productos!$B$5:$H$124,6,FALSE),0)</f>
        <v>40000</v>
      </c>
      <c r="I10" s="10"/>
      <c r="J10" s="51"/>
      <c r="K10" s="51"/>
      <c r="L10" s="51"/>
      <c r="M10" s="10"/>
      <c r="N10" s="10"/>
    </row>
    <row r="11" spans="3:14" ht="21.95" customHeight="1" x14ac:dyDescent="0.25">
      <c r="C11" s="10"/>
      <c r="D11" s="8" t="s">
        <v>97</v>
      </c>
      <c r="E11" s="19">
        <f>SUM(E8:E10)</f>
        <v>13650</v>
      </c>
      <c r="F11" s="10"/>
      <c r="G11" s="27" t="s">
        <v>98</v>
      </c>
      <c r="H11" s="18">
        <f>IFERROR(VLOOKUP($D$5,Productos!$B$5:$H$124,7,FALSE),0)</f>
        <v>0.2</v>
      </c>
      <c r="I11" s="10"/>
      <c r="J11" s="51"/>
      <c r="K11" s="51"/>
      <c r="L11" s="51"/>
      <c r="M11" s="10"/>
      <c r="N11" s="10"/>
    </row>
    <row r="12" spans="3:14" ht="21.95" customHeight="1" x14ac:dyDescent="0.25">
      <c r="C12" s="10"/>
      <c r="E12" s="20"/>
      <c r="F12" s="10"/>
      <c r="G12" s="27" t="s">
        <v>99</v>
      </c>
      <c r="H12" s="22">
        <f>IFERROR($E$18/(1-H11),0)</f>
        <v>17612.5</v>
      </c>
      <c r="I12" s="10"/>
      <c r="J12" s="51"/>
      <c r="K12" s="51"/>
      <c r="L12" s="51"/>
      <c r="M12" s="10"/>
      <c r="N12" s="10"/>
    </row>
    <row r="13" spans="3:14" ht="21.95" customHeight="1" x14ac:dyDescent="0.25">
      <c r="C13" s="10"/>
      <c r="D13" s="7" t="s">
        <v>100</v>
      </c>
      <c r="E13" s="17">
        <f>SUMIFS('Base de Costos'!$H$5:$H$504,'Base de Costos'!$C$5:$C$504,$D$5,'Base de Costos'!$D$5:$D$504,"Gasto publicidad")</f>
        <v>400</v>
      </c>
      <c r="F13" s="10"/>
      <c r="G13" s="27" t="s">
        <v>101</v>
      </c>
      <c r="H13" s="22">
        <f>H12-$E$18</f>
        <v>3522.5</v>
      </c>
      <c r="I13" s="10"/>
      <c r="J13" s="51"/>
      <c r="K13" s="51"/>
      <c r="L13" s="51"/>
      <c r="M13" s="10"/>
      <c r="N13" s="10"/>
    </row>
    <row r="14" spans="3:14" ht="21.95" customHeight="1" x14ac:dyDescent="0.25">
      <c r="C14" s="10"/>
      <c r="D14" s="7" t="s">
        <v>102</v>
      </c>
      <c r="E14" s="17">
        <f>SUMIFS('Base de Costos'!$H$5:$H$504,'Base de Costos'!$C$5:$C$504,$D$5,'Base de Costos'!$D$5:$D$504,"Gasto administrativo")</f>
        <v>0</v>
      </c>
      <c r="F14" s="10"/>
      <c r="G14" s="27" t="s">
        <v>103</v>
      </c>
      <c r="H14" s="18">
        <f>IFERROR(H13/H12,0)</f>
        <v>0.2</v>
      </c>
      <c r="I14" s="10"/>
      <c r="J14" s="51"/>
      <c r="K14" s="51"/>
      <c r="L14" s="51"/>
      <c r="M14" s="10"/>
      <c r="N14" s="10"/>
    </row>
    <row r="15" spans="3:14" ht="21.95" customHeight="1" x14ac:dyDescent="0.25">
      <c r="C15" s="10"/>
      <c r="D15" s="7" t="s">
        <v>104</v>
      </c>
      <c r="E15" s="17">
        <f>SUMIFS('Base de Costos'!$H$5:$H$504,'Base de Costos'!$C$5:$C$504,$D$5,'Base de Costos'!$D$5:$D$504,"Otro gasto")</f>
        <v>40</v>
      </c>
      <c r="F15" s="10"/>
      <c r="G15" s="27" t="s">
        <v>105</v>
      </c>
      <c r="H15" s="19">
        <f>H9-H12</f>
        <v>12387.5</v>
      </c>
      <c r="I15" s="10"/>
      <c r="J15" s="51"/>
      <c r="K15" s="51"/>
      <c r="L15" s="51"/>
      <c r="M15" s="10"/>
      <c r="N15" s="10"/>
    </row>
    <row r="16" spans="3:14" ht="21.95" customHeight="1" x14ac:dyDescent="0.25">
      <c r="C16" s="10"/>
      <c r="D16" s="8" t="s">
        <v>106</v>
      </c>
      <c r="E16" s="19">
        <f>SUM(E13:E15)</f>
        <v>440</v>
      </c>
      <c r="F16" s="10"/>
      <c r="G16" s="27" t="s">
        <v>107</v>
      </c>
      <c r="H16" s="8" t="str">
        <f>IF($D$5="","",IF($E$18=0,"Sin datos",IF(H8&lt;$E$18,"Riesgo: cliente bajo costo",IF(H12&gt;H8,"Revisar: sugerido sobre cliente",IF(H12&gt;H9,"Precio sobre competencia","Precio competitivo")))))</f>
        <v>Precio competitivo</v>
      </c>
      <c r="I16" s="10"/>
      <c r="J16" s="10"/>
      <c r="K16" s="10"/>
      <c r="L16" s="10"/>
      <c r="M16" s="10"/>
      <c r="N16" s="10"/>
    </row>
    <row r="17" spans="3:14" ht="15.75" customHeight="1" x14ac:dyDescent="0.25">
      <c r="C17" s="10"/>
      <c r="D17" s="10"/>
      <c r="E17" s="21"/>
      <c r="F17" s="10"/>
      <c r="G17" s="10"/>
      <c r="H17" s="10"/>
      <c r="I17" s="10"/>
      <c r="J17" s="10"/>
      <c r="K17" s="10"/>
      <c r="L17" s="10"/>
      <c r="M17" s="10"/>
      <c r="N17" s="10"/>
    </row>
    <row r="18" spans="3:14" ht="21.95" customHeight="1" x14ac:dyDescent="0.25">
      <c r="C18" s="10"/>
      <c r="D18" s="8" t="s">
        <v>108</v>
      </c>
      <c r="E18" s="19">
        <f>E11+E16</f>
        <v>14090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3:14" ht="21.95" customHeight="1" x14ac:dyDescent="0.25"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3:14" ht="18" customHeight="1" x14ac:dyDescent="0.25">
      <c r="C20" s="10"/>
      <c r="D20" s="52" t="s">
        <v>109</v>
      </c>
      <c r="E20" s="34"/>
      <c r="F20" s="34"/>
      <c r="G20" s="34"/>
      <c r="H20" s="34"/>
      <c r="I20" s="10"/>
      <c r="J20" s="10"/>
      <c r="K20" s="10"/>
      <c r="L20" s="10"/>
      <c r="M20" s="10"/>
      <c r="N20" s="10"/>
    </row>
    <row r="21" spans="3:14" ht="18" customHeight="1" x14ac:dyDescent="0.25">
      <c r="C21" s="10"/>
      <c r="D21" s="34"/>
      <c r="E21" s="34"/>
      <c r="F21" s="34"/>
      <c r="G21" s="34"/>
      <c r="H21" s="34"/>
      <c r="I21" s="10"/>
      <c r="J21" s="10"/>
      <c r="K21" s="10"/>
      <c r="L21" s="10"/>
      <c r="M21" s="10"/>
      <c r="N21" s="10"/>
    </row>
    <row r="22" spans="3:14" ht="21.95" customHeight="1" x14ac:dyDescent="0.25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3:14" ht="21.95" customHeight="1" x14ac:dyDescent="0.25">
      <c r="D23" s="55" t="s">
        <v>110</v>
      </c>
      <c r="E23" s="56"/>
      <c r="F23" s="56"/>
      <c r="G23" s="56"/>
      <c r="H23" s="9"/>
      <c r="I23" s="10"/>
      <c r="J23" s="10"/>
      <c r="K23" s="10"/>
      <c r="L23" s="10"/>
      <c r="M23" s="10"/>
      <c r="N23" s="10"/>
    </row>
    <row r="24" spans="3:14" ht="21.95" customHeight="1" x14ac:dyDescent="0.25">
      <c r="C24" s="10"/>
      <c r="D24" s="1" t="s">
        <v>69</v>
      </c>
      <c r="E24" s="1" t="s">
        <v>70</v>
      </c>
      <c r="F24" s="1" t="s">
        <v>71</v>
      </c>
      <c r="G24" s="1" t="s">
        <v>73</v>
      </c>
      <c r="H24" s="10"/>
      <c r="I24" s="10"/>
      <c r="J24" s="10"/>
      <c r="K24" s="10"/>
      <c r="L24" s="10"/>
      <c r="M24" s="10"/>
      <c r="N24" s="10"/>
    </row>
    <row r="25" spans="3:14" ht="21.95" customHeight="1" x14ac:dyDescent="0.25">
      <c r="C25" s="10"/>
      <c r="D25" s="7" t="str">
        <f>IFERROR(VLOOKUP($D$5&amp;"|"&amp;1,'Base de Costos'!$K$5:$O$504,2,FALSE),"")</f>
        <v>Materia prima</v>
      </c>
      <c r="E25" s="7" t="str">
        <f>IFERROR(VLOOKUP($D$5&amp;"|"&amp;1,'Base de Costos'!$K$5:$O$504,3,FALSE),"")</f>
        <v>Tela</v>
      </c>
      <c r="F25" s="7">
        <f>IFERROR(VLOOKUP($D$5&amp;"|"&amp;1,'Base de Costos'!$K$5:$O$504,4,FALSE),"")</f>
        <v>1</v>
      </c>
      <c r="G25" s="17">
        <f>IFERROR(VLOOKUP($D$5&amp;"|"&amp;1,'Base de Costos'!$K$5:$O$504,5,FALSE),"")</f>
        <v>6000</v>
      </c>
      <c r="H25" s="10"/>
      <c r="I25" s="10"/>
      <c r="J25" s="10"/>
      <c r="K25" s="10"/>
      <c r="L25" s="10"/>
      <c r="M25" s="10"/>
      <c r="N25" s="10"/>
    </row>
    <row r="26" spans="3:14" ht="21.95" customHeight="1" x14ac:dyDescent="0.25">
      <c r="C26" s="10"/>
      <c r="D26" s="7" t="str">
        <f>IFERROR(VLOOKUP($D$5&amp;"|"&amp;2,'Base de Costos'!$K$5:$O$504,2,FALSE),"")</f>
        <v>Materia prima</v>
      </c>
      <c r="E26" s="7" t="str">
        <f>IFERROR(VLOOKUP($D$5&amp;"|"&amp;2,'Base de Costos'!$K$5:$O$504,3,FALSE),"")</f>
        <v>Hilo de coser</v>
      </c>
      <c r="F26" s="7">
        <f>IFERROR(VLOOKUP($D$5&amp;"|"&amp;2,'Base de Costos'!$K$5:$O$504,4,FALSE),"")</f>
        <v>1</v>
      </c>
      <c r="G26" s="17">
        <f>IFERROR(VLOOKUP($D$5&amp;"|"&amp;2,'Base de Costos'!$K$5:$O$504,5,FALSE),"")</f>
        <v>3100</v>
      </c>
      <c r="H26" s="10"/>
      <c r="I26" s="10"/>
      <c r="J26" s="10"/>
      <c r="K26" s="10"/>
      <c r="L26" s="10"/>
      <c r="M26" s="10"/>
      <c r="N26" s="10"/>
    </row>
    <row r="27" spans="3:14" ht="21.95" customHeight="1" x14ac:dyDescent="0.25">
      <c r="C27" s="10"/>
      <c r="D27" s="7" t="str">
        <f>IFERROR(VLOOKUP($D$5&amp;"|"&amp;3,'Base de Costos'!$K$5:$O$504,2,FALSE),"")</f>
        <v>Gasto publicidad</v>
      </c>
      <c r="E27" s="7" t="str">
        <f>IFERROR(VLOOKUP($D$5&amp;"|"&amp;3,'Base de Costos'!$K$5:$O$504,3,FALSE),"")</f>
        <v>Botones</v>
      </c>
      <c r="F27" s="7">
        <f>IFERROR(VLOOKUP($D$5&amp;"|"&amp;3,'Base de Costos'!$K$5:$O$504,4,FALSE),"")</f>
        <v>1</v>
      </c>
      <c r="G27" s="17">
        <f>IFERROR(VLOOKUP($D$5&amp;"|"&amp;3,'Base de Costos'!$K$5:$O$504,5,FALSE),"")</f>
        <v>400</v>
      </c>
      <c r="H27" s="10"/>
      <c r="I27" s="10"/>
      <c r="J27" s="10"/>
      <c r="K27" s="10"/>
      <c r="L27" s="10"/>
      <c r="M27" s="10"/>
      <c r="N27" s="10"/>
    </row>
    <row r="28" spans="3:14" ht="21.95" customHeight="1" x14ac:dyDescent="0.25">
      <c r="C28" s="10"/>
      <c r="D28" s="7" t="str">
        <f>IFERROR(VLOOKUP($D$5&amp;"|"&amp;4,'Base de Costos'!$K$5:$O$504,2,FALSE),"")</f>
        <v>Mano de obra</v>
      </c>
      <c r="E28" s="7" t="str">
        <f>IFERROR(VLOOKUP($D$5&amp;"|"&amp;4,'Base de Costos'!$K$5:$O$504,3,FALSE),"")</f>
        <v>Salarios operativos</v>
      </c>
      <c r="F28" s="7">
        <f>IFERROR(VLOOKUP($D$5&amp;"|"&amp;4,'Base de Costos'!$K$5:$O$504,4,FALSE),"")</f>
        <v>1</v>
      </c>
      <c r="G28" s="17">
        <f>IFERROR(VLOOKUP($D$5&amp;"|"&amp;4,'Base de Costos'!$K$5:$O$504,5,FALSE),"")</f>
        <v>4500</v>
      </c>
      <c r="H28" s="10"/>
      <c r="I28" s="10"/>
      <c r="J28" s="10"/>
      <c r="K28" s="10"/>
      <c r="L28" s="10"/>
      <c r="M28" s="10"/>
      <c r="N28" s="10"/>
    </row>
    <row r="29" spans="3:14" ht="21.95" customHeight="1" x14ac:dyDescent="0.25">
      <c r="C29" s="10"/>
      <c r="D29" s="7" t="str">
        <f>IFERROR(VLOOKUP($D$5&amp;"|"&amp;5,'Base de Costos'!$K$5:$O$504,2,FALSE),"")</f>
        <v>Costo indirecto fabricación</v>
      </c>
      <c r="E29" s="7" t="str">
        <f>IFERROR(VLOOKUP($D$5&amp;"|"&amp;5,'Base de Costos'!$K$5:$O$504,3,FALSE),"")</f>
        <v>Depreciación equipos operativos</v>
      </c>
      <c r="F29" s="7">
        <f>IFERROR(VLOOKUP($D$5&amp;"|"&amp;5,'Base de Costos'!$K$5:$O$504,4,FALSE),"")</f>
        <v>1</v>
      </c>
      <c r="G29" s="17">
        <f>IFERROR(VLOOKUP($D$5&amp;"|"&amp;5,'Base de Costos'!$K$5:$O$504,5,FALSE),"")</f>
        <v>50</v>
      </c>
      <c r="H29" s="10"/>
      <c r="I29" s="10"/>
      <c r="J29" s="10"/>
      <c r="K29" s="10"/>
      <c r="L29" s="10"/>
      <c r="M29" s="10"/>
      <c r="N29" s="10"/>
    </row>
    <row r="30" spans="3:14" ht="21.95" customHeight="1" x14ac:dyDescent="0.25">
      <c r="C30" s="10"/>
      <c r="D30" s="7" t="str">
        <f>IFERROR(VLOOKUP($D$5&amp;"|"&amp;6,'Base de Costos'!$K$5:$O$504,2,FALSE),"")</f>
        <v>Otro gasto</v>
      </c>
      <c r="E30" s="7" t="str">
        <f>IFERROR(VLOOKUP($D$5&amp;"|"&amp;6,'Base de Costos'!$K$5:$O$504,3,FALSE),"")</f>
        <v>Etiquetas</v>
      </c>
      <c r="F30" s="7">
        <f>IFERROR(VLOOKUP($D$5&amp;"|"&amp;6,'Base de Costos'!$K$5:$O$504,4,FALSE),"")</f>
        <v>1</v>
      </c>
      <c r="G30" s="17">
        <f>IFERROR(VLOOKUP($D$5&amp;"|"&amp;6,'Base de Costos'!$K$5:$O$504,5,FALSE),"")</f>
        <v>40</v>
      </c>
      <c r="H30" s="10"/>
      <c r="I30" s="10"/>
      <c r="J30" s="10"/>
      <c r="K30" s="10"/>
      <c r="L30" s="10"/>
      <c r="M30" s="10"/>
      <c r="N30" s="10"/>
    </row>
    <row r="31" spans="3:14" ht="21.95" customHeight="1" x14ac:dyDescent="0.25">
      <c r="C31" s="10"/>
      <c r="D31" s="7" t="str">
        <f>IFERROR(VLOOKUP($D$5&amp;"|"&amp;7,'Base de Costos'!$K$5:$O$504,2,FALSE),"")</f>
        <v/>
      </c>
      <c r="E31" s="7" t="str">
        <f>IFERROR(VLOOKUP($D$5&amp;"|"&amp;7,'Base de Costos'!$K$5:$O$504,3,FALSE),"")</f>
        <v/>
      </c>
      <c r="F31" s="7" t="str">
        <f>IFERROR(VLOOKUP($D$5&amp;"|"&amp;7,'Base de Costos'!$K$5:$O$504,4,FALSE),"")</f>
        <v/>
      </c>
      <c r="G31" s="17" t="str">
        <f>IFERROR(VLOOKUP($D$5&amp;"|"&amp;7,'Base de Costos'!$K$5:$O$504,5,FALSE),"")</f>
        <v/>
      </c>
      <c r="H31" s="10"/>
      <c r="I31" s="10"/>
      <c r="J31" s="10"/>
      <c r="K31" s="10"/>
      <c r="L31" s="10"/>
      <c r="M31" s="10"/>
      <c r="N31" s="10"/>
    </row>
    <row r="32" spans="3:14" ht="21.95" customHeight="1" x14ac:dyDescent="0.25">
      <c r="C32" s="10"/>
      <c r="D32" s="7" t="str">
        <f>IFERROR(VLOOKUP($D$5&amp;"|"&amp;8,'Base de Costos'!$K$5:$O$504,2,FALSE),"")</f>
        <v/>
      </c>
      <c r="E32" s="7" t="str">
        <f>IFERROR(VLOOKUP($D$5&amp;"|"&amp;8,'Base de Costos'!$K$5:$O$504,3,FALSE),"")</f>
        <v/>
      </c>
      <c r="F32" s="7" t="str">
        <f>IFERROR(VLOOKUP($D$5&amp;"|"&amp;8,'Base de Costos'!$K$5:$O$504,4,FALSE),"")</f>
        <v/>
      </c>
      <c r="G32" s="17" t="str">
        <f>IFERROR(VLOOKUP($D$5&amp;"|"&amp;8,'Base de Costos'!$K$5:$O$504,5,FALSE),"")</f>
        <v/>
      </c>
      <c r="H32" s="10"/>
      <c r="I32" s="10"/>
      <c r="J32" s="10"/>
      <c r="K32" s="10"/>
      <c r="L32" s="10"/>
      <c r="M32" s="10"/>
      <c r="N32" s="10"/>
    </row>
    <row r="33" spans="3:14" ht="21.95" customHeight="1" x14ac:dyDescent="0.25">
      <c r="C33" s="10"/>
      <c r="D33" s="7" t="str">
        <f>IFERROR(VLOOKUP($D$5&amp;"|"&amp;9,'Base de Costos'!$K$5:$O$504,2,FALSE),"")</f>
        <v/>
      </c>
      <c r="E33" s="7" t="str">
        <f>IFERROR(VLOOKUP($D$5&amp;"|"&amp;9,'Base de Costos'!$K$5:$O$504,3,FALSE),"")</f>
        <v/>
      </c>
      <c r="F33" s="7" t="str">
        <f>IFERROR(VLOOKUP($D$5&amp;"|"&amp;9,'Base de Costos'!$K$5:$O$504,4,FALSE),"")</f>
        <v/>
      </c>
      <c r="G33" s="17" t="str">
        <f>IFERROR(VLOOKUP($D$5&amp;"|"&amp;9,'Base de Costos'!$K$5:$O$504,5,FALSE),"")</f>
        <v/>
      </c>
      <c r="H33" s="10"/>
      <c r="I33" s="10"/>
      <c r="J33" s="10"/>
      <c r="K33" s="10"/>
      <c r="L33" s="10"/>
      <c r="M33" s="10"/>
      <c r="N33" s="10"/>
    </row>
    <row r="34" spans="3:14" ht="21.95" customHeight="1" x14ac:dyDescent="0.25">
      <c r="C34" s="10"/>
      <c r="D34" s="7" t="str">
        <f>IFERROR(VLOOKUP($D$5&amp;"|"&amp;10,'Base de Costos'!$K$5:$O$504,2,FALSE),"")</f>
        <v/>
      </c>
      <c r="E34" s="7" t="str">
        <f>IFERROR(VLOOKUP($D$5&amp;"|"&amp;10,'Base de Costos'!$K$5:$O$504,3,FALSE),"")</f>
        <v/>
      </c>
      <c r="F34" s="7" t="str">
        <f>IFERROR(VLOOKUP($D$5&amp;"|"&amp;10,'Base de Costos'!$K$5:$O$504,4,FALSE),"")</f>
        <v/>
      </c>
      <c r="G34" s="17" t="str">
        <f>IFERROR(VLOOKUP($D$5&amp;"|"&amp;10,'Base de Costos'!$K$5:$O$504,5,FALSE),"")</f>
        <v/>
      </c>
      <c r="H34" s="10"/>
      <c r="I34" s="10"/>
      <c r="J34" s="10"/>
      <c r="K34" s="10"/>
      <c r="L34" s="10"/>
      <c r="M34" s="10"/>
      <c r="N34" s="10"/>
    </row>
    <row r="35" spans="3:14" ht="21.95" customHeight="1" x14ac:dyDescent="0.25">
      <c r="C35" s="10"/>
      <c r="D35" s="7" t="str">
        <f>IFERROR(VLOOKUP($D$5&amp;"|"&amp;11,'Base de Costos'!$K$5:$O$504,2,FALSE),"")</f>
        <v/>
      </c>
      <c r="E35" s="7" t="str">
        <f>IFERROR(VLOOKUP($D$5&amp;"|"&amp;11,'Base de Costos'!$K$5:$O$504,3,FALSE),"")</f>
        <v/>
      </c>
      <c r="F35" s="7" t="str">
        <f>IFERROR(VLOOKUP($D$5&amp;"|"&amp;11,'Base de Costos'!$K$5:$O$504,4,FALSE),"")</f>
        <v/>
      </c>
      <c r="G35" s="17" t="str">
        <f>IFERROR(VLOOKUP($D$5&amp;"|"&amp;11,'Base de Costos'!$K$5:$O$504,5,FALSE),"")</f>
        <v/>
      </c>
      <c r="H35" s="10"/>
      <c r="I35" s="10"/>
      <c r="J35" s="10"/>
      <c r="K35" s="10"/>
      <c r="L35" s="10"/>
      <c r="M35" s="10"/>
      <c r="N35" s="10"/>
    </row>
    <row r="36" spans="3:14" ht="21.95" customHeight="1" x14ac:dyDescent="0.25">
      <c r="C36" s="10"/>
      <c r="D36" s="7" t="str">
        <f>IFERROR(VLOOKUP($D$5&amp;"|"&amp;12,'Base de Costos'!$K$5:$O$504,2,FALSE),"")</f>
        <v/>
      </c>
      <c r="E36" s="7" t="str">
        <f>IFERROR(VLOOKUP($D$5&amp;"|"&amp;12,'Base de Costos'!$K$5:$O$504,3,FALSE),"")</f>
        <v/>
      </c>
      <c r="F36" s="7" t="str">
        <f>IFERROR(VLOOKUP($D$5&amp;"|"&amp;12,'Base de Costos'!$K$5:$O$504,4,FALSE),"")</f>
        <v/>
      </c>
      <c r="G36" s="17" t="str">
        <f>IFERROR(VLOOKUP($D$5&amp;"|"&amp;12,'Base de Costos'!$K$5:$O$504,5,FALSE),"")</f>
        <v/>
      </c>
      <c r="H36" s="10"/>
      <c r="I36" s="10"/>
      <c r="J36" s="10"/>
      <c r="K36" s="10"/>
      <c r="L36" s="10"/>
      <c r="M36" s="10"/>
      <c r="N36" s="10"/>
    </row>
    <row r="37" spans="3:14" ht="21.95" customHeight="1" x14ac:dyDescent="0.25">
      <c r="C37" s="10"/>
      <c r="D37" s="7" t="str">
        <f>IFERROR(VLOOKUP($D$5&amp;"|"&amp;13,'Base de Costos'!$K$5:$O$504,2,FALSE),"")</f>
        <v/>
      </c>
      <c r="E37" s="7" t="str">
        <f>IFERROR(VLOOKUP($D$5&amp;"|"&amp;13,'Base de Costos'!$K$5:$O$504,3,FALSE),"")</f>
        <v/>
      </c>
      <c r="F37" s="7" t="str">
        <f>IFERROR(VLOOKUP($D$5&amp;"|"&amp;13,'Base de Costos'!$K$5:$O$504,4,FALSE),"")</f>
        <v/>
      </c>
      <c r="G37" s="17" t="str">
        <f>IFERROR(VLOOKUP($D$5&amp;"|"&amp;13,'Base de Costos'!$K$5:$O$504,5,FALSE),"")</f>
        <v/>
      </c>
      <c r="H37" s="10"/>
      <c r="I37" s="10"/>
      <c r="J37" s="10"/>
      <c r="K37" s="10"/>
      <c r="L37" s="10"/>
      <c r="M37" s="10"/>
      <c r="N37" s="10"/>
    </row>
    <row r="38" spans="3:14" ht="21.95" customHeight="1" x14ac:dyDescent="0.25">
      <c r="C38" s="10"/>
      <c r="D38" s="7" t="str">
        <f>IFERROR(VLOOKUP($D$5&amp;"|"&amp;14,'Base de Costos'!$K$5:$O$504,2,FALSE),"")</f>
        <v/>
      </c>
      <c r="E38" s="7" t="str">
        <f>IFERROR(VLOOKUP($D$5&amp;"|"&amp;14,'Base de Costos'!$K$5:$O$504,3,FALSE),"")</f>
        <v/>
      </c>
      <c r="F38" s="7" t="str">
        <f>IFERROR(VLOOKUP($D$5&amp;"|"&amp;14,'Base de Costos'!$K$5:$O$504,4,FALSE),"")</f>
        <v/>
      </c>
      <c r="G38" s="17" t="str">
        <f>IFERROR(VLOOKUP($D$5&amp;"|"&amp;14,'Base de Costos'!$K$5:$O$504,5,FALSE),"")</f>
        <v/>
      </c>
      <c r="H38" s="10"/>
      <c r="I38" s="10"/>
      <c r="J38" s="10"/>
      <c r="K38" s="10"/>
      <c r="L38" s="10"/>
      <c r="M38" s="10"/>
      <c r="N38" s="10"/>
    </row>
    <row r="39" spans="3:14" ht="21.95" customHeight="1" x14ac:dyDescent="0.25">
      <c r="C39" s="10"/>
      <c r="D39" s="7" t="str">
        <f>IFERROR(VLOOKUP($D$5&amp;"|"&amp;15,'Base de Costos'!$K$5:$O$504,2,FALSE),"")</f>
        <v/>
      </c>
      <c r="E39" s="7" t="str">
        <f>IFERROR(VLOOKUP($D$5&amp;"|"&amp;15,'Base de Costos'!$K$5:$O$504,3,FALSE),"")</f>
        <v/>
      </c>
      <c r="F39" s="7" t="str">
        <f>IFERROR(VLOOKUP($D$5&amp;"|"&amp;15,'Base de Costos'!$K$5:$O$504,4,FALSE),"")</f>
        <v/>
      </c>
      <c r="G39" s="17" t="str">
        <f>IFERROR(VLOOKUP($D$5&amp;"|"&amp;15,'Base de Costos'!$K$5:$O$504,5,FALSE),"")</f>
        <v/>
      </c>
      <c r="H39" s="10"/>
      <c r="I39" s="10"/>
      <c r="J39" s="10"/>
      <c r="K39" s="10"/>
      <c r="L39" s="10"/>
      <c r="M39" s="10"/>
      <c r="N39" s="10"/>
    </row>
    <row r="40" spans="3:14" ht="21.95" customHeight="1" x14ac:dyDescent="0.25">
      <c r="C40" s="10"/>
      <c r="D40" s="7" t="str">
        <f>IFERROR(VLOOKUP($D$5&amp;"|"&amp;16,'Base de Costos'!$K$5:$O$504,2,FALSE),"")</f>
        <v/>
      </c>
      <c r="E40" s="7" t="str">
        <f>IFERROR(VLOOKUP($D$5&amp;"|"&amp;16,'Base de Costos'!$K$5:$O$504,3,FALSE),"")</f>
        <v/>
      </c>
      <c r="F40" s="7" t="str">
        <f>IFERROR(VLOOKUP($D$5&amp;"|"&amp;16,'Base de Costos'!$K$5:$O$504,4,FALSE),"")</f>
        <v/>
      </c>
      <c r="G40" s="17" t="str">
        <f>IFERROR(VLOOKUP($D$5&amp;"|"&amp;16,'Base de Costos'!$K$5:$O$504,5,FALSE),"")</f>
        <v/>
      </c>
      <c r="H40" s="10"/>
      <c r="I40" s="10"/>
      <c r="J40" s="10"/>
      <c r="K40" s="10"/>
      <c r="L40" s="10"/>
      <c r="M40" s="10"/>
      <c r="N40" s="10"/>
    </row>
    <row r="41" spans="3:14" ht="21.95" customHeight="1" x14ac:dyDescent="0.25">
      <c r="C41" s="10"/>
      <c r="D41" s="7" t="str">
        <f>IFERROR(INDEX('Base de Costos'!$D$5:$D$504,MATCH($D$5&amp;"|"&amp;ROWS($D$25:D41),'Base de Costos'!$I$5:$I$504,0)),"")</f>
        <v/>
      </c>
      <c r="E41" s="7" t="str">
        <f>IFERROR(INDEX('Base de Costos'!$E$5:$E$504,MATCH($D$5&amp;"|"&amp;ROWS($E$25:E41),'Base de Costos'!$I$5:$I$504,0)),"")</f>
        <v/>
      </c>
      <c r="F41" s="7" t="str">
        <f>IFERROR(INDEX('Base de Costos'!$F$5:$F$504,MATCH($D$5&amp;"|"&amp;ROWS($F$25:F41),'Base de Costos'!$I$5:$I$504,0)),"")</f>
        <v/>
      </c>
      <c r="G41" s="6" t="str">
        <f>IFERROR(INDEX('Base de Costos'!$H$5:$H$504,MATCH($D$5&amp;"|"&amp;ROWS($G$25:G41),'Base de Costos'!$I$5:$I$504,0)),"")</f>
        <v/>
      </c>
      <c r="H41" s="10"/>
      <c r="I41" s="10"/>
      <c r="J41" s="10"/>
      <c r="K41" s="10"/>
      <c r="L41" s="10"/>
      <c r="M41" s="10"/>
      <c r="N41" s="10"/>
    </row>
    <row r="42" spans="3:14" ht="21.95" customHeight="1" x14ac:dyDescent="0.25">
      <c r="C42" s="10"/>
      <c r="D42" s="7" t="str">
        <f>IFERROR(INDEX('Base de Costos'!$D$5:$D$504,MATCH($D$5&amp;"|"&amp;ROWS($D$25:D42),'Base de Costos'!$I$5:$I$504,0)),"")</f>
        <v/>
      </c>
      <c r="E42" s="7" t="str">
        <f>IFERROR(INDEX('Base de Costos'!$E$5:$E$504,MATCH($D$5&amp;"|"&amp;ROWS($E$25:E42),'Base de Costos'!$I$5:$I$504,0)),"")</f>
        <v/>
      </c>
      <c r="F42" s="7" t="str">
        <f>IFERROR(INDEX('Base de Costos'!$F$5:$F$504,MATCH($D$5&amp;"|"&amp;ROWS($F$25:F42),'Base de Costos'!$I$5:$I$504,0)),"")</f>
        <v/>
      </c>
      <c r="G42" s="6" t="str">
        <f>IFERROR(INDEX('Base de Costos'!$H$5:$H$504,MATCH($D$5&amp;"|"&amp;ROWS($G$25:G42),'Base de Costos'!$I$5:$I$504,0)),"")</f>
        <v/>
      </c>
      <c r="H42" s="10"/>
      <c r="I42" s="10"/>
      <c r="J42" s="10"/>
      <c r="K42" s="10"/>
      <c r="L42" s="10"/>
      <c r="M42" s="10"/>
      <c r="N42" s="10"/>
    </row>
    <row r="43" spans="3:14" ht="21.95" customHeight="1" x14ac:dyDescent="0.25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3:14" ht="21.95" customHeight="1" x14ac:dyDescent="0.25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3:14" ht="21.95" customHeight="1" x14ac:dyDescent="0.25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3:14" ht="21.95" customHeight="1" x14ac:dyDescent="0.25"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3:14" ht="21.95" customHeight="1" x14ac:dyDescent="0.25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3:14" ht="21.95" customHeight="1" x14ac:dyDescent="0.25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3:14" ht="21.95" customHeight="1" x14ac:dyDescent="0.25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3:14" ht="21.95" customHeight="1" x14ac:dyDescent="0.25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3:14" ht="21.95" customHeight="1" x14ac:dyDescent="0.25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3:14" ht="21.95" customHeight="1" x14ac:dyDescent="0.25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3:14" ht="21.95" customHeight="1" x14ac:dyDescent="0.25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3:14" ht="21.95" customHeight="1" x14ac:dyDescent="0.25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3:14" ht="21.95" customHeight="1" x14ac:dyDescent="0.25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3:14" ht="21.95" customHeight="1" x14ac:dyDescent="0.25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3:14" ht="21.95" customHeight="1" x14ac:dyDescent="0.25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3:14" ht="21.95" customHeight="1" x14ac:dyDescent="0.25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3:14" ht="21.95" customHeight="1" x14ac:dyDescent="0.25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3:14" ht="21.95" customHeight="1" x14ac:dyDescent="0.25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3:14" ht="21.95" customHeight="1" x14ac:dyDescent="0.25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3:14" ht="21.95" customHeight="1" x14ac:dyDescent="0.25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3:14" ht="21.95" customHeight="1" x14ac:dyDescent="0.25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3:14" ht="21.95" customHeight="1" x14ac:dyDescent="0.25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3:14" ht="21.95" customHeight="1" x14ac:dyDescent="0.25">
      <c r="C65" s="10"/>
      <c r="I65" s="10"/>
      <c r="J65" s="10"/>
      <c r="K65" s="10"/>
      <c r="L65" s="10"/>
      <c r="M65" s="10"/>
      <c r="N65" s="10"/>
    </row>
    <row r="66" spans="3:14" ht="21.95" customHeight="1" x14ac:dyDescent="0.25"/>
    <row r="67" spans="3:14" ht="21.95" customHeight="1" x14ac:dyDescent="0.25"/>
    <row r="68" spans="3:14" ht="21.95" customHeight="1" x14ac:dyDescent="0.25"/>
    <row r="69" spans="3:14" ht="21.95" customHeight="1" x14ac:dyDescent="0.25"/>
    <row r="70" spans="3:14" ht="21.95" customHeight="1" x14ac:dyDescent="0.25"/>
    <row r="71" spans="3:14" ht="21.95" customHeight="1" x14ac:dyDescent="0.25"/>
    <row r="72" spans="3:14" ht="21.95" customHeight="1" x14ac:dyDescent="0.25"/>
    <row r="73" spans="3:14" ht="21.95" customHeight="1" x14ac:dyDescent="0.25"/>
    <row r="74" spans="3:14" ht="21.95" customHeight="1" x14ac:dyDescent="0.25"/>
    <row r="75" spans="3:14" ht="21.95" customHeight="1" x14ac:dyDescent="0.25"/>
    <row r="76" spans="3:14" ht="21.95" customHeight="1" x14ac:dyDescent="0.25"/>
    <row r="77" spans="3:14" ht="21.95" customHeight="1" x14ac:dyDescent="0.25"/>
    <row r="78" spans="3:14" ht="21.95" customHeight="1" x14ac:dyDescent="0.25"/>
    <row r="79" spans="3:14" ht="21.95" customHeight="1" x14ac:dyDescent="0.25"/>
    <row r="80" spans="3:14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</sheetData>
  <mergeCells count="11">
    <mergeCell ref="D4:E4"/>
    <mergeCell ref="C1:I1"/>
    <mergeCell ref="G4:H4"/>
    <mergeCell ref="D5:E5"/>
    <mergeCell ref="C2:I2"/>
    <mergeCell ref="G5:H5"/>
    <mergeCell ref="J6:L15"/>
    <mergeCell ref="D20:H21"/>
    <mergeCell ref="G7:H7"/>
    <mergeCell ref="D7:E7"/>
    <mergeCell ref="D23:G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Productos!$B$5:$B$124</xm:f>
          </x14:formula1>
          <xm:sqref>D5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F37"/>
  </sheetPr>
  <dimension ref="A1:W544"/>
  <sheetViews>
    <sheetView workbookViewId="0"/>
  </sheetViews>
  <sheetFormatPr baseColWidth="10" defaultColWidth="9.140625" defaultRowHeight="15" x14ac:dyDescent="0.25"/>
  <cols>
    <col min="1" max="1" width="7.5703125" style="10" customWidth="1"/>
    <col min="2" max="2" width="4" style="10" customWidth="1"/>
    <col min="3" max="3" width="22" customWidth="1"/>
    <col min="4" max="6" width="15" customWidth="1"/>
    <col min="7" max="8" width="18" customWidth="1"/>
    <col min="9" max="9" width="15" customWidth="1"/>
    <col min="10" max="12" width="18" customWidth="1"/>
    <col min="13" max="13" width="24" customWidth="1"/>
    <col min="14" max="14" width="9.140625" style="10"/>
    <col min="18" max="23" width="9.140625" style="10"/>
  </cols>
  <sheetData>
    <row r="1" spans="2:17" ht="21.95" customHeight="1" x14ac:dyDescent="0.25">
      <c r="B1" s="15"/>
      <c r="C1" s="59" t="s">
        <v>111</v>
      </c>
      <c r="D1" s="59"/>
      <c r="E1" s="59"/>
      <c r="F1" s="59"/>
      <c r="G1" s="59"/>
      <c r="H1" s="59"/>
      <c r="I1" s="59"/>
      <c r="J1" s="59"/>
      <c r="K1" s="59"/>
      <c r="L1" s="59"/>
      <c r="M1" s="59"/>
      <c r="O1" s="10"/>
      <c r="P1" s="10"/>
      <c r="Q1" s="10"/>
    </row>
    <row r="2" spans="2:17" ht="17.25" customHeight="1" x14ac:dyDescent="0.25">
      <c r="B2" s="15"/>
      <c r="C2" s="60" t="s">
        <v>112</v>
      </c>
      <c r="D2" s="60"/>
      <c r="E2" s="60"/>
      <c r="F2" s="60"/>
      <c r="G2" s="60"/>
      <c r="H2" s="60"/>
      <c r="I2" s="60"/>
      <c r="J2" s="60"/>
      <c r="K2" s="60"/>
      <c r="L2" s="60"/>
      <c r="M2" s="60"/>
      <c r="O2" s="10"/>
      <c r="P2" s="10"/>
      <c r="Q2" s="10"/>
    </row>
    <row r="3" spans="2:17" s="10" customFormat="1" ht="21.95" customHeight="1" x14ac:dyDescent="0.25"/>
    <row r="4" spans="2:17" ht="21.95" customHeight="1" x14ac:dyDescent="0.25">
      <c r="C4" s="1" t="s">
        <v>50</v>
      </c>
      <c r="D4" s="1" t="s">
        <v>35</v>
      </c>
      <c r="E4" s="1" t="s">
        <v>113</v>
      </c>
      <c r="F4" s="1" t="s">
        <v>39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28</v>
      </c>
      <c r="L4" s="1" t="s">
        <v>118</v>
      </c>
      <c r="M4" s="1" t="s">
        <v>45</v>
      </c>
      <c r="O4" s="10"/>
      <c r="P4" s="10"/>
      <c r="Q4" s="10"/>
    </row>
    <row r="5" spans="2:17" ht="21.95" customHeight="1" x14ac:dyDescent="0.25">
      <c r="C5" s="7" t="str">
        <f>IF(Productos!B5="","",Productos!B5)</f>
        <v>Camisa</v>
      </c>
      <c r="D5" s="17">
        <f>IF($C5="","",SUMIFS('Base de Costos'!$H$5:$H$504,'Base de Costos'!$C$5:$C$504,$C5,'Base de Costos'!$D$5:$D$504,"Materia prima"))</f>
        <v>9100</v>
      </c>
      <c r="E5" s="17">
        <f>IF($C5="","",SUMIFS('Base de Costos'!$H$5:$H$504,'Base de Costos'!$C$5:$C$504,$C5,'Base de Costos'!$D$5:$D$504,"Mano de obra"))</f>
        <v>4500</v>
      </c>
      <c r="F5" s="17">
        <f>IF($C5="","",SUMIFS('Base de Costos'!$H$5:$H$504,'Base de Costos'!$C$5:$C$504,$C5,'Base de Costos'!$D$5:$D$504,"Costo indirecto fabricación"))</f>
        <v>50</v>
      </c>
      <c r="G5" s="17">
        <f t="shared" ref="G5:G36" si="0">IF($C5="","",SUM(D5:F5))</f>
        <v>13650</v>
      </c>
      <c r="H5" s="17">
        <f>IF($C5="","",SUMIFS('Base de Costos'!$H$5:$H$504,'Base de Costos'!$C$5:$C$504,$C5,'Base de Costos'!$D$5:$D$504,"Gasto publicidad")+SUMIFS('Base de Costos'!$H$5:$H$504,'Base de Costos'!$C$5:$C$504,$C5,'Base de Costos'!$D$5:$D$504,"Gasto administrativo")+SUMIFS('Base de Costos'!$H$5:$H$504,'Base de Costos'!$C$5:$C$504,$C5,'Base de Costos'!$D$5:$D$504,"Otro gasto"))</f>
        <v>440</v>
      </c>
      <c r="I5" s="18">
        <f>IF($C5="","",IFERROR(VLOOKUP($C5,Productos!$B$5:$H$124,7,FALSE),0))</f>
        <v>0.2</v>
      </c>
      <c r="J5" s="17">
        <f t="shared" ref="J5:J36" si="1">IF($C5="","",G5+H5)</f>
        <v>14090</v>
      </c>
      <c r="K5" s="17">
        <f t="shared" ref="K5:K36" si="2">IF($C5="","",IFERROR(J5/(1-I5),0))</f>
        <v>17612.5</v>
      </c>
      <c r="L5" s="17">
        <f t="shared" ref="L5:L36" si="3">IF($C5="","",K5-J5)</f>
        <v>3522.5</v>
      </c>
      <c r="M5" s="7" t="str">
        <f>IF($C5="","",IF(J5=0,"Sin datos",IF(IFERROR(VLOOKUP($C5,Productos!$B$5:$H$124,4,FALSE),0)=0,"Sin precio cliente",IF(IFERROR(VLOOKUP($C5,Productos!$B$5:$H$124,4,FALSE),0)&lt;J5,"Riesgo: cliente bajo costo",IF(K5&gt;IFERROR(VLOOKUP($C5,Productos!$B$5:$H$124,4,FALSE),0),"Revisar: sugerido sobre cliente",IF(K5&gt;IFERROR(VLOOKUP($C5,Productos!$B$5:$H$124,5,FALSE),0),"Sobre competencia","Competitivo"))))))</f>
        <v>Competitivo</v>
      </c>
      <c r="O5" s="51" t="s">
        <v>119</v>
      </c>
      <c r="P5" s="51"/>
      <c r="Q5" s="51"/>
    </row>
    <row r="6" spans="2:17" ht="21.95" customHeight="1" x14ac:dyDescent="0.25">
      <c r="C6" s="7" t="str">
        <f>IF(Productos!B6="","",Productos!B6)</f>
        <v>Puff</v>
      </c>
      <c r="D6" s="17">
        <f>IF($C6="","",SUMIFS('Base de Costos'!$H$5:$H$504,'Base de Costos'!$C$5:$C$504,$C6,'Base de Costos'!$D$5:$D$504,"Materia prima"))</f>
        <v>0</v>
      </c>
      <c r="E6" s="17">
        <f>IF($C6="","",SUMIFS('Base de Costos'!$H$5:$H$504,'Base de Costos'!$C$5:$C$504,$C6,'Base de Costos'!$D$5:$D$504,"Mano de obra"))</f>
        <v>0</v>
      </c>
      <c r="F6" s="17">
        <f>IF($C6="","",SUMIFS('Base de Costos'!$H$5:$H$504,'Base de Costos'!$C$5:$C$504,$C6,'Base de Costos'!$D$5:$D$504,"Costo indirecto fabricación"))</f>
        <v>0</v>
      </c>
      <c r="G6" s="17">
        <f t="shared" si="0"/>
        <v>0</v>
      </c>
      <c r="H6" s="17">
        <f>IF($C6="","",SUMIFS('Base de Costos'!$H$5:$H$504,'Base de Costos'!$C$5:$C$504,$C6,'Base de Costos'!$D$5:$D$504,"Gasto publicidad")+SUMIFS('Base de Costos'!$H$5:$H$504,'Base de Costos'!$C$5:$C$504,$C6,'Base de Costos'!$D$5:$D$504,"Gasto administrativo")+SUMIFS('Base de Costos'!$H$5:$H$504,'Base de Costos'!$C$5:$C$504,$C6,'Base de Costos'!$D$5:$D$504,"Otro gasto"))</f>
        <v>0</v>
      </c>
      <c r="I6" s="18">
        <f>IF($C6="","",IFERROR(VLOOKUP($C6,Productos!$B$5:$H$124,7,FALSE),0))</f>
        <v>0.3</v>
      </c>
      <c r="J6" s="17">
        <f t="shared" si="1"/>
        <v>0</v>
      </c>
      <c r="K6" s="17">
        <f t="shared" si="2"/>
        <v>0</v>
      </c>
      <c r="L6" s="17">
        <f t="shared" si="3"/>
        <v>0</v>
      </c>
      <c r="M6" s="7" t="str">
        <f>IF($C6="","",IF(J6=0,"Sin datos",IF(IFERROR(VLOOKUP($C6,Productos!$B$5:$H$124,4,FALSE),0)=0,"Sin precio cliente",IF(IFERROR(VLOOKUP($C6,Productos!$B$5:$H$124,4,FALSE),0)&lt;J6,"Riesgo: cliente bajo costo",IF(K6&gt;IFERROR(VLOOKUP($C6,Productos!$B$5:$H$124,4,FALSE),0),"Revisar: sugerido sobre cliente",IF(K6&gt;IFERROR(VLOOKUP($C6,Productos!$B$5:$H$124,5,FALSE),0),"Sobre competencia","Competitivo"))))))</f>
        <v>Sin datos</v>
      </c>
      <c r="O6" s="51"/>
      <c r="P6" s="51"/>
      <c r="Q6" s="51"/>
    </row>
    <row r="7" spans="2:17" ht="21.95" customHeight="1" x14ac:dyDescent="0.25">
      <c r="C7" s="7" t="str">
        <f>IF(Productos!B7="","",Productos!B7)</f>
        <v>Banqueta</v>
      </c>
      <c r="D7" s="17">
        <f>IF($C7="","",SUMIFS('Base de Costos'!$H$5:$H$504,'Base de Costos'!$C$5:$C$504,$C7,'Base de Costos'!$D$5:$D$504,"Materia prima"))</f>
        <v>0</v>
      </c>
      <c r="E7" s="17">
        <f>IF($C7="","",SUMIFS('Base de Costos'!$H$5:$H$504,'Base de Costos'!$C$5:$C$504,$C7,'Base de Costos'!$D$5:$D$504,"Mano de obra"))</f>
        <v>0</v>
      </c>
      <c r="F7" s="17">
        <f>IF($C7="","",SUMIFS('Base de Costos'!$H$5:$H$504,'Base de Costos'!$C$5:$C$504,$C7,'Base de Costos'!$D$5:$D$504,"Costo indirecto fabricación"))</f>
        <v>0</v>
      </c>
      <c r="G7" s="17">
        <f t="shared" si="0"/>
        <v>0</v>
      </c>
      <c r="H7" s="17">
        <f>IF($C7="","",SUMIFS('Base de Costos'!$H$5:$H$504,'Base de Costos'!$C$5:$C$504,$C7,'Base de Costos'!$D$5:$D$504,"Gasto publicidad")+SUMIFS('Base de Costos'!$H$5:$H$504,'Base de Costos'!$C$5:$C$504,$C7,'Base de Costos'!$D$5:$D$504,"Gasto administrativo")+SUMIFS('Base de Costos'!$H$5:$H$504,'Base de Costos'!$C$5:$C$504,$C7,'Base de Costos'!$D$5:$D$504,"Otro gasto"))</f>
        <v>0</v>
      </c>
      <c r="I7" s="18">
        <f>IF($C7="","",IFERROR(VLOOKUP($C7,Productos!$B$5:$H$124,7,FALSE),0))</f>
        <v>0.25</v>
      </c>
      <c r="J7" s="17">
        <f t="shared" si="1"/>
        <v>0</v>
      </c>
      <c r="K7" s="17">
        <f t="shared" si="2"/>
        <v>0</v>
      </c>
      <c r="L7" s="17">
        <f t="shared" si="3"/>
        <v>0</v>
      </c>
      <c r="M7" s="7" t="str">
        <f>IF($C7="","",IF(J7=0,"Sin datos",IF(IFERROR(VLOOKUP($C7,Productos!$B$5:$H$124,4,FALSE),0)=0,"Sin precio cliente",IF(IFERROR(VLOOKUP($C7,Productos!$B$5:$H$124,4,FALSE),0)&lt;J7,"Riesgo: cliente bajo costo",IF(K7&gt;IFERROR(VLOOKUP($C7,Productos!$B$5:$H$124,4,FALSE),0),"Revisar: sugerido sobre cliente",IF(K7&gt;IFERROR(VLOOKUP($C7,Productos!$B$5:$H$124,5,FALSE),0),"Sobre competencia","Competitivo"))))))</f>
        <v>Sin datos</v>
      </c>
      <c r="O7" s="51"/>
      <c r="P7" s="51"/>
      <c r="Q7" s="51"/>
    </row>
    <row r="8" spans="2:17" ht="21.95" customHeight="1" x14ac:dyDescent="0.25">
      <c r="C8" s="7" t="str">
        <f>IF(Productos!B8="","",Productos!B8)</f>
        <v>Servicio diseño</v>
      </c>
      <c r="D8" s="17">
        <f>IF($C8="","",SUMIFS('Base de Costos'!$H$5:$H$504,'Base de Costos'!$C$5:$C$504,$C8,'Base de Costos'!$D$5:$D$504,"Materia prima"))</f>
        <v>0</v>
      </c>
      <c r="E8" s="17">
        <f>IF($C8="","",SUMIFS('Base de Costos'!$H$5:$H$504,'Base de Costos'!$C$5:$C$504,$C8,'Base de Costos'!$D$5:$D$504,"Mano de obra"))</f>
        <v>0</v>
      </c>
      <c r="F8" s="17">
        <f>IF($C8="","",SUMIFS('Base de Costos'!$H$5:$H$504,'Base de Costos'!$C$5:$C$504,$C8,'Base de Costos'!$D$5:$D$504,"Costo indirecto fabricación"))</f>
        <v>0</v>
      </c>
      <c r="G8" s="17">
        <f t="shared" si="0"/>
        <v>0</v>
      </c>
      <c r="H8" s="17">
        <f>IF($C8="","",SUMIFS('Base de Costos'!$H$5:$H$504,'Base de Costos'!$C$5:$C$504,$C8,'Base de Costos'!$D$5:$D$504,"Gasto publicidad")+SUMIFS('Base de Costos'!$H$5:$H$504,'Base de Costos'!$C$5:$C$504,$C8,'Base de Costos'!$D$5:$D$504,"Gasto administrativo")+SUMIFS('Base de Costos'!$H$5:$H$504,'Base de Costos'!$C$5:$C$504,$C8,'Base de Costos'!$D$5:$D$504,"Otro gasto"))</f>
        <v>0</v>
      </c>
      <c r="I8" s="18">
        <f>IF($C8="","",IFERROR(VLOOKUP($C8,Productos!$B$5:$H$124,7,FALSE),0))</f>
        <v>0.35</v>
      </c>
      <c r="J8" s="17">
        <f t="shared" si="1"/>
        <v>0</v>
      </c>
      <c r="K8" s="17">
        <f t="shared" si="2"/>
        <v>0</v>
      </c>
      <c r="L8" s="17">
        <f t="shared" si="3"/>
        <v>0</v>
      </c>
      <c r="M8" s="7" t="str">
        <f>IF($C8="","",IF(J8=0,"Sin datos",IF(IFERROR(VLOOKUP($C8,Productos!$B$5:$H$124,4,FALSE),0)=0,"Sin precio cliente",IF(IFERROR(VLOOKUP($C8,Productos!$B$5:$H$124,4,FALSE),0)&lt;J8,"Riesgo: cliente bajo costo",IF(K8&gt;IFERROR(VLOOKUP($C8,Productos!$B$5:$H$124,4,FALSE),0),"Revisar: sugerido sobre cliente",IF(K8&gt;IFERROR(VLOOKUP($C8,Productos!$B$5:$H$124,5,FALSE),0),"Sobre competencia","Competitivo"))))))</f>
        <v>Sin datos</v>
      </c>
      <c r="O8" s="51"/>
      <c r="P8" s="51"/>
      <c r="Q8" s="51"/>
    </row>
    <row r="9" spans="2:17" ht="21.95" customHeight="1" x14ac:dyDescent="0.25">
      <c r="C9" s="7" t="str">
        <f>IF(Productos!B9="","",Productos!B9)</f>
        <v/>
      </c>
      <c r="D9" s="17" t="str">
        <f>IF($C9="","",SUMIFS('Base de Costos'!$H$5:$H$504,'Base de Costos'!$C$5:$C$504,$C9,'Base de Costos'!$D$5:$D$504,"Materia prima"))</f>
        <v/>
      </c>
      <c r="E9" s="17" t="str">
        <f>IF($C9="","",SUMIFS('Base de Costos'!$H$5:$H$504,'Base de Costos'!$C$5:$C$504,$C9,'Base de Costos'!$D$5:$D$504,"Mano de obra"))</f>
        <v/>
      </c>
      <c r="F9" s="17" t="str">
        <f>IF($C9="","",SUMIFS('Base de Costos'!$H$5:$H$504,'Base de Costos'!$C$5:$C$504,$C9,'Base de Costos'!$D$5:$D$504,"Costo indirecto fabricación"))</f>
        <v/>
      </c>
      <c r="G9" s="17" t="str">
        <f t="shared" si="0"/>
        <v/>
      </c>
      <c r="H9" s="17" t="str">
        <f>IF($C9="","",SUMIFS('Base de Costos'!$H$5:$H$504,'Base de Costos'!$C$5:$C$504,$C9,'Base de Costos'!$D$5:$D$504,"Gasto publicidad")+SUMIFS('Base de Costos'!$H$5:$H$504,'Base de Costos'!$C$5:$C$504,$C9,'Base de Costos'!$D$5:$D$504,"Gasto administrativo")+SUMIFS('Base de Costos'!$H$5:$H$504,'Base de Costos'!$C$5:$C$504,$C9,'Base de Costos'!$D$5:$D$504,"Otro gasto"))</f>
        <v/>
      </c>
      <c r="I9" s="18" t="str">
        <f>IF($C9="","",IFERROR(VLOOKUP($C9,Productos!$B$5:$H$124,7,FALSE),0))</f>
        <v/>
      </c>
      <c r="J9" s="17" t="str">
        <f t="shared" si="1"/>
        <v/>
      </c>
      <c r="K9" s="17" t="str">
        <f t="shared" si="2"/>
        <v/>
      </c>
      <c r="L9" s="17" t="str">
        <f t="shared" si="3"/>
        <v/>
      </c>
      <c r="M9" s="7" t="str">
        <f>IF($C9="","",IF(J9=0,"Sin datos",IF(IFERROR(VLOOKUP($C9,Productos!$B$5:$H$124,4,FALSE),0)=0,"Sin precio cliente",IF(IFERROR(VLOOKUP($C9,Productos!$B$5:$H$124,4,FALSE),0)&lt;J9,"Riesgo: cliente bajo costo",IF(K9&gt;IFERROR(VLOOKUP($C9,Productos!$B$5:$H$124,4,FALSE),0),"Revisar: sugerido sobre cliente",IF(K9&gt;IFERROR(VLOOKUP($C9,Productos!$B$5:$H$124,5,FALSE),0),"Sobre competencia","Competitivo"))))))</f>
        <v/>
      </c>
      <c r="O9" s="51"/>
      <c r="P9" s="51"/>
      <c r="Q9" s="51"/>
    </row>
    <row r="10" spans="2:17" ht="21.95" customHeight="1" x14ac:dyDescent="0.25">
      <c r="C10" s="7" t="str">
        <f>IF(Productos!B10="","",Productos!B10)</f>
        <v/>
      </c>
      <c r="D10" s="17" t="str">
        <f>IF($C10="","",SUMIFS('Base de Costos'!$H$5:$H$504,'Base de Costos'!$C$5:$C$504,$C10,'Base de Costos'!$D$5:$D$504,"Materia prima"))</f>
        <v/>
      </c>
      <c r="E10" s="17" t="str">
        <f>IF($C10="","",SUMIFS('Base de Costos'!$H$5:$H$504,'Base de Costos'!$C$5:$C$504,$C10,'Base de Costos'!$D$5:$D$504,"Mano de obra"))</f>
        <v/>
      </c>
      <c r="F10" s="17" t="str">
        <f>IF($C10="","",SUMIFS('Base de Costos'!$H$5:$H$504,'Base de Costos'!$C$5:$C$504,$C10,'Base de Costos'!$D$5:$D$504,"Costo indirecto fabricación"))</f>
        <v/>
      </c>
      <c r="G10" s="17" t="str">
        <f t="shared" si="0"/>
        <v/>
      </c>
      <c r="H10" s="17" t="str">
        <f>IF($C10="","",SUMIFS('Base de Costos'!$H$5:$H$504,'Base de Costos'!$C$5:$C$504,$C10,'Base de Costos'!$D$5:$D$504,"Gasto publicidad")+SUMIFS('Base de Costos'!$H$5:$H$504,'Base de Costos'!$C$5:$C$504,$C10,'Base de Costos'!$D$5:$D$504,"Gasto administrativo")+SUMIFS('Base de Costos'!$H$5:$H$504,'Base de Costos'!$C$5:$C$504,$C10,'Base de Costos'!$D$5:$D$504,"Otro gasto"))</f>
        <v/>
      </c>
      <c r="I10" s="18" t="str">
        <f>IF($C10="","",IFERROR(VLOOKUP($C10,Productos!$B$5:$H$124,7,FALSE),0))</f>
        <v/>
      </c>
      <c r="J10" s="17" t="str">
        <f t="shared" si="1"/>
        <v/>
      </c>
      <c r="K10" s="17" t="str">
        <f t="shared" si="2"/>
        <v/>
      </c>
      <c r="L10" s="17" t="str">
        <f t="shared" si="3"/>
        <v/>
      </c>
      <c r="M10" s="7" t="str">
        <f>IF($C10="","",IF(J10=0,"Sin datos",IF(IFERROR(VLOOKUP($C10,Productos!$B$5:$H$124,4,FALSE),0)=0,"Sin precio cliente",IF(IFERROR(VLOOKUP($C10,Productos!$B$5:$H$124,4,FALSE),0)&lt;J10,"Riesgo: cliente bajo costo",IF(K10&gt;IFERROR(VLOOKUP($C10,Productos!$B$5:$H$124,4,FALSE),0),"Revisar: sugerido sobre cliente",IF(K10&gt;IFERROR(VLOOKUP($C10,Productos!$B$5:$H$124,5,FALSE),0),"Sobre competencia","Competitivo"))))))</f>
        <v/>
      </c>
      <c r="O10" s="51"/>
      <c r="P10" s="51"/>
      <c r="Q10" s="51"/>
    </row>
    <row r="11" spans="2:17" ht="21.95" customHeight="1" x14ac:dyDescent="0.25">
      <c r="C11" s="7" t="str">
        <f>IF(Productos!B11="","",Productos!B11)</f>
        <v/>
      </c>
      <c r="D11" s="17" t="str">
        <f>IF($C11="","",SUMIFS('Base de Costos'!$H$5:$H$504,'Base de Costos'!$C$5:$C$504,$C11,'Base de Costos'!$D$5:$D$504,"Materia prima"))</f>
        <v/>
      </c>
      <c r="E11" s="17" t="str">
        <f>IF($C11="","",SUMIFS('Base de Costos'!$H$5:$H$504,'Base de Costos'!$C$5:$C$504,$C11,'Base de Costos'!$D$5:$D$504,"Mano de obra"))</f>
        <v/>
      </c>
      <c r="F11" s="17" t="str">
        <f>IF($C11="","",SUMIFS('Base de Costos'!$H$5:$H$504,'Base de Costos'!$C$5:$C$504,$C11,'Base de Costos'!$D$5:$D$504,"Costo indirecto fabricación"))</f>
        <v/>
      </c>
      <c r="G11" s="17" t="str">
        <f t="shared" si="0"/>
        <v/>
      </c>
      <c r="H11" s="17" t="str">
        <f>IF($C11="","",SUMIFS('Base de Costos'!$H$5:$H$504,'Base de Costos'!$C$5:$C$504,$C11,'Base de Costos'!$D$5:$D$504,"Gasto publicidad")+SUMIFS('Base de Costos'!$H$5:$H$504,'Base de Costos'!$C$5:$C$504,$C11,'Base de Costos'!$D$5:$D$504,"Gasto administrativo")+SUMIFS('Base de Costos'!$H$5:$H$504,'Base de Costos'!$C$5:$C$504,$C11,'Base de Costos'!$D$5:$D$504,"Otro gasto"))</f>
        <v/>
      </c>
      <c r="I11" s="18" t="str">
        <f>IF($C11="","",IFERROR(VLOOKUP($C11,Productos!$B$5:$H$124,7,FALSE),0))</f>
        <v/>
      </c>
      <c r="J11" s="17" t="str">
        <f t="shared" si="1"/>
        <v/>
      </c>
      <c r="K11" s="17" t="str">
        <f t="shared" si="2"/>
        <v/>
      </c>
      <c r="L11" s="17" t="str">
        <f t="shared" si="3"/>
        <v/>
      </c>
      <c r="M11" s="7" t="str">
        <f>IF($C11="","",IF(J11=0,"Sin datos",IF(IFERROR(VLOOKUP($C11,Productos!$B$5:$H$124,4,FALSE),0)=0,"Sin precio cliente",IF(IFERROR(VLOOKUP($C11,Productos!$B$5:$H$124,4,FALSE),0)&lt;J11,"Riesgo: cliente bajo costo",IF(K11&gt;IFERROR(VLOOKUP($C11,Productos!$B$5:$H$124,4,FALSE),0),"Revisar: sugerido sobre cliente",IF(K11&gt;IFERROR(VLOOKUP($C11,Productos!$B$5:$H$124,5,FALSE),0),"Sobre competencia","Competitivo"))))))</f>
        <v/>
      </c>
      <c r="O11" s="51"/>
      <c r="P11" s="51"/>
      <c r="Q11" s="51"/>
    </row>
    <row r="12" spans="2:17" ht="21.95" customHeight="1" x14ac:dyDescent="0.25">
      <c r="C12" s="7" t="str">
        <f>IF(Productos!B12="","",Productos!B12)</f>
        <v/>
      </c>
      <c r="D12" s="17" t="str">
        <f>IF($C12="","",SUMIFS('Base de Costos'!$H$5:$H$504,'Base de Costos'!$C$5:$C$504,$C12,'Base de Costos'!$D$5:$D$504,"Materia prima"))</f>
        <v/>
      </c>
      <c r="E12" s="17" t="str">
        <f>IF($C12="","",SUMIFS('Base de Costos'!$H$5:$H$504,'Base de Costos'!$C$5:$C$504,$C12,'Base de Costos'!$D$5:$D$504,"Mano de obra"))</f>
        <v/>
      </c>
      <c r="F12" s="17" t="str">
        <f>IF($C12="","",SUMIFS('Base de Costos'!$H$5:$H$504,'Base de Costos'!$C$5:$C$504,$C12,'Base de Costos'!$D$5:$D$504,"Costo indirecto fabricación"))</f>
        <v/>
      </c>
      <c r="G12" s="17" t="str">
        <f t="shared" si="0"/>
        <v/>
      </c>
      <c r="H12" s="17" t="str">
        <f>IF($C12="","",SUMIFS('Base de Costos'!$H$5:$H$504,'Base de Costos'!$C$5:$C$504,$C12,'Base de Costos'!$D$5:$D$504,"Gasto publicidad")+SUMIFS('Base de Costos'!$H$5:$H$504,'Base de Costos'!$C$5:$C$504,$C12,'Base de Costos'!$D$5:$D$504,"Gasto administrativo")+SUMIFS('Base de Costos'!$H$5:$H$504,'Base de Costos'!$C$5:$C$504,$C12,'Base de Costos'!$D$5:$D$504,"Otro gasto"))</f>
        <v/>
      </c>
      <c r="I12" s="18" t="str">
        <f>IF($C12="","",IFERROR(VLOOKUP($C12,Productos!$B$5:$H$124,7,FALSE),0))</f>
        <v/>
      </c>
      <c r="J12" s="17" t="str">
        <f t="shared" si="1"/>
        <v/>
      </c>
      <c r="K12" s="17" t="str">
        <f t="shared" si="2"/>
        <v/>
      </c>
      <c r="L12" s="17" t="str">
        <f t="shared" si="3"/>
        <v/>
      </c>
      <c r="M12" s="7" t="str">
        <f>IF($C12="","",IF(J12=0,"Sin datos",IF(IFERROR(VLOOKUP($C12,Productos!$B$5:$H$124,4,FALSE),0)=0,"Sin precio cliente",IF(IFERROR(VLOOKUP($C12,Productos!$B$5:$H$124,4,FALSE),0)&lt;J12,"Riesgo: cliente bajo costo",IF(K12&gt;IFERROR(VLOOKUP($C12,Productos!$B$5:$H$124,4,FALSE),0),"Revisar: sugerido sobre cliente",IF(K12&gt;IFERROR(VLOOKUP($C12,Productos!$B$5:$H$124,5,FALSE),0),"Sobre competencia","Competitivo"))))))</f>
        <v/>
      </c>
      <c r="O12" s="51"/>
      <c r="P12" s="51"/>
      <c r="Q12" s="51"/>
    </row>
    <row r="13" spans="2:17" ht="21.95" customHeight="1" x14ac:dyDescent="0.25">
      <c r="C13" s="7" t="str">
        <f>IF(Productos!B13="","",Productos!B13)</f>
        <v/>
      </c>
      <c r="D13" s="17" t="str">
        <f>IF($C13="","",SUMIFS('Base de Costos'!$H$5:$H$504,'Base de Costos'!$C$5:$C$504,$C13,'Base de Costos'!$D$5:$D$504,"Materia prima"))</f>
        <v/>
      </c>
      <c r="E13" s="17" t="str">
        <f>IF($C13="","",SUMIFS('Base de Costos'!$H$5:$H$504,'Base de Costos'!$C$5:$C$504,$C13,'Base de Costos'!$D$5:$D$504,"Mano de obra"))</f>
        <v/>
      </c>
      <c r="F13" s="17" t="str">
        <f>IF($C13="","",SUMIFS('Base de Costos'!$H$5:$H$504,'Base de Costos'!$C$5:$C$504,$C13,'Base de Costos'!$D$5:$D$504,"Costo indirecto fabricación"))</f>
        <v/>
      </c>
      <c r="G13" s="17" t="str">
        <f t="shared" si="0"/>
        <v/>
      </c>
      <c r="H13" s="17" t="str">
        <f>IF($C13="","",SUMIFS('Base de Costos'!$H$5:$H$504,'Base de Costos'!$C$5:$C$504,$C13,'Base de Costos'!$D$5:$D$504,"Gasto publicidad")+SUMIFS('Base de Costos'!$H$5:$H$504,'Base de Costos'!$C$5:$C$504,$C13,'Base de Costos'!$D$5:$D$504,"Gasto administrativo")+SUMIFS('Base de Costos'!$H$5:$H$504,'Base de Costos'!$C$5:$C$504,$C13,'Base de Costos'!$D$5:$D$504,"Otro gasto"))</f>
        <v/>
      </c>
      <c r="I13" s="18" t="str">
        <f>IF($C13="","",IFERROR(VLOOKUP($C13,Productos!$B$5:$H$124,7,FALSE),0))</f>
        <v/>
      </c>
      <c r="J13" s="17" t="str">
        <f t="shared" si="1"/>
        <v/>
      </c>
      <c r="K13" s="17" t="str">
        <f t="shared" si="2"/>
        <v/>
      </c>
      <c r="L13" s="17" t="str">
        <f t="shared" si="3"/>
        <v/>
      </c>
      <c r="M13" s="7" t="str">
        <f>IF($C13="","",IF(J13=0,"Sin datos",IF(IFERROR(VLOOKUP($C13,Productos!$B$5:$H$124,4,FALSE),0)=0,"Sin precio cliente",IF(IFERROR(VLOOKUP($C13,Productos!$B$5:$H$124,4,FALSE),0)&lt;J13,"Riesgo: cliente bajo costo",IF(K13&gt;IFERROR(VLOOKUP($C13,Productos!$B$5:$H$124,4,FALSE),0),"Revisar: sugerido sobre cliente",IF(K13&gt;IFERROR(VLOOKUP($C13,Productos!$B$5:$H$124,5,FALSE),0),"Sobre competencia","Competitivo"))))))</f>
        <v/>
      </c>
      <c r="O13" s="51"/>
      <c r="P13" s="51"/>
      <c r="Q13" s="51"/>
    </row>
    <row r="14" spans="2:17" ht="21.95" customHeight="1" x14ac:dyDescent="0.25">
      <c r="C14" s="7" t="str">
        <f>IF(Productos!B14="","",Productos!B14)</f>
        <v/>
      </c>
      <c r="D14" s="17" t="str">
        <f>IF($C14="","",SUMIFS('Base de Costos'!$H$5:$H$504,'Base de Costos'!$C$5:$C$504,$C14,'Base de Costos'!$D$5:$D$504,"Materia prima"))</f>
        <v/>
      </c>
      <c r="E14" s="17" t="str">
        <f>IF($C14="","",SUMIFS('Base de Costos'!$H$5:$H$504,'Base de Costos'!$C$5:$C$504,$C14,'Base de Costos'!$D$5:$D$504,"Mano de obra"))</f>
        <v/>
      </c>
      <c r="F14" s="17" t="str">
        <f>IF($C14="","",SUMIFS('Base de Costos'!$H$5:$H$504,'Base de Costos'!$C$5:$C$504,$C14,'Base de Costos'!$D$5:$D$504,"Costo indirecto fabricación"))</f>
        <v/>
      </c>
      <c r="G14" s="17" t="str">
        <f t="shared" si="0"/>
        <v/>
      </c>
      <c r="H14" s="17" t="str">
        <f>IF($C14="","",SUMIFS('Base de Costos'!$H$5:$H$504,'Base de Costos'!$C$5:$C$504,$C14,'Base de Costos'!$D$5:$D$504,"Gasto publicidad")+SUMIFS('Base de Costos'!$H$5:$H$504,'Base de Costos'!$C$5:$C$504,$C14,'Base de Costos'!$D$5:$D$504,"Gasto administrativo")+SUMIFS('Base de Costos'!$H$5:$H$504,'Base de Costos'!$C$5:$C$504,$C14,'Base de Costos'!$D$5:$D$504,"Otro gasto"))</f>
        <v/>
      </c>
      <c r="I14" s="18" t="str">
        <f>IF($C14="","",IFERROR(VLOOKUP($C14,Productos!$B$5:$H$124,7,FALSE),0))</f>
        <v/>
      </c>
      <c r="J14" s="17" t="str">
        <f t="shared" si="1"/>
        <v/>
      </c>
      <c r="K14" s="17" t="str">
        <f t="shared" si="2"/>
        <v/>
      </c>
      <c r="L14" s="17" t="str">
        <f t="shared" si="3"/>
        <v/>
      </c>
      <c r="M14" s="7" t="str">
        <f>IF($C14="","",IF(J14=0,"Sin datos",IF(IFERROR(VLOOKUP($C14,Productos!$B$5:$H$124,4,FALSE),0)=0,"Sin precio cliente",IF(IFERROR(VLOOKUP($C14,Productos!$B$5:$H$124,4,FALSE),0)&lt;J14,"Riesgo: cliente bajo costo",IF(K14&gt;IFERROR(VLOOKUP($C14,Productos!$B$5:$H$124,4,FALSE),0),"Revisar: sugerido sobre cliente",IF(K14&gt;IFERROR(VLOOKUP($C14,Productos!$B$5:$H$124,5,FALSE),0),"Sobre competencia","Competitivo"))))))</f>
        <v/>
      </c>
      <c r="O14" s="51"/>
      <c r="P14" s="51"/>
      <c r="Q14" s="51"/>
    </row>
    <row r="15" spans="2:17" ht="21.95" customHeight="1" x14ac:dyDescent="0.25">
      <c r="C15" s="7" t="str">
        <f>IF(Productos!B15="","",Productos!B15)</f>
        <v/>
      </c>
      <c r="D15" s="17" t="str">
        <f>IF($C15="","",SUMIFS('Base de Costos'!$H$5:$H$504,'Base de Costos'!$C$5:$C$504,$C15,'Base de Costos'!$D$5:$D$504,"Materia prima"))</f>
        <v/>
      </c>
      <c r="E15" s="17" t="str">
        <f>IF($C15="","",SUMIFS('Base de Costos'!$H$5:$H$504,'Base de Costos'!$C$5:$C$504,$C15,'Base de Costos'!$D$5:$D$504,"Mano de obra"))</f>
        <v/>
      </c>
      <c r="F15" s="17" t="str">
        <f>IF($C15="","",SUMIFS('Base de Costos'!$H$5:$H$504,'Base de Costos'!$C$5:$C$504,$C15,'Base de Costos'!$D$5:$D$504,"Costo indirecto fabricación"))</f>
        <v/>
      </c>
      <c r="G15" s="17" t="str">
        <f t="shared" si="0"/>
        <v/>
      </c>
      <c r="H15" s="17" t="str">
        <f>IF($C15="","",SUMIFS('Base de Costos'!$H$5:$H$504,'Base de Costos'!$C$5:$C$504,$C15,'Base de Costos'!$D$5:$D$504,"Gasto publicidad")+SUMIFS('Base de Costos'!$H$5:$H$504,'Base de Costos'!$C$5:$C$504,$C15,'Base de Costos'!$D$5:$D$504,"Gasto administrativo")+SUMIFS('Base de Costos'!$H$5:$H$504,'Base de Costos'!$C$5:$C$504,$C15,'Base de Costos'!$D$5:$D$504,"Otro gasto"))</f>
        <v/>
      </c>
      <c r="I15" s="18" t="str">
        <f>IF($C15="","",IFERROR(VLOOKUP($C15,Productos!$B$5:$H$124,7,FALSE),0))</f>
        <v/>
      </c>
      <c r="J15" s="17" t="str">
        <f t="shared" si="1"/>
        <v/>
      </c>
      <c r="K15" s="17" t="str">
        <f t="shared" si="2"/>
        <v/>
      </c>
      <c r="L15" s="17" t="str">
        <f t="shared" si="3"/>
        <v/>
      </c>
      <c r="M15" s="7" t="str">
        <f>IF($C15="","",IF(J15=0,"Sin datos",IF(IFERROR(VLOOKUP($C15,Productos!$B$5:$H$124,4,FALSE),0)=0,"Sin precio cliente",IF(IFERROR(VLOOKUP($C15,Productos!$B$5:$H$124,4,FALSE),0)&lt;J15,"Riesgo: cliente bajo costo",IF(K15&gt;IFERROR(VLOOKUP($C15,Productos!$B$5:$H$124,4,FALSE),0),"Revisar: sugerido sobre cliente",IF(K15&gt;IFERROR(VLOOKUP($C15,Productos!$B$5:$H$124,5,FALSE),0),"Sobre competencia","Competitivo"))))))</f>
        <v/>
      </c>
      <c r="O15" s="51"/>
      <c r="P15" s="51"/>
      <c r="Q15" s="51"/>
    </row>
    <row r="16" spans="2:17" ht="21.95" customHeight="1" x14ac:dyDescent="0.25">
      <c r="C16" s="7" t="str">
        <f>IF(Productos!B16="","",Productos!B16)</f>
        <v/>
      </c>
      <c r="D16" s="17" t="str">
        <f>IF($C16="","",SUMIFS('Base de Costos'!$H$5:$H$504,'Base de Costos'!$C$5:$C$504,$C16,'Base de Costos'!$D$5:$D$504,"Materia prima"))</f>
        <v/>
      </c>
      <c r="E16" s="17" t="str">
        <f>IF($C16="","",SUMIFS('Base de Costos'!$H$5:$H$504,'Base de Costos'!$C$5:$C$504,$C16,'Base de Costos'!$D$5:$D$504,"Mano de obra"))</f>
        <v/>
      </c>
      <c r="F16" s="17" t="str">
        <f>IF($C16="","",SUMIFS('Base de Costos'!$H$5:$H$504,'Base de Costos'!$C$5:$C$504,$C16,'Base de Costos'!$D$5:$D$504,"Costo indirecto fabricación"))</f>
        <v/>
      </c>
      <c r="G16" s="17" t="str">
        <f t="shared" si="0"/>
        <v/>
      </c>
      <c r="H16" s="17" t="str">
        <f>IF($C16="","",SUMIFS('Base de Costos'!$H$5:$H$504,'Base de Costos'!$C$5:$C$504,$C16,'Base de Costos'!$D$5:$D$504,"Gasto publicidad")+SUMIFS('Base de Costos'!$H$5:$H$504,'Base de Costos'!$C$5:$C$504,$C16,'Base de Costos'!$D$5:$D$504,"Gasto administrativo")+SUMIFS('Base de Costos'!$H$5:$H$504,'Base de Costos'!$C$5:$C$504,$C16,'Base de Costos'!$D$5:$D$504,"Otro gasto"))</f>
        <v/>
      </c>
      <c r="I16" s="18" t="str">
        <f>IF($C16="","",IFERROR(VLOOKUP($C16,Productos!$B$5:$H$124,7,FALSE),0))</f>
        <v/>
      </c>
      <c r="J16" s="17" t="str">
        <f t="shared" si="1"/>
        <v/>
      </c>
      <c r="K16" s="17" t="str">
        <f t="shared" si="2"/>
        <v/>
      </c>
      <c r="L16" s="17" t="str">
        <f t="shared" si="3"/>
        <v/>
      </c>
      <c r="M16" s="7" t="str">
        <f>IF($C16="","",IF(J16=0,"Sin datos",IF(IFERROR(VLOOKUP($C16,Productos!$B$5:$H$124,4,FALSE),0)=0,"Sin precio cliente",IF(IFERROR(VLOOKUP($C16,Productos!$B$5:$H$124,4,FALSE),0)&lt;J16,"Riesgo: cliente bajo costo",IF(K16&gt;IFERROR(VLOOKUP($C16,Productos!$B$5:$H$124,4,FALSE),0),"Revisar: sugerido sobre cliente",IF(K16&gt;IFERROR(VLOOKUP($C16,Productos!$B$5:$H$124,5,FALSE),0),"Sobre competencia","Competitivo"))))))</f>
        <v/>
      </c>
      <c r="O16" s="10"/>
      <c r="P16" s="10"/>
      <c r="Q16" s="10"/>
    </row>
    <row r="17" spans="3:17" ht="21.95" customHeight="1" x14ac:dyDescent="0.25">
      <c r="C17" s="7" t="str">
        <f>IF(Productos!B17="","",Productos!B17)</f>
        <v/>
      </c>
      <c r="D17" s="17" t="str">
        <f>IF($C17="","",SUMIFS('Base de Costos'!$H$5:$H$504,'Base de Costos'!$C$5:$C$504,$C17,'Base de Costos'!$D$5:$D$504,"Materia prima"))</f>
        <v/>
      </c>
      <c r="E17" s="17" t="str">
        <f>IF($C17="","",SUMIFS('Base de Costos'!$H$5:$H$504,'Base de Costos'!$C$5:$C$504,$C17,'Base de Costos'!$D$5:$D$504,"Mano de obra"))</f>
        <v/>
      </c>
      <c r="F17" s="17" t="str">
        <f>IF($C17="","",SUMIFS('Base de Costos'!$H$5:$H$504,'Base de Costos'!$C$5:$C$504,$C17,'Base de Costos'!$D$5:$D$504,"Costo indirecto fabricación"))</f>
        <v/>
      </c>
      <c r="G17" s="17" t="str">
        <f t="shared" si="0"/>
        <v/>
      </c>
      <c r="H17" s="17" t="str">
        <f>IF($C17="","",SUMIFS('Base de Costos'!$H$5:$H$504,'Base de Costos'!$C$5:$C$504,$C17,'Base de Costos'!$D$5:$D$504,"Gasto publicidad")+SUMIFS('Base de Costos'!$H$5:$H$504,'Base de Costos'!$C$5:$C$504,$C17,'Base de Costos'!$D$5:$D$504,"Gasto administrativo")+SUMIFS('Base de Costos'!$H$5:$H$504,'Base de Costos'!$C$5:$C$504,$C17,'Base de Costos'!$D$5:$D$504,"Otro gasto"))</f>
        <v/>
      </c>
      <c r="I17" s="18" t="str">
        <f>IF($C17="","",IFERROR(VLOOKUP($C17,Productos!$B$5:$H$124,7,FALSE),0))</f>
        <v/>
      </c>
      <c r="J17" s="17" t="str">
        <f t="shared" si="1"/>
        <v/>
      </c>
      <c r="K17" s="17" t="str">
        <f t="shared" si="2"/>
        <v/>
      </c>
      <c r="L17" s="17" t="str">
        <f t="shared" si="3"/>
        <v/>
      </c>
      <c r="M17" s="7" t="str">
        <f>IF($C17="","",IF(J17=0,"Sin datos",IF(IFERROR(VLOOKUP($C17,Productos!$B$5:$H$124,4,FALSE),0)=0,"Sin precio cliente",IF(IFERROR(VLOOKUP($C17,Productos!$B$5:$H$124,4,FALSE),0)&lt;J17,"Riesgo: cliente bajo costo",IF(K17&gt;IFERROR(VLOOKUP($C17,Productos!$B$5:$H$124,4,FALSE),0),"Revisar: sugerido sobre cliente",IF(K17&gt;IFERROR(VLOOKUP($C17,Productos!$B$5:$H$124,5,FALSE),0),"Sobre competencia","Competitivo"))))))</f>
        <v/>
      </c>
      <c r="O17" s="10"/>
      <c r="P17" s="10"/>
      <c r="Q17" s="10"/>
    </row>
    <row r="18" spans="3:17" ht="21.95" customHeight="1" x14ac:dyDescent="0.25">
      <c r="C18" s="7" t="str">
        <f>IF(Productos!B18="","",Productos!B18)</f>
        <v/>
      </c>
      <c r="D18" s="17" t="str">
        <f>IF($C18="","",SUMIFS('Base de Costos'!$H$5:$H$504,'Base de Costos'!$C$5:$C$504,$C18,'Base de Costos'!$D$5:$D$504,"Materia prima"))</f>
        <v/>
      </c>
      <c r="E18" s="17" t="str">
        <f>IF($C18="","",SUMIFS('Base de Costos'!$H$5:$H$504,'Base de Costos'!$C$5:$C$504,$C18,'Base de Costos'!$D$5:$D$504,"Mano de obra"))</f>
        <v/>
      </c>
      <c r="F18" s="17" t="str">
        <f>IF($C18="","",SUMIFS('Base de Costos'!$H$5:$H$504,'Base de Costos'!$C$5:$C$504,$C18,'Base de Costos'!$D$5:$D$504,"Costo indirecto fabricación"))</f>
        <v/>
      </c>
      <c r="G18" s="17" t="str">
        <f t="shared" si="0"/>
        <v/>
      </c>
      <c r="H18" s="17" t="str">
        <f>IF($C18="","",SUMIFS('Base de Costos'!$H$5:$H$504,'Base de Costos'!$C$5:$C$504,$C18,'Base de Costos'!$D$5:$D$504,"Gasto publicidad")+SUMIFS('Base de Costos'!$H$5:$H$504,'Base de Costos'!$C$5:$C$504,$C18,'Base de Costos'!$D$5:$D$504,"Gasto administrativo")+SUMIFS('Base de Costos'!$H$5:$H$504,'Base de Costos'!$C$5:$C$504,$C18,'Base de Costos'!$D$5:$D$504,"Otro gasto"))</f>
        <v/>
      </c>
      <c r="I18" s="18" t="str">
        <f>IF($C18="","",IFERROR(VLOOKUP($C18,Productos!$B$5:$H$124,7,FALSE),0))</f>
        <v/>
      </c>
      <c r="J18" s="17" t="str">
        <f t="shared" si="1"/>
        <v/>
      </c>
      <c r="K18" s="17" t="str">
        <f t="shared" si="2"/>
        <v/>
      </c>
      <c r="L18" s="17" t="str">
        <f t="shared" si="3"/>
        <v/>
      </c>
      <c r="M18" s="7" t="str">
        <f>IF($C18="","",IF(J18=0,"Sin datos",IF(IFERROR(VLOOKUP($C18,Productos!$B$5:$H$124,4,FALSE),0)=0,"Sin precio cliente",IF(IFERROR(VLOOKUP($C18,Productos!$B$5:$H$124,4,FALSE),0)&lt;J18,"Riesgo: cliente bajo costo",IF(K18&gt;IFERROR(VLOOKUP($C18,Productos!$B$5:$H$124,4,FALSE),0),"Revisar: sugerido sobre cliente",IF(K18&gt;IFERROR(VLOOKUP($C18,Productos!$B$5:$H$124,5,FALSE),0),"Sobre competencia","Competitivo"))))))</f>
        <v/>
      </c>
      <c r="O18" s="10"/>
      <c r="P18" s="10"/>
      <c r="Q18" s="10"/>
    </row>
    <row r="19" spans="3:17" ht="21.95" customHeight="1" x14ac:dyDescent="0.25">
      <c r="C19" s="7" t="str">
        <f>IF(Productos!B19="","",Productos!B19)</f>
        <v/>
      </c>
      <c r="D19" s="17" t="str">
        <f>IF($C19="","",SUMIFS('Base de Costos'!$H$5:$H$504,'Base de Costos'!$C$5:$C$504,$C19,'Base de Costos'!$D$5:$D$504,"Materia prima"))</f>
        <v/>
      </c>
      <c r="E19" s="17" t="str">
        <f>IF($C19="","",SUMIFS('Base de Costos'!$H$5:$H$504,'Base de Costos'!$C$5:$C$504,$C19,'Base de Costos'!$D$5:$D$504,"Mano de obra"))</f>
        <v/>
      </c>
      <c r="F19" s="17" t="str">
        <f>IF($C19="","",SUMIFS('Base de Costos'!$H$5:$H$504,'Base de Costos'!$C$5:$C$504,$C19,'Base de Costos'!$D$5:$D$504,"Costo indirecto fabricación"))</f>
        <v/>
      </c>
      <c r="G19" s="17" t="str">
        <f t="shared" si="0"/>
        <v/>
      </c>
      <c r="H19" s="17" t="str">
        <f>IF($C19="","",SUMIFS('Base de Costos'!$H$5:$H$504,'Base de Costos'!$C$5:$C$504,$C19,'Base de Costos'!$D$5:$D$504,"Gasto publicidad")+SUMIFS('Base de Costos'!$H$5:$H$504,'Base de Costos'!$C$5:$C$504,$C19,'Base de Costos'!$D$5:$D$504,"Gasto administrativo")+SUMIFS('Base de Costos'!$H$5:$H$504,'Base de Costos'!$C$5:$C$504,$C19,'Base de Costos'!$D$5:$D$504,"Otro gasto"))</f>
        <v/>
      </c>
      <c r="I19" s="18" t="str">
        <f>IF($C19="","",IFERROR(VLOOKUP($C19,Productos!$B$5:$H$124,7,FALSE),0))</f>
        <v/>
      </c>
      <c r="J19" s="17" t="str">
        <f t="shared" si="1"/>
        <v/>
      </c>
      <c r="K19" s="17" t="str">
        <f t="shared" si="2"/>
        <v/>
      </c>
      <c r="L19" s="17" t="str">
        <f t="shared" si="3"/>
        <v/>
      </c>
      <c r="M19" s="7" t="str">
        <f>IF($C19="","",IF(J19=0,"Sin datos",IF(IFERROR(VLOOKUP($C19,Productos!$B$5:$H$124,4,FALSE),0)=0,"Sin precio cliente",IF(IFERROR(VLOOKUP($C19,Productos!$B$5:$H$124,4,FALSE),0)&lt;J19,"Riesgo: cliente bajo costo",IF(K19&gt;IFERROR(VLOOKUP($C19,Productos!$B$5:$H$124,4,FALSE),0),"Revisar: sugerido sobre cliente",IF(K19&gt;IFERROR(VLOOKUP($C19,Productos!$B$5:$H$124,5,FALSE),0),"Sobre competencia","Competitivo"))))))</f>
        <v/>
      </c>
      <c r="O19" s="10"/>
      <c r="P19" s="10"/>
      <c r="Q19" s="10"/>
    </row>
    <row r="20" spans="3:17" ht="21.95" customHeight="1" x14ac:dyDescent="0.25">
      <c r="C20" s="7" t="str">
        <f>IF(Productos!B20="","",Productos!B20)</f>
        <v/>
      </c>
      <c r="D20" s="17" t="str">
        <f>IF($C20="","",SUMIFS('Base de Costos'!$H$5:$H$504,'Base de Costos'!$C$5:$C$504,$C20,'Base de Costos'!$D$5:$D$504,"Materia prima"))</f>
        <v/>
      </c>
      <c r="E20" s="17" t="str">
        <f>IF($C20="","",SUMIFS('Base de Costos'!$H$5:$H$504,'Base de Costos'!$C$5:$C$504,$C20,'Base de Costos'!$D$5:$D$504,"Mano de obra"))</f>
        <v/>
      </c>
      <c r="F20" s="17" t="str">
        <f>IF($C20="","",SUMIFS('Base de Costos'!$H$5:$H$504,'Base de Costos'!$C$5:$C$504,$C20,'Base de Costos'!$D$5:$D$504,"Costo indirecto fabricación"))</f>
        <v/>
      </c>
      <c r="G20" s="17" t="str">
        <f t="shared" si="0"/>
        <v/>
      </c>
      <c r="H20" s="17" t="str">
        <f>IF($C20="","",SUMIFS('Base de Costos'!$H$5:$H$504,'Base de Costos'!$C$5:$C$504,$C20,'Base de Costos'!$D$5:$D$504,"Gasto publicidad")+SUMIFS('Base de Costos'!$H$5:$H$504,'Base de Costos'!$C$5:$C$504,$C20,'Base de Costos'!$D$5:$D$504,"Gasto administrativo")+SUMIFS('Base de Costos'!$H$5:$H$504,'Base de Costos'!$C$5:$C$504,$C20,'Base de Costos'!$D$5:$D$504,"Otro gasto"))</f>
        <v/>
      </c>
      <c r="I20" s="18" t="str">
        <f>IF($C20="","",IFERROR(VLOOKUP($C20,Productos!$B$5:$H$124,7,FALSE),0))</f>
        <v/>
      </c>
      <c r="J20" s="17" t="str">
        <f t="shared" si="1"/>
        <v/>
      </c>
      <c r="K20" s="17" t="str">
        <f t="shared" si="2"/>
        <v/>
      </c>
      <c r="L20" s="17" t="str">
        <f t="shared" si="3"/>
        <v/>
      </c>
      <c r="M20" s="7" t="str">
        <f>IF($C20="","",IF(J20=0,"Sin datos",IF(IFERROR(VLOOKUP($C20,Productos!$B$5:$H$124,4,FALSE),0)=0,"Sin precio cliente",IF(IFERROR(VLOOKUP($C20,Productos!$B$5:$H$124,4,FALSE),0)&lt;J20,"Riesgo: cliente bajo costo",IF(K20&gt;IFERROR(VLOOKUP($C20,Productos!$B$5:$H$124,4,FALSE),0),"Revisar: sugerido sobre cliente",IF(K20&gt;IFERROR(VLOOKUP($C20,Productos!$B$5:$H$124,5,FALSE),0),"Sobre competencia","Competitivo"))))))</f>
        <v/>
      </c>
      <c r="O20" s="10"/>
      <c r="P20" s="10"/>
      <c r="Q20" s="10"/>
    </row>
    <row r="21" spans="3:17" ht="21.95" customHeight="1" x14ac:dyDescent="0.25">
      <c r="C21" s="7" t="str">
        <f>IF(Productos!B21="","",Productos!B21)</f>
        <v/>
      </c>
      <c r="D21" s="17" t="str">
        <f>IF($C21="","",SUMIFS('Base de Costos'!$H$5:$H$504,'Base de Costos'!$C$5:$C$504,$C21,'Base de Costos'!$D$5:$D$504,"Materia prima"))</f>
        <v/>
      </c>
      <c r="E21" s="17" t="str">
        <f>IF($C21="","",SUMIFS('Base de Costos'!$H$5:$H$504,'Base de Costos'!$C$5:$C$504,$C21,'Base de Costos'!$D$5:$D$504,"Mano de obra"))</f>
        <v/>
      </c>
      <c r="F21" s="17" t="str">
        <f>IF($C21="","",SUMIFS('Base de Costos'!$H$5:$H$504,'Base de Costos'!$C$5:$C$504,$C21,'Base de Costos'!$D$5:$D$504,"Costo indirecto fabricación"))</f>
        <v/>
      </c>
      <c r="G21" s="17" t="str">
        <f t="shared" si="0"/>
        <v/>
      </c>
      <c r="H21" s="17" t="str">
        <f>IF($C21="","",SUMIFS('Base de Costos'!$H$5:$H$504,'Base de Costos'!$C$5:$C$504,$C21,'Base de Costos'!$D$5:$D$504,"Gasto publicidad")+SUMIFS('Base de Costos'!$H$5:$H$504,'Base de Costos'!$C$5:$C$504,$C21,'Base de Costos'!$D$5:$D$504,"Gasto administrativo")+SUMIFS('Base de Costos'!$H$5:$H$504,'Base de Costos'!$C$5:$C$504,$C21,'Base de Costos'!$D$5:$D$504,"Otro gasto"))</f>
        <v/>
      </c>
      <c r="I21" s="18" t="str">
        <f>IF($C21="","",IFERROR(VLOOKUP($C21,Productos!$B$5:$H$124,7,FALSE),0))</f>
        <v/>
      </c>
      <c r="J21" s="17" t="str">
        <f t="shared" si="1"/>
        <v/>
      </c>
      <c r="K21" s="17" t="str">
        <f t="shared" si="2"/>
        <v/>
      </c>
      <c r="L21" s="17" t="str">
        <f t="shared" si="3"/>
        <v/>
      </c>
      <c r="M21" s="7" t="str">
        <f>IF($C21="","",IF(J21=0,"Sin datos",IF(IFERROR(VLOOKUP($C21,Productos!$B$5:$H$124,4,FALSE),0)=0,"Sin precio cliente",IF(IFERROR(VLOOKUP($C21,Productos!$B$5:$H$124,4,FALSE),0)&lt;J21,"Riesgo: cliente bajo costo",IF(K21&gt;IFERROR(VLOOKUP($C21,Productos!$B$5:$H$124,4,FALSE),0),"Revisar: sugerido sobre cliente",IF(K21&gt;IFERROR(VLOOKUP($C21,Productos!$B$5:$H$124,5,FALSE),0),"Sobre competencia","Competitivo"))))))</f>
        <v/>
      </c>
      <c r="O21" s="10"/>
      <c r="P21" s="10"/>
      <c r="Q21" s="10"/>
    </row>
    <row r="22" spans="3:17" ht="21.95" customHeight="1" x14ac:dyDescent="0.25">
      <c r="C22" s="7" t="str">
        <f>IF(Productos!B22="","",Productos!B22)</f>
        <v/>
      </c>
      <c r="D22" s="17" t="str">
        <f>IF($C22="","",SUMIFS('Base de Costos'!$H$5:$H$504,'Base de Costos'!$C$5:$C$504,$C22,'Base de Costos'!$D$5:$D$504,"Materia prima"))</f>
        <v/>
      </c>
      <c r="E22" s="17" t="str">
        <f>IF($C22="","",SUMIFS('Base de Costos'!$H$5:$H$504,'Base de Costos'!$C$5:$C$504,$C22,'Base de Costos'!$D$5:$D$504,"Mano de obra"))</f>
        <v/>
      </c>
      <c r="F22" s="17" t="str">
        <f>IF($C22="","",SUMIFS('Base de Costos'!$H$5:$H$504,'Base de Costos'!$C$5:$C$504,$C22,'Base de Costos'!$D$5:$D$504,"Costo indirecto fabricación"))</f>
        <v/>
      </c>
      <c r="G22" s="17" t="str">
        <f t="shared" si="0"/>
        <v/>
      </c>
      <c r="H22" s="17" t="str">
        <f>IF($C22="","",SUMIFS('Base de Costos'!$H$5:$H$504,'Base de Costos'!$C$5:$C$504,$C22,'Base de Costos'!$D$5:$D$504,"Gasto publicidad")+SUMIFS('Base de Costos'!$H$5:$H$504,'Base de Costos'!$C$5:$C$504,$C22,'Base de Costos'!$D$5:$D$504,"Gasto administrativo")+SUMIFS('Base de Costos'!$H$5:$H$504,'Base de Costos'!$C$5:$C$504,$C22,'Base de Costos'!$D$5:$D$504,"Otro gasto"))</f>
        <v/>
      </c>
      <c r="I22" s="18" t="str">
        <f>IF($C22="","",IFERROR(VLOOKUP($C22,Productos!$B$5:$H$124,7,FALSE),0))</f>
        <v/>
      </c>
      <c r="J22" s="17" t="str">
        <f t="shared" si="1"/>
        <v/>
      </c>
      <c r="K22" s="17" t="str">
        <f t="shared" si="2"/>
        <v/>
      </c>
      <c r="L22" s="17" t="str">
        <f t="shared" si="3"/>
        <v/>
      </c>
      <c r="M22" s="7" t="str">
        <f>IF($C22="","",IF(J22=0,"Sin datos",IF(IFERROR(VLOOKUP($C22,Productos!$B$5:$H$124,4,FALSE),0)=0,"Sin precio cliente",IF(IFERROR(VLOOKUP($C22,Productos!$B$5:$H$124,4,FALSE),0)&lt;J22,"Riesgo: cliente bajo costo",IF(K22&gt;IFERROR(VLOOKUP($C22,Productos!$B$5:$H$124,4,FALSE),0),"Revisar: sugerido sobre cliente",IF(K22&gt;IFERROR(VLOOKUP($C22,Productos!$B$5:$H$124,5,FALSE),0),"Sobre competencia","Competitivo"))))))</f>
        <v/>
      </c>
      <c r="O22" s="10"/>
      <c r="P22" s="10"/>
      <c r="Q22" s="10"/>
    </row>
    <row r="23" spans="3:17" ht="21.95" customHeight="1" x14ac:dyDescent="0.25">
      <c r="C23" s="7" t="str">
        <f>IF(Productos!B23="","",Productos!B23)</f>
        <v/>
      </c>
      <c r="D23" s="17" t="str">
        <f>IF($C23="","",SUMIFS('Base de Costos'!$H$5:$H$504,'Base de Costos'!$C$5:$C$504,$C23,'Base de Costos'!$D$5:$D$504,"Materia prima"))</f>
        <v/>
      </c>
      <c r="E23" s="17" t="str">
        <f>IF($C23="","",SUMIFS('Base de Costos'!$H$5:$H$504,'Base de Costos'!$C$5:$C$504,$C23,'Base de Costos'!$D$5:$D$504,"Mano de obra"))</f>
        <v/>
      </c>
      <c r="F23" s="17" t="str">
        <f>IF($C23="","",SUMIFS('Base de Costos'!$H$5:$H$504,'Base de Costos'!$C$5:$C$504,$C23,'Base de Costos'!$D$5:$D$504,"Costo indirecto fabricación"))</f>
        <v/>
      </c>
      <c r="G23" s="17" t="str">
        <f t="shared" si="0"/>
        <v/>
      </c>
      <c r="H23" s="17" t="str">
        <f>IF($C23="","",SUMIFS('Base de Costos'!$H$5:$H$504,'Base de Costos'!$C$5:$C$504,$C23,'Base de Costos'!$D$5:$D$504,"Gasto publicidad")+SUMIFS('Base de Costos'!$H$5:$H$504,'Base de Costos'!$C$5:$C$504,$C23,'Base de Costos'!$D$5:$D$504,"Gasto administrativo")+SUMIFS('Base de Costos'!$H$5:$H$504,'Base de Costos'!$C$5:$C$504,$C23,'Base de Costos'!$D$5:$D$504,"Otro gasto"))</f>
        <v/>
      </c>
      <c r="I23" s="18" t="str">
        <f>IF($C23="","",IFERROR(VLOOKUP($C23,Productos!$B$5:$H$124,7,FALSE),0))</f>
        <v/>
      </c>
      <c r="J23" s="17" t="str">
        <f t="shared" si="1"/>
        <v/>
      </c>
      <c r="K23" s="17" t="str">
        <f t="shared" si="2"/>
        <v/>
      </c>
      <c r="L23" s="17" t="str">
        <f t="shared" si="3"/>
        <v/>
      </c>
      <c r="M23" s="7" t="str">
        <f>IF($C23="","",IF(J23=0,"Sin datos",IF(IFERROR(VLOOKUP($C23,Productos!$B$5:$H$124,4,FALSE),0)=0,"Sin precio cliente",IF(IFERROR(VLOOKUP($C23,Productos!$B$5:$H$124,4,FALSE),0)&lt;J23,"Riesgo: cliente bajo costo",IF(K23&gt;IFERROR(VLOOKUP($C23,Productos!$B$5:$H$124,4,FALSE),0),"Revisar: sugerido sobre cliente",IF(K23&gt;IFERROR(VLOOKUP($C23,Productos!$B$5:$H$124,5,FALSE),0),"Sobre competencia","Competitivo"))))))</f>
        <v/>
      </c>
      <c r="O23" s="10"/>
      <c r="P23" s="10"/>
      <c r="Q23" s="10"/>
    </row>
    <row r="24" spans="3:17" ht="21.95" customHeight="1" x14ac:dyDescent="0.25">
      <c r="C24" s="7" t="str">
        <f>IF(Productos!B24="","",Productos!B24)</f>
        <v/>
      </c>
      <c r="D24" s="17" t="str">
        <f>IF($C24="","",SUMIFS('Base de Costos'!$H$5:$H$504,'Base de Costos'!$C$5:$C$504,$C24,'Base de Costos'!$D$5:$D$504,"Materia prima"))</f>
        <v/>
      </c>
      <c r="E24" s="17" t="str">
        <f>IF($C24="","",SUMIFS('Base de Costos'!$H$5:$H$504,'Base de Costos'!$C$5:$C$504,$C24,'Base de Costos'!$D$5:$D$504,"Mano de obra"))</f>
        <v/>
      </c>
      <c r="F24" s="17" t="str">
        <f>IF($C24="","",SUMIFS('Base de Costos'!$H$5:$H$504,'Base de Costos'!$C$5:$C$504,$C24,'Base de Costos'!$D$5:$D$504,"Costo indirecto fabricación"))</f>
        <v/>
      </c>
      <c r="G24" s="17" t="str">
        <f t="shared" si="0"/>
        <v/>
      </c>
      <c r="H24" s="17" t="str">
        <f>IF($C24="","",SUMIFS('Base de Costos'!$H$5:$H$504,'Base de Costos'!$C$5:$C$504,$C24,'Base de Costos'!$D$5:$D$504,"Gasto publicidad")+SUMIFS('Base de Costos'!$H$5:$H$504,'Base de Costos'!$C$5:$C$504,$C24,'Base de Costos'!$D$5:$D$504,"Gasto administrativo")+SUMIFS('Base de Costos'!$H$5:$H$504,'Base de Costos'!$C$5:$C$504,$C24,'Base de Costos'!$D$5:$D$504,"Otro gasto"))</f>
        <v/>
      </c>
      <c r="I24" s="18" t="str">
        <f>IF($C24="","",IFERROR(VLOOKUP($C24,Productos!$B$5:$H$124,7,FALSE),0))</f>
        <v/>
      </c>
      <c r="J24" s="17" t="str">
        <f t="shared" si="1"/>
        <v/>
      </c>
      <c r="K24" s="17" t="str">
        <f t="shared" si="2"/>
        <v/>
      </c>
      <c r="L24" s="17" t="str">
        <f t="shared" si="3"/>
        <v/>
      </c>
      <c r="M24" s="7" t="str">
        <f>IF($C24="","",IF(J24=0,"Sin datos",IF(IFERROR(VLOOKUP($C24,Productos!$B$5:$H$124,4,FALSE),0)=0,"Sin precio cliente",IF(IFERROR(VLOOKUP($C24,Productos!$B$5:$H$124,4,FALSE),0)&lt;J24,"Riesgo: cliente bajo costo",IF(K24&gt;IFERROR(VLOOKUP($C24,Productos!$B$5:$H$124,4,FALSE),0),"Revisar: sugerido sobre cliente",IF(K24&gt;IFERROR(VLOOKUP($C24,Productos!$B$5:$H$124,5,FALSE),0),"Sobre competencia","Competitivo"))))))</f>
        <v/>
      </c>
      <c r="O24" s="10"/>
      <c r="P24" s="10"/>
      <c r="Q24" s="10"/>
    </row>
    <row r="25" spans="3:17" ht="21.95" customHeight="1" x14ac:dyDescent="0.25">
      <c r="C25" s="7" t="str">
        <f>IF(Productos!B25="","",Productos!B25)</f>
        <v/>
      </c>
      <c r="D25" s="17" t="str">
        <f>IF($C25="","",SUMIFS('Base de Costos'!$H$5:$H$504,'Base de Costos'!$C$5:$C$504,$C25,'Base de Costos'!$D$5:$D$504,"Materia prima"))</f>
        <v/>
      </c>
      <c r="E25" s="17" t="str">
        <f>IF($C25="","",SUMIFS('Base de Costos'!$H$5:$H$504,'Base de Costos'!$C$5:$C$504,$C25,'Base de Costos'!$D$5:$D$504,"Mano de obra"))</f>
        <v/>
      </c>
      <c r="F25" s="17" t="str">
        <f>IF($C25="","",SUMIFS('Base de Costos'!$H$5:$H$504,'Base de Costos'!$C$5:$C$504,$C25,'Base de Costos'!$D$5:$D$504,"Costo indirecto fabricación"))</f>
        <v/>
      </c>
      <c r="G25" s="17" t="str">
        <f t="shared" si="0"/>
        <v/>
      </c>
      <c r="H25" s="17" t="str">
        <f>IF($C25="","",SUMIFS('Base de Costos'!$H$5:$H$504,'Base de Costos'!$C$5:$C$504,$C25,'Base de Costos'!$D$5:$D$504,"Gasto publicidad")+SUMIFS('Base de Costos'!$H$5:$H$504,'Base de Costos'!$C$5:$C$504,$C25,'Base de Costos'!$D$5:$D$504,"Gasto administrativo")+SUMIFS('Base de Costos'!$H$5:$H$504,'Base de Costos'!$C$5:$C$504,$C25,'Base de Costos'!$D$5:$D$504,"Otro gasto"))</f>
        <v/>
      </c>
      <c r="I25" s="18" t="str">
        <f>IF($C25="","",IFERROR(VLOOKUP($C25,Productos!$B$5:$H$124,7,FALSE),0))</f>
        <v/>
      </c>
      <c r="J25" s="17" t="str">
        <f t="shared" si="1"/>
        <v/>
      </c>
      <c r="K25" s="17" t="str">
        <f t="shared" si="2"/>
        <v/>
      </c>
      <c r="L25" s="17" t="str">
        <f t="shared" si="3"/>
        <v/>
      </c>
      <c r="M25" s="7" t="str">
        <f>IF($C25="","",IF(J25=0,"Sin datos",IF(IFERROR(VLOOKUP($C25,Productos!$B$5:$H$124,4,FALSE),0)=0,"Sin precio cliente",IF(IFERROR(VLOOKUP($C25,Productos!$B$5:$H$124,4,FALSE),0)&lt;J25,"Riesgo: cliente bajo costo",IF(K25&gt;IFERROR(VLOOKUP($C25,Productos!$B$5:$H$124,4,FALSE),0),"Revisar: sugerido sobre cliente",IF(K25&gt;IFERROR(VLOOKUP($C25,Productos!$B$5:$H$124,5,FALSE),0),"Sobre competencia","Competitivo"))))))</f>
        <v/>
      </c>
      <c r="O25" s="10"/>
      <c r="P25" s="10"/>
      <c r="Q25" s="10"/>
    </row>
    <row r="26" spans="3:17" ht="21.95" customHeight="1" x14ac:dyDescent="0.25">
      <c r="C26" s="7" t="str">
        <f>IF(Productos!B26="","",Productos!B26)</f>
        <v/>
      </c>
      <c r="D26" s="17" t="str">
        <f>IF($C26="","",SUMIFS('Base de Costos'!$H$5:$H$504,'Base de Costos'!$C$5:$C$504,$C26,'Base de Costos'!$D$5:$D$504,"Materia prima"))</f>
        <v/>
      </c>
      <c r="E26" s="17" t="str">
        <f>IF($C26="","",SUMIFS('Base de Costos'!$H$5:$H$504,'Base de Costos'!$C$5:$C$504,$C26,'Base de Costos'!$D$5:$D$504,"Mano de obra"))</f>
        <v/>
      </c>
      <c r="F26" s="17" t="str">
        <f>IF($C26="","",SUMIFS('Base de Costos'!$H$5:$H$504,'Base de Costos'!$C$5:$C$504,$C26,'Base de Costos'!$D$5:$D$504,"Costo indirecto fabricación"))</f>
        <v/>
      </c>
      <c r="G26" s="17" t="str">
        <f t="shared" si="0"/>
        <v/>
      </c>
      <c r="H26" s="17" t="str">
        <f>IF($C26="","",SUMIFS('Base de Costos'!$H$5:$H$504,'Base de Costos'!$C$5:$C$504,$C26,'Base de Costos'!$D$5:$D$504,"Gasto publicidad")+SUMIFS('Base de Costos'!$H$5:$H$504,'Base de Costos'!$C$5:$C$504,$C26,'Base de Costos'!$D$5:$D$504,"Gasto administrativo")+SUMIFS('Base de Costos'!$H$5:$H$504,'Base de Costos'!$C$5:$C$504,$C26,'Base de Costos'!$D$5:$D$504,"Otro gasto"))</f>
        <v/>
      </c>
      <c r="I26" s="18" t="str">
        <f>IF($C26="","",IFERROR(VLOOKUP($C26,Productos!$B$5:$H$124,7,FALSE),0))</f>
        <v/>
      </c>
      <c r="J26" s="17" t="str">
        <f t="shared" si="1"/>
        <v/>
      </c>
      <c r="K26" s="17" t="str">
        <f t="shared" si="2"/>
        <v/>
      </c>
      <c r="L26" s="17" t="str">
        <f t="shared" si="3"/>
        <v/>
      </c>
      <c r="M26" s="7" t="str">
        <f>IF($C26="","",IF(J26=0,"Sin datos",IF(IFERROR(VLOOKUP($C26,Productos!$B$5:$H$124,4,FALSE),0)=0,"Sin precio cliente",IF(IFERROR(VLOOKUP($C26,Productos!$B$5:$H$124,4,FALSE),0)&lt;J26,"Riesgo: cliente bajo costo",IF(K26&gt;IFERROR(VLOOKUP($C26,Productos!$B$5:$H$124,4,FALSE),0),"Revisar: sugerido sobre cliente",IF(K26&gt;IFERROR(VLOOKUP($C26,Productos!$B$5:$H$124,5,FALSE),0),"Sobre competencia","Competitivo"))))))</f>
        <v/>
      </c>
      <c r="O26" s="10"/>
      <c r="P26" s="10"/>
      <c r="Q26" s="10"/>
    </row>
    <row r="27" spans="3:17" ht="21.95" customHeight="1" x14ac:dyDescent="0.25">
      <c r="C27" s="7" t="str">
        <f>IF(Productos!B27="","",Productos!B27)</f>
        <v/>
      </c>
      <c r="D27" s="17" t="str">
        <f>IF($C27="","",SUMIFS('Base de Costos'!$H$5:$H$504,'Base de Costos'!$C$5:$C$504,$C27,'Base de Costos'!$D$5:$D$504,"Materia prima"))</f>
        <v/>
      </c>
      <c r="E27" s="17" t="str">
        <f>IF($C27="","",SUMIFS('Base de Costos'!$H$5:$H$504,'Base de Costos'!$C$5:$C$504,$C27,'Base de Costos'!$D$5:$D$504,"Mano de obra"))</f>
        <v/>
      </c>
      <c r="F27" s="17" t="str">
        <f>IF($C27="","",SUMIFS('Base de Costos'!$H$5:$H$504,'Base de Costos'!$C$5:$C$504,$C27,'Base de Costos'!$D$5:$D$504,"Costo indirecto fabricación"))</f>
        <v/>
      </c>
      <c r="G27" s="17" t="str">
        <f t="shared" si="0"/>
        <v/>
      </c>
      <c r="H27" s="17" t="str">
        <f>IF($C27="","",SUMIFS('Base de Costos'!$H$5:$H$504,'Base de Costos'!$C$5:$C$504,$C27,'Base de Costos'!$D$5:$D$504,"Gasto publicidad")+SUMIFS('Base de Costos'!$H$5:$H$504,'Base de Costos'!$C$5:$C$504,$C27,'Base de Costos'!$D$5:$D$504,"Gasto administrativo")+SUMIFS('Base de Costos'!$H$5:$H$504,'Base de Costos'!$C$5:$C$504,$C27,'Base de Costos'!$D$5:$D$504,"Otro gasto"))</f>
        <v/>
      </c>
      <c r="I27" s="18" t="str">
        <f>IF($C27="","",IFERROR(VLOOKUP($C27,Productos!$B$5:$H$124,7,FALSE),0))</f>
        <v/>
      </c>
      <c r="J27" s="17" t="str">
        <f t="shared" si="1"/>
        <v/>
      </c>
      <c r="K27" s="17" t="str">
        <f t="shared" si="2"/>
        <v/>
      </c>
      <c r="L27" s="17" t="str">
        <f t="shared" si="3"/>
        <v/>
      </c>
      <c r="M27" s="7" t="str">
        <f>IF($C27="","",IF(J27=0,"Sin datos",IF(IFERROR(VLOOKUP($C27,Productos!$B$5:$H$124,4,FALSE),0)=0,"Sin precio cliente",IF(IFERROR(VLOOKUP($C27,Productos!$B$5:$H$124,4,FALSE),0)&lt;J27,"Riesgo: cliente bajo costo",IF(K27&gt;IFERROR(VLOOKUP($C27,Productos!$B$5:$H$124,4,FALSE),0),"Revisar: sugerido sobre cliente",IF(K27&gt;IFERROR(VLOOKUP($C27,Productos!$B$5:$H$124,5,FALSE),0),"Sobre competencia","Competitivo"))))))</f>
        <v/>
      </c>
      <c r="O27" s="10"/>
      <c r="P27" s="10"/>
      <c r="Q27" s="10"/>
    </row>
    <row r="28" spans="3:17" ht="21.95" customHeight="1" x14ac:dyDescent="0.25">
      <c r="C28" s="7" t="str">
        <f>IF(Productos!B28="","",Productos!B28)</f>
        <v/>
      </c>
      <c r="D28" s="17" t="str">
        <f>IF($C28="","",SUMIFS('Base de Costos'!$H$5:$H$504,'Base de Costos'!$C$5:$C$504,$C28,'Base de Costos'!$D$5:$D$504,"Materia prima"))</f>
        <v/>
      </c>
      <c r="E28" s="17" t="str">
        <f>IF($C28="","",SUMIFS('Base de Costos'!$H$5:$H$504,'Base de Costos'!$C$5:$C$504,$C28,'Base de Costos'!$D$5:$D$504,"Mano de obra"))</f>
        <v/>
      </c>
      <c r="F28" s="17" t="str">
        <f>IF($C28="","",SUMIFS('Base de Costos'!$H$5:$H$504,'Base de Costos'!$C$5:$C$504,$C28,'Base de Costos'!$D$5:$D$504,"Costo indirecto fabricación"))</f>
        <v/>
      </c>
      <c r="G28" s="17" t="str">
        <f t="shared" si="0"/>
        <v/>
      </c>
      <c r="H28" s="17" t="str">
        <f>IF($C28="","",SUMIFS('Base de Costos'!$H$5:$H$504,'Base de Costos'!$C$5:$C$504,$C28,'Base de Costos'!$D$5:$D$504,"Gasto publicidad")+SUMIFS('Base de Costos'!$H$5:$H$504,'Base de Costos'!$C$5:$C$504,$C28,'Base de Costos'!$D$5:$D$504,"Gasto administrativo")+SUMIFS('Base de Costos'!$H$5:$H$504,'Base de Costos'!$C$5:$C$504,$C28,'Base de Costos'!$D$5:$D$504,"Otro gasto"))</f>
        <v/>
      </c>
      <c r="I28" s="18" t="str">
        <f>IF($C28="","",IFERROR(VLOOKUP($C28,Productos!$B$5:$H$124,7,FALSE),0))</f>
        <v/>
      </c>
      <c r="J28" s="17" t="str">
        <f t="shared" si="1"/>
        <v/>
      </c>
      <c r="K28" s="17" t="str">
        <f t="shared" si="2"/>
        <v/>
      </c>
      <c r="L28" s="17" t="str">
        <f t="shared" si="3"/>
        <v/>
      </c>
      <c r="M28" s="7" t="str">
        <f>IF($C28="","",IF(J28=0,"Sin datos",IF(IFERROR(VLOOKUP($C28,Productos!$B$5:$H$124,4,FALSE),0)=0,"Sin precio cliente",IF(IFERROR(VLOOKUP($C28,Productos!$B$5:$H$124,4,FALSE),0)&lt;J28,"Riesgo: cliente bajo costo",IF(K28&gt;IFERROR(VLOOKUP($C28,Productos!$B$5:$H$124,4,FALSE),0),"Revisar: sugerido sobre cliente",IF(K28&gt;IFERROR(VLOOKUP($C28,Productos!$B$5:$H$124,5,FALSE),0),"Sobre competencia","Competitivo"))))))</f>
        <v/>
      </c>
      <c r="O28" s="10"/>
      <c r="P28" s="10"/>
      <c r="Q28" s="10"/>
    </row>
    <row r="29" spans="3:17" ht="21.95" customHeight="1" x14ac:dyDescent="0.25">
      <c r="C29" s="7" t="str">
        <f>IF(Productos!B29="","",Productos!B29)</f>
        <v/>
      </c>
      <c r="D29" s="17" t="str">
        <f>IF($C29="","",SUMIFS('Base de Costos'!$H$5:$H$504,'Base de Costos'!$C$5:$C$504,$C29,'Base de Costos'!$D$5:$D$504,"Materia prima"))</f>
        <v/>
      </c>
      <c r="E29" s="17" t="str">
        <f>IF($C29="","",SUMIFS('Base de Costos'!$H$5:$H$504,'Base de Costos'!$C$5:$C$504,$C29,'Base de Costos'!$D$5:$D$504,"Mano de obra"))</f>
        <v/>
      </c>
      <c r="F29" s="17" t="str">
        <f>IF($C29="","",SUMIFS('Base de Costos'!$H$5:$H$504,'Base de Costos'!$C$5:$C$504,$C29,'Base de Costos'!$D$5:$D$504,"Costo indirecto fabricación"))</f>
        <v/>
      </c>
      <c r="G29" s="17" t="str">
        <f t="shared" si="0"/>
        <v/>
      </c>
      <c r="H29" s="17" t="str">
        <f>IF($C29="","",SUMIFS('Base de Costos'!$H$5:$H$504,'Base de Costos'!$C$5:$C$504,$C29,'Base de Costos'!$D$5:$D$504,"Gasto publicidad")+SUMIFS('Base de Costos'!$H$5:$H$504,'Base de Costos'!$C$5:$C$504,$C29,'Base de Costos'!$D$5:$D$504,"Gasto administrativo")+SUMIFS('Base de Costos'!$H$5:$H$504,'Base de Costos'!$C$5:$C$504,$C29,'Base de Costos'!$D$5:$D$504,"Otro gasto"))</f>
        <v/>
      </c>
      <c r="I29" s="18" t="str">
        <f>IF($C29="","",IFERROR(VLOOKUP($C29,Productos!$B$5:$H$124,7,FALSE),0))</f>
        <v/>
      </c>
      <c r="J29" s="17" t="str">
        <f t="shared" si="1"/>
        <v/>
      </c>
      <c r="K29" s="17" t="str">
        <f t="shared" si="2"/>
        <v/>
      </c>
      <c r="L29" s="17" t="str">
        <f t="shared" si="3"/>
        <v/>
      </c>
      <c r="M29" s="7" t="str">
        <f>IF($C29="","",IF(J29=0,"Sin datos",IF(IFERROR(VLOOKUP($C29,Productos!$B$5:$H$124,4,FALSE),0)=0,"Sin precio cliente",IF(IFERROR(VLOOKUP($C29,Productos!$B$5:$H$124,4,FALSE),0)&lt;J29,"Riesgo: cliente bajo costo",IF(K29&gt;IFERROR(VLOOKUP($C29,Productos!$B$5:$H$124,4,FALSE),0),"Revisar: sugerido sobre cliente",IF(K29&gt;IFERROR(VLOOKUP($C29,Productos!$B$5:$H$124,5,FALSE),0),"Sobre competencia","Competitivo"))))))</f>
        <v/>
      </c>
      <c r="O29" s="10"/>
      <c r="P29" s="10"/>
      <c r="Q29" s="10"/>
    </row>
    <row r="30" spans="3:17" ht="21.95" customHeight="1" x14ac:dyDescent="0.25">
      <c r="C30" s="7" t="str">
        <f>IF(Productos!B30="","",Productos!B30)</f>
        <v/>
      </c>
      <c r="D30" s="17" t="str">
        <f>IF($C30="","",SUMIFS('Base de Costos'!$H$5:$H$504,'Base de Costos'!$C$5:$C$504,$C30,'Base de Costos'!$D$5:$D$504,"Materia prima"))</f>
        <v/>
      </c>
      <c r="E30" s="17" t="str">
        <f>IF($C30="","",SUMIFS('Base de Costos'!$H$5:$H$504,'Base de Costos'!$C$5:$C$504,$C30,'Base de Costos'!$D$5:$D$504,"Mano de obra"))</f>
        <v/>
      </c>
      <c r="F30" s="17" t="str">
        <f>IF($C30="","",SUMIFS('Base de Costos'!$H$5:$H$504,'Base de Costos'!$C$5:$C$504,$C30,'Base de Costos'!$D$5:$D$504,"Costo indirecto fabricación"))</f>
        <v/>
      </c>
      <c r="G30" s="17" t="str">
        <f t="shared" si="0"/>
        <v/>
      </c>
      <c r="H30" s="17" t="str">
        <f>IF($C30="","",SUMIFS('Base de Costos'!$H$5:$H$504,'Base de Costos'!$C$5:$C$504,$C30,'Base de Costos'!$D$5:$D$504,"Gasto publicidad")+SUMIFS('Base de Costos'!$H$5:$H$504,'Base de Costos'!$C$5:$C$504,$C30,'Base de Costos'!$D$5:$D$504,"Gasto administrativo")+SUMIFS('Base de Costos'!$H$5:$H$504,'Base de Costos'!$C$5:$C$504,$C30,'Base de Costos'!$D$5:$D$504,"Otro gasto"))</f>
        <v/>
      </c>
      <c r="I30" s="18" t="str">
        <f>IF($C30="","",IFERROR(VLOOKUP($C30,Productos!$B$5:$H$124,7,FALSE),0))</f>
        <v/>
      </c>
      <c r="J30" s="17" t="str">
        <f t="shared" si="1"/>
        <v/>
      </c>
      <c r="K30" s="17" t="str">
        <f t="shared" si="2"/>
        <v/>
      </c>
      <c r="L30" s="17" t="str">
        <f t="shared" si="3"/>
        <v/>
      </c>
      <c r="M30" s="7" t="str">
        <f>IF($C30="","",IF(J30=0,"Sin datos",IF(IFERROR(VLOOKUP($C30,Productos!$B$5:$H$124,4,FALSE),0)=0,"Sin precio cliente",IF(IFERROR(VLOOKUP($C30,Productos!$B$5:$H$124,4,FALSE),0)&lt;J30,"Riesgo: cliente bajo costo",IF(K30&gt;IFERROR(VLOOKUP($C30,Productos!$B$5:$H$124,4,FALSE),0),"Revisar: sugerido sobre cliente",IF(K30&gt;IFERROR(VLOOKUP($C30,Productos!$B$5:$H$124,5,FALSE),0),"Sobre competencia","Competitivo"))))))</f>
        <v/>
      </c>
      <c r="O30" s="10"/>
      <c r="P30" s="10"/>
      <c r="Q30" s="10"/>
    </row>
    <row r="31" spans="3:17" ht="21.95" customHeight="1" x14ac:dyDescent="0.25">
      <c r="C31" s="7" t="str">
        <f>IF(Productos!B31="","",Productos!B31)</f>
        <v/>
      </c>
      <c r="D31" s="17" t="str">
        <f>IF($C31="","",SUMIFS('Base de Costos'!$H$5:$H$504,'Base de Costos'!$C$5:$C$504,$C31,'Base de Costos'!$D$5:$D$504,"Materia prima"))</f>
        <v/>
      </c>
      <c r="E31" s="17" t="str">
        <f>IF($C31="","",SUMIFS('Base de Costos'!$H$5:$H$504,'Base de Costos'!$C$5:$C$504,$C31,'Base de Costos'!$D$5:$D$504,"Mano de obra"))</f>
        <v/>
      </c>
      <c r="F31" s="17" t="str">
        <f>IF($C31="","",SUMIFS('Base de Costos'!$H$5:$H$504,'Base de Costos'!$C$5:$C$504,$C31,'Base de Costos'!$D$5:$D$504,"Costo indirecto fabricación"))</f>
        <v/>
      </c>
      <c r="G31" s="17" t="str">
        <f t="shared" si="0"/>
        <v/>
      </c>
      <c r="H31" s="17" t="str">
        <f>IF($C31="","",SUMIFS('Base de Costos'!$H$5:$H$504,'Base de Costos'!$C$5:$C$504,$C31,'Base de Costos'!$D$5:$D$504,"Gasto publicidad")+SUMIFS('Base de Costos'!$H$5:$H$504,'Base de Costos'!$C$5:$C$504,$C31,'Base de Costos'!$D$5:$D$504,"Gasto administrativo")+SUMIFS('Base de Costos'!$H$5:$H$504,'Base de Costos'!$C$5:$C$504,$C31,'Base de Costos'!$D$5:$D$504,"Otro gasto"))</f>
        <v/>
      </c>
      <c r="I31" s="18" t="str">
        <f>IF($C31="","",IFERROR(VLOOKUP($C31,Productos!$B$5:$H$124,7,FALSE),0))</f>
        <v/>
      </c>
      <c r="J31" s="17" t="str">
        <f t="shared" si="1"/>
        <v/>
      </c>
      <c r="K31" s="17" t="str">
        <f t="shared" si="2"/>
        <v/>
      </c>
      <c r="L31" s="17" t="str">
        <f t="shared" si="3"/>
        <v/>
      </c>
      <c r="M31" s="7" t="str">
        <f>IF($C31="","",IF(J31=0,"Sin datos",IF(IFERROR(VLOOKUP($C31,Productos!$B$5:$H$124,4,FALSE),0)=0,"Sin precio cliente",IF(IFERROR(VLOOKUP($C31,Productos!$B$5:$H$124,4,FALSE),0)&lt;J31,"Riesgo: cliente bajo costo",IF(K31&gt;IFERROR(VLOOKUP($C31,Productos!$B$5:$H$124,4,FALSE),0),"Revisar: sugerido sobre cliente",IF(K31&gt;IFERROR(VLOOKUP($C31,Productos!$B$5:$H$124,5,FALSE),0),"Sobre competencia","Competitivo"))))))</f>
        <v/>
      </c>
      <c r="O31" s="10"/>
      <c r="P31" s="10"/>
      <c r="Q31" s="10"/>
    </row>
    <row r="32" spans="3:17" ht="21.95" customHeight="1" x14ac:dyDescent="0.25">
      <c r="C32" s="7" t="str">
        <f>IF(Productos!B32="","",Productos!B32)</f>
        <v/>
      </c>
      <c r="D32" s="17" t="str">
        <f>IF($C32="","",SUMIFS('Base de Costos'!$H$5:$H$504,'Base de Costos'!$C$5:$C$504,$C32,'Base de Costos'!$D$5:$D$504,"Materia prima"))</f>
        <v/>
      </c>
      <c r="E32" s="17" t="str">
        <f>IF($C32="","",SUMIFS('Base de Costos'!$H$5:$H$504,'Base de Costos'!$C$5:$C$504,$C32,'Base de Costos'!$D$5:$D$504,"Mano de obra"))</f>
        <v/>
      </c>
      <c r="F32" s="17" t="str">
        <f>IF($C32="","",SUMIFS('Base de Costos'!$H$5:$H$504,'Base de Costos'!$C$5:$C$504,$C32,'Base de Costos'!$D$5:$D$504,"Costo indirecto fabricación"))</f>
        <v/>
      </c>
      <c r="G32" s="17" t="str">
        <f t="shared" si="0"/>
        <v/>
      </c>
      <c r="H32" s="17" t="str">
        <f>IF($C32="","",SUMIFS('Base de Costos'!$H$5:$H$504,'Base de Costos'!$C$5:$C$504,$C32,'Base de Costos'!$D$5:$D$504,"Gasto publicidad")+SUMIFS('Base de Costos'!$H$5:$H$504,'Base de Costos'!$C$5:$C$504,$C32,'Base de Costos'!$D$5:$D$504,"Gasto administrativo")+SUMIFS('Base de Costos'!$H$5:$H$504,'Base de Costos'!$C$5:$C$504,$C32,'Base de Costos'!$D$5:$D$504,"Otro gasto"))</f>
        <v/>
      </c>
      <c r="I32" s="18" t="str">
        <f>IF($C32="","",IFERROR(VLOOKUP($C32,Productos!$B$5:$H$124,7,FALSE),0))</f>
        <v/>
      </c>
      <c r="J32" s="17" t="str">
        <f t="shared" si="1"/>
        <v/>
      </c>
      <c r="K32" s="17" t="str">
        <f t="shared" si="2"/>
        <v/>
      </c>
      <c r="L32" s="17" t="str">
        <f t="shared" si="3"/>
        <v/>
      </c>
      <c r="M32" s="7" t="str">
        <f>IF($C32="","",IF(J32=0,"Sin datos",IF(IFERROR(VLOOKUP($C32,Productos!$B$5:$H$124,4,FALSE),0)=0,"Sin precio cliente",IF(IFERROR(VLOOKUP($C32,Productos!$B$5:$H$124,4,FALSE),0)&lt;J32,"Riesgo: cliente bajo costo",IF(K32&gt;IFERROR(VLOOKUP($C32,Productos!$B$5:$H$124,4,FALSE),0),"Revisar: sugerido sobre cliente",IF(K32&gt;IFERROR(VLOOKUP($C32,Productos!$B$5:$H$124,5,FALSE),0),"Sobre competencia","Competitivo"))))))</f>
        <v/>
      </c>
      <c r="O32" s="10"/>
      <c r="P32" s="10"/>
      <c r="Q32" s="10"/>
    </row>
    <row r="33" spans="3:17" ht="21.95" customHeight="1" x14ac:dyDescent="0.25">
      <c r="C33" s="7" t="str">
        <f>IF(Productos!B33="","",Productos!B33)</f>
        <v/>
      </c>
      <c r="D33" s="17" t="str">
        <f>IF($C33="","",SUMIFS('Base de Costos'!$H$5:$H$504,'Base de Costos'!$C$5:$C$504,$C33,'Base de Costos'!$D$5:$D$504,"Materia prima"))</f>
        <v/>
      </c>
      <c r="E33" s="17" t="str">
        <f>IF($C33="","",SUMIFS('Base de Costos'!$H$5:$H$504,'Base de Costos'!$C$5:$C$504,$C33,'Base de Costos'!$D$5:$D$504,"Mano de obra"))</f>
        <v/>
      </c>
      <c r="F33" s="17" t="str">
        <f>IF($C33="","",SUMIFS('Base de Costos'!$H$5:$H$504,'Base de Costos'!$C$5:$C$504,$C33,'Base de Costos'!$D$5:$D$504,"Costo indirecto fabricación"))</f>
        <v/>
      </c>
      <c r="G33" s="17" t="str">
        <f t="shared" si="0"/>
        <v/>
      </c>
      <c r="H33" s="17" t="str">
        <f>IF($C33="","",SUMIFS('Base de Costos'!$H$5:$H$504,'Base de Costos'!$C$5:$C$504,$C33,'Base de Costos'!$D$5:$D$504,"Gasto publicidad")+SUMIFS('Base de Costos'!$H$5:$H$504,'Base de Costos'!$C$5:$C$504,$C33,'Base de Costos'!$D$5:$D$504,"Gasto administrativo")+SUMIFS('Base de Costos'!$H$5:$H$504,'Base de Costos'!$C$5:$C$504,$C33,'Base de Costos'!$D$5:$D$504,"Otro gasto"))</f>
        <v/>
      </c>
      <c r="I33" s="18" t="str">
        <f>IF($C33="","",IFERROR(VLOOKUP($C33,Productos!$B$5:$H$124,7,FALSE),0))</f>
        <v/>
      </c>
      <c r="J33" s="17" t="str">
        <f t="shared" si="1"/>
        <v/>
      </c>
      <c r="K33" s="17" t="str">
        <f t="shared" si="2"/>
        <v/>
      </c>
      <c r="L33" s="17" t="str">
        <f t="shared" si="3"/>
        <v/>
      </c>
      <c r="M33" s="7" t="str">
        <f>IF($C33="","",IF(J33=0,"Sin datos",IF(IFERROR(VLOOKUP($C33,Productos!$B$5:$H$124,4,FALSE),0)=0,"Sin precio cliente",IF(IFERROR(VLOOKUP($C33,Productos!$B$5:$H$124,4,FALSE),0)&lt;J33,"Riesgo: cliente bajo costo",IF(K33&gt;IFERROR(VLOOKUP($C33,Productos!$B$5:$H$124,4,FALSE),0),"Revisar: sugerido sobre cliente",IF(K33&gt;IFERROR(VLOOKUP($C33,Productos!$B$5:$H$124,5,FALSE),0),"Sobre competencia","Competitivo"))))))</f>
        <v/>
      </c>
      <c r="O33" s="10"/>
      <c r="P33" s="10"/>
      <c r="Q33" s="10"/>
    </row>
    <row r="34" spans="3:17" ht="21.95" customHeight="1" x14ac:dyDescent="0.25">
      <c r="C34" s="7" t="str">
        <f>IF(Productos!B34="","",Productos!B34)</f>
        <v/>
      </c>
      <c r="D34" s="17" t="str">
        <f>IF($C34="","",SUMIFS('Base de Costos'!$H$5:$H$504,'Base de Costos'!$C$5:$C$504,$C34,'Base de Costos'!$D$5:$D$504,"Materia prima"))</f>
        <v/>
      </c>
      <c r="E34" s="17" t="str">
        <f>IF($C34="","",SUMIFS('Base de Costos'!$H$5:$H$504,'Base de Costos'!$C$5:$C$504,$C34,'Base de Costos'!$D$5:$D$504,"Mano de obra"))</f>
        <v/>
      </c>
      <c r="F34" s="17" t="str">
        <f>IF($C34="","",SUMIFS('Base de Costos'!$H$5:$H$504,'Base de Costos'!$C$5:$C$504,$C34,'Base de Costos'!$D$5:$D$504,"Costo indirecto fabricación"))</f>
        <v/>
      </c>
      <c r="G34" s="17" t="str">
        <f t="shared" si="0"/>
        <v/>
      </c>
      <c r="H34" s="17" t="str">
        <f>IF($C34="","",SUMIFS('Base de Costos'!$H$5:$H$504,'Base de Costos'!$C$5:$C$504,$C34,'Base de Costos'!$D$5:$D$504,"Gasto publicidad")+SUMIFS('Base de Costos'!$H$5:$H$504,'Base de Costos'!$C$5:$C$504,$C34,'Base de Costos'!$D$5:$D$504,"Gasto administrativo")+SUMIFS('Base de Costos'!$H$5:$H$504,'Base de Costos'!$C$5:$C$504,$C34,'Base de Costos'!$D$5:$D$504,"Otro gasto"))</f>
        <v/>
      </c>
      <c r="I34" s="18" t="str">
        <f>IF($C34="","",IFERROR(VLOOKUP($C34,Productos!$B$5:$H$124,7,FALSE),0))</f>
        <v/>
      </c>
      <c r="J34" s="17" t="str">
        <f t="shared" si="1"/>
        <v/>
      </c>
      <c r="K34" s="17" t="str">
        <f t="shared" si="2"/>
        <v/>
      </c>
      <c r="L34" s="17" t="str">
        <f t="shared" si="3"/>
        <v/>
      </c>
      <c r="M34" s="7" t="str">
        <f>IF($C34="","",IF(J34=0,"Sin datos",IF(IFERROR(VLOOKUP($C34,Productos!$B$5:$H$124,4,FALSE),0)=0,"Sin precio cliente",IF(IFERROR(VLOOKUP($C34,Productos!$B$5:$H$124,4,FALSE),0)&lt;J34,"Riesgo: cliente bajo costo",IF(K34&gt;IFERROR(VLOOKUP($C34,Productos!$B$5:$H$124,4,FALSE),0),"Revisar: sugerido sobre cliente",IF(K34&gt;IFERROR(VLOOKUP($C34,Productos!$B$5:$H$124,5,FALSE),0),"Sobre competencia","Competitivo"))))))</f>
        <v/>
      </c>
      <c r="O34" s="10"/>
      <c r="P34" s="10"/>
      <c r="Q34" s="10"/>
    </row>
    <row r="35" spans="3:17" ht="21.95" customHeight="1" x14ac:dyDescent="0.25">
      <c r="C35" s="7" t="str">
        <f>IF(Productos!B35="","",Productos!B35)</f>
        <v/>
      </c>
      <c r="D35" s="17" t="str">
        <f>IF($C35="","",SUMIFS('Base de Costos'!$H$5:$H$504,'Base de Costos'!$C$5:$C$504,$C35,'Base de Costos'!$D$5:$D$504,"Materia prima"))</f>
        <v/>
      </c>
      <c r="E35" s="17" t="str">
        <f>IF($C35="","",SUMIFS('Base de Costos'!$H$5:$H$504,'Base de Costos'!$C$5:$C$504,$C35,'Base de Costos'!$D$5:$D$504,"Mano de obra"))</f>
        <v/>
      </c>
      <c r="F35" s="17" t="str">
        <f>IF($C35="","",SUMIFS('Base de Costos'!$H$5:$H$504,'Base de Costos'!$C$5:$C$504,$C35,'Base de Costos'!$D$5:$D$504,"Costo indirecto fabricación"))</f>
        <v/>
      </c>
      <c r="G35" s="17" t="str">
        <f t="shared" si="0"/>
        <v/>
      </c>
      <c r="H35" s="17" t="str">
        <f>IF($C35="","",SUMIFS('Base de Costos'!$H$5:$H$504,'Base de Costos'!$C$5:$C$504,$C35,'Base de Costos'!$D$5:$D$504,"Gasto publicidad")+SUMIFS('Base de Costos'!$H$5:$H$504,'Base de Costos'!$C$5:$C$504,$C35,'Base de Costos'!$D$5:$D$504,"Gasto administrativo")+SUMIFS('Base de Costos'!$H$5:$H$504,'Base de Costos'!$C$5:$C$504,$C35,'Base de Costos'!$D$5:$D$504,"Otro gasto"))</f>
        <v/>
      </c>
      <c r="I35" s="18" t="str">
        <f>IF($C35="","",IFERROR(VLOOKUP($C35,Productos!$B$5:$H$124,7,FALSE),0))</f>
        <v/>
      </c>
      <c r="J35" s="17" t="str">
        <f t="shared" si="1"/>
        <v/>
      </c>
      <c r="K35" s="17" t="str">
        <f t="shared" si="2"/>
        <v/>
      </c>
      <c r="L35" s="17" t="str">
        <f t="shared" si="3"/>
        <v/>
      </c>
      <c r="M35" s="7" t="str">
        <f>IF($C35="","",IF(J35=0,"Sin datos",IF(IFERROR(VLOOKUP($C35,Productos!$B$5:$H$124,4,FALSE),0)=0,"Sin precio cliente",IF(IFERROR(VLOOKUP($C35,Productos!$B$5:$H$124,4,FALSE),0)&lt;J35,"Riesgo: cliente bajo costo",IF(K35&gt;IFERROR(VLOOKUP($C35,Productos!$B$5:$H$124,4,FALSE),0),"Revisar: sugerido sobre cliente",IF(K35&gt;IFERROR(VLOOKUP($C35,Productos!$B$5:$H$124,5,FALSE),0),"Sobre competencia","Competitivo"))))))</f>
        <v/>
      </c>
      <c r="O35" s="10"/>
      <c r="P35" s="10"/>
      <c r="Q35" s="10"/>
    </row>
    <row r="36" spans="3:17" ht="21.95" customHeight="1" x14ac:dyDescent="0.25">
      <c r="C36" s="7" t="str">
        <f>IF(Productos!B36="","",Productos!B36)</f>
        <v/>
      </c>
      <c r="D36" s="17" t="str">
        <f>IF($C36="","",SUMIFS('Base de Costos'!$H$5:$H$504,'Base de Costos'!$C$5:$C$504,$C36,'Base de Costos'!$D$5:$D$504,"Materia prima"))</f>
        <v/>
      </c>
      <c r="E36" s="17" t="str">
        <f>IF($C36="","",SUMIFS('Base de Costos'!$H$5:$H$504,'Base de Costos'!$C$5:$C$504,$C36,'Base de Costos'!$D$5:$D$504,"Mano de obra"))</f>
        <v/>
      </c>
      <c r="F36" s="17" t="str">
        <f>IF($C36="","",SUMIFS('Base de Costos'!$H$5:$H$504,'Base de Costos'!$C$5:$C$504,$C36,'Base de Costos'!$D$5:$D$504,"Costo indirecto fabricación"))</f>
        <v/>
      </c>
      <c r="G36" s="17" t="str">
        <f t="shared" si="0"/>
        <v/>
      </c>
      <c r="H36" s="17" t="str">
        <f>IF($C36="","",SUMIFS('Base de Costos'!$H$5:$H$504,'Base de Costos'!$C$5:$C$504,$C36,'Base de Costos'!$D$5:$D$504,"Gasto publicidad")+SUMIFS('Base de Costos'!$H$5:$H$504,'Base de Costos'!$C$5:$C$504,$C36,'Base de Costos'!$D$5:$D$504,"Gasto administrativo")+SUMIFS('Base de Costos'!$H$5:$H$504,'Base de Costos'!$C$5:$C$504,$C36,'Base de Costos'!$D$5:$D$504,"Otro gasto"))</f>
        <v/>
      </c>
      <c r="I36" s="18" t="str">
        <f>IF($C36="","",IFERROR(VLOOKUP($C36,Productos!$B$5:$H$124,7,FALSE),0))</f>
        <v/>
      </c>
      <c r="J36" s="17" t="str">
        <f t="shared" si="1"/>
        <v/>
      </c>
      <c r="K36" s="17" t="str">
        <f t="shared" si="2"/>
        <v/>
      </c>
      <c r="L36" s="17" t="str">
        <f t="shared" si="3"/>
        <v/>
      </c>
      <c r="M36" s="7" t="str">
        <f>IF($C36="","",IF(J36=0,"Sin datos",IF(IFERROR(VLOOKUP($C36,Productos!$B$5:$H$124,4,FALSE),0)=0,"Sin precio cliente",IF(IFERROR(VLOOKUP($C36,Productos!$B$5:$H$124,4,FALSE),0)&lt;J36,"Riesgo: cliente bajo costo",IF(K36&gt;IFERROR(VLOOKUP($C36,Productos!$B$5:$H$124,4,FALSE),0),"Revisar: sugerido sobre cliente",IF(K36&gt;IFERROR(VLOOKUP($C36,Productos!$B$5:$H$124,5,FALSE),0),"Sobre competencia","Competitivo"))))))</f>
        <v/>
      </c>
      <c r="O36" s="10"/>
      <c r="P36" s="10"/>
      <c r="Q36" s="10"/>
    </row>
    <row r="37" spans="3:17" ht="21.95" customHeight="1" x14ac:dyDescent="0.25">
      <c r="C37" s="7" t="str">
        <f>IF(Productos!B37="","",Productos!B37)</f>
        <v/>
      </c>
      <c r="D37" s="17" t="str">
        <f>IF($C37="","",SUMIFS('Base de Costos'!$H$5:$H$504,'Base de Costos'!$C$5:$C$504,$C37,'Base de Costos'!$D$5:$D$504,"Materia prima"))</f>
        <v/>
      </c>
      <c r="E37" s="17" t="str">
        <f>IF($C37="","",SUMIFS('Base de Costos'!$H$5:$H$504,'Base de Costos'!$C$5:$C$504,$C37,'Base de Costos'!$D$5:$D$504,"Mano de obra"))</f>
        <v/>
      </c>
      <c r="F37" s="17" t="str">
        <f>IF($C37="","",SUMIFS('Base de Costos'!$H$5:$H$504,'Base de Costos'!$C$5:$C$504,$C37,'Base de Costos'!$D$5:$D$504,"Costo indirecto fabricación"))</f>
        <v/>
      </c>
      <c r="G37" s="17" t="str">
        <f t="shared" ref="G37:G68" si="4">IF($C37="","",SUM(D37:F37))</f>
        <v/>
      </c>
      <c r="H37" s="17" t="str">
        <f>IF($C37="","",SUMIFS('Base de Costos'!$H$5:$H$504,'Base de Costos'!$C$5:$C$504,$C37,'Base de Costos'!$D$5:$D$504,"Gasto publicidad")+SUMIFS('Base de Costos'!$H$5:$H$504,'Base de Costos'!$C$5:$C$504,$C37,'Base de Costos'!$D$5:$D$504,"Gasto administrativo")+SUMIFS('Base de Costos'!$H$5:$H$504,'Base de Costos'!$C$5:$C$504,$C37,'Base de Costos'!$D$5:$D$504,"Otro gasto"))</f>
        <v/>
      </c>
      <c r="I37" s="18" t="str">
        <f>IF($C37="","",IFERROR(VLOOKUP($C37,Productos!$B$5:$H$124,7,FALSE),0))</f>
        <v/>
      </c>
      <c r="J37" s="17" t="str">
        <f t="shared" ref="J37:J68" si="5">IF($C37="","",G37+H37)</f>
        <v/>
      </c>
      <c r="K37" s="17" t="str">
        <f t="shared" ref="K37:K68" si="6">IF($C37="","",IFERROR(J37/(1-I37),0))</f>
        <v/>
      </c>
      <c r="L37" s="17" t="str">
        <f t="shared" ref="L37:L68" si="7">IF($C37="","",K37-J37)</f>
        <v/>
      </c>
      <c r="M37" s="7" t="str">
        <f>IF($C37="","",IF(J37=0,"Sin datos",IF(IFERROR(VLOOKUP($C37,Productos!$B$5:$H$124,4,FALSE),0)=0,"Sin precio cliente",IF(IFERROR(VLOOKUP($C37,Productos!$B$5:$H$124,4,FALSE),0)&lt;J37,"Riesgo: cliente bajo costo",IF(K37&gt;IFERROR(VLOOKUP($C37,Productos!$B$5:$H$124,4,FALSE),0),"Revisar: sugerido sobre cliente",IF(K37&gt;IFERROR(VLOOKUP($C37,Productos!$B$5:$H$124,5,FALSE),0),"Sobre competencia","Competitivo"))))))</f>
        <v/>
      </c>
      <c r="O37" s="10"/>
      <c r="P37" s="10"/>
      <c r="Q37" s="10"/>
    </row>
    <row r="38" spans="3:17" ht="21.95" customHeight="1" x14ac:dyDescent="0.25">
      <c r="C38" s="7" t="str">
        <f>IF(Productos!B38="","",Productos!B38)</f>
        <v/>
      </c>
      <c r="D38" s="17" t="str">
        <f>IF($C38="","",SUMIFS('Base de Costos'!$H$5:$H$504,'Base de Costos'!$C$5:$C$504,$C38,'Base de Costos'!$D$5:$D$504,"Materia prima"))</f>
        <v/>
      </c>
      <c r="E38" s="17" t="str">
        <f>IF($C38="","",SUMIFS('Base de Costos'!$H$5:$H$504,'Base de Costos'!$C$5:$C$504,$C38,'Base de Costos'!$D$5:$D$504,"Mano de obra"))</f>
        <v/>
      </c>
      <c r="F38" s="17" t="str">
        <f>IF($C38="","",SUMIFS('Base de Costos'!$H$5:$H$504,'Base de Costos'!$C$5:$C$504,$C38,'Base de Costos'!$D$5:$D$504,"Costo indirecto fabricación"))</f>
        <v/>
      </c>
      <c r="G38" s="17" t="str">
        <f t="shared" si="4"/>
        <v/>
      </c>
      <c r="H38" s="17" t="str">
        <f>IF($C38="","",SUMIFS('Base de Costos'!$H$5:$H$504,'Base de Costos'!$C$5:$C$504,$C38,'Base de Costos'!$D$5:$D$504,"Gasto publicidad")+SUMIFS('Base de Costos'!$H$5:$H$504,'Base de Costos'!$C$5:$C$504,$C38,'Base de Costos'!$D$5:$D$504,"Gasto administrativo")+SUMIFS('Base de Costos'!$H$5:$H$504,'Base de Costos'!$C$5:$C$504,$C38,'Base de Costos'!$D$5:$D$504,"Otro gasto"))</f>
        <v/>
      </c>
      <c r="I38" s="18" t="str">
        <f>IF($C38="","",IFERROR(VLOOKUP($C38,Productos!$B$5:$H$124,7,FALSE),0))</f>
        <v/>
      </c>
      <c r="J38" s="17" t="str">
        <f t="shared" si="5"/>
        <v/>
      </c>
      <c r="K38" s="17" t="str">
        <f t="shared" si="6"/>
        <v/>
      </c>
      <c r="L38" s="17" t="str">
        <f t="shared" si="7"/>
        <v/>
      </c>
      <c r="M38" s="7" t="str">
        <f>IF($C38="","",IF(J38=0,"Sin datos",IF(IFERROR(VLOOKUP($C38,Productos!$B$5:$H$124,4,FALSE),0)=0,"Sin precio cliente",IF(IFERROR(VLOOKUP($C38,Productos!$B$5:$H$124,4,FALSE),0)&lt;J38,"Riesgo: cliente bajo costo",IF(K38&gt;IFERROR(VLOOKUP($C38,Productos!$B$5:$H$124,4,FALSE),0),"Revisar: sugerido sobre cliente",IF(K38&gt;IFERROR(VLOOKUP($C38,Productos!$B$5:$H$124,5,FALSE),0),"Sobre competencia","Competitivo"))))))</f>
        <v/>
      </c>
      <c r="O38" s="10"/>
      <c r="P38" s="10"/>
      <c r="Q38" s="10"/>
    </row>
    <row r="39" spans="3:17" ht="21.95" customHeight="1" x14ac:dyDescent="0.25">
      <c r="C39" s="7" t="str">
        <f>IF(Productos!B39="","",Productos!B39)</f>
        <v/>
      </c>
      <c r="D39" s="17" t="str">
        <f>IF($C39="","",SUMIFS('Base de Costos'!$H$5:$H$504,'Base de Costos'!$C$5:$C$504,$C39,'Base de Costos'!$D$5:$D$504,"Materia prima"))</f>
        <v/>
      </c>
      <c r="E39" s="17" t="str">
        <f>IF($C39="","",SUMIFS('Base de Costos'!$H$5:$H$504,'Base de Costos'!$C$5:$C$504,$C39,'Base de Costos'!$D$5:$D$504,"Mano de obra"))</f>
        <v/>
      </c>
      <c r="F39" s="17" t="str">
        <f>IF($C39="","",SUMIFS('Base de Costos'!$H$5:$H$504,'Base de Costos'!$C$5:$C$504,$C39,'Base de Costos'!$D$5:$D$504,"Costo indirecto fabricación"))</f>
        <v/>
      </c>
      <c r="G39" s="17" t="str">
        <f t="shared" si="4"/>
        <v/>
      </c>
      <c r="H39" s="17" t="str">
        <f>IF($C39="","",SUMIFS('Base de Costos'!$H$5:$H$504,'Base de Costos'!$C$5:$C$504,$C39,'Base de Costos'!$D$5:$D$504,"Gasto publicidad")+SUMIFS('Base de Costos'!$H$5:$H$504,'Base de Costos'!$C$5:$C$504,$C39,'Base de Costos'!$D$5:$D$504,"Gasto administrativo")+SUMIFS('Base de Costos'!$H$5:$H$504,'Base de Costos'!$C$5:$C$504,$C39,'Base de Costos'!$D$5:$D$504,"Otro gasto"))</f>
        <v/>
      </c>
      <c r="I39" s="18" t="str">
        <f>IF($C39="","",IFERROR(VLOOKUP($C39,Productos!$B$5:$H$124,7,FALSE),0))</f>
        <v/>
      </c>
      <c r="J39" s="17" t="str">
        <f t="shared" si="5"/>
        <v/>
      </c>
      <c r="K39" s="17" t="str">
        <f t="shared" si="6"/>
        <v/>
      </c>
      <c r="L39" s="17" t="str">
        <f t="shared" si="7"/>
        <v/>
      </c>
      <c r="M39" s="7" t="str">
        <f>IF($C39="","",IF(J39=0,"Sin datos",IF(IFERROR(VLOOKUP($C39,Productos!$B$5:$H$124,4,FALSE),0)=0,"Sin precio cliente",IF(IFERROR(VLOOKUP($C39,Productos!$B$5:$H$124,4,FALSE),0)&lt;J39,"Riesgo: cliente bajo costo",IF(K39&gt;IFERROR(VLOOKUP($C39,Productos!$B$5:$H$124,4,FALSE),0),"Revisar: sugerido sobre cliente",IF(K39&gt;IFERROR(VLOOKUP($C39,Productos!$B$5:$H$124,5,FALSE),0),"Sobre competencia","Competitivo"))))))</f>
        <v/>
      </c>
      <c r="O39" s="10"/>
      <c r="P39" s="10"/>
      <c r="Q39" s="10"/>
    </row>
    <row r="40" spans="3:17" ht="21.95" customHeight="1" x14ac:dyDescent="0.25">
      <c r="C40" s="7" t="str">
        <f>IF(Productos!B40="","",Productos!B40)</f>
        <v/>
      </c>
      <c r="D40" s="17" t="str">
        <f>IF($C40="","",SUMIFS('Base de Costos'!$H$5:$H$504,'Base de Costos'!$C$5:$C$504,$C40,'Base de Costos'!$D$5:$D$504,"Materia prima"))</f>
        <v/>
      </c>
      <c r="E40" s="17" t="str">
        <f>IF($C40="","",SUMIFS('Base de Costos'!$H$5:$H$504,'Base de Costos'!$C$5:$C$504,$C40,'Base de Costos'!$D$5:$D$504,"Mano de obra"))</f>
        <v/>
      </c>
      <c r="F40" s="17" t="str">
        <f>IF($C40="","",SUMIFS('Base de Costos'!$H$5:$H$504,'Base de Costos'!$C$5:$C$504,$C40,'Base de Costos'!$D$5:$D$504,"Costo indirecto fabricación"))</f>
        <v/>
      </c>
      <c r="G40" s="17" t="str">
        <f t="shared" si="4"/>
        <v/>
      </c>
      <c r="H40" s="17" t="str">
        <f>IF($C40="","",SUMIFS('Base de Costos'!$H$5:$H$504,'Base de Costos'!$C$5:$C$504,$C40,'Base de Costos'!$D$5:$D$504,"Gasto publicidad")+SUMIFS('Base de Costos'!$H$5:$H$504,'Base de Costos'!$C$5:$C$504,$C40,'Base de Costos'!$D$5:$D$504,"Gasto administrativo")+SUMIFS('Base de Costos'!$H$5:$H$504,'Base de Costos'!$C$5:$C$504,$C40,'Base de Costos'!$D$5:$D$504,"Otro gasto"))</f>
        <v/>
      </c>
      <c r="I40" s="18" t="str">
        <f>IF($C40="","",IFERROR(VLOOKUP($C40,Productos!$B$5:$H$124,7,FALSE),0))</f>
        <v/>
      </c>
      <c r="J40" s="17" t="str">
        <f t="shared" si="5"/>
        <v/>
      </c>
      <c r="K40" s="17" t="str">
        <f t="shared" si="6"/>
        <v/>
      </c>
      <c r="L40" s="17" t="str">
        <f t="shared" si="7"/>
        <v/>
      </c>
      <c r="M40" s="7" t="str">
        <f>IF($C40="","",IF(J40=0,"Sin datos",IF(IFERROR(VLOOKUP($C40,Productos!$B$5:$H$124,4,FALSE),0)=0,"Sin precio cliente",IF(IFERROR(VLOOKUP($C40,Productos!$B$5:$H$124,4,FALSE),0)&lt;J40,"Riesgo: cliente bajo costo",IF(K40&gt;IFERROR(VLOOKUP($C40,Productos!$B$5:$H$124,4,FALSE),0),"Revisar: sugerido sobre cliente",IF(K40&gt;IFERROR(VLOOKUP($C40,Productos!$B$5:$H$124,5,FALSE),0),"Sobre competencia","Competitivo"))))))</f>
        <v/>
      </c>
      <c r="O40" s="10"/>
      <c r="P40" s="10"/>
      <c r="Q40" s="10"/>
    </row>
    <row r="41" spans="3:17" ht="21.95" customHeight="1" x14ac:dyDescent="0.25">
      <c r="C41" s="7" t="str">
        <f>IF(Productos!B41="","",Productos!B41)</f>
        <v/>
      </c>
      <c r="D41" s="17" t="str">
        <f>IF($C41="","",SUMIFS('Base de Costos'!$H$5:$H$504,'Base de Costos'!$C$5:$C$504,$C41,'Base de Costos'!$D$5:$D$504,"Materia prima"))</f>
        <v/>
      </c>
      <c r="E41" s="17" t="str">
        <f>IF($C41="","",SUMIFS('Base de Costos'!$H$5:$H$504,'Base de Costos'!$C$5:$C$504,$C41,'Base de Costos'!$D$5:$D$504,"Mano de obra"))</f>
        <v/>
      </c>
      <c r="F41" s="17" t="str">
        <f>IF($C41="","",SUMIFS('Base de Costos'!$H$5:$H$504,'Base de Costos'!$C$5:$C$504,$C41,'Base de Costos'!$D$5:$D$504,"Costo indirecto fabricación"))</f>
        <v/>
      </c>
      <c r="G41" s="17" t="str">
        <f t="shared" si="4"/>
        <v/>
      </c>
      <c r="H41" s="17" t="str">
        <f>IF($C41="","",SUMIFS('Base de Costos'!$H$5:$H$504,'Base de Costos'!$C$5:$C$504,$C41,'Base de Costos'!$D$5:$D$504,"Gasto publicidad")+SUMIFS('Base de Costos'!$H$5:$H$504,'Base de Costos'!$C$5:$C$504,$C41,'Base de Costos'!$D$5:$D$504,"Gasto administrativo")+SUMIFS('Base de Costos'!$H$5:$H$504,'Base de Costos'!$C$5:$C$504,$C41,'Base de Costos'!$D$5:$D$504,"Otro gasto"))</f>
        <v/>
      </c>
      <c r="I41" s="18" t="str">
        <f>IF($C41="","",IFERROR(VLOOKUP($C41,Productos!$B$5:$H$124,7,FALSE),0))</f>
        <v/>
      </c>
      <c r="J41" s="17" t="str">
        <f t="shared" si="5"/>
        <v/>
      </c>
      <c r="K41" s="17" t="str">
        <f t="shared" si="6"/>
        <v/>
      </c>
      <c r="L41" s="17" t="str">
        <f t="shared" si="7"/>
        <v/>
      </c>
      <c r="M41" s="7" t="str">
        <f>IF($C41="","",IF(J41=0,"Sin datos",IF(IFERROR(VLOOKUP($C41,Productos!$B$5:$H$124,4,FALSE),0)=0,"Sin precio cliente",IF(IFERROR(VLOOKUP($C41,Productos!$B$5:$H$124,4,FALSE),0)&lt;J41,"Riesgo: cliente bajo costo",IF(K41&gt;IFERROR(VLOOKUP($C41,Productos!$B$5:$H$124,4,FALSE),0),"Revisar: sugerido sobre cliente",IF(K41&gt;IFERROR(VLOOKUP($C41,Productos!$B$5:$H$124,5,FALSE),0),"Sobre competencia","Competitivo"))))))</f>
        <v/>
      </c>
      <c r="O41" s="10"/>
      <c r="P41" s="10"/>
      <c r="Q41" s="10"/>
    </row>
    <row r="42" spans="3:17" ht="21.95" customHeight="1" x14ac:dyDescent="0.25">
      <c r="C42" s="7" t="str">
        <f>IF(Productos!B42="","",Productos!B42)</f>
        <v/>
      </c>
      <c r="D42" s="17" t="str">
        <f>IF($C42="","",SUMIFS('Base de Costos'!$H$5:$H$504,'Base de Costos'!$C$5:$C$504,$C42,'Base de Costos'!$D$5:$D$504,"Materia prima"))</f>
        <v/>
      </c>
      <c r="E42" s="17" t="str">
        <f>IF($C42="","",SUMIFS('Base de Costos'!$H$5:$H$504,'Base de Costos'!$C$5:$C$504,$C42,'Base de Costos'!$D$5:$D$504,"Mano de obra"))</f>
        <v/>
      </c>
      <c r="F42" s="17" t="str">
        <f>IF($C42="","",SUMIFS('Base de Costos'!$H$5:$H$504,'Base de Costos'!$C$5:$C$504,$C42,'Base de Costos'!$D$5:$D$504,"Costo indirecto fabricación"))</f>
        <v/>
      </c>
      <c r="G42" s="17" t="str">
        <f t="shared" si="4"/>
        <v/>
      </c>
      <c r="H42" s="17" t="str">
        <f>IF($C42="","",SUMIFS('Base de Costos'!$H$5:$H$504,'Base de Costos'!$C$5:$C$504,$C42,'Base de Costos'!$D$5:$D$504,"Gasto publicidad")+SUMIFS('Base de Costos'!$H$5:$H$504,'Base de Costos'!$C$5:$C$504,$C42,'Base de Costos'!$D$5:$D$504,"Gasto administrativo")+SUMIFS('Base de Costos'!$H$5:$H$504,'Base de Costos'!$C$5:$C$504,$C42,'Base de Costos'!$D$5:$D$504,"Otro gasto"))</f>
        <v/>
      </c>
      <c r="I42" s="18" t="str">
        <f>IF($C42="","",IFERROR(VLOOKUP($C42,Productos!$B$5:$H$124,7,FALSE),0))</f>
        <v/>
      </c>
      <c r="J42" s="17" t="str">
        <f t="shared" si="5"/>
        <v/>
      </c>
      <c r="K42" s="17" t="str">
        <f t="shared" si="6"/>
        <v/>
      </c>
      <c r="L42" s="17" t="str">
        <f t="shared" si="7"/>
        <v/>
      </c>
      <c r="M42" s="7" t="str">
        <f>IF($C42="","",IF(J42=0,"Sin datos",IF(IFERROR(VLOOKUP($C42,Productos!$B$5:$H$124,4,FALSE),0)=0,"Sin precio cliente",IF(IFERROR(VLOOKUP($C42,Productos!$B$5:$H$124,4,FALSE),0)&lt;J42,"Riesgo: cliente bajo costo",IF(K42&gt;IFERROR(VLOOKUP($C42,Productos!$B$5:$H$124,4,FALSE),0),"Revisar: sugerido sobre cliente",IF(K42&gt;IFERROR(VLOOKUP($C42,Productos!$B$5:$H$124,5,FALSE),0),"Sobre competencia","Competitivo"))))))</f>
        <v/>
      </c>
      <c r="O42" s="10"/>
      <c r="P42" s="10"/>
      <c r="Q42" s="10"/>
    </row>
    <row r="43" spans="3:17" ht="21.95" customHeight="1" x14ac:dyDescent="0.25">
      <c r="C43" s="7" t="str">
        <f>IF(Productos!B43="","",Productos!B43)</f>
        <v/>
      </c>
      <c r="D43" s="17" t="str">
        <f>IF($C43="","",SUMIFS('Base de Costos'!$H$5:$H$504,'Base de Costos'!$C$5:$C$504,$C43,'Base de Costos'!$D$5:$D$504,"Materia prima"))</f>
        <v/>
      </c>
      <c r="E43" s="17" t="str">
        <f>IF($C43="","",SUMIFS('Base de Costos'!$H$5:$H$504,'Base de Costos'!$C$5:$C$504,$C43,'Base de Costos'!$D$5:$D$504,"Mano de obra"))</f>
        <v/>
      </c>
      <c r="F43" s="17" t="str">
        <f>IF($C43="","",SUMIFS('Base de Costos'!$H$5:$H$504,'Base de Costos'!$C$5:$C$504,$C43,'Base de Costos'!$D$5:$D$504,"Costo indirecto fabricación"))</f>
        <v/>
      </c>
      <c r="G43" s="17" t="str">
        <f t="shared" si="4"/>
        <v/>
      </c>
      <c r="H43" s="17" t="str">
        <f>IF($C43="","",SUMIFS('Base de Costos'!$H$5:$H$504,'Base de Costos'!$C$5:$C$504,$C43,'Base de Costos'!$D$5:$D$504,"Gasto publicidad")+SUMIFS('Base de Costos'!$H$5:$H$504,'Base de Costos'!$C$5:$C$504,$C43,'Base de Costos'!$D$5:$D$504,"Gasto administrativo")+SUMIFS('Base de Costos'!$H$5:$H$504,'Base de Costos'!$C$5:$C$504,$C43,'Base de Costos'!$D$5:$D$504,"Otro gasto"))</f>
        <v/>
      </c>
      <c r="I43" s="18" t="str">
        <f>IF($C43="","",IFERROR(VLOOKUP($C43,Productos!$B$5:$H$124,7,FALSE),0))</f>
        <v/>
      </c>
      <c r="J43" s="17" t="str">
        <f t="shared" si="5"/>
        <v/>
      </c>
      <c r="K43" s="17" t="str">
        <f t="shared" si="6"/>
        <v/>
      </c>
      <c r="L43" s="17" t="str">
        <f t="shared" si="7"/>
        <v/>
      </c>
      <c r="M43" s="7" t="str">
        <f>IF($C43="","",IF(J43=0,"Sin datos",IF(IFERROR(VLOOKUP($C43,Productos!$B$5:$H$124,4,FALSE),0)=0,"Sin precio cliente",IF(IFERROR(VLOOKUP($C43,Productos!$B$5:$H$124,4,FALSE),0)&lt;J43,"Riesgo: cliente bajo costo",IF(K43&gt;IFERROR(VLOOKUP($C43,Productos!$B$5:$H$124,4,FALSE),0),"Revisar: sugerido sobre cliente",IF(K43&gt;IFERROR(VLOOKUP($C43,Productos!$B$5:$H$124,5,FALSE),0),"Sobre competencia","Competitivo"))))))</f>
        <v/>
      </c>
      <c r="O43" s="10"/>
      <c r="P43" s="10"/>
      <c r="Q43" s="10"/>
    </row>
    <row r="44" spans="3:17" ht="21.95" customHeight="1" x14ac:dyDescent="0.25">
      <c r="C44" s="7" t="str">
        <f>IF(Productos!B44="","",Productos!B44)</f>
        <v/>
      </c>
      <c r="D44" s="17" t="str">
        <f>IF($C44="","",SUMIFS('Base de Costos'!$H$5:$H$504,'Base de Costos'!$C$5:$C$504,$C44,'Base de Costos'!$D$5:$D$504,"Materia prima"))</f>
        <v/>
      </c>
      <c r="E44" s="17" t="str">
        <f>IF($C44="","",SUMIFS('Base de Costos'!$H$5:$H$504,'Base de Costos'!$C$5:$C$504,$C44,'Base de Costos'!$D$5:$D$504,"Mano de obra"))</f>
        <v/>
      </c>
      <c r="F44" s="17" t="str">
        <f>IF($C44="","",SUMIFS('Base de Costos'!$H$5:$H$504,'Base de Costos'!$C$5:$C$504,$C44,'Base de Costos'!$D$5:$D$504,"Costo indirecto fabricación"))</f>
        <v/>
      </c>
      <c r="G44" s="17" t="str">
        <f t="shared" si="4"/>
        <v/>
      </c>
      <c r="H44" s="17" t="str">
        <f>IF($C44="","",SUMIFS('Base de Costos'!$H$5:$H$504,'Base de Costos'!$C$5:$C$504,$C44,'Base de Costos'!$D$5:$D$504,"Gasto publicidad")+SUMIFS('Base de Costos'!$H$5:$H$504,'Base de Costos'!$C$5:$C$504,$C44,'Base de Costos'!$D$5:$D$504,"Gasto administrativo")+SUMIFS('Base de Costos'!$H$5:$H$504,'Base de Costos'!$C$5:$C$504,$C44,'Base de Costos'!$D$5:$D$504,"Otro gasto"))</f>
        <v/>
      </c>
      <c r="I44" s="18" t="str">
        <f>IF($C44="","",IFERROR(VLOOKUP($C44,Productos!$B$5:$H$124,7,FALSE),0))</f>
        <v/>
      </c>
      <c r="J44" s="17" t="str">
        <f t="shared" si="5"/>
        <v/>
      </c>
      <c r="K44" s="17" t="str">
        <f t="shared" si="6"/>
        <v/>
      </c>
      <c r="L44" s="17" t="str">
        <f t="shared" si="7"/>
        <v/>
      </c>
      <c r="M44" s="7" t="str">
        <f>IF($C44="","",IF(J44=0,"Sin datos",IF(IFERROR(VLOOKUP($C44,Productos!$B$5:$H$124,4,FALSE),0)=0,"Sin precio cliente",IF(IFERROR(VLOOKUP($C44,Productos!$B$5:$H$124,4,FALSE),0)&lt;J44,"Riesgo: cliente bajo costo",IF(K44&gt;IFERROR(VLOOKUP($C44,Productos!$B$5:$H$124,4,FALSE),0),"Revisar: sugerido sobre cliente",IF(K44&gt;IFERROR(VLOOKUP($C44,Productos!$B$5:$H$124,5,FALSE),0),"Sobre competencia","Competitivo"))))))</f>
        <v/>
      </c>
      <c r="O44" s="10"/>
      <c r="P44" s="10"/>
      <c r="Q44" s="10"/>
    </row>
    <row r="45" spans="3:17" ht="21.95" customHeight="1" x14ac:dyDescent="0.25">
      <c r="C45" s="7" t="str">
        <f>IF(Productos!B45="","",Productos!B45)</f>
        <v/>
      </c>
      <c r="D45" s="17" t="str">
        <f>IF($C45="","",SUMIFS('Base de Costos'!$H$5:$H$504,'Base de Costos'!$C$5:$C$504,$C45,'Base de Costos'!$D$5:$D$504,"Materia prima"))</f>
        <v/>
      </c>
      <c r="E45" s="17" t="str">
        <f>IF($C45="","",SUMIFS('Base de Costos'!$H$5:$H$504,'Base de Costos'!$C$5:$C$504,$C45,'Base de Costos'!$D$5:$D$504,"Mano de obra"))</f>
        <v/>
      </c>
      <c r="F45" s="17" t="str">
        <f>IF($C45="","",SUMIFS('Base de Costos'!$H$5:$H$504,'Base de Costos'!$C$5:$C$504,$C45,'Base de Costos'!$D$5:$D$504,"Costo indirecto fabricación"))</f>
        <v/>
      </c>
      <c r="G45" s="17" t="str">
        <f t="shared" si="4"/>
        <v/>
      </c>
      <c r="H45" s="17" t="str">
        <f>IF($C45="","",SUMIFS('Base de Costos'!$H$5:$H$504,'Base de Costos'!$C$5:$C$504,$C45,'Base de Costos'!$D$5:$D$504,"Gasto publicidad")+SUMIFS('Base de Costos'!$H$5:$H$504,'Base de Costos'!$C$5:$C$504,$C45,'Base de Costos'!$D$5:$D$504,"Gasto administrativo")+SUMIFS('Base de Costos'!$H$5:$H$504,'Base de Costos'!$C$5:$C$504,$C45,'Base de Costos'!$D$5:$D$504,"Otro gasto"))</f>
        <v/>
      </c>
      <c r="I45" s="18" t="str">
        <f>IF($C45="","",IFERROR(VLOOKUP($C45,Productos!$B$5:$H$124,7,FALSE),0))</f>
        <v/>
      </c>
      <c r="J45" s="17" t="str">
        <f t="shared" si="5"/>
        <v/>
      </c>
      <c r="K45" s="17" t="str">
        <f t="shared" si="6"/>
        <v/>
      </c>
      <c r="L45" s="17" t="str">
        <f t="shared" si="7"/>
        <v/>
      </c>
      <c r="M45" s="7" t="str">
        <f>IF($C45="","",IF(J45=0,"Sin datos",IF(IFERROR(VLOOKUP($C45,Productos!$B$5:$H$124,4,FALSE),0)=0,"Sin precio cliente",IF(IFERROR(VLOOKUP($C45,Productos!$B$5:$H$124,4,FALSE),0)&lt;J45,"Riesgo: cliente bajo costo",IF(K45&gt;IFERROR(VLOOKUP($C45,Productos!$B$5:$H$124,4,FALSE),0),"Revisar: sugerido sobre cliente",IF(K45&gt;IFERROR(VLOOKUP($C45,Productos!$B$5:$H$124,5,FALSE),0),"Sobre competencia","Competitivo"))))))</f>
        <v/>
      </c>
      <c r="O45" s="10"/>
      <c r="P45" s="10"/>
      <c r="Q45" s="10"/>
    </row>
    <row r="46" spans="3:17" ht="21.95" customHeight="1" x14ac:dyDescent="0.25">
      <c r="C46" s="7" t="str">
        <f>IF(Productos!B46="","",Productos!B46)</f>
        <v/>
      </c>
      <c r="D46" s="17" t="str">
        <f>IF($C46="","",SUMIFS('Base de Costos'!$H$5:$H$504,'Base de Costos'!$C$5:$C$504,$C46,'Base de Costos'!$D$5:$D$504,"Materia prima"))</f>
        <v/>
      </c>
      <c r="E46" s="17" t="str">
        <f>IF($C46="","",SUMIFS('Base de Costos'!$H$5:$H$504,'Base de Costos'!$C$5:$C$504,$C46,'Base de Costos'!$D$5:$D$504,"Mano de obra"))</f>
        <v/>
      </c>
      <c r="F46" s="17" t="str">
        <f>IF($C46="","",SUMIFS('Base de Costos'!$H$5:$H$504,'Base de Costos'!$C$5:$C$504,$C46,'Base de Costos'!$D$5:$D$504,"Costo indirecto fabricación"))</f>
        <v/>
      </c>
      <c r="G46" s="17" t="str">
        <f t="shared" si="4"/>
        <v/>
      </c>
      <c r="H46" s="17" t="str">
        <f>IF($C46="","",SUMIFS('Base de Costos'!$H$5:$H$504,'Base de Costos'!$C$5:$C$504,$C46,'Base de Costos'!$D$5:$D$504,"Gasto publicidad")+SUMIFS('Base de Costos'!$H$5:$H$504,'Base de Costos'!$C$5:$C$504,$C46,'Base de Costos'!$D$5:$D$504,"Gasto administrativo")+SUMIFS('Base de Costos'!$H$5:$H$504,'Base de Costos'!$C$5:$C$504,$C46,'Base de Costos'!$D$5:$D$504,"Otro gasto"))</f>
        <v/>
      </c>
      <c r="I46" s="18" t="str">
        <f>IF($C46="","",IFERROR(VLOOKUP($C46,Productos!$B$5:$H$124,7,FALSE),0))</f>
        <v/>
      </c>
      <c r="J46" s="17" t="str">
        <f t="shared" si="5"/>
        <v/>
      </c>
      <c r="K46" s="17" t="str">
        <f t="shared" si="6"/>
        <v/>
      </c>
      <c r="L46" s="17" t="str">
        <f t="shared" si="7"/>
        <v/>
      </c>
      <c r="M46" s="7" t="str">
        <f>IF($C46="","",IF(J46=0,"Sin datos",IF(IFERROR(VLOOKUP($C46,Productos!$B$5:$H$124,4,FALSE),0)=0,"Sin precio cliente",IF(IFERROR(VLOOKUP($C46,Productos!$B$5:$H$124,4,FALSE),0)&lt;J46,"Riesgo: cliente bajo costo",IF(K46&gt;IFERROR(VLOOKUP($C46,Productos!$B$5:$H$124,4,FALSE),0),"Revisar: sugerido sobre cliente",IF(K46&gt;IFERROR(VLOOKUP($C46,Productos!$B$5:$H$124,5,FALSE),0),"Sobre competencia","Competitivo"))))))</f>
        <v/>
      </c>
      <c r="O46" s="10"/>
      <c r="P46" s="10"/>
      <c r="Q46" s="10"/>
    </row>
    <row r="47" spans="3:17" ht="21.95" customHeight="1" x14ac:dyDescent="0.25">
      <c r="C47" s="7" t="str">
        <f>IF(Productos!B47="","",Productos!B47)</f>
        <v/>
      </c>
      <c r="D47" s="17" t="str">
        <f>IF($C47="","",SUMIFS('Base de Costos'!$H$5:$H$504,'Base de Costos'!$C$5:$C$504,$C47,'Base de Costos'!$D$5:$D$504,"Materia prima"))</f>
        <v/>
      </c>
      <c r="E47" s="17" t="str">
        <f>IF($C47="","",SUMIFS('Base de Costos'!$H$5:$H$504,'Base de Costos'!$C$5:$C$504,$C47,'Base de Costos'!$D$5:$D$504,"Mano de obra"))</f>
        <v/>
      </c>
      <c r="F47" s="17" t="str">
        <f>IF($C47="","",SUMIFS('Base de Costos'!$H$5:$H$504,'Base de Costos'!$C$5:$C$504,$C47,'Base de Costos'!$D$5:$D$504,"Costo indirecto fabricación"))</f>
        <v/>
      </c>
      <c r="G47" s="17" t="str">
        <f t="shared" si="4"/>
        <v/>
      </c>
      <c r="H47" s="17" t="str">
        <f>IF($C47="","",SUMIFS('Base de Costos'!$H$5:$H$504,'Base de Costos'!$C$5:$C$504,$C47,'Base de Costos'!$D$5:$D$504,"Gasto publicidad")+SUMIFS('Base de Costos'!$H$5:$H$504,'Base de Costos'!$C$5:$C$504,$C47,'Base de Costos'!$D$5:$D$504,"Gasto administrativo")+SUMIFS('Base de Costos'!$H$5:$H$504,'Base de Costos'!$C$5:$C$504,$C47,'Base de Costos'!$D$5:$D$504,"Otro gasto"))</f>
        <v/>
      </c>
      <c r="I47" s="18" t="str">
        <f>IF($C47="","",IFERROR(VLOOKUP($C47,Productos!$B$5:$H$124,7,FALSE),0))</f>
        <v/>
      </c>
      <c r="J47" s="17" t="str">
        <f t="shared" si="5"/>
        <v/>
      </c>
      <c r="K47" s="17" t="str">
        <f t="shared" si="6"/>
        <v/>
      </c>
      <c r="L47" s="17" t="str">
        <f t="shared" si="7"/>
        <v/>
      </c>
      <c r="M47" s="7" t="str">
        <f>IF($C47="","",IF(J47=0,"Sin datos",IF(IFERROR(VLOOKUP($C47,Productos!$B$5:$H$124,4,FALSE),0)=0,"Sin precio cliente",IF(IFERROR(VLOOKUP($C47,Productos!$B$5:$H$124,4,FALSE),0)&lt;J47,"Riesgo: cliente bajo costo",IF(K47&gt;IFERROR(VLOOKUP($C47,Productos!$B$5:$H$124,4,FALSE),0),"Revisar: sugerido sobre cliente",IF(K47&gt;IFERROR(VLOOKUP($C47,Productos!$B$5:$H$124,5,FALSE),0),"Sobre competencia","Competitivo"))))))</f>
        <v/>
      </c>
      <c r="O47" s="10"/>
      <c r="P47" s="10"/>
      <c r="Q47" s="10"/>
    </row>
    <row r="48" spans="3:17" ht="21.95" customHeight="1" x14ac:dyDescent="0.25">
      <c r="C48" s="7" t="str">
        <f>IF(Productos!B48="","",Productos!B48)</f>
        <v/>
      </c>
      <c r="D48" s="17" t="str">
        <f>IF($C48="","",SUMIFS('Base de Costos'!$H$5:$H$504,'Base de Costos'!$C$5:$C$504,$C48,'Base de Costos'!$D$5:$D$504,"Materia prima"))</f>
        <v/>
      </c>
      <c r="E48" s="17" t="str">
        <f>IF($C48="","",SUMIFS('Base de Costos'!$H$5:$H$504,'Base de Costos'!$C$5:$C$504,$C48,'Base de Costos'!$D$5:$D$504,"Mano de obra"))</f>
        <v/>
      </c>
      <c r="F48" s="17" t="str">
        <f>IF($C48="","",SUMIFS('Base de Costos'!$H$5:$H$504,'Base de Costos'!$C$5:$C$504,$C48,'Base de Costos'!$D$5:$D$504,"Costo indirecto fabricación"))</f>
        <v/>
      </c>
      <c r="G48" s="17" t="str">
        <f t="shared" si="4"/>
        <v/>
      </c>
      <c r="H48" s="17" t="str">
        <f>IF($C48="","",SUMIFS('Base de Costos'!$H$5:$H$504,'Base de Costos'!$C$5:$C$504,$C48,'Base de Costos'!$D$5:$D$504,"Gasto publicidad")+SUMIFS('Base de Costos'!$H$5:$H$504,'Base de Costos'!$C$5:$C$504,$C48,'Base de Costos'!$D$5:$D$504,"Gasto administrativo")+SUMIFS('Base de Costos'!$H$5:$H$504,'Base de Costos'!$C$5:$C$504,$C48,'Base de Costos'!$D$5:$D$504,"Otro gasto"))</f>
        <v/>
      </c>
      <c r="I48" s="18" t="str">
        <f>IF($C48="","",IFERROR(VLOOKUP($C48,Productos!$B$5:$H$124,7,FALSE),0))</f>
        <v/>
      </c>
      <c r="J48" s="17" t="str">
        <f t="shared" si="5"/>
        <v/>
      </c>
      <c r="K48" s="17" t="str">
        <f t="shared" si="6"/>
        <v/>
      </c>
      <c r="L48" s="17" t="str">
        <f t="shared" si="7"/>
        <v/>
      </c>
      <c r="M48" s="7" t="str">
        <f>IF($C48="","",IF(J48=0,"Sin datos",IF(IFERROR(VLOOKUP($C48,Productos!$B$5:$H$124,4,FALSE),0)=0,"Sin precio cliente",IF(IFERROR(VLOOKUP($C48,Productos!$B$5:$H$124,4,FALSE),0)&lt;J48,"Riesgo: cliente bajo costo",IF(K48&gt;IFERROR(VLOOKUP($C48,Productos!$B$5:$H$124,4,FALSE),0),"Revisar: sugerido sobre cliente",IF(K48&gt;IFERROR(VLOOKUP($C48,Productos!$B$5:$H$124,5,FALSE),0),"Sobre competencia","Competitivo"))))))</f>
        <v/>
      </c>
      <c r="O48" s="10"/>
      <c r="P48" s="10"/>
      <c r="Q48" s="10"/>
    </row>
    <row r="49" spans="3:17" ht="21.95" customHeight="1" x14ac:dyDescent="0.25">
      <c r="C49" s="7" t="str">
        <f>IF(Productos!B49="","",Productos!B49)</f>
        <v/>
      </c>
      <c r="D49" s="17" t="str">
        <f>IF($C49="","",SUMIFS('Base de Costos'!$H$5:$H$504,'Base de Costos'!$C$5:$C$504,$C49,'Base de Costos'!$D$5:$D$504,"Materia prima"))</f>
        <v/>
      </c>
      <c r="E49" s="17" t="str">
        <f>IF($C49="","",SUMIFS('Base de Costos'!$H$5:$H$504,'Base de Costos'!$C$5:$C$504,$C49,'Base de Costos'!$D$5:$D$504,"Mano de obra"))</f>
        <v/>
      </c>
      <c r="F49" s="17" t="str">
        <f>IF($C49="","",SUMIFS('Base de Costos'!$H$5:$H$504,'Base de Costos'!$C$5:$C$504,$C49,'Base de Costos'!$D$5:$D$504,"Costo indirecto fabricación"))</f>
        <v/>
      </c>
      <c r="G49" s="17" t="str">
        <f t="shared" si="4"/>
        <v/>
      </c>
      <c r="H49" s="17" t="str">
        <f>IF($C49="","",SUMIFS('Base de Costos'!$H$5:$H$504,'Base de Costos'!$C$5:$C$504,$C49,'Base de Costos'!$D$5:$D$504,"Gasto publicidad")+SUMIFS('Base de Costos'!$H$5:$H$504,'Base de Costos'!$C$5:$C$504,$C49,'Base de Costos'!$D$5:$D$504,"Gasto administrativo")+SUMIFS('Base de Costos'!$H$5:$H$504,'Base de Costos'!$C$5:$C$504,$C49,'Base de Costos'!$D$5:$D$504,"Otro gasto"))</f>
        <v/>
      </c>
      <c r="I49" s="18" t="str">
        <f>IF($C49="","",IFERROR(VLOOKUP($C49,Productos!$B$5:$H$124,7,FALSE),0))</f>
        <v/>
      </c>
      <c r="J49" s="17" t="str">
        <f t="shared" si="5"/>
        <v/>
      </c>
      <c r="K49" s="17" t="str">
        <f t="shared" si="6"/>
        <v/>
      </c>
      <c r="L49" s="17" t="str">
        <f t="shared" si="7"/>
        <v/>
      </c>
      <c r="M49" s="7" t="str">
        <f>IF($C49="","",IF(J49=0,"Sin datos",IF(IFERROR(VLOOKUP($C49,Productos!$B$5:$H$124,4,FALSE),0)=0,"Sin precio cliente",IF(IFERROR(VLOOKUP($C49,Productos!$B$5:$H$124,4,FALSE),0)&lt;J49,"Riesgo: cliente bajo costo",IF(K49&gt;IFERROR(VLOOKUP($C49,Productos!$B$5:$H$124,4,FALSE),0),"Revisar: sugerido sobre cliente",IF(K49&gt;IFERROR(VLOOKUP($C49,Productos!$B$5:$H$124,5,FALSE),0),"Sobre competencia","Competitivo"))))))</f>
        <v/>
      </c>
      <c r="O49" s="10"/>
      <c r="P49" s="10"/>
      <c r="Q49" s="10"/>
    </row>
    <row r="50" spans="3:17" ht="21.95" customHeight="1" x14ac:dyDescent="0.25">
      <c r="C50" s="7" t="str">
        <f>IF(Productos!B50="","",Productos!B50)</f>
        <v/>
      </c>
      <c r="D50" s="17" t="str">
        <f>IF($C50="","",SUMIFS('Base de Costos'!$H$5:$H$504,'Base de Costos'!$C$5:$C$504,$C50,'Base de Costos'!$D$5:$D$504,"Materia prima"))</f>
        <v/>
      </c>
      <c r="E50" s="17" t="str">
        <f>IF($C50="","",SUMIFS('Base de Costos'!$H$5:$H$504,'Base de Costos'!$C$5:$C$504,$C50,'Base de Costos'!$D$5:$D$504,"Mano de obra"))</f>
        <v/>
      </c>
      <c r="F50" s="17" t="str">
        <f>IF($C50="","",SUMIFS('Base de Costos'!$H$5:$H$504,'Base de Costos'!$C$5:$C$504,$C50,'Base de Costos'!$D$5:$D$504,"Costo indirecto fabricación"))</f>
        <v/>
      </c>
      <c r="G50" s="17" t="str">
        <f t="shared" si="4"/>
        <v/>
      </c>
      <c r="H50" s="17" t="str">
        <f>IF($C50="","",SUMIFS('Base de Costos'!$H$5:$H$504,'Base de Costos'!$C$5:$C$504,$C50,'Base de Costos'!$D$5:$D$504,"Gasto publicidad")+SUMIFS('Base de Costos'!$H$5:$H$504,'Base de Costos'!$C$5:$C$504,$C50,'Base de Costos'!$D$5:$D$504,"Gasto administrativo")+SUMIFS('Base de Costos'!$H$5:$H$504,'Base de Costos'!$C$5:$C$504,$C50,'Base de Costos'!$D$5:$D$504,"Otro gasto"))</f>
        <v/>
      </c>
      <c r="I50" s="18" t="str">
        <f>IF($C50="","",IFERROR(VLOOKUP($C50,Productos!$B$5:$H$124,7,FALSE),0))</f>
        <v/>
      </c>
      <c r="J50" s="17" t="str">
        <f t="shared" si="5"/>
        <v/>
      </c>
      <c r="K50" s="17" t="str">
        <f t="shared" si="6"/>
        <v/>
      </c>
      <c r="L50" s="17" t="str">
        <f t="shared" si="7"/>
        <v/>
      </c>
      <c r="M50" s="7" t="str">
        <f>IF($C50="","",IF(J50=0,"Sin datos",IF(IFERROR(VLOOKUP($C50,Productos!$B$5:$H$124,4,FALSE),0)=0,"Sin precio cliente",IF(IFERROR(VLOOKUP($C50,Productos!$B$5:$H$124,4,FALSE),0)&lt;J50,"Riesgo: cliente bajo costo",IF(K50&gt;IFERROR(VLOOKUP($C50,Productos!$B$5:$H$124,4,FALSE),0),"Revisar: sugerido sobre cliente",IF(K50&gt;IFERROR(VLOOKUP($C50,Productos!$B$5:$H$124,5,FALSE),0),"Sobre competencia","Competitivo"))))))</f>
        <v/>
      </c>
      <c r="O50" s="10"/>
      <c r="P50" s="10"/>
      <c r="Q50" s="10"/>
    </row>
    <row r="51" spans="3:17" ht="21.95" customHeight="1" x14ac:dyDescent="0.25">
      <c r="C51" s="7" t="str">
        <f>IF(Productos!B51="","",Productos!B51)</f>
        <v/>
      </c>
      <c r="D51" s="17" t="str">
        <f>IF($C51="","",SUMIFS('Base de Costos'!$H$5:$H$504,'Base de Costos'!$C$5:$C$504,$C51,'Base de Costos'!$D$5:$D$504,"Materia prima"))</f>
        <v/>
      </c>
      <c r="E51" s="17" t="str">
        <f>IF($C51="","",SUMIFS('Base de Costos'!$H$5:$H$504,'Base de Costos'!$C$5:$C$504,$C51,'Base de Costos'!$D$5:$D$504,"Mano de obra"))</f>
        <v/>
      </c>
      <c r="F51" s="17" t="str">
        <f>IF($C51="","",SUMIFS('Base de Costos'!$H$5:$H$504,'Base de Costos'!$C$5:$C$504,$C51,'Base de Costos'!$D$5:$D$504,"Costo indirecto fabricación"))</f>
        <v/>
      </c>
      <c r="G51" s="17" t="str">
        <f t="shared" si="4"/>
        <v/>
      </c>
      <c r="H51" s="17" t="str">
        <f>IF($C51="","",SUMIFS('Base de Costos'!$H$5:$H$504,'Base de Costos'!$C$5:$C$504,$C51,'Base de Costos'!$D$5:$D$504,"Gasto publicidad")+SUMIFS('Base de Costos'!$H$5:$H$504,'Base de Costos'!$C$5:$C$504,$C51,'Base de Costos'!$D$5:$D$504,"Gasto administrativo")+SUMIFS('Base de Costos'!$H$5:$H$504,'Base de Costos'!$C$5:$C$504,$C51,'Base de Costos'!$D$5:$D$504,"Otro gasto"))</f>
        <v/>
      </c>
      <c r="I51" s="18" t="str">
        <f>IF($C51="","",IFERROR(VLOOKUP($C51,Productos!$B$5:$H$124,7,FALSE),0))</f>
        <v/>
      </c>
      <c r="J51" s="17" t="str">
        <f t="shared" si="5"/>
        <v/>
      </c>
      <c r="K51" s="17" t="str">
        <f t="shared" si="6"/>
        <v/>
      </c>
      <c r="L51" s="17" t="str">
        <f t="shared" si="7"/>
        <v/>
      </c>
      <c r="M51" s="7" t="str">
        <f>IF($C51="","",IF(J51=0,"Sin datos",IF(IFERROR(VLOOKUP($C51,Productos!$B$5:$H$124,4,FALSE),0)=0,"Sin precio cliente",IF(IFERROR(VLOOKUP($C51,Productos!$B$5:$H$124,4,FALSE),0)&lt;J51,"Riesgo: cliente bajo costo",IF(K51&gt;IFERROR(VLOOKUP($C51,Productos!$B$5:$H$124,4,FALSE),0),"Revisar: sugerido sobre cliente",IF(K51&gt;IFERROR(VLOOKUP($C51,Productos!$B$5:$H$124,5,FALSE),0),"Sobre competencia","Competitivo"))))))</f>
        <v/>
      </c>
      <c r="O51" s="10"/>
      <c r="P51" s="10"/>
      <c r="Q51" s="10"/>
    </row>
    <row r="52" spans="3:17" ht="21.95" customHeight="1" x14ac:dyDescent="0.25">
      <c r="C52" s="7" t="str">
        <f>IF(Productos!B52="","",Productos!B52)</f>
        <v/>
      </c>
      <c r="D52" s="17" t="str">
        <f>IF($C52="","",SUMIFS('Base de Costos'!$H$5:$H$504,'Base de Costos'!$C$5:$C$504,$C52,'Base de Costos'!$D$5:$D$504,"Materia prima"))</f>
        <v/>
      </c>
      <c r="E52" s="17" t="str">
        <f>IF($C52="","",SUMIFS('Base de Costos'!$H$5:$H$504,'Base de Costos'!$C$5:$C$504,$C52,'Base de Costos'!$D$5:$D$504,"Mano de obra"))</f>
        <v/>
      </c>
      <c r="F52" s="17" t="str">
        <f>IF($C52="","",SUMIFS('Base de Costos'!$H$5:$H$504,'Base de Costos'!$C$5:$C$504,$C52,'Base de Costos'!$D$5:$D$504,"Costo indirecto fabricación"))</f>
        <v/>
      </c>
      <c r="G52" s="17" t="str">
        <f t="shared" si="4"/>
        <v/>
      </c>
      <c r="H52" s="17" t="str">
        <f>IF($C52="","",SUMIFS('Base de Costos'!$H$5:$H$504,'Base de Costos'!$C$5:$C$504,$C52,'Base de Costos'!$D$5:$D$504,"Gasto publicidad")+SUMIFS('Base de Costos'!$H$5:$H$504,'Base de Costos'!$C$5:$C$504,$C52,'Base de Costos'!$D$5:$D$504,"Gasto administrativo")+SUMIFS('Base de Costos'!$H$5:$H$504,'Base de Costos'!$C$5:$C$504,$C52,'Base de Costos'!$D$5:$D$504,"Otro gasto"))</f>
        <v/>
      </c>
      <c r="I52" s="18" t="str">
        <f>IF($C52="","",IFERROR(VLOOKUP($C52,Productos!$B$5:$H$124,7,FALSE),0))</f>
        <v/>
      </c>
      <c r="J52" s="17" t="str">
        <f t="shared" si="5"/>
        <v/>
      </c>
      <c r="K52" s="17" t="str">
        <f t="shared" si="6"/>
        <v/>
      </c>
      <c r="L52" s="17" t="str">
        <f t="shared" si="7"/>
        <v/>
      </c>
      <c r="M52" s="7" t="str">
        <f>IF($C52="","",IF(J52=0,"Sin datos",IF(IFERROR(VLOOKUP($C52,Productos!$B$5:$H$124,4,FALSE),0)=0,"Sin precio cliente",IF(IFERROR(VLOOKUP($C52,Productos!$B$5:$H$124,4,FALSE),0)&lt;J52,"Riesgo: cliente bajo costo",IF(K52&gt;IFERROR(VLOOKUP($C52,Productos!$B$5:$H$124,4,FALSE),0),"Revisar: sugerido sobre cliente",IF(K52&gt;IFERROR(VLOOKUP($C52,Productos!$B$5:$H$124,5,FALSE),0),"Sobre competencia","Competitivo"))))))</f>
        <v/>
      </c>
      <c r="O52" s="10"/>
      <c r="P52" s="10"/>
      <c r="Q52" s="10"/>
    </row>
    <row r="53" spans="3:17" ht="21.95" customHeight="1" x14ac:dyDescent="0.25">
      <c r="C53" s="7" t="str">
        <f>IF(Productos!B53="","",Productos!B53)</f>
        <v/>
      </c>
      <c r="D53" s="17" t="str">
        <f>IF($C53="","",SUMIFS('Base de Costos'!$H$5:$H$504,'Base de Costos'!$C$5:$C$504,$C53,'Base de Costos'!$D$5:$D$504,"Materia prima"))</f>
        <v/>
      </c>
      <c r="E53" s="17" t="str">
        <f>IF($C53="","",SUMIFS('Base de Costos'!$H$5:$H$504,'Base de Costos'!$C$5:$C$504,$C53,'Base de Costos'!$D$5:$D$504,"Mano de obra"))</f>
        <v/>
      </c>
      <c r="F53" s="17" t="str">
        <f>IF($C53="","",SUMIFS('Base de Costos'!$H$5:$H$504,'Base de Costos'!$C$5:$C$504,$C53,'Base de Costos'!$D$5:$D$504,"Costo indirecto fabricación"))</f>
        <v/>
      </c>
      <c r="G53" s="17" t="str">
        <f t="shared" si="4"/>
        <v/>
      </c>
      <c r="H53" s="17" t="str">
        <f>IF($C53="","",SUMIFS('Base de Costos'!$H$5:$H$504,'Base de Costos'!$C$5:$C$504,$C53,'Base de Costos'!$D$5:$D$504,"Gasto publicidad")+SUMIFS('Base de Costos'!$H$5:$H$504,'Base de Costos'!$C$5:$C$504,$C53,'Base de Costos'!$D$5:$D$504,"Gasto administrativo")+SUMIFS('Base de Costos'!$H$5:$H$504,'Base de Costos'!$C$5:$C$504,$C53,'Base de Costos'!$D$5:$D$504,"Otro gasto"))</f>
        <v/>
      </c>
      <c r="I53" s="18" t="str">
        <f>IF($C53="","",IFERROR(VLOOKUP($C53,Productos!$B$5:$H$124,7,FALSE),0))</f>
        <v/>
      </c>
      <c r="J53" s="17" t="str">
        <f t="shared" si="5"/>
        <v/>
      </c>
      <c r="K53" s="17" t="str">
        <f t="shared" si="6"/>
        <v/>
      </c>
      <c r="L53" s="17" t="str">
        <f t="shared" si="7"/>
        <v/>
      </c>
      <c r="M53" s="7" t="str">
        <f>IF($C53="","",IF(J53=0,"Sin datos",IF(IFERROR(VLOOKUP($C53,Productos!$B$5:$H$124,4,FALSE),0)=0,"Sin precio cliente",IF(IFERROR(VLOOKUP($C53,Productos!$B$5:$H$124,4,FALSE),0)&lt;J53,"Riesgo: cliente bajo costo",IF(K53&gt;IFERROR(VLOOKUP($C53,Productos!$B$5:$H$124,4,FALSE),0),"Revisar: sugerido sobre cliente",IF(K53&gt;IFERROR(VLOOKUP($C53,Productos!$B$5:$H$124,5,FALSE),0),"Sobre competencia","Competitivo"))))))</f>
        <v/>
      </c>
      <c r="O53" s="10"/>
      <c r="P53" s="10"/>
      <c r="Q53" s="10"/>
    </row>
    <row r="54" spans="3:17" ht="21.95" customHeight="1" x14ac:dyDescent="0.25">
      <c r="C54" s="7" t="str">
        <f>IF(Productos!B54="","",Productos!B54)</f>
        <v/>
      </c>
      <c r="D54" s="17" t="str">
        <f>IF($C54="","",SUMIFS('Base de Costos'!$H$5:$H$504,'Base de Costos'!$C$5:$C$504,$C54,'Base de Costos'!$D$5:$D$504,"Materia prima"))</f>
        <v/>
      </c>
      <c r="E54" s="17" t="str">
        <f>IF($C54="","",SUMIFS('Base de Costos'!$H$5:$H$504,'Base de Costos'!$C$5:$C$504,$C54,'Base de Costos'!$D$5:$D$504,"Mano de obra"))</f>
        <v/>
      </c>
      <c r="F54" s="17" t="str">
        <f>IF($C54="","",SUMIFS('Base de Costos'!$H$5:$H$504,'Base de Costos'!$C$5:$C$504,$C54,'Base de Costos'!$D$5:$D$504,"Costo indirecto fabricación"))</f>
        <v/>
      </c>
      <c r="G54" s="17" t="str">
        <f t="shared" si="4"/>
        <v/>
      </c>
      <c r="H54" s="17" t="str">
        <f>IF($C54="","",SUMIFS('Base de Costos'!$H$5:$H$504,'Base de Costos'!$C$5:$C$504,$C54,'Base de Costos'!$D$5:$D$504,"Gasto publicidad")+SUMIFS('Base de Costos'!$H$5:$H$504,'Base de Costos'!$C$5:$C$504,$C54,'Base de Costos'!$D$5:$D$504,"Gasto administrativo")+SUMIFS('Base de Costos'!$H$5:$H$504,'Base de Costos'!$C$5:$C$504,$C54,'Base de Costos'!$D$5:$D$504,"Otro gasto"))</f>
        <v/>
      </c>
      <c r="I54" s="18" t="str">
        <f>IF($C54="","",IFERROR(VLOOKUP($C54,Productos!$B$5:$H$124,7,FALSE),0))</f>
        <v/>
      </c>
      <c r="J54" s="17" t="str">
        <f t="shared" si="5"/>
        <v/>
      </c>
      <c r="K54" s="17" t="str">
        <f t="shared" si="6"/>
        <v/>
      </c>
      <c r="L54" s="17" t="str">
        <f t="shared" si="7"/>
        <v/>
      </c>
      <c r="M54" s="7" t="str">
        <f>IF($C54="","",IF(J54=0,"Sin datos",IF(IFERROR(VLOOKUP($C54,Productos!$B$5:$H$124,4,FALSE),0)=0,"Sin precio cliente",IF(IFERROR(VLOOKUP($C54,Productos!$B$5:$H$124,4,FALSE),0)&lt;J54,"Riesgo: cliente bajo costo",IF(K54&gt;IFERROR(VLOOKUP($C54,Productos!$B$5:$H$124,4,FALSE),0),"Revisar: sugerido sobre cliente",IF(K54&gt;IFERROR(VLOOKUP($C54,Productos!$B$5:$H$124,5,FALSE),0),"Sobre competencia","Competitivo"))))))</f>
        <v/>
      </c>
      <c r="O54" s="10"/>
      <c r="P54" s="10"/>
      <c r="Q54" s="10"/>
    </row>
    <row r="55" spans="3:17" ht="21.95" customHeight="1" x14ac:dyDescent="0.25">
      <c r="C55" s="7" t="str">
        <f>IF(Productos!B55="","",Productos!B55)</f>
        <v/>
      </c>
      <c r="D55" s="17" t="str">
        <f>IF($C55="","",SUMIFS('Base de Costos'!$H$5:$H$504,'Base de Costos'!$C$5:$C$504,$C55,'Base de Costos'!$D$5:$D$504,"Materia prima"))</f>
        <v/>
      </c>
      <c r="E55" s="17" t="str">
        <f>IF($C55="","",SUMIFS('Base de Costos'!$H$5:$H$504,'Base de Costos'!$C$5:$C$504,$C55,'Base de Costos'!$D$5:$D$504,"Mano de obra"))</f>
        <v/>
      </c>
      <c r="F55" s="17" t="str">
        <f>IF($C55="","",SUMIFS('Base de Costos'!$H$5:$H$504,'Base de Costos'!$C$5:$C$504,$C55,'Base de Costos'!$D$5:$D$504,"Costo indirecto fabricación"))</f>
        <v/>
      </c>
      <c r="G55" s="17" t="str">
        <f t="shared" si="4"/>
        <v/>
      </c>
      <c r="H55" s="17" t="str">
        <f>IF($C55="","",SUMIFS('Base de Costos'!$H$5:$H$504,'Base de Costos'!$C$5:$C$504,$C55,'Base de Costos'!$D$5:$D$504,"Gasto publicidad")+SUMIFS('Base de Costos'!$H$5:$H$504,'Base de Costos'!$C$5:$C$504,$C55,'Base de Costos'!$D$5:$D$504,"Gasto administrativo")+SUMIFS('Base de Costos'!$H$5:$H$504,'Base de Costos'!$C$5:$C$504,$C55,'Base de Costos'!$D$5:$D$504,"Otro gasto"))</f>
        <v/>
      </c>
      <c r="I55" s="18" t="str">
        <f>IF($C55="","",IFERROR(VLOOKUP($C55,Productos!$B$5:$H$124,7,FALSE),0))</f>
        <v/>
      </c>
      <c r="J55" s="17" t="str">
        <f t="shared" si="5"/>
        <v/>
      </c>
      <c r="K55" s="17" t="str">
        <f t="shared" si="6"/>
        <v/>
      </c>
      <c r="L55" s="17" t="str">
        <f t="shared" si="7"/>
        <v/>
      </c>
      <c r="M55" s="7" t="str">
        <f>IF($C55="","",IF(J55=0,"Sin datos",IF(IFERROR(VLOOKUP($C55,Productos!$B$5:$H$124,4,FALSE),0)=0,"Sin precio cliente",IF(IFERROR(VLOOKUP($C55,Productos!$B$5:$H$124,4,FALSE),0)&lt;J55,"Riesgo: cliente bajo costo",IF(K55&gt;IFERROR(VLOOKUP($C55,Productos!$B$5:$H$124,4,FALSE),0),"Revisar: sugerido sobre cliente",IF(K55&gt;IFERROR(VLOOKUP($C55,Productos!$B$5:$H$124,5,FALSE),0),"Sobre competencia","Competitivo"))))))</f>
        <v/>
      </c>
      <c r="O55" s="10"/>
      <c r="P55" s="10"/>
      <c r="Q55" s="10"/>
    </row>
    <row r="56" spans="3:17" ht="21.95" customHeight="1" x14ac:dyDescent="0.25">
      <c r="C56" s="7" t="str">
        <f>IF(Productos!B56="","",Productos!B56)</f>
        <v/>
      </c>
      <c r="D56" s="17" t="str">
        <f>IF($C56="","",SUMIFS('Base de Costos'!$H$5:$H$504,'Base de Costos'!$C$5:$C$504,$C56,'Base de Costos'!$D$5:$D$504,"Materia prima"))</f>
        <v/>
      </c>
      <c r="E56" s="17" t="str">
        <f>IF($C56="","",SUMIFS('Base de Costos'!$H$5:$H$504,'Base de Costos'!$C$5:$C$504,$C56,'Base de Costos'!$D$5:$D$504,"Mano de obra"))</f>
        <v/>
      </c>
      <c r="F56" s="17" t="str">
        <f>IF($C56="","",SUMIFS('Base de Costos'!$H$5:$H$504,'Base de Costos'!$C$5:$C$504,$C56,'Base de Costos'!$D$5:$D$504,"Costo indirecto fabricación"))</f>
        <v/>
      </c>
      <c r="G56" s="17" t="str">
        <f t="shared" si="4"/>
        <v/>
      </c>
      <c r="H56" s="17" t="str">
        <f>IF($C56="","",SUMIFS('Base de Costos'!$H$5:$H$504,'Base de Costos'!$C$5:$C$504,$C56,'Base de Costos'!$D$5:$D$504,"Gasto publicidad")+SUMIFS('Base de Costos'!$H$5:$H$504,'Base de Costos'!$C$5:$C$504,$C56,'Base de Costos'!$D$5:$D$504,"Gasto administrativo")+SUMIFS('Base de Costos'!$H$5:$H$504,'Base de Costos'!$C$5:$C$504,$C56,'Base de Costos'!$D$5:$D$504,"Otro gasto"))</f>
        <v/>
      </c>
      <c r="I56" s="18" t="str">
        <f>IF($C56="","",IFERROR(VLOOKUP($C56,Productos!$B$5:$H$124,7,FALSE),0))</f>
        <v/>
      </c>
      <c r="J56" s="17" t="str">
        <f t="shared" si="5"/>
        <v/>
      </c>
      <c r="K56" s="17" t="str">
        <f t="shared" si="6"/>
        <v/>
      </c>
      <c r="L56" s="17" t="str">
        <f t="shared" si="7"/>
        <v/>
      </c>
      <c r="M56" s="7" t="str">
        <f>IF($C56="","",IF(J56=0,"Sin datos",IF(IFERROR(VLOOKUP($C56,Productos!$B$5:$H$124,4,FALSE),0)=0,"Sin precio cliente",IF(IFERROR(VLOOKUP($C56,Productos!$B$5:$H$124,4,FALSE),0)&lt;J56,"Riesgo: cliente bajo costo",IF(K56&gt;IFERROR(VLOOKUP($C56,Productos!$B$5:$H$124,4,FALSE),0),"Revisar: sugerido sobre cliente",IF(K56&gt;IFERROR(VLOOKUP($C56,Productos!$B$5:$H$124,5,FALSE),0),"Sobre competencia","Competitivo"))))))</f>
        <v/>
      </c>
      <c r="O56" s="10"/>
      <c r="P56" s="10"/>
      <c r="Q56" s="10"/>
    </row>
    <row r="57" spans="3:17" ht="21.95" customHeight="1" x14ac:dyDescent="0.25">
      <c r="C57" s="7" t="str">
        <f>IF(Productos!B57="","",Productos!B57)</f>
        <v/>
      </c>
      <c r="D57" s="17" t="str">
        <f>IF($C57="","",SUMIFS('Base de Costos'!$H$5:$H$504,'Base de Costos'!$C$5:$C$504,$C57,'Base de Costos'!$D$5:$D$504,"Materia prima"))</f>
        <v/>
      </c>
      <c r="E57" s="17" t="str">
        <f>IF($C57="","",SUMIFS('Base de Costos'!$H$5:$H$504,'Base de Costos'!$C$5:$C$504,$C57,'Base de Costos'!$D$5:$D$504,"Mano de obra"))</f>
        <v/>
      </c>
      <c r="F57" s="17" t="str">
        <f>IF($C57="","",SUMIFS('Base de Costos'!$H$5:$H$504,'Base de Costos'!$C$5:$C$504,$C57,'Base de Costos'!$D$5:$D$504,"Costo indirecto fabricación"))</f>
        <v/>
      </c>
      <c r="G57" s="17" t="str">
        <f t="shared" si="4"/>
        <v/>
      </c>
      <c r="H57" s="17" t="str">
        <f>IF($C57="","",SUMIFS('Base de Costos'!$H$5:$H$504,'Base de Costos'!$C$5:$C$504,$C57,'Base de Costos'!$D$5:$D$504,"Gasto publicidad")+SUMIFS('Base de Costos'!$H$5:$H$504,'Base de Costos'!$C$5:$C$504,$C57,'Base de Costos'!$D$5:$D$504,"Gasto administrativo")+SUMIFS('Base de Costos'!$H$5:$H$504,'Base de Costos'!$C$5:$C$504,$C57,'Base de Costos'!$D$5:$D$504,"Otro gasto"))</f>
        <v/>
      </c>
      <c r="I57" s="18" t="str">
        <f>IF($C57="","",IFERROR(VLOOKUP($C57,Productos!$B$5:$H$124,7,FALSE),0))</f>
        <v/>
      </c>
      <c r="J57" s="17" t="str">
        <f t="shared" si="5"/>
        <v/>
      </c>
      <c r="K57" s="17" t="str">
        <f t="shared" si="6"/>
        <v/>
      </c>
      <c r="L57" s="17" t="str">
        <f t="shared" si="7"/>
        <v/>
      </c>
      <c r="M57" s="7" t="str">
        <f>IF($C57="","",IF(J57=0,"Sin datos",IF(IFERROR(VLOOKUP($C57,Productos!$B$5:$H$124,4,FALSE),0)=0,"Sin precio cliente",IF(IFERROR(VLOOKUP($C57,Productos!$B$5:$H$124,4,FALSE),0)&lt;J57,"Riesgo: cliente bajo costo",IF(K57&gt;IFERROR(VLOOKUP($C57,Productos!$B$5:$H$124,4,FALSE),0),"Revisar: sugerido sobre cliente",IF(K57&gt;IFERROR(VLOOKUP($C57,Productos!$B$5:$H$124,5,FALSE),0),"Sobre competencia","Competitivo"))))))</f>
        <v/>
      </c>
      <c r="O57" s="10"/>
      <c r="P57" s="10"/>
      <c r="Q57" s="10"/>
    </row>
    <row r="58" spans="3:17" ht="21.95" customHeight="1" x14ac:dyDescent="0.25">
      <c r="C58" s="7" t="str">
        <f>IF(Productos!B58="","",Productos!B58)</f>
        <v/>
      </c>
      <c r="D58" s="17" t="str">
        <f>IF($C58="","",SUMIFS('Base de Costos'!$H$5:$H$504,'Base de Costos'!$C$5:$C$504,$C58,'Base de Costos'!$D$5:$D$504,"Materia prima"))</f>
        <v/>
      </c>
      <c r="E58" s="17" t="str">
        <f>IF($C58="","",SUMIFS('Base de Costos'!$H$5:$H$504,'Base de Costos'!$C$5:$C$504,$C58,'Base de Costos'!$D$5:$D$504,"Mano de obra"))</f>
        <v/>
      </c>
      <c r="F58" s="17" t="str">
        <f>IF($C58="","",SUMIFS('Base de Costos'!$H$5:$H$504,'Base de Costos'!$C$5:$C$504,$C58,'Base de Costos'!$D$5:$D$504,"Costo indirecto fabricación"))</f>
        <v/>
      </c>
      <c r="G58" s="17" t="str">
        <f t="shared" si="4"/>
        <v/>
      </c>
      <c r="H58" s="17" t="str">
        <f>IF($C58="","",SUMIFS('Base de Costos'!$H$5:$H$504,'Base de Costos'!$C$5:$C$504,$C58,'Base de Costos'!$D$5:$D$504,"Gasto publicidad")+SUMIFS('Base de Costos'!$H$5:$H$504,'Base de Costos'!$C$5:$C$504,$C58,'Base de Costos'!$D$5:$D$504,"Gasto administrativo")+SUMIFS('Base de Costos'!$H$5:$H$504,'Base de Costos'!$C$5:$C$504,$C58,'Base de Costos'!$D$5:$D$504,"Otro gasto"))</f>
        <v/>
      </c>
      <c r="I58" s="18" t="str">
        <f>IF($C58="","",IFERROR(VLOOKUP($C58,Productos!$B$5:$H$124,7,FALSE),0))</f>
        <v/>
      </c>
      <c r="J58" s="17" t="str">
        <f t="shared" si="5"/>
        <v/>
      </c>
      <c r="K58" s="17" t="str">
        <f t="shared" si="6"/>
        <v/>
      </c>
      <c r="L58" s="17" t="str">
        <f t="shared" si="7"/>
        <v/>
      </c>
      <c r="M58" s="7" t="str">
        <f>IF($C58="","",IF(J58=0,"Sin datos",IF(IFERROR(VLOOKUP($C58,Productos!$B$5:$H$124,4,FALSE),0)=0,"Sin precio cliente",IF(IFERROR(VLOOKUP($C58,Productos!$B$5:$H$124,4,FALSE),0)&lt;J58,"Riesgo: cliente bajo costo",IF(K58&gt;IFERROR(VLOOKUP($C58,Productos!$B$5:$H$124,4,FALSE),0),"Revisar: sugerido sobre cliente",IF(K58&gt;IFERROR(VLOOKUP($C58,Productos!$B$5:$H$124,5,FALSE),0),"Sobre competencia","Competitivo"))))))</f>
        <v/>
      </c>
      <c r="O58" s="10"/>
      <c r="P58" s="10"/>
      <c r="Q58" s="10"/>
    </row>
    <row r="59" spans="3:17" ht="21.95" customHeight="1" x14ac:dyDescent="0.25">
      <c r="C59" s="7" t="str">
        <f>IF(Productos!B59="","",Productos!B59)</f>
        <v/>
      </c>
      <c r="D59" s="17" t="str">
        <f>IF($C59="","",SUMIFS('Base de Costos'!$H$5:$H$504,'Base de Costos'!$C$5:$C$504,$C59,'Base de Costos'!$D$5:$D$504,"Materia prima"))</f>
        <v/>
      </c>
      <c r="E59" s="17" t="str">
        <f>IF($C59="","",SUMIFS('Base de Costos'!$H$5:$H$504,'Base de Costos'!$C$5:$C$504,$C59,'Base de Costos'!$D$5:$D$504,"Mano de obra"))</f>
        <v/>
      </c>
      <c r="F59" s="17" t="str">
        <f>IF($C59="","",SUMIFS('Base de Costos'!$H$5:$H$504,'Base de Costos'!$C$5:$C$504,$C59,'Base de Costos'!$D$5:$D$504,"Costo indirecto fabricación"))</f>
        <v/>
      </c>
      <c r="G59" s="17" t="str">
        <f t="shared" si="4"/>
        <v/>
      </c>
      <c r="H59" s="17" t="str">
        <f>IF($C59="","",SUMIFS('Base de Costos'!$H$5:$H$504,'Base de Costos'!$C$5:$C$504,$C59,'Base de Costos'!$D$5:$D$504,"Gasto publicidad")+SUMIFS('Base de Costos'!$H$5:$H$504,'Base de Costos'!$C$5:$C$504,$C59,'Base de Costos'!$D$5:$D$504,"Gasto administrativo")+SUMIFS('Base de Costos'!$H$5:$H$504,'Base de Costos'!$C$5:$C$504,$C59,'Base de Costos'!$D$5:$D$504,"Otro gasto"))</f>
        <v/>
      </c>
      <c r="I59" s="18" t="str">
        <f>IF($C59="","",IFERROR(VLOOKUP($C59,Productos!$B$5:$H$124,7,FALSE),0))</f>
        <v/>
      </c>
      <c r="J59" s="17" t="str">
        <f t="shared" si="5"/>
        <v/>
      </c>
      <c r="K59" s="17" t="str">
        <f t="shared" si="6"/>
        <v/>
      </c>
      <c r="L59" s="17" t="str">
        <f t="shared" si="7"/>
        <v/>
      </c>
      <c r="M59" s="7" t="str">
        <f>IF($C59="","",IF(J59=0,"Sin datos",IF(IFERROR(VLOOKUP($C59,Productos!$B$5:$H$124,4,FALSE),0)=0,"Sin precio cliente",IF(IFERROR(VLOOKUP($C59,Productos!$B$5:$H$124,4,FALSE),0)&lt;J59,"Riesgo: cliente bajo costo",IF(K59&gt;IFERROR(VLOOKUP($C59,Productos!$B$5:$H$124,4,FALSE),0),"Revisar: sugerido sobre cliente",IF(K59&gt;IFERROR(VLOOKUP($C59,Productos!$B$5:$H$124,5,FALSE),0),"Sobre competencia","Competitivo"))))))</f>
        <v/>
      </c>
      <c r="O59" s="10"/>
      <c r="P59" s="10"/>
      <c r="Q59" s="10"/>
    </row>
    <row r="60" spans="3:17" ht="21.95" customHeight="1" x14ac:dyDescent="0.25">
      <c r="C60" s="7" t="str">
        <f>IF(Productos!B60="","",Productos!B60)</f>
        <v/>
      </c>
      <c r="D60" s="17" t="str">
        <f>IF($C60="","",SUMIFS('Base de Costos'!$H$5:$H$504,'Base de Costos'!$C$5:$C$504,$C60,'Base de Costos'!$D$5:$D$504,"Materia prima"))</f>
        <v/>
      </c>
      <c r="E60" s="17" t="str">
        <f>IF($C60="","",SUMIFS('Base de Costos'!$H$5:$H$504,'Base de Costos'!$C$5:$C$504,$C60,'Base de Costos'!$D$5:$D$504,"Mano de obra"))</f>
        <v/>
      </c>
      <c r="F60" s="17" t="str">
        <f>IF($C60="","",SUMIFS('Base de Costos'!$H$5:$H$504,'Base de Costos'!$C$5:$C$504,$C60,'Base de Costos'!$D$5:$D$504,"Costo indirecto fabricación"))</f>
        <v/>
      </c>
      <c r="G60" s="17" t="str">
        <f t="shared" si="4"/>
        <v/>
      </c>
      <c r="H60" s="17" t="str">
        <f>IF($C60="","",SUMIFS('Base de Costos'!$H$5:$H$504,'Base de Costos'!$C$5:$C$504,$C60,'Base de Costos'!$D$5:$D$504,"Gasto publicidad")+SUMIFS('Base de Costos'!$H$5:$H$504,'Base de Costos'!$C$5:$C$504,$C60,'Base de Costos'!$D$5:$D$504,"Gasto administrativo")+SUMIFS('Base de Costos'!$H$5:$H$504,'Base de Costos'!$C$5:$C$504,$C60,'Base de Costos'!$D$5:$D$504,"Otro gasto"))</f>
        <v/>
      </c>
      <c r="I60" s="18" t="str">
        <f>IF($C60="","",IFERROR(VLOOKUP($C60,Productos!$B$5:$H$124,7,FALSE),0))</f>
        <v/>
      </c>
      <c r="J60" s="17" t="str">
        <f t="shared" si="5"/>
        <v/>
      </c>
      <c r="K60" s="17" t="str">
        <f t="shared" si="6"/>
        <v/>
      </c>
      <c r="L60" s="17" t="str">
        <f t="shared" si="7"/>
        <v/>
      </c>
      <c r="M60" s="7" t="str">
        <f>IF($C60="","",IF(J60=0,"Sin datos",IF(IFERROR(VLOOKUP($C60,Productos!$B$5:$H$124,4,FALSE),0)=0,"Sin precio cliente",IF(IFERROR(VLOOKUP($C60,Productos!$B$5:$H$124,4,FALSE),0)&lt;J60,"Riesgo: cliente bajo costo",IF(K60&gt;IFERROR(VLOOKUP($C60,Productos!$B$5:$H$124,4,FALSE),0),"Revisar: sugerido sobre cliente",IF(K60&gt;IFERROR(VLOOKUP($C60,Productos!$B$5:$H$124,5,FALSE),0),"Sobre competencia","Competitivo"))))))</f>
        <v/>
      </c>
      <c r="O60" s="10"/>
      <c r="P60" s="10"/>
      <c r="Q60" s="10"/>
    </row>
    <row r="61" spans="3:17" ht="21.95" customHeight="1" x14ac:dyDescent="0.25">
      <c r="C61" s="7" t="str">
        <f>IF(Productos!B61="","",Productos!B61)</f>
        <v/>
      </c>
      <c r="D61" s="17" t="str">
        <f>IF($C61="","",SUMIFS('Base de Costos'!$H$5:$H$504,'Base de Costos'!$C$5:$C$504,$C61,'Base de Costos'!$D$5:$D$504,"Materia prima"))</f>
        <v/>
      </c>
      <c r="E61" s="17" t="str">
        <f>IF($C61="","",SUMIFS('Base de Costos'!$H$5:$H$504,'Base de Costos'!$C$5:$C$504,$C61,'Base de Costos'!$D$5:$D$504,"Mano de obra"))</f>
        <v/>
      </c>
      <c r="F61" s="17" t="str">
        <f>IF($C61="","",SUMIFS('Base de Costos'!$H$5:$H$504,'Base de Costos'!$C$5:$C$504,$C61,'Base de Costos'!$D$5:$D$504,"Costo indirecto fabricación"))</f>
        <v/>
      </c>
      <c r="G61" s="17" t="str">
        <f t="shared" si="4"/>
        <v/>
      </c>
      <c r="H61" s="17" t="str">
        <f>IF($C61="","",SUMIFS('Base de Costos'!$H$5:$H$504,'Base de Costos'!$C$5:$C$504,$C61,'Base de Costos'!$D$5:$D$504,"Gasto publicidad")+SUMIFS('Base de Costos'!$H$5:$H$504,'Base de Costos'!$C$5:$C$504,$C61,'Base de Costos'!$D$5:$D$504,"Gasto administrativo")+SUMIFS('Base de Costos'!$H$5:$H$504,'Base de Costos'!$C$5:$C$504,$C61,'Base de Costos'!$D$5:$D$504,"Otro gasto"))</f>
        <v/>
      </c>
      <c r="I61" s="18" t="str">
        <f>IF($C61="","",IFERROR(VLOOKUP($C61,Productos!$B$5:$H$124,7,FALSE),0))</f>
        <v/>
      </c>
      <c r="J61" s="17" t="str">
        <f t="shared" si="5"/>
        <v/>
      </c>
      <c r="K61" s="17" t="str">
        <f t="shared" si="6"/>
        <v/>
      </c>
      <c r="L61" s="17" t="str">
        <f t="shared" si="7"/>
        <v/>
      </c>
      <c r="M61" s="7" t="str">
        <f>IF($C61="","",IF(J61=0,"Sin datos",IF(IFERROR(VLOOKUP($C61,Productos!$B$5:$H$124,4,FALSE),0)=0,"Sin precio cliente",IF(IFERROR(VLOOKUP($C61,Productos!$B$5:$H$124,4,FALSE),0)&lt;J61,"Riesgo: cliente bajo costo",IF(K61&gt;IFERROR(VLOOKUP($C61,Productos!$B$5:$H$124,4,FALSE),0),"Revisar: sugerido sobre cliente",IF(K61&gt;IFERROR(VLOOKUP($C61,Productos!$B$5:$H$124,5,FALSE),0),"Sobre competencia","Competitivo"))))))</f>
        <v/>
      </c>
      <c r="O61" s="10"/>
      <c r="P61" s="10"/>
      <c r="Q61" s="10"/>
    </row>
    <row r="62" spans="3:17" ht="21.95" customHeight="1" x14ac:dyDescent="0.25">
      <c r="C62" s="7" t="str">
        <f>IF(Productos!B62="","",Productos!B62)</f>
        <v/>
      </c>
      <c r="D62" s="17" t="str">
        <f>IF($C62="","",SUMIFS('Base de Costos'!$H$5:$H$504,'Base de Costos'!$C$5:$C$504,$C62,'Base de Costos'!$D$5:$D$504,"Materia prima"))</f>
        <v/>
      </c>
      <c r="E62" s="17" t="str">
        <f>IF($C62="","",SUMIFS('Base de Costos'!$H$5:$H$504,'Base de Costos'!$C$5:$C$504,$C62,'Base de Costos'!$D$5:$D$504,"Mano de obra"))</f>
        <v/>
      </c>
      <c r="F62" s="17" t="str">
        <f>IF($C62="","",SUMIFS('Base de Costos'!$H$5:$H$504,'Base de Costos'!$C$5:$C$504,$C62,'Base de Costos'!$D$5:$D$504,"Costo indirecto fabricación"))</f>
        <v/>
      </c>
      <c r="G62" s="17" t="str">
        <f t="shared" si="4"/>
        <v/>
      </c>
      <c r="H62" s="17" t="str">
        <f>IF($C62="","",SUMIFS('Base de Costos'!$H$5:$H$504,'Base de Costos'!$C$5:$C$504,$C62,'Base de Costos'!$D$5:$D$504,"Gasto publicidad")+SUMIFS('Base de Costos'!$H$5:$H$504,'Base de Costos'!$C$5:$C$504,$C62,'Base de Costos'!$D$5:$D$504,"Gasto administrativo")+SUMIFS('Base de Costos'!$H$5:$H$504,'Base de Costos'!$C$5:$C$504,$C62,'Base de Costos'!$D$5:$D$504,"Otro gasto"))</f>
        <v/>
      </c>
      <c r="I62" s="18" t="str">
        <f>IF($C62="","",IFERROR(VLOOKUP($C62,Productos!$B$5:$H$124,7,FALSE),0))</f>
        <v/>
      </c>
      <c r="J62" s="17" t="str">
        <f t="shared" si="5"/>
        <v/>
      </c>
      <c r="K62" s="17" t="str">
        <f t="shared" si="6"/>
        <v/>
      </c>
      <c r="L62" s="17" t="str">
        <f t="shared" si="7"/>
        <v/>
      </c>
      <c r="M62" s="7" t="str">
        <f>IF($C62="","",IF(J62=0,"Sin datos",IF(IFERROR(VLOOKUP($C62,Productos!$B$5:$H$124,4,FALSE),0)=0,"Sin precio cliente",IF(IFERROR(VLOOKUP($C62,Productos!$B$5:$H$124,4,FALSE),0)&lt;J62,"Riesgo: cliente bajo costo",IF(K62&gt;IFERROR(VLOOKUP($C62,Productos!$B$5:$H$124,4,FALSE),0),"Revisar: sugerido sobre cliente",IF(K62&gt;IFERROR(VLOOKUP($C62,Productos!$B$5:$H$124,5,FALSE),0),"Sobre competencia","Competitivo"))))))</f>
        <v/>
      </c>
      <c r="O62" s="10"/>
      <c r="P62" s="10"/>
      <c r="Q62" s="10"/>
    </row>
    <row r="63" spans="3:17" ht="21.95" customHeight="1" x14ac:dyDescent="0.25">
      <c r="C63" s="7" t="str">
        <f>IF(Productos!B63="","",Productos!B63)</f>
        <v/>
      </c>
      <c r="D63" s="17" t="str">
        <f>IF($C63="","",SUMIFS('Base de Costos'!$H$5:$H$504,'Base de Costos'!$C$5:$C$504,$C63,'Base de Costos'!$D$5:$D$504,"Materia prima"))</f>
        <v/>
      </c>
      <c r="E63" s="17" t="str">
        <f>IF($C63="","",SUMIFS('Base de Costos'!$H$5:$H$504,'Base de Costos'!$C$5:$C$504,$C63,'Base de Costos'!$D$5:$D$504,"Mano de obra"))</f>
        <v/>
      </c>
      <c r="F63" s="17" t="str">
        <f>IF($C63="","",SUMIFS('Base de Costos'!$H$5:$H$504,'Base de Costos'!$C$5:$C$504,$C63,'Base de Costos'!$D$5:$D$504,"Costo indirecto fabricación"))</f>
        <v/>
      </c>
      <c r="G63" s="17" t="str">
        <f t="shared" si="4"/>
        <v/>
      </c>
      <c r="H63" s="17" t="str">
        <f>IF($C63="","",SUMIFS('Base de Costos'!$H$5:$H$504,'Base de Costos'!$C$5:$C$504,$C63,'Base de Costos'!$D$5:$D$504,"Gasto publicidad")+SUMIFS('Base de Costos'!$H$5:$H$504,'Base de Costos'!$C$5:$C$504,$C63,'Base de Costos'!$D$5:$D$504,"Gasto administrativo")+SUMIFS('Base de Costos'!$H$5:$H$504,'Base de Costos'!$C$5:$C$504,$C63,'Base de Costos'!$D$5:$D$504,"Otro gasto"))</f>
        <v/>
      </c>
      <c r="I63" s="18" t="str">
        <f>IF($C63="","",IFERROR(VLOOKUP($C63,Productos!$B$5:$H$124,7,FALSE),0))</f>
        <v/>
      </c>
      <c r="J63" s="17" t="str">
        <f t="shared" si="5"/>
        <v/>
      </c>
      <c r="K63" s="17" t="str">
        <f t="shared" si="6"/>
        <v/>
      </c>
      <c r="L63" s="17" t="str">
        <f t="shared" si="7"/>
        <v/>
      </c>
      <c r="M63" s="7" t="str">
        <f>IF($C63="","",IF(J63=0,"Sin datos",IF(IFERROR(VLOOKUP($C63,Productos!$B$5:$H$124,4,FALSE),0)=0,"Sin precio cliente",IF(IFERROR(VLOOKUP($C63,Productos!$B$5:$H$124,4,FALSE),0)&lt;J63,"Riesgo: cliente bajo costo",IF(K63&gt;IFERROR(VLOOKUP($C63,Productos!$B$5:$H$124,4,FALSE),0),"Revisar: sugerido sobre cliente",IF(K63&gt;IFERROR(VLOOKUP($C63,Productos!$B$5:$H$124,5,FALSE),0),"Sobre competencia","Competitivo"))))))</f>
        <v/>
      </c>
      <c r="O63" s="10"/>
      <c r="P63" s="10"/>
      <c r="Q63" s="10"/>
    </row>
    <row r="64" spans="3:17" ht="21.95" customHeight="1" x14ac:dyDescent="0.25">
      <c r="C64" s="7" t="str">
        <f>IF(Productos!B64="","",Productos!B64)</f>
        <v/>
      </c>
      <c r="D64" s="17" t="str">
        <f>IF($C64="","",SUMIFS('Base de Costos'!$H$5:$H$504,'Base de Costos'!$C$5:$C$504,$C64,'Base de Costos'!$D$5:$D$504,"Materia prima"))</f>
        <v/>
      </c>
      <c r="E64" s="17" t="str">
        <f>IF($C64="","",SUMIFS('Base de Costos'!$H$5:$H$504,'Base de Costos'!$C$5:$C$504,$C64,'Base de Costos'!$D$5:$D$504,"Mano de obra"))</f>
        <v/>
      </c>
      <c r="F64" s="17" t="str">
        <f>IF($C64="","",SUMIFS('Base de Costos'!$H$5:$H$504,'Base de Costos'!$C$5:$C$504,$C64,'Base de Costos'!$D$5:$D$504,"Costo indirecto fabricación"))</f>
        <v/>
      </c>
      <c r="G64" s="17" t="str">
        <f t="shared" si="4"/>
        <v/>
      </c>
      <c r="H64" s="17" t="str">
        <f>IF($C64="","",SUMIFS('Base de Costos'!$H$5:$H$504,'Base de Costos'!$C$5:$C$504,$C64,'Base de Costos'!$D$5:$D$504,"Gasto publicidad")+SUMIFS('Base de Costos'!$H$5:$H$504,'Base de Costos'!$C$5:$C$504,$C64,'Base de Costos'!$D$5:$D$504,"Gasto administrativo")+SUMIFS('Base de Costos'!$H$5:$H$504,'Base de Costos'!$C$5:$C$504,$C64,'Base de Costos'!$D$5:$D$504,"Otro gasto"))</f>
        <v/>
      </c>
      <c r="I64" s="18" t="str">
        <f>IF($C64="","",IFERROR(VLOOKUP($C64,Productos!$B$5:$H$124,7,FALSE),0))</f>
        <v/>
      </c>
      <c r="J64" s="17" t="str">
        <f t="shared" si="5"/>
        <v/>
      </c>
      <c r="K64" s="17" t="str">
        <f t="shared" si="6"/>
        <v/>
      </c>
      <c r="L64" s="17" t="str">
        <f t="shared" si="7"/>
        <v/>
      </c>
      <c r="M64" s="7" t="str">
        <f>IF($C64="","",IF(J64=0,"Sin datos",IF(IFERROR(VLOOKUP($C64,Productos!$B$5:$H$124,4,FALSE),0)=0,"Sin precio cliente",IF(IFERROR(VLOOKUP($C64,Productos!$B$5:$H$124,4,FALSE),0)&lt;J64,"Riesgo: cliente bajo costo",IF(K64&gt;IFERROR(VLOOKUP($C64,Productos!$B$5:$H$124,4,FALSE),0),"Revisar: sugerido sobre cliente",IF(K64&gt;IFERROR(VLOOKUP($C64,Productos!$B$5:$H$124,5,FALSE),0),"Sobre competencia","Competitivo"))))))</f>
        <v/>
      </c>
      <c r="O64" s="10"/>
      <c r="P64" s="10"/>
      <c r="Q64" s="10"/>
    </row>
    <row r="65" spans="3:17" ht="21.95" customHeight="1" x14ac:dyDescent="0.25">
      <c r="C65" s="7" t="str">
        <f>IF(Productos!B65="","",Productos!B65)</f>
        <v/>
      </c>
      <c r="D65" s="17" t="str">
        <f>IF($C65="","",SUMIFS('Base de Costos'!$H$5:$H$504,'Base de Costos'!$C$5:$C$504,$C65,'Base de Costos'!$D$5:$D$504,"Materia prima"))</f>
        <v/>
      </c>
      <c r="E65" s="17" t="str">
        <f>IF($C65="","",SUMIFS('Base de Costos'!$H$5:$H$504,'Base de Costos'!$C$5:$C$504,$C65,'Base de Costos'!$D$5:$D$504,"Mano de obra"))</f>
        <v/>
      </c>
      <c r="F65" s="17" t="str">
        <f>IF($C65="","",SUMIFS('Base de Costos'!$H$5:$H$504,'Base de Costos'!$C$5:$C$504,$C65,'Base de Costos'!$D$5:$D$504,"Costo indirecto fabricación"))</f>
        <v/>
      </c>
      <c r="G65" s="17" t="str">
        <f t="shared" si="4"/>
        <v/>
      </c>
      <c r="H65" s="17" t="str">
        <f>IF($C65="","",SUMIFS('Base de Costos'!$H$5:$H$504,'Base de Costos'!$C$5:$C$504,$C65,'Base de Costos'!$D$5:$D$504,"Gasto publicidad")+SUMIFS('Base de Costos'!$H$5:$H$504,'Base de Costos'!$C$5:$C$504,$C65,'Base de Costos'!$D$5:$D$504,"Gasto administrativo")+SUMIFS('Base de Costos'!$H$5:$H$504,'Base de Costos'!$C$5:$C$504,$C65,'Base de Costos'!$D$5:$D$504,"Otro gasto"))</f>
        <v/>
      </c>
      <c r="I65" s="18" t="str">
        <f>IF($C65="","",IFERROR(VLOOKUP($C65,Productos!$B$5:$H$124,7,FALSE),0))</f>
        <v/>
      </c>
      <c r="J65" s="17" t="str">
        <f t="shared" si="5"/>
        <v/>
      </c>
      <c r="K65" s="17" t="str">
        <f t="shared" si="6"/>
        <v/>
      </c>
      <c r="L65" s="17" t="str">
        <f t="shared" si="7"/>
        <v/>
      </c>
      <c r="M65" s="7" t="str">
        <f>IF($C65="","",IF(J65=0,"Sin datos",IF(IFERROR(VLOOKUP($C65,Productos!$B$5:$H$124,4,FALSE),0)=0,"Sin precio cliente",IF(IFERROR(VLOOKUP($C65,Productos!$B$5:$H$124,4,FALSE),0)&lt;J65,"Riesgo: cliente bajo costo",IF(K65&gt;IFERROR(VLOOKUP($C65,Productos!$B$5:$H$124,4,FALSE),0),"Revisar: sugerido sobre cliente",IF(K65&gt;IFERROR(VLOOKUP($C65,Productos!$B$5:$H$124,5,FALSE),0),"Sobre competencia","Competitivo"))))))</f>
        <v/>
      </c>
      <c r="O65" s="10"/>
      <c r="P65" s="10"/>
      <c r="Q65" s="10"/>
    </row>
    <row r="66" spans="3:17" ht="21.95" customHeight="1" x14ac:dyDescent="0.25">
      <c r="C66" s="7" t="str">
        <f>IF(Productos!B66="","",Productos!B66)</f>
        <v/>
      </c>
      <c r="D66" s="17" t="str">
        <f>IF($C66="","",SUMIFS('Base de Costos'!$H$5:$H$504,'Base de Costos'!$C$5:$C$504,$C66,'Base de Costos'!$D$5:$D$504,"Materia prima"))</f>
        <v/>
      </c>
      <c r="E66" s="17" t="str">
        <f>IF($C66="","",SUMIFS('Base de Costos'!$H$5:$H$504,'Base de Costos'!$C$5:$C$504,$C66,'Base de Costos'!$D$5:$D$504,"Mano de obra"))</f>
        <v/>
      </c>
      <c r="F66" s="17" t="str">
        <f>IF($C66="","",SUMIFS('Base de Costos'!$H$5:$H$504,'Base de Costos'!$C$5:$C$504,$C66,'Base de Costos'!$D$5:$D$504,"Costo indirecto fabricación"))</f>
        <v/>
      </c>
      <c r="G66" s="17" t="str">
        <f t="shared" si="4"/>
        <v/>
      </c>
      <c r="H66" s="17" t="str">
        <f>IF($C66="","",SUMIFS('Base de Costos'!$H$5:$H$504,'Base de Costos'!$C$5:$C$504,$C66,'Base de Costos'!$D$5:$D$504,"Gasto publicidad")+SUMIFS('Base de Costos'!$H$5:$H$504,'Base de Costos'!$C$5:$C$504,$C66,'Base de Costos'!$D$5:$D$504,"Gasto administrativo")+SUMIFS('Base de Costos'!$H$5:$H$504,'Base de Costos'!$C$5:$C$504,$C66,'Base de Costos'!$D$5:$D$504,"Otro gasto"))</f>
        <v/>
      </c>
      <c r="I66" s="18" t="str">
        <f>IF($C66="","",IFERROR(VLOOKUP($C66,Productos!$B$5:$H$124,7,FALSE),0))</f>
        <v/>
      </c>
      <c r="J66" s="17" t="str">
        <f t="shared" si="5"/>
        <v/>
      </c>
      <c r="K66" s="17" t="str">
        <f t="shared" si="6"/>
        <v/>
      </c>
      <c r="L66" s="17" t="str">
        <f t="shared" si="7"/>
        <v/>
      </c>
      <c r="M66" s="7" t="str">
        <f>IF($C66="","",IF(J66=0,"Sin datos",IF(IFERROR(VLOOKUP($C66,Productos!$B$5:$H$124,4,FALSE),0)=0,"Sin precio cliente",IF(IFERROR(VLOOKUP($C66,Productos!$B$5:$H$124,4,FALSE),0)&lt;J66,"Riesgo: cliente bajo costo",IF(K66&gt;IFERROR(VLOOKUP($C66,Productos!$B$5:$H$124,4,FALSE),0),"Revisar: sugerido sobre cliente",IF(K66&gt;IFERROR(VLOOKUP($C66,Productos!$B$5:$H$124,5,FALSE),0),"Sobre competencia","Competitivo"))))))</f>
        <v/>
      </c>
      <c r="O66" s="10"/>
      <c r="P66" s="10"/>
      <c r="Q66" s="10"/>
    </row>
    <row r="67" spans="3:17" ht="21.95" customHeight="1" x14ac:dyDescent="0.25">
      <c r="C67" s="7" t="str">
        <f>IF(Productos!B67="","",Productos!B67)</f>
        <v/>
      </c>
      <c r="D67" s="17" t="str">
        <f>IF($C67="","",SUMIFS('Base de Costos'!$H$5:$H$504,'Base de Costos'!$C$5:$C$504,$C67,'Base de Costos'!$D$5:$D$504,"Materia prima"))</f>
        <v/>
      </c>
      <c r="E67" s="17" t="str">
        <f>IF($C67="","",SUMIFS('Base de Costos'!$H$5:$H$504,'Base de Costos'!$C$5:$C$504,$C67,'Base de Costos'!$D$5:$D$504,"Mano de obra"))</f>
        <v/>
      </c>
      <c r="F67" s="17" t="str">
        <f>IF($C67="","",SUMIFS('Base de Costos'!$H$5:$H$504,'Base de Costos'!$C$5:$C$504,$C67,'Base de Costos'!$D$5:$D$504,"Costo indirecto fabricación"))</f>
        <v/>
      </c>
      <c r="G67" s="17" t="str">
        <f t="shared" si="4"/>
        <v/>
      </c>
      <c r="H67" s="17" t="str">
        <f>IF($C67="","",SUMIFS('Base de Costos'!$H$5:$H$504,'Base de Costos'!$C$5:$C$504,$C67,'Base de Costos'!$D$5:$D$504,"Gasto publicidad")+SUMIFS('Base de Costos'!$H$5:$H$504,'Base de Costos'!$C$5:$C$504,$C67,'Base de Costos'!$D$5:$D$504,"Gasto administrativo")+SUMIFS('Base de Costos'!$H$5:$H$504,'Base de Costos'!$C$5:$C$504,$C67,'Base de Costos'!$D$5:$D$504,"Otro gasto"))</f>
        <v/>
      </c>
      <c r="I67" s="18" t="str">
        <f>IF($C67="","",IFERROR(VLOOKUP($C67,Productos!$B$5:$H$124,7,FALSE),0))</f>
        <v/>
      </c>
      <c r="J67" s="17" t="str">
        <f t="shared" si="5"/>
        <v/>
      </c>
      <c r="K67" s="17" t="str">
        <f t="shared" si="6"/>
        <v/>
      </c>
      <c r="L67" s="17" t="str">
        <f t="shared" si="7"/>
        <v/>
      </c>
      <c r="M67" s="7" t="str">
        <f>IF($C67="","",IF(J67=0,"Sin datos",IF(IFERROR(VLOOKUP($C67,Productos!$B$5:$H$124,4,FALSE),0)=0,"Sin precio cliente",IF(IFERROR(VLOOKUP($C67,Productos!$B$5:$H$124,4,FALSE),0)&lt;J67,"Riesgo: cliente bajo costo",IF(K67&gt;IFERROR(VLOOKUP($C67,Productos!$B$5:$H$124,4,FALSE),0),"Revisar: sugerido sobre cliente",IF(K67&gt;IFERROR(VLOOKUP($C67,Productos!$B$5:$H$124,5,FALSE),0),"Sobre competencia","Competitivo"))))))</f>
        <v/>
      </c>
      <c r="O67" s="10"/>
      <c r="P67" s="10"/>
      <c r="Q67" s="10"/>
    </row>
    <row r="68" spans="3:17" ht="21.95" customHeight="1" x14ac:dyDescent="0.25">
      <c r="C68" s="7" t="str">
        <f>IF(Productos!B68="","",Productos!B68)</f>
        <v/>
      </c>
      <c r="D68" s="17" t="str">
        <f>IF($C68="","",SUMIFS('Base de Costos'!$H$5:$H$504,'Base de Costos'!$C$5:$C$504,$C68,'Base de Costos'!$D$5:$D$504,"Materia prima"))</f>
        <v/>
      </c>
      <c r="E68" s="17" t="str">
        <f>IF($C68="","",SUMIFS('Base de Costos'!$H$5:$H$504,'Base de Costos'!$C$5:$C$504,$C68,'Base de Costos'!$D$5:$D$504,"Mano de obra"))</f>
        <v/>
      </c>
      <c r="F68" s="17" t="str">
        <f>IF($C68="","",SUMIFS('Base de Costos'!$H$5:$H$504,'Base de Costos'!$C$5:$C$504,$C68,'Base de Costos'!$D$5:$D$504,"Costo indirecto fabricación"))</f>
        <v/>
      </c>
      <c r="G68" s="17" t="str">
        <f t="shared" si="4"/>
        <v/>
      </c>
      <c r="H68" s="17" t="str">
        <f>IF($C68="","",SUMIFS('Base de Costos'!$H$5:$H$504,'Base de Costos'!$C$5:$C$504,$C68,'Base de Costos'!$D$5:$D$504,"Gasto publicidad")+SUMIFS('Base de Costos'!$H$5:$H$504,'Base de Costos'!$C$5:$C$504,$C68,'Base de Costos'!$D$5:$D$504,"Gasto administrativo")+SUMIFS('Base de Costos'!$H$5:$H$504,'Base de Costos'!$C$5:$C$504,$C68,'Base de Costos'!$D$5:$D$504,"Otro gasto"))</f>
        <v/>
      </c>
      <c r="I68" s="18" t="str">
        <f>IF($C68="","",IFERROR(VLOOKUP($C68,Productos!$B$5:$H$124,7,FALSE),0))</f>
        <v/>
      </c>
      <c r="J68" s="17" t="str">
        <f t="shared" si="5"/>
        <v/>
      </c>
      <c r="K68" s="17" t="str">
        <f t="shared" si="6"/>
        <v/>
      </c>
      <c r="L68" s="17" t="str">
        <f t="shared" si="7"/>
        <v/>
      </c>
      <c r="M68" s="7" t="str">
        <f>IF($C68="","",IF(J68=0,"Sin datos",IF(IFERROR(VLOOKUP($C68,Productos!$B$5:$H$124,4,FALSE),0)=0,"Sin precio cliente",IF(IFERROR(VLOOKUP($C68,Productos!$B$5:$H$124,4,FALSE),0)&lt;J68,"Riesgo: cliente bajo costo",IF(K68&gt;IFERROR(VLOOKUP($C68,Productos!$B$5:$H$124,4,FALSE),0),"Revisar: sugerido sobre cliente",IF(K68&gt;IFERROR(VLOOKUP($C68,Productos!$B$5:$H$124,5,FALSE),0),"Sobre competencia","Competitivo"))))))</f>
        <v/>
      </c>
      <c r="O68" s="10"/>
      <c r="P68" s="10"/>
      <c r="Q68" s="10"/>
    </row>
    <row r="69" spans="3:17" ht="21.95" customHeight="1" x14ac:dyDescent="0.25">
      <c r="C69" s="7" t="str">
        <f>IF(Productos!B69="","",Productos!B69)</f>
        <v/>
      </c>
      <c r="D69" s="17" t="str">
        <f>IF($C69="","",SUMIFS('Base de Costos'!$H$5:$H$504,'Base de Costos'!$C$5:$C$504,$C69,'Base de Costos'!$D$5:$D$504,"Materia prima"))</f>
        <v/>
      </c>
      <c r="E69" s="17" t="str">
        <f>IF($C69="","",SUMIFS('Base de Costos'!$H$5:$H$504,'Base de Costos'!$C$5:$C$504,$C69,'Base de Costos'!$D$5:$D$504,"Mano de obra"))</f>
        <v/>
      </c>
      <c r="F69" s="17" t="str">
        <f>IF($C69="","",SUMIFS('Base de Costos'!$H$5:$H$504,'Base de Costos'!$C$5:$C$504,$C69,'Base de Costos'!$D$5:$D$504,"Costo indirecto fabricación"))</f>
        <v/>
      </c>
      <c r="G69" s="17" t="str">
        <f t="shared" ref="G69:G100" si="8">IF($C69="","",SUM(D69:F69))</f>
        <v/>
      </c>
      <c r="H69" s="17" t="str">
        <f>IF($C69="","",SUMIFS('Base de Costos'!$H$5:$H$504,'Base de Costos'!$C$5:$C$504,$C69,'Base de Costos'!$D$5:$D$504,"Gasto publicidad")+SUMIFS('Base de Costos'!$H$5:$H$504,'Base de Costos'!$C$5:$C$504,$C69,'Base de Costos'!$D$5:$D$504,"Gasto administrativo")+SUMIFS('Base de Costos'!$H$5:$H$504,'Base de Costos'!$C$5:$C$504,$C69,'Base de Costos'!$D$5:$D$504,"Otro gasto"))</f>
        <v/>
      </c>
      <c r="I69" s="18" t="str">
        <f>IF($C69="","",IFERROR(VLOOKUP($C69,Productos!$B$5:$H$124,7,FALSE),0))</f>
        <v/>
      </c>
      <c r="J69" s="17" t="str">
        <f t="shared" ref="J69:J100" si="9">IF($C69="","",G69+H69)</f>
        <v/>
      </c>
      <c r="K69" s="17" t="str">
        <f t="shared" ref="K69:K100" si="10">IF($C69="","",IFERROR(J69/(1-I69),0))</f>
        <v/>
      </c>
      <c r="L69" s="17" t="str">
        <f t="shared" ref="L69:L100" si="11">IF($C69="","",K69-J69)</f>
        <v/>
      </c>
      <c r="M69" s="7" t="str">
        <f>IF($C69="","",IF(J69=0,"Sin datos",IF(IFERROR(VLOOKUP($C69,Productos!$B$5:$H$124,4,FALSE),0)=0,"Sin precio cliente",IF(IFERROR(VLOOKUP($C69,Productos!$B$5:$H$124,4,FALSE),0)&lt;J69,"Riesgo: cliente bajo costo",IF(K69&gt;IFERROR(VLOOKUP($C69,Productos!$B$5:$H$124,4,FALSE),0),"Revisar: sugerido sobre cliente",IF(K69&gt;IFERROR(VLOOKUP($C69,Productos!$B$5:$H$124,5,FALSE),0),"Sobre competencia","Competitivo"))))))</f>
        <v/>
      </c>
      <c r="O69" s="10"/>
      <c r="P69" s="10"/>
      <c r="Q69" s="10"/>
    </row>
    <row r="70" spans="3:17" ht="21.95" customHeight="1" x14ac:dyDescent="0.25">
      <c r="C70" s="7" t="str">
        <f>IF(Productos!B70="","",Productos!B70)</f>
        <v/>
      </c>
      <c r="D70" s="17" t="str">
        <f>IF($C70="","",SUMIFS('Base de Costos'!$H$5:$H$504,'Base de Costos'!$C$5:$C$504,$C70,'Base de Costos'!$D$5:$D$504,"Materia prima"))</f>
        <v/>
      </c>
      <c r="E70" s="17" t="str">
        <f>IF($C70="","",SUMIFS('Base de Costos'!$H$5:$H$504,'Base de Costos'!$C$5:$C$504,$C70,'Base de Costos'!$D$5:$D$504,"Mano de obra"))</f>
        <v/>
      </c>
      <c r="F70" s="17" t="str">
        <f>IF($C70="","",SUMIFS('Base de Costos'!$H$5:$H$504,'Base de Costos'!$C$5:$C$504,$C70,'Base de Costos'!$D$5:$D$504,"Costo indirecto fabricación"))</f>
        <v/>
      </c>
      <c r="G70" s="17" t="str">
        <f t="shared" si="8"/>
        <v/>
      </c>
      <c r="H70" s="17" t="str">
        <f>IF($C70="","",SUMIFS('Base de Costos'!$H$5:$H$504,'Base de Costos'!$C$5:$C$504,$C70,'Base de Costos'!$D$5:$D$504,"Gasto publicidad")+SUMIFS('Base de Costos'!$H$5:$H$504,'Base de Costos'!$C$5:$C$504,$C70,'Base de Costos'!$D$5:$D$504,"Gasto administrativo")+SUMIFS('Base de Costos'!$H$5:$H$504,'Base de Costos'!$C$5:$C$504,$C70,'Base de Costos'!$D$5:$D$504,"Otro gasto"))</f>
        <v/>
      </c>
      <c r="I70" s="18" t="str">
        <f>IF($C70="","",IFERROR(VLOOKUP($C70,Productos!$B$5:$H$124,7,FALSE),0))</f>
        <v/>
      </c>
      <c r="J70" s="17" t="str">
        <f t="shared" si="9"/>
        <v/>
      </c>
      <c r="K70" s="17" t="str">
        <f t="shared" si="10"/>
        <v/>
      </c>
      <c r="L70" s="17" t="str">
        <f t="shared" si="11"/>
        <v/>
      </c>
      <c r="M70" s="7" t="str">
        <f>IF($C70="","",IF(J70=0,"Sin datos",IF(IFERROR(VLOOKUP($C70,Productos!$B$5:$H$124,4,FALSE),0)=0,"Sin precio cliente",IF(IFERROR(VLOOKUP($C70,Productos!$B$5:$H$124,4,FALSE),0)&lt;J70,"Riesgo: cliente bajo costo",IF(K70&gt;IFERROR(VLOOKUP($C70,Productos!$B$5:$H$124,4,FALSE),0),"Revisar: sugerido sobre cliente",IF(K70&gt;IFERROR(VLOOKUP($C70,Productos!$B$5:$H$124,5,FALSE),0),"Sobre competencia","Competitivo"))))))</f>
        <v/>
      </c>
      <c r="O70" s="10"/>
      <c r="P70" s="10"/>
      <c r="Q70" s="10"/>
    </row>
    <row r="71" spans="3:17" ht="21.95" customHeight="1" x14ac:dyDescent="0.25">
      <c r="C71" s="7" t="str">
        <f>IF(Productos!B71="","",Productos!B71)</f>
        <v/>
      </c>
      <c r="D71" s="17" t="str">
        <f>IF($C71="","",SUMIFS('Base de Costos'!$H$5:$H$504,'Base de Costos'!$C$5:$C$504,$C71,'Base de Costos'!$D$5:$D$504,"Materia prima"))</f>
        <v/>
      </c>
      <c r="E71" s="17" t="str">
        <f>IF($C71="","",SUMIFS('Base de Costos'!$H$5:$H$504,'Base de Costos'!$C$5:$C$504,$C71,'Base de Costos'!$D$5:$D$504,"Mano de obra"))</f>
        <v/>
      </c>
      <c r="F71" s="17" t="str">
        <f>IF($C71="","",SUMIFS('Base de Costos'!$H$5:$H$504,'Base de Costos'!$C$5:$C$504,$C71,'Base de Costos'!$D$5:$D$504,"Costo indirecto fabricación"))</f>
        <v/>
      </c>
      <c r="G71" s="17" t="str">
        <f t="shared" si="8"/>
        <v/>
      </c>
      <c r="H71" s="17" t="str">
        <f>IF($C71="","",SUMIFS('Base de Costos'!$H$5:$H$504,'Base de Costos'!$C$5:$C$504,$C71,'Base de Costos'!$D$5:$D$504,"Gasto publicidad")+SUMIFS('Base de Costos'!$H$5:$H$504,'Base de Costos'!$C$5:$C$504,$C71,'Base de Costos'!$D$5:$D$504,"Gasto administrativo")+SUMIFS('Base de Costos'!$H$5:$H$504,'Base de Costos'!$C$5:$C$504,$C71,'Base de Costos'!$D$5:$D$504,"Otro gasto"))</f>
        <v/>
      </c>
      <c r="I71" s="18" t="str">
        <f>IF($C71="","",IFERROR(VLOOKUP($C71,Productos!$B$5:$H$124,7,FALSE),0))</f>
        <v/>
      </c>
      <c r="J71" s="17" t="str">
        <f t="shared" si="9"/>
        <v/>
      </c>
      <c r="K71" s="17" t="str">
        <f t="shared" si="10"/>
        <v/>
      </c>
      <c r="L71" s="17" t="str">
        <f t="shared" si="11"/>
        <v/>
      </c>
      <c r="M71" s="7" t="str">
        <f>IF($C71="","",IF(J71=0,"Sin datos",IF(IFERROR(VLOOKUP($C71,Productos!$B$5:$H$124,4,FALSE),0)=0,"Sin precio cliente",IF(IFERROR(VLOOKUP($C71,Productos!$B$5:$H$124,4,FALSE),0)&lt;J71,"Riesgo: cliente bajo costo",IF(K71&gt;IFERROR(VLOOKUP($C71,Productos!$B$5:$H$124,4,FALSE),0),"Revisar: sugerido sobre cliente",IF(K71&gt;IFERROR(VLOOKUP($C71,Productos!$B$5:$H$124,5,FALSE),0),"Sobre competencia","Competitivo"))))))</f>
        <v/>
      </c>
      <c r="O71" s="10"/>
      <c r="P71" s="10"/>
      <c r="Q71" s="10"/>
    </row>
    <row r="72" spans="3:17" ht="21.95" customHeight="1" x14ac:dyDescent="0.25">
      <c r="C72" s="7" t="str">
        <f>IF(Productos!B72="","",Productos!B72)</f>
        <v/>
      </c>
      <c r="D72" s="17" t="str">
        <f>IF($C72="","",SUMIFS('Base de Costos'!$H$5:$H$504,'Base de Costos'!$C$5:$C$504,$C72,'Base de Costos'!$D$5:$D$504,"Materia prima"))</f>
        <v/>
      </c>
      <c r="E72" s="17" t="str">
        <f>IF($C72="","",SUMIFS('Base de Costos'!$H$5:$H$504,'Base de Costos'!$C$5:$C$504,$C72,'Base de Costos'!$D$5:$D$504,"Mano de obra"))</f>
        <v/>
      </c>
      <c r="F72" s="17" t="str">
        <f>IF($C72="","",SUMIFS('Base de Costos'!$H$5:$H$504,'Base de Costos'!$C$5:$C$504,$C72,'Base de Costos'!$D$5:$D$504,"Costo indirecto fabricación"))</f>
        <v/>
      </c>
      <c r="G72" s="17" t="str">
        <f t="shared" si="8"/>
        <v/>
      </c>
      <c r="H72" s="17" t="str">
        <f>IF($C72="","",SUMIFS('Base de Costos'!$H$5:$H$504,'Base de Costos'!$C$5:$C$504,$C72,'Base de Costos'!$D$5:$D$504,"Gasto publicidad")+SUMIFS('Base de Costos'!$H$5:$H$504,'Base de Costos'!$C$5:$C$504,$C72,'Base de Costos'!$D$5:$D$504,"Gasto administrativo")+SUMIFS('Base de Costos'!$H$5:$H$504,'Base de Costos'!$C$5:$C$504,$C72,'Base de Costos'!$D$5:$D$504,"Otro gasto"))</f>
        <v/>
      </c>
      <c r="I72" s="18" t="str">
        <f>IF($C72="","",IFERROR(VLOOKUP($C72,Productos!$B$5:$H$124,7,FALSE),0))</f>
        <v/>
      </c>
      <c r="J72" s="17" t="str">
        <f t="shared" si="9"/>
        <v/>
      </c>
      <c r="K72" s="17" t="str">
        <f t="shared" si="10"/>
        <v/>
      </c>
      <c r="L72" s="17" t="str">
        <f t="shared" si="11"/>
        <v/>
      </c>
      <c r="M72" s="7" t="str">
        <f>IF($C72="","",IF(J72=0,"Sin datos",IF(IFERROR(VLOOKUP($C72,Productos!$B$5:$H$124,4,FALSE),0)=0,"Sin precio cliente",IF(IFERROR(VLOOKUP($C72,Productos!$B$5:$H$124,4,FALSE),0)&lt;J72,"Riesgo: cliente bajo costo",IF(K72&gt;IFERROR(VLOOKUP($C72,Productos!$B$5:$H$124,4,FALSE),0),"Revisar: sugerido sobre cliente",IF(K72&gt;IFERROR(VLOOKUP($C72,Productos!$B$5:$H$124,5,FALSE),0),"Sobre competencia","Competitivo"))))))</f>
        <v/>
      </c>
      <c r="O72" s="10"/>
      <c r="P72" s="10"/>
      <c r="Q72" s="10"/>
    </row>
    <row r="73" spans="3:17" ht="21.95" customHeight="1" x14ac:dyDescent="0.25">
      <c r="C73" s="7" t="str">
        <f>IF(Productos!B73="","",Productos!B73)</f>
        <v/>
      </c>
      <c r="D73" s="17" t="str">
        <f>IF($C73="","",SUMIFS('Base de Costos'!$H$5:$H$504,'Base de Costos'!$C$5:$C$504,$C73,'Base de Costos'!$D$5:$D$504,"Materia prima"))</f>
        <v/>
      </c>
      <c r="E73" s="17" t="str">
        <f>IF($C73="","",SUMIFS('Base de Costos'!$H$5:$H$504,'Base de Costos'!$C$5:$C$504,$C73,'Base de Costos'!$D$5:$D$504,"Mano de obra"))</f>
        <v/>
      </c>
      <c r="F73" s="17" t="str">
        <f>IF($C73="","",SUMIFS('Base de Costos'!$H$5:$H$504,'Base de Costos'!$C$5:$C$504,$C73,'Base de Costos'!$D$5:$D$504,"Costo indirecto fabricación"))</f>
        <v/>
      </c>
      <c r="G73" s="17" t="str">
        <f t="shared" si="8"/>
        <v/>
      </c>
      <c r="H73" s="17" t="str">
        <f>IF($C73="","",SUMIFS('Base de Costos'!$H$5:$H$504,'Base de Costos'!$C$5:$C$504,$C73,'Base de Costos'!$D$5:$D$504,"Gasto publicidad")+SUMIFS('Base de Costos'!$H$5:$H$504,'Base de Costos'!$C$5:$C$504,$C73,'Base de Costos'!$D$5:$D$504,"Gasto administrativo")+SUMIFS('Base de Costos'!$H$5:$H$504,'Base de Costos'!$C$5:$C$504,$C73,'Base de Costos'!$D$5:$D$504,"Otro gasto"))</f>
        <v/>
      </c>
      <c r="I73" s="18" t="str">
        <f>IF($C73="","",IFERROR(VLOOKUP($C73,Productos!$B$5:$H$124,7,FALSE),0))</f>
        <v/>
      </c>
      <c r="J73" s="17" t="str">
        <f t="shared" si="9"/>
        <v/>
      </c>
      <c r="K73" s="17" t="str">
        <f t="shared" si="10"/>
        <v/>
      </c>
      <c r="L73" s="17" t="str">
        <f t="shared" si="11"/>
        <v/>
      </c>
      <c r="M73" s="7" t="str">
        <f>IF($C73="","",IF(J73=0,"Sin datos",IF(IFERROR(VLOOKUP($C73,Productos!$B$5:$H$124,4,FALSE),0)=0,"Sin precio cliente",IF(IFERROR(VLOOKUP($C73,Productos!$B$5:$H$124,4,FALSE),0)&lt;J73,"Riesgo: cliente bajo costo",IF(K73&gt;IFERROR(VLOOKUP($C73,Productos!$B$5:$H$124,4,FALSE),0),"Revisar: sugerido sobre cliente",IF(K73&gt;IFERROR(VLOOKUP($C73,Productos!$B$5:$H$124,5,FALSE),0),"Sobre competencia","Competitivo"))))))</f>
        <v/>
      </c>
      <c r="O73" s="10"/>
      <c r="P73" s="10"/>
      <c r="Q73" s="10"/>
    </row>
    <row r="74" spans="3:17" ht="21.95" customHeight="1" x14ac:dyDescent="0.25">
      <c r="C74" s="7" t="str">
        <f>IF(Productos!B74="","",Productos!B74)</f>
        <v/>
      </c>
      <c r="D74" s="17" t="str">
        <f>IF($C74="","",SUMIFS('Base de Costos'!$H$5:$H$504,'Base de Costos'!$C$5:$C$504,$C74,'Base de Costos'!$D$5:$D$504,"Materia prima"))</f>
        <v/>
      </c>
      <c r="E74" s="17" t="str">
        <f>IF($C74="","",SUMIFS('Base de Costos'!$H$5:$H$504,'Base de Costos'!$C$5:$C$504,$C74,'Base de Costos'!$D$5:$D$504,"Mano de obra"))</f>
        <v/>
      </c>
      <c r="F74" s="17" t="str">
        <f>IF($C74="","",SUMIFS('Base de Costos'!$H$5:$H$504,'Base de Costos'!$C$5:$C$504,$C74,'Base de Costos'!$D$5:$D$504,"Costo indirecto fabricación"))</f>
        <v/>
      </c>
      <c r="G74" s="17" t="str">
        <f t="shared" si="8"/>
        <v/>
      </c>
      <c r="H74" s="17" t="str">
        <f>IF($C74="","",SUMIFS('Base de Costos'!$H$5:$H$504,'Base de Costos'!$C$5:$C$504,$C74,'Base de Costos'!$D$5:$D$504,"Gasto publicidad")+SUMIFS('Base de Costos'!$H$5:$H$504,'Base de Costos'!$C$5:$C$504,$C74,'Base de Costos'!$D$5:$D$504,"Gasto administrativo")+SUMIFS('Base de Costos'!$H$5:$H$504,'Base de Costos'!$C$5:$C$504,$C74,'Base de Costos'!$D$5:$D$504,"Otro gasto"))</f>
        <v/>
      </c>
      <c r="I74" s="18" t="str">
        <f>IF($C74="","",IFERROR(VLOOKUP($C74,Productos!$B$5:$H$124,7,FALSE),0))</f>
        <v/>
      </c>
      <c r="J74" s="17" t="str">
        <f t="shared" si="9"/>
        <v/>
      </c>
      <c r="K74" s="17" t="str">
        <f t="shared" si="10"/>
        <v/>
      </c>
      <c r="L74" s="17" t="str">
        <f t="shared" si="11"/>
        <v/>
      </c>
      <c r="M74" s="7" t="str">
        <f>IF($C74="","",IF(J74=0,"Sin datos",IF(IFERROR(VLOOKUP($C74,Productos!$B$5:$H$124,4,FALSE),0)=0,"Sin precio cliente",IF(IFERROR(VLOOKUP($C74,Productos!$B$5:$H$124,4,FALSE),0)&lt;J74,"Riesgo: cliente bajo costo",IF(K74&gt;IFERROR(VLOOKUP($C74,Productos!$B$5:$H$124,4,FALSE),0),"Revisar: sugerido sobre cliente",IF(K74&gt;IFERROR(VLOOKUP($C74,Productos!$B$5:$H$124,5,FALSE),0),"Sobre competencia","Competitivo"))))))</f>
        <v/>
      </c>
      <c r="O74" s="10"/>
      <c r="P74" s="10"/>
      <c r="Q74" s="10"/>
    </row>
    <row r="75" spans="3:17" ht="21.95" customHeight="1" x14ac:dyDescent="0.25">
      <c r="C75" s="7" t="str">
        <f>IF(Productos!B75="","",Productos!B75)</f>
        <v/>
      </c>
      <c r="D75" s="17" t="str">
        <f>IF($C75="","",SUMIFS('Base de Costos'!$H$5:$H$504,'Base de Costos'!$C$5:$C$504,$C75,'Base de Costos'!$D$5:$D$504,"Materia prima"))</f>
        <v/>
      </c>
      <c r="E75" s="17" t="str">
        <f>IF($C75="","",SUMIFS('Base de Costos'!$H$5:$H$504,'Base de Costos'!$C$5:$C$504,$C75,'Base de Costos'!$D$5:$D$504,"Mano de obra"))</f>
        <v/>
      </c>
      <c r="F75" s="17" t="str">
        <f>IF($C75="","",SUMIFS('Base de Costos'!$H$5:$H$504,'Base de Costos'!$C$5:$C$504,$C75,'Base de Costos'!$D$5:$D$504,"Costo indirecto fabricación"))</f>
        <v/>
      </c>
      <c r="G75" s="17" t="str">
        <f t="shared" si="8"/>
        <v/>
      </c>
      <c r="H75" s="17" t="str">
        <f>IF($C75="","",SUMIFS('Base de Costos'!$H$5:$H$504,'Base de Costos'!$C$5:$C$504,$C75,'Base de Costos'!$D$5:$D$504,"Gasto publicidad")+SUMIFS('Base de Costos'!$H$5:$H$504,'Base de Costos'!$C$5:$C$504,$C75,'Base de Costos'!$D$5:$D$504,"Gasto administrativo")+SUMIFS('Base de Costos'!$H$5:$H$504,'Base de Costos'!$C$5:$C$504,$C75,'Base de Costos'!$D$5:$D$504,"Otro gasto"))</f>
        <v/>
      </c>
      <c r="I75" s="18" t="str">
        <f>IF($C75="","",IFERROR(VLOOKUP($C75,Productos!$B$5:$H$124,7,FALSE),0))</f>
        <v/>
      </c>
      <c r="J75" s="17" t="str">
        <f t="shared" si="9"/>
        <v/>
      </c>
      <c r="K75" s="17" t="str">
        <f t="shared" si="10"/>
        <v/>
      </c>
      <c r="L75" s="17" t="str">
        <f t="shared" si="11"/>
        <v/>
      </c>
      <c r="M75" s="7" t="str">
        <f>IF($C75="","",IF(J75=0,"Sin datos",IF(IFERROR(VLOOKUP($C75,Productos!$B$5:$H$124,4,FALSE),0)=0,"Sin precio cliente",IF(IFERROR(VLOOKUP($C75,Productos!$B$5:$H$124,4,FALSE),0)&lt;J75,"Riesgo: cliente bajo costo",IF(K75&gt;IFERROR(VLOOKUP($C75,Productos!$B$5:$H$124,4,FALSE),0),"Revisar: sugerido sobre cliente",IF(K75&gt;IFERROR(VLOOKUP($C75,Productos!$B$5:$H$124,5,FALSE),0),"Sobre competencia","Competitivo"))))))</f>
        <v/>
      </c>
      <c r="O75" s="10"/>
      <c r="P75" s="10"/>
      <c r="Q75" s="10"/>
    </row>
    <row r="76" spans="3:17" ht="21.95" customHeight="1" x14ac:dyDescent="0.25">
      <c r="C76" s="7" t="str">
        <f>IF(Productos!B76="","",Productos!B76)</f>
        <v/>
      </c>
      <c r="D76" s="17" t="str">
        <f>IF($C76="","",SUMIFS('Base de Costos'!$H$5:$H$504,'Base de Costos'!$C$5:$C$504,$C76,'Base de Costos'!$D$5:$D$504,"Materia prima"))</f>
        <v/>
      </c>
      <c r="E76" s="17" t="str">
        <f>IF($C76="","",SUMIFS('Base de Costos'!$H$5:$H$504,'Base de Costos'!$C$5:$C$504,$C76,'Base de Costos'!$D$5:$D$504,"Mano de obra"))</f>
        <v/>
      </c>
      <c r="F76" s="17" t="str">
        <f>IF($C76="","",SUMIFS('Base de Costos'!$H$5:$H$504,'Base de Costos'!$C$5:$C$504,$C76,'Base de Costos'!$D$5:$D$504,"Costo indirecto fabricación"))</f>
        <v/>
      </c>
      <c r="G76" s="17" t="str">
        <f t="shared" si="8"/>
        <v/>
      </c>
      <c r="H76" s="17" t="str">
        <f>IF($C76="","",SUMIFS('Base de Costos'!$H$5:$H$504,'Base de Costos'!$C$5:$C$504,$C76,'Base de Costos'!$D$5:$D$504,"Gasto publicidad")+SUMIFS('Base de Costos'!$H$5:$H$504,'Base de Costos'!$C$5:$C$504,$C76,'Base de Costos'!$D$5:$D$504,"Gasto administrativo")+SUMIFS('Base de Costos'!$H$5:$H$504,'Base de Costos'!$C$5:$C$504,$C76,'Base de Costos'!$D$5:$D$504,"Otro gasto"))</f>
        <v/>
      </c>
      <c r="I76" s="18" t="str">
        <f>IF($C76="","",IFERROR(VLOOKUP($C76,Productos!$B$5:$H$124,7,FALSE),0))</f>
        <v/>
      </c>
      <c r="J76" s="17" t="str">
        <f t="shared" si="9"/>
        <v/>
      </c>
      <c r="K76" s="17" t="str">
        <f t="shared" si="10"/>
        <v/>
      </c>
      <c r="L76" s="17" t="str">
        <f t="shared" si="11"/>
        <v/>
      </c>
      <c r="M76" s="7" t="str">
        <f>IF($C76="","",IF(J76=0,"Sin datos",IF(IFERROR(VLOOKUP($C76,Productos!$B$5:$H$124,4,FALSE),0)=0,"Sin precio cliente",IF(IFERROR(VLOOKUP($C76,Productos!$B$5:$H$124,4,FALSE),0)&lt;J76,"Riesgo: cliente bajo costo",IF(K76&gt;IFERROR(VLOOKUP($C76,Productos!$B$5:$H$124,4,FALSE),0),"Revisar: sugerido sobre cliente",IF(K76&gt;IFERROR(VLOOKUP($C76,Productos!$B$5:$H$124,5,FALSE),0),"Sobre competencia","Competitivo"))))))</f>
        <v/>
      </c>
      <c r="O76" s="10"/>
      <c r="P76" s="10"/>
      <c r="Q76" s="10"/>
    </row>
    <row r="77" spans="3:17" ht="21.95" customHeight="1" x14ac:dyDescent="0.25">
      <c r="C77" s="7" t="str">
        <f>IF(Productos!B77="","",Productos!B77)</f>
        <v/>
      </c>
      <c r="D77" s="17" t="str">
        <f>IF($C77="","",SUMIFS('Base de Costos'!$H$5:$H$504,'Base de Costos'!$C$5:$C$504,$C77,'Base de Costos'!$D$5:$D$504,"Materia prima"))</f>
        <v/>
      </c>
      <c r="E77" s="17" t="str">
        <f>IF($C77="","",SUMIFS('Base de Costos'!$H$5:$H$504,'Base de Costos'!$C$5:$C$504,$C77,'Base de Costos'!$D$5:$D$504,"Mano de obra"))</f>
        <v/>
      </c>
      <c r="F77" s="17" t="str">
        <f>IF($C77="","",SUMIFS('Base de Costos'!$H$5:$H$504,'Base de Costos'!$C$5:$C$504,$C77,'Base de Costos'!$D$5:$D$504,"Costo indirecto fabricación"))</f>
        <v/>
      </c>
      <c r="G77" s="17" t="str">
        <f t="shared" si="8"/>
        <v/>
      </c>
      <c r="H77" s="17" t="str">
        <f>IF($C77="","",SUMIFS('Base de Costos'!$H$5:$H$504,'Base de Costos'!$C$5:$C$504,$C77,'Base de Costos'!$D$5:$D$504,"Gasto publicidad")+SUMIFS('Base de Costos'!$H$5:$H$504,'Base de Costos'!$C$5:$C$504,$C77,'Base de Costos'!$D$5:$D$504,"Gasto administrativo")+SUMIFS('Base de Costos'!$H$5:$H$504,'Base de Costos'!$C$5:$C$504,$C77,'Base de Costos'!$D$5:$D$504,"Otro gasto"))</f>
        <v/>
      </c>
      <c r="I77" s="18" t="str">
        <f>IF($C77="","",IFERROR(VLOOKUP($C77,Productos!$B$5:$H$124,7,FALSE),0))</f>
        <v/>
      </c>
      <c r="J77" s="17" t="str">
        <f t="shared" si="9"/>
        <v/>
      </c>
      <c r="K77" s="17" t="str">
        <f t="shared" si="10"/>
        <v/>
      </c>
      <c r="L77" s="17" t="str">
        <f t="shared" si="11"/>
        <v/>
      </c>
      <c r="M77" s="7" t="str">
        <f>IF($C77="","",IF(J77=0,"Sin datos",IF(IFERROR(VLOOKUP($C77,Productos!$B$5:$H$124,4,FALSE),0)=0,"Sin precio cliente",IF(IFERROR(VLOOKUP($C77,Productos!$B$5:$H$124,4,FALSE),0)&lt;J77,"Riesgo: cliente bajo costo",IF(K77&gt;IFERROR(VLOOKUP($C77,Productos!$B$5:$H$124,4,FALSE),0),"Revisar: sugerido sobre cliente",IF(K77&gt;IFERROR(VLOOKUP($C77,Productos!$B$5:$H$124,5,FALSE),0),"Sobre competencia","Competitivo"))))))</f>
        <v/>
      </c>
      <c r="O77" s="10"/>
      <c r="P77" s="10"/>
      <c r="Q77" s="10"/>
    </row>
    <row r="78" spans="3:17" ht="21.95" customHeight="1" x14ac:dyDescent="0.25">
      <c r="C78" s="7" t="str">
        <f>IF(Productos!B78="","",Productos!B78)</f>
        <v/>
      </c>
      <c r="D78" s="17" t="str">
        <f>IF($C78="","",SUMIFS('Base de Costos'!$H$5:$H$504,'Base de Costos'!$C$5:$C$504,$C78,'Base de Costos'!$D$5:$D$504,"Materia prima"))</f>
        <v/>
      </c>
      <c r="E78" s="17" t="str">
        <f>IF($C78="","",SUMIFS('Base de Costos'!$H$5:$H$504,'Base de Costos'!$C$5:$C$504,$C78,'Base de Costos'!$D$5:$D$504,"Mano de obra"))</f>
        <v/>
      </c>
      <c r="F78" s="17" t="str">
        <f>IF($C78="","",SUMIFS('Base de Costos'!$H$5:$H$504,'Base de Costos'!$C$5:$C$504,$C78,'Base de Costos'!$D$5:$D$504,"Costo indirecto fabricación"))</f>
        <v/>
      </c>
      <c r="G78" s="17" t="str">
        <f t="shared" si="8"/>
        <v/>
      </c>
      <c r="H78" s="17" t="str">
        <f>IF($C78="","",SUMIFS('Base de Costos'!$H$5:$H$504,'Base de Costos'!$C$5:$C$504,$C78,'Base de Costos'!$D$5:$D$504,"Gasto publicidad")+SUMIFS('Base de Costos'!$H$5:$H$504,'Base de Costos'!$C$5:$C$504,$C78,'Base de Costos'!$D$5:$D$504,"Gasto administrativo")+SUMIFS('Base de Costos'!$H$5:$H$504,'Base de Costos'!$C$5:$C$504,$C78,'Base de Costos'!$D$5:$D$504,"Otro gasto"))</f>
        <v/>
      </c>
      <c r="I78" s="18" t="str">
        <f>IF($C78="","",IFERROR(VLOOKUP($C78,Productos!$B$5:$H$124,7,FALSE),0))</f>
        <v/>
      </c>
      <c r="J78" s="17" t="str">
        <f t="shared" si="9"/>
        <v/>
      </c>
      <c r="K78" s="17" t="str">
        <f t="shared" si="10"/>
        <v/>
      </c>
      <c r="L78" s="17" t="str">
        <f t="shared" si="11"/>
        <v/>
      </c>
      <c r="M78" s="7" t="str">
        <f>IF($C78="","",IF(J78=0,"Sin datos",IF(IFERROR(VLOOKUP($C78,Productos!$B$5:$H$124,4,FALSE),0)=0,"Sin precio cliente",IF(IFERROR(VLOOKUP($C78,Productos!$B$5:$H$124,4,FALSE),0)&lt;J78,"Riesgo: cliente bajo costo",IF(K78&gt;IFERROR(VLOOKUP($C78,Productos!$B$5:$H$124,4,FALSE),0),"Revisar: sugerido sobre cliente",IF(K78&gt;IFERROR(VLOOKUP($C78,Productos!$B$5:$H$124,5,FALSE),0),"Sobre competencia","Competitivo"))))))</f>
        <v/>
      </c>
      <c r="O78" s="10"/>
      <c r="P78" s="10"/>
      <c r="Q78" s="10"/>
    </row>
    <row r="79" spans="3:17" ht="21.95" customHeight="1" x14ac:dyDescent="0.25">
      <c r="C79" s="7" t="str">
        <f>IF(Productos!B79="","",Productos!B79)</f>
        <v/>
      </c>
      <c r="D79" s="17" t="str">
        <f>IF($C79="","",SUMIFS('Base de Costos'!$H$5:$H$504,'Base de Costos'!$C$5:$C$504,$C79,'Base de Costos'!$D$5:$D$504,"Materia prima"))</f>
        <v/>
      </c>
      <c r="E79" s="17" t="str">
        <f>IF($C79="","",SUMIFS('Base de Costos'!$H$5:$H$504,'Base de Costos'!$C$5:$C$504,$C79,'Base de Costos'!$D$5:$D$504,"Mano de obra"))</f>
        <v/>
      </c>
      <c r="F79" s="17" t="str">
        <f>IF($C79="","",SUMIFS('Base de Costos'!$H$5:$H$504,'Base de Costos'!$C$5:$C$504,$C79,'Base de Costos'!$D$5:$D$504,"Costo indirecto fabricación"))</f>
        <v/>
      </c>
      <c r="G79" s="17" t="str">
        <f t="shared" si="8"/>
        <v/>
      </c>
      <c r="H79" s="17" t="str">
        <f>IF($C79="","",SUMIFS('Base de Costos'!$H$5:$H$504,'Base de Costos'!$C$5:$C$504,$C79,'Base de Costos'!$D$5:$D$504,"Gasto publicidad")+SUMIFS('Base de Costos'!$H$5:$H$504,'Base de Costos'!$C$5:$C$504,$C79,'Base de Costos'!$D$5:$D$504,"Gasto administrativo")+SUMIFS('Base de Costos'!$H$5:$H$504,'Base de Costos'!$C$5:$C$504,$C79,'Base de Costos'!$D$5:$D$504,"Otro gasto"))</f>
        <v/>
      </c>
      <c r="I79" s="18" t="str">
        <f>IF($C79="","",IFERROR(VLOOKUP($C79,Productos!$B$5:$H$124,7,FALSE),0))</f>
        <v/>
      </c>
      <c r="J79" s="17" t="str">
        <f t="shared" si="9"/>
        <v/>
      </c>
      <c r="K79" s="17" t="str">
        <f t="shared" si="10"/>
        <v/>
      </c>
      <c r="L79" s="17" t="str">
        <f t="shared" si="11"/>
        <v/>
      </c>
      <c r="M79" s="7" t="str">
        <f>IF($C79="","",IF(J79=0,"Sin datos",IF(IFERROR(VLOOKUP($C79,Productos!$B$5:$H$124,4,FALSE),0)=0,"Sin precio cliente",IF(IFERROR(VLOOKUP($C79,Productos!$B$5:$H$124,4,FALSE),0)&lt;J79,"Riesgo: cliente bajo costo",IF(K79&gt;IFERROR(VLOOKUP($C79,Productos!$B$5:$H$124,4,FALSE),0),"Revisar: sugerido sobre cliente",IF(K79&gt;IFERROR(VLOOKUP($C79,Productos!$B$5:$H$124,5,FALSE),0),"Sobre competencia","Competitivo"))))))</f>
        <v/>
      </c>
      <c r="O79" s="10"/>
      <c r="P79" s="10"/>
      <c r="Q79" s="10"/>
    </row>
    <row r="80" spans="3:17" ht="21.95" customHeight="1" x14ac:dyDescent="0.25">
      <c r="C80" s="7" t="str">
        <f>IF(Productos!B80="","",Productos!B80)</f>
        <v/>
      </c>
      <c r="D80" s="17" t="str">
        <f>IF($C80="","",SUMIFS('Base de Costos'!$H$5:$H$504,'Base de Costos'!$C$5:$C$504,$C80,'Base de Costos'!$D$5:$D$504,"Materia prima"))</f>
        <v/>
      </c>
      <c r="E80" s="17" t="str">
        <f>IF($C80="","",SUMIFS('Base de Costos'!$H$5:$H$504,'Base de Costos'!$C$5:$C$504,$C80,'Base de Costos'!$D$5:$D$504,"Mano de obra"))</f>
        <v/>
      </c>
      <c r="F80" s="17" t="str">
        <f>IF($C80="","",SUMIFS('Base de Costos'!$H$5:$H$504,'Base de Costos'!$C$5:$C$504,$C80,'Base de Costos'!$D$5:$D$504,"Costo indirecto fabricación"))</f>
        <v/>
      </c>
      <c r="G80" s="17" t="str">
        <f t="shared" si="8"/>
        <v/>
      </c>
      <c r="H80" s="17" t="str">
        <f>IF($C80="","",SUMIFS('Base de Costos'!$H$5:$H$504,'Base de Costos'!$C$5:$C$504,$C80,'Base de Costos'!$D$5:$D$504,"Gasto publicidad")+SUMIFS('Base de Costos'!$H$5:$H$504,'Base de Costos'!$C$5:$C$504,$C80,'Base de Costos'!$D$5:$D$504,"Gasto administrativo")+SUMIFS('Base de Costos'!$H$5:$H$504,'Base de Costos'!$C$5:$C$504,$C80,'Base de Costos'!$D$5:$D$504,"Otro gasto"))</f>
        <v/>
      </c>
      <c r="I80" s="18" t="str">
        <f>IF($C80="","",IFERROR(VLOOKUP($C80,Productos!$B$5:$H$124,7,FALSE),0))</f>
        <v/>
      </c>
      <c r="J80" s="17" t="str">
        <f t="shared" si="9"/>
        <v/>
      </c>
      <c r="K80" s="17" t="str">
        <f t="shared" si="10"/>
        <v/>
      </c>
      <c r="L80" s="17" t="str">
        <f t="shared" si="11"/>
        <v/>
      </c>
      <c r="M80" s="7" t="str">
        <f>IF($C80="","",IF(J80=0,"Sin datos",IF(IFERROR(VLOOKUP($C80,Productos!$B$5:$H$124,4,FALSE),0)=0,"Sin precio cliente",IF(IFERROR(VLOOKUP($C80,Productos!$B$5:$H$124,4,FALSE),0)&lt;J80,"Riesgo: cliente bajo costo",IF(K80&gt;IFERROR(VLOOKUP($C80,Productos!$B$5:$H$124,4,FALSE),0),"Revisar: sugerido sobre cliente",IF(K80&gt;IFERROR(VLOOKUP($C80,Productos!$B$5:$H$124,5,FALSE),0),"Sobre competencia","Competitivo"))))))</f>
        <v/>
      </c>
      <c r="O80" s="10"/>
      <c r="P80" s="10"/>
      <c r="Q80" s="10"/>
    </row>
    <row r="81" spans="3:17" ht="21.95" customHeight="1" x14ac:dyDescent="0.25">
      <c r="C81" s="7" t="str">
        <f>IF(Productos!B81="","",Productos!B81)</f>
        <v/>
      </c>
      <c r="D81" s="17" t="str">
        <f>IF($C81="","",SUMIFS('Base de Costos'!$H$5:$H$504,'Base de Costos'!$C$5:$C$504,$C81,'Base de Costos'!$D$5:$D$504,"Materia prima"))</f>
        <v/>
      </c>
      <c r="E81" s="17" t="str">
        <f>IF($C81="","",SUMIFS('Base de Costos'!$H$5:$H$504,'Base de Costos'!$C$5:$C$504,$C81,'Base de Costos'!$D$5:$D$504,"Mano de obra"))</f>
        <v/>
      </c>
      <c r="F81" s="17" t="str">
        <f>IF($C81="","",SUMIFS('Base de Costos'!$H$5:$H$504,'Base de Costos'!$C$5:$C$504,$C81,'Base de Costos'!$D$5:$D$504,"Costo indirecto fabricación"))</f>
        <v/>
      </c>
      <c r="G81" s="17" t="str">
        <f t="shared" si="8"/>
        <v/>
      </c>
      <c r="H81" s="17" t="str">
        <f>IF($C81="","",SUMIFS('Base de Costos'!$H$5:$H$504,'Base de Costos'!$C$5:$C$504,$C81,'Base de Costos'!$D$5:$D$504,"Gasto publicidad")+SUMIFS('Base de Costos'!$H$5:$H$504,'Base de Costos'!$C$5:$C$504,$C81,'Base de Costos'!$D$5:$D$504,"Gasto administrativo")+SUMIFS('Base de Costos'!$H$5:$H$504,'Base de Costos'!$C$5:$C$504,$C81,'Base de Costos'!$D$5:$D$504,"Otro gasto"))</f>
        <v/>
      </c>
      <c r="I81" s="18" t="str">
        <f>IF($C81="","",IFERROR(VLOOKUP($C81,Productos!$B$5:$H$124,7,FALSE),0))</f>
        <v/>
      </c>
      <c r="J81" s="17" t="str">
        <f t="shared" si="9"/>
        <v/>
      </c>
      <c r="K81" s="17" t="str">
        <f t="shared" si="10"/>
        <v/>
      </c>
      <c r="L81" s="17" t="str">
        <f t="shared" si="11"/>
        <v/>
      </c>
      <c r="M81" s="7" t="str">
        <f>IF($C81="","",IF(J81=0,"Sin datos",IF(IFERROR(VLOOKUP($C81,Productos!$B$5:$H$124,4,FALSE),0)=0,"Sin precio cliente",IF(IFERROR(VLOOKUP($C81,Productos!$B$5:$H$124,4,FALSE),0)&lt;J81,"Riesgo: cliente bajo costo",IF(K81&gt;IFERROR(VLOOKUP($C81,Productos!$B$5:$H$124,4,FALSE),0),"Revisar: sugerido sobre cliente",IF(K81&gt;IFERROR(VLOOKUP($C81,Productos!$B$5:$H$124,5,FALSE),0),"Sobre competencia","Competitivo"))))))</f>
        <v/>
      </c>
      <c r="O81" s="10"/>
      <c r="P81" s="10"/>
      <c r="Q81" s="10"/>
    </row>
    <row r="82" spans="3:17" ht="21.95" customHeight="1" x14ac:dyDescent="0.25">
      <c r="C82" s="7" t="str">
        <f>IF(Productos!B82="","",Productos!B82)</f>
        <v/>
      </c>
      <c r="D82" s="17" t="str">
        <f>IF($C82="","",SUMIFS('Base de Costos'!$H$5:$H$504,'Base de Costos'!$C$5:$C$504,$C82,'Base de Costos'!$D$5:$D$504,"Materia prima"))</f>
        <v/>
      </c>
      <c r="E82" s="17" t="str">
        <f>IF($C82="","",SUMIFS('Base de Costos'!$H$5:$H$504,'Base de Costos'!$C$5:$C$504,$C82,'Base de Costos'!$D$5:$D$504,"Mano de obra"))</f>
        <v/>
      </c>
      <c r="F82" s="17" t="str">
        <f>IF($C82="","",SUMIFS('Base de Costos'!$H$5:$H$504,'Base de Costos'!$C$5:$C$504,$C82,'Base de Costos'!$D$5:$D$504,"Costo indirecto fabricación"))</f>
        <v/>
      </c>
      <c r="G82" s="17" t="str">
        <f t="shared" si="8"/>
        <v/>
      </c>
      <c r="H82" s="17" t="str">
        <f>IF($C82="","",SUMIFS('Base de Costos'!$H$5:$H$504,'Base de Costos'!$C$5:$C$504,$C82,'Base de Costos'!$D$5:$D$504,"Gasto publicidad")+SUMIFS('Base de Costos'!$H$5:$H$504,'Base de Costos'!$C$5:$C$504,$C82,'Base de Costos'!$D$5:$D$504,"Gasto administrativo")+SUMIFS('Base de Costos'!$H$5:$H$504,'Base de Costos'!$C$5:$C$504,$C82,'Base de Costos'!$D$5:$D$504,"Otro gasto"))</f>
        <v/>
      </c>
      <c r="I82" s="18" t="str">
        <f>IF($C82="","",IFERROR(VLOOKUP($C82,Productos!$B$5:$H$124,7,FALSE),0))</f>
        <v/>
      </c>
      <c r="J82" s="17" t="str">
        <f t="shared" si="9"/>
        <v/>
      </c>
      <c r="K82" s="17" t="str">
        <f t="shared" si="10"/>
        <v/>
      </c>
      <c r="L82" s="17" t="str">
        <f t="shared" si="11"/>
        <v/>
      </c>
      <c r="M82" s="7" t="str">
        <f>IF($C82="","",IF(J82=0,"Sin datos",IF(IFERROR(VLOOKUP($C82,Productos!$B$5:$H$124,4,FALSE),0)=0,"Sin precio cliente",IF(IFERROR(VLOOKUP($C82,Productos!$B$5:$H$124,4,FALSE),0)&lt;J82,"Riesgo: cliente bajo costo",IF(K82&gt;IFERROR(VLOOKUP($C82,Productos!$B$5:$H$124,4,FALSE),0),"Revisar: sugerido sobre cliente",IF(K82&gt;IFERROR(VLOOKUP($C82,Productos!$B$5:$H$124,5,FALSE),0),"Sobre competencia","Competitivo"))))))</f>
        <v/>
      </c>
      <c r="O82" s="10"/>
      <c r="P82" s="10"/>
      <c r="Q82" s="10"/>
    </row>
    <row r="83" spans="3:17" ht="21.95" customHeight="1" x14ac:dyDescent="0.25">
      <c r="C83" s="7" t="str">
        <f>IF(Productos!B83="","",Productos!B83)</f>
        <v/>
      </c>
      <c r="D83" s="17" t="str">
        <f>IF($C83="","",SUMIFS('Base de Costos'!$H$5:$H$504,'Base de Costos'!$C$5:$C$504,$C83,'Base de Costos'!$D$5:$D$504,"Materia prima"))</f>
        <v/>
      </c>
      <c r="E83" s="17" t="str">
        <f>IF($C83="","",SUMIFS('Base de Costos'!$H$5:$H$504,'Base de Costos'!$C$5:$C$504,$C83,'Base de Costos'!$D$5:$D$504,"Mano de obra"))</f>
        <v/>
      </c>
      <c r="F83" s="17" t="str">
        <f>IF($C83="","",SUMIFS('Base de Costos'!$H$5:$H$504,'Base de Costos'!$C$5:$C$504,$C83,'Base de Costos'!$D$5:$D$504,"Costo indirecto fabricación"))</f>
        <v/>
      </c>
      <c r="G83" s="17" t="str">
        <f t="shared" si="8"/>
        <v/>
      </c>
      <c r="H83" s="17" t="str">
        <f>IF($C83="","",SUMIFS('Base de Costos'!$H$5:$H$504,'Base de Costos'!$C$5:$C$504,$C83,'Base de Costos'!$D$5:$D$504,"Gasto publicidad")+SUMIFS('Base de Costos'!$H$5:$H$504,'Base de Costos'!$C$5:$C$504,$C83,'Base de Costos'!$D$5:$D$504,"Gasto administrativo")+SUMIFS('Base de Costos'!$H$5:$H$504,'Base de Costos'!$C$5:$C$504,$C83,'Base de Costos'!$D$5:$D$504,"Otro gasto"))</f>
        <v/>
      </c>
      <c r="I83" s="18" t="str">
        <f>IF($C83="","",IFERROR(VLOOKUP($C83,Productos!$B$5:$H$124,7,FALSE),0))</f>
        <v/>
      </c>
      <c r="J83" s="17" t="str">
        <f t="shared" si="9"/>
        <v/>
      </c>
      <c r="K83" s="17" t="str">
        <f t="shared" si="10"/>
        <v/>
      </c>
      <c r="L83" s="17" t="str">
        <f t="shared" si="11"/>
        <v/>
      </c>
      <c r="M83" s="7" t="str">
        <f>IF($C83="","",IF(J83=0,"Sin datos",IF(IFERROR(VLOOKUP($C83,Productos!$B$5:$H$124,4,FALSE),0)=0,"Sin precio cliente",IF(IFERROR(VLOOKUP($C83,Productos!$B$5:$H$124,4,FALSE),0)&lt;J83,"Riesgo: cliente bajo costo",IF(K83&gt;IFERROR(VLOOKUP($C83,Productos!$B$5:$H$124,4,FALSE),0),"Revisar: sugerido sobre cliente",IF(K83&gt;IFERROR(VLOOKUP($C83,Productos!$B$5:$H$124,5,FALSE),0),"Sobre competencia","Competitivo"))))))</f>
        <v/>
      </c>
      <c r="O83" s="10"/>
      <c r="P83" s="10"/>
      <c r="Q83" s="10"/>
    </row>
    <row r="84" spans="3:17" ht="21.95" customHeight="1" x14ac:dyDescent="0.25">
      <c r="C84" s="7" t="str">
        <f>IF(Productos!B84="","",Productos!B84)</f>
        <v/>
      </c>
      <c r="D84" s="17" t="str">
        <f>IF($C84="","",SUMIFS('Base de Costos'!$H$5:$H$504,'Base de Costos'!$C$5:$C$504,$C84,'Base de Costos'!$D$5:$D$504,"Materia prima"))</f>
        <v/>
      </c>
      <c r="E84" s="17" t="str">
        <f>IF($C84="","",SUMIFS('Base de Costos'!$H$5:$H$504,'Base de Costos'!$C$5:$C$504,$C84,'Base de Costos'!$D$5:$D$504,"Mano de obra"))</f>
        <v/>
      </c>
      <c r="F84" s="17" t="str">
        <f>IF($C84="","",SUMIFS('Base de Costos'!$H$5:$H$504,'Base de Costos'!$C$5:$C$504,$C84,'Base de Costos'!$D$5:$D$504,"Costo indirecto fabricación"))</f>
        <v/>
      </c>
      <c r="G84" s="17" t="str">
        <f t="shared" si="8"/>
        <v/>
      </c>
      <c r="H84" s="17" t="str">
        <f>IF($C84="","",SUMIFS('Base de Costos'!$H$5:$H$504,'Base de Costos'!$C$5:$C$504,$C84,'Base de Costos'!$D$5:$D$504,"Gasto publicidad")+SUMIFS('Base de Costos'!$H$5:$H$504,'Base de Costos'!$C$5:$C$504,$C84,'Base de Costos'!$D$5:$D$504,"Gasto administrativo")+SUMIFS('Base de Costos'!$H$5:$H$504,'Base de Costos'!$C$5:$C$504,$C84,'Base de Costos'!$D$5:$D$504,"Otro gasto"))</f>
        <v/>
      </c>
      <c r="I84" s="18" t="str">
        <f>IF($C84="","",IFERROR(VLOOKUP($C84,Productos!$B$5:$H$124,7,FALSE),0))</f>
        <v/>
      </c>
      <c r="J84" s="17" t="str">
        <f t="shared" si="9"/>
        <v/>
      </c>
      <c r="K84" s="17" t="str">
        <f t="shared" si="10"/>
        <v/>
      </c>
      <c r="L84" s="17" t="str">
        <f t="shared" si="11"/>
        <v/>
      </c>
      <c r="M84" s="7" t="str">
        <f>IF($C84="","",IF(J84=0,"Sin datos",IF(IFERROR(VLOOKUP($C84,Productos!$B$5:$H$124,4,FALSE),0)=0,"Sin precio cliente",IF(IFERROR(VLOOKUP($C84,Productos!$B$5:$H$124,4,FALSE),0)&lt;J84,"Riesgo: cliente bajo costo",IF(K84&gt;IFERROR(VLOOKUP($C84,Productos!$B$5:$H$124,4,FALSE),0),"Revisar: sugerido sobre cliente",IF(K84&gt;IFERROR(VLOOKUP($C84,Productos!$B$5:$H$124,5,FALSE),0),"Sobre competencia","Competitivo"))))))</f>
        <v/>
      </c>
      <c r="O84" s="10"/>
      <c r="P84" s="10"/>
      <c r="Q84" s="10"/>
    </row>
    <row r="85" spans="3:17" ht="21.95" customHeight="1" x14ac:dyDescent="0.25">
      <c r="C85" s="7" t="str">
        <f>IF(Productos!B85="","",Productos!B85)</f>
        <v/>
      </c>
      <c r="D85" s="17" t="str">
        <f>IF($C85="","",SUMIFS('Base de Costos'!$H$5:$H$504,'Base de Costos'!$C$5:$C$504,$C85,'Base de Costos'!$D$5:$D$504,"Materia prima"))</f>
        <v/>
      </c>
      <c r="E85" s="17" t="str">
        <f>IF($C85="","",SUMIFS('Base de Costos'!$H$5:$H$504,'Base de Costos'!$C$5:$C$504,$C85,'Base de Costos'!$D$5:$D$504,"Mano de obra"))</f>
        <v/>
      </c>
      <c r="F85" s="17" t="str">
        <f>IF($C85="","",SUMIFS('Base de Costos'!$H$5:$H$504,'Base de Costos'!$C$5:$C$504,$C85,'Base de Costos'!$D$5:$D$504,"Costo indirecto fabricación"))</f>
        <v/>
      </c>
      <c r="G85" s="17" t="str">
        <f t="shared" si="8"/>
        <v/>
      </c>
      <c r="H85" s="17" t="str">
        <f>IF($C85="","",SUMIFS('Base de Costos'!$H$5:$H$504,'Base de Costos'!$C$5:$C$504,$C85,'Base de Costos'!$D$5:$D$504,"Gasto publicidad")+SUMIFS('Base de Costos'!$H$5:$H$504,'Base de Costos'!$C$5:$C$504,$C85,'Base de Costos'!$D$5:$D$504,"Gasto administrativo")+SUMIFS('Base de Costos'!$H$5:$H$504,'Base de Costos'!$C$5:$C$504,$C85,'Base de Costos'!$D$5:$D$504,"Otro gasto"))</f>
        <v/>
      </c>
      <c r="I85" s="18" t="str">
        <f>IF($C85="","",IFERROR(VLOOKUP($C85,Productos!$B$5:$H$124,7,FALSE),0))</f>
        <v/>
      </c>
      <c r="J85" s="17" t="str">
        <f t="shared" si="9"/>
        <v/>
      </c>
      <c r="K85" s="17" t="str">
        <f t="shared" si="10"/>
        <v/>
      </c>
      <c r="L85" s="17" t="str">
        <f t="shared" si="11"/>
        <v/>
      </c>
      <c r="M85" s="7" t="str">
        <f>IF($C85="","",IF(J85=0,"Sin datos",IF(IFERROR(VLOOKUP($C85,Productos!$B$5:$H$124,4,FALSE),0)=0,"Sin precio cliente",IF(IFERROR(VLOOKUP($C85,Productos!$B$5:$H$124,4,FALSE),0)&lt;J85,"Riesgo: cliente bajo costo",IF(K85&gt;IFERROR(VLOOKUP($C85,Productos!$B$5:$H$124,4,FALSE),0),"Revisar: sugerido sobre cliente",IF(K85&gt;IFERROR(VLOOKUP($C85,Productos!$B$5:$H$124,5,FALSE),0),"Sobre competencia","Competitivo"))))))</f>
        <v/>
      </c>
      <c r="O85" s="10"/>
      <c r="P85" s="10"/>
      <c r="Q85" s="10"/>
    </row>
    <row r="86" spans="3:17" ht="21.95" customHeight="1" x14ac:dyDescent="0.25">
      <c r="C86" s="7" t="str">
        <f>IF(Productos!B86="","",Productos!B86)</f>
        <v/>
      </c>
      <c r="D86" s="17" t="str">
        <f>IF($C86="","",SUMIFS('Base de Costos'!$H$5:$H$504,'Base de Costos'!$C$5:$C$504,$C86,'Base de Costos'!$D$5:$D$504,"Materia prima"))</f>
        <v/>
      </c>
      <c r="E86" s="17" t="str">
        <f>IF($C86="","",SUMIFS('Base de Costos'!$H$5:$H$504,'Base de Costos'!$C$5:$C$504,$C86,'Base de Costos'!$D$5:$D$504,"Mano de obra"))</f>
        <v/>
      </c>
      <c r="F86" s="17" t="str">
        <f>IF($C86="","",SUMIFS('Base de Costos'!$H$5:$H$504,'Base de Costos'!$C$5:$C$504,$C86,'Base de Costos'!$D$5:$D$504,"Costo indirecto fabricación"))</f>
        <v/>
      </c>
      <c r="G86" s="17" t="str">
        <f t="shared" si="8"/>
        <v/>
      </c>
      <c r="H86" s="17" t="str">
        <f>IF($C86="","",SUMIFS('Base de Costos'!$H$5:$H$504,'Base de Costos'!$C$5:$C$504,$C86,'Base de Costos'!$D$5:$D$504,"Gasto publicidad")+SUMIFS('Base de Costos'!$H$5:$H$504,'Base de Costos'!$C$5:$C$504,$C86,'Base de Costos'!$D$5:$D$504,"Gasto administrativo")+SUMIFS('Base de Costos'!$H$5:$H$504,'Base de Costos'!$C$5:$C$504,$C86,'Base de Costos'!$D$5:$D$504,"Otro gasto"))</f>
        <v/>
      </c>
      <c r="I86" s="18" t="str">
        <f>IF($C86="","",IFERROR(VLOOKUP($C86,Productos!$B$5:$H$124,7,FALSE),0))</f>
        <v/>
      </c>
      <c r="J86" s="17" t="str">
        <f t="shared" si="9"/>
        <v/>
      </c>
      <c r="K86" s="17" t="str">
        <f t="shared" si="10"/>
        <v/>
      </c>
      <c r="L86" s="17" t="str">
        <f t="shared" si="11"/>
        <v/>
      </c>
      <c r="M86" s="7" t="str">
        <f>IF($C86="","",IF(J86=0,"Sin datos",IF(IFERROR(VLOOKUP($C86,Productos!$B$5:$H$124,4,FALSE),0)=0,"Sin precio cliente",IF(IFERROR(VLOOKUP($C86,Productos!$B$5:$H$124,4,FALSE),0)&lt;J86,"Riesgo: cliente bajo costo",IF(K86&gt;IFERROR(VLOOKUP($C86,Productos!$B$5:$H$124,4,FALSE),0),"Revisar: sugerido sobre cliente",IF(K86&gt;IFERROR(VLOOKUP($C86,Productos!$B$5:$H$124,5,FALSE),0),"Sobre competencia","Competitivo"))))))</f>
        <v/>
      </c>
      <c r="O86" s="10"/>
      <c r="P86" s="10"/>
      <c r="Q86" s="10"/>
    </row>
    <row r="87" spans="3:17" ht="21.95" customHeight="1" x14ac:dyDescent="0.25">
      <c r="C87" s="7" t="str">
        <f>IF(Productos!B87="","",Productos!B87)</f>
        <v/>
      </c>
      <c r="D87" s="17" t="str">
        <f>IF($C87="","",SUMIFS('Base de Costos'!$H$5:$H$504,'Base de Costos'!$C$5:$C$504,$C87,'Base de Costos'!$D$5:$D$504,"Materia prima"))</f>
        <v/>
      </c>
      <c r="E87" s="17" t="str">
        <f>IF($C87="","",SUMIFS('Base de Costos'!$H$5:$H$504,'Base de Costos'!$C$5:$C$504,$C87,'Base de Costos'!$D$5:$D$504,"Mano de obra"))</f>
        <v/>
      </c>
      <c r="F87" s="17" t="str">
        <f>IF($C87="","",SUMIFS('Base de Costos'!$H$5:$H$504,'Base de Costos'!$C$5:$C$504,$C87,'Base de Costos'!$D$5:$D$504,"Costo indirecto fabricación"))</f>
        <v/>
      </c>
      <c r="G87" s="17" t="str">
        <f t="shared" si="8"/>
        <v/>
      </c>
      <c r="H87" s="17" t="str">
        <f>IF($C87="","",SUMIFS('Base de Costos'!$H$5:$H$504,'Base de Costos'!$C$5:$C$504,$C87,'Base de Costos'!$D$5:$D$504,"Gasto publicidad")+SUMIFS('Base de Costos'!$H$5:$H$504,'Base de Costos'!$C$5:$C$504,$C87,'Base de Costos'!$D$5:$D$504,"Gasto administrativo")+SUMIFS('Base de Costos'!$H$5:$H$504,'Base de Costos'!$C$5:$C$504,$C87,'Base de Costos'!$D$5:$D$504,"Otro gasto"))</f>
        <v/>
      </c>
      <c r="I87" s="18" t="str">
        <f>IF($C87="","",IFERROR(VLOOKUP($C87,Productos!$B$5:$H$124,7,FALSE),0))</f>
        <v/>
      </c>
      <c r="J87" s="17" t="str">
        <f t="shared" si="9"/>
        <v/>
      </c>
      <c r="K87" s="17" t="str">
        <f t="shared" si="10"/>
        <v/>
      </c>
      <c r="L87" s="17" t="str">
        <f t="shared" si="11"/>
        <v/>
      </c>
      <c r="M87" s="7" t="str">
        <f>IF($C87="","",IF(J87=0,"Sin datos",IF(IFERROR(VLOOKUP($C87,Productos!$B$5:$H$124,4,FALSE),0)=0,"Sin precio cliente",IF(IFERROR(VLOOKUP($C87,Productos!$B$5:$H$124,4,FALSE),0)&lt;J87,"Riesgo: cliente bajo costo",IF(K87&gt;IFERROR(VLOOKUP($C87,Productos!$B$5:$H$124,4,FALSE),0),"Revisar: sugerido sobre cliente",IF(K87&gt;IFERROR(VLOOKUP($C87,Productos!$B$5:$H$124,5,FALSE),0),"Sobre competencia","Competitivo"))))))</f>
        <v/>
      </c>
      <c r="O87" s="10"/>
      <c r="P87" s="10"/>
      <c r="Q87" s="10"/>
    </row>
    <row r="88" spans="3:17" ht="21.95" customHeight="1" x14ac:dyDescent="0.25">
      <c r="C88" s="7" t="str">
        <f>IF(Productos!B88="","",Productos!B88)</f>
        <v/>
      </c>
      <c r="D88" s="17" t="str">
        <f>IF($C88="","",SUMIFS('Base de Costos'!$H$5:$H$504,'Base de Costos'!$C$5:$C$504,$C88,'Base de Costos'!$D$5:$D$504,"Materia prima"))</f>
        <v/>
      </c>
      <c r="E88" s="17" t="str">
        <f>IF($C88="","",SUMIFS('Base de Costos'!$H$5:$H$504,'Base de Costos'!$C$5:$C$504,$C88,'Base de Costos'!$D$5:$D$504,"Mano de obra"))</f>
        <v/>
      </c>
      <c r="F88" s="17" t="str">
        <f>IF($C88="","",SUMIFS('Base de Costos'!$H$5:$H$504,'Base de Costos'!$C$5:$C$504,$C88,'Base de Costos'!$D$5:$D$504,"Costo indirecto fabricación"))</f>
        <v/>
      </c>
      <c r="G88" s="17" t="str">
        <f t="shared" si="8"/>
        <v/>
      </c>
      <c r="H88" s="17" t="str">
        <f>IF($C88="","",SUMIFS('Base de Costos'!$H$5:$H$504,'Base de Costos'!$C$5:$C$504,$C88,'Base de Costos'!$D$5:$D$504,"Gasto publicidad")+SUMIFS('Base de Costos'!$H$5:$H$504,'Base de Costos'!$C$5:$C$504,$C88,'Base de Costos'!$D$5:$D$504,"Gasto administrativo")+SUMIFS('Base de Costos'!$H$5:$H$504,'Base de Costos'!$C$5:$C$504,$C88,'Base de Costos'!$D$5:$D$504,"Otro gasto"))</f>
        <v/>
      </c>
      <c r="I88" s="18" t="str">
        <f>IF($C88="","",IFERROR(VLOOKUP($C88,Productos!$B$5:$H$124,7,FALSE),0))</f>
        <v/>
      </c>
      <c r="J88" s="17" t="str">
        <f t="shared" si="9"/>
        <v/>
      </c>
      <c r="K88" s="17" t="str">
        <f t="shared" si="10"/>
        <v/>
      </c>
      <c r="L88" s="17" t="str">
        <f t="shared" si="11"/>
        <v/>
      </c>
      <c r="M88" s="7" t="str">
        <f>IF($C88="","",IF(J88=0,"Sin datos",IF(IFERROR(VLOOKUP($C88,Productos!$B$5:$H$124,4,FALSE),0)=0,"Sin precio cliente",IF(IFERROR(VLOOKUP($C88,Productos!$B$5:$H$124,4,FALSE),0)&lt;J88,"Riesgo: cliente bajo costo",IF(K88&gt;IFERROR(VLOOKUP($C88,Productos!$B$5:$H$124,4,FALSE),0),"Revisar: sugerido sobre cliente",IF(K88&gt;IFERROR(VLOOKUP($C88,Productos!$B$5:$H$124,5,FALSE),0),"Sobre competencia","Competitivo"))))))</f>
        <v/>
      </c>
      <c r="O88" s="10"/>
      <c r="P88" s="10"/>
      <c r="Q88" s="10"/>
    </row>
    <row r="89" spans="3:17" ht="21.95" customHeight="1" x14ac:dyDescent="0.25">
      <c r="C89" s="7" t="str">
        <f>IF(Productos!B89="","",Productos!B89)</f>
        <v/>
      </c>
      <c r="D89" s="17" t="str">
        <f>IF($C89="","",SUMIFS('Base de Costos'!$H$5:$H$504,'Base de Costos'!$C$5:$C$504,$C89,'Base de Costos'!$D$5:$D$504,"Materia prima"))</f>
        <v/>
      </c>
      <c r="E89" s="17" t="str">
        <f>IF($C89="","",SUMIFS('Base de Costos'!$H$5:$H$504,'Base de Costos'!$C$5:$C$504,$C89,'Base de Costos'!$D$5:$D$504,"Mano de obra"))</f>
        <v/>
      </c>
      <c r="F89" s="17" t="str">
        <f>IF($C89="","",SUMIFS('Base de Costos'!$H$5:$H$504,'Base de Costos'!$C$5:$C$504,$C89,'Base de Costos'!$D$5:$D$504,"Costo indirecto fabricación"))</f>
        <v/>
      </c>
      <c r="G89" s="17" t="str">
        <f t="shared" si="8"/>
        <v/>
      </c>
      <c r="H89" s="17" t="str">
        <f>IF($C89="","",SUMIFS('Base de Costos'!$H$5:$H$504,'Base de Costos'!$C$5:$C$504,$C89,'Base de Costos'!$D$5:$D$504,"Gasto publicidad")+SUMIFS('Base de Costos'!$H$5:$H$504,'Base de Costos'!$C$5:$C$504,$C89,'Base de Costos'!$D$5:$D$504,"Gasto administrativo")+SUMIFS('Base de Costos'!$H$5:$H$504,'Base de Costos'!$C$5:$C$504,$C89,'Base de Costos'!$D$5:$D$504,"Otro gasto"))</f>
        <v/>
      </c>
      <c r="I89" s="18" t="str">
        <f>IF($C89="","",IFERROR(VLOOKUP($C89,Productos!$B$5:$H$124,7,FALSE),0))</f>
        <v/>
      </c>
      <c r="J89" s="17" t="str">
        <f t="shared" si="9"/>
        <v/>
      </c>
      <c r="K89" s="17" t="str">
        <f t="shared" si="10"/>
        <v/>
      </c>
      <c r="L89" s="17" t="str">
        <f t="shared" si="11"/>
        <v/>
      </c>
      <c r="M89" s="7" t="str">
        <f>IF($C89="","",IF(J89=0,"Sin datos",IF(IFERROR(VLOOKUP($C89,Productos!$B$5:$H$124,4,FALSE),0)=0,"Sin precio cliente",IF(IFERROR(VLOOKUP($C89,Productos!$B$5:$H$124,4,FALSE),0)&lt;J89,"Riesgo: cliente bajo costo",IF(K89&gt;IFERROR(VLOOKUP($C89,Productos!$B$5:$H$124,4,FALSE),0),"Revisar: sugerido sobre cliente",IF(K89&gt;IFERROR(VLOOKUP($C89,Productos!$B$5:$H$124,5,FALSE),0),"Sobre competencia","Competitivo"))))))</f>
        <v/>
      </c>
      <c r="O89" s="10"/>
      <c r="P89" s="10"/>
      <c r="Q89" s="10"/>
    </row>
    <row r="90" spans="3:17" ht="21.95" customHeight="1" x14ac:dyDescent="0.25">
      <c r="C90" s="7" t="str">
        <f>IF(Productos!B90="","",Productos!B90)</f>
        <v/>
      </c>
      <c r="D90" s="17" t="str">
        <f>IF($C90="","",SUMIFS('Base de Costos'!$H$5:$H$504,'Base de Costos'!$C$5:$C$504,$C90,'Base de Costos'!$D$5:$D$504,"Materia prima"))</f>
        <v/>
      </c>
      <c r="E90" s="17" t="str">
        <f>IF($C90="","",SUMIFS('Base de Costos'!$H$5:$H$504,'Base de Costos'!$C$5:$C$504,$C90,'Base de Costos'!$D$5:$D$504,"Mano de obra"))</f>
        <v/>
      </c>
      <c r="F90" s="17" t="str">
        <f>IF($C90="","",SUMIFS('Base de Costos'!$H$5:$H$504,'Base de Costos'!$C$5:$C$504,$C90,'Base de Costos'!$D$5:$D$504,"Costo indirecto fabricación"))</f>
        <v/>
      </c>
      <c r="G90" s="17" t="str">
        <f t="shared" si="8"/>
        <v/>
      </c>
      <c r="H90" s="17" t="str">
        <f>IF($C90="","",SUMIFS('Base de Costos'!$H$5:$H$504,'Base de Costos'!$C$5:$C$504,$C90,'Base de Costos'!$D$5:$D$504,"Gasto publicidad")+SUMIFS('Base de Costos'!$H$5:$H$504,'Base de Costos'!$C$5:$C$504,$C90,'Base de Costos'!$D$5:$D$504,"Gasto administrativo")+SUMIFS('Base de Costos'!$H$5:$H$504,'Base de Costos'!$C$5:$C$504,$C90,'Base de Costos'!$D$5:$D$504,"Otro gasto"))</f>
        <v/>
      </c>
      <c r="I90" s="18" t="str">
        <f>IF($C90="","",IFERROR(VLOOKUP($C90,Productos!$B$5:$H$124,7,FALSE),0))</f>
        <v/>
      </c>
      <c r="J90" s="17" t="str">
        <f t="shared" si="9"/>
        <v/>
      </c>
      <c r="K90" s="17" t="str">
        <f t="shared" si="10"/>
        <v/>
      </c>
      <c r="L90" s="17" t="str">
        <f t="shared" si="11"/>
        <v/>
      </c>
      <c r="M90" s="7" t="str">
        <f>IF($C90="","",IF(J90=0,"Sin datos",IF(IFERROR(VLOOKUP($C90,Productos!$B$5:$H$124,4,FALSE),0)=0,"Sin precio cliente",IF(IFERROR(VLOOKUP($C90,Productos!$B$5:$H$124,4,FALSE),0)&lt;J90,"Riesgo: cliente bajo costo",IF(K90&gt;IFERROR(VLOOKUP($C90,Productos!$B$5:$H$124,4,FALSE),0),"Revisar: sugerido sobre cliente",IF(K90&gt;IFERROR(VLOOKUP($C90,Productos!$B$5:$H$124,5,FALSE),0),"Sobre competencia","Competitivo"))))))</f>
        <v/>
      </c>
      <c r="O90" s="10"/>
      <c r="P90" s="10"/>
      <c r="Q90" s="10"/>
    </row>
    <row r="91" spans="3:17" ht="21.95" customHeight="1" x14ac:dyDescent="0.25">
      <c r="C91" s="7" t="str">
        <f>IF(Productos!B91="","",Productos!B91)</f>
        <v/>
      </c>
      <c r="D91" s="17" t="str">
        <f>IF($C91="","",SUMIFS('Base de Costos'!$H$5:$H$504,'Base de Costos'!$C$5:$C$504,$C91,'Base de Costos'!$D$5:$D$504,"Materia prima"))</f>
        <v/>
      </c>
      <c r="E91" s="17" t="str">
        <f>IF($C91="","",SUMIFS('Base de Costos'!$H$5:$H$504,'Base de Costos'!$C$5:$C$504,$C91,'Base de Costos'!$D$5:$D$504,"Mano de obra"))</f>
        <v/>
      </c>
      <c r="F91" s="17" t="str">
        <f>IF($C91="","",SUMIFS('Base de Costos'!$H$5:$H$504,'Base de Costos'!$C$5:$C$504,$C91,'Base de Costos'!$D$5:$D$504,"Costo indirecto fabricación"))</f>
        <v/>
      </c>
      <c r="G91" s="17" t="str">
        <f t="shared" si="8"/>
        <v/>
      </c>
      <c r="H91" s="17" t="str">
        <f>IF($C91="","",SUMIFS('Base de Costos'!$H$5:$H$504,'Base de Costos'!$C$5:$C$504,$C91,'Base de Costos'!$D$5:$D$504,"Gasto publicidad")+SUMIFS('Base de Costos'!$H$5:$H$504,'Base de Costos'!$C$5:$C$504,$C91,'Base de Costos'!$D$5:$D$504,"Gasto administrativo")+SUMIFS('Base de Costos'!$H$5:$H$504,'Base de Costos'!$C$5:$C$504,$C91,'Base de Costos'!$D$5:$D$504,"Otro gasto"))</f>
        <v/>
      </c>
      <c r="I91" s="18" t="str">
        <f>IF($C91="","",IFERROR(VLOOKUP($C91,Productos!$B$5:$H$124,7,FALSE),0))</f>
        <v/>
      </c>
      <c r="J91" s="17" t="str">
        <f t="shared" si="9"/>
        <v/>
      </c>
      <c r="K91" s="17" t="str">
        <f t="shared" si="10"/>
        <v/>
      </c>
      <c r="L91" s="17" t="str">
        <f t="shared" si="11"/>
        <v/>
      </c>
      <c r="M91" s="7" t="str">
        <f>IF($C91="","",IF(J91=0,"Sin datos",IF(IFERROR(VLOOKUP($C91,Productos!$B$5:$H$124,4,FALSE),0)=0,"Sin precio cliente",IF(IFERROR(VLOOKUP($C91,Productos!$B$5:$H$124,4,FALSE),0)&lt;J91,"Riesgo: cliente bajo costo",IF(K91&gt;IFERROR(VLOOKUP($C91,Productos!$B$5:$H$124,4,FALSE),0),"Revisar: sugerido sobre cliente",IF(K91&gt;IFERROR(VLOOKUP($C91,Productos!$B$5:$H$124,5,FALSE),0),"Sobre competencia","Competitivo"))))))</f>
        <v/>
      </c>
      <c r="O91" s="10"/>
      <c r="P91" s="10"/>
      <c r="Q91" s="10"/>
    </row>
    <row r="92" spans="3:17" ht="21.95" customHeight="1" x14ac:dyDescent="0.25">
      <c r="C92" s="7" t="str">
        <f>IF(Productos!B92="","",Productos!B92)</f>
        <v/>
      </c>
      <c r="D92" s="17" t="str">
        <f>IF($C92="","",SUMIFS('Base de Costos'!$H$5:$H$504,'Base de Costos'!$C$5:$C$504,$C92,'Base de Costos'!$D$5:$D$504,"Materia prima"))</f>
        <v/>
      </c>
      <c r="E92" s="17" t="str">
        <f>IF($C92="","",SUMIFS('Base de Costos'!$H$5:$H$504,'Base de Costos'!$C$5:$C$504,$C92,'Base de Costos'!$D$5:$D$504,"Mano de obra"))</f>
        <v/>
      </c>
      <c r="F92" s="17" t="str">
        <f>IF($C92="","",SUMIFS('Base de Costos'!$H$5:$H$504,'Base de Costos'!$C$5:$C$504,$C92,'Base de Costos'!$D$5:$D$504,"Costo indirecto fabricación"))</f>
        <v/>
      </c>
      <c r="G92" s="17" t="str">
        <f t="shared" si="8"/>
        <v/>
      </c>
      <c r="H92" s="17" t="str">
        <f>IF($C92="","",SUMIFS('Base de Costos'!$H$5:$H$504,'Base de Costos'!$C$5:$C$504,$C92,'Base de Costos'!$D$5:$D$504,"Gasto publicidad")+SUMIFS('Base de Costos'!$H$5:$H$504,'Base de Costos'!$C$5:$C$504,$C92,'Base de Costos'!$D$5:$D$504,"Gasto administrativo")+SUMIFS('Base de Costos'!$H$5:$H$504,'Base de Costos'!$C$5:$C$504,$C92,'Base de Costos'!$D$5:$D$504,"Otro gasto"))</f>
        <v/>
      </c>
      <c r="I92" s="18" t="str">
        <f>IF($C92="","",IFERROR(VLOOKUP($C92,Productos!$B$5:$H$124,7,FALSE),0))</f>
        <v/>
      </c>
      <c r="J92" s="17" t="str">
        <f t="shared" si="9"/>
        <v/>
      </c>
      <c r="K92" s="17" t="str">
        <f t="shared" si="10"/>
        <v/>
      </c>
      <c r="L92" s="17" t="str">
        <f t="shared" si="11"/>
        <v/>
      </c>
      <c r="M92" s="7" t="str">
        <f>IF($C92="","",IF(J92=0,"Sin datos",IF(IFERROR(VLOOKUP($C92,Productos!$B$5:$H$124,4,FALSE),0)=0,"Sin precio cliente",IF(IFERROR(VLOOKUP($C92,Productos!$B$5:$H$124,4,FALSE),0)&lt;J92,"Riesgo: cliente bajo costo",IF(K92&gt;IFERROR(VLOOKUP($C92,Productos!$B$5:$H$124,4,FALSE),0),"Revisar: sugerido sobre cliente",IF(K92&gt;IFERROR(VLOOKUP($C92,Productos!$B$5:$H$124,5,FALSE),0),"Sobre competencia","Competitivo"))))))</f>
        <v/>
      </c>
      <c r="O92" s="10"/>
      <c r="P92" s="10"/>
      <c r="Q92" s="10"/>
    </row>
    <row r="93" spans="3:17" ht="21.95" customHeight="1" x14ac:dyDescent="0.25">
      <c r="C93" s="7" t="str">
        <f>IF(Productos!B93="","",Productos!B93)</f>
        <v/>
      </c>
      <c r="D93" s="17" t="str">
        <f>IF($C93="","",SUMIFS('Base de Costos'!$H$5:$H$504,'Base de Costos'!$C$5:$C$504,$C93,'Base de Costos'!$D$5:$D$504,"Materia prima"))</f>
        <v/>
      </c>
      <c r="E93" s="17" t="str">
        <f>IF($C93="","",SUMIFS('Base de Costos'!$H$5:$H$504,'Base de Costos'!$C$5:$C$504,$C93,'Base de Costos'!$D$5:$D$504,"Mano de obra"))</f>
        <v/>
      </c>
      <c r="F93" s="17" t="str">
        <f>IF($C93="","",SUMIFS('Base de Costos'!$H$5:$H$504,'Base de Costos'!$C$5:$C$504,$C93,'Base de Costos'!$D$5:$D$504,"Costo indirecto fabricación"))</f>
        <v/>
      </c>
      <c r="G93" s="17" t="str">
        <f t="shared" si="8"/>
        <v/>
      </c>
      <c r="H93" s="17" t="str">
        <f>IF($C93="","",SUMIFS('Base de Costos'!$H$5:$H$504,'Base de Costos'!$C$5:$C$504,$C93,'Base de Costos'!$D$5:$D$504,"Gasto publicidad")+SUMIFS('Base de Costos'!$H$5:$H$504,'Base de Costos'!$C$5:$C$504,$C93,'Base de Costos'!$D$5:$D$504,"Gasto administrativo")+SUMIFS('Base de Costos'!$H$5:$H$504,'Base de Costos'!$C$5:$C$504,$C93,'Base de Costos'!$D$5:$D$504,"Otro gasto"))</f>
        <v/>
      </c>
      <c r="I93" s="18" t="str">
        <f>IF($C93="","",IFERROR(VLOOKUP($C93,Productos!$B$5:$H$124,7,FALSE),0))</f>
        <v/>
      </c>
      <c r="J93" s="17" t="str">
        <f t="shared" si="9"/>
        <v/>
      </c>
      <c r="K93" s="17" t="str">
        <f t="shared" si="10"/>
        <v/>
      </c>
      <c r="L93" s="17" t="str">
        <f t="shared" si="11"/>
        <v/>
      </c>
      <c r="M93" s="7" t="str">
        <f>IF($C93="","",IF(J93=0,"Sin datos",IF(IFERROR(VLOOKUP($C93,Productos!$B$5:$H$124,4,FALSE),0)=0,"Sin precio cliente",IF(IFERROR(VLOOKUP($C93,Productos!$B$5:$H$124,4,FALSE),0)&lt;J93,"Riesgo: cliente bajo costo",IF(K93&gt;IFERROR(VLOOKUP($C93,Productos!$B$5:$H$124,4,FALSE),0),"Revisar: sugerido sobre cliente",IF(K93&gt;IFERROR(VLOOKUP($C93,Productos!$B$5:$H$124,5,FALSE),0),"Sobre competencia","Competitivo"))))))</f>
        <v/>
      </c>
      <c r="O93" s="10"/>
      <c r="P93" s="10"/>
      <c r="Q93" s="10"/>
    </row>
    <row r="94" spans="3:17" ht="21.95" customHeight="1" x14ac:dyDescent="0.25">
      <c r="C94" s="7" t="str">
        <f>IF(Productos!B94="","",Productos!B94)</f>
        <v/>
      </c>
      <c r="D94" s="17" t="str">
        <f>IF($C94="","",SUMIFS('Base de Costos'!$H$5:$H$504,'Base de Costos'!$C$5:$C$504,$C94,'Base de Costos'!$D$5:$D$504,"Materia prima"))</f>
        <v/>
      </c>
      <c r="E94" s="17" t="str">
        <f>IF($C94="","",SUMIFS('Base de Costos'!$H$5:$H$504,'Base de Costos'!$C$5:$C$504,$C94,'Base de Costos'!$D$5:$D$504,"Mano de obra"))</f>
        <v/>
      </c>
      <c r="F94" s="17" t="str">
        <f>IF($C94="","",SUMIFS('Base de Costos'!$H$5:$H$504,'Base de Costos'!$C$5:$C$504,$C94,'Base de Costos'!$D$5:$D$504,"Costo indirecto fabricación"))</f>
        <v/>
      </c>
      <c r="G94" s="17" t="str">
        <f t="shared" si="8"/>
        <v/>
      </c>
      <c r="H94" s="17" t="str">
        <f>IF($C94="","",SUMIFS('Base de Costos'!$H$5:$H$504,'Base de Costos'!$C$5:$C$504,$C94,'Base de Costos'!$D$5:$D$504,"Gasto publicidad")+SUMIFS('Base de Costos'!$H$5:$H$504,'Base de Costos'!$C$5:$C$504,$C94,'Base de Costos'!$D$5:$D$504,"Gasto administrativo")+SUMIFS('Base de Costos'!$H$5:$H$504,'Base de Costos'!$C$5:$C$504,$C94,'Base de Costos'!$D$5:$D$504,"Otro gasto"))</f>
        <v/>
      </c>
      <c r="I94" s="18" t="str">
        <f>IF($C94="","",IFERROR(VLOOKUP($C94,Productos!$B$5:$H$124,7,FALSE),0))</f>
        <v/>
      </c>
      <c r="J94" s="17" t="str">
        <f t="shared" si="9"/>
        <v/>
      </c>
      <c r="K94" s="17" t="str">
        <f t="shared" si="10"/>
        <v/>
      </c>
      <c r="L94" s="17" t="str">
        <f t="shared" si="11"/>
        <v/>
      </c>
      <c r="M94" s="7" t="str">
        <f>IF($C94="","",IF(J94=0,"Sin datos",IF(IFERROR(VLOOKUP($C94,Productos!$B$5:$H$124,4,FALSE),0)=0,"Sin precio cliente",IF(IFERROR(VLOOKUP($C94,Productos!$B$5:$H$124,4,FALSE),0)&lt;J94,"Riesgo: cliente bajo costo",IF(K94&gt;IFERROR(VLOOKUP($C94,Productos!$B$5:$H$124,4,FALSE),0),"Revisar: sugerido sobre cliente",IF(K94&gt;IFERROR(VLOOKUP($C94,Productos!$B$5:$H$124,5,FALSE),0),"Sobre competencia","Competitivo"))))))</f>
        <v/>
      </c>
      <c r="O94" s="10"/>
      <c r="P94" s="10"/>
      <c r="Q94" s="10"/>
    </row>
    <row r="95" spans="3:17" ht="21.95" customHeight="1" x14ac:dyDescent="0.25">
      <c r="C95" s="7" t="str">
        <f>IF(Productos!B95="","",Productos!B95)</f>
        <v/>
      </c>
      <c r="D95" s="17" t="str">
        <f>IF($C95="","",SUMIFS('Base de Costos'!$H$5:$H$504,'Base de Costos'!$C$5:$C$504,$C95,'Base de Costos'!$D$5:$D$504,"Materia prima"))</f>
        <v/>
      </c>
      <c r="E95" s="17" t="str">
        <f>IF($C95="","",SUMIFS('Base de Costos'!$H$5:$H$504,'Base de Costos'!$C$5:$C$504,$C95,'Base de Costos'!$D$5:$D$504,"Mano de obra"))</f>
        <v/>
      </c>
      <c r="F95" s="17" t="str">
        <f>IF($C95="","",SUMIFS('Base de Costos'!$H$5:$H$504,'Base de Costos'!$C$5:$C$504,$C95,'Base de Costos'!$D$5:$D$504,"Costo indirecto fabricación"))</f>
        <v/>
      </c>
      <c r="G95" s="17" t="str">
        <f t="shared" si="8"/>
        <v/>
      </c>
      <c r="H95" s="17" t="str">
        <f>IF($C95="","",SUMIFS('Base de Costos'!$H$5:$H$504,'Base de Costos'!$C$5:$C$504,$C95,'Base de Costos'!$D$5:$D$504,"Gasto publicidad")+SUMIFS('Base de Costos'!$H$5:$H$504,'Base de Costos'!$C$5:$C$504,$C95,'Base de Costos'!$D$5:$D$504,"Gasto administrativo")+SUMIFS('Base de Costos'!$H$5:$H$504,'Base de Costos'!$C$5:$C$504,$C95,'Base de Costos'!$D$5:$D$504,"Otro gasto"))</f>
        <v/>
      </c>
      <c r="I95" s="18" t="str">
        <f>IF($C95="","",IFERROR(VLOOKUP($C95,Productos!$B$5:$H$124,7,FALSE),0))</f>
        <v/>
      </c>
      <c r="J95" s="17" t="str">
        <f t="shared" si="9"/>
        <v/>
      </c>
      <c r="K95" s="17" t="str">
        <f t="shared" si="10"/>
        <v/>
      </c>
      <c r="L95" s="17" t="str">
        <f t="shared" si="11"/>
        <v/>
      </c>
      <c r="M95" s="7" t="str">
        <f>IF($C95="","",IF(J95=0,"Sin datos",IF(IFERROR(VLOOKUP($C95,Productos!$B$5:$H$124,4,FALSE),0)=0,"Sin precio cliente",IF(IFERROR(VLOOKUP($C95,Productos!$B$5:$H$124,4,FALSE),0)&lt;J95,"Riesgo: cliente bajo costo",IF(K95&gt;IFERROR(VLOOKUP($C95,Productos!$B$5:$H$124,4,FALSE),0),"Revisar: sugerido sobre cliente",IF(K95&gt;IFERROR(VLOOKUP($C95,Productos!$B$5:$H$124,5,FALSE),0),"Sobre competencia","Competitivo"))))))</f>
        <v/>
      </c>
      <c r="O95" s="10"/>
      <c r="P95" s="10"/>
      <c r="Q95" s="10"/>
    </row>
    <row r="96" spans="3:17" ht="21.95" customHeight="1" x14ac:dyDescent="0.25">
      <c r="C96" s="7" t="str">
        <f>IF(Productos!B96="","",Productos!B96)</f>
        <v/>
      </c>
      <c r="D96" s="17" t="str">
        <f>IF($C96="","",SUMIFS('Base de Costos'!$H$5:$H$504,'Base de Costos'!$C$5:$C$504,$C96,'Base de Costos'!$D$5:$D$504,"Materia prima"))</f>
        <v/>
      </c>
      <c r="E96" s="17" t="str">
        <f>IF($C96="","",SUMIFS('Base de Costos'!$H$5:$H$504,'Base de Costos'!$C$5:$C$504,$C96,'Base de Costos'!$D$5:$D$504,"Mano de obra"))</f>
        <v/>
      </c>
      <c r="F96" s="17" t="str">
        <f>IF($C96="","",SUMIFS('Base de Costos'!$H$5:$H$504,'Base de Costos'!$C$5:$C$504,$C96,'Base de Costos'!$D$5:$D$504,"Costo indirecto fabricación"))</f>
        <v/>
      </c>
      <c r="G96" s="17" t="str">
        <f t="shared" si="8"/>
        <v/>
      </c>
      <c r="H96" s="17" t="str">
        <f>IF($C96="","",SUMIFS('Base de Costos'!$H$5:$H$504,'Base de Costos'!$C$5:$C$504,$C96,'Base de Costos'!$D$5:$D$504,"Gasto publicidad")+SUMIFS('Base de Costos'!$H$5:$H$504,'Base de Costos'!$C$5:$C$504,$C96,'Base de Costos'!$D$5:$D$504,"Gasto administrativo")+SUMIFS('Base de Costos'!$H$5:$H$504,'Base de Costos'!$C$5:$C$504,$C96,'Base de Costos'!$D$5:$D$504,"Otro gasto"))</f>
        <v/>
      </c>
      <c r="I96" s="18" t="str">
        <f>IF($C96="","",IFERROR(VLOOKUP($C96,Productos!$B$5:$H$124,7,FALSE),0))</f>
        <v/>
      </c>
      <c r="J96" s="17" t="str">
        <f t="shared" si="9"/>
        <v/>
      </c>
      <c r="K96" s="17" t="str">
        <f t="shared" si="10"/>
        <v/>
      </c>
      <c r="L96" s="17" t="str">
        <f t="shared" si="11"/>
        <v/>
      </c>
      <c r="M96" s="7" t="str">
        <f>IF($C96="","",IF(J96=0,"Sin datos",IF(IFERROR(VLOOKUP($C96,Productos!$B$5:$H$124,4,FALSE),0)=0,"Sin precio cliente",IF(IFERROR(VLOOKUP($C96,Productos!$B$5:$H$124,4,FALSE),0)&lt;J96,"Riesgo: cliente bajo costo",IF(K96&gt;IFERROR(VLOOKUP($C96,Productos!$B$5:$H$124,4,FALSE),0),"Revisar: sugerido sobre cliente",IF(K96&gt;IFERROR(VLOOKUP($C96,Productos!$B$5:$H$124,5,FALSE),0),"Sobre competencia","Competitivo"))))))</f>
        <v/>
      </c>
      <c r="O96" s="10"/>
      <c r="P96" s="10"/>
      <c r="Q96" s="10"/>
    </row>
    <row r="97" spans="3:17" ht="21.95" customHeight="1" x14ac:dyDescent="0.25">
      <c r="C97" s="7" t="str">
        <f>IF(Productos!B97="","",Productos!B97)</f>
        <v/>
      </c>
      <c r="D97" s="17" t="str">
        <f>IF($C97="","",SUMIFS('Base de Costos'!$H$5:$H$504,'Base de Costos'!$C$5:$C$504,$C97,'Base de Costos'!$D$5:$D$504,"Materia prima"))</f>
        <v/>
      </c>
      <c r="E97" s="17" t="str">
        <f>IF($C97="","",SUMIFS('Base de Costos'!$H$5:$H$504,'Base de Costos'!$C$5:$C$504,$C97,'Base de Costos'!$D$5:$D$504,"Mano de obra"))</f>
        <v/>
      </c>
      <c r="F97" s="17" t="str">
        <f>IF($C97="","",SUMIFS('Base de Costos'!$H$5:$H$504,'Base de Costos'!$C$5:$C$504,$C97,'Base de Costos'!$D$5:$D$504,"Costo indirecto fabricación"))</f>
        <v/>
      </c>
      <c r="G97" s="17" t="str">
        <f t="shared" si="8"/>
        <v/>
      </c>
      <c r="H97" s="17" t="str">
        <f>IF($C97="","",SUMIFS('Base de Costos'!$H$5:$H$504,'Base de Costos'!$C$5:$C$504,$C97,'Base de Costos'!$D$5:$D$504,"Gasto publicidad")+SUMIFS('Base de Costos'!$H$5:$H$504,'Base de Costos'!$C$5:$C$504,$C97,'Base de Costos'!$D$5:$D$504,"Gasto administrativo")+SUMIFS('Base de Costos'!$H$5:$H$504,'Base de Costos'!$C$5:$C$504,$C97,'Base de Costos'!$D$5:$D$504,"Otro gasto"))</f>
        <v/>
      </c>
      <c r="I97" s="18" t="str">
        <f>IF($C97="","",IFERROR(VLOOKUP($C97,Productos!$B$5:$H$124,7,FALSE),0))</f>
        <v/>
      </c>
      <c r="J97" s="17" t="str">
        <f t="shared" si="9"/>
        <v/>
      </c>
      <c r="K97" s="17" t="str">
        <f t="shared" si="10"/>
        <v/>
      </c>
      <c r="L97" s="17" t="str">
        <f t="shared" si="11"/>
        <v/>
      </c>
      <c r="M97" s="7" t="str">
        <f>IF($C97="","",IF(J97=0,"Sin datos",IF(IFERROR(VLOOKUP($C97,Productos!$B$5:$H$124,4,FALSE),0)=0,"Sin precio cliente",IF(IFERROR(VLOOKUP($C97,Productos!$B$5:$H$124,4,FALSE),0)&lt;J97,"Riesgo: cliente bajo costo",IF(K97&gt;IFERROR(VLOOKUP($C97,Productos!$B$5:$H$124,4,FALSE),0),"Revisar: sugerido sobre cliente",IF(K97&gt;IFERROR(VLOOKUP($C97,Productos!$B$5:$H$124,5,FALSE),0),"Sobre competencia","Competitivo"))))))</f>
        <v/>
      </c>
      <c r="O97" s="10"/>
      <c r="P97" s="10"/>
      <c r="Q97" s="10"/>
    </row>
    <row r="98" spans="3:17" ht="21.95" customHeight="1" x14ac:dyDescent="0.25">
      <c r="C98" s="7" t="str">
        <f>IF(Productos!B98="","",Productos!B98)</f>
        <v/>
      </c>
      <c r="D98" s="17" t="str">
        <f>IF($C98="","",SUMIFS('Base de Costos'!$H$5:$H$504,'Base de Costos'!$C$5:$C$504,$C98,'Base de Costos'!$D$5:$D$504,"Materia prima"))</f>
        <v/>
      </c>
      <c r="E98" s="17" t="str">
        <f>IF($C98="","",SUMIFS('Base de Costos'!$H$5:$H$504,'Base de Costos'!$C$5:$C$504,$C98,'Base de Costos'!$D$5:$D$504,"Mano de obra"))</f>
        <v/>
      </c>
      <c r="F98" s="17" t="str">
        <f>IF($C98="","",SUMIFS('Base de Costos'!$H$5:$H$504,'Base de Costos'!$C$5:$C$504,$C98,'Base de Costos'!$D$5:$D$504,"Costo indirecto fabricación"))</f>
        <v/>
      </c>
      <c r="G98" s="17" t="str">
        <f t="shared" si="8"/>
        <v/>
      </c>
      <c r="H98" s="17" t="str">
        <f>IF($C98="","",SUMIFS('Base de Costos'!$H$5:$H$504,'Base de Costos'!$C$5:$C$504,$C98,'Base de Costos'!$D$5:$D$504,"Gasto publicidad")+SUMIFS('Base de Costos'!$H$5:$H$504,'Base de Costos'!$C$5:$C$504,$C98,'Base de Costos'!$D$5:$D$504,"Gasto administrativo")+SUMIFS('Base de Costos'!$H$5:$H$504,'Base de Costos'!$C$5:$C$504,$C98,'Base de Costos'!$D$5:$D$504,"Otro gasto"))</f>
        <v/>
      </c>
      <c r="I98" s="18" t="str">
        <f>IF($C98="","",IFERROR(VLOOKUP($C98,Productos!$B$5:$H$124,7,FALSE),0))</f>
        <v/>
      </c>
      <c r="J98" s="17" t="str">
        <f t="shared" si="9"/>
        <v/>
      </c>
      <c r="K98" s="17" t="str">
        <f t="shared" si="10"/>
        <v/>
      </c>
      <c r="L98" s="17" t="str">
        <f t="shared" si="11"/>
        <v/>
      </c>
      <c r="M98" s="7" t="str">
        <f>IF($C98="","",IF(J98=0,"Sin datos",IF(IFERROR(VLOOKUP($C98,Productos!$B$5:$H$124,4,FALSE),0)=0,"Sin precio cliente",IF(IFERROR(VLOOKUP($C98,Productos!$B$5:$H$124,4,FALSE),0)&lt;J98,"Riesgo: cliente bajo costo",IF(K98&gt;IFERROR(VLOOKUP($C98,Productos!$B$5:$H$124,4,FALSE),0),"Revisar: sugerido sobre cliente",IF(K98&gt;IFERROR(VLOOKUP($C98,Productos!$B$5:$H$124,5,FALSE),0),"Sobre competencia","Competitivo"))))))</f>
        <v/>
      </c>
      <c r="O98" s="10"/>
      <c r="P98" s="10"/>
      <c r="Q98" s="10"/>
    </row>
    <row r="99" spans="3:17" ht="21.95" customHeight="1" x14ac:dyDescent="0.25">
      <c r="C99" s="7" t="str">
        <f>IF(Productos!B99="","",Productos!B99)</f>
        <v/>
      </c>
      <c r="D99" s="17" t="str">
        <f>IF($C99="","",SUMIFS('Base de Costos'!$H$5:$H$504,'Base de Costos'!$C$5:$C$504,$C99,'Base de Costos'!$D$5:$D$504,"Materia prima"))</f>
        <v/>
      </c>
      <c r="E99" s="17" t="str">
        <f>IF($C99="","",SUMIFS('Base de Costos'!$H$5:$H$504,'Base de Costos'!$C$5:$C$504,$C99,'Base de Costos'!$D$5:$D$504,"Mano de obra"))</f>
        <v/>
      </c>
      <c r="F99" s="17" t="str">
        <f>IF($C99="","",SUMIFS('Base de Costos'!$H$5:$H$504,'Base de Costos'!$C$5:$C$504,$C99,'Base de Costos'!$D$5:$D$504,"Costo indirecto fabricación"))</f>
        <v/>
      </c>
      <c r="G99" s="17" t="str">
        <f t="shared" si="8"/>
        <v/>
      </c>
      <c r="H99" s="17" t="str">
        <f>IF($C99="","",SUMIFS('Base de Costos'!$H$5:$H$504,'Base de Costos'!$C$5:$C$504,$C99,'Base de Costos'!$D$5:$D$504,"Gasto publicidad")+SUMIFS('Base de Costos'!$H$5:$H$504,'Base de Costos'!$C$5:$C$504,$C99,'Base de Costos'!$D$5:$D$504,"Gasto administrativo")+SUMIFS('Base de Costos'!$H$5:$H$504,'Base de Costos'!$C$5:$C$504,$C99,'Base de Costos'!$D$5:$D$504,"Otro gasto"))</f>
        <v/>
      </c>
      <c r="I99" s="18" t="str">
        <f>IF($C99="","",IFERROR(VLOOKUP($C99,Productos!$B$5:$H$124,7,FALSE),0))</f>
        <v/>
      </c>
      <c r="J99" s="17" t="str">
        <f t="shared" si="9"/>
        <v/>
      </c>
      <c r="K99" s="17" t="str">
        <f t="shared" si="10"/>
        <v/>
      </c>
      <c r="L99" s="17" t="str">
        <f t="shared" si="11"/>
        <v/>
      </c>
      <c r="M99" s="7" t="str">
        <f>IF($C99="","",IF(J99=0,"Sin datos",IF(IFERROR(VLOOKUP($C99,Productos!$B$5:$H$124,4,FALSE),0)=0,"Sin precio cliente",IF(IFERROR(VLOOKUP($C99,Productos!$B$5:$H$124,4,FALSE),0)&lt;J99,"Riesgo: cliente bajo costo",IF(K99&gt;IFERROR(VLOOKUP($C99,Productos!$B$5:$H$124,4,FALSE),0),"Revisar: sugerido sobre cliente",IF(K99&gt;IFERROR(VLOOKUP($C99,Productos!$B$5:$H$124,5,FALSE),0),"Sobre competencia","Competitivo"))))))</f>
        <v/>
      </c>
      <c r="O99" s="10"/>
      <c r="P99" s="10"/>
      <c r="Q99" s="10"/>
    </row>
    <row r="100" spans="3:17" ht="21.95" customHeight="1" x14ac:dyDescent="0.25">
      <c r="C100" s="7" t="str">
        <f>IF(Productos!B100="","",Productos!B100)</f>
        <v/>
      </c>
      <c r="D100" s="17" t="str">
        <f>IF($C100="","",SUMIFS('Base de Costos'!$H$5:$H$504,'Base de Costos'!$C$5:$C$504,$C100,'Base de Costos'!$D$5:$D$504,"Materia prima"))</f>
        <v/>
      </c>
      <c r="E100" s="17" t="str">
        <f>IF($C100="","",SUMIFS('Base de Costos'!$H$5:$H$504,'Base de Costos'!$C$5:$C$504,$C100,'Base de Costos'!$D$5:$D$504,"Mano de obra"))</f>
        <v/>
      </c>
      <c r="F100" s="17" t="str">
        <f>IF($C100="","",SUMIFS('Base de Costos'!$H$5:$H$504,'Base de Costos'!$C$5:$C$504,$C100,'Base de Costos'!$D$5:$D$504,"Costo indirecto fabricación"))</f>
        <v/>
      </c>
      <c r="G100" s="17" t="str">
        <f t="shared" si="8"/>
        <v/>
      </c>
      <c r="H100" s="17" t="str">
        <f>IF($C100="","",SUMIFS('Base de Costos'!$H$5:$H$504,'Base de Costos'!$C$5:$C$504,$C100,'Base de Costos'!$D$5:$D$504,"Gasto publicidad")+SUMIFS('Base de Costos'!$H$5:$H$504,'Base de Costos'!$C$5:$C$504,$C100,'Base de Costos'!$D$5:$D$504,"Gasto administrativo")+SUMIFS('Base de Costos'!$H$5:$H$504,'Base de Costos'!$C$5:$C$504,$C100,'Base de Costos'!$D$5:$D$504,"Otro gasto"))</f>
        <v/>
      </c>
      <c r="I100" s="18" t="str">
        <f>IF($C100="","",IFERROR(VLOOKUP($C100,Productos!$B$5:$H$124,7,FALSE),0))</f>
        <v/>
      </c>
      <c r="J100" s="17" t="str">
        <f t="shared" si="9"/>
        <v/>
      </c>
      <c r="K100" s="17" t="str">
        <f t="shared" si="10"/>
        <v/>
      </c>
      <c r="L100" s="17" t="str">
        <f t="shared" si="11"/>
        <v/>
      </c>
      <c r="M100" s="7" t="str">
        <f>IF($C100="","",IF(J100=0,"Sin datos",IF(IFERROR(VLOOKUP($C100,Productos!$B$5:$H$124,4,FALSE),0)=0,"Sin precio cliente",IF(IFERROR(VLOOKUP($C100,Productos!$B$5:$H$124,4,FALSE),0)&lt;J100,"Riesgo: cliente bajo costo",IF(K100&gt;IFERROR(VLOOKUP($C100,Productos!$B$5:$H$124,4,FALSE),0),"Revisar: sugerido sobre cliente",IF(K100&gt;IFERROR(VLOOKUP($C100,Productos!$B$5:$H$124,5,FALSE),0),"Sobre competencia","Competitivo"))))))</f>
        <v/>
      </c>
      <c r="O100" s="10"/>
      <c r="P100" s="10"/>
      <c r="Q100" s="10"/>
    </row>
    <row r="101" spans="3:17" ht="21.95" customHeight="1" x14ac:dyDescent="0.25">
      <c r="C101" s="7" t="str">
        <f>IF(Productos!B101="","",Productos!B101)</f>
        <v/>
      </c>
      <c r="D101" s="17" t="str">
        <f>IF($C101="","",SUMIFS('Base de Costos'!$H$5:$H$504,'Base de Costos'!$C$5:$C$504,$C101,'Base de Costos'!$D$5:$D$504,"Materia prima"))</f>
        <v/>
      </c>
      <c r="E101" s="17" t="str">
        <f>IF($C101="","",SUMIFS('Base de Costos'!$H$5:$H$504,'Base de Costos'!$C$5:$C$504,$C101,'Base de Costos'!$D$5:$D$504,"Mano de obra"))</f>
        <v/>
      </c>
      <c r="F101" s="17" t="str">
        <f>IF($C101="","",SUMIFS('Base de Costos'!$H$5:$H$504,'Base de Costos'!$C$5:$C$504,$C101,'Base de Costos'!$D$5:$D$504,"Costo indirecto fabricación"))</f>
        <v/>
      </c>
      <c r="G101" s="17" t="str">
        <f t="shared" ref="G101:G124" si="12">IF($C101="","",SUM(D101:F101))</f>
        <v/>
      </c>
      <c r="H101" s="17" t="str">
        <f>IF($C101="","",SUMIFS('Base de Costos'!$H$5:$H$504,'Base de Costos'!$C$5:$C$504,$C101,'Base de Costos'!$D$5:$D$504,"Gasto publicidad")+SUMIFS('Base de Costos'!$H$5:$H$504,'Base de Costos'!$C$5:$C$504,$C101,'Base de Costos'!$D$5:$D$504,"Gasto administrativo")+SUMIFS('Base de Costos'!$H$5:$H$504,'Base de Costos'!$C$5:$C$504,$C101,'Base de Costos'!$D$5:$D$504,"Otro gasto"))</f>
        <v/>
      </c>
      <c r="I101" s="18" t="str">
        <f>IF($C101="","",IFERROR(VLOOKUP($C101,Productos!$B$5:$H$124,7,FALSE),0))</f>
        <v/>
      </c>
      <c r="J101" s="17" t="str">
        <f t="shared" ref="J101:J124" si="13">IF($C101="","",G101+H101)</f>
        <v/>
      </c>
      <c r="K101" s="17" t="str">
        <f t="shared" ref="K101:K124" si="14">IF($C101="","",IFERROR(J101/(1-I101),0))</f>
        <v/>
      </c>
      <c r="L101" s="17" t="str">
        <f t="shared" ref="L101:L124" si="15">IF($C101="","",K101-J101)</f>
        <v/>
      </c>
      <c r="M101" s="7" t="str">
        <f>IF($C101="","",IF(J101=0,"Sin datos",IF(IFERROR(VLOOKUP($C101,Productos!$B$5:$H$124,4,FALSE),0)=0,"Sin precio cliente",IF(IFERROR(VLOOKUP($C101,Productos!$B$5:$H$124,4,FALSE),0)&lt;J101,"Riesgo: cliente bajo costo",IF(K101&gt;IFERROR(VLOOKUP($C101,Productos!$B$5:$H$124,4,FALSE),0),"Revisar: sugerido sobre cliente",IF(K101&gt;IFERROR(VLOOKUP($C101,Productos!$B$5:$H$124,5,FALSE),0),"Sobre competencia","Competitivo"))))))</f>
        <v/>
      </c>
      <c r="O101" s="10"/>
      <c r="P101" s="10"/>
      <c r="Q101" s="10"/>
    </row>
    <row r="102" spans="3:17" ht="21.95" customHeight="1" x14ac:dyDescent="0.25">
      <c r="C102" s="7" t="str">
        <f>IF(Productos!B102="","",Productos!B102)</f>
        <v/>
      </c>
      <c r="D102" s="17" t="str">
        <f>IF($C102="","",SUMIFS('Base de Costos'!$H$5:$H$504,'Base de Costos'!$C$5:$C$504,$C102,'Base de Costos'!$D$5:$D$504,"Materia prima"))</f>
        <v/>
      </c>
      <c r="E102" s="17" t="str">
        <f>IF($C102="","",SUMIFS('Base de Costos'!$H$5:$H$504,'Base de Costos'!$C$5:$C$504,$C102,'Base de Costos'!$D$5:$D$504,"Mano de obra"))</f>
        <v/>
      </c>
      <c r="F102" s="17" t="str">
        <f>IF($C102="","",SUMIFS('Base de Costos'!$H$5:$H$504,'Base de Costos'!$C$5:$C$504,$C102,'Base de Costos'!$D$5:$D$504,"Costo indirecto fabricación"))</f>
        <v/>
      </c>
      <c r="G102" s="17" t="str">
        <f t="shared" si="12"/>
        <v/>
      </c>
      <c r="H102" s="17" t="str">
        <f>IF($C102="","",SUMIFS('Base de Costos'!$H$5:$H$504,'Base de Costos'!$C$5:$C$504,$C102,'Base de Costos'!$D$5:$D$504,"Gasto publicidad")+SUMIFS('Base de Costos'!$H$5:$H$504,'Base de Costos'!$C$5:$C$504,$C102,'Base de Costos'!$D$5:$D$504,"Gasto administrativo")+SUMIFS('Base de Costos'!$H$5:$H$504,'Base de Costos'!$C$5:$C$504,$C102,'Base de Costos'!$D$5:$D$504,"Otro gasto"))</f>
        <v/>
      </c>
      <c r="I102" s="18" t="str">
        <f>IF($C102="","",IFERROR(VLOOKUP($C102,Productos!$B$5:$H$124,7,FALSE),0))</f>
        <v/>
      </c>
      <c r="J102" s="17" t="str">
        <f t="shared" si="13"/>
        <v/>
      </c>
      <c r="K102" s="17" t="str">
        <f t="shared" si="14"/>
        <v/>
      </c>
      <c r="L102" s="17" t="str">
        <f t="shared" si="15"/>
        <v/>
      </c>
      <c r="M102" s="7" t="str">
        <f>IF($C102="","",IF(J102=0,"Sin datos",IF(IFERROR(VLOOKUP($C102,Productos!$B$5:$H$124,4,FALSE),0)=0,"Sin precio cliente",IF(IFERROR(VLOOKUP($C102,Productos!$B$5:$H$124,4,FALSE),0)&lt;J102,"Riesgo: cliente bajo costo",IF(K102&gt;IFERROR(VLOOKUP($C102,Productos!$B$5:$H$124,4,FALSE),0),"Revisar: sugerido sobre cliente",IF(K102&gt;IFERROR(VLOOKUP($C102,Productos!$B$5:$H$124,5,FALSE),0),"Sobre competencia","Competitivo"))))))</f>
        <v/>
      </c>
      <c r="O102" s="10"/>
      <c r="P102" s="10"/>
      <c r="Q102" s="10"/>
    </row>
    <row r="103" spans="3:17" ht="21.95" customHeight="1" x14ac:dyDescent="0.25">
      <c r="C103" s="7" t="str">
        <f>IF(Productos!B103="","",Productos!B103)</f>
        <v/>
      </c>
      <c r="D103" s="17" t="str">
        <f>IF($C103="","",SUMIFS('Base de Costos'!$H$5:$H$504,'Base de Costos'!$C$5:$C$504,$C103,'Base de Costos'!$D$5:$D$504,"Materia prima"))</f>
        <v/>
      </c>
      <c r="E103" s="17" t="str">
        <f>IF($C103="","",SUMIFS('Base de Costos'!$H$5:$H$504,'Base de Costos'!$C$5:$C$504,$C103,'Base de Costos'!$D$5:$D$504,"Mano de obra"))</f>
        <v/>
      </c>
      <c r="F103" s="17" t="str">
        <f>IF($C103="","",SUMIFS('Base de Costos'!$H$5:$H$504,'Base de Costos'!$C$5:$C$504,$C103,'Base de Costos'!$D$5:$D$504,"Costo indirecto fabricación"))</f>
        <v/>
      </c>
      <c r="G103" s="17" t="str">
        <f t="shared" si="12"/>
        <v/>
      </c>
      <c r="H103" s="17" t="str">
        <f>IF($C103="","",SUMIFS('Base de Costos'!$H$5:$H$504,'Base de Costos'!$C$5:$C$504,$C103,'Base de Costos'!$D$5:$D$504,"Gasto publicidad")+SUMIFS('Base de Costos'!$H$5:$H$504,'Base de Costos'!$C$5:$C$504,$C103,'Base de Costos'!$D$5:$D$504,"Gasto administrativo")+SUMIFS('Base de Costos'!$H$5:$H$504,'Base de Costos'!$C$5:$C$504,$C103,'Base de Costos'!$D$5:$D$504,"Otro gasto"))</f>
        <v/>
      </c>
      <c r="I103" s="18" t="str">
        <f>IF($C103="","",IFERROR(VLOOKUP($C103,Productos!$B$5:$H$124,7,FALSE),0))</f>
        <v/>
      </c>
      <c r="J103" s="17" t="str">
        <f t="shared" si="13"/>
        <v/>
      </c>
      <c r="K103" s="17" t="str">
        <f t="shared" si="14"/>
        <v/>
      </c>
      <c r="L103" s="17" t="str">
        <f t="shared" si="15"/>
        <v/>
      </c>
      <c r="M103" s="7" t="str">
        <f>IF($C103="","",IF(J103=0,"Sin datos",IF(IFERROR(VLOOKUP($C103,Productos!$B$5:$H$124,4,FALSE),0)=0,"Sin precio cliente",IF(IFERROR(VLOOKUP($C103,Productos!$B$5:$H$124,4,FALSE),0)&lt;J103,"Riesgo: cliente bajo costo",IF(K103&gt;IFERROR(VLOOKUP($C103,Productos!$B$5:$H$124,4,FALSE),0),"Revisar: sugerido sobre cliente",IF(K103&gt;IFERROR(VLOOKUP($C103,Productos!$B$5:$H$124,5,FALSE),0),"Sobre competencia","Competitivo"))))))</f>
        <v/>
      </c>
      <c r="O103" s="10"/>
      <c r="P103" s="10"/>
      <c r="Q103" s="10"/>
    </row>
    <row r="104" spans="3:17" ht="21.95" customHeight="1" x14ac:dyDescent="0.25">
      <c r="C104" s="7" t="str">
        <f>IF(Productos!B104="","",Productos!B104)</f>
        <v/>
      </c>
      <c r="D104" s="17" t="str">
        <f>IF($C104="","",SUMIFS('Base de Costos'!$H$5:$H$504,'Base de Costos'!$C$5:$C$504,$C104,'Base de Costos'!$D$5:$D$504,"Materia prima"))</f>
        <v/>
      </c>
      <c r="E104" s="17" t="str">
        <f>IF($C104="","",SUMIFS('Base de Costos'!$H$5:$H$504,'Base de Costos'!$C$5:$C$504,$C104,'Base de Costos'!$D$5:$D$504,"Mano de obra"))</f>
        <v/>
      </c>
      <c r="F104" s="17" t="str">
        <f>IF($C104="","",SUMIFS('Base de Costos'!$H$5:$H$504,'Base de Costos'!$C$5:$C$504,$C104,'Base de Costos'!$D$5:$D$504,"Costo indirecto fabricación"))</f>
        <v/>
      </c>
      <c r="G104" s="17" t="str">
        <f t="shared" si="12"/>
        <v/>
      </c>
      <c r="H104" s="17" t="str">
        <f>IF($C104="","",SUMIFS('Base de Costos'!$H$5:$H$504,'Base de Costos'!$C$5:$C$504,$C104,'Base de Costos'!$D$5:$D$504,"Gasto publicidad")+SUMIFS('Base de Costos'!$H$5:$H$504,'Base de Costos'!$C$5:$C$504,$C104,'Base de Costos'!$D$5:$D$504,"Gasto administrativo")+SUMIFS('Base de Costos'!$H$5:$H$504,'Base de Costos'!$C$5:$C$504,$C104,'Base de Costos'!$D$5:$D$504,"Otro gasto"))</f>
        <v/>
      </c>
      <c r="I104" s="18" t="str">
        <f>IF($C104="","",IFERROR(VLOOKUP($C104,Productos!$B$5:$H$124,7,FALSE),0))</f>
        <v/>
      </c>
      <c r="J104" s="17" t="str">
        <f t="shared" si="13"/>
        <v/>
      </c>
      <c r="K104" s="17" t="str">
        <f t="shared" si="14"/>
        <v/>
      </c>
      <c r="L104" s="17" t="str">
        <f t="shared" si="15"/>
        <v/>
      </c>
      <c r="M104" s="7" t="str">
        <f>IF($C104="","",IF(J104=0,"Sin datos",IF(IFERROR(VLOOKUP($C104,Productos!$B$5:$H$124,4,FALSE),0)=0,"Sin precio cliente",IF(IFERROR(VLOOKUP($C104,Productos!$B$5:$H$124,4,FALSE),0)&lt;J104,"Riesgo: cliente bajo costo",IF(K104&gt;IFERROR(VLOOKUP($C104,Productos!$B$5:$H$124,4,FALSE),0),"Revisar: sugerido sobre cliente",IF(K104&gt;IFERROR(VLOOKUP($C104,Productos!$B$5:$H$124,5,FALSE),0),"Sobre competencia","Competitivo"))))))</f>
        <v/>
      </c>
      <c r="O104" s="10"/>
      <c r="P104" s="10"/>
      <c r="Q104" s="10"/>
    </row>
    <row r="105" spans="3:17" ht="21.95" customHeight="1" x14ac:dyDescent="0.25">
      <c r="C105" s="7" t="str">
        <f>IF(Productos!B105="","",Productos!B105)</f>
        <v/>
      </c>
      <c r="D105" s="17" t="str">
        <f>IF($C105="","",SUMIFS('Base de Costos'!$H$5:$H$504,'Base de Costos'!$C$5:$C$504,$C105,'Base de Costos'!$D$5:$D$504,"Materia prima"))</f>
        <v/>
      </c>
      <c r="E105" s="17" t="str">
        <f>IF($C105="","",SUMIFS('Base de Costos'!$H$5:$H$504,'Base de Costos'!$C$5:$C$504,$C105,'Base de Costos'!$D$5:$D$504,"Mano de obra"))</f>
        <v/>
      </c>
      <c r="F105" s="17" t="str">
        <f>IF($C105="","",SUMIFS('Base de Costos'!$H$5:$H$504,'Base de Costos'!$C$5:$C$504,$C105,'Base de Costos'!$D$5:$D$504,"Costo indirecto fabricación"))</f>
        <v/>
      </c>
      <c r="G105" s="17" t="str">
        <f t="shared" si="12"/>
        <v/>
      </c>
      <c r="H105" s="17" t="str">
        <f>IF($C105="","",SUMIFS('Base de Costos'!$H$5:$H$504,'Base de Costos'!$C$5:$C$504,$C105,'Base de Costos'!$D$5:$D$504,"Gasto publicidad")+SUMIFS('Base de Costos'!$H$5:$H$504,'Base de Costos'!$C$5:$C$504,$C105,'Base de Costos'!$D$5:$D$504,"Gasto administrativo")+SUMIFS('Base de Costos'!$H$5:$H$504,'Base de Costos'!$C$5:$C$504,$C105,'Base de Costos'!$D$5:$D$504,"Otro gasto"))</f>
        <v/>
      </c>
      <c r="I105" s="18" t="str">
        <f>IF($C105="","",IFERROR(VLOOKUP($C105,Productos!$B$5:$H$124,7,FALSE),0))</f>
        <v/>
      </c>
      <c r="J105" s="17" t="str">
        <f t="shared" si="13"/>
        <v/>
      </c>
      <c r="K105" s="17" t="str">
        <f t="shared" si="14"/>
        <v/>
      </c>
      <c r="L105" s="17" t="str">
        <f t="shared" si="15"/>
        <v/>
      </c>
      <c r="M105" s="7" t="str">
        <f>IF($C105="","",IF(J105=0,"Sin datos",IF(IFERROR(VLOOKUP($C105,Productos!$B$5:$H$124,4,FALSE),0)=0,"Sin precio cliente",IF(IFERROR(VLOOKUP($C105,Productos!$B$5:$H$124,4,FALSE),0)&lt;J105,"Riesgo: cliente bajo costo",IF(K105&gt;IFERROR(VLOOKUP($C105,Productos!$B$5:$H$124,4,FALSE),0),"Revisar: sugerido sobre cliente",IF(K105&gt;IFERROR(VLOOKUP($C105,Productos!$B$5:$H$124,5,FALSE),0),"Sobre competencia","Competitivo"))))))</f>
        <v/>
      </c>
      <c r="O105" s="10"/>
      <c r="P105" s="10"/>
      <c r="Q105" s="10"/>
    </row>
    <row r="106" spans="3:17" ht="21.95" customHeight="1" x14ac:dyDescent="0.25">
      <c r="C106" s="7" t="str">
        <f>IF(Productos!B106="","",Productos!B106)</f>
        <v/>
      </c>
      <c r="D106" s="17" t="str">
        <f>IF($C106="","",SUMIFS('Base de Costos'!$H$5:$H$504,'Base de Costos'!$C$5:$C$504,$C106,'Base de Costos'!$D$5:$D$504,"Materia prima"))</f>
        <v/>
      </c>
      <c r="E106" s="17" t="str">
        <f>IF($C106="","",SUMIFS('Base de Costos'!$H$5:$H$504,'Base de Costos'!$C$5:$C$504,$C106,'Base de Costos'!$D$5:$D$504,"Mano de obra"))</f>
        <v/>
      </c>
      <c r="F106" s="17" t="str">
        <f>IF($C106="","",SUMIFS('Base de Costos'!$H$5:$H$504,'Base de Costos'!$C$5:$C$504,$C106,'Base de Costos'!$D$5:$D$504,"Costo indirecto fabricación"))</f>
        <v/>
      </c>
      <c r="G106" s="17" t="str">
        <f t="shared" si="12"/>
        <v/>
      </c>
      <c r="H106" s="17" t="str">
        <f>IF($C106="","",SUMIFS('Base de Costos'!$H$5:$H$504,'Base de Costos'!$C$5:$C$504,$C106,'Base de Costos'!$D$5:$D$504,"Gasto publicidad")+SUMIFS('Base de Costos'!$H$5:$H$504,'Base de Costos'!$C$5:$C$504,$C106,'Base de Costos'!$D$5:$D$504,"Gasto administrativo")+SUMIFS('Base de Costos'!$H$5:$H$504,'Base de Costos'!$C$5:$C$504,$C106,'Base de Costos'!$D$5:$D$504,"Otro gasto"))</f>
        <v/>
      </c>
      <c r="I106" s="18" t="str">
        <f>IF($C106="","",IFERROR(VLOOKUP($C106,Productos!$B$5:$H$124,7,FALSE),0))</f>
        <v/>
      </c>
      <c r="J106" s="17" t="str">
        <f t="shared" si="13"/>
        <v/>
      </c>
      <c r="K106" s="17" t="str">
        <f t="shared" si="14"/>
        <v/>
      </c>
      <c r="L106" s="17" t="str">
        <f t="shared" si="15"/>
        <v/>
      </c>
      <c r="M106" s="7" t="str">
        <f>IF($C106="","",IF(J106=0,"Sin datos",IF(IFERROR(VLOOKUP($C106,Productos!$B$5:$H$124,4,FALSE),0)=0,"Sin precio cliente",IF(IFERROR(VLOOKUP($C106,Productos!$B$5:$H$124,4,FALSE),0)&lt;J106,"Riesgo: cliente bajo costo",IF(K106&gt;IFERROR(VLOOKUP($C106,Productos!$B$5:$H$124,4,FALSE),0),"Revisar: sugerido sobre cliente",IF(K106&gt;IFERROR(VLOOKUP($C106,Productos!$B$5:$H$124,5,FALSE),0),"Sobre competencia","Competitivo"))))))</f>
        <v/>
      </c>
      <c r="O106" s="10"/>
      <c r="P106" s="10"/>
      <c r="Q106" s="10"/>
    </row>
    <row r="107" spans="3:17" ht="21.95" customHeight="1" x14ac:dyDescent="0.25">
      <c r="C107" s="7" t="str">
        <f>IF(Productos!B107="","",Productos!B107)</f>
        <v/>
      </c>
      <c r="D107" s="17" t="str">
        <f>IF($C107="","",SUMIFS('Base de Costos'!$H$5:$H$504,'Base de Costos'!$C$5:$C$504,$C107,'Base de Costos'!$D$5:$D$504,"Materia prima"))</f>
        <v/>
      </c>
      <c r="E107" s="17" t="str">
        <f>IF($C107="","",SUMIFS('Base de Costos'!$H$5:$H$504,'Base de Costos'!$C$5:$C$504,$C107,'Base de Costos'!$D$5:$D$504,"Mano de obra"))</f>
        <v/>
      </c>
      <c r="F107" s="17" t="str">
        <f>IF($C107="","",SUMIFS('Base de Costos'!$H$5:$H$504,'Base de Costos'!$C$5:$C$504,$C107,'Base de Costos'!$D$5:$D$504,"Costo indirecto fabricación"))</f>
        <v/>
      </c>
      <c r="G107" s="17" t="str">
        <f t="shared" si="12"/>
        <v/>
      </c>
      <c r="H107" s="17" t="str">
        <f>IF($C107="","",SUMIFS('Base de Costos'!$H$5:$H$504,'Base de Costos'!$C$5:$C$504,$C107,'Base de Costos'!$D$5:$D$504,"Gasto publicidad")+SUMIFS('Base de Costos'!$H$5:$H$504,'Base de Costos'!$C$5:$C$504,$C107,'Base de Costos'!$D$5:$D$504,"Gasto administrativo")+SUMIFS('Base de Costos'!$H$5:$H$504,'Base de Costos'!$C$5:$C$504,$C107,'Base de Costos'!$D$5:$D$504,"Otro gasto"))</f>
        <v/>
      </c>
      <c r="I107" s="18" t="str">
        <f>IF($C107="","",IFERROR(VLOOKUP($C107,Productos!$B$5:$H$124,7,FALSE),0))</f>
        <v/>
      </c>
      <c r="J107" s="17" t="str">
        <f t="shared" si="13"/>
        <v/>
      </c>
      <c r="K107" s="17" t="str">
        <f t="shared" si="14"/>
        <v/>
      </c>
      <c r="L107" s="17" t="str">
        <f t="shared" si="15"/>
        <v/>
      </c>
      <c r="M107" s="7" t="str">
        <f>IF($C107="","",IF(J107=0,"Sin datos",IF(IFERROR(VLOOKUP($C107,Productos!$B$5:$H$124,4,FALSE),0)=0,"Sin precio cliente",IF(IFERROR(VLOOKUP($C107,Productos!$B$5:$H$124,4,FALSE),0)&lt;J107,"Riesgo: cliente bajo costo",IF(K107&gt;IFERROR(VLOOKUP($C107,Productos!$B$5:$H$124,4,FALSE),0),"Revisar: sugerido sobre cliente",IF(K107&gt;IFERROR(VLOOKUP($C107,Productos!$B$5:$H$124,5,FALSE),0),"Sobre competencia","Competitivo"))))))</f>
        <v/>
      </c>
      <c r="O107" s="10"/>
      <c r="P107" s="10"/>
      <c r="Q107" s="10"/>
    </row>
    <row r="108" spans="3:17" ht="21.95" customHeight="1" x14ac:dyDescent="0.25">
      <c r="C108" s="7" t="str">
        <f>IF(Productos!B108="","",Productos!B108)</f>
        <v/>
      </c>
      <c r="D108" s="17" t="str">
        <f>IF($C108="","",SUMIFS('Base de Costos'!$H$5:$H$504,'Base de Costos'!$C$5:$C$504,$C108,'Base de Costos'!$D$5:$D$504,"Materia prima"))</f>
        <v/>
      </c>
      <c r="E108" s="17" t="str">
        <f>IF($C108="","",SUMIFS('Base de Costos'!$H$5:$H$504,'Base de Costos'!$C$5:$C$504,$C108,'Base de Costos'!$D$5:$D$504,"Mano de obra"))</f>
        <v/>
      </c>
      <c r="F108" s="17" t="str">
        <f>IF($C108="","",SUMIFS('Base de Costos'!$H$5:$H$504,'Base de Costos'!$C$5:$C$504,$C108,'Base de Costos'!$D$5:$D$504,"Costo indirecto fabricación"))</f>
        <v/>
      </c>
      <c r="G108" s="17" t="str">
        <f t="shared" si="12"/>
        <v/>
      </c>
      <c r="H108" s="17" t="str">
        <f>IF($C108="","",SUMIFS('Base de Costos'!$H$5:$H$504,'Base de Costos'!$C$5:$C$504,$C108,'Base de Costos'!$D$5:$D$504,"Gasto publicidad")+SUMIFS('Base de Costos'!$H$5:$H$504,'Base de Costos'!$C$5:$C$504,$C108,'Base de Costos'!$D$5:$D$504,"Gasto administrativo")+SUMIFS('Base de Costos'!$H$5:$H$504,'Base de Costos'!$C$5:$C$504,$C108,'Base de Costos'!$D$5:$D$504,"Otro gasto"))</f>
        <v/>
      </c>
      <c r="I108" s="18" t="str">
        <f>IF($C108="","",IFERROR(VLOOKUP($C108,Productos!$B$5:$H$124,7,FALSE),0))</f>
        <v/>
      </c>
      <c r="J108" s="17" t="str">
        <f t="shared" si="13"/>
        <v/>
      </c>
      <c r="K108" s="17" t="str">
        <f t="shared" si="14"/>
        <v/>
      </c>
      <c r="L108" s="17" t="str">
        <f t="shared" si="15"/>
        <v/>
      </c>
      <c r="M108" s="7" t="str">
        <f>IF($C108="","",IF(J108=0,"Sin datos",IF(IFERROR(VLOOKUP($C108,Productos!$B$5:$H$124,4,FALSE),0)=0,"Sin precio cliente",IF(IFERROR(VLOOKUP($C108,Productos!$B$5:$H$124,4,FALSE),0)&lt;J108,"Riesgo: cliente bajo costo",IF(K108&gt;IFERROR(VLOOKUP($C108,Productos!$B$5:$H$124,4,FALSE),0),"Revisar: sugerido sobre cliente",IF(K108&gt;IFERROR(VLOOKUP($C108,Productos!$B$5:$H$124,5,FALSE),0),"Sobre competencia","Competitivo"))))))</f>
        <v/>
      </c>
      <c r="O108" s="10"/>
      <c r="P108" s="10"/>
      <c r="Q108" s="10"/>
    </row>
    <row r="109" spans="3:17" ht="21.95" customHeight="1" x14ac:dyDescent="0.25">
      <c r="C109" s="7" t="str">
        <f>IF(Productos!B109="","",Productos!B109)</f>
        <v/>
      </c>
      <c r="D109" s="17" t="str">
        <f>IF($C109="","",SUMIFS('Base de Costos'!$H$5:$H$504,'Base de Costos'!$C$5:$C$504,$C109,'Base de Costos'!$D$5:$D$504,"Materia prima"))</f>
        <v/>
      </c>
      <c r="E109" s="17" t="str">
        <f>IF($C109="","",SUMIFS('Base de Costos'!$H$5:$H$504,'Base de Costos'!$C$5:$C$504,$C109,'Base de Costos'!$D$5:$D$504,"Mano de obra"))</f>
        <v/>
      </c>
      <c r="F109" s="17" t="str">
        <f>IF($C109="","",SUMIFS('Base de Costos'!$H$5:$H$504,'Base de Costos'!$C$5:$C$504,$C109,'Base de Costos'!$D$5:$D$504,"Costo indirecto fabricación"))</f>
        <v/>
      </c>
      <c r="G109" s="17" t="str">
        <f t="shared" si="12"/>
        <v/>
      </c>
      <c r="H109" s="17" t="str">
        <f>IF($C109="","",SUMIFS('Base de Costos'!$H$5:$H$504,'Base de Costos'!$C$5:$C$504,$C109,'Base de Costos'!$D$5:$D$504,"Gasto publicidad")+SUMIFS('Base de Costos'!$H$5:$H$504,'Base de Costos'!$C$5:$C$504,$C109,'Base de Costos'!$D$5:$D$504,"Gasto administrativo")+SUMIFS('Base de Costos'!$H$5:$H$504,'Base de Costos'!$C$5:$C$504,$C109,'Base de Costos'!$D$5:$D$504,"Otro gasto"))</f>
        <v/>
      </c>
      <c r="I109" s="18" t="str">
        <f>IF($C109="","",IFERROR(VLOOKUP($C109,Productos!$B$5:$H$124,7,FALSE),0))</f>
        <v/>
      </c>
      <c r="J109" s="17" t="str">
        <f t="shared" si="13"/>
        <v/>
      </c>
      <c r="K109" s="17" t="str">
        <f t="shared" si="14"/>
        <v/>
      </c>
      <c r="L109" s="17" t="str">
        <f t="shared" si="15"/>
        <v/>
      </c>
      <c r="M109" s="7" t="str">
        <f>IF($C109="","",IF(J109=0,"Sin datos",IF(IFERROR(VLOOKUP($C109,Productos!$B$5:$H$124,4,FALSE),0)=0,"Sin precio cliente",IF(IFERROR(VLOOKUP($C109,Productos!$B$5:$H$124,4,FALSE),0)&lt;J109,"Riesgo: cliente bajo costo",IF(K109&gt;IFERROR(VLOOKUP($C109,Productos!$B$5:$H$124,4,FALSE),0),"Revisar: sugerido sobre cliente",IF(K109&gt;IFERROR(VLOOKUP($C109,Productos!$B$5:$H$124,5,FALSE),0),"Sobre competencia","Competitivo"))))))</f>
        <v/>
      </c>
      <c r="O109" s="10"/>
      <c r="P109" s="10"/>
      <c r="Q109" s="10"/>
    </row>
    <row r="110" spans="3:17" ht="21.95" customHeight="1" x14ac:dyDescent="0.25">
      <c r="C110" s="7" t="str">
        <f>IF(Productos!B110="","",Productos!B110)</f>
        <v/>
      </c>
      <c r="D110" s="17" t="str">
        <f>IF($C110="","",SUMIFS('Base de Costos'!$H$5:$H$504,'Base de Costos'!$C$5:$C$504,$C110,'Base de Costos'!$D$5:$D$504,"Materia prima"))</f>
        <v/>
      </c>
      <c r="E110" s="17" t="str">
        <f>IF($C110="","",SUMIFS('Base de Costos'!$H$5:$H$504,'Base de Costos'!$C$5:$C$504,$C110,'Base de Costos'!$D$5:$D$504,"Mano de obra"))</f>
        <v/>
      </c>
      <c r="F110" s="17" t="str">
        <f>IF($C110="","",SUMIFS('Base de Costos'!$H$5:$H$504,'Base de Costos'!$C$5:$C$504,$C110,'Base de Costos'!$D$5:$D$504,"Costo indirecto fabricación"))</f>
        <v/>
      </c>
      <c r="G110" s="17" t="str">
        <f t="shared" si="12"/>
        <v/>
      </c>
      <c r="H110" s="17" t="str">
        <f>IF($C110="","",SUMIFS('Base de Costos'!$H$5:$H$504,'Base de Costos'!$C$5:$C$504,$C110,'Base de Costos'!$D$5:$D$504,"Gasto publicidad")+SUMIFS('Base de Costos'!$H$5:$H$504,'Base de Costos'!$C$5:$C$504,$C110,'Base de Costos'!$D$5:$D$504,"Gasto administrativo")+SUMIFS('Base de Costos'!$H$5:$H$504,'Base de Costos'!$C$5:$C$504,$C110,'Base de Costos'!$D$5:$D$504,"Otro gasto"))</f>
        <v/>
      </c>
      <c r="I110" s="18" t="str">
        <f>IF($C110="","",IFERROR(VLOOKUP($C110,Productos!$B$5:$H$124,7,FALSE),0))</f>
        <v/>
      </c>
      <c r="J110" s="17" t="str">
        <f t="shared" si="13"/>
        <v/>
      </c>
      <c r="K110" s="17" t="str">
        <f t="shared" si="14"/>
        <v/>
      </c>
      <c r="L110" s="17" t="str">
        <f t="shared" si="15"/>
        <v/>
      </c>
      <c r="M110" s="7" t="str">
        <f>IF($C110="","",IF(J110=0,"Sin datos",IF(IFERROR(VLOOKUP($C110,Productos!$B$5:$H$124,4,FALSE),0)=0,"Sin precio cliente",IF(IFERROR(VLOOKUP($C110,Productos!$B$5:$H$124,4,FALSE),0)&lt;J110,"Riesgo: cliente bajo costo",IF(K110&gt;IFERROR(VLOOKUP($C110,Productos!$B$5:$H$124,4,FALSE),0),"Revisar: sugerido sobre cliente",IF(K110&gt;IFERROR(VLOOKUP($C110,Productos!$B$5:$H$124,5,FALSE),0),"Sobre competencia","Competitivo"))))))</f>
        <v/>
      </c>
      <c r="O110" s="10"/>
      <c r="P110" s="10"/>
      <c r="Q110" s="10"/>
    </row>
    <row r="111" spans="3:17" ht="21.95" customHeight="1" x14ac:dyDescent="0.25">
      <c r="C111" s="7" t="str">
        <f>IF(Productos!B111="","",Productos!B111)</f>
        <v/>
      </c>
      <c r="D111" s="17" t="str">
        <f>IF($C111="","",SUMIFS('Base de Costos'!$H$5:$H$504,'Base de Costos'!$C$5:$C$504,$C111,'Base de Costos'!$D$5:$D$504,"Materia prima"))</f>
        <v/>
      </c>
      <c r="E111" s="17" t="str">
        <f>IF($C111="","",SUMIFS('Base de Costos'!$H$5:$H$504,'Base de Costos'!$C$5:$C$504,$C111,'Base de Costos'!$D$5:$D$504,"Mano de obra"))</f>
        <v/>
      </c>
      <c r="F111" s="17" t="str">
        <f>IF($C111="","",SUMIFS('Base de Costos'!$H$5:$H$504,'Base de Costos'!$C$5:$C$504,$C111,'Base de Costos'!$D$5:$D$504,"Costo indirecto fabricación"))</f>
        <v/>
      </c>
      <c r="G111" s="17" t="str">
        <f t="shared" si="12"/>
        <v/>
      </c>
      <c r="H111" s="17" t="str">
        <f>IF($C111="","",SUMIFS('Base de Costos'!$H$5:$H$504,'Base de Costos'!$C$5:$C$504,$C111,'Base de Costos'!$D$5:$D$504,"Gasto publicidad")+SUMIFS('Base de Costos'!$H$5:$H$504,'Base de Costos'!$C$5:$C$504,$C111,'Base de Costos'!$D$5:$D$504,"Gasto administrativo")+SUMIFS('Base de Costos'!$H$5:$H$504,'Base de Costos'!$C$5:$C$504,$C111,'Base de Costos'!$D$5:$D$504,"Otro gasto"))</f>
        <v/>
      </c>
      <c r="I111" s="18" t="str">
        <f>IF($C111="","",IFERROR(VLOOKUP($C111,Productos!$B$5:$H$124,7,FALSE),0))</f>
        <v/>
      </c>
      <c r="J111" s="17" t="str">
        <f t="shared" si="13"/>
        <v/>
      </c>
      <c r="K111" s="17" t="str">
        <f t="shared" si="14"/>
        <v/>
      </c>
      <c r="L111" s="17" t="str">
        <f t="shared" si="15"/>
        <v/>
      </c>
      <c r="M111" s="7" t="str">
        <f>IF($C111="","",IF(J111=0,"Sin datos",IF(IFERROR(VLOOKUP($C111,Productos!$B$5:$H$124,4,FALSE),0)=0,"Sin precio cliente",IF(IFERROR(VLOOKUP($C111,Productos!$B$5:$H$124,4,FALSE),0)&lt;J111,"Riesgo: cliente bajo costo",IF(K111&gt;IFERROR(VLOOKUP($C111,Productos!$B$5:$H$124,4,FALSE),0),"Revisar: sugerido sobre cliente",IF(K111&gt;IFERROR(VLOOKUP($C111,Productos!$B$5:$H$124,5,FALSE),0),"Sobre competencia","Competitivo"))))))</f>
        <v/>
      </c>
      <c r="O111" s="10"/>
      <c r="P111" s="10"/>
      <c r="Q111" s="10"/>
    </row>
    <row r="112" spans="3:17" ht="21.95" customHeight="1" x14ac:dyDescent="0.25">
      <c r="C112" s="7" t="str">
        <f>IF(Productos!B112="","",Productos!B112)</f>
        <v/>
      </c>
      <c r="D112" s="17" t="str">
        <f>IF($C112="","",SUMIFS('Base de Costos'!$H$5:$H$504,'Base de Costos'!$C$5:$C$504,$C112,'Base de Costos'!$D$5:$D$504,"Materia prima"))</f>
        <v/>
      </c>
      <c r="E112" s="17" t="str">
        <f>IF($C112="","",SUMIFS('Base de Costos'!$H$5:$H$504,'Base de Costos'!$C$5:$C$504,$C112,'Base de Costos'!$D$5:$D$504,"Mano de obra"))</f>
        <v/>
      </c>
      <c r="F112" s="17" t="str">
        <f>IF($C112="","",SUMIFS('Base de Costos'!$H$5:$H$504,'Base de Costos'!$C$5:$C$504,$C112,'Base de Costos'!$D$5:$D$504,"Costo indirecto fabricación"))</f>
        <v/>
      </c>
      <c r="G112" s="17" t="str">
        <f t="shared" si="12"/>
        <v/>
      </c>
      <c r="H112" s="17" t="str">
        <f>IF($C112="","",SUMIFS('Base de Costos'!$H$5:$H$504,'Base de Costos'!$C$5:$C$504,$C112,'Base de Costos'!$D$5:$D$504,"Gasto publicidad")+SUMIFS('Base de Costos'!$H$5:$H$504,'Base de Costos'!$C$5:$C$504,$C112,'Base de Costos'!$D$5:$D$504,"Gasto administrativo")+SUMIFS('Base de Costos'!$H$5:$H$504,'Base de Costos'!$C$5:$C$504,$C112,'Base de Costos'!$D$5:$D$504,"Otro gasto"))</f>
        <v/>
      </c>
      <c r="I112" s="18" t="str">
        <f>IF($C112="","",IFERROR(VLOOKUP($C112,Productos!$B$5:$H$124,7,FALSE),0))</f>
        <v/>
      </c>
      <c r="J112" s="17" t="str">
        <f t="shared" si="13"/>
        <v/>
      </c>
      <c r="K112" s="17" t="str">
        <f t="shared" si="14"/>
        <v/>
      </c>
      <c r="L112" s="17" t="str">
        <f t="shared" si="15"/>
        <v/>
      </c>
      <c r="M112" s="7" t="str">
        <f>IF($C112="","",IF(J112=0,"Sin datos",IF(IFERROR(VLOOKUP($C112,Productos!$B$5:$H$124,4,FALSE),0)=0,"Sin precio cliente",IF(IFERROR(VLOOKUP($C112,Productos!$B$5:$H$124,4,FALSE),0)&lt;J112,"Riesgo: cliente bajo costo",IF(K112&gt;IFERROR(VLOOKUP($C112,Productos!$B$5:$H$124,4,FALSE),0),"Revisar: sugerido sobre cliente",IF(K112&gt;IFERROR(VLOOKUP($C112,Productos!$B$5:$H$124,5,FALSE),0),"Sobre competencia","Competitivo"))))))</f>
        <v/>
      </c>
      <c r="O112" s="10"/>
      <c r="P112" s="10"/>
      <c r="Q112" s="10"/>
    </row>
    <row r="113" spans="3:17" ht="21.95" customHeight="1" x14ac:dyDescent="0.25">
      <c r="C113" s="7" t="str">
        <f>IF(Productos!B113="","",Productos!B113)</f>
        <v/>
      </c>
      <c r="D113" s="17" t="str">
        <f>IF($C113="","",SUMIFS('Base de Costos'!$H$5:$H$504,'Base de Costos'!$C$5:$C$504,$C113,'Base de Costos'!$D$5:$D$504,"Materia prima"))</f>
        <v/>
      </c>
      <c r="E113" s="17" t="str">
        <f>IF($C113="","",SUMIFS('Base de Costos'!$H$5:$H$504,'Base de Costos'!$C$5:$C$504,$C113,'Base de Costos'!$D$5:$D$504,"Mano de obra"))</f>
        <v/>
      </c>
      <c r="F113" s="17" t="str">
        <f>IF($C113="","",SUMIFS('Base de Costos'!$H$5:$H$504,'Base de Costos'!$C$5:$C$504,$C113,'Base de Costos'!$D$5:$D$504,"Costo indirecto fabricación"))</f>
        <v/>
      </c>
      <c r="G113" s="17" t="str">
        <f t="shared" si="12"/>
        <v/>
      </c>
      <c r="H113" s="17" t="str">
        <f>IF($C113="","",SUMIFS('Base de Costos'!$H$5:$H$504,'Base de Costos'!$C$5:$C$504,$C113,'Base de Costos'!$D$5:$D$504,"Gasto publicidad")+SUMIFS('Base de Costos'!$H$5:$H$504,'Base de Costos'!$C$5:$C$504,$C113,'Base de Costos'!$D$5:$D$504,"Gasto administrativo")+SUMIFS('Base de Costos'!$H$5:$H$504,'Base de Costos'!$C$5:$C$504,$C113,'Base de Costos'!$D$5:$D$504,"Otro gasto"))</f>
        <v/>
      </c>
      <c r="I113" s="18" t="str">
        <f>IF($C113="","",IFERROR(VLOOKUP($C113,Productos!$B$5:$H$124,7,FALSE),0))</f>
        <v/>
      </c>
      <c r="J113" s="17" t="str">
        <f t="shared" si="13"/>
        <v/>
      </c>
      <c r="K113" s="17" t="str">
        <f t="shared" si="14"/>
        <v/>
      </c>
      <c r="L113" s="17" t="str">
        <f t="shared" si="15"/>
        <v/>
      </c>
      <c r="M113" s="7" t="str">
        <f>IF($C113="","",IF(J113=0,"Sin datos",IF(IFERROR(VLOOKUP($C113,Productos!$B$5:$H$124,4,FALSE),0)=0,"Sin precio cliente",IF(IFERROR(VLOOKUP($C113,Productos!$B$5:$H$124,4,FALSE),0)&lt;J113,"Riesgo: cliente bajo costo",IF(K113&gt;IFERROR(VLOOKUP($C113,Productos!$B$5:$H$124,4,FALSE),0),"Revisar: sugerido sobre cliente",IF(K113&gt;IFERROR(VLOOKUP($C113,Productos!$B$5:$H$124,5,FALSE),0),"Sobre competencia","Competitivo"))))))</f>
        <v/>
      </c>
      <c r="O113" s="10"/>
      <c r="P113" s="10"/>
      <c r="Q113" s="10"/>
    </row>
    <row r="114" spans="3:17" ht="21.95" customHeight="1" x14ac:dyDescent="0.25">
      <c r="C114" s="7" t="str">
        <f>IF(Productos!B114="","",Productos!B114)</f>
        <v/>
      </c>
      <c r="D114" s="17" t="str">
        <f>IF($C114="","",SUMIFS('Base de Costos'!$H$5:$H$504,'Base de Costos'!$C$5:$C$504,$C114,'Base de Costos'!$D$5:$D$504,"Materia prima"))</f>
        <v/>
      </c>
      <c r="E114" s="17" t="str">
        <f>IF($C114="","",SUMIFS('Base de Costos'!$H$5:$H$504,'Base de Costos'!$C$5:$C$504,$C114,'Base de Costos'!$D$5:$D$504,"Mano de obra"))</f>
        <v/>
      </c>
      <c r="F114" s="17" t="str">
        <f>IF($C114="","",SUMIFS('Base de Costos'!$H$5:$H$504,'Base de Costos'!$C$5:$C$504,$C114,'Base de Costos'!$D$5:$D$504,"Costo indirecto fabricación"))</f>
        <v/>
      </c>
      <c r="G114" s="17" t="str">
        <f t="shared" si="12"/>
        <v/>
      </c>
      <c r="H114" s="17" t="str">
        <f>IF($C114="","",SUMIFS('Base de Costos'!$H$5:$H$504,'Base de Costos'!$C$5:$C$504,$C114,'Base de Costos'!$D$5:$D$504,"Gasto publicidad")+SUMIFS('Base de Costos'!$H$5:$H$504,'Base de Costos'!$C$5:$C$504,$C114,'Base de Costos'!$D$5:$D$504,"Gasto administrativo")+SUMIFS('Base de Costos'!$H$5:$H$504,'Base de Costos'!$C$5:$C$504,$C114,'Base de Costos'!$D$5:$D$504,"Otro gasto"))</f>
        <v/>
      </c>
      <c r="I114" s="18" t="str">
        <f>IF($C114="","",IFERROR(VLOOKUP($C114,Productos!$B$5:$H$124,7,FALSE),0))</f>
        <v/>
      </c>
      <c r="J114" s="17" t="str">
        <f t="shared" si="13"/>
        <v/>
      </c>
      <c r="K114" s="17" t="str">
        <f t="shared" si="14"/>
        <v/>
      </c>
      <c r="L114" s="17" t="str">
        <f t="shared" si="15"/>
        <v/>
      </c>
      <c r="M114" s="7" t="str">
        <f>IF($C114="","",IF(J114=0,"Sin datos",IF(IFERROR(VLOOKUP($C114,Productos!$B$5:$H$124,4,FALSE),0)=0,"Sin precio cliente",IF(IFERROR(VLOOKUP($C114,Productos!$B$5:$H$124,4,FALSE),0)&lt;J114,"Riesgo: cliente bajo costo",IF(K114&gt;IFERROR(VLOOKUP($C114,Productos!$B$5:$H$124,4,FALSE),0),"Revisar: sugerido sobre cliente",IF(K114&gt;IFERROR(VLOOKUP($C114,Productos!$B$5:$H$124,5,FALSE),0),"Sobre competencia","Competitivo"))))))</f>
        <v/>
      </c>
      <c r="O114" s="10"/>
      <c r="P114" s="10"/>
      <c r="Q114" s="10"/>
    </row>
    <row r="115" spans="3:17" ht="21.95" customHeight="1" x14ac:dyDescent="0.25">
      <c r="C115" s="7" t="str">
        <f>IF(Productos!B115="","",Productos!B115)</f>
        <v/>
      </c>
      <c r="D115" s="17" t="str">
        <f>IF($C115="","",SUMIFS('Base de Costos'!$H$5:$H$504,'Base de Costos'!$C$5:$C$504,$C115,'Base de Costos'!$D$5:$D$504,"Materia prima"))</f>
        <v/>
      </c>
      <c r="E115" s="17" t="str">
        <f>IF($C115="","",SUMIFS('Base de Costos'!$H$5:$H$504,'Base de Costos'!$C$5:$C$504,$C115,'Base de Costos'!$D$5:$D$504,"Mano de obra"))</f>
        <v/>
      </c>
      <c r="F115" s="17" t="str">
        <f>IF($C115="","",SUMIFS('Base de Costos'!$H$5:$H$504,'Base de Costos'!$C$5:$C$504,$C115,'Base de Costos'!$D$5:$D$504,"Costo indirecto fabricación"))</f>
        <v/>
      </c>
      <c r="G115" s="17" t="str">
        <f t="shared" si="12"/>
        <v/>
      </c>
      <c r="H115" s="17" t="str">
        <f>IF($C115="","",SUMIFS('Base de Costos'!$H$5:$H$504,'Base de Costos'!$C$5:$C$504,$C115,'Base de Costos'!$D$5:$D$504,"Gasto publicidad")+SUMIFS('Base de Costos'!$H$5:$H$504,'Base de Costos'!$C$5:$C$504,$C115,'Base de Costos'!$D$5:$D$504,"Gasto administrativo")+SUMIFS('Base de Costos'!$H$5:$H$504,'Base de Costos'!$C$5:$C$504,$C115,'Base de Costos'!$D$5:$D$504,"Otro gasto"))</f>
        <v/>
      </c>
      <c r="I115" s="18" t="str">
        <f>IF($C115="","",IFERROR(VLOOKUP($C115,Productos!$B$5:$H$124,7,FALSE),0))</f>
        <v/>
      </c>
      <c r="J115" s="17" t="str">
        <f t="shared" si="13"/>
        <v/>
      </c>
      <c r="K115" s="17" t="str">
        <f t="shared" si="14"/>
        <v/>
      </c>
      <c r="L115" s="17" t="str">
        <f t="shared" si="15"/>
        <v/>
      </c>
      <c r="M115" s="7" t="str">
        <f>IF($C115="","",IF(J115=0,"Sin datos",IF(IFERROR(VLOOKUP($C115,Productos!$B$5:$H$124,4,FALSE),0)=0,"Sin precio cliente",IF(IFERROR(VLOOKUP($C115,Productos!$B$5:$H$124,4,FALSE),0)&lt;J115,"Riesgo: cliente bajo costo",IF(K115&gt;IFERROR(VLOOKUP($C115,Productos!$B$5:$H$124,4,FALSE),0),"Revisar: sugerido sobre cliente",IF(K115&gt;IFERROR(VLOOKUP($C115,Productos!$B$5:$H$124,5,FALSE),0),"Sobre competencia","Competitivo"))))))</f>
        <v/>
      </c>
      <c r="O115" s="10"/>
      <c r="P115" s="10"/>
      <c r="Q115" s="10"/>
    </row>
    <row r="116" spans="3:17" ht="21.95" customHeight="1" x14ac:dyDescent="0.25">
      <c r="C116" s="7" t="str">
        <f>IF(Productos!B116="","",Productos!B116)</f>
        <v/>
      </c>
      <c r="D116" s="17" t="str">
        <f>IF($C116="","",SUMIFS('Base de Costos'!$H$5:$H$504,'Base de Costos'!$C$5:$C$504,$C116,'Base de Costos'!$D$5:$D$504,"Materia prima"))</f>
        <v/>
      </c>
      <c r="E116" s="17" t="str">
        <f>IF($C116="","",SUMIFS('Base de Costos'!$H$5:$H$504,'Base de Costos'!$C$5:$C$504,$C116,'Base de Costos'!$D$5:$D$504,"Mano de obra"))</f>
        <v/>
      </c>
      <c r="F116" s="17" t="str">
        <f>IF($C116="","",SUMIFS('Base de Costos'!$H$5:$H$504,'Base de Costos'!$C$5:$C$504,$C116,'Base de Costos'!$D$5:$D$504,"Costo indirecto fabricación"))</f>
        <v/>
      </c>
      <c r="G116" s="17" t="str">
        <f t="shared" si="12"/>
        <v/>
      </c>
      <c r="H116" s="17" t="str">
        <f>IF($C116="","",SUMIFS('Base de Costos'!$H$5:$H$504,'Base de Costos'!$C$5:$C$504,$C116,'Base de Costos'!$D$5:$D$504,"Gasto publicidad")+SUMIFS('Base de Costos'!$H$5:$H$504,'Base de Costos'!$C$5:$C$504,$C116,'Base de Costos'!$D$5:$D$504,"Gasto administrativo")+SUMIFS('Base de Costos'!$H$5:$H$504,'Base de Costos'!$C$5:$C$504,$C116,'Base de Costos'!$D$5:$D$504,"Otro gasto"))</f>
        <v/>
      </c>
      <c r="I116" s="18" t="str">
        <f>IF($C116="","",IFERROR(VLOOKUP($C116,Productos!$B$5:$H$124,7,FALSE),0))</f>
        <v/>
      </c>
      <c r="J116" s="17" t="str">
        <f t="shared" si="13"/>
        <v/>
      </c>
      <c r="K116" s="17" t="str">
        <f t="shared" si="14"/>
        <v/>
      </c>
      <c r="L116" s="17" t="str">
        <f t="shared" si="15"/>
        <v/>
      </c>
      <c r="M116" s="7" t="str">
        <f>IF($C116="","",IF(J116=0,"Sin datos",IF(IFERROR(VLOOKUP($C116,Productos!$B$5:$H$124,4,FALSE),0)=0,"Sin precio cliente",IF(IFERROR(VLOOKUP($C116,Productos!$B$5:$H$124,4,FALSE),0)&lt;J116,"Riesgo: cliente bajo costo",IF(K116&gt;IFERROR(VLOOKUP($C116,Productos!$B$5:$H$124,4,FALSE),0),"Revisar: sugerido sobre cliente",IF(K116&gt;IFERROR(VLOOKUP($C116,Productos!$B$5:$H$124,5,FALSE),0),"Sobre competencia","Competitivo"))))))</f>
        <v/>
      </c>
      <c r="O116" s="10"/>
      <c r="P116" s="10"/>
      <c r="Q116" s="10"/>
    </row>
    <row r="117" spans="3:17" ht="21.95" customHeight="1" x14ac:dyDescent="0.25">
      <c r="C117" s="7" t="str">
        <f>IF(Productos!B117="","",Productos!B117)</f>
        <v/>
      </c>
      <c r="D117" s="17" t="str">
        <f>IF($C117="","",SUMIFS('Base de Costos'!$H$5:$H$504,'Base de Costos'!$C$5:$C$504,$C117,'Base de Costos'!$D$5:$D$504,"Materia prima"))</f>
        <v/>
      </c>
      <c r="E117" s="17" t="str">
        <f>IF($C117="","",SUMIFS('Base de Costos'!$H$5:$H$504,'Base de Costos'!$C$5:$C$504,$C117,'Base de Costos'!$D$5:$D$504,"Mano de obra"))</f>
        <v/>
      </c>
      <c r="F117" s="17" t="str">
        <f>IF($C117="","",SUMIFS('Base de Costos'!$H$5:$H$504,'Base de Costos'!$C$5:$C$504,$C117,'Base de Costos'!$D$5:$D$504,"Costo indirecto fabricación"))</f>
        <v/>
      </c>
      <c r="G117" s="17" t="str">
        <f t="shared" si="12"/>
        <v/>
      </c>
      <c r="H117" s="17" t="str">
        <f>IF($C117="","",SUMIFS('Base de Costos'!$H$5:$H$504,'Base de Costos'!$C$5:$C$504,$C117,'Base de Costos'!$D$5:$D$504,"Gasto publicidad")+SUMIFS('Base de Costos'!$H$5:$H$504,'Base de Costos'!$C$5:$C$504,$C117,'Base de Costos'!$D$5:$D$504,"Gasto administrativo")+SUMIFS('Base de Costos'!$H$5:$H$504,'Base de Costos'!$C$5:$C$504,$C117,'Base de Costos'!$D$5:$D$504,"Otro gasto"))</f>
        <v/>
      </c>
      <c r="I117" s="18" t="str">
        <f>IF($C117="","",IFERROR(VLOOKUP($C117,Productos!$B$5:$H$124,7,FALSE),0))</f>
        <v/>
      </c>
      <c r="J117" s="17" t="str">
        <f t="shared" si="13"/>
        <v/>
      </c>
      <c r="K117" s="17" t="str">
        <f t="shared" si="14"/>
        <v/>
      </c>
      <c r="L117" s="17" t="str">
        <f t="shared" si="15"/>
        <v/>
      </c>
      <c r="M117" s="7" t="str">
        <f>IF($C117="","",IF(J117=0,"Sin datos",IF(IFERROR(VLOOKUP($C117,Productos!$B$5:$H$124,4,FALSE),0)=0,"Sin precio cliente",IF(IFERROR(VLOOKUP($C117,Productos!$B$5:$H$124,4,FALSE),0)&lt;J117,"Riesgo: cliente bajo costo",IF(K117&gt;IFERROR(VLOOKUP($C117,Productos!$B$5:$H$124,4,FALSE),0),"Revisar: sugerido sobre cliente",IF(K117&gt;IFERROR(VLOOKUP($C117,Productos!$B$5:$H$124,5,FALSE),0),"Sobre competencia","Competitivo"))))))</f>
        <v/>
      </c>
      <c r="O117" s="10"/>
      <c r="P117" s="10"/>
      <c r="Q117" s="10"/>
    </row>
    <row r="118" spans="3:17" ht="21.95" customHeight="1" x14ac:dyDescent="0.25">
      <c r="C118" s="7" t="str">
        <f>IF(Productos!B118="","",Productos!B118)</f>
        <v/>
      </c>
      <c r="D118" s="17" t="str">
        <f>IF($C118="","",SUMIFS('Base de Costos'!$H$5:$H$504,'Base de Costos'!$C$5:$C$504,$C118,'Base de Costos'!$D$5:$D$504,"Materia prima"))</f>
        <v/>
      </c>
      <c r="E118" s="17" t="str">
        <f>IF($C118="","",SUMIFS('Base de Costos'!$H$5:$H$504,'Base de Costos'!$C$5:$C$504,$C118,'Base de Costos'!$D$5:$D$504,"Mano de obra"))</f>
        <v/>
      </c>
      <c r="F118" s="17" t="str">
        <f>IF($C118="","",SUMIFS('Base de Costos'!$H$5:$H$504,'Base de Costos'!$C$5:$C$504,$C118,'Base de Costos'!$D$5:$D$504,"Costo indirecto fabricación"))</f>
        <v/>
      </c>
      <c r="G118" s="17" t="str">
        <f t="shared" si="12"/>
        <v/>
      </c>
      <c r="H118" s="17" t="str">
        <f>IF($C118="","",SUMIFS('Base de Costos'!$H$5:$H$504,'Base de Costos'!$C$5:$C$504,$C118,'Base de Costos'!$D$5:$D$504,"Gasto publicidad")+SUMIFS('Base de Costos'!$H$5:$H$504,'Base de Costos'!$C$5:$C$504,$C118,'Base de Costos'!$D$5:$D$504,"Gasto administrativo")+SUMIFS('Base de Costos'!$H$5:$H$504,'Base de Costos'!$C$5:$C$504,$C118,'Base de Costos'!$D$5:$D$504,"Otro gasto"))</f>
        <v/>
      </c>
      <c r="I118" s="18" t="str">
        <f>IF($C118="","",IFERROR(VLOOKUP($C118,Productos!$B$5:$H$124,7,FALSE),0))</f>
        <v/>
      </c>
      <c r="J118" s="17" t="str">
        <f t="shared" si="13"/>
        <v/>
      </c>
      <c r="K118" s="17" t="str">
        <f t="shared" si="14"/>
        <v/>
      </c>
      <c r="L118" s="17" t="str">
        <f t="shared" si="15"/>
        <v/>
      </c>
      <c r="M118" s="7" t="str">
        <f>IF($C118="","",IF(J118=0,"Sin datos",IF(IFERROR(VLOOKUP($C118,Productos!$B$5:$H$124,4,FALSE),0)=0,"Sin precio cliente",IF(IFERROR(VLOOKUP($C118,Productos!$B$5:$H$124,4,FALSE),0)&lt;J118,"Riesgo: cliente bajo costo",IF(K118&gt;IFERROR(VLOOKUP($C118,Productos!$B$5:$H$124,4,FALSE),0),"Revisar: sugerido sobre cliente",IF(K118&gt;IFERROR(VLOOKUP($C118,Productos!$B$5:$H$124,5,FALSE),0),"Sobre competencia","Competitivo"))))))</f>
        <v/>
      </c>
      <c r="O118" s="10"/>
      <c r="P118" s="10"/>
      <c r="Q118" s="10"/>
    </row>
    <row r="119" spans="3:17" ht="21.95" customHeight="1" x14ac:dyDescent="0.25">
      <c r="C119" s="7" t="str">
        <f>IF(Productos!B119="","",Productos!B119)</f>
        <v/>
      </c>
      <c r="D119" s="17" t="str">
        <f>IF($C119="","",SUMIFS('Base de Costos'!$H$5:$H$504,'Base de Costos'!$C$5:$C$504,$C119,'Base de Costos'!$D$5:$D$504,"Materia prima"))</f>
        <v/>
      </c>
      <c r="E119" s="17" t="str">
        <f>IF($C119="","",SUMIFS('Base de Costos'!$H$5:$H$504,'Base de Costos'!$C$5:$C$504,$C119,'Base de Costos'!$D$5:$D$504,"Mano de obra"))</f>
        <v/>
      </c>
      <c r="F119" s="17" t="str">
        <f>IF($C119="","",SUMIFS('Base de Costos'!$H$5:$H$504,'Base de Costos'!$C$5:$C$504,$C119,'Base de Costos'!$D$5:$D$504,"Costo indirecto fabricación"))</f>
        <v/>
      </c>
      <c r="G119" s="17" t="str">
        <f t="shared" si="12"/>
        <v/>
      </c>
      <c r="H119" s="17" t="str">
        <f>IF($C119="","",SUMIFS('Base de Costos'!$H$5:$H$504,'Base de Costos'!$C$5:$C$504,$C119,'Base de Costos'!$D$5:$D$504,"Gasto publicidad")+SUMIFS('Base de Costos'!$H$5:$H$504,'Base de Costos'!$C$5:$C$504,$C119,'Base de Costos'!$D$5:$D$504,"Gasto administrativo")+SUMIFS('Base de Costos'!$H$5:$H$504,'Base de Costos'!$C$5:$C$504,$C119,'Base de Costos'!$D$5:$D$504,"Otro gasto"))</f>
        <v/>
      </c>
      <c r="I119" s="18" t="str">
        <f>IF($C119="","",IFERROR(VLOOKUP($C119,Productos!$B$5:$H$124,7,FALSE),0))</f>
        <v/>
      </c>
      <c r="J119" s="17" t="str">
        <f t="shared" si="13"/>
        <v/>
      </c>
      <c r="K119" s="17" t="str">
        <f t="shared" si="14"/>
        <v/>
      </c>
      <c r="L119" s="17" t="str">
        <f t="shared" si="15"/>
        <v/>
      </c>
      <c r="M119" s="7" t="str">
        <f>IF($C119="","",IF(J119=0,"Sin datos",IF(IFERROR(VLOOKUP($C119,Productos!$B$5:$H$124,4,FALSE),0)=0,"Sin precio cliente",IF(IFERROR(VLOOKUP($C119,Productos!$B$5:$H$124,4,FALSE),0)&lt;J119,"Riesgo: cliente bajo costo",IF(K119&gt;IFERROR(VLOOKUP($C119,Productos!$B$5:$H$124,4,FALSE),0),"Revisar: sugerido sobre cliente",IF(K119&gt;IFERROR(VLOOKUP($C119,Productos!$B$5:$H$124,5,FALSE),0),"Sobre competencia","Competitivo"))))))</f>
        <v/>
      </c>
      <c r="O119" s="10"/>
      <c r="P119" s="10"/>
      <c r="Q119" s="10"/>
    </row>
    <row r="120" spans="3:17" ht="21.95" customHeight="1" x14ac:dyDescent="0.25">
      <c r="C120" s="7" t="str">
        <f>IF(Productos!B120="","",Productos!B120)</f>
        <v/>
      </c>
      <c r="D120" s="17" t="str">
        <f>IF($C120="","",SUMIFS('Base de Costos'!$H$5:$H$504,'Base de Costos'!$C$5:$C$504,$C120,'Base de Costos'!$D$5:$D$504,"Materia prima"))</f>
        <v/>
      </c>
      <c r="E120" s="17" t="str">
        <f>IF($C120="","",SUMIFS('Base de Costos'!$H$5:$H$504,'Base de Costos'!$C$5:$C$504,$C120,'Base de Costos'!$D$5:$D$504,"Mano de obra"))</f>
        <v/>
      </c>
      <c r="F120" s="17" t="str">
        <f>IF($C120="","",SUMIFS('Base de Costos'!$H$5:$H$504,'Base de Costos'!$C$5:$C$504,$C120,'Base de Costos'!$D$5:$D$504,"Costo indirecto fabricación"))</f>
        <v/>
      </c>
      <c r="G120" s="17" t="str">
        <f t="shared" si="12"/>
        <v/>
      </c>
      <c r="H120" s="17" t="str">
        <f>IF($C120="","",SUMIFS('Base de Costos'!$H$5:$H$504,'Base de Costos'!$C$5:$C$504,$C120,'Base de Costos'!$D$5:$D$504,"Gasto publicidad")+SUMIFS('Base de Costos'!$H$5:$H$504,'Base de Costos'!$C$5:$C$504,$C120,'Base de Costos'!$D$5:$D$504,"Gasto administrativo")+SUMIFS('Base de Costos'!$H$5:$H$504,'Base de Costos'!$C$5:$C$504,$C120,'Base de Costos'!$D$5:$D$504,"Otro gasto"))</f>
        <v/>
      </c>
      <c r="I120" s="18" t="str">
        <f>IF($C120="","",IFERROR(VLOOKUP($C120,Productos!$B$5:$H$124,7,FALSE),0))</f>
        <v/>
      </c>
      <c r="J120" s="17" t="str">
        <f t="shared" si="13"/>
        <v/>
      </c>
      <c r="K120" s="17" t="str">
        <f t="shared" si="14"/>
        <v/>
      </c>
      <c r="L120" s="17" t="str">
        <f t="shared" si="15"/>
        <v/>
      </c>
      <c r="M120" s="7" t="str">
        <f>IF($C120="","",IF(J120=0,"Sin datos",IF(IFERROR(VLOOKUP($C120,Productos!$B$5:$H$124,4,FALSE),0)=0,"Sin precio cliente",IF(IFERROR(VLOOKUP($C120,Productos!$B$5:$H$124,4,FALSE),0)&lt;J120,"Riesgo: cliente bajo costo",IF(K120&gt;IFERROR(VLOOKUP($C120,Productos!$B$5:$H$124,4,FALSE),0),"Revisar: sugerido sobre cliente",IF(K120&gt;IFERROR(VLOOKUP($C120,Productos!$B$5:$H$124,5,FALSE),0),"Sobre competencia","Competitivo"))))))</f>
        <v/>
      </c>
      <c r="O120" s="10"/>
      <c r="P120" s="10"/>
      <c r="Q120" s="10"/>
    </row>
    <row r="121" spans="3:17" ht="21.95" customHeight="1" x14ac:dyDescent="0.25">
      <c r="C121" s="7" t="str">
        <f>IF(Productos!B121="","",Productos!B121)</f>
        <v/>
      </c>
      <c r="D121" s="17" t="str">
        <f>IF($C121="","",SUMIFS('Base de Costos'!$H$5:$H$504,'Base de Costos'!$C$5:$C$504,$C121,'Base de Costos'!$D$5:$D$504,"Materia prima"))</f>
        <v/>
      </c>
      <c r="E121" s="17" t="str">
        <f>IF($C121="","",SUMIFS('Base de Costos'!$H$5:$H$504,'Base de Costos'!$C$5:$C$504,$C121,'Base de Costos'!$D$5:$D$504,"Mano de obra"))</f>
        <v/>
      </c>
      <c r="F121" s="17" t="str">
        <f>IF($C121="","",SUMIFS('Base de Costos'!$H$5:$H$504,'Base de Costos'!$C$5:$C$504,$C121,'Base de Costos'!$D$5:$D$504,"Costo indirecto fabricación"))</f>
        <v/>
      </c>
      <c r="G121" s="17" t="str">
        <f t="shared" si="12"/>
        <v/>
      </c>
      <c r="H121" s="17" t="str">
        <f>IF($C121="","",SUMIFS('Base de Costos'!$H$5:$H$504,'Base de Costos'!$C$5:$C$504,$C121,'Base de Costos'!$D$5:$D$504,"Gasto publicidad")+SUMIFS('Base de Costos'!$H$5:$H$504,'Base de Costos'!$C$5:$C$504,$C121,'Base de Costos'!$D$5:$D$504,"Gasto administrativo")+SUMIFS('Base de Costos'!$H$5:$H$504,'Base de Costos'!$C$5:$C$504,$C121,'Base de Costos'!$D$5:$D$504,"Otro gasto"))</f>
        <v/>
      </c>
      <c r="I121" s="18" t="str">
        <f>IF($C121="","",IFERROR(VLOOKUP($C121,Productos!$B$5:$H$124,7,FALSE),0))</f>
        <v/>
      </c>
      <c r="J121" s="17" t="str">
        <f t="shared" si="13"/>
        <v/>
      </c>
      <c r="K121" s="17" t="str">
        <f t="shared" si="14"/>
        <v/>
      </c>
      <c r="L121" s="17" t="str">
        <f t="shared" si="15"/>
        <v/>
      </c>
      <c r="M121" s="7" t="str">
        <f>IF($C121="","",IF(J121=0,"Sin datos",IF(IFERROR(VLOOKUP($C121,Productos!$B$5:$H$124,4,FALSE),0)=0,"Sin precio cliente",IF(IFERROR(VLOOKUP($C121,Productos!$B$5:$H$124,4,FALSE),0)&lt;J121,"Riesgo: cliente bajo costo",IF(K121&gt;IFERROR(VLOOKUP($C121,Productos!$B$5:$H$124,4,FALSE),0),"Revisar: sugerido sobre cliente",IF(K121&gt;IFERROR(VLOOKUP($C121,Productos!$B$5:$H$124,5,FALSE),0),"Sobre competencia","Competitivo"))))))</f>
        <v/>
      </c>
      <c r="O121" s="10"/>
      <c r="P121" s="10"/>
      <c r="Q121" s="10"/>
    </row>
    <row r="122" spans="3:17" ht="21.95" customHeight="1" x14ac:dyDescent="0.25">
      <c r="C122" s="7" t="str">
        <f>IF(Productos!B122="","",Productos!B122)</f>
        <v/>
      </c>
      <c r="D122" s="17" t="str">
        <f>IF($C122="","",SUMIFS('Base de Costos'!$H$5:$H$504,'Base de Costos'!$C$5:$C$504,$C122,'Base de Costos'!$D$5:$D$504,"Materia prima"))</f>
        <v/>
      </c>
      <c r="E122" s="17" t="str">
        <f>IF($C122="","",SUMIFS('Base de Costos'!$H$5:$H$504,'Base de Costos'!$C$5:$C$504,$C122,'Base de Costos'!$D$5:$D$504,"Mano de obra"))</f>
        <v/>
      </c>
      <c r="F122" s="17" t="str">
        <f>IF($C122="","",SUMIFS('Base de Costos'!$H$5:$H$504,'Base de Costos'!$C$5:$C$504,$C122,'Base de Costos'!$D$5:$D$504,"Costo indirecto fabricación"))</f>
        <v/>
      </c>
      <c r="G122" s="17" t="str">
        <f t="shared" si="12"/>
        <v/>
      </c>
      <c r="H122" s="17" t="str">
        <f>IF($C122="","",SUMIFS('Base de Costos'!$H$5:$H$504,'Base de Costos'!$C$5:$C$504,$C122,'Base de Costos'!$D$5:$D$504,"Gasto publicidad")+SUMIFS('Base de Costos'!$H$5:$H$504,'Base de Costos'!$C$5:$C$504,$C122,'Base de Costos'!$D$5:$D$504,"Gasto administrativo")+SUMIFS('Base de Costos'!$H$5:$H$504,'Base de Costos'!$C$5:$C$504,$C122,'Base de Costos'!$D$5:$D$504,"Otro gasto"))</f>
        <v/>
      </c>
      <c r="I122" s="18" t="str">
        <f>IF($C122="","",IFERROR(VLOOKUP($C122,Productos!$B$5:$H$124,7,FALSE),0))</f>
        <v/>
      </c>
      <c r="J122" s="17" t="str">
        <f t="shared" si="13"/>
        <v/>
      </c>
      <c r="K122" s="17" t="str">
        <f t="shared" si="14"/>
        <v/>
      </c>
      <c r="L122" s="17" t="str">
        <f t="shared" si="15"/>
        <v/>
      </c>
      <c r="M122" s="7" t="str">
        <f>IF($C122="","",IF(J122=0,"Sin datos",IF(IFERROR(VLOOKUP($C122,Productos!$B$5:$H$124,4,FALSE),0)=0,"Sin precio cliente",IF(IFERROR(VLOOKUP($C122,Productos!$B$5:$H$124,4,FALSE),0)&lt;J122,"Riesgo: cliente bajo costo",IF(K122&gt;IFERROR(VLOOKUP($C122,Productos!$B$5:$H$124,4,FALSE),0),"Revisar: sugerido sobre cliente",IF(K122&gt;IFERROR(VLOOKUP($C122,Productos!$B$5:$H$124,5,FALSE),0),"Sobre competencia","Competitivo"))))))</f>
        <v/>
      </c>
      <c r="O122" s="10"/>
      <c r="P122" s="10"/>
      <c r="Q122" s="10"/>
    </row>
    <row r="123" spans="3:17" ht="21.95" customHeight="1" x14ac:dyDescent="0.25">
      <c r="C123" s="7" t="str">
        <f>IF(Productos!B123="","",Productos!B123)</f>
        <v/>
      </c>
      <c r="D123" s="17" t="str">
        <f>IF($C123="","",SUMIFS('Base de Costos'!$H$5:$H$504,'Base de Costos'!$C$5:$C$504,$C123,'Base de Costos'!$D$5:$D$504,"Materia prima"))</f>
        <v/>
      </c>
      <c r="E123" s="17" t="str">
        <f>IF($C123="","",SUMIFS('Base de Costos'!$H$5:$H$504,'Base de Costos'!$C$5:$C$504,$C123,'Base de Costos'!$D$5:$D$504,"Mano de obra"))</f>
        <v/>
      </c>
      <c r="F123" s="17" t="str">
        <f>IF($C123="","",SUMIFS('Base de Costos'!$H$5:$H$504,'Base de Costos'!$C$5:$C$504,$C123,'Base de Costos'!$D$5:$D$504,"Costo indirecto fabricación"))</f>
        <v/>
      </c>
      <c r="G123" s="17" t="str">
        <f t="shared" si="12"/>
        <v/>
      </c>
      <c r="H123" s="17" t="str">
        <f>IF($C123="","",SUMIFS('Base de Costos'!$H$5:$H$504,'Base de Costos'!$C$5:$C$504,$C123,'Base de Costos'!$D$5:$D$504,"Gasto publicidad")+SUMIFS('Base de Costos'!$H$5:$H$504,'Base de Costos'!$C$5:$C$504,$C123,'Base de Costos'!$D$5:$D$504,"Gasto administrativo")+SUMIFS('Base de Costos'!$H$5:$H$504,'Base de Costos'!$C$5:$C$504,$C123,'Base de Costos'!$D$5:$D$504,"Otro gasto"))</f>
        <v/>
      </c>
      <c r="I123" s="18" t="str">
        <f>IF($C123="","",IFERROR(VLOOKUP($C123,Productos!$B$5:$H$124,7,FALSE),0))</f>
        <v/>
      </c>
      <c r="J123" s="17" t="str">
        <f t="shared" si="13"/>
        <v/>
      </c>
      <c r="K123" s="17" t="str">
        <f t="shared" si="14"/>
        <v/>
      </c>
      <c r="L123" s="17" t="str">
        <f t="shared" si="15"/>
        <v/>
      </c>
      <c r="M123" s="7" t="str">
        <f>IF($C123="","",IF(J123=0,"Sin datos",IF(IFERROR(VLOOKUP($C123,Productos!$B$5:$H$124,4,FALSE),0)=0,"Sin precio cliente",IF(IFERROR(VLOOKUP($C123,Productos!$B$5:$H$124,4,FALSE),0)&lt;J123,"Riesgo: cliente bajo costo",IF(K123&gt;IFERROR(VLOOKUP($C123,Productos!$B$5:$H$124,4,FALSE),0),"Revisar: sugerido sobre cliente",IF(K123&gt;IFERROR(VLOOKUP($C123,Productos!$B$5:$H$124,5,FALSE),0),"Sobre competencia","Competitivo"))))))</f>
        <v/>
      </c>
      <c r="O123" s="10"/>
      <c r="P123" s="10"/>
      <c r="Q123" s="10"/>
    </row>
    <row r="124" spans="3:17" ht="21.95" customHeight="1" x14ac:dyDescent="0.25">
      <c r="C124" s="7" t="str">
        <f>IF(Productos!B124="","",Productos!B124)</f>
        <v/>
      </c>
      <c r="D124" s="17" t="str">
        <f>IF($C124="","",SUMIFS('Base de Costos'!$H$5:$H$504,'Base de Costos'!$C$5:$C$504,$C124,'Base de Costos'!$D$5:$D$504,"Materia prima"))</f>
        <v/>
      </c>
      <c r="E124" s="17" t="str">
        <f>IF($C124="","",SUMIFS('Base de Costos'!$H$5:$H$504,'Base de Costos'!$C$5:$C$504,$C124,'Base de Costos'!$D$5:$D$504,"Mano de obra"))</f>
        <v/>
      </c>
      <c r="F124" s="17" t="str">
        <f>IF($C124="","",SUMIFS('Base de Costos'!$H$5:$H$504,'Base de Costos'!$C$5:$C$504,$C124,'Base de Costos'!$D$5:$D$504,"Costo indirecto fabricación"))</f>
        <v/>
      </c>
      <c r="G124" s="17" t="str">
        <f t="shared" si="12"/>
        <v/>
      </c>
      <c r="H124" s="17" t="str">
        <f>IF($C124="","",SUMIFS('Base de Costos'!$H$5:$H$504,'Base de Costos'!$C$5:$C$504,$C124,'Base de Costos'!$D$5:$D$504,"Gasto publicidad")+SUMIFS('Base de Costos'!$H$5:$H$504,'Base de Costos'!$C$5:$C$504,$C124,'Base de Costos'!$D$5:$D$504,"Gasto administrativo")+SUMIFS('Base de Costos'!$H$5:$H$504,'Base de Costos'!$C$5:$C$504,$C124,'Base de Costos'!$D$5:$D$504,"Otro gasto"))</f>
        <v/>
      </c>
      <c r="I124" s="18" t="str">
        <f>IF($C124="","",IFERROR(VLOOKUP($C124,Productos!$B$5:$H$124,7,FALSE),0))</f>
        <v/>
      </c>
      <c r="J124" s="17" t="str">
        <f t="shared" si="13"/>
        <v/>
      </c>
      <c r="K124" s="17" t="str">
        <f t="shared" si="14"/>
        <v/>
      </c>
      <c r="L124" s="17" t="str">
        <f t="shared" si="15"/>
        <v/>
      </c>
      <c r="M124" s="7" t="str">
        <f>IF($C124="","",IF(J124=0,"Sin datos",IF(IFERROR(VLOOKUP($C124,Productos!$B$5:$H$124,4,FALSE),0)=0,"Sin precio cliente",IF(IFERROR(VLOOKUP($C124,Productos!$B$5:$H$124,4,FALSE),0)&lt;J124,"Riesgo: cliente bajo costo",IF(K124&gt;IFERROR(VLOOKUP($C124,Productos!$B$5:$H$124,4,FALSE),0),"Revisar: sugerido sobre cliente",IF(K124&gt;IFERROR(VLOOKUP($C124,Productos!$B$5:$H$124,5,FALSE),0),"Sobre competencia","Competitivo"))))))</f>
        <v/>
      </c>
      <c r="O124" s="10"/>
      <c r="P124" s="10"/>
      <c r="Q124" s="10"/>
    </row>
    <row r="125" spans="3:17" ht="21.95" customHeight="1" x14ac:dyDescent="0.25"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O125" s="10"/>
      <c r="P125" s="10"/>
      <c r="Q125" s="10"/>
    </row>
    <row r="126" spans="3:17" ht="21.95" customHeight="1" x14ac:dyDescent="0.25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O126" s="10"/>
      <c r="P126" s="10"/>
      <c r="Q126" s="10"/>
    </row>
    <row r="127" spans="3:17" ht="21.95" customHeight="1" x14ac:dyDescent="0.25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O127" s="10"/>
      <c r="P127" s="10"/>
      <c r="Q127" s="10"/>
    </row>
    <row r="128" spans="3:17" ht="21.95" customHeight="1" x14ac:dyDescent="0.25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O128" s="10"/>
      <c r="P128" s="10"/>
      <c r="Q128" s="10"/>
    </row>
    <row r="129" spans="3:17" ht="21.95" customHeight="1" x14ac:dyDescent="0.25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O129" s="10"/>
      <c r="P129" s="10"/>
      <c r="Q129" s="10"/>
    </row>
    <row r="130" spans="3:17" ht="21.95" customHeight="1" x14ac:dyDescent="0.25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O130" s="10"/>
      <c r="P130" s="10"/>
      <c r="Q130" s="10"/>
    </row>
    <row r="131" spans="3:17" ht="21.95" customHeight="1" x14ac:dyDescent="0.25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O131" s="10"/>
      <c r="P131" s="10"/>
      <c r="Q131" s="10"/>
    </row>
    <row r="132" spans="3:17" ht="21.95" customHeight="1" x14ac:dyDescent="0.25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O132" s="10"/>
      <c r="P132" s="10"/>
      <c r="Q132" s="10"/>
    </row>
    <row r="133" spans="3:17" ht="21.95" customHeight="1" x14ac:dyDescent="0.25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O133" s="10"/>
      <c r="P133" s="10"/>
      <c r="Q133" s="10"/>
    </row>
    <row r="134" spans="3:17" ht="21.95" customHeight="1" x14ac:dyDescent="0.25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O134" s="10"/>
      <c r="P134" s="10"/>
      <c r="Q134" s="10"/>
    </row>
    <row r="135" spans="3:17" ht="21.95" customHeight="1" x14ac:dyDescent="0.25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O135" s="10"/>
      <c r="P135" s="10"/>
      <c r="Q135" s="10"/>
    </row>
    <row r="136" spans="3:17" ht="21.95" customHeight="1" x14ac:dyDescent="0.25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O136" s="10"/>
      <c r="P136" s="10"/>
      <c r="Q136" s="10"/>
    </row>
    <row r="137" spans="3:17" ht="21.95" customHeight="1" x14ac:dyDescent="0.25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O137" s="10"/>
      <c r="P137" s="10"/>
      <c r="Q137" s="10"/>
    </row>
    <row r="138" spans="3:17" ht="21.95" customHeight="1" x14ac:dyDescent="0.25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O138" s="10"/>
      <c r="P138" s="10"/>
      <c r="Q138" s="10"/>
    </row>
    <row r="139" spans="3:17" ht="21.95" customHeight="1" x14ac:dyDescent="0.25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O139" s="10"/>
      <c r="P139" s="10"/>
      <c r="Q139" s="10"/>
    </row>
    <row r="140" spans="3:17" ht="21.95" customHeight="1" x14ac:dyDescent="0.25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O140" s="10"/>
      <c r="P140" s="10"/>
      <c r="Q140" s="10"/>
    </row>
    <row r="141" spans="3:17" ht="21.95" customHeight="1" x14ac:dyDescent="0.25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O141" s="10"/>
      <c r="P141" s="10"/>
      <c r="Q141" s="10"/>
    </row>
    <row r="142" spans="3:17" ht="21.95" customHeight="1" x14ac:dyDescent="0.25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O142" s="10"/>
      <c r="P142" s="10"/>
      <c r="Q142" s="10"/>
    </row>
    <row r="143" spans="3:17" ht="21.95" customHeight="1" x14ac:dyDescent="0.25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O143" s="10"/>
      <c r="P143" s="10"/>
      <c r="Q143" s="10"/>
    </row>
    <row r="144" spans="3:17" ht="21.95" customHeight="1" x14ac:dyDescent="0.25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O144" s="10"/>
      <c r="P144" s="10"/>
      <c r="Q144" s="10"/>
    </row>
    <row r="145" spans="3:17" ht="21.95" customHeight="1" x14ac:dyDescent="0.25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O145" s="10"/>
      <c r="P145" s="10"/>
      <c r="Q145" s="10"/>
    </row>
    <row r="146" spans="3:17" ht="21.95" customHeight="1" x14ac:dyDescent="0.25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O146" s="10"/>
      <c r="P146" s="10"/>
      <c r="Q146" s="10"/>
    </row>
    <row r="147" spans="3:17" ht="21.95" customHeight="1" x14ac:dyDescent="0.25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O147" s="10"/>
      <c r="P147" s="10"/>
      <c r="Q147" s="10"/>
    </row>
    <row r="148" spans="3:17" ht="21.95" customHeight="1" x14ac:dyDescent="0.25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O148" s="10"/>
      <c r="P148" s="10"/>
      <c r="Q148" s="10"/>
    </row>
    <row r="149" spans="3:17" ht="21.95" customHeight="1" x14ac:dyDescent="0.25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O149" s="10"/>
      <c r="P149" s="10"/>
      <c r="Q149" s="10"/>
    </row>
    <row r="150" spans="3:17" ht="21.95" customHeight="1" x14ac:dyDescent="0.25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O150" s="10"/>
      <c r="P150" s="10"/>
      <c r="Q150" s="10"/>
    </row>
    <row r="151" spans="3:17" ht="21.95" customHeight="1" x14ac:dyDescent="0.25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O151" s="10"/>
      <c r="P151" s="10"/>
      <c r="Q151" s="10"/>
    </row>
    <row r="152" spans="3:17" ht="21.95" customHeight="1" x14ac:dyDescent="0.25"/>
    <row r="153" spans="3:17" ht="21.95" customHeight="1" x14ac:dyDescent="0.25"/>
    <row r="154" spans="3:17" ht="21.95" customHeight="1" x14ac:dyDescent="0.25"/>
    <row r="155" spans="3:17" ht="21.95" customHeight="1" x14ac:dyDescent="0.25"/>
    <row r="156" spans="3:17" ht="21.95" customHeight="1" x14ac:dyDescent="0.25"/>
    <row r="157" spans="3:17" ht="21.95" customHeight="1" x14ac:dyDescent="0.25"/>
    <row r="158" spans="3:17" ht="21.95" customHeight="1" x14ac:dyDescent="0.25"/>
    <row r="159" spans="3:17" ht="21.95" customHeight="1" x14ac:dyDescent="0.25"/>
    <row r="160" spans="3:17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</sheetData>
  <mergeCells count="3">
    <mergeCell ref="C1:M1"/>
    <mergeCell ref="C2:M2"/>
    <mergeCell ref="O5:Q15"/>
  </mergeCells>
  <conditionalFormatting sqref="K5:K124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Dashboard</vt:lpstr>
      <vt:lpstr>Productos</vt:lpstr>
      <vt:lpstr>Base de Costos</vt:lpstr>
      <vt:lpstr>Calculadora</vt:lpstr>
      <vt:lpstr>Resumen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UsuarioCompuElite</cp:lastModifiedBy>
  <dcterms:modified xsi:type="dcterms:W3CDTF">2026-07-12T02:52:38Z</dcterms:modified>
</cp:coreProperties>
</file>